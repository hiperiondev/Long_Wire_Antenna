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alculator" sheetId="1" state="visible" r:id="rId3"/>
    <sheet name="VSWR Calculator" sheetId="2" state="visible" r:id="rId4"/>
    <sheet name="UnUn Ratio Optimizer" sheetId="3" state="visible" r:id="rId5"/>
    <sheet name="Length Sweep" sheetId="4" state="visible" r:id="rId6"/>
    <sheet name="UnUn Calculator" sheetId="5" state="visible" r:id="rId7"/>
    <sheet name="Toroid_Database" sheetId="6" state="visible" r:id="rId8"/>
  </sheets>
  <externalReferences>
    <externalReference r:id="rId9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<sst xmlns="http://schemas.openxmlformats.org/spreadsheetml/2006/main" count="410" uniqueCount="253">
  <si>
    <t xml:space="preserve">📡  Long Wire Antenna  +  UnUn  —  Multi-Band Optimizer</t>
  </si>
  <si>
    <t xml:space="preserve">Select YES/NO for each band  ·  Adjust Velocity Factor  ·  See 'Length Sweep' sheet for color-coded results  ·  All dimensions in METERS</t>
  </si>
  <si>
    <t xml:space="preserve">⚙  PARAMETERS  —  Blue cells are editable inputs</t>
  </si>
  <si>
    <t xml:space="preserve">Velocity Factor (VF):</t>
  </si>
  <si>
    <t xml:space="preserve">← Editable. Recommended default: 0.95 (insulated wire + end-effect, matches classic 468/f formula). Bare copper in free air: 0.975–0.98. Insulated (PVC/poly): 0.92–0.96.</t>
  </si>
  <si>
    <t xml:space="preserve">Half-wave formula used:</t>
  </si>
  <si>
    <t xml:space="preserve">  λ/2 (m) = VF × 150 / f_center(MHz)     →     λ/4 (m) = λ/2 / 2     →     Min Wire = λ/4 at f_center (consistent reference frequency)</t>
  </si>
  <si>
    <t xml:space="preserve">📻  BAND SELECTION  —  Change 'ACTIVE?' column to YES or NO  (dropdown available)</t>
  </si>
  <si>
    <t xml:space="preserve">⚠  Lengths at an INTEGER multiple of λ/2 (very high feedpoint Z) OR at λ/4 multiples (very low feedpoint Z) cause poor UnUn matching — the algorithm AVOIDS both. Wires shorter than λ/4 of the lowest active band are also penalised (scored 0).</t>
  </si>
  <si>
    <t xml:space="preserve">Band</t>
  </si>
  <si>
    <t xml:space="preserve">f Low
(MHz)</t>
  </si>
  <si>
    <t xml:space="preserve">f High
(MHz)</t>
  </si>
  <si>
    <t xml:space="preserve">f Center
(MHz)</t>
  </si>
  <si>
    <t xml:space="preserve">ACTIVE?</t>
  </si>
  <si>
    <t xml:space="preserve">λ/2
(meters)</t>
  </si>
  <si>
    <t xml:space="preserve">λ/4
(meters)</t>
  </si>
  <si>
    <t xml:space="preserve">Min Wire
(meters)</t>
  </si>
  <si>
    <t xml:space="preserve">160m</t>
  </si>
  <si>
    <t xml:space="preserve">YES</t>
  </si>
  <si>
    <t xml:space="preserve">80m</t>
  </si>
  <si>
    <t xml:space="preserve">60m</t>
  </si>
  <si>
    <t xml:space="preserve">40m</t>
  </si>
  <si>
    <t xml:space="preserve">30m</t>
  </si>
  <si>
    <t xml:space="preserve">20m</t>
  </si>
  <si>
    <t xml:space="preserve">17m</t>
  </si>
  <si>
    <t xml:space="preserve">15m</t>
  </si>
  <si>
    <t xml:space="preserve">12m</t>
  </si>
  <si>
    <t xml:space="preserve">10m</t>
  </si>
  <si>
    <t xml:space="preserve">6m</t>
  </si>
  <si>
    <t xml:space="preserve">Active bands:</t>
  </si>
  <si>
    <t xml:space="preserve">Min. wire length needed (m):</t>
  </si>
  <si>
    <t xml:space="preserve">← λ/4 of lowest active band (at f_center — consistent with λ/2 and λ/4 columns above)</t>
  </si>
  <si>
    <t xml:space="preserve">🔌  COUNTERPOISE  (Ground Reference Wire)</t>
  </si>
  <si>
    <t xml:space="preserve">Recommended counterpoise (m):</t>
  </si>
  <si>
    <t xml:space="preserve">λ/4 of lowest active band. Multiple radials also effective. Keep counterpoise as straight as possible.</t>
  </si>
  <si>
    <t xml:space="preserve">🏆  TOP 5 RECOMMENDED WIRE LENGTHS  (computed from 'Length Sweep' sheet — updates with band selection)</t>
  </si>
  <si>
    <t xml:space="preserve">Rank</t>
  </si>
  <si>
    <t xml:space="preserve">Wire Length
(meters)</t>
  </si>
  <si>
    <t xml:space="preserve">Wire Length
(cm)</t>
  </si>
  <si>
    <t xml:space="preserve">Avoidance
Score</t>
  </si>
  <si>
    <t xml:space="preserve">Quality Rating</t>
  </si>
  <si>
    <t xml:space="preserve">λ/2 check
(lowest active band;
ok = not integer
and not n+0.5)</t>
  </si>
  <si>
    <t xml:space="preserve">Counterpoise
(m)</t>
  </si>
  <si>
    <t xml:space="preserve">Practical Notes</t>
  </si>
  <si>
    <t xml:space="preserve">Optimal
UnUn</t>
  </si>
  <si>
    <t xml:space="preserve"># 1</t>
  </si>
  <si>
    <t xml:space="preserve"># 2</t>
  </si>
  <si>
    <t xml:space="preserve"># 3</t>
  </si>
  <si>
    <t xml:space="preserve"># 4</t>
  </si>
  <si>
    <t xml:space="preserve"># 5</t>
  </si>
  <si>
    <t xml:space="preserve">ℹ  Avoidance Score explanation: 0.25 = wire is at maximum distance from ALL resonances (ideal: 3λ/8 or 5λ/8);  0.00 = wire IS resonant (half-wave or quarter-wave, extremely high or low impedance, avoid);  Score ≥ 0.20 = excellent;  Score ≥ 0.12 = good practice.</t>
  </si>
  <si>
    <t xml:space="preserve">📡  VSWR Estimator  —  Long Wire Antenna + Configurable UnUn Ratio   [SIMPLIFIED RESISTIVE MODEL — read disclaimer in A3]</t>
  </si>
  <si>
    <t xml:space="preserve">⚠  Model: Z_wire ≈ 50 × 80^cos²(π·frac(L/λ½))  [constant 80 gives Z_max=4000Ω; use 94 for ~4700Ω per AA5TB] Ω  →  VSWR = max(Z_wire/(N×50), (N×50)/Z_wire)  where N = UnUn ratio  |  Z_min ≈ 50 Ω at λ/4 (model; real ~50–200 Ω)  ·  Z_max ≈ 4000 Ω at λ/2 (model; real ~3000–5000 Ω, AA5TB: ~4700 Ω)  ·  Z_target = N×50 Ω at 3λ/8 (optimal when N×50 ≈ Z_wire).  Real-world values vary with wire height, soil, coupling, and — critically — antenna reactance (see A3).</t>
  </si>
  <si>
    <t xml:space="preserve">⚠  REACTANCE DISCLAIMER  —  This model treats the antenna as a PURELY RESISTIVE load</t>
  </si>
  <si>
    <t xml:space="preserve"> (Z = R, ignoring jX). Real wire antennas carry significant reactance at most non-resonant lengths. As a result, VSWR values shown</t>
  </si>
  <si>
    <t xml:space="preserve"> in the "GOOD" / intermediate range (e.g. 1.0–2.5) are OPTIMISTIC. Actual VSWR will be higher whenever the antenna is not close to</t>
  </si>
  <si>
    <t xml:space="preserve"> an odd multiple of λ/4. Always verify with an antenna analyser. A tuner is recommended for all active bands unless a real VSWR</t>
  </si>
  <si>
    <t xml:space="preserve"> measurement confirms otherwise.</t>
  </si>
  <si>
    <t xml:space="preserve">Wire Length (m):</t>
  </si>
  <si>
    <t xml:space="preserve">← Enter wire length (m). Tip: use a Top-5 wire length from Calculator sheet for best results.</t>
  </si>
  <si>
    <t xml:space="preserve">UnUn Ratio (N:1):</t>
  </si>
  <si>
    <t xml:space="preserve">← Editable. Default 9 = 9:1 UnUn. For best results, use the Optimal UnUn from Calculator sheet (Top-5 table, column I) or UnUn Ratio Optimizer Section 4.</t>
  </si>
  <si>
    <t xml:space="preserve">Active?</t>
  </si>
  <si>
    <t xml:space="preserve">λ/2 (m)</t>
  </si>
  <si>
    <t xml:space="preserve">λ/4 (m)</t>
  </si>
  <si>
    <t xml:space="preserve">L / λ½
(frac)</t>
  </si>
  <si>
    <t xml:space="preserve">Z_wire
(Ω, est.)</t>
  </si>
  <si>
    <t xml:space="preserve">VSWR
(chart data)</t>
  </si>
  <si>
    <t xml:space="preserve">VSWR
(1 dec.)</t>
  </si>
  <si>
    <t xml:space="preserve">Quality Assessment</t>
  </si>
  <si>
    <t xml:space="preserve">VSWR guide:</t>
  </si>
  <si>
    <t xml:space="preserve">&lt; 1.5: Excellent</t>
  </si>
  <si>
    <t xml:space="preserve">1.5–3.0: Good (tuner helpful)</t>
  </si>
  <si>
    <t xml:space="preserve">3.0–6.0: Marginal (tuner needed)</t>
  </si>
  <si>
    <t xml:space="preserve">&gt; 6.0: Poor (high-loss mismatch)</t>
  </si>
  <si>
    <t xml:space="preserve">📊  Chart below  —  Dashed reference thresholds: VSWR 1.5 = excellent boundary  ·  VSWR 3.0 = tuner boundary  ·  Bars absent = inactive band or wire too short for that band</t>
  </si>
  <si>
    <t xml:space="preserve">📡  UnUn Ratio Optimizer  —  Long Wire Antenna  (4:1 → 69:1)  ·  All 5 Recommended Lengths</t>
  </si>
  <si>
    <t xml:space="preserve">For each top-5 wire length, every UnUn ratio 4:1</t>
  </si>
  <si>
    <t xml:space="preserve">📊  SECTION 1 — Feedpoint Impedance (Ω) at Each Band for All 5 Recommended Wires</t>
  </si>
  <si>
    <t xml:space="preserve">f center
(MHz)</t>
  </si>
  <si>
    <t xml:space="preserve">Notes</t>
  </si>
  <si>
    <t xml:space="preserve">⚡  SECTION 2 — Optimal UnUn Ratio Summary  (ratio that minimises VSWR for each antenna × band)</t>
  </si>
  <si>
    <t xml:space="preserve">📋  SECTION 3 — Full VSWR Table  (UnUn ratio 4:1 → 69:1)  |  ★ = integer turns n²:1  |  Z_target = 50 Ω coax  |  Active bands follow Calculator!</t>
  </si>
  <si>
    <t xml:space="preserve">n=2→4:1  |  n=3→9:1  |  n=4→16:1  |  n=5→25:1  |  n=6→36:1  |  n=7→49:1  |  n=8→64:1  (non-square ratios via tapped autotransformer or partial winding)</t>
  </si>
  <si>
    <t xml:space="preserve">UnUn
Ratio</t>
  </si>
  <si>
    <t xml:space="preserve">Turns
Ratio n</t>
  </si>
  <si>
    <t xml:space="preserve">Z_output
(Ω)→coax</t>
  </si>
  <si>
    <t xml:space="preserve">n:1</t>
  </si>
  <si>
    <t xml:space="preserve">n²×50Ω</t>
  </si>
  <si>
    <t xml:space="preserve">Avg
VSWR</t>
  </si>
  <si>
    <t xml:space="preserve">4:1★</t>
  </si>
  <si>
    <t xml:space="preserve">2:1</t>
  </si>
  <si>
    <t xml:space="preserve">5:1</t>
  </si>
  <si>
    <t xml:space="preserve">—</t>
  </si>
  <si>
    <t xml:space="preserve">6:1</t>
  </si>
  <si>
    <t xml:space="preserve">7:1</t>
  </si>
  <si>
    <t xml:space="preserve">8:1</t>
  </si>
  <si>
    <t xml:space="preserve">9:1★</t>
  </si>
  <si>
    <t xml:space="preserve">3:1</t>
  </si>
  <si>
    <t xml:space="preserve">10:1</t>
  </si>
  <si>
    <t xml:space="preserve">11:1</t>
  </si>
  <si>
    <t xml:space="preserve">12:1</t>
  </si>
  <si>
    <t xml:space="preserve">13:1</t>
  </si>
  <si>
    <t xml:space="preserve">14:1</t>
  </si>
  <si>
    <t xml:space="preserve">15:1</t>
  </si>
  <si>
    <t xml:space="preserve">16:1★</t>
  </si>
  <si>
    <t xml:space="preserve">4:1</t>
  </si>
  <si>
    <t xml:space="preserve">17:1</t>
  </si>
  <si>
    <t xml:space="preserve">18:1</t>
  </si>
  <si>
    <t xml:space="preserve">19:1</t>
  </si>
  <si>
    <t xml:space="preserve">20:1</t>
  </si>
  <si>
    <t xml:space="preserve">21:1</t>
  </si>
  <si>
    <t xml:space="preserve">22:1</t>
  </si>
  <si>
    <t xml:space="preserve">23:1</t>
  </si>
  <si>
    <t xml:space="preserve">24:1</t>
  </si>
  <si>
    <t xml:space="preserve">25:1★</t>
  </si>
  <si>
    <t xml:space="preserve">26:1</t>
  </si>
  <si>
    <t xml:space="preserve">27:1</t>
  </si>
  <si>
    <t xml:space="preserve">28:1</t>
  </si>
  <si>
    <t xml:space="preserve">29:1</t>
  </si>
  <si>
    <t xml:space="preserve">30:1</t>
  </si>
  <si>
    <t xml:space="preserve">31:1</t>
  </si>
  <si>
    <t xml:space="preserve">32:1</t>
  </si>
  <si>
    <t xml:space="preserve">33:1</t>
  </si>
  <si>
    <t xml:space="preserve">34:1</t>
  </si>
  <si>
    <t xml:space="preserve">35:1</t>
  </si>
  <si>
    <t xml:space="preserve">36:1★</t>
  </si>
  <si>
    <t xml:space="preserve">37:1</t>
  </si>
  <si>
    <t xml:space="preserve">38:1</t>
  </si>
  <si>
    <t xml:space="preserve">39:1</t>
  </si>
  <si>
    <t xml:space="preserve">40:1</t>
  </si>
  <si>
    <t xml:space="preserve">41:1</t>
  </si>
  <si>
    <t xml:space="preserve">42:1</t>
  </si>
  <si>
    <t xml:space="preserve">43:1</t>
  </si>
  <si>
    <t xml:space="preserve">44:1</t>
  </si>
  <si>
    <t xml:space="preserve">45:1</t>
  </si>
  <si>
    <t xml:space="preserve">46:1</t>
  </si>
  <si>
    <t xml:space="preserve">47:1</t>
  </si>
  <si>
    <t xml:space="preserve">48:1</t>
  </si>
  <si>
    <t xml:space="preserve">49:1★</t>
  </si>
  <si>
    <t xml:space="preserve">50:1</t>
  </si>
  <si>
    <t xml:space="preserve">51:1</t>
  </si>
  <si>
    <t xml:space="preserve">52:1</t>
  </si>
  <si>
    <t xml:space="preserve">53:1</t>
  </si>
  <si>
    <t xml:space="preserve">54:1</t>
  </si>
  <si>
    <t xml:space="preserve">55:1</t>
  </si>
  <si>
    <t xml:space="preserve">56:1</t>
  </si>
  <si>
    <t xml:space="preserve">57:1</t>
  </si>
  <si>
    <t xml:space="preserve">58:1</t>
  </si>
  <si>
    <t xml:space="preserve">59:1</t>
  </si>
  <si>
    <t xml:space="preserve">60:1</t>
  </si>
  <si>
    <t xml:space="preserve">61:1</t>
  </si>
  <si>
    <t xml:space="preserve">62:1</t>
  </si>
  <si>
    <t xml:space="preserve">63:1</t>
  </si>
  <si>
    <t xml:space="preserve">64:1★</t>
  </si>
  <si>
    <t xml:space="preserve">65:1</t>
  </si>
  <si>
    <t xml:space="preserve">66:1</t>
  </si>
  <si>
    <t xml:space="preserve">67:1</t>
  </si>
  <si>
    <t xml:space="preserve">68:1</t>
  </si>
  <si>
    <t xml:space="preserve">69:1</t>
  </si>
  <si>
    <t xml:space="preserve">🏆  SECTION 4 — Best UnUn Ratio Per Antenna</t>
  </si>
  <si>
    <t xml:space="preserve"> (lowest average VSWR across all active bands)</t>
  </si>
  <si>
    <t xml:space="preserve">Antenna</t>
  </si>
  <si>
    <t xml:space="preserve">Wire (m)</t>
  </si>
  <si>
    <t xml:space="preserve">Best Ratio
(any)</t>
  </si>
  <si>
    <t xml:space="preserve">Avg VSWR
@best</t>
  </si>
  <si>
    <t xml:space="preserve">Best Square★</t>
  </si>
  <si>
    <t xml:space="preserve">Avg VSWR
@square</t>
  </si>
  <si>
    <t xml:space="preserve">Z range (Ω)
active bands</t>
  </si>
  <si>
    <t xml:space="preserve">#1</t>
  </si>
  <si>
    <t xml:space="preserve">#2</t>
  </si>
  <si>
    <t xml:space="preserve">#3</t>
  </si>
  <si>
    <t xml:space="preserve">#4</t>
  </si>
  <si>
    <t xml:space="preserve">#5</t>
  </si>
  <si>
    <t xml:space="preserve">📊  Wire Length Sweep  5.0 – 60.0 m (step 0.1 m) — Resonance Avoidance Score  ·  GREEN rows = recommended</t>
  </si>
  <si>
    <t xml:space="preserve">Score = MIN fraction-away-from BOTH half-wave AND quarter-wave resonances across ALL active bands.  0.25 = perfect (mid-gap between λ/4 and λ/2),  0.00 = on resonance.  Inactive bands show 1.00 (not counted).  Formula: =MIN(MIN(MOD(L/λ₂,1), 1−MOD(L/λ₂,1)), |MOD(L/λ₂,1)−0.5|) per active band.  ⚠ Both λ/2 (very high Z, &gt;2000Ω) AND λ/4 (very low Z, ~50Ω→5.5Ω after UnUn) are penalized.</t>
  </si>
  <si>
    <t xml:space="preserve">⚠  Change band ACTIVE? selection on the 'Calculator' sheet — this table updates automatically!</t>
  </si>
  <si>
    <t xml:space="preserve">Wire
Length
(m)</t>
  </si>
  <si>
    <t xml:space="preserve">160m
score</t>
  </si>
  <si>
    <t xml:space="preserve">80m
score</t>
  </si>
  <si>
    <t xml:space="preserve">60m
score</t>
  </si>
  <si>
    <t xml:space="preserve">40m
score</t>
  </si>
  <si>
    <t xml:space="preserve">30m
score</t>
  </si>
  <si>
    <t xml:space="preserve">20m
score</t>
  </si>
  <si>
    <t xml:space="preserve">17m
score</t>
  </si>
  <si>
    <t xml:space="preserve">15m
score</t>
  </si>
  <si>
    <t xml:space="preserve">12m
score</t>
  </si>
  <si>
    <t xml:space="preserve">10m
score</t>
  </si>
  <si>
    <t xml:space="preserve">6m
score</t>
  </si>
  <si>
    <t xml:space="preserve">OVERALL
Score</t>
  </si>
  <si>
    <t xml:space="preserve">Quality
Rating</t>
  </si>
  <si>
    <t xml:space="preserve">UnUn &amp; Impedance Matching Calculator</t>
  </si>
  <si>
    <t xml:space="preserve">1. System Parameters (Inputs)</t>
  </si>
  <si>
    <t xml:space="preserve">Operating Frequency</t>
  </si>
  <si>
    <t xml:space="preserve">MHz</t>
  </si>
  <si>
    <t xml:space="preserve">Target Input Impedance (Real, Rin)</t>
  </si>
  <si>
    <t xml:space="preserve">Ohms (Ω)</t>
  </si>
  <si>
    <t xml:space="preserve">Target Input Impedance (Imag, Xin)</t>
  </si>
  <si>
    <t xml:space="preserve">Output / Load Impedance (Real, Rout)</t>
  </si>
  <si>
    <t xml:space="preserve">Output / Load Impedance (Imag, Xout)</t>
  </si>
  <si>
    <t xml:space="preserve">Toroid Core Selection</t>
  </si>
  <si>
    <t xml:space="preserve">FT-240-43</t>
  </si>
  <si>
    <t xml:space="preserve">Primary Winding Turns (Np)</t>
  </si>
  <si>
    <t xml:space="preserve">Turns</t>
  </si>
  <si>
    <t xml:space="preserve">2. UnUn Transformer Properties</t>
  </si>
  <si>
    <t xml:space="preserve">Impedance Ratio (Rout / Rin)</t>
  </si>
  <si>
    <t xml:space="preserve">: 1</t>
  </si>
  <si>
    <t xml:space="preserve">Turns Ratio (Ns / Np)</t>
  </si>
  <si>
    <t xml:space="preserve">Calculated Secondary Turns (Ns)</t>
  </si>
  <si>
    <t xml:space="preserve">Actual Secondary Turns (Rounded)</t>
  </si>
  <si>
    <t xml:space="preserve">Actual Impedance Ratio (Based on Turns)</t>
  </si>
  <si>
    <t xml:space="preserve">Transformed Load Reactance (Seen at Input)</t>
  </si>
  <si>
    <t xml:space="preserve">3. Reactance Compensation (Matching)</t>
  </si>
  <si>
    <t xml:space="preserve">To achieve a perfect match, the imaginary part of the load must be neutralized. This is typically done by adding series reactance at the load side before the UnUn.</t>
  </si>
  <si>
    <t xml:space="preserve">Required Compensation Reactance (Xcomp)</t>
  </si>
  <si>
    <t xml:space="preserve">Component Type Needed</t>
  </si>
  <si>
    <t xml:space="preserve">Component Value (L or C)</t>
  </si>
  <si>
    <t xml:space="preserve">Unit</t>
  </si>
  <si>
    <t xml:space="preserve">4. Toroid Magnetics &amp; Design Check</t>
  </si>
  <si>
    <t xml:space="preserve">Core AL Value</t>
  </si>
  <si>
    <t xml:space="preserve">nH/N²</t>
  </si>
  <si>
    <t xml:space="preserve">Primary Inductance (Lp)</t>
  </si>
  <si>
    <t xml:space="preserve">µH</t>
  </si>
  <si>
    <t xml:space="preserve">Primary Reactance (XLp) @ Freq</t>
  </si>
  <si>
    <t xml:space="preserve">Design Check (Rule of Thumb: XLp &gt; 4*Rin)</t>
  </si>
  <si>
    <t xml:space="preserve">Note: Primary reactance (XLp) should generally be at least 4 to 5 times the input impedance (e.g., &gt; 200Ω for a 50Ω system) to prevent the transformer from loading down the source.</t>
  </si>
  <si>
    <t xml:space="preserve">Core Name</t>
  </si>
  <si>
    <t xml:space="preserve">Material</t>
  </si>
  <si>
    <t xml:space="preserve">AL (nH/N²)</t>
  </si>
  <si>
    <t xml:space="preserve">OD (mm)</t>
  </si>
  <si>
    <t xml:space="preserve">ID (mm)</t>
  </si>
  <si>
    <t xml:space="preserve">Height (mm)</t>
  </si>
  <si>
    <t xml:space="preserve">FT-114-43</t>
  </si>
  <si>
    <t xml:space="preserve">Ferrite Mix 43</t>
  </si>
  <si>
    <t xml:space="preserve">FT-140-43</t>
  </si>
  <si>
    <t xml:space="preserve">FT-114-31</t>
  </si>
  <si>
    <t xml:space="preserve">Ferrite Mix 31</t>
  </si>
  <si>
    <t xml:space="preserve">FT-140-31</t>
  </si>
  <si>
    <t xml:space="preserve">FT-240-31</t>
  </si>
  <si>
    <t xml:space="preserve">FT-114-52</t>
  </si>
  <si>
    <t xml:space="preserve">Ferrite Mix 52</t>
  </si>
  <si>
    <t xml:space="preserve">FT-140-52</t>
  </si>
  <si>
    <t xml:space="preserve">FT-240-52</t>
  </si>
  <si>
    <t xml:space="preserve">FT-114-61</t>
  </si>
  <si>
    <t xml:space="preserve">Ferrite Mix 61</t>
  </si>
  <si>
    <t xml:space="preserve">FT-140-61</t>
  </si>
  <si>
    <t xml:space="preserve">FT-240-61</t>
  </si>
  <si>
    <t xml:space="preserve">T-130-2</t>
  </si>
  <si>
    <t xml:space="preserve">Iron Powder Mix 2</t>
  </si>
  <si>
    <t xml:space="preserve">T-200-2</t>
  </si>
  <si>
    <t xml:space="preserve">T-130-6</t>
  </si>
  <si>
    <t xml:space="preserve">Iron Powder Mix 6</t>
  </si>
  <si>
    <t xml:space="preserve">T-200-6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</si>
</sst>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000"/>
    <numFmt numFmtId="167" formatCode="0.00"/>
    <numFmt numFmtId="168" formatCode="0"/>
    <numFmt numFmtId="169" formatCode="0.0"/>
    <numFmt numFmtId="170" formatCode="#,##0"/>
    <numFmt numFmtId="171" formatCode="@"/>
    <numFmt numFmtId="172" formatCode="#,##0.0"/>
    <numFmt numFmtId="173" formatCode="0.0#"/>
    <numFmt numFmtId="174" formatCode="#.00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843C0C"/>
      <name val="Arial"/>
      <family val="0"/>
      <charset val="1"/>
    </font>
    <font>
      <sz val="10"/>
      <color rgb="FF0000C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43C0C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7B3800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CC"/>
      <name val="Arial"/>
      <family val="0"/>
      <charset val="1"/>
    </font>
    <font>
      <sz val="11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006400"/>
      <name val="Cambria"/>
      <family val="0"/>
      <charset val="1"/>
    </font>
    <font>
      <sz val="8"/>
      <color rgb="FF88888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00000"/>
      <name val="Cambria"/>
      <family val="0"/>
      <charset val="1"/>
    </font>
  </fonts>
  <fills count="42">
    <fill>
      <patternFill patternType="none"/>
    </fill>
    <fill>
      <patternFill patternType="gray125"/>
    </fill>
    <fill>
      <patternFill patternType="solid">
        <fgColor rgb="FF1B3662"/>
        <bgColor rgb="FF1F4E78"/>
      </patternFill>
    </fill>
    <fill>
      <patternFill patternType="solid">
        <fgColor rgb="FF2E75B6"/>
        <bgColor rgb="FF2F75B5"/>
      </patternFill>
    </fill>
    <fill>
      <patternFill patternType="solid">
        <fgColor rgb="FFED7D31"/>
        <bgColor rgb="FFFFAA95"/>
      </patternFill>
    </fill>
    <fill>
      <patternFill patternType="solid">
        <fgColor rgb="FFFFF2CC"/>
        <bgColor rgb="FFFFF9C4"/>
      </patternFill>
    </fill>
    <fill>
      <patternFill patternType="solid">
        <fgColor rgb="FF375623"/>
        <bgColor rgb="FF37474F"/>
      </patternFill>
    </fill>
    <fill>
      <patternFill patternType="solid">
        <fgColor rgb="FFFCE4D6"/>
        <bgColor rgb="FFFFDDDD"/>
      </patternFill>
    </fill>
    <fill>
      <patternFill patternType="solid">
        <fgColor rgb="FF4472C4"/>
        <bgColor rgb="FF2F75B5"/>
      </patternFill>
    </fill>
    <fill>
      <patternFill patternType="solid">
        <fgColor rgb="FFF2F7FF"/>
        <bgColor rgb="FFF5F5F5"/>
      </patternFill>
    </fill>
    <fill>
      <patternFill patternType="solid">
        <fgColor rgb="FFEBF3FF"/>
        <bgColor rgb="FFF2F7FF"/>
      </patternFill>
    </fill>
    <fill>
      <patternFill patternType="solid">
        <fgColor rgb="FFC6EFCE"/>
        <bgColor rgb="FFD9F7D9"/>
      </patternFill>
    </fill>
    <fill>
      <patternFill patternType="solid">
        <fgColor rgb="FFFFFFFF"/>
        <bgColor rgb="FFFAFAFA"/>
      </patternFill>
    </fill>
    <fill>
      <patternFill patternType="solid">
        <fgColor rgb="FFFFC7CE"/>
        <bgColor rgb="FFFFCCCC"/>
      </patternFill>
    </fill>
    <fill>
      <patternFill patternType="solid">
        <fgColor rgb="FFD9D9D9"/>
        <bgColor rgb="FFD6E4F0"/>
      </patternFill>
    </fill>
    <fill>
      <patternFill patternType="solid">
        <fgColor rgb="FFE2EFDA"/>
        <bgColor rgb="FFEBF5D3"/>
      </patternFill>
    </fill>
    <fill>
      <patternFill patternType="solid">
        <fgColor rgb="FF7030A0"/>
        <bgColor rgb="FF555555"/>
      </patternFill>
    </fill>
    <fill>
      <patternFill patternType="solid">
        <fgColor rgb="FFEAD1F5"/>
        <bgColor rgb="FFD9D9D9"/>
      </patternFill>
    </fill>
    <fill>
      <patternFill patternType="solid">
        <fgColor rgb="FF2A6099"/>
        <bgColor rgb="FF1F4E79"/>
      </patternFill>
    </fill>
    <fill>
      <patternFill patternType="solid">
        <fgColor rgb="FF37474F"/>
        <bgColor rgb="FF404040"/>
      </patternFill>
    </fill>
    <fill>
      <patternFill patternType="solid">
        <fgColor rgb="FFE8F5E9"/>
        <bgColor rgb="FFEBF5D3"/>
      </patternFill>
    </fill>
    <fill>
      <patternFill patternType="solid">
        <fgColor rgb="FFFFF9C4"/>
        <bgColor rgb="FFFFFACD"/>
      </patternFill>
    </fill>
    <fill>
      <patternFill patternType="solid">
        <fgColor rgb="FFFAFAFA"/>
        <bgColor rgb="FFFFFFFF"/>
      </patternFill>
    </fill>
    <fill>
      <patternFill patternType="solid">
        <fgColor rgb="FF5983B1"/>
        <bgColor rgb="FF4F81BD"/>
      </patternFill>
    </fill>
    <fill>
      <patternFill patternType="solid">
        <fgColor rgb="FFFFDBB6"/>
        <bgColor rgb="FFFCE4D6"/>
      </patternFill>
    </fill>
    <fill>
      <patternFill patternType="solid">
        <fgColor rgb="FF888888"/>
        <bgColor rgb="FF5983B1"/>
      </patternFill>
    </fill>
    <fill>
      <patternFill patternType="solid">
        <fgColor rgb="FF00B050"/>
        <bgColor rgb="FF2E75B6"/>
      </patternFill>
    </fill>
    <fill>
      <patternFill patternType="solid">
        <fgColor rgb="FF92D050"/>
        <bgColor rgb="FFBEBEBE"/>
      </patternFill>
    </fill>
    <fill>
      <patternFill patternType="solid">
        <fgColor rgb="FFFFEB9C"/>
        <bgColor rgb="FFFFE699"/>
      </patternFill>
    </fill>
    <fill>
      <patternFill patternType="solid">
        <fgColor rgb="FFFFCCCC"/>
        <bgColor rgb="FFFFC7CE"/>
      </patternFill>
    </fill>
    <fill>
      <patternFill patternType="solid">
        <fgColor rgb="FF1F4E79"/>
        <bgColor rgb="FF1F4E78"/>
      </patternFill>
    </fill>
    <fill>
      <patternFill patternType="solid">
        <fgColor rgb="FFBDD7EE"/>
        <bgColor rgb="FFD9D9D9"/>
      </patternFill>
    </fill>
    <fill>
      <patternFill patternType="solid">
        <fgColor rgb="FF404040"/>
        <bgColor rgb="FF37474F"/>
      </patternFill>
    </fill>
    <fill>
      <patternFill patternType="solid">
        <fgColor rgb="FF833C00"/>
        <bgColor rgb="FF843C0C"/>
      </patternFill>
    </fill>
    <fill>
      <patternFill patternType="solid">
        <fgColor rgb="FFFFE699"/>
        <bgColor rgb="FFFFEB9C"/>
      </patternFill>
    </fill>
    <fill>
      <patternFill patternType="solid">
        <fgColor rgb="FFFFFACD"/>
        <bgColor rgb="FFFFF9C4"/>
      </patternFill>
    </fill>
    <fill>
      <patternFill patternType="solid">
        <fgColor rgb="FFF5F5F5"/>
        <bgColor rgb="FFF2F7FF"/>
      </patternFill>
    </fill>
    <fill>
      <patternFill patternType="solid">
        <fgColor rgb="FFFFAA95"/>
        <bgColor rgb="FFFFC7CE"/>
      </patternFill>
    </fill>
    <fill>
      <patternFill patternType="solid">
        <fgColor rgb="FFD6E4F0"/>
        <bgColor rgb="FFD9D9D9"/>
      </patternFill>
    </fill>
    <fill>
      <patternFill patternType="solid">
        <fgColor rgb="FF1F4E78"/>
        <bgColor rgb="FF1F4E79"/>
      </patternFill>
    </fill>
    <fill>
      <patternFill patternType="solid">
        <fgColor rgb="FF2F75B5"/>
        <bgColor rgb="FF2E75B6"/>
      </patternFill>
    </fill>
    <fill>
      <patternFill patternType="solid">
        <fgColor rgb="FF4F81BD"/>
        <bgColor rgb="FF5983B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>
        <color rgb="FF1B3662"/>
      </left>
      <right style="medium">
        <color rgb="FF1B3662"/>
      </right>
      <top style="medium">
        <color rgb="FF1B3662"/>
      </top>
      <bottom style="medium">
        <color rgb="FF1B366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1B3662"/>
      </left>
      <right style="medium">
        <color rgb="FF1B3662"/>
      </right>
      <top style="medium">
        <color rgb="FF1B3662"/>
      </top>
      <bottom style="medium">
        <color rgb="FF1B3662"/>
      </bottom>
      <diagonal/>
    </border>
    <border diagonalUp="false" diagonalDown="false">
      <left style="thin">
        <color rgb="FFBEBEBE"/>
      </left>
      <right style="thin">
        <color rgb="FFBEBEBE"/>
      </right>
      <top style="thin">
        <color rgb="FFBEBEBE"/>
      </top>
      <bottom style="thin">
        <color rgb="FFBEBE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1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2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3" fillId="2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1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3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3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6" fillId="3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3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3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6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true" indent="0" shrinkToFit="false"/>
      <protection locked="true" hidden="false"/>
    </xf>
    <xf numFmtId="164" fontId="2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3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3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3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3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3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4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2" fillId="5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15" borderId="5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74" fontId="0" fillId="15" borderId="5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3" fillId="7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8" fillId="4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D9F7D9"/>
        </patternFill>
      </fill>
    </dxf>
    <dxf>
      <fill>
        <patternFill>
          <bgColor rgb="FFEBF5D3"/>
        </patternFill>
      </fill>
    </dxf>
    <dxf>
      <fill>
        <patternFill>
          <bgColor rgb="FFFFFBE6"/>
        </patternFill>
      </fill>
    </dxf>
    <dxf>
      <fill>
        <patternFill>
          <bgColor rgb="FFFFDDD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FFF2CC"/>
      <rgbColor rgb="FF0000FF"/>
      <rgbColor rgb="FFFFEB9C"/>
      <rgbColor rgb="FFFFDDDD"/>
      <rgbColor rgb="FFE2EFDA"/>
      <rgbColor rgb="FF9C0006"/>
      <rgbColor rgb="FF006200"/>
      <rgbColor rgb="FF1F4E78"/>
      <rgbColor rgb="FF555555"/>
      <rgbColor rgb="FFF5F5F5"/>
      <rgbColor rgb="FF2F75B5"/>
      <rgbColor rgb="FFC0C0C0"/>
      <rgbColor rgb="FF888888"/>
      <rgbColor rgb="FF4F81BD"/>
      <rgbColor rgb="FF7030A0"/>
      <rgbColor rgb="FFFFFACD"/>
      <rgbColor rgb="FFE8F5E9"/>
      <rgbColor rgb="FFFAFAFA"/>
      <rgbColor rgb="FFFFC7CE"/>
      <rgbColor rgb="FF2E75B6"/>
      <rgbColor rgb="FFBDD7EE"/>
      <rgbColor rgb="FFFFFBE6"/>
      <rgbColor rgb="FFFCE4D6"/>
      <rgbColor rgb="FFFFE699"/>
      <rgbColor rgb="FFEBF5D3"/>
      <rgbColor rgb="FFF2F7FF"/>
      <rgbColor rgb="FF7B3800"/>
      <rgbColor rgb="FF2A6099"/>
      <rgbColor rgb="FF0000CC"/>
      <rgbColor rgb="FFD6E4F0"/>
      <rgbColor rgb="FFEBF3FF"/>
      <rgbColor rgb="FFD9F7D9"/>
      <rgbColor rgb="FFFFF9C4"/>
      <rgbColor rgb="FFBEBEBE"/>
      <rgbColor rgb="FFFFAA95"/>
      <rgbColor rgb="FFEAD1F5"/>
      <rgbColor rgb="FFFFDBB6"/>
      <rgbColor rgb="FF4472C4"/>
      <rgbColor rgb="FFC6EFCE"/>
      <rgbColor rgb="FF92D050"/>
      <rgbColor rgb="FFFFCCCC"/>
      <rgbColor rgb="FFD9D9D9"/>
      <rgbColor rgb="FFED7D31"/>
      <rgbColor rgb="FF595959"/>
      <rgbColor rgb="FF5983B1"/>
      <rgbColor rgb="FF1B3662"/>
      <rgbColor rgb="FF00B050"/>
      <rgbColor rgb="FF37474F"/>
      <rgbColor rgb="FF375623"/>
      <rgbColor rgb="FF833C00"/>
      <rgbColor rgb="FF843C0C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externalLink" Target="externalLinks/externalLink1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VSWR by Band  (change wire length in cell C4)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Calculator!$A$1</c:f>
              <c:strCache>
                <c:ptCount val="1"/>
                <c:pt idx="0">
                  <c:v>📡  Long Wire Antenna  +  UnUn  —  Multi-Band Optimizer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'VSWR Calculator'!$A$13:$A$23</c:f>
              <c:strCache>
                <c:ptCount val="11"/>
                <c:pt idx="0">
                  <c:v>160m</c:v>
                </c:pt>
                <c:pt idx="1">
                  <c:v>80m</c:v>
                </c:pt>
                <c:pt idx="2">
                  <c:v>60m</c:v>
                </c:pt>
                <c:pt idx="3">
                  <c:v>40m</c:v>
                </c:pt>
                <c:pt idx="4">
                  <c:v>30m</c:v>
                </c:pt>
                <c:pt idx="5">
                  <c:v>20m</c:v>
                </c:pt>
                <c:pt idx="6">
                  <c:v>17m</c:v>
                </c:pt>
                <c:pt idx="7">
                  <c:v>15m</c:v>
                </c:pt>
                <c:pt idx="8">
                  <c:v>12m</c:v>
                </c:pt>
                <c:pt idx="9">
                  <c:v>10m</c:v>
                </c:pt>
                <c:pt idx="10">
                  <c:v>6m</c:v>
                </c:pt>
              </c:strCache>
            </c:strRef>
          </c:cat>
          <c:val>
            <c:numRef>
              <c:f>'VSWR Calculator'!$G$13:$G$23</c:f>
              <c:numCache>
                <c:formatCode>0.0</c:formatCode>
                <c:ptCount val="11"/>
                <c:pt idx="0">
                  <c:v>1.36869619061591</c:v>
                </c:pt>
                <c:pt idx="1">
                  <c:v>8.9203198591947</c:v>
                </c:pt>
                <c:pt idx="2">
                  <c:v>2.48634389957289</c:v>
                </c:pt>
                <c:pt idx="3">
                  <c:v>6.3286734738535</c:v>
                </c:pt>
                <c:pt idx="4">
                  <c:v>4.80494331871745</c:v>
                </c:pt>
                <c:pt idx="5">
                  <c:v>1.32845529751261</c:v>
                </c:pt>
                <c:pt idx="6">
                  <c:v>4.49802579603294</c:v>
                </c:pt>
                <c:pt idx="7">
                  <c:v>3.90379570400875</c:v>
                </c:pt>
                <c:pt idx="8">
                  <c:v>3.30469613037895</c:v>
                </c:pt>
                <c:pt idx="9">
                  <c:v>1.14059098015645</c:v>
                </c:pt>
                <c:pt idx="10">
                  <c:v>2.9292888285249</c:v>
                </c:pt>
              </c:numCache>
            </c:numRef>
          </c:val>
        </c:ser>
        <c:gapWidth val="100"/>
        <c:overlap val="0"/>
        <c:axId val="93428999"/>
        <c:axId val="12453070"/>
      </c:barChart>
      <c:catAx>
        <c:axId val="934289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453070"/>
        <c:crosses val="autoZero"/>
        <c:auto val="1"/>
        <c:lblAlgn val="ctr"/>
        <c:lblOffset val="100"/>
        <c:noMultiLvlLbl val="0"/>
      </c:catAx>
      <c:valAx>
        <c:axId val="12453070"/>
        <c:scaling>
          <c:orientation val="minMax"/>
          <c:max val="12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VSWR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428999"/>
        <c:crosses val="autoZero"/>
        <c:crossBetween val="between"/>
        <c:majorUnit val="1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257760</xdr:rowOff>
    </xdr:from>
    <xdr:to>
      <xdr:col>8</xdr:col>
      <xdr:colOff>2198160</xdr:colOff>
      <xdr:row>49</xdr:row>
      <xdr:rowOff>99000</xdr:rowOff>
    </xdr:to>
    <xdr:graphicFrame>
      <xdr:nvGraphicFramePr>
        <xdr:cNvPr id="1" name="Chart 1"/>
        <xdr:cNvGraphicFramePr/>
      </xdr:nvGraphicFramePr>
      <xdr:xfrm>
        <a:off x="0" y="6136560"/>
        <a:ext cx="7766640" cy="430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UnUn_Impedance_Calculator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nUn_Calculator"/>
      <sheetName val="Toroid_Database"/>
    </sheetNames>
    <sheetDataSet>
      <sheetData sheetId="0"/>
      <sheetData sheetId="1">
        <row r="1">
          <cell r="A1" t="str">
            <v>Core Name</v>
          </cell>
        </row>
        <row r="2">
          <cell r="A2" t="str">
            <v>FT-114-43</v>
          </cell>
        </row>
        <row r="3">
          <cell r="A3" t="str">
            <v>FT-140-43</v>
          </cell>
        </row>
        <row r="4">
          <cell r="A4" t="str">
            <v>FT-240-43</v>
          </cell>
        </row>
        <row r="5">
          <cell r="A5" t="str">
            <v>FT-114-31</v>
          </cell>
        </row>
        <row r="6">
          <cell r="A6" t="str">
            <v>FT-140-31</v>
          </cell>
        </row>
        <row r="7">
          <cell r="A7" t="str">
            <v>FT-240-31</v>
          </cell>
        </row>
        <row r="8">
          <cell r="A8" t="str">
            <v>FT-114-52</v>
          </cell>
        </row>
        <row r="9">
          <cell r="A9" t="str">
            <v>FT-140-52</v>
          </cell>
        </row>
        <row r="10">
          <cell r="A10" t="str">
            <v>FT-240-52</v>
          </cell>
        </row>
        <row r="11">
          <cell r="A11" t="str">
            <v>FT-114-61</v>
          </cell>
        </row>
        <row r="12">
          <cell r="A12" t="str">
            <v>FT-140-61</v>
          </cell>
        </row>
        <row r="13">
          <cell r="A13" t="str">
            <v>FT-240-61</v>
          </cell>
        </row>
        <row r="14">
          <cell r="A14" t="str">
            <v>T-130-2</v>
          </cell>
        </row>
        <row r="15">
          <cell r="A15" t="str">
            <v>T-200-2</v>
          </cell>
        </row>
        <row r="16">
          <cell r="A16" t="str">
            <v>T-130-6</v>
          </cell>
        </row>
        <row r="17">
          <cell r="A17" t="str">
            <v>T-200-6</v>
          </cell>
        </row>
        <row r="18">
          <cell r="A18" t="str">
            <v>Material</v>
          </cell>
        </row>
        <row r="19">
          <cell r="A19" t="str">
            <v>Ferrite Mix 43</v>
          </cell>
        </row>
        <row r="20">
          <cell r="A20" t="str">
            <v>Ferrite Mix 43</v>
          </cell>
        </row>
        <row r="21">
          <cell r="A21" t="str">
            <v>Ferrite Mix 43</v>
          </cell>
        </row>
        <row r="22">
          <cell r="A22" t="str">
            <v>Ferrite Mix 31</v>
          </cell>
        </row>
        <row r="23">
          <cell r="A23" t="str">
            <v>Ferrite Mix 31</v>
          </cell>
        </row>
        <row r="24">
          <cell r="A24" t="str">
            <v>Ferrite Mix 31</v>
          </cell>
        </row>
        <row r="25">
          <cell r="A25" t="str">
            <v>Ferrite Mix 52</v>
          </cell>
        </row>
        <row r="26">
          <cell r="A26" t="str">
            <v>Ferrite Mix 52</v>
          </cell>
        </row>
        <row r="27">
          <cell r="A27" t="str">
            <v>Ferrite Mix 52</v>
          </cell>
        </row>
        <row r="28">
          <cell r="A28" t="str">
            <v>Ferrite Mix 61</v>
          </cell>
        </row>
        <row r="29">
          <cell r="A29" t="str">
            <v>Ferrite Mix 61</v>
          </cell>
        </row>
        <row r="30">
          <cell r="A30" t="str">
            <v>Ferrite Mix 61</v>
          </cell>
        </row>
        <row r="31">
          <cell r="A31" t="str">
            <v>Iron Powder Mix 2</v>
          </cell>
        </row>
        <row r="32">
          <cell r="A32" t="str">
            <v>Iron Powder Mix 2</v>
          </cell>
        </row>
        <row r="33">
          <cell r="A33" t="str">
            <v>Iron Powder Mix 6</v>
          </cell>
        </row>
        <row r="34">
          <cell r="A34" t="str">
            <v>Iron Powder Mix 6</v>
          </cell>
        </row>
        <row r="35">
          <cell r="A35" t="str">
            <v>AL (nH/N²)</v>
          </cell>
        </row>
        <row r="36">
          <cell r="A36">
            <v>510</v>
          </cell>
        </row>
        <row r="37">
          <cell r="A37">
            <v>885</v>
          </cell>
        </row>
        <row r="38">
          <cell r="A38">
            <v>1075</v>
          </cell>
        </row>
        <row r="39">
          <cell r="A39">
            <v>800</v>
          </cell>
        </row>
        <row r="40">
          <cell r="A40">
            <v>1390</v>
          </cell>
        </row>
        <row r="41">
          <cell r="A41">
            <v>1800</v>
          </cell>
        </row>
        <row r="42">
          <cell r="A42">
            <v>175</v>
          </cell>
        </row>
        <row r="43">
          <cell r="A43">
            <v>225</v>
          </cell>
        </row>
        <row r="44">
          <cell r="A44">
            <v>300</v>
          </cell>
        </row>
        <row r="45">
          <cell r="A45">
            <v>79.3</v>
          </cell>
        </row>
        <row r="46">
          <cell r="A46">
            <v>140</v>
          </cell>
        </row>
        <row r="47">
          <cell r="A47">
            <v>170</v>
          </cell>
        </row>
        <row r="48">
          <cell r="A48">
            <v>11</v>
          </cell>
        </row>
        <row r="49">
          <cell r="A49">
            <v>12</v>
          </cell>
        </row>
        <row r="50">
          <cell r="A50">
            <v>9.6</v>
          </cell>
        </row>
        <row r="51">
          <cell r="A51">
            <v>11.6</v>
          </cell>
        </row>
        <row r="52">
          <cell r="A52" t="str">
            <v>OD (mm)</v>
          </cell>
        </row>
        <row r="53">
          <cell r="A53">
            <v>29</v>
          </cell>
        </row>
        <row r="54">
          <cell r="A54">
            <v>35.6</v>
          </cell>
        </row>
        <row r="55">
          <cell r="A55">
            <v>61</v>
          </cell>
        </row>
        <row r="56">
          <cell r="A56">
            <v>29</v>
          </cell>
        </row>
        <row r="57">
          <cell r="A57">
            <v>35.6</v>
          </cell>
        </row>
        <row r="58">
          <cell r="A58">
            <v>61</v>
          </cell>
        </row>
        <row r="59">
          <cell r="A59">
            <v>29</v>
          </cell>
        </row>
        <row r="60">
          <cell r="A60">
            <v>35.6</v>
          </cell>
        </row>
        <row r="61">
          <cell r="A61">
            <v>61</v>
          </cell>
        </row>
        <row r="62">
          <cell r="A62">
            <v>29</v>
          </cell>
        </row>
        <row r="63">
          <cell r="A63">
            <v>35.6</v>
          </cell>
        </row>
        <row r="64">
          <cell r="A64">
            <v>61</v>
          </cell>
        </row>
        <row r="65">
          <cell r="A65">
            <v>33</v>
          </cell>
        </row>
        <row r="66">
          <cell r="A66">
            <v>50.8</v>
          </cell>
        </row>
        <row r="67">
          <cell r="A67">
            <v>33</v>
          </cell>
        </row>
        <row r="68">
          <cell r="A68">
            <v>50.8</v>
          </cell>
        </row>
        <row r="69">
          <cell r="A69" t="str">
            <v>ID (mm)</v>
          </cell>
        </row>
        <row r="70">
          <cell r="A70">
            <v>19</v>
          </cell>
        </row>
        <row r="71">
          <cell r="A71">
            <v>22.9</v>
          </cell>
        </row>
        <row r="72">
          <cell r="A72">
            <v>35.6</v>
          </cell>
        </row>
        <row r="73">
          <cell r="A73">
            <v>19</v>
          </cell>
        </row>
        <row r="74">
          <cell r="A74">
            <v>22.9</v>
          </cell>
        </row>
        <row r="75">
          <cell r="A75">
            <v>35.6</v>
          </cell>
        </row>
        <row r="76">
          <cell r="A76">
            <v>19</v>
          </cell>
        </row>
        <row r="77">
          <cell r="A77">
            <v>22.9</v>
          </cell>
        </row>
        <row r="78">
          <cell r="A78">
            <v>35.6</v>
          </cell>
        </row>
        <row r="79">
          <cell r="A79">
            <v>19</v>
          </cell>
        </row>
        <row r="80">
          <cell r="A80">
            <v>22.9</v>
          </cell>
        </row>
        <row r="81">
          <cell r="A81">
            <v>35.6</v>
          </cell>
        </row>
        <row r="82">
          <cell r="A82">
            <v>19.8</v>
          </cell>
        </row>
        <row r="83">
          <cell r="A83">
            <v>31.8</v>
          </cell>
        </row>
        <row r="84">
          <cell r="A84">
            <v>19.8</v>
          </cell>
        </row>
        <row r="85">
          <cell r="A85">
            <v>31.8</v>
          </cell>
        </row>
        <row r="86">
          <cell r="A86" t="str">
            <v>Height (mm)</v>
          </cell>
        </row>
        <row r="87">
          <cell r="A87">
            <v>7.5</v>
          </cell>
        </row>
        <row r="88">
          <cell r="A88">
            <v>12.7</v>
          </cell>
        </row>
        <row r="89">
          <cell r="A89">
            <v>12.7</v>
          </cell>
        </row>
        <row r="90">
          <cell r="A90">
            <v>7.5</v>
          </cell>
        </row>
        <row r="91">
          <cell r="A91">
            <v>12.7</v>
          </cell>
        </row>
        <row r="92">
          <cell r="A92">
            <v>12.7</v>
          </cell>
        </row>
        <row r="93">
          <cell r="A93">
            <v>7.5</v>
          </cell>
        </row>
        <row r="94">
          <cell r="A94">
            <v>12.7</v>
          </cell>
        </row>
        <row r="95">
          <cell r="A95">
            <v>12.7</v>
          </cell>
        </row>
        <row r="96">
          <cell r="A96">
            <v>7.5</v>
          </cell>
        </row>
        <row r="97">
          <cell r="A97">
            <v>12.7</v>
          </cell>
        </row>
        <row r="98">
          <cell r="A98">
            <v>12.7</v>
          </cell>
        </row>
        <row r="99">
          <cell r="A99">
            <v>11.1</v>
          </cell>
        </row>
        <row r="100">
          <cell r="A100">
            <v>14</v>
          </cell>
        </row>
        <row r="101">
          <cell r="A101">
            <v>11.1</v>
          </cell>
        </row>
        <row r="102">
          <cell r="A102">
            <v>14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0" ySplit="2" topLeftCell="A10" activePane="bottomLeft" state="frozen"/>
      <selection pane="topLeft" activeCell="A1" activeCellId="0" sqref="A1"/>
      <selection pane="bottomLeft" activeCell="E42" activeCellId="0" sqref="E4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7" min="6" style="1" width="15"/>
    <col collapsed="false" customWidth="true" hidden="false" outlineLevel="0" max="8" min="8" style="1" width="22.12"/>
    <col collapsed="false" customWidth="true" hidden="false" outlineLevel="0" max="9" min="9" style="1" width="20.4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21.6" hidden="false" customHeight="true" outlineLevel="0" collapsed="false">
      <c r="A5" s="5" t="s">
        <v>3</v>
      </c>
      <c r="B5" s="5"/>
      <c r="C5" s="5"/>
      <c r="D5" s="6" t="n">
        <v>0.95</v>
      </c>
      <c r="E5" s="7" t="s">
        <v>4</v>
      </c>
      <c r="F5" s="7"/>
      <c r="G5" s="7"/>
      <c r="H5" s="7"/>
    </row>
    <row r="6" customFormat="false" ht="21.6" hidden="false" customHeight="true" outlineLevel="0" collapsed="false">
      <c r="A6" s="5" t="s">
        <v>5</v>
      </c>
      <c r="B6" s="5"/>
      <c r="C6" s="5"/>
      <c r="D6" s="8" t="s">
        <v>6</v>
      </c>
      <c r="E6" s="8"/>
      <c r="F6" s="8"/>
      <c r="G6" s="8"/>
      <c r="H6" s="8"/>
    </row>
    <row r="8" customFormat="false" ht="15" hidden="false" customHeight="true" outlineLevel="0" collapsed="false">
      <c r="A8" s="9" t="s">
        <v>7</v>
      </c>
      <c r="B8" s="9"/>
      <c r="C8" s="9"/>
      <c r="D8" s="9"/>
      <c r="E8" s="9"/>
      <c r="F8" s="9"/>
      <c r="G8" s="9"/>
      <c r="H8" s="9"/>
    </row>
    <row r="9" customFormat="false" ht="21.6" hidden="false" customHeight="true" outlineLevel="0" collapsed="false">
      <c r="A9" s="10" t="s">
        <v>8</v>
      </c>
      <c r="B9" s="10"/>
      <c r="C9" s="10"/>
      <c r="D9" s="10"/>
      <c r="E9" s="10"/>
      <c r="F9" s="10"/>
      <c r="G9" s="10"/>
      <c r="H9" s="10"/>
    </row>
    <row r="10" customFormat="false" ht="23.85" hidden="false" customHeight="false" outlineLevel="0" collapsed="false">
      <c r="A10" s="11" t="s">
        <v>9</v>
      </c>
      <c r="B10" s="11" t="s">
        <v>10</v>
      </c>
      <c r="C10" s="11" t="s">
        <v>11</v>
      </c>
      <c r="D10" s="11" t="s">
        <v>12</v>
      </c>
      <c r="E10" s="11" t="s">
        <v>13</v>
      </c>
      <c r="F10" s="11" t="s">
        <v>14</v>
      </c>
      <c r="G10" s="11" t="s">
        <v>15</v>
      </c>
      <c r="H10" s="11" t="s">
        <v>16</v>
      </c>
    </row>
    <row r="11" customFormat="false" ht="15" hidden="false" customHeight="false" outlineLevel="0" collapsed="false">
      <c r="A11" s="12" t="s">
        <v>17</v>
      </c>
      <c r="B11" s="13" t="n">
        <v>1.8</v>
      </c>
      <c r="C11" s="13" t="n">
        <v>2</v>
      </c>
      <c r="D11" s="14" t="n">
        <f aca="false">(B11+C11)/2</f>
        <v>1.9</v>
      </c>
      <c r="E11" s="15" t="s">
        <v>18</v>
      </c>
      <c r="F11" s="16" t="n">
        <f aca="false">$D$5*150/D11</f>
        <v>75</v>
      </c>
      <c r="G11" s="16" t="n">
        <f aca="false">F11/2</f>
        <v>37.5</v>
      </c>
      <c r="H11" s="16" t="n">
        <f aca="false">$D$5*75/D11</f>
        <v>37.5</v>
      </c>
    </row>
    <row r="12" customFormat="false" ht="15" hidden="false" customHeight="false" outlineLevel="0" collapsed="false">
      <c r="A12" s="17" t="s">
        <v>19</v>
      </c>
      <c r="B12" s="13" t="n">
        <v>3.5</v>
      </c>
      <c r="C12" s="13" t="n">
        <v>3.8</v>
      </c>
      <c r="D12" s="18" t="n">
        <f aca="false">(B12+C12)/2</f>
        <v>3.65</v>
      </c>
      <c r="E12" s="15" t="s">
        <v>18</v>
      </c>
      <c r="F12" s="19" t="n">
        <f aca="false">$D$5*150/D12</f>
        <v>39.041095890411</v>
      </c>
      <c r="G12" s="19" t="n">
        <f aca="false">F12/2</f>
        <v>19.5205479452055</v>
      </c>
      <c r="H12" s="19" t="n">
        <f aca="false">$D$5*75/D12</f>
        <v>19.5205479452055</v>
      </c>
    </row>
    <row r="13" customFormat="false" ht="15" hidden="false" customHeight="false" outlineLevel="0" collapsed="false">
      <c r="A13" s="12" t="s">
        <v>20</v>
      </c>
      <c r="B13" s="13" t="n">
        <v>5.3515</v>
      </c>
      <c r="C13" s="13" t="n">
        <v>5.3665</v>
      </c>
      <c r="D13" s="14" t="n">
        <f aca="false">(B13+C13)/2</f>
        <v>5.359</v>
      </c>
      <c r="E13" s="20" t="s">
        <v>18</v>
      </c>
      <c r="F13" s="16" t="n">
        <f aca="false">$D$5*150/D13</f>
        <v>26.5907818622877</v>
      </c>
      <c r="G13" s="16" t="n">
        <f aca="false">F13/2</f>
        <v>13.2953909311439</v>
      </c>
      <c r="H13" s="16" t="n">
        <f aca="false">$D$5*75/D13</f>
        <v>13.2953909311439</v>
      </c>
    </row>
    <row r="14" customFormat="false" ht="15" hidden="false" customHeight="false" outlineLevel="0" collapsed="false">
      <c r="A14" s="17" t="s">
        <v>21</v>
      </c>
      <c r="B14" s="13" t="n">
        <v>7</v>
      </c>
      <c r="C14" s="13" t="n">
        <v>7.3</v>
      </c>
      <c r="D14" s="18" t="n">
        <f aca="false">(B14+C14)/2</f>
        <v>7.15</v>
      </c>
      <c r="E14" s="15" t="s">
        <v>18</v>
      </c>
      <c r="F14" s="19" t="n">
        <f aca="false">$D$5*150/D14</f>
        <v>19.9300699300699</v>
      </c>
      <c r="G14" s="19" t="n">
        <f aca="false">F14/2</f>
        <v>9.96503496503497</v>
      </c>
      <c r="H14" s="19" t="n">
        <f aca="false">$D$5*75/D14</f>
        <v>9.96503496503497</v>
      </c>
    </row>
    <row r="15" customFormat="false" ht="15" hidden="false" customHeight="false" outlineLevel="0" collapsed="false">
      <c r="A15" s="12" t="s">
        <v>22</v>
      </c>
      <c r="B15" s="13" t="n">
        <v>10.1</v>
      </c>
      <c r="C15" s="13" t="n">
        <v>10.15</v>
      </c>
      <c r="D15" s="14" t="n">
        <f aca="false">(B15+C15)/2</f>
        <v>10.125</v>
      </c>
      <c r="E15" s="15" t="s">
        <v>18</v>
      </c>
      <c r="F15" s="16" t="n">
        <f aca="false">$D$5*150/D15</f>
        <v>14.0740740740741</v>
      </c>
      <c r="G15" s="16" t="n">
        <f aca="false">F15/2</f>
        <v>7.03703703703704</v>
      </c>
      <c r="H15" s="16" t="n">
        <f aca="false">$D$5*75/D15</f>
        <v>7.03703703703704</v>
      </c>
    </row>
    <row r="16" customFormat="false" ht="15" hidden="false" customHeight="false" outlineLevel="0" collapsed="false">
      <c r="A16" s="17" t="s">
        <v>23</v>
      </c>
      <c r="B16" s="13" t="n">
        <v>14</v>
      </c>
      <c r="C16" s="13" t="n">
        <v>14.35</v>
      </c>
      <c r="D16" s="18" t="n">
        <f aca="false">(B16+C16)/2</f>
        <v>14.175</v>
      </c>
      <c r="E16" s="15" t="s">
        <v>18</v>
      </c>
      <c r="F16" s="19" t="n">
        <f aca="false">$D$5*150/D16</f>
        <v>10.0529100529101</v>
      </c>
      <c r="G16" s="19" t="n">
        <f aca="false">F16/2</f>
        <v>5.02645502645503</v>
      </c>
      <c r="H16" s="19" t="n">
        <f aca="false">$D$5*75/D16</f>
        <v>5.02645502645503</v>
      </c>
    </row>
    <row r="17" customFormat="false" ht="15" hidden="false" customHeight="false" outlineLevel="0" collapsed="false">
      <c r="A17" s="12" t="s">
        <v>24</v>
      </c>
      <c r="B17" s="13" t="n">
        <v>18.068</v>
      </c>
      <c r="C17" s="13" t="n">
        <v>18.168</v>
      </c>
      <c r="D17" s="14" t="n">
        <f aca="false">(B17+C17)/2</f>
        <v>18.118</v>
      </c>
      <c r="E17" s="20" t="s">
        <v>18</v>
      </c>
      <c r="F17" s="16" t="n">
        <f aca="false">$D$5*150/D17</f>
        <v>7.86510652389888</v>
      </c>
      <c r="G17" s="16" t="n">
        <f aca="false">F17/2</f>
        <v>3.93255326194944</v>
      </c>
      <c r="H17" s="16" t="n">
        <f aca="false">$D$5*75/D17</f>
        <v>3.93255326194944</v>
      </c>
    </row>
    <row r="18" customFormat="false" ht="15" hidden="false" customHeight="false" outlineLevel="0" collapsed="false">
      <c r="A18" s="17" t="s">
        <v>25</v>
      </c>
      <c r="B18" s="13" t="n">
        <v>21</v>
      </c>
      <c r="C18" s="13" t="n">
        <v>21.45</v>
      </c>
      <c r="D18" s="18" t="n">
        <f aca="false">(B18+C18)/2</f>
        <v>21.225</v>
      </c>
      <c r="E18" s="15" t="s">
        <v>18</v>
      </c>
      <c r="F18" s="19" t="n">
        <f aca="false">$D$5*150/D18</f>
        <v>6.71378091872792</v>
      </c>
      <c r="G18" s="19" t="n">
        <f aca="false">F18/2</f>
        <v>3.35689045936396</v>
      </c>
      <c r="H18" s="19" t="n">
        <f aca="false">$D$5*75/D18</f>
        <v>3.35689045936396</v>
      </c>
    </row>
    <row r="19" customFormat="false" ht="15" hidden="false" customHeight="false" outlineLevel="0" collapsed="false">
      <c r="A19" s="12" t="s">
        <v>26</v>
      </c>
      <c r="B19" s="13" t="n">
        <v>24.89</v>
      </c>
      <c r="C19" s="13" t="n">
        <v>24.99</v>
      </c>
      <c r="D19" s="14" t="n">
        <f aca="false">(B19+C19)/2</f>
        <v>24.94</v>
      </c>
      <c r="E19" s="20" t="s">
        <v>18</v>
      </c>
      <c r="F19" s="16" t="n">
        <f aca="false">$D$5*150/D19</f>
        <v>5.71371291098637</v>
      </c>
      <c r="G19" s="16" t="n">
        <f aca="false">F19/2</f>
        <v>2.85685645549318</v>
      </c>
      <c r="H19" s="16" t="n">
        <f aca="false">$D$5*75/D19</f>
        <v>2.85685645549318</v>
      </c>
    </row>
    <row r="20" customFormat="false" ht="15" hidden="false" customHeight="false" outlineLevel="0" collapsed="false">
      <c r="A20" s="17" t="s">
        <v>27</v>
      </c>
      <c r="B20" s="13" t="n">
        <v>28</v>
      </c>
      <c r="C20" s="13" t="n">
        <v>29.7</v>
      </c>
      <c r="D20" s="18" t="n">
        <f aca="false">(B20+C20)/2</f>
        <v>28.85</v>
      </c>
      <c r="E20" s="15" t="s">
        <v>18</v>
      </c>
      <c r="F20" s="19" t="n">
        <f aca="false">$D$5*150/D20</f>
        <v>4.93934142114385</v>
      </c>
      <c r="G20" s="19" t="n">
        <f aca="false">F20/2</f>
        <v>2.46967071057192</v>
      </c>
      <c r="H20" s="19" t="n">
        <f aca="false">$D$5*75/D20</f>
        <v>2.46967071057192</v>
      </c>
    </row>
    <row r="21" customFormat="false" ht="15" hidden="false" customHeight="false" outlineLevel="0" collapsed="false">
      <c r="A21" s="12" t="s">
        <v>28</v>
      </c>
      <c r="B21" s="13" t="n">
        <v>50</v>
      </c>
      <c r="C21" s="13" t="n">
        <v>54</v>
      </c>
      <c r="D21" s="14" t="n">
        <f aca="false">(B21+C21)/2</f>
        <v>52</v>
      </c>
      <c r="E21" s="20" t="s">
        <v>18</v>
      </c>
      <c r="F21" s="16" t="n">
        <f aca="false">$D$5*150/D21</f>
        <v>2.74038461538462</v>
      </c>
      <c r="G21" s="16" t="n">
        <f aca="false">F21/2</f>
        <v>1.37019230769231</v>
      </c>
      <c r="H21" s="16" t="n">
        <f aca="false">$D$5*75/D21</f>
        <v>1.37019230769231</v>
      </c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21.6" hidden="false" customHeight="true" outlineLevel="0" collapsed="false">
      <c r="A23" s="22" t="s">
        <v>29</v>
      </c>
      <c r="B23" s="22"/>
      <c r="C23" s="23" t="n">
        <f aca="false">COUNTIF(E11:E21,"YES")</f>
        <v>11</v>
      </c>
      <c r="D23" s="22" t="s">
        <v>30</v>
      </c>
      <c r="E23" s="22"/>
      <c r="F23" s="24" t="n">
        <f aca="false">IF(COUNTIF(E11:E21,"YES")=0,"N/A",SUMPRODUCT(MAX((E11:E21="YES")*H11:H21)))</f>
        <v>37.5</v>
      </c>
      <c r="G23" s="7" t="s">
        <v>31</v>
      </c>
      <c r="H23" s="7"/>
    </row>
    <row r="25" customFormat="false" ht="15" hidden="false" customHeight="true" outlineLevel="0" collapsed="false">
      <c r="A25" s="25" t="s">
        <v>32</v>
      </c>
      <c r="B25" s="25"/>
      <c r="C25" s="25"/>
      <c r="D25" s="25"/>
      <c r="E25" s="25"/>
      <c r="F25" s="25"/>
      <c r="G25" s="25"/>
      <c r="H25" s="25"/>
    </row>
    <row r="26" customFormat="false" ht="21.6" hidden="false" customHeight="true" outlineLevel="0" collapsed="false">
      <c r="A26" s="5" t="s">
        <v>33</v>
      </c>
      <c r="B26" s="5"/>
      <c r="C26" s="5"/>
      <c r="D26" s="26" t="n">
        <f aca="false">IF(COUNTIF(E11:E21,"YES")=0,"N/A",SUMPRODUCT(MAX((E11:E21="YES")*H11:H21)))</f>
        <v>37.5</v>
      </c>
      <c r="E26" s="27" t="s">
        <v>34</v>
      </c>
      <c r="F26" s="27"/>
      <c r="G26" s="27"/>
      <c r="H26" s="27"/>
    </row>
    <row r="28" customFormat="false" ht="15" hidden="false" customHeight="true" outlineLevel="0" collapsed="false">
      <c r="A28" s="28" t="s">
        <v>35</v>
      </c>
      <c r="B28" s="28"/>
      <c r="C28" s="28"/>
      <c r="D28" s="28"/>
      <c r="E28" s="28"/>
      <c r="F28" s="28"/>
      <c r="G28" s="28"/>
      <c r="H28" s="28"/>
      <c r="I28" s="29"/>
    </row>
    <row r="29" customFormat="false" ht="57.45" hidden="false" customHeight="false" outlineLevel="0" collapsed="false">
      <c r="A29" s="30" t="s">
        <v>36</v>
      </c>
      <c r="B29" s="30" t="s">
        <v>37</v>
      </c>
      <c r="C29" s="30" t="s">
        <v>38</v>
      </c>
      <c r="D29" s="30" t="s">
        <v>39</v>
      </c>
      <c r="E29" s="30" t="s">
        <v>40</v>
      </c>
      <c r="F29" s="30" t="s">
        <v>41</v>
      </c>
      <c r="G29" s="30" t="s">
        <v>42</v>
      </c>
      <c r="H29" s="30" t="s">
        <v>43</v>
      </c>
      <c r="I29" s="31" t="s">
        <v>44</v>
      </c>
    </row>
    <row r="30" customFormat="false" ht="22.35" hidden="false" customHeight="false" outlineLevel="0" collapsed="false">
      <c r="A30" s="32" t="s">
        <v>45</v>
      </c>
      <c r="B30" s="33" t="n">
        <f aca="false">IFERROR(INDEX('Length Sweep'!$A$5:$A$555,MATCH(1,'Length Sweep'!$N$5:$N$555,0)),"-")</f>
        <v>46.3</v>
      </c>
      <c r="C30" s="34" t="n">
        <f aca="false">IFERROR(B30*100,"-")</f>
        <v>4630</v>
      </c>
      <c r="D30" s="35" t="n">
        <f aca="false">IFERROR(LARGE('Length Sweep'!$M$5:$M$555,1),"-")</f>
        <v>0.103312280701752</v>
      </c>
      <c r="E30" s="32" t="str">
        <f aca="false">IF(ISNUMBER(D30),IF(D30&gt;=0.2,"★★★ EXCELLENT",IF(D30&gt;=0.12,"★★  GOOD",IF(D30&gt;=0.07,"★  FAIR",IF(D30&gt;=0.025,"⚠  MARGINAL","✗  AVOID")))),"—")</f>
        <v>★  FAIR</v>
      </c>
      <c r="F30" s="36" t="str">
        <f aca="false">IFERROR(TEXT(B30/SUMPRODUCT(MAX((Calculator!$E$11:$E$21="YES")*Calculator!$F$11:$F$21)),"0.00")&amp;" × λ/2 @lowest band","—")</f>
        <v>0,62 × λ/2 @lowest band</v>
      </c>
      <c r="G30" s="33" t="n">
        <f aca="false">IF(COUNTIF(E11:E21,"YES")=0,"N/A",SUMPRODUCT(MAX((E11:E21="YES")*H11:H21)))</f>
        <v>37.5</v>
      </c>
      <c r="H30" s="37" t="str">
        <f aca="false">IF(ISNUMBER(B30),IF(B30&lt;10,"Short – portable use only",IF(B30&lt;18,"Portable / SOTA",IF(B30&lt;30,"Good portable/home",IF(B30&lt;45,"Excellent home station","Long wire – max performance")))),"-")</f>
        <v>Long wire – max performance</v>
      </c>
      <c r="I30" s="38" t="str">
        <f aca="false">IFERROR('UnUn Ratio Optimizer'!D106&amp;" (avg VSWR "&amp;TEXT('UnUn Ratio Optimizer'!E106,"0.00")&amp;")","—")</f>
        <v>10:1 (avg VSWR 4,13)</v>
      </c>
    </row>
    <row r="31" customFormat="false" ht="22.35" hidden="false" customHeight="false" outlineLevel="0" collapsed="false">
      <c r="A31" s="32" t="s">
        <v>46</v>
      </c>
      <c r="B31" s="33" t="n">
        <f aca="false">IFERROR(INDEX('Length Sweep'!$A$5:$A$555,MATCH(2,'Length Sweep'!$N$5:$N$555,0)),"-")</f>
        <v>46.2</v>
      </c>
      <c r="C31" s="34" t="n">
        <f aca="false">IFERROR(B31*100,"-")</f>
        <v>4620</v>
      </c>
      <c r="D31" s="35" t="n">
        <f aca="false">IFERROR(LARGE('Length Sweep'!$M$5:$M$555,2),"-")</f>
        <v>0.0858105263157878</v>
      </c>
      <c r="E31" s="32" t="str">
        <f aca="false">IF(ISNUMBER(D31),IF(D31&gt;=0.2,"★★★ EXCELLENT",IF(D31&gt;=0.12,"★★  GOOD",IF(D31&gt;=0.07,"★  FAIR",IF(D31&gt;=0.025,"⚠  MARGINAL","✗  AVOID")))),"—")</f>
        <v>★  FAIR</v>
      </c>
      <c r="F31" s="36" t="str">
        <f aca="false">IFERROR(TEXT(B31/SUMPRODUCT(MAX((Calculator!$E$11:$E$21="YES")*Calculator!$F$11:$F$21)),"0.00")&amp;" × λ/2 @lowest band","—")</f>
        <v>0,62 × λ/2 @lowest band</v>
      </c>
      <c r="G31" s="33" t="n">
        <f aca="false">IF(COUNTIF(E11:E21,"YES")=0,"N/A",SUMPRODUCT(MAX((E11:E21="YES")*H11:H21)))</f>
        <v>37.5</v>
      </c>
      <c r="H31" s="37" t="str">
        <f aca="false">IF(ISNUMBER(B31),IF(B31&lt;10,"Short – portable use only",IF(B31&lt;18,"Portable / SOTA",IF(B31&lt;30,"Good portable/home",IF(B31&lt;45,"Excellent home station","Long wire – max performance")))),"-")</f>
        <v>Long wire – max performance</v>
      </c>
      <c r="I31" s="38" t="str">
        <f aca="false">IFERROR('UnUn Ratio Optimizer'!D107&amp;" (avg VSWR "&amp;TEXT('UnUn Ratio Optimizer'!E107,"0.00")&amp;")","—")</f>
        <v>9:1★ (avg VSWR 3,90)</v>
      </c>
    </row>
    <row r="32" customFormat="false" ht="23.85" hidden="false" customHeight="false" outlineLevel="0" collapsed="false">
      <c r="A32" s="39" t="s">
        <v>47</v>
      </c>
      <c r="B32" s="40" t="n">
        <f aca="false">IFERROR(INDEX('Length Sweep'!$A$5:$A$555,MATCH(3,'Length Sweep'!$N$5:$N$555,0)),"-")</f>
        <v>44.1</v>
      </c>
      <c r="C32" s="41" t="n">
        <f aca="false">IFERROR(B32*100,"-")</f>
        <v>4410</v>
      </c>
      <c r="D32" s="42" t="n">
        <f aca="false">IFERROR(LARGE('Length Sweep'!$M$5:$M$555,3),"-")</f>
        <v>0.0685789473684215</v>
      </c>
      <c r="E32" s="39" t="str">
        <f aca="false">IF(ISNUMBER(D32),IF(D32&gt;=0.2,"★★★ EXCELLENT",IF(D32&gt;=0.12,"★★  GOOD",IF(D32&gt;=0.07,"★  FAIR",IF(D32&gt;=0.025,"⚠  MARGINAL","✗  AVOID")))),"—")</f>
        <v>⚠  MARGINAL</v>
      </c>
      <c r="F32" s="43" t="str">
        <f aca="false">IFERROR(TEXT(B32/SUMPRODUCT(MAX((Calculator!$E$11:$E$21="YES")*Calculator!$F$11:$F$21)),"0.00")&amp;" × λ/2 @lowest band","—")</f>
        <v>0,59 × λ/2 @lowest band</v>
      </c>
      <c r="G32" s="40" t="n">
        <f aca="false">IF(COUNTIF(E11:E21,"YES")=0,"N/A",SUMPRODUCT(MAX((E11:E21="YES")*H11:H21)))</f>
        <v>37.5</v>
      </c>
      <c r="H32" s="44" t="str">
        <f aca="false">IF(ISNUMBER(B32),IF(B32&lt;10,"Short – portable use only",IF(B32&lt;18,"Portable / SOTA",IF(B32&lt;30,"Good portable/home",IF(B32&lt;45,"Excellent home station","Long wire – max performance")))),"-")</f>
        <v>Excellent home station</v>
      </c>
      <c r="I32" s="38" t="str">
        <f aca="false">IFERROR('UnUn Ratio Optimizer'!D108&amp;" (avg VSWR "&amp;TEXT('UnUn Ratio Optimizer'!E108,"0.00")&amp;")","—")</f>
        <v>8:1 (avg VSWR 4,82)</v>
      </c>
    </row>
    <row r="33" customFormat="false" ht="23.85" hidden="false" customHeight="false" outlineLevel="0" collapsed="false">
      <c r="A33" s="39" t="s">
        <v>48</v>
      </c>
      <c r="B33" s="40" t="n">
        <f aca="false">IFERROR(INDEX('Length Sweep'!$A$5:$A$555,MATCH(4,'Length Sweep'!$N$5:$N$555,0)),"-")</f>
        <v>46.1</v>
      </c>
      <c r="C33" s="41" t="n">
        <f aca="false">IFERROR(B33*100,"-")</f>
        <v>4610</v>
      </c>
      <c r="D33" s="42" t="n">
        <f aca="false">IFERROR(LARGE('Length Sweep'!$M$5:$M$555,4),"-")</f>
        <v>0.0683087719298232</v>
      </c>
      <c r="E33" s="39" t="str">
        <f aca="false">IF(ISNUMBER(D33),IF(D33&gt;=0.2,"★★★ EXCELLENT",IF(D33&gt;=0.12,"★★  GOOD",IF(D33&gt;=0.07,"★  FAIR",IF(D33&gt;=0.025,"⚠  MARGINAL","✗  AVOID")))),"—")</f>
        <v>⚠  MARGINAL</v>
      </c>
      <c r="F33" s="43" t="str">
        <f aca="false">IFERROR(TEXT(B33/SUMPRODUCT(MAX((Calculator!$E$11:$E$21="YES")*Calculator!$F$11:$F$21)),"0.00")&amp;" × λ/2 @lowest band","—")</f>
        <v>0,61 × λ/2 @lowest band</v>
      </c>
      <c r="G33" s="40" t="n">
        <f aca="false">IF(COUNTIF(E11:E21,"YES")=0,"N/A",SUMPRODUCT(MAX((E11:E21="YES")*H11:H21)))</f>
        <v>37.5</v>
      </c>
      <c r="H33" s="44" t="str">
        <f aca="false">IF(ISNUMBER(B33),IF(B33&lt;10,"Short – portable use only",IF(B33&lt;18,"Portable / SOTA",IF(B33&lt;30,"Good portable/home",IF(B33&lt;45,"Excellent home station","Long wire – max performance")))),"-")</f>
        <v>Long wire – max performance</v>
      </c>
      <c r="I33" s="38" t="str">
        <f aca="false">IFERROR('UnUn Ratio Optimizer'!D109&amp;" (avg VSWR "&amp;TEXT('UnUn Ratio Optimizer'!E109,"0.00")&amp;")","—")</f>
        <v>9:1★ (avg VSWR 3,69)</v>
      </c>
    </row>
    <row r="34" customFormat="false" ht="23.85" hidden="false" customHeight="false" outlineLevel="0" collapsed="false">
      <c r="A34" s="45" t="s">
        <v>49</v>
      </c>
      <c r="B34" s="46" t="n">
        <f aca="false">IFERROR(INDEX('Length Sweep'!$A$5:$A$555,MATCH(5,'Length Sweep'!$N$5:$N$555,0)),"-")</f>
        <v>46.4</v>
      </c>
      <c r="C34" s="47" t="n">
        <f aca="false">IFERROR(B34*100,"-")</f>
        <v>4640</v>
      </c>
      <c r="D34" s="48" t="n">
        <f aca="false">IFERROR(LARGE('Length Sweep'!$M$5:$M$555,5),"-")</f>
        <v>0.0680701754385957</v>
      </c>
      <c r="E34" s="45" t="str">
        <f aca="false">IF(ISNUMBER(D34),IF(D34&gt;=0.2,"★★★ EXCELLENT",IF(D34&gt;=0.12,"★★  GOOD",IF(D34&gt;=0.07,"★  FAIR",IF(D34&gt;=0.025,"⚠  MARGINAL","✗  AVOID")))),"—")</f>
        <v>⚠  MARGINAL</v>
      </c>
      <c r="F34" s="49" t="str">
        <f aca="false">IFERROR(TEXT(B34/SUMPRODUCT(MAX((Calculator!$E$11:$E$21="YES")*Calculator!$F$11:$F$21)),"0.00")&amp;" × λ/2 @lowest band","—")</f>
        <v>0,62 × λ/2 @lowest band</v>
      </c>
      <c r="G34" s="46" t="n">
        <f aca="false">IF(COUNTIF(E11:E21,"YES")=0,"N/A",SUMPRODUCT(MAX((E11:E21="YES")*H11:H21)))</f>
        <v>37.5</v>
      </c>
      <c r="H34" s="50" t="str">
        <f aca="false">IF(ISNUMBER(B34),IF(B34&lt;10,"Short – portable use only",IF(B34&lt;18,"Portable / SOTA",IF(B34&lt;30,"Good portable/home",IF(B34&lt;45,"Excellent home station","Long wire – max performance")))),"-")</f>
        <v>Long wire – max performance</v>
      </c>
      <c r="I34" s="38" t="str">
        <f aca="false">IFERROR('UnUn Ratio Optimizer'!D110&amp;" (avg VSWR "&amp;TEXT('UnUn Ratio Optimizer'!E110,"0.00")&amp;")","—")</f>
        <v>10:1 (avg VSWR 4,37)</v>
      </c>
    </row>
    <row r="35" customFormat="false" ht="21.6" hidden="false" customHeight="true" outlineLevel="0" collapsed="false">
      <c r="A35" s="51" t="s">
        <v>50</v>
      </c>
      <c r="B35" s="51"/>
      <c r="C35" s="51"/>
      <c r="D35" s="51"/>
      <c r="E35" s="51"/>
      <c r="F35" s="51"/>
      <c r="G35" s="51"/>
      <c r="H35" s="51"/>
      <c r="I35" s="52"/>
    </row>
    <row r="36" customFormat="false" ht="15" hidden="false" customHeight="false" outlineLevel="0" collapsed="false">
      <c r="A36" s="53"/>
    </row>
  </sheetData>
  <mergeCells count="18">
    <mergeCell ref="A1:H1"/>
    <mergeCell ref="A2:H2"/>
    <mergeCell ref="A4:H4"/>
    <mergeCell ref="A5:C5"/>
    <mergeCell ref="E5:H5"/>
    <mergeCell ref="A6:C6"/>
    <mergeCell ref="D6:H6"/>
    <mergeCell ref="A8:H8"/>
    <mergeCell ref="A9:H9"/>
    <mergeCell ref="A22:H22"/>
    <mergeCell ref="A23:B23"/>
    <mergeCell ref="D23:E23"/>
    <mergeCell ref="G23:H23"/>
    <mergeCell ref="A25:H25"/>
    <mergeCell ref="A26:C26"/>
    <mergeCell ref="E26:H26"/>
    <mergeCell ref="A28:H28"/>
    <mergeCell ref="A35:H35"/>
  </mergeCells>
  <conditionalFormatting sqref="E11:E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false" errorStyle="stop" operator="between" showDropDown="false" showErrorMessage="false" showInputMessage="false" sqref="E11:E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0" colorId="64" zoomScale="200" zoomScaleNormal="200" zoomScalePageLayoutView="100" workbookViewId="0">
      <selection pane="topLeft" activeCell="J27" activeCellId="0" sqref="J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8" min="7" style="1" width="8"/>
    <col collapsed="false" customWidth="true" hidden="false" outlineLevel="0" max="9" min="9" style="1" width="34.64"/>
  </cols>
  <sheetData>
    <row r="1" customFormat="false" ht="26.85" hidden="false" customHeight="true" outlineLevel="0" collapsed="false">
      <c r="A1" s="54" t="s">
        <v>51</v>
      </c>
      <c r="B1" s="54"/>
      <c r="C1" s="54"/>
      <c r="D1" s="54"/>
      <c r="E1" s="54"/>
      <c r="F1" s="54"/>
      <c r="G1" s="54"/>
      <c r="H1" s="54"/>
      <c r="I1" s="54"/>
    </row>
    <row r="2" customFormat="false" ht="41.75" hidden="false" customHeight="true" outlineLevel="0" collapsed="false">
      <c r="A2" s="55" t="s">
        <v>52</v>
      </c>
      <c r="B2" s="55"/>
      <c r="C2" s="55"/>
      <c r="D2" s="55"/>
      <c r="E2" s="55"/>
      <c r="F2" s="55"/>
      <c r="G2" s="55"/>
      <c r="H2" s="55"/>
      <c r="I2" s="55"/>
    </row>
    <row r="3" customFormat="false" ht="15" hidden="false" customHeight="false" outlineLevel="0" collapsed="false">
      <c r="A3" s="56"/>
      <c r="B3" s="56"/>
      <c r="C3" s="56"/>
      <c r="D3" s="56"/>
      <c r="E3" s="56"/>
      <c r="F3" s="56"/>
      <c r="G3" s="56"/>
      <c r="H3" s="56"/>
      <c r="I3" s="56"/>
    </row>
    <row r="4" customFormat="false" ht="15" hidden="false" customHeight="false" outlineLevel="0" collapsed="false">
      <c r="A4" s="57" t="s">
        <v>53</v>
      </c>
      <c r="B4" s="58"/>
      <c r="C4" s="58"/>
      <c r="D4" s="58"/>
      <c r="E4" s="58"/>
      <c r="F4" s="58"/>
      <c r="G4" s="58"/>
      <c r="H4" s="58"/>
      <c r="I4" s="58"/>
    </row>
    <row r="5" customFormat="false" ht="15" hidden="false" customHeight="false" outlineLevel="0" collapsed="false">
      <c r="A5" s="57" t="s">
        <v>54</v>
      </c>
      <c r="B5" s="58"/>
      <c r="C5" s="58"/>
      <c r="D5" s="58"/>
      <c r="E5" s="58"/>
      <c r="F5" s="58"/>
      <c r="G5" s="58"/>
      <c r="H5" s="58"/>
      <c r="I5" s="58"/>
    </row>
    <row r="6" customFormat="false" ht="15" hidden="false" customHeight="false" outlineLevel="0" collapsed="false">
      <c r="A6" s="57" t="s">
        <v>55</v>
      </c>
      <c r="B6" s="58"/>
      <c r="C6" s="58"/>
      <c r="D6" s="58"/>
      <c r="E6" s="58"/>
      <c r="F6" s="58"/>
      <c r="G6" s="58"/>
      <c r="H6" s="58"/>
      <c r="I6" s="58"/>
    </row>
    <row r="7" customFormat="false" ht="15" hidden="false" customHeight="false" outlineLevel="0" collapsed="false">
      <c r="A7" s="57" t="s">
        <v>56</v>
      </c>
      <c r="B7" s="58"/>
      <c r="C7" s="58"/>
      <c r="D7" s="58"/>
      <c r="E7" s="58"/>
      <c r="F7" s="58"/>
      <c r="G7" s="58"/>
      <c r="H7" s="58"/>
      <c r="I7" s="58"/>
    </row>
    <row r="8" customFormat="false" ht="15" hidden="false" customHeight="false" outlineLevel="0" collapsed="false">
      <c r="A8" s="57" t="s">
        <v>57</v>
      </c>
      <c r="B8" s="58"/>
      <c r="C8" s="58"/>
      <c r="D8" s="58"/>
      <c r="E8" s="58"/>
      <c r="F8" s="58"/>
      <c r="G8" s="58"/>
      <c r="H8" s="58"/>
      <c r="I8" s="58"/>
    </row>
    <row r="9" customFormat="false" ht="15" hidden="false" customHeight="false" outlineLevel="0" collapsed="false">
      <c r="A9" s="59"/>
    </row>
    <row r="10" customFormat="false" ht="15" hidden="false" customHeight="true" outlineLevel="0" collapsed="false">
      <c r="A10" s="60" t="s">
        <v>58</v>
      </c>
      <c r="B10" s="60"/>
      <c r="C10" s="61" t="n">
        <v>58</v>
      </c>
      <c r="D10" s="27" t="s">
        <v>59</v>
      </c>
      <c r="E10" s="27"/>
      <c r="F10" s="27"/>
      <c r="G10" s="27"/>
      <c r="H10" s="27"/>
      <c r="I10" s="27"/>
    </row>
    <row r="11" customFormat="false" ht="15" hidden="false" customHeight="false" outlineLevel="0" collapsed="false">
      <c r="A11" s="62" t="s">
        <v>60</v>
      </c>
      <c r="C11" s="63" t="n">
        <v>9</v>
      </c>
      <c r="D11" s="64" t="s">
        <v>61</v>
      </c>
      <c r="E11" s="65" t="str">
        <f aca="false">IFERROR("Recommended for "&amp;TEXT(C10,"0")&amp;"m wire: "&amp;INDEX('UnUn Ratio Optimizer'!A106:A110,MATCH(MIN(ABS('UnUn Ratio Optimizer'!B106:B110-C10)),ABS('UnUn Ratio Optimizer'!B106:B110-C10),0))&amp;" → "&amp;INDEX('UnUn Ratio Optimizer'!D106:D110,MATCH(MIN(ABS('UnUn Ratio Optimizer'!B106:B110-C10)),ABS('UnUn Ratio Optimizer'!B106:B110-C10),0))&amp;" (Avg VSWR "&amp;TEXT(INDEX('UnUn Ratio Optimizer'!E106:E110,MATCH(MIN(ABS('UnUn Ratio Optimizer'!B106:B110-C10)),ABS('UnUn Ratio Optimizer'!B106:B110-C10),0)),"0.00")&amp;")","— enter wire in Top-5 list for recommendation")</f>
        <v>— enter wire in Top-5 list for recommendation</v>
      </c>
    </row>
    <row r="12" customFormat="false" ht="32.8" hidden="false" customHeight="false" outlineLevel="0" collapsed="false">
      <c r="A12" s="66" t="s">
        <v>9</v>
      </c>
      <c r="B12" s="66" t="s">
        <v>62</v>
      </c>
      <c r="C12" s="66" t="s">
        <v>63</v>
      </c>
      <c r="D12" s="66" t="s">
        <v>64</v>
      </c>
      <c r="E12" s="66" t="s">
        <v>65</v>
      </c>
      <c r="F12" s="66" t="s">
        <v>66</v>
      </c>
      <c r="G12" s="67" t="s">
        <v>67</v>
      </c>
      <c r="H12" s="66" t="s">
        <v>68</v>
      </c>
      <c r="I12" s="66" t="s">
        <v>69</v>
      </c>
    </row>
    <row r="13" customFormat="false" ht="15" hidden="false" customHeight="false" outlineLevel="0" collapsed="false">
      <c r="A13" s="68" t="str">
        <f aca="false">Calculator!A11</f>
        <v>160m</v>
      </c>
      <c r="B13" s="69" t="str">
        <f aca="false">Calculator!$E$11</f>
        <v>YES</v>
      </c>
      <c r="C13" s="70" t="n">
        <f aca="false">ROUND(Calculator!$F$11,2)</f>
        <v>75</v>
      </c>
      <c r="D13" s="70" t="n">
        <f aca="false">ROUND(Calculator!$G$11,2)</f>
        <v>37.5</v>
      </c>
      <c r="E13" s="71" t="n">
        <f aca="false">IF(AND(B13="YES",$C$10&gt;=D13),MOD($C$10/C13,1),"—")</f>
        <v>0.773333333333333</v>
      </c>
      <c r="F13" s="72" t="n">
        <f aca="false">IF(AND(B13="YES",$C$10&gt;=D13),ROUND(50*POWER(80,COS(PI()*MOD($C$10/C13,1))^2),0),"—")</f>
        <v>616</v>
      </c>
      <c r="G13" s="73" t="n">
        <f aca="false">IF(B13&lt;&gt;"YES",NA(),IF($C$10&lt;D13,NA(),MAX(50*POWER(80,COS(PI()*MOD($C$10/C13,1))^2)/($C$11*50),($C$11*50)/(50*POWER(80,COS(PI()*MOD($C$10/C13,1))^2)))))</f>
        <v>1.36869619061591</v>
      </c>
      <c r="H13" s="74" t="str">
        <f aca="false">IF(B13&lt;&gt;"YES","—",IF($C$10&lt;D13,"&lt; λ/4",TEXT(G13,"0.0")))</f>
        <v>01</v>
      </c>
      <c r="I13" s="75" t="str">
        <f aca="false">IF(B13&lt;&gt;"YES","Inactive band",IF($C$10&lt;D13,"Wire too short for this band",IF(G13&lt;1.5,"✔  Excellent  — no tuner needed",IF(G13&lt;3,"✔  Good  — most tuners handle this",IF(G13&lt;6,"⚠  Marginal  — tuner required","✗  Poor  — high-loss mismatch")))))</f>
        <v>✔  Excellent  — no tuner needed</v>
      </c>
    </row>
    <row r="14" customFormat="false" ht="15" hidden="false" customHeight="false" outlineLevel="0" collapsed="false">
      <c r="A14" s="68" t="str">
        <f aca="false">Calculator!A12</f>
        <v>80m</v>
      </c>
      <c r="B14" s="69" t="str">
        <f aca="false">Calculator!$E$12</f>
        <v>YES</v>
      </c>
      <c r="C14" s="70" t="n">
        <f aca="false">ROUND(Calculator!$F$12,2)</f>
        <v>39.04</v>
      </c>
      <c r="D14" s="70" t="n">
        <f aca="false">ROUND(Calculator!$G$12,2)</f>
        <v>19.52</v>
      </c>
      <c r="E14" s="71" t="n">
        <f aca="false">IF(AND(B14="YES",$C$10&gt;=D14),MOD($C$10/C14,1),"—")</f>
        <v>0.485655737704918</v>
      </c>
      <c r="F14" s="72" t="n">
        <f aca="false">IF(AND(B14="YES",$C$10&gt;=D14),ROUND(50*POWER(80,COS(PI()*MOD($C$10/C14,1))^2),0),"—")</f>
        <v>50</v>
      </c>
      <c r="G14" s="73" t="n">
        <f aca="false">IF(B14&lt;&gt;"YES",NA(),IF($C$10&lt;D14,NA(),MAX(50*POWER(80,COS(PI()*MOD($C$10/C14,1))^2)/($C$11*50),($C$11*50)/(50*POWER(80,COS(PI()*MOD($C$10/C14,1))^2)))))</f>
        <v>8.9203198591947</v>
      </c>
      <c r="H14" s="74" t="str">
        <f aca="false">IF(B14&lt;&gt;"YES","—",IF($C$10&lt;D14,"&lt; λ/4",TEXT(G14,"0.0")))</f>
        <v>09</v>
      </c>
      <c r="I14" s="75" t="str">
        <f aca="false">IF(B14&lt;&gt;"YES","Inactive band",IF($C$10&lt;D14,"Wire too short for this band",IF(G14&lt;1.5,"✔  Excellent  — no tuner needed",IF(G14&lt;3,"✔  Good  — most tuners handle this",IF(G14&lt;6,"⚠  Marginal  — tuner required","✗  Poor  — high-loss mismatch")))))</f>
        <v>✗  Poor  — high-loss mismatch</v>
      </c>
    </row>
    <row r="15" customFormat="false" ht="15" hidden="false" customHeight="false" outlineLevel="0" collapsed="false">
      <c r="A15" s="68" t="str">
        <f aca="false">Calculator!A13</f>
        <v>60m</v>
      </c>
      <c r="B15" s="69" t="str">
        <f aca="false">Calculator!$E$13</f>
        <v>YES</v>
      </c>
      <c r="C15" s="70" t="n">
        <f aca="false">ROUND(Calculator!$F$13,2)</f>
        <v>26.59</v>
      </c>
      <c r="D15" s="70" t="n">
        <f aca="false">ROUND(Calculator!$G$13,2)</f>
        <v>13.3</v>
      </c>
      <c r="E15" s="71" t="n">
        <f aca="false">IF(AND(B15="YES",$C$10&gt;=D15),MOD($C$10/C15,1),"—")</f>
        <v>0.181271154569387</v>
      </c>
      <c r="F15" s="72" t="n">
        <f aca="false">IF(AND(B15="YES",$C$10&gt;=D15),ROUND(50*POWER(80,COS(PI()*MOD($C$10/C15,1))^2),0),"—")</f>
        <v>1119</v>
      </c>
      <c r="G15" s="73" t="n">
        <f aca="false">IF(B15&lt;&gt;"YES",NA(),IF($C$10&lt;D15,NA(),MAX(50*POWER(80,COS(PI()*MOD($C$10/C15,1))^2)/($C$11*50),($C$11*50)/(50*POWER(80,COS(PI()*MOD($C$10/C15,1))^2)))))</f>
        <v>2.48634389957289</v>
      </c>
      <c r="H15" s="74" t="str">
        <f aca="false">IF(B15&lt;&gt;"YES","—",IF($C$10&lt;D15,"&lt; λ/4",TEXT(G15,"0.0")))</f>
        <v>02</v>
      </c>
      <c r="I15" s="75" t="str">
        <f aca="false">IF(B15&lt;&gt;"YES","Inactive band",IF($C$10&lt;D15,"Wire too short for this band",IF(G15&lt;1.5,"✔  Excellent  — no tuner needed",IF(G15&lt;3,"✔  Good  — most tuners handle this",IF(G15&lt;6,"⚠  Marginal  — tuner required","✗  Poor  — high-loss mismatch")))))</f>
        <v>✔  Good  — most tuners handle this</v>
      </c>
    </row>
    <row r="16" customFormat="false" ht="15" hidden="false" customHeight="false" outlineLevel="0" collapsed="false">
      <c r="A16" s="68" t="str">
        <f aca="false">Calculator!A14</f>
        <v>40m</v>
      </c>
      <c r="B16" s="69" t="str">
        <f aca="false">Calculator!$E$14</f>
        <v>YES</v>
      </c>
      <c r="C16" s="70" t="n">
        <f aca="false">ROUND(Calculator!$F$14,2)</f>
        <v>19.93</v>
      </c>
      <c r="D16" s="70" t="n">
        <f aca="false">ROUND(Calculator!$G$14,2)</f>
        <v>9.97</v>
      </c>
      <c r="E16" s="71" t="n">
        <f aca="false">IF(AND(B16="YES",$C$10&gt;=D16),MOD($C$10/C16,1),"—")</f>
        <v>0.91018564977421</v>
      </c>
      <c r="F16" s="72" t="n">
        <f aca="false">IF(AND(B16="YES",$C$10&gt;=D16),ROUND(50*POWER(80,COS(PI()*MOD($C$10/C16,1))^2),0),"—")</f>
        <v>2848</v>
      </c>
      <c r="G16" s="73" t="n">
        <f aca="false">IF(B16&lt;&gt;"YES",NA(),IF($C$10&lt;D16,NA(),MAX(50*POWER(80,COS(PI()*MOD($C$10/C16,1))^2)/($C$11*50),($C$11*50)/(50*POWER(80,COS(PI()*MOD($C$10/C16,1))^2)))))</f>
        <v>6.3286734738535</v>
      </c>
      <c r="H16" s="74" t="str">
        <f aca="false">IF(B16&lt;&gt;"YES","—",IF($C$10&lt;D16,"&lt; λ/4",TEXT(G16,"0.0")))</f>
        <v>06</v>
      </c>
      <c r="I16" s="75" t="str">
        <f aca="false">IF(B16&lt;&gt;"YES","Inactive band",IF($C$10&lt;D16,"Wire too short for this band",IF(G16&lt;1.5,"✔  Excellent  — no tuner needed",IF(G16&lt;3,"✔  Good  — most tuners handle this",IF(G16&lt;6,"⚠  Marginal  — tuner required","✗  Poor  — high-loss mismatch")))))</f>
        <v>✗  Poor  — high-loss mismatch</v>
      </c>
    </row>
    <row r="17" customFormat="false" ht="15" hidden="false" customHeight="false" outlineLevel="0" collapsed="false">
      <c r="A17" s="68" t="str">
        <f aca="false">Calculator!A15</f>
        <v>30m</v>
      </c>
      <c r="B17" s="69" t="str">
        <f aca="false">Calculator!$E$15</f>
        <v>YES</v>
      </c>
      <c r="C17" s="70" t="n">
        <f aca="false">ROUND(Calculator!$F$15,2)</f>
        <v>14.07</v>
      </c>
      <c r="D17" s="70" t="n">
        <f aca="false">ROUND(Calculator!$G$15,2)</f>
        <v>7.04</v>
      </c>
      <c r="E17" s="71" t="n">
        <f aca="false">IF(AND(B17="YES",$C$10&gt;=D17),MOD($C$10/C17,1),"—")</f>
        <v>0.12224591329069</v>
      </c>
      <c r="F17" s="72" t="n">
        <f aca="false">IF(AND(B17="YES",$C$10&gt;=D17),ROUND(50*POWER(80,COS(PI()*MOD($C$10/C17,1))^2),0),"—")</f>
        <v>2162</v>
      </c>
      <c r="G17" s="73" t="n">
        <f aca="false">IF(B17&lt;&gt;"YES",NA(),IF($C$10&lt;D17,NA(),MAX(50*POWER(80,COS(PI()*MOD($C$10/C17,1))^2)/($C$11*50),($C$11*50)/(50*POWER(80,COS(PI()*MOD($C$10/C17,1))^2)))))</f>
        <v>4.80494331871745</v>
      </c>
      <c r="H17" s="74" t="str">
        <f aca="false">IF(B17&lt;&gt;"YES","—",IF($C$10&lt;D17,"&lt; λ/4",TEXT(G17,"0.0")))</f>
        <v>05</v>
      </c>
      <c r="I17" s="75" t="str">
        <f aca="false">IF(B17&lt;&gt;"YES","Inactive band",IF($C$10&lt;D17,"Wire too short for this band",IF(G17&lt;1.5,"✔  Excellent  — no tuner needed",IF(G17&lt;3,"✔  Good  — most tuners handle this",IF(G17&lt;6,"⚠  Marginal  — tuner required","✗  Poor  — high-loss mismatch")))))</f>
        <v>⚠  Marginal  — tuner required</v>
      </c>
    </row>
    <row r="18" customFormat="false" ht="15" hidden="false" customHeight="false" outlineLevel="0" collapsed="false">
      <c r="A18" s="68" t="str">
        <f aca="false">Calculator!A16</f>
        <v>20m</v>
      </c>
      <c r="B18" s="69" t="str">
        <f aca="false">Calculator!$E$16</f>
        <v>YES</v>
      </c>
      <c r="C18" s="70" t="n">
        <f aca="false">ROUND(Calculator!$F$16,2)</f>
        <v>10.05</v>
      </c>
      <c r="D18" s="70" t="n">
        <f aca="false">ROUND(Calculator!$G$16,2)</f>
        <v>5.03</v>
      </c>
      <c r="E18" s="71" t="n">
        <f aca="false">IF(AND(B18="YES",$C$10&gt;=D18),MOD($C$10/C18,1),"—")</f>
        <v>0.771144278606965</v>
      </c>
      <c r="F18" s="72" t="n">
        <f aca="false">IF(AND(B18="YES",$C$10&gt;=D18),ROUND(50*POWER(80,COS(PI()*MOD($C$10/C18,1))^2),0),"—")</f>
        <v>598</v>
      </c>
      <c r="G18" s="73" t="n">
        <f aca="false">IF(B18&lt;&gt;"YES",NA(),IF($C$10&lt;D18,NA(),MAX(50*POWER(80,COS(PI()*MOD($C$10/C18,1))^2)/($C$11*50),($C$11*50)/(50*POWER(80,COS(PI()*MOD($C$10/C18,1))^2)))))</f>
        <v>1.32845529751261</v>
      </c>
      <c r="H18" s="74" t="str">
        <f aca="false">IF(B18&lt;&gt;"YES","—",IF($C$10&lt;D18,"&lt; λ/4",TEXT(G18,"0.0")))</f>
        <v>01</v>
      </c>
      <c r="I18" s="75" t="str">
        <f aca="false">IF(B18&lt;&gt;"YES","Inactive band",IF($C$10&lt;D18,"Wire too short for this band",IF(G18&lt;1.5,"✔  Excellent  — no tuner needed",IF(G18&lt;3,"✔  Good  — most tuners handle this",IF(G18&lt;6,"⚠  Marginal  — tuner required","✗  Poor  — high-loss mismatch")))))</f>
        <v>✔  Excellent  — no tuner needed</v>
      </c>
    </row>
    <row r="19" customFormat="false" ht="15" hidden="false" customHeight="false" outlineLevel="0" collapsed="false">
      <c r="A19" s="68" t="str">
        <f aca="false">Calculator!A17</f>
        <v>17m</v>
      </c>
      <c r="B19" s="69" t="str">
        <f aca="false">Calculator!$E$17</f>
        <v>YES</v>
      </c>
      <c r="C19" s="70" t="n">
        <f aca="false">ROUND(Calculator!$F$17,2)</f>
        <v>7.87</v>
      </c>
      <c r="D19" s="70" t="n">
        <f aca="false">ROUND(Calculator!$G$17,2)</f>
        <v>3.93</v>
      </c>
      <c r="E19" s="71" t="n">
        <f aca="false">IF(AND(B19="YES",$C$10&gt;=D19),MOD($C$10/C19,1),"—")</f>
        <v>0.369758576874205</v>
      </c>
      <c r="F19" s="72" t="n">
        <f aca="false">IF(AND(B19="YES",$C$10&gt;=D19),ROUND(50*POWER(80,COS(PI()*MOD($C$10/C19,1))^2),0),"—")</f>
        <v>100</v>
      </c>
      <c r="G19" s="73" t="n">
        <f aca="false">IF(B19&lt;&gt;"YES",NA(),IF($C$10&lt;D19,NA(),MAX(50*POWER(80,COS(PI()*MOD($C$10/C19,1))^2)/($C$11*50),($C$11*50)/(50*POWER(80,COS(PI()*MOD($C$10/C19,1))^2)))))</f>
        <v>4.49802579603294</v>
      </c>
      <c r="H19" s="74" t="str">
        <f aca="false">IF(B19&lt;&gt;"YES","—",IF($C$10&lt;D19,"&lt; λ/4",TEXT(G19,"0.0")))</f>
        <v>04</v>
      </c>
      <c r="I19" s="75" t="str">
        <f aca="false">IF(B19&lt;&gt;"YES","Inactive band",IF($C$10&lt;D19,"Wire too short for this band",IF(G19&lt;1.5,"✔  Excellent  — no tuner needed",IF(G19&lt;3,"✔  Good  — most tuners handle this",IF(G19&lt;6,"⚠  Marginal  — tuner required","✗  Poor  — high-loss mismatch")))))</f>
        <v>⚠  Marginal  — tuner required</v>
      </c>
    </row>
    <row r="20" customFormat="false" ht="15" hidden="false" customHeight="false" outlineLevel="0" collapsed="false">
      <c r="A20" s="68" t="str">
        <f aca="false">Calculator!A18</f>
        <v>15m</v>
      </c>
      <c r="B20" s="69" t="str">
        <f aca="false">Calculator!$E$18</f>
        <v>YES</v>
      </c>
      <c r="C20" s="70" t="n">
        <f aca="false">ROUND(Calculator!$F$18,2)</f>
        <v>6.71</v>
      </c>
      <c r="D20" s="70" t="n">
        <f aca="false">ROUND(Calculator!$G$18,2)</f>
        <v>3.36</v>
      </c>
      <c r="E20" s="71" t="n">
        <f aca="false">IF(AND(B20="YES",$C$10&gt;=D20),MOD($C$10/C20,1),"—")</f>
        <v>0.64381520119225</v>
      </c>
      <c r="F20" s="72" t="n">
        <f aca="false">IF(AND(B20="YES",$C$10&gt;=D20),ROUND(50*POWER(80,COS(PI()*MOD($C$10/C20,1))^2),0),"—")</f>
        <v>115</v>
      </c>
      <c r="G20" s="73" t="n">
        <f aca="false">IF(B20&lt;&gt;"YES",NA(),IF($C$10&lt;D20,NA(),MAX(50*POWER(80,COS(PI()*MOD($C$10/C20,1))^2)/($C$11*50),($C$11*50)/(50*POWER(80,COS(PI()*MOD($C$10/C20,1))^2)))))</f>
        <v>3.90379570400875</v>
      </c>
      <c r="H20" s="74" t="str">
        <f aca="false">IF(B20&lt;&gt;"YES","—",IF($C$10&lt;D20,"&lt; λ/4",TEXT(G20,"0.0")))</f>
        <v>04</v>
      </c>
      <c r="I20" s="75" t="str">
        <f aca="false">IF(B20&lt;&gt;"YES","Inactive band",IF($C$10&lt;D20,"Wire too short for this band",IF(G20&lt;1.5,"✔  Excellent  — no tuner needed",IF(G20&lt;3,"✔  Good  — most tuners handle this",IF(G20&lt;6,"⚠  Marginal  — tuner required","✗  Poor  — high-loss mismatch")))))</f>
        <v>⚠  Marginal  — tuner required</v>
      </c>
    </row>
    <row r="21" customFormat="false" ht="15" hidden="false" customHeight="false" outlineLevel="0" collapsed="false">
      <c r="A21" s="68" t="str">
        <f aca="false">Calculator!A19</f>
        <v>12m</v>
      </c>
      <c r="B21" s="69" t="str">
        <f aca="false">Calculator!$E$19</f>
        <v>YES</v>
      </c>
      <c r="C21" s="70" t="n">
        <f aca="false">ROUND(Calculator!$F$19,2)</f>
        <v>5.71</v>
      </c>
      <c r="D21" s="70" t="n">
        <f aca="false">ROUND(Calculator!$G$19,2)</f>
        <v>2.86</v>
      </c>
      <c r="E21" s="71" t="n">
        <f aca="false">IF(AND(B21="YES",$C$10&gt;=D21),MOD($C$10/C21,1),"—")</f>
        <v>0.157618213660244</v>
      </c>
      <c r="F21" s="72" t="n">
        <f aca="false">IF(AND(B21="YES",$C$10&gt;=D21),ROUND(50*POWER(80,COS(PI()*MOD($C$10/C21,1))^2),0),"—")</f>
        <v>1487</v>
      </c>
      <c r="G21" s="73" t="n">
        <f aca="false">IF(B21&lt;&gt;"YES",NA(),IF($C$10&lt;D21,NA(),MAX(50*POWER(80,COS(PI()*MOD($C$10/C21,1))^2)/($C$11*50),($C$11*50)/(50*POWER(80,COS(PI()*MOD($C$10/C21,1))^2)))))</f>
        <v>3.30469613037895</v>
      </c>
      <c r="H21" s="74" t="str">
        <f aca="false">IF(B21&lt;&gt;"YES","—",IF($C$10&lt;D21,"&lt; λ/4",TEXT(G21,"0.0")))</f>
        <v>03</v>
      </c>
      <c r="I21" s="75" t="str">
        <f aca="false">IF(B21&lt;&gt;"YES","Inactive band",IF($C$10&lt;D21,"Wire too short for this band",IF(G21&lt;1.5,"✔  Excellent  — no tuner needed",IF(G21&lt;3,"✔  Good  — most tuners handle this",IF(G21&lt;6,"⚠  Marginal  — tuner required","✗  Poor  — high-loss mismatch")))))</f>
        <v>⚠  Marginal  — tuner required</v>
      </c>
    </row>
    <row r="22" customFormat="false" ht="15" hidden="false" customHeight="false" outlineLevel="0" collapsed="false">
      <c r="A22" s="68" t="str">
        <f aca="false">Calculator!A20</f>
        <v>10m</v>
      </c>
      <c r="B22" s="69" t="str">
        <f aca="false">Calculator!$E$20</f>
        <v>YES</v>
      </c>
      <c r="C22" s="70" t="n">
        <f aca="false">ROUND(Calculator!$F$20,2)</f>
        <v>4.94</v>
      </c>
      <c r="D22" s="70" t="n">
        <f aca="false">ROUND(Calculator!$G$20,2)</f>
        <v>2.47</v>
      </c>
      <c r="E22" s="71" t="n">
        <f aca="false">IF(AND(B22="YES",$C$10&gt;=D22),MOD($C$10/C22,1),"—")</f>
        <v>0.740890688259109</v>
      </c>
      <c r="F22" s="72" t="n">
        <f aca="false">IF(AND(B22="YES",$C$10&gt;=D22),ROUND(50*POWER(80,COS(PI()*MOD($C$10/C22,1))^2),0),"—")</f>
        <v>395</v>
      </c>
      <c r="G22" s="73" t="n">
        <f aca="false">IF(B22&lt;&gt;"YES",NA(),IF($C$10&lt;D22,NA(),MAX(50*POWER(80,COS(PI()*MOD($C$10/C22,1))^2)/($C$11*50),($C$11*50)/(50*POWER(80,COS(PI()*MOD($C$10/C22,1))^2)))))</f>
        <v>1.14059098015645</v>
      </c>
      <c r="H22" s="74" t="str">
        <f aca="false">IF(B22&lt;&gt;"YES","—",IF($C$10&lt;D22,"&lt; λ/4",TEXT(G22,"0.0")))</f>
        <v>01</v>
      </c>
      <c r="I22" s="75" t="str">
        <f aca="false">IF(B22&lt;&gt;"YES","Inactive band",IF($C$10&lt;D22,"Wire too short for this band",IF(G22&lt;1.5,"✔  Excellent  — no tuner needed",IF(G22&lt;3,"✔  Good  — most tuners handle this",IF(G22&lt;6,"⚠  Marginal  — tuner required","✗  Poor  — high-loss mismatch")))))</f>
        <v>✔  Excellent  — no tuner needed</v>
      </c>
    </row>
    <row r="23" customFormat="false" ht="15" hidden="false" customHeight="false" outlineLevel="0" collapsed="false">
      <c r="A23" s="68" t="str">
        <f aca="false">Calculator!A21</f>
        <v>6m</v>
      </c>
      <c r="B23" s="69" t="str">
        <f aca="false">Calculator!$E$21</f>
        <v>YES</v>
      </c>
      <c r="C23" s="70" t="n">
        <f aca="false">ROUND(Calculator!$F$21,2)</f>
        <v>2.74</v>
      </c>
      <c r="D23" s="70" t="n">
        <f aca="false">ROUND(Calculator!$G$21,2)</f>
        <v>1.37</v>
      </c>
      <c r="E23" s="71" t="n">
        <f aca="false">IF(AND(B23="YES",$C$10&gt;=D23),MOD($C$10/C23,1),"—")</f>
        <v>0.167883211678831</v>
      </c>
      <c r="F23" s="72" t="n">
        <f aca="false">IF(AND(B23="YES",$C$10&gt;=D23),ROUND(50*POWER(80,COS(PI()*MOD($C$10/C23,1))^2),0),"—")</f>
        <v>1318</v>
      </c>
      <c r="G23" s="73" t="n">
        <f aca="false">IF(B23&lt;&gt;"YES",NA(),IF($C$10&lt;D23,NA(),MAX(50*POWER(80,COS(PI()*MOD($C$10/C23,1))^2)/($C$11*50),($C$11*50)/(50*POWER(80,COS(PI()*MOD($C$10/C23,1))^2)))))</f>
        <v>2.9292888285249</v>
      </c>
      <c r="H23" s="74" t="str">
        <f aca="false">IF(B23&lt;&gt;"YES","—",IF($C$10&lt;D23,"&lt; λ/4",TEXT(G23,"0.0")))</f>
        <v>03</v>
      </c>
      <c r="I23" s="75" t="str">
        <f aca="false">IF(B23&lt;&gt;"YES","Inactive band",IF($C$10&lt;D23,"Wire too short for this band",IF(G23&lt;1.5,"✔  Excellent  — no tuner needed",IF(G23&lt;3,"✔  Good  — most tuners handle this",IF(G23&lt;6,"⚠  Marginal  — tuner required","✗  Poor  — high-loss mismatch")))))</f>
        <v>✔  Good  — most tuners handle this</v>
      </c>
    </row>
    <row r="25" customFormat="false" ht="31.5" hidden="false" customHeight="true" outlineLevel="0" collapsed="false">
      <c r="A25" s="76" t="s">
        <v>70</v>
      </c>
      <c r="B25" s="76"/>
      <c r="C25" s="77" t="s">
        <v>71</v>
      </c>
      <c r="D25" s="78" t="s">
        <v>72</v>
      </c>
      <c r="E25" s="79" t="s">
        <v>73</v>
      </c>
      <c r="F25" s="80" t="s">
        <v>74</v>
      </c>
    </row>
    <row r="26" customFormat="false" ht="15" hidden="false" customHeight="false" outlineLevel="0" collapsed="false">
      <c r="A26" s="81"/>
      <c r="B26" s="81"/>
      <c r="C26" s="82"/>
      <c r="D26" s="82"/>
      <c r="E26" s="82"/>
      <c r="F26" s="82"/>
    </row>
    <row r="27" customFormat="false" ht="21.6" hidden="false" customHeight="true" outlineLevel="0" collapsed="false">
      <c r="A27" s="27" t="s">
        <v>75</v>
      </c>
      <c r="B27" s="27"/>
      <c r="C27" s="27"/>
      <c r="D27" s="27"/>
      <c r="E27" s="27"/>
      <c r="F27" s="27"/>
      <c r="G27" s="27"/>
      <c r="H27" s="27"/>
      <c r="I27" s="27"/>
    </row>
  </sheetData>
  <mergeCells count="6">
    <mergeCell ref="A1:I1"/>
    <mergeCell ref="A2:I2"/>
    <mergeCell ref="A10:B10"/>
    <mergeCell ref="D10:I10"/>
    <mergeCell ref="A25:B25"/>
    <mergeCell ref="A27:I27"/>
  </mergeCells>
  <conditionalFormatting sqref="A13:I23">
    <cfRule type="expression" priority="2" aboveAverage="0" equalAverage="0" bottom="0" percent="0" rank="0" text="" dxfId="2">
      <formula>AND(ISNUMBER(G13),G13&lt;1.5)</formula>
    </cfRule>
    <cfRule type="expression" priority="3" aboveAverage="0" equalAverage="0" bottom="0" percent="0" rank="0" text="" dxfId="3">
      <formula>AND(ISNUMBER(G13),G13&gt;=1.5,G13&lt;3)</formula>
    </cfRule>
    <cfRule type="expression" priority="4" aboveAverage="0" equalAverage="0" bottom="0" percent="0" rank="0" text="" dxfId="4">
      <formula>AND(ISNUMBER(G13),G13&gt;=3,G13&lt;6)</formula>
    </cfRule>
    <cfRule type="expression" priority="5" aboveAverage="0" equalAverage="0" bottom="0" percent="0" rank="0" text="" dxfId="5">
      <formula>AND(ISNUMBER(G13),G13&gt;=6)</formula>
    </cfRule>
  </conditionalFormatting>
  <dataValidations count="1">
    <dataValidation allowBlank="false" error="Please select one of the 5 recommended wire lengths." errorStyle="stop" errorTitle="Invalid Length" operator="between" prompt="Select from the Top-5 recommended lengths (from Calculator sheet)." promptTitle="Wire Length" showDropDown="false" showErrorMessage="true" showInputMessage="true" sqref="C10" type="list">
      <formula1>Calculator!$B$30:$B$34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10"/>
  <sheetViews>
    <sheetView showFormulas="false" showGridLines="false" showRowColHeaders="true" showZeros="true" rightToLeft="false" tabSelected="false" showOutlineSymbols="true" defaultGridColor="true" view="normal" topLeftCell="A94" colorId="64" zoomScale="200" zoomScaleNormal="200" zoomScalePageLayoutView="100" workbookViewId="0">
      <pane xSplit="3" ySplit="0" topLeftCell="D94" activePane="topRight" state="frozen"/>
      <selection pane="topLeft" activeCell="A94" activeCellId="0" sqref="A94"/>
      <selection pane="topRight" activeCell="N28" activeCellId="0" sqref="N28"/>
    </sheetView>
  </sheetViews>
  <sheetFormatPr defaultColWidth="13.21875" defaultRowHeight="15" customHeight="false" zeroHeight="false" outlineLevelRow="0" outlineLevelCol="0"/>
  <cols>
    <col collapsed="false" customWidth="false" hidden="false" outlineLevel="0" max="63" min="1" style="1" width="13.22"/>
  </cols>
  <sheetData>
    <row r="1" customFormat="false" ht="15" hidden="false" customHeight="true" outlineLevel="0" collapsed="false">
      <c r="A1" s="83" t="s">
        <v>76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83"/>
      <c r="BI1" s="83"/>
      <c r="BJ1" s="83"/>
      <c r="BK1" s="83"/>
    </row>
    <row r="2" customFormat="false" ht="15" hidden="false" customHeight="false" outlineLevel="0" collapsed="false">
      <c r="A2" s="84" t="s">
        <v>77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</row>
    <row r="3" customFormat="false" ht="15" hidden="false" customHeight="false" outlineLevel="0" collapsed="false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</row>
    <row r="4" customFormat="false" ht="26.85" hidden="false" customHeight="true" outlineLevel="0" collapsed="false">
      <c r="A4" s="85" t="s">
        <v>78</v>
      </c>
      <c r="B4" s="85"/>
      <c r="C4" s="85"/>
      <c r="D4" s="85"/>
      <c r="E4" s="85"/>
      <c r="F4" s="85"/>
      <c r="G4" s="85"/>
      <c r="H4" s="85"/>
      <c r="I4" s="85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</row>
    <row r="5" customFormat="false" ht="23.85" hidden="false" customHeight="false" outlineLevel="0" collapsed="false">
      <c r="A5" s="86" t="s">
        <v>9</v>
      </c>
      <c r="B5" s="86" t="s">
        <v>79</v>
      </c>
      <c r="C5" s="86" t="s">
        <v>63</v>
      </c>
      <c r="D5" s="86" t="str">
        <f aca="false">"#"&amp;1&amp;"  "&amp;Calculator!$B$30&amp;" m"</f>
        <v>#1  46,3 m</v>
      </c>
      <c r="E5" s="86" t="str">
        <f aca="false">"#"&amp;2&amp;"  "&amp;Calculator!$B$31&amp;" m"</f>
        <v>#2  46,2 m</v>
      </c>
      <c r="F5" s="86" t="str">
        <f aca="false">"#"&amp;3&amp;"  "&amp;Calculator!$B$32&amp;" m"</f>
        <v>#3  44,1 m</v>
      </c>
      <c r="G5" s="86" t="str">
        <f aca="false">"#"&amp;4&amp;"  "&amp;Calculator!$B$33&amp;" m"</f>
        <v>#4  46,1 m</v>
      </c>
      <c r="H5" s="86" t="str">
        <f aca="false">"#"&amp;5&amp;"  "&amp;Calculator!$B$34&amp;" m"</f>
        <v>#5  46,4 m</v>
      </c>
      <c r="I5" s="86" t="s">
        <v>80</v>
      </c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</row>
    <row r="6" customFormat="false" ht="15" hidden="false" customHeight="false" outlineLevel="0" collapsed="false">
      <c r="A6" s="87" t="str">
        <f aca="false">IF(Calculator!$E$11="YES","★ "&amp;"160m","160m")</f>
        <v>★ 160m</v>
      </c>
      <c r="B6" s="87" t="n">
        <f aca="false">ROUND(Calculator!D11,3)</f>
        <v>1.9</v>
      </c>
      <c r="C6" s="87" t="n">
        <f aca="false">ROUND(Calculator!F11,2)</f>
        <v>75</v>
      </c>
      <c r="D6" s="88" t="n">
        <f aca="false">IF(AND(Calculator!$E$11="YES",Calculator!$B$30&gt;=Calculator!$G$11),ROUND(50*POWER(80,POWER(COS(PI()*MOD(Calculator!$B$30/Calculator!$F$11,1)),2)),1),"—")</f>
        <v>88.3</v>
      </c>
      <c r="E6" s="88" t="n">
        <f aca="false">IF(AND(Calculator!$E$11="YES",Calculator!$B$31&gt;=Calculator!$G$11),ROUND(50*POWER(80,POWER(COS(PI()*MOD(Calculator!$B$31/Calculator!$F$11,1)),2)),1),"—")</f>
        <v>87.2</v>
      </c>
      <c r="F6" s="88" t="n">
        <f aca="false">IF(AND(Calculator!$E$11="YES",Calculator!$B$32&gt;=Calculator!$G$11),ROUND(50*POWER(80,POWER(COS(PI()*MOD(Calculator!$B$32/Calculator!$F$11,1)),2)),1),"—")</f>
        <v>69.3</v>
      </c>
      <c r="G6" s="88" t="n">
        <f aca="false">IF(AND(Calculator!$E$11="YES",Calculator!$B$33&gt;=Calculator!$G$11),ROUND(50*POWER(80,POWER(COS(PI()*MOD(Calculator!$B$33/Calculator!$F$11,1)),2)),1),"—")</f>
        <v>86.2</v>
      </c>
      <c r="H6" s="88" t="n">
        <f aca="false">IF(AND(Calculator!$E$11="YES",Calculator!$B$34&gt;=Calculator!$G$11),ROUND(50*POWER(80,POWER(COS(PI()*MOD(Calculator!$B$34/Calculator!$F$11,1)),2)),1),"—")</f>
        <v>89.4</v>
      </c>
      <c r="I6" s="88" t="str">
        <f aca="false">IF(Calculator!$E$11="YES","Active","Inactive")</f>
        <v>Active</v>
      </c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</row>
    <row r="7" customFormat="false" ht="15" hidden="false" customHeight="false" outlineLevel="0" collapsed="false">
      <c r="A7" s="87" t="str">
        <f aca="false">IF(Calculator!$E$12="YES","★ "&amp;"80m","80m")</f>
        <v>★ 80m</v>
      </c>
      <c r="B7" s="87" t="n">
        <f aca="false">ROUND(Calculator!D12,3)</f>
        <v>3.65</v>
      </c>
      <c r="C7" s="87" t="n">
        <f aca="false">ROUND(Calculator!F12,2)</f>
        <v>39.04</v>
      </c>
      <c r="D7" s="88" t="n">
        <f aca="false">IF(AND(Calculator!$E$12="YES",Calculator!$B$30&gt;=Calculator!$G$12),ROUND(50*POWER(80,POWER(COS(PI()*MOD(Calculator!$B$30/Calculator!$F$12,1)),2)),1),"—")</f>
        <v>1055.1</v>
      </c>
      <c r="E7" s="88" t="n">
        <f aca="false">IF(AND(Calculator!$E$12="YES",Calculator!$B$31&gt;=Calculator!$G$12),ROUND(50*POWER(80,POWER(COS(PI()*MOD(Calculator!$B$31/Calculator!$F$12,1)),2)),1),"—")</f>
        <v>1089.8</v>
      </c>
      <c r="F7" s="88" t="n">
        <f aca="false">IF(AND(Calculator!$E$12="YES",Calculator!$B$32&gt;=Calculator!$G$12),ROUND(50*POWER(80,POWER(COS(PI()*MOD(Calculator!$B$32/Calculator!$F$12,1)),2)),1),"—")</f>
        <v>2012.5</v>
      </c>
      <c r="G7" s="88" t="n">
        <f aca="false">IF(AND(Calculator!$E$12="YES",Calculator!$B$33&gt;=Calculator!$G$12),ROUND(50*POWER(80,POWER(COS(PI()*MOD(Calculator!$B$33/Calculator!$F$12,1)),2)),1),"—")</f>
        <v>1125.4</v>
      </c>
      <c r="H7" s="88" t="n">
        <f aca="false">IF(AND(Calculator!$E$12="YES",Calculator!$B$34&gt;=Calculator!$G$12),ROUND(50*POWER(80,POWER(COS(PI()*MOD(Calculator!$B$34/Calculator!$F$12,1)),2)),1),"—")</f>
        <v>1021.3</v>
      </c>
      <c r="I7" s="88" t="str">
        <f aca="false">IF(Calculator!$E$12="YES","Active","Inactive")</f>
        <v>Active</v>
      </c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</row>
    <row r="8" customFormat="false" ht="15" hidden="false" customHeight="false" outlineLevel="0" collapsed="false">
      <c r="A8" s="87" t="str">
        <f aca="false">IF(Calculator!$E$13="YES","★ "&amp;"60m","60m")</f>
        <v>★ 60m</v>
      </c>
      <c r="B8" s="87" t="n">
        <f aca="false">ROUND(Calculator!D13,3)</f>
        <v>5.359</v>
      </c>
      <c r="C8" s="87" t="n">
        <f aca="false">ROUND(Calculator!F13,2)</f>
        <v>26.59</v>
      </c>
      <c r="D8" s="88" t="n">
        <f aca="false">IF(AND(Calculator!$E$13="YES",Calculator!$B$30&gt;=Calculator!$G$13),ROUND(50*POWER(80,POWER(COS(PI()*MOD(Calculator!$B$30/Calculator!$F$13,1)),2)),1),"—")</f>
        <v>396.2</v>
      </c>
      <c r="E8" s="88" t="n">
        <f aca="false">IF(AND(Calculator!$E$13="YES",Calculator!$B$31&gt;=Calculator!$G$13),ROUND(50*POWER(80,POWER(COS(PI()*MOD(Calculator!$B$31/Calculator!$F$13,1)),2)),1),"—")</f>
        <v>376.3</v>
      </c>
      <c r="F8" s="88" t="n">
        <f aca="false">IF(AND(Calculator!$E$13="YES",Calculator!$B$32&gt;=Calculator!$G$13),ROUND(50*POWER(80,POWER(COS(PI()*MOD(Calculator!$B$32/Calculator!$F$13,1)),2)),1),"—")</f>
        <v>135.8</v>
      </c>
      <c r="G8" s="88" t="n">
        <f aca="false">IF(AND(Calculator!$E$13="YES",Calculator!$B$33&gt;=Calculator!$G$13),ROUND(50*POWER(80,POWER(COS(PI()*MOD(Calculator!$B$33/Calculator!$F$13,1)),2)),1),"—")</f>
        <v>357.4</v>
      </c>
      <c r="H8" s="88" t="n">
        <f aca="false">IF(AND(Calculator!$E$13="YES",Calculator!$B$34&gt;=Calculator!$G$13),ROUND(50*POWER(80,POWER(COS(PI()*MOD(Calculator!$B$34/Calculator!$F$13,1)),2)),1),"—")</f>
        <v>417.3</v>
      </c>
      <c r="I8" s="88" t="str">
        <f aca="false">IF(Calculator!$E$13="YES","Active","Inactive")</f>
        <v>Active</v>
      </c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</row>
    <row r="9" customFormat="false" ht="15" hidden="false" customHeight="false" outlineLevel="0" collapsed="false">
      <c r="A9" s="87" t="str">
        <f aca="false">IF(Calculator!$E$14="YES","★ "&amp;"40m","40m")</f>
        <v>★ 40m</v>
      </c>
      <c r="B9" s="87" t="n">
        <f aca="false">ROUND(Calculator!D14,3)</f>
        <v>7.15</v>
      </c>
      <c r="C9" s="87" t="n">
        <f aca="false">ROUND(Calculator!F14,2)</f>
        <v>19.93</v>
      </c>
      <c r="D9" s="88" t="n">
        <f aca="false">IF(AND(Calculator!$E$14="YES",Calculator!$B$30&gt;=Calculator!$G$14),ROUND(50*POWER(80,POWER(COS(PI()*MOD(Calculator!$B$30/Calculator!$F$14,1)),2)),1),"—")</f>
        <v>169.3</v>
      </c>
      <c r="E9" s="88" t="n">
        <f aca="false">IF(AND(Calculator!$E$14="YES",Calculator!$B$31&gt;=Calculator!$G$14),ROUND(50*POWER(80,POWER(COS(PI()*MOD(Calculator!$B$31/Calculator!$F$14,1)),2)),1),"—")</f>
        <v>180.2</v>
      </c>
      <c r="F9" s="88" t="n">
        <f aca="false">IF(AND(Calculator!$E$14="YES",Calculator!$B$32&gt;=Calculator!$G$14),ROUND(50*POWER(80,POWER(COS(PI()*MOD(Calculator!$B$32/Calculator!$F$14,1)),2)),1),"—")</f>
        <v>743.5</v>
      </c>
      <c r="G9" s="88" t="n">
        <f aca="false">IF(AND(Calculator!$E$14="YES",Calculator!$B$33&gt;=Calculator!$G$14),ROUND(50*POWER(80,POWER(COS(PI()*MOD(Calculator!$B$33/Calculator!$F$14,1)),2)),1),"—")</f>
        <v>191.9</v>
      </c>
      <c r="H9" s="88" t="n">
        <f aca="false">IF(AND(Calculator!$E$14="YES",Calculator!$B$34&gt;=Calculator!$G$14),ROUND(50*POWER(80,POWER(COS(PI()*MOD(Calculator!$B$34/Calculator!$F$14,1)),2)),1),"—")</f>
        <v>159.2</v>
      </c>
      <c r="I9" s="88" t="str">
        <f aca="false">IF(Calculator!$E$14="YES","Active","Inactive")</f>
        <v>Active</v>
      </c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</row>
    <row r="10" customFormat="false" ht="15" hidden="false" customHeight="false" outlineLevel="0" collapsed="false">
      <c r="A10" s="87" t="str">
        <f aca="false">IF(Calculator!$E$15="YES","★ "&amp;"30m","30m")</f>
        <v>★ 30m</v>
      </c>
      <c r="B10" s="87" t="n">
        <f aca="false">ROUND(Calculator!D15,3)</f>
        <v>10.125</v>
      </c>
      <c r="C10" s="87" t="n">
        <f aca="false">ROUND(Calculator!F15,2)</f>
        <v>14.07</v>
      </c>
      <c r="D10" s="88" t="n">
        <f aca="false">IF(AND(Calculator!$E$15="YES",Calculator!$B$30&gt;=Calculator!$G$15),ROUND(50*POWER(80,POWER(COS(PI()*MOD(Calculator!$B$30/Calculator!$F$15,1)),2)),1),"—")</f>
        <v>260.3</v>
      </c>
      <c r="E10" s="88" t="n">
        <f aca="false">IF(AND(Calculator!$E$15="YES",Calculator!$B$31&gt;=Calculator!$G$15),ROUND(50*POWER(80,POWER(COS(PI()*MOD(Calculator!$B$31/Calculator!$F$15,1)),2)),1),"—")</f>
        <v>286.3</v>
      </c>
      <c r="F10" s="88" t="n">
        <f aca="false">IF(AND(Calculator!$E$15="YES",Calculator!$B$32&gt;=Calculator!$G$15),ROUND(50*POWER(80,POWER(COS(PI()*MOD(Calculator!$B$32/Calculator!$F$15,1)),2)),1),"—")</f>
        <v>1935.7</v>
      </c>
      <c r="G10" s="88" t="n">
        <f aca="false">IF(AND(Calculator!$E$15="YES",Calculator!$B$33&gt;=Calculator!$G$15),ROUND(50*POWER(80,POWER(COS(PI()*MOD(Calculator!$B$33/Calculator!$F$15,1)),2)),1),"—")</f>
        <v>315.2</v>
      </c>
      <c r="H10" s="88" t="n">
        <f aca="false">IF(AND(Calculator!$E$15="YES",Calculator!$B$34&gt;=Calculator!$G$15),ROUND(50*POWER(80,POWER(COS(PI()*MOD(Calculator!$B$34/Calculator!$F$15,1)),2)),1),"—")</f>
        <v>236.9</v>
      </c>
      <c r="I10" s="88" t="str">
        <f aca="false">IF(Calculator!$E$15="YES","Active","Inactive")</f>
        <v>Active</v>
      </c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</row>
    <row r="11" customFormat="false" ht="15" hidden="false" customHeight="false" outlineLevel="0" collapsed="false">
      <c r="A11" s="87" t="str">
        <f aca="false">IF(Calculator!$E$16="YES","★ "&amp;"20m","20m")</f>
        <v>★ 20m</v>
      </c>
      <c r="B11" s="87" t="n">
        <f aca="false">ROUND(Calculator!D16,3)</f>
        <v>14.175</v>
      </c>
      <c r="C11" s="87" t="n">
        <f aca="false">ROUND(Calculator!F16,2)</f>
        <v>10.05</v>
      </c>
      <c r="D11" s="88" t="n">
        <f aca="false">IF(AND(Calculator!$E$16="YES",Calculator!$B$30&gt;=Calculator!$G$16),ROUND(50*POWER(80,POWER(COS(PI()*MOD(Calculator!$B$30/Calculator!$F$16,1)),2)),1),"—")</f>
        <v>79.6</v>
      </c>
      <c r="E11" s="88" t="n">
        <f aca="false">IF(AND(Calculator!$E$16="YES",Calculator!$B$31&gt;=Calculator!$G$16),ROUND(50*POWER(80,POWER(COS(PI()*MOD(Calculator!$B$31/Calculator!$F$16,1)),2)),1),"—")</f>
        <v>73.4</v>
      </c>
      <c r="F11" s="88" t="n">
        <f aca="false">IF(AND(Calculator!$E$16="YES",Calculator!$B$32&gt;=Calculator!$G$16),ROUND(50*POWER(80,POWER(COS(PI()*MOD(Calculator!$B$32/Calculator!$F$16,1)),2)),1),"—")</f>
        <v>85.1</v>
      </c>
      <c r="G11" s="88" t="n">
        <f aca="false">IF(AND(Calculator!$E$16="YES",Calculator!$B$33&gt;=Calculator!$G$16),ROUND(50*POWER(80,POWER(COS(PI()*MOD(Calculator!$B$33/Calculator!$F$16,1)),2)),1),"—")</f>
        <v>68.2</v>
      </c>
      <c r="H11" s="88" t="n">
        <f aca="false">IF(AND(Calculator!$E$16="YES",Calculator!$B$34&gt;=Calculator!$G$16),ROUND(50*POWER(80,POWER(COS(PI()*MOD(Calculator!$B$34/Calculator!$F$16,1)),2)),1),"—")</f>
        <v>86.9</v>
      </c>
      <c r="I11" s="88" t="str">
        <f aca="false">IF(Calculator!$E$16="YES","Active","Inactive")</f>
        <v>Active</v>
      </c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</row>
    <row r="12" customFormat="false" ht="15" hidden="false" customHeight="false" outlineLevel="0" collapsed="false">
      <c r="A12" s="87" t="str">
        <f aca="false">IF(Calculator!$E$17="YES","★ "&amp;"17m","17m")</f>
        <v>★ 17m</v>
      </c>
      <c r="B12" s="87" t="n">
        <f aca="false">ROUND(Calculator!D17,3)</f>
        <v>18.118</v>
      </c>
      <c r="C12" s="87" t="n">
        <f aca="false">ROUND(Calculator!F17,2)</f>
        <v>7.87</v>
      </c>
      <c r="D12" s="87" t="n">
        <f aca="false">IF(AND(Calculator!$E$17="YES",Calculator!$B$30&gt;=Calculator!$G$17),ROUND(50*POWER(80,POWER(COS(PI()*MOD(Calculator!$B$30/Calculator!$F$17,1)),2)),1),"—")</f>
        <v>2350.7</v>
      </c>
      <c r="E12" s="87" t="n">
        <f aca="false">IF(AND(Calculator!$E$17="YES",Calculator!$B$31&gt;=Calculator!$G$17),ROUND(50*POWER(80,POWER(COS(PI()*MOD(Calculator!$B$31/Calculator!$F$17,1)),2)),1),"—")</f>
        <v>2086</v>
      </c>
      <c r="F12" s="87" t="n">
        <f aca="false">IF(AND(Calculator!$E$17="YES",Calculator!$B$32&gt;=Calculator!$G$17),ROUND(50*POWER(80,POWER(COS(PI()*MOD(Calculator!$B$32/Calculator!$F$17,1)),2)),1),"—")</f>
        <v>80.6</v>
      </c>
      <c r="G12" s="87" t="n">
        <f aca="false">IF(AND(Calculator!$E$17="YES",Calculator!$B$33&gt;=Calculator!$G$17),ROUND(50*POWER(80,POWER(COS(PI()*MOD(Calculator!$B$33/Calculator!$F$17,1)),2)),1),"—")</f>
        <v>1833</v>
      </c>
      <c r="H12" s="87" t="n">
        <f aca="false">IF(AND(Calculator!$E$17="YES",Calculator!$B$34&gt;=Calculator!$G$17),ROUND(50*POWER(80,POWER(COS(PI()*MOD(Calculator!$B$34/Calculator!$F$17,1)),2)),1),"—")</f>
        <v>2621.1</v>
      </c>
      <c r="I12" s="87" t="str">
        <f aca="false">IF(Calculator!$E$17="YES","Active","Inactive")</f>
        <v>Active</v>
      </c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</row>
    <row r="13" customFormat="false" ht="15" hidden="false" customHeight="false" outlineLevel="0" collapsed="false">
      <c r="A13" s="87" t="str">
        <f aca="false">IF(Calculator!$E$18="YES","★ "&amp;"15m","15m")</f>
        <v>★ 15m</v>
      </c>
      <c r="B13" s="87" t="n">
        <f aca="false">ROUND(Calculator!D18,3)</f>
        <v>21.225</v>
      </c>
      <c r="C13" s="87" t="n">
        <f aca="false">ROUND(Calculator!F18,2)</f>
        <v>6.71</v>
      </c>
      <c r="D13" s="87" t="n">
        <f aca="false">IF(AND(Calculator!$E$18="YES",Calculator!$B$30&gt;=Calculator!$G$18),ROUND(50*POWER(80,POWER(COS(PI()*MOD(Calculator!$B$30/Calculator!$F$18,1)),2)),1),"—")</f>
        <v>2552.6</v>
      </c>
      <c r="E13" s="87" t="n">
        <f aca="false">IF(AND(Calculator!$E$18="YES",Calculator!$B$31&gt;=Calculator!$G$18),ROUND(50*POWER(80,POWER(COS(PI()*MOD(Calculator!$B$31/Calculator!$F$18,1)),2)),1),"—")</f>
        <v>2237.4</v>
      </c>
      <c r="F13" s="87" t="n">
        <f aca="false">IF(AND(Calculator!$E$18="YES",Calculator!$B$32&gt;=Calculator!$G$18),ROUND(50*POWER(80,POWER(COS(PI()*MOD(Calculator!$B$32/Calculator!$F$18,1)),2)),1),"—")</f>
        <v>61.1</v>
      </c>
      <c r="G13" s="87" t="n">
        <f aca="false">IF(AND(Calculator!$E$18="YES",Calculator!$B$33&gt;=Calculator!$G$18),ROUND(50*POWER(80,POWER(COS(PI()*MOD(Calculator!$B$33/Calculator!$F$18,1)),2)),1),"—")</f>
        <v>1933.6</v>
      </c>
      <c r="H13" s="87" t="n">
        <f aca="false">IF(AND(Calculator!$E$18="YES",Calculator!$B$34&gt;=Calculator!$G$18),ROUND(50*POWER(80,POWER(COS(PI()*MOD(Calculator!$B$34/Calculator!$F$18,1)),2)),1),"—")</f>
        <v>2868.3</v>
      </c>
      <c r="I13" s="87" t="str">
        <f aca="false">IF(Calculator!$E$18="YES","Active","Inactive")</f>
        <v>Active</v>
      </c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</row>
    <row r="14" customFormat="false" ht="15" hidden="false" customHeight="false" outlineLevel="0" collapsed="false">
      <c r="A14" s="87" t="str">
        <f aca="false">IF(Calculator!$E$19="YES","★ "&amp;"12m","12m")</f>
        <v>★ 12m</v>
      </c>
      <c r="B14" s="87" t="n">
        <f aca="false">ROUND(Calculator!D19,3)</f>
        <v>24.94</v>
      </c>
      <c r="C14" s="87" t="n">
        <f aca="false">ROUND(Calculator!F19,2)</f>
        <v>5.71</v>
      </c>
      <c r="D14" s="87" t="n">
        <f aca="false">IF(AND(Calculator!$E$19="YES",Calculator!$B$30&gt;=Calculator!$G$19),ROUND(50*POWER(80,POWER(COS(PI()*MOD(Calculator!$B$30/Calculator!$F$19,1)),2)),1),"—")</f>
        <v>2561.7</v>
      </c>
      <c r="E14" s="87" t="n">
        <f aca="false">IF(AND(Calculator!$E$19="YES",Calculator!$B$31&gt;=Calculator!$G$19),ROUND(50*POWER(80,POWER(COS(PI()*MOD(Calculator!$B$31/Calculator!$F$19,1)),2)),1),"—")</f>
        <v>2931.4</v>
      </c>
      <c r="F14" s="87" t="n">
        <f aca="false">IF(AND(Calculator!$E$19="YES",Calculator!$B$32&gt;=Calculator!$G$19),ROUND(50*POWER(80,POWER(COS(PI()*MOD(Calculator!$B$32/Calculator!$F$19,1)),2)),1),"—")</f>
        <v>289.8</v>
      </c>
      <c r="G14" s="87" t="n">
        <f aca="false">IF(AND(Calculator!$E$19="YES",Calculator!$B$33&gt;=Calculator!$G$19),ROUND(50*POWER(80,POWER(COS(PI()*MOD(Calculator!$B$33/Calculator!$F$19,1)),2)),1),"—")</f>
        <v>3279.1</v>
      </c>
      <c r="H14" s="87" t="n">
        <f aca="false">IF(AND(Calculator!$E$19="YES",Calculator!$B$34&gt;=Calculator!$G$19),ROUND(50*POWER(80,POWER(COS(PI()*MOD(Calculator!$B$34/Calculator!$F$19,1)),2)),1),"—")</f>
        <v>2191.9</v>
      </c>
      <c r="I14" s="87" t="str">
        <f aca="false">IF(Calculator!$E$19="YES","Active","Inactive")</f>
        <v>Active</v>
      </c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</row>
    <row r="15" customFormat="false" ht="15" hidden="false" customHeight="false" outlineLevel="0" collapsed="false">
      <c r="A15" s="87" t="str">
        <f aca="false">IF(Calculator!$E$20="YES","★ "&amp;"10m","10m")</f>
        <v>★ 10m</v>
      </c>
      <c r="B15" s="87" t="n">
        <f aca="false">ROUND(Calculator!D20,3)</f>
        <v>28.85</v>
      </c>
      <c r="C15" s="87" t="n">
        <f aca="false">ROUND(Calculator!F20,2)</f>
        <v>4.94</v>
      </c>
      <c r="D15" s="87" t="n">
        <f aca="false">IF(AND(Calculator!$E$20="YES",Calculator!$B$30&gt;=Calculator!$G$20),ROUND(50*POWER(80,POWER(COS(PI()*MOD(Calculator!$B$30/Calculator!$F$20,1)),2)),1),"—")</f>
        <v>96.2</v>
      </c>
      <c r="E15" s="87" t="n">
        <f aca="false">IF(AND(Calculator!$E$20="YES",Calculator!$B$31&gt;=Calculator!$G$20),ROUND(50*POWER(80,POWER(COS(PI()*MOD(Calculator!$B$31/Calculator!$F$20,1)),2)),1),"—")</f>
        <v>118.7</v>
      </c>
      <c r="F15" s="87" t="n">
        <f aca="false">IF(AND(Calculator!$E$20="YES",Calculator!$B$32&gt;=Calculator!$G$20),ROUND(50*POWER(80,POWER(COS(PI()*MOD(Calculator!$B$32/Calculator!$F$20,1)),2)),1),"—")</f>
        <v>3214.9</v>
      </c>
      <c r="G15" s="87" t="n">
        <f aca="false">IF(AND(Calculator!$E$20="YES",Calculator!$B$33&gt;=Calculator!$G$20),ROUND(50*POWER(80,POWER(COS(PI()*MOD(Calculator!$B$33/Calculator!$F$20,1)),2)),1),"—")</f>
        <v>149.7</v>
      </c>
      <c r="H15" s="87" t="n">
        <f aca="false">IF(AND(Calculator!$E$20="YES",Calculator!$B$34&gt;=Calculator!$G$20),ROUND(50*POWER(80,POWER(COS(PI()*MOD(Calculator!$B$34/Calculator!$F$20,1)),2)),1),"—")</f>
        <v>79.9</v>
      </c>
      <c r="I15" s="87" t="str">
        <f aca="false">IF(Calculator!$E$20="YES","Active","Inactive")</f>
        <v>Active</v>
      </c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</row>
    <row r="16" customFormat="false" ht="15" hidden="false" customHeight="false" outlineLevel="0" collapsed="false">
      <c r="A16" s="87" t="str">
        <f aca="false">IF(Calculator!$E$21="YES","★ "&amp;"6m","6m")</f>
        <v>★ 6m</v>
      </c>
      <c r="B16" s="87" t="n">
        <f aca="false">ROUND(Calculator!D21,3)</f>
        <v>52</v>
      </c>
      <c r="C16" s="87" t="n">
        <f aca="false">ROUND(Calculator!F21,2)</f>
        <v>2.74</v>
      </c>
      <c r="D16" s="87" t="n">
        <f aca="false">IF(AND(Calculator!$E$21="YES",Calculator!$B$30&gt;=Calculator!$G$21),ROUND(50*POWER(80,POWER(COS(PI()*MOD(Calculator!$B$30/Calculator!$F$21,1)),2)),1),"—")</f>
        <v>2535.1</v>
      </c>
      <c r="E16" s="87" t="n">
        <f aca="false">IF(AND(Calculator!$E$21="YES",Calculator!$B$31&gt;=Calculator!$G$21),ROUND(50*POWER(80,POWER(COS(PI()*MOD(Calculator!$B$31/Calculator!$F$21,1)),2)),1),"—")</f>
        <v>1787.3</v>
      </c>
      <c r="F16" s="87" t="n">
        <f aca="false">IF(AND(Calculator!$E$21="YES",Calculator!$B$32&gt;=Calculator!$G$21),ROUND(50*POWER(80,POWER(COS(PI()*MOD(Calculator!$B$32/Calculator!$F$21,1)),2)),1),"—")</f>
        <v>2788.6</v>
      </c>
      <c r="G16" s="87" t="n">
        <f aca="false">IF(AND(Calculator!$E$21="YES",Calculator!$B$33&gt;=Calculator!$G$21),ROUND(50*POWER(80,POWER(COS(PI()*MOD(Calculator!$B$33/Calculator!$F$21,1)),2)),1),"—")</f>
        <v>1171.9</v>
      </c>
      <c r="H16" s="87" t="n">
        <f aca="false">IF(AND(Calculator!$E$21="YES",Calculator!$B$34&gt;=Calculator!$G$21),ROUND(50*POWER(80,POWER(COS(PI()*MOD(Calculator!$B$34/Calculator!$F$21,1)),2)),1),"—")</f>
        <v>3283.6</v>
      </c>
      <c r="I16" s="87" t="str">
        <f aca="false">IF(Calculator!$E$21="YES","Active","Inactive")</f>
        <v>Active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</row>
    <row r="17" customFormat="false" ht="15" hidden="false" customHeight="false" outlineLevel="0" collapsed="false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</row>
    <row r="18" customFormat="false" ht="26.85" hidden="false" customHeight="true" outlineLevel="0" collapsed="false">
      <c r="A18" s="89" t="s">
        <v>81</v>
      </c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</row>
    <row r="19" customFormat="false" ht="23.85" hidden="false" customHeight="false" outlineLevel="0" collapsed="false">
      <c r="A19" s="86" t="s">
        <v>9</v>
      </c>
      <c r="B19" s="86" t="str">
        <f aca="false">"#"&amp;1&amp;"  "&amp;Calculator!$B$30&amp;"m"&amp;CHAR(10)&amp;"Optimal Ratio"</f>
        <v>#1  46,3m
Optimal Ratio</v>
      </c>
      <c r="C19" s="86" t="str">
        <f aca="false">"#"&amp;2&amp;"  "&amp;Calculator!$B$31&amp;"m"&amp;CHAR(10)&amp;"Optimal Ratio"</f>
        <v>#2  46,2m
Optimal Ratio</v>
      </c>
      <c r="D19" s="86" t="str">
        <f aca="false">"#"&amp;3&amp;"  "&amp;Calculator!$B$32&amp;"m"&amp;CHAR(10)&amp;"Optimal Ratio"</f>
        <v>#3  44,1m
Optimal Ratio</v>
      </c>
      <c r="E19" s="86" t="str">
        <f aca="false">"#"&amp;4&amp;"  "&amp;Calculator!$B$33&amp;"m"&amp;CHAR(10)&amp;"Optimal Ratio"</f>
        <v>#4  46,1m
Optimal Ratio</v>
      </c>
      <c r="F19" s="86" t="str">
        <f aca="false">"#"&amp;5&amp;"  "&amp;Calculator!$B$34&amp;"m"&amp;CHAR(10)&amp;"Optimal Ratio"</f>
        <v>#5  46,4m
Optimal Ratio</v>
      </c>
      <c r="G19" s="86" t="str">
        <f aca="false">"#"&amp;1&amp;"  "&amp;Calculator!$B$30&amp;"m"&amp;CHAR(10)&amp;"Best VSWR"</f>
        <v>#1  46,3m
Best VSWR</v>
      </c>
      <c r="H19" s="86" t="str">
        <f aca="false">"#"&amp;2&amp;"  "&amp;Calculator!$B$31&amp;"m"&amp;CHAR(10)&amp;"Best VSWR"</f>
        <v>#2  46,2m
Best VSWR</v>
      </c>
      <c r="I19" s="86" t="str">
        <f aca="false">"#"&amp;3&amp;"  "&amp;Calculator!$B$32&amp;"m"&amp;CHAR(10)&amp;"Best VSWR"</f>
        <v>#3  44,1m
Best VSWR</v>
      </c>
      <c r="J19" s="86" t="str">
        <f aca="false">"#"&amp;4&amp;"  "&amp;Calculator!$B$33&amp;"m"&amp;CHAR(10)&amp;"Best VSWR"</f>
        <v>#4  46,1m
Best VSWR</v>
      </c>
      <c r="K19" s="86" t="str">
        <f aca="false">"#"&amp;5&amp;"  "&amp;Calculator!$B$34&amp;"m"&amp;CHAR(10)&amp;"Best VSWR"</f>
        <v>#5  46,4m
Best VSWR</v>
      </c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</row>
    <row r="20" customFormat="false" ht="15" hidden="false" customHeight="false" outlineLevel="0" collapsed="false">
      <c r="A20" s="87" t="str">
        <f aca="false">IF(Calculator!$E$11="YES","★ "&amp;"160m","160m")</f>
        <v>★ 160m</v>
      </c>
      <c r="B20" s="87" t="str">
        <f aca="false">IF(Calculator!$E$11&lt;&gt;"YES","—",IFERROR(INDEX($A$36:$A$101,MATCH(MIN(D36:D101),D36:D101,0)),"—"))</f>
        <v>4:1★</v>
      </c>
      <c r="C20" s="87" t="str">
        <f aca="false">IF(Calculator!$E$11&lt;&gt;"YES","—",IFERROR(INDEX($A$36:$A$101,MATCH(MIN(P36:P101),P36:P101,0)),"—"))</f>
        <v>4:1★</v>
      </c>
      <c r="D20" s="87" t="str">
        <f aca="false">IF(Calculator!$E$11&lt;&gt;"YES","—",IFERROR(INDEX($A$36:$A$101,MATCH(MIN(AB36:AB101),AB36:AB101,0)),"—"))</f>
        <v>4:1★</v>
      </c>
      <c r="E20" s="87" t="str">
        <f aca="false">IF(Calculator!$E$11&lt;&gt;"YES","—",IFERROR(INDEX($A$36:$A$101,MATCH(MIN(AN36:AN101),AN36:AN101,0)),"—"))</f>
        <v>4:1★</v>
      </c>
      <c r="F20" s="87" t="str">
        <f aca="false">IF(Calculator!$E$11&lt;&gt;"YES","—",IFERROR(INDEX($A$36:$A$101,MATCH(MIN(AZ36:AZ101),AZ36:AZ101,0)),"—"))</f>
        <v>4:1★</v>
      </c>
      <c r="G20" s="87" t="n">
        <f aca="false">IF(Calculator!$E$11&lt;&gt;"YES","—",IFERROR(ROUND(MIN(D36:D101),2),"—"))</f>
        <v>2.26</v>
      </c>
      <c r="H20" s="87" t="n">
        <f aca="false">IF(Calculator!$E$11&lt;&gt;"YES","—",IFERROR(ROUND(MIN(P36:P101),2),"—"))</f>
        <v>2.29</v>
      </c>
      <c r="I20" s="87" t="n">
        <f aca="false">IF(Calculator!$E$11&lt;&gt;"YES","—",IFERROR(ROUND(MIN(AB36:AB101),2),"—"))</f>
        <v>2.89</v>
      </c>
      <c r="J20" s="87" t="n">
        <f aca="false">IF(Calculator!$E$11&lt;&gt;"YES","—",IFERROR(ROUND(MIN(AN36:AN101),2),"—"))</f>
        <v>2.32</v>
      </c>
      <c r="K20" s="87" t="n">
        <f aca="false">IF(Calculator!$E$11&lt;&gt;"YES","—",IFERROR(ROUND(MIN(AZ36:AZ101),2),"—"))</f>
        <v>2.24</v>
      </c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</row>
    <row r="21" customFormat="false" ht="15" hidden="false" customHeight="false" outlineLevel="0" collapsed="false">
      <c r="A21" s="87" t="str">
        <f aca="false">IF(Calculator!$E$12="YES","★ "&amp;"80m","80m")</f>
        <v>★ 80m</v>
      </c>
      <c r="B21" s="87" t="str">
        <f aca="false">IF(Calculator!$E$12&lt;&gt;"YES","—",IFERROR(INDEX($A$36:$A$101,MATCH(MIN(E36:E101),E36:E101,0)),"—"))</f>
        <v>21:1</v>
      </c>
      <c r="C21" s="87" t="str">
        <f aca="false">IF(Calculator!$E$12&lt;&gt;"YES","—",IFERROR(INDEX($A$36:$A$101,MATCH(MIN(Q36:Q101),Q36:Q101,0)),"—"))</f>
        <v>22:1</v>
      </c>
      <c r="D21" s="87" t="str">
        <f aca="false">IF(Calculator!$E$12&lt;&gt;"YES","—",IFERROR(INDEX($A$36:$A$101,MATCH(MIN(AC36:AC101),AC36:AC101,0)),"—"))</f>
        <v>40:1</v>
      </c>
      <c r="E21" s="87" t="str">
        <f aca="false">IF(Calculator!$E$12&lt;&gt;"YES","—",IFERROR(INDEX($A$36:$A$101,MATCH(MIN(AO36:AO101),AO36:AO101,0)),"—"))</f>
        <v>22:1</v>
      </c>
      <c r="F21" s="87" t="str">
        <f aca="false">IF(Calculator!$E$12&lt;&gt;"YES","—",IFERROR(INDEX($A$36:$A$101,MATCH(MIN(BA36:BA101),BA36:BA101,0)),"—"))</f>
        <v>20:1</v>
      </c>
      <c r="G21" s="87" t="n">
        <f aca="false">IF(Calculator!$E$12&lt;&gt;"YES","—",IFERROR(ROUND(MIN(E36:E101),2),"—"))</f>
        <v>1</v>
      </c>
      <c r="H21" s="87" t="n">
        <f aca="false">IF(Calculator!$E$12&lt;&gt;"YES","—",IFERROR(ROUND(MIN(Q36:Q101),2),"—"))</f>
        <v>1.01</v>
      </c>
      <c r="I21" s="87" t="n">
        <f aca="false">IF(Calculator!$E$12&lt;&gt;"YES","—",IFERROR(ROUND(MIN(AC36:AC101),2),"—"))</f>
        <v>1.01</v>
      </c>
      <c r="J21" s="87" t="n">
        <f aca="false">IF(Calculator!$E$12&lt;&gt;"YES","—",IFERROR(ROUND(MIN(AO36:AO101),2),"—"))</f>
        <v>1.02</v>
      </c>
      <c r="K21" s="87" t="n">
        <f aca="false">IF(Calculator!$E$12&lt;&gt;"YES","—",IFERROR(ROUND(MIN(BA36:BA101),2),"—"))</f>
        <v>1.02</v>
      </c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</row>
    <row r="22" customFormat="false" ht="15" hidden="false" customHeight="false" outlineLevel="0" collapsed="false">
      <c r="A22" s="87" t="str">
        <f aca="false">IF(Calculator!$E$13="YES","★ "&amp;"60m","60m")</f>
        <v>★ 60m</v>
      </c>
      <c r="B22" s="87" t="str">
        <f aca="false">IF(Calculator!$E$13&lt;&gt;"YES","—",IFERROR(INDEX($A$36:$A$101,MATCH(MIN(F36:F101),F36:F101,0)),"—"))</f>
        <v>8:1</v>
      </c>
      <c r="C22" s="87" t="str">
        <f aca="false">IF(Calculator!$E$13&lt;&gt;"YES","—",IFERROR(INDEX($A$36:$A$101,MATCH(MIN(R36:R101),R36:R101,0)),"—"))</f>
        <v>8:1</v>
      </c>
      <c r="D22" s="87" t="str">
        <f aca="false">IF(Calculator!$E$13&lt;&gt;"YES","—",IFERROR(INDEX($A$36:$A$101,MATCH(MIN(AD36:AD101),AD36:AD101,0)),"—"))</f>
        <v>4:1★</v>
      </c>
      <c r="E22" s="87" t="str">
        <f aca="false">IF(Calculator!$E$13&lt;&gt;"YES","—",IFERROR(INDEX($A$36:$A$101,MATCH(MIN(AP36:AP101),AP36:AP101,0)),"—"))</f>
        <v>7:1</v>
      </c>
      <c r="F22" s="87" t="str">
        <f aca="false">IF(Calculator!$E$13&lt;&gt;"YES","—",IFERROR(INDEX($A$36:$A$101,MATCH(MIN(BB36:BB101),BB36:BB101,0)),"—"))</f>
        <v>8:1</v>
      </c>
      <c r="G22" s="87" t="n">
        <f aca="false">IF(Calculator!$E$13&lt;&gt;"YES","—",IFERROR(ROUND(MIN(F36:F101),2),"—"))</f>
        <v>1.01</v>
      </c>
      <c r="H22" s="87" t="n">
        <f aca="false">IF(Calculator!$E$13&lt;&gt;"YES","—",IFERROR(ROUND(MIN(R36:R101),2),"—"))</f>
        <v>1.06</v>
      </c>
      <c r="I22" s="87" t="n">
        <f aca="false">IF(Calculator!$E$13&lt;&gt;"YES","—",IFERROR(ROUND(MIN(AD36:AD101),2),"—"))</f>
        <v>1.47</v>
      </c>
      <c r="J22" s="87" t="n">
        <f aca="false">IF(Calculator!$E$13&lt;&gt;"YES","—",IFERROR(ROUND(MIN(AP36:AP101),2),"—"))</f>
        <v>1.02</v>
      </c>
      <c r="K22" s="87" t="n">
        <f aca="false">IF(Calculator!$E$13&lt;&gt;"YES","—",IFERROR(ROUND(MIN(BB36:BB101),2),"—"))</f>
        <v>1.04</v>
      </c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</row>
    <row r="23" customFormat="false" ht="15" hidden="false" customHeight="false" outlineLevel="0" collapsed="false">
      <c r="A23" s="87" t="str">
        <f aca="false">IF(Calculator!$E$14="YES","★ "&amp;"40m","40m")</f>
        <v>★ 40m</v>
      </c>
      <c r="B23" s="87" t="str">
        <f aca="false">IF(Calculator!$E$14&lt;&gt;"YES","—",IFERROR(INDEX($A$36:$A$101,MATCH(MIN(G36:G101),G36:G101,0)),"—"))</f>
        <v>4:1★</v>
      </c>
      <c r="C23" s="87" t="str">
        <f aca="false">IF(Calculator!$E$14&lt;&gt;"YES","—",IFERROR(INDEX($A$36:$A$101,MATCH(MIN(S36:S101),S36:S101,0)),"—"))</f>
        <v>4:1★</v>
      </c>
      <c r="D23" s="87" t="str">
        <f aca="false">IF(Calculator!$E$14&lt;&gt;"YES","—",IFERROR(INDEX($A$36:$A$101,MATCH(MIN(AE36:AE101),AE36:AE101,0)),"—"))</f>
        <v>15:1</v>
      </c>
      <c r="E23" s="87" t="str">
        <f aca="false">IF(Calculator!$E$14&lt;&gt;"YES","—",IFERROR(INDEX($A$36:$A$101,MATCH(MIN(AQ36:AQ101),AQ36:AQ101,0)),"—"))</f>
        <v>4:1★</v>
      </c>
      <c r="F23" s="87" t="str">
        <f aca="false">IF(Calculator!$E$14&lt;&gt;"YES","—",IFERROR(INDEX($A$36:$A$101,MATCH(MIN(BC36:BC101),BC36:BC101,0)),"—"))</f>
        <v>4:1★</v>
      </c>
      <c r="G23" s="87" t="n">
        <f aca="false">IF(Calculator!$E$14&lt;&gt;"YES","—",IFERROR(ROUND(MIN(G36:G101),2),"—"))</f>
        <v>1.18</v>
      </c>
      <c r="H23" s="87" t="n">
        <f aca="false">IF(Calculator!$E$14&lt;&gt;"YES","—",IFERROR(ROUND(MIN(S36:S101),2),"—"))</f>
        <v>1.11</v>
      </c>
      <c r="I23" s="87" t="n">
        <f aca="false">IF(Calculator!$E$14&lt;&gt;"YES","—",IFERROR(ROUND(MIN(AE36:AE101),2),"—"))</f>
        <v>1.01</v>
      </c>
      <c r="J23" s="87" t="n">
        <f aca="false">IF(Calculator!$E$14&lt;&gt;"YES","—",IFERROR(ROUND(MIN(AQ36:AQ101),2),"—"))</f>
        <v>1.04</v>
      </c>
      <c r="K23" s="87" t="n">
        <f aca="false">IF(Calculator!$E$14&lt;&gt;"YES","—",IFERROR(ROUND(MIN(BC36:BC101),2),"—"))</f>
        <v>1.26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</row>
    <row r="24" customFormat="false" ht="15" hidden="false" customHeight="false" outlineLevel="0" collapsed="false">
      <c r="A24" s="87" t="str">
        <f aca="false">IF(Calculator!$E$15="YES","★ "&amp;"30m","30m")</f>
        <v>★ 30m</v>
      </c>
      <c r="B24" s="87" t="str">
        <f aca="false">IF(Calculator!$E$15&lt;&gt;"YES","—",IFERROR(INDEX($A$36:$A$101,MATCH(MIN(H36:H101),H36:H101,0)),"—"))</f>
        <v>5:1</v>
      </c>
      <c r="C24" s="87" t="str">
        <f aca="false">IF(Calculator!$E$15&lt;&gt;"YES","—",IFERROR(INDEX($A$36:$A$101,MATCH(MIN(T36:T101),T36:T101,0)),"—"))</f>
        <v>6:1</v>
      </c>
      <c r="D24" s="87" t="str">
        <f aca="false">IF(Calculator!$E$15&lt;&gt;"YES","—",IFERROR(INDEX($A$36:$A$101,MATCH(MIN(AF36:AF101),AF36:AF101,0)),"—"))</f>
        <v>39:1</v>
      </c>
      <c r="E24" s="87" t="str">
        <f aca="false">IF(Calculator!$E$15&lt;&gt;"YES","—",IFERROR(INDEX($A$36:$A$101,MATCH(MIN(AR36:AR101),AR36:AR101,0)),"—"))</f>
        <v>6:1</v>
      </c>
      <c r="F24" s="87" t="str">
        <f aca="false">IF(Calculator!$E$15&lt;&gt;"YES","—",IFERROR(INDEX($A$36:$A$101,MATCH(MIN(BD36:BD101),BD36:BD101,0)),"—"))</f>
        <v>5:1</v>
      </c>
      <c r="G24" s="87" t="n">
        <f aca="false">IF(Calculator!$E$15&lt;&gt;"YES","—",IFERROR(ROUND(MIN(H36:H101),2),"—"))</f>
        <v>1.04</v>
      </c>
      <c r="H24" s="87" t="n">
        <f aca="false">IF(Calculator!$E$15&lt;&gt;"YES","—",IFERROR(ROUND(MIN(T36:T101),2),"—"))</f>
        <v>1.05</v>
      </c>
      <c r="I24" s="87" t="n">
        <f aca="false">IF(Calculator!$E$15&lt;&gt;"YES","—",IFERROR(ROUND(MIN(AF36:AF101),2),"—"))</f>
        <v>1.01</v>
      </c>
      <c r="J24" s="87" t="n">
        <f aca="false">IF(Calculator!$E$15&lt;&gt;"YES","—",IFERROR(ROUND(MIN(AR36:AR101),2),"—"))</f>
        <v>1.05</v>
      </c>
      <c r="K24" s="87" t="n">
        <f aca="false">IF(Calculator!$E$15&lt;&gt;"YES","—",IFERROR(ROUND(MIN(BD36:BD101),2),"—"))</f>
        <v>1.06</v>
      </c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</row>
    <row r="25" customFormat="false" ht="15" hidden="false" customHeight="false" outlineLevel="0" collapsed="false">
      <c r="A25" s="87" t="str">
        <f aca="false">IF(Calculator!$E$16="YES","★ "&amp;"20m","20m")</f>
        <v>★ 20m</v>
      </c>
      <c r="B25" s="87" t="str">
        <f aca="false">IF(Calculator!$E$16&lt;&gt;"YES","—",IFERROR(INDEX($A$36:$A$101,MATCH(MIN(I36:I101),I36:I101,0)),"—"))</f>
        <v>4:1★</v>
      </c>
      <c r="C25" s="87" t="str">
        <f aca="false">IF(Calculator!$E$16&lt;&gt;"YES","—",IFERROR(INDEX($A$36:$A$101,MATCH(MIN(U36:U101),U36:U101,0)),"—"))</f>
        <v>4:1★</v>
      </c>
      <c r="D25" s="87" t="str">
        <f aca="false">IF(Calculator!$E$16&lt;&gt;"YES","—",IFERROR(INDEX($A$36:$A$101,MATCH(MIN(AG36:AG101),AG36:AG101,0)),"—"))</f>
        <v>4:1★</v>
      </c>
      <c r="E25" s="87" t="str">
        <f aca="false">IF(Calculator!$E$16&lt;&gt;"YES","—",IFERROR(INDEX($A$36:$A$101,MATCH(MIN(AS36:AS101),AS36:AS101,0)),"—"))</f>
        <v>4:1★</v>
      </c>
      <c r="F25" s="87" t="str">
        <f aca="false">IF(Calculator!$E$16&lt;&gt;"YES","—",IFERROR(INDEX($A$36:$A$101,MATCH(MIN(BE36:BE101),BE36:BE101,0)),"—"))</f>
        <v>4:1★</v>
      </c>
      <c r="G25" s="87" t="n">
        <f aca="false">IF(Calculator!$E$16&lt;&gt;"YES","—",IFERROR(ROUND(MIN(I36:I101),2),"—"))</f>
        <v>2.51</v>
      </c>
      <c r="H25" s="87" t="n">
        <f aca="false">IF(Calculator!$E$16&lt;&gt;"YES","—",IFERROR(ROUND(MIN(U36:U101),2),"—"))</f>
        <v>2.72</v>
      </c>
      <c r="I25" s="87" t="n">
        <f aca="false">IF(Calculator!$E$16&lt;&gt;"YES","—",IFERROR(ROUND(MIN(AG36:AG101),2),"—"))</f>
        <v>2.35</v>
      </c>
      <c r="J25" s="87" t="n">
        <f aca="false">IF(Calculator!$E$16&lt;&gt;"YES","—",IFERROR(ROUND(MIN(AS36:AS101),2),"—"))</f>
        <v>2.93</v>
      </c>
      <c r="K25" s="87" t="n">
        <f aca="false">IF(Calculator!$E$16&lt;&gt;"YES","—",IFERROR(ROUND(MIN(BE36:BE101),2),"—"))</f>
        <v>2.3</v>
      </c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</row>
    <row r="26" customFormat="false" ht="15" hidden="false" customHeight="false" outlineLevel="0" collapsed="false">
      <c r="A26" s="87" t="str">
        <f aca="false">IF(Calculator!$E$17="YES","★ "&amp;"17m","17m")</f>
        <v>★ 17m</v>
      </c>
      <c r="B26" s="87" t="str">
        <f aca="false">IF(Calculator!$E$17&lt;&gt;"YES","—",IFERROR(INDEX($A$36:$A$101,MATCH(MIN(J36:J101),J36:J101,0)),"—"))</f>
        <v>47:1</v>
      </c>
      <c r="C26" s="90" t="str">
        <f aca="false">IF(Calculator!$E$17&lt;&gt;"YES","—",IFERROR(INDEX($A$36:$A$101,MATCH(MIN(V36:V101),V36:V101,0)),"—"))</f>
        <v>42:1</v>
      </c>
      <c r="D26" s="91" t="str">
        <f aca="false">IF(Calculator!$E$17&lt;&gt;"YES","—",IFERROR(INDEX($A$36:$A$101,MATCH(MIN(AH36:AH101),AH36:AH101,0)),"—"))</f>
        <v>4:1★</v>
      </c>
      <c r="E26" s="91" t="str">
        <f aca="false">IF(Calculator!$E$17&lt;&gt;"YES","—",IFERROR(INDEX($A$36:$A$101,MATCH(MIN(AT36:AT101),AT36:AT101,0)),"—"))</f>
        <v>37:1</v>
      </c>
      <c r="F26" s="91" t="str">
        <f aca="false">IF(Calculator!$E$17&lt;&gt;"YES","—",IFERROR(INDEX($A$36:$A$101,MATCH(MIN(BF36:BF101),BF36:BF101,0)),"—"))</f>
        <v>52:1</v>
      </c>
      <c r="G26" s="91" t="n">
        <f aca="false">IF(Calculator!$E$17&lt;&gt;"YES","—",IFERROR(ROUND(MIN(J36:J101),2),"—"))</f>
        <v>1</v>
      </c>
      <c r="H26" s="91" t="n">
        <f aca="false">IF(Calculator!$E$17&lt;&gt;"YES","—",IFERROR(ROUND(MIN(V36:V101),2),"—"))</f>
        <v>1.01</v>
      </c>
      <c r="I26" s="91" t="n">
        <f aca="false">IF(Calculator!$E$17&lt;&gt;"YES","—",IFERROR(ROUND(MIN(AH36:AH101),2),"—"))</f>
        <v>2.48</v>
      </c>
      <c r="J26" s="91" t="n">
        <f aca="false">IF(Calculator!$E$17&lt;&gt;"YES","—",IFERROR(ROUND(MIN(AT36:AT101),2),"—"))</f>
        <v>1.01</v>
      </c>
      <c r="K26" s="91" t="n">
        <f aca="false">IF(Calculator!$E$17&lt;&gt;"YES","—",IFERROR(ROUND(MIN(BF36:BF101),2),"—"))</f>
        <v>1.01</v>
      </c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</row>
    <row r="27" customFormat="false" ht="15" hidden="false" customHeight="false" outlineLevel="0" collapsed="false">
      <c r="A27" s="87" t="str">
        <f aca="false">IF(Calculator!$E$18="YES","★ "&amp;"15m","15m")</f>
        <v>★ 15m</v>
      </c>
      <c r="B27" s="87" t="str">
        <f aca="false">IF(Calculator!$E$18&lt;&gt;"YES","—",IFERROR(INDEX($A$36:$A$101,MATCH(MIN(K36:K101),K36:K101,0)),"—"))</f>
        <v>51:1</v>
      </c>
      <c r="C27" s="90" t="str">
        <f aca="false">IF(Calculator!$E$18&lt;&gt;"YES","—",IFERROR(INDEX($A$36:$A$101,MATCH(MIN(W36:W101),W36:W101,0)),"—"))</f>
        <v>45:1</v>
      </c>
      <c r="D27" s="91" t="str">
        <f aca="false">IF(Calculator!$E$18&lt;&gt;"YES","—",IFERROR(INDEX($A$36:$A$101,MATCH(MIN(AI36:AI101),AI36:AI101,0)),"—"))</f>
        <v>4:1★</v>
      </c>
      <c r="E27" s="91" t="str">
        <f aca="false">IF(Calculator!$E$18&lt;&gt;"YES","—",IFERROR(INDEX($A$36:$A$101,MATCH(MIN(AU36:AU101),AU36:AU101,0)),"—"))</f>
        <v>39:1</v>
      </c>
      <c r="F27" s="91" t="str">
        <f aca="false">IF(Calculator!$E$18&lt;&gt;"YES","—",IFERROR(INDEX($A$36:$A$101,MATCH(MIN(BG36:BG101),BG36:BG101,0)),"—"))</f>
        <v>57:1</v>
      </c>
      <c r="G27" s="91" t="n">
        <f aca="false">IF(Calculator!$E$18&lt;&gt;"YES","—",IFERROR(ROUND(MIN(K36:K101),2),"—"))</f>
        <v>1</v>
      </c>
      <c r="H27" s="91" t="n">
        <f aca="false">IF(Calculator!$E$18&lt;&gt;"YES","—",IFERROR(ROUND(MIN(W36:W101),2),"—"))</f>
        <v>1.01</v>
      </c>
      <c r="I27" s="91" t="n">
        <f aca="false">IF(Calculator!$E$18&lt;&gt;"YES","—",IFERROR(ROUND(MIN(AI36:AI101),2),"—"))</f>
        <v>3.27</v>
      </c>
      <c r="J27" s="91" t="n">
        <f aca="false">IF(Calculator!$E$18&lt;&gt;"YES","—",IFERROR(ROUND(MIN(AU36:AU101),2),"—"))</f>
        <v>1.01</v>
      </c>
      <c r="K27" s="91" t="n">
        <f aca="false">IF(Calculator!$E$18&lt;&gt;"YES","—",IFERROR(ROUND(MIN(BG36:BG101),2),"—"))</f>
        <v>1.01</v>
      </c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2"/>
      <c r="AJ27" s="92"/>
      <c r="AK27" s="92"/>
      <c r="AL27" s="92"/>
    </row>
    <row r="28" customFormat="false" ht="15" hidden="false" customHeight="false" outlineLevel="0" collapsed="false">
      <c r="A28" s="87" t="str">
        <f aca="false">IF(Calculator!$E$19="YES","★ "&amp;"12m","12m")</f>
        <v>★ 12m</v>
      </c>
      <c r="B28" s="87" t="str">
        <f aca="false">IF(Calculator!$E$19&lt;&gt;"YES","—",IFERROR(INDEX($A$36:$A$101,MATCH(MIN(L36:L101),L36:L101,0)),"—"))</f>
        <v>51:1</v>
      </c>
      <c r="C28" s="90" t="str">
        <f aca="false">IF(Calculator!$E$19&lt;&gt;"YES","—",IFERROR(INDEX($A$36:$A$101,MATCH(MIN(X36:X101),X36:X101,0)),"—"))</f>
        <v>58:1</v>
      </c>
      <c r="D28" s="91" t="str">
        <f aca="false">IF(Calculator!$E$19&lt;&gt;"YES","—",IFERROR(INDEX($A$36:$A$101,MATCH(MIN(AJ36:AJ101),AJ36:AJ101,0)),"—"))</f>
        <v>6:1</v>
      </c>
      <c r="E28" s="91" t="str">
        <f aca="false">IF(Calculator!$E$19&lt;&gt;"YES","—",IFERROR(INDEX($A$36:$A$101,MATCH(MIN(AV36:AV101),AV36:AV101,0)),"—"))</f>
        <v>65:1</v>
      </c>
      <c r="F28" s="91" t="str">
        <f aca="false">IF(Calculator!$E$19&lt;&gt;"YES","—",IFERROR(INDEX($A$36:$A$101,MATCH(MIN(BH36:BH101),BH36:BH101,0)),"—"))</f>
        <v>44:1</v>
      </c>
      <c r="G28" s="91" t="n">
        <f aca="false">IF(Calculator!$E$19&lt;&gt;"YES","—",IFERROR(ROUND(MIN(L36:L101),2),"—"))</f>
        <v>1</v>
      </c>
      <c r="H28" s="91" t="n">
        <f aca="false">IF(Calculator!$E$19&lt;&gt;"YES","—",IFERROR(ROUND(MIN(X36:X101),2),"—"))</f>
        <v>1.01</v>
      </c>
      <c r="I28" s="91" t="n">
        <f aca="false">IF(Calculator!$E$19&lt;&gt;"YES","—",IFERROR(ROUND(MIN(AJ36:AJ101),2),"—"))</f>
        <v>1.04</v>
      </c>
      <c r="J28" s="91" t="n">
        <f aca="false">IF(Calculator!$E$19&lt;&gt;"YES","—",IFERROR(ROUND(MIN(AV36:AV101),2),"—"))</f>
        <v>1.01</v>
      </c>
      <c r="K28" s="91" t="n">
        <f aca="false">IF(Calculator!$E$19&lt;&gt;"YES","—",IFERROR(ROUND(MIN(BH36:BH101),2),"—"))</f>
        <v>1</v>
      </c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92"/>
      <c r="AG28" s="92"/>
      <c r="AH28" s="92"/>
      <c r="AI28" s="92"/>
      <c r="AJ28" s="92"/>
      <c r="AK28" s="92"/>
      <c r="AL28" s="92"/>
    </row>
    <row r="29" customFormat="false" ht="15" hidden="false" customHeight="false" outlineLevel="0" collapsed="false">
      <c r="A29" s="87" t="str">
        <f aca="false">IF(Calculator!$E$20="YES","★ "&amp;"10m","10m")</f>
        <v>★ 10m</v>
      </c>
      <c r="B29" s="87" t="str">
        <f aca="false">IF(Calculator!$E$20&lt;&gt;"YES","—",IFERROR(INDEX($A$36:$A$101,MATCH(MIN(M36:M101),M36:M101,0)),"—"))</f>
        <v>4:1★</v>
      </c>
      <c r="C29" s="90" t="str">
        <f aca="false">IF(Calculator!$E$20&lt;&gt;"YES","—",IFERROR(INDEX($A$36:$A$101,MATCH(MIN(Y36:Y101),Y36:Y101,0)),"—"))</f>
        <v>4:1★</v>
      </c>
      <c r="D29" s="91" t="str">
        <f aca="false">IF(Calculator!$E$20&lt;&gt;"YES","—",IFERROR(INDEX($A$36:$A$101,MATCH(MIN(AK36:AK101),AK36:AK101,0)),"—"))</f>
        <v>64:1★</v>
      </c>
      <c r="E29" s="91" t="str">
        <f aca="false">IF(Calculator!$E$20&lt;&gt;"YES","—",IFERROR(INDEX($A$36:$A$101,MATCH(MIN(AW36:AW101),AW36:AW101,0)),"—"))</f>
        <v>4:1★</v>
      </c>
      <c r="F29" s="91" t="str">
        <f aca="false">IF(Calculator!$E$20&lt;&gt;"YES","—",IFERROR(INDEX($A$36:$A$101,MATCH(MIN(BI36:BI101),BI36:BI101,0)),"—"))</f>
        <v>4:1★</v>
      </c>
      <c r="G29" s="91" t="n">
        <f aca="false">IF(Calculator!$E$20&lt;&gt;"YES","—",IFERROR(ROUND(MIN(M36:M101),2),"—"))</f>
        <v>2.08</v>
      </c>
      <c r="H29" s="91" t="n">
        <f aca="false">IF(Calculator!$E$20&lt;&gt;"YES","—",IFERROR(ROUND(MIN(Y36:Y101),2),"—"))</f>
        <v>1.68</v>
      </c>
      <c r="I29" s="91" t="n">
        <f aca="false">IF(Calculator!$E$20&lt;&gt;"YES","—",IFERROR(ROUND(MIN(AK36:AK101),2),"—"))</f>
        <v>1</v>
      </c>
      <c r="J29" s="91" t="n">
        <f aca="false">IF(Calculator!$E$20&lt;&gt;"YES","—",IFERROR(ROUND(MIN(AW36:AW101),2),"—"))</f>
        <v>1.34</v>
      </c>
      <c r="K29" s="91" t="n">
        <f aca="false">IF(Calculator!$E$20&lt;&gt;"YES","—",IFERROR(ROUND(MIN(BI36:BI101),2),"—"))</f>
        <v>2.5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</row>
    <row r="30" customFormat="false" ht="15" hidden="false" customHeight="false" outlineLevel="0" collapsed="false">
      <c r="A30" s="87" t="str">
        <f aca="false">IF(Calculator!$E$21="YES","★ "&amp;"6m","6m")</f>
        <v>★ 6m</v>
      </c>
      <c r="B30" s="87" t="str">
        <f aca="false">IF(Calculator!$E$21&lt;&gt;"YES","—",IFERROR(INDEX($A$36:$A$101,MATCH(MIN(N36:N101),N36:N101,0)),"—"))</f>
        <v>50:1</v>
      </c>
      <c r="C30" s="90" t="str">
        <f aca="false">IF(Calculator!$E$21&lt;&gt;"YES","—",IFERROR(INDEX($A$36:$A$101,MATCH(MIN(Z36:Z101),Z36:Z101,0)),"—"))</f>
        <v>36:1★</v>
      </c>
      <c r="D30" s="91" t="str">
        <f aca="false">IF(Calculator!$E$21&lt;&gt;"YES","—",IFERROR(INDEX($A$36:$A$101,MATCH(MIN(AL36:AL101),AL36:AL101,0)),"—"))</f>
        <v>56:1</v>
      </c>
      <c r="E30" s="91" t="str">
        <f aca="false">IF(Calculator!$E$21&lt;&gt;"YES","—",IFERROR(INDEX($A$36:$A$101,MATCH(MIN(AX36:AX101),AX36:AX101,0)),"—"))</f>
        <v>23:1</v>
      </c>
      <c r="F30" s="91" t="str">
        <f aca="false">IF(Calculator!$E$21&lt;&gt;"YES","—",IFERROR(INDEX($A$36:$A$101,MATCH(MIN(BJ36:BJ101),BJ36:BJ101,0)),"—"))</f>
        <v>65:1</v>
      </c>
      <c r="G30" s="91" t="n">
        <f aca="false">IF(Calculator!$E$21&lt;&gt;"YES","—",IFERROR(ROUND(MIN(N36:N101),2),"—"))</f>
        <v>1.01</v>
      </c>
      <c r="H30" s="91" t="n">
        <f aca="false">IF(Calculator!$E$21&lt;&gt;"YES","—",IFERROR(ROUND(MIN(Z36:Z101),2),"—"))</f>
        <v>1.01</v>
      </c>
      <c r="I30" s="91" t="n">
        <f aca="false">IF(Calculator!$E$21&lt;&gt;"YES","—",IFERROR(ROUND(MIN(AL36:AL101),2),"—"))</f>
        <v>1</v>
      </c>
      <c r="J30" s="91" t="n">
        <f aca="false">IF(Calculator!$E$21&lt;&gt;"YES","—",IFERROR(ROUND(MIN(AX36:AX101),2),"—"))</f>
        <v>1.02</v>
      </c>
      <c r="K30" s="91" t="n">
        <f aca="false">IF(Calculator!$E$21&lt;&gt;"YES","—",IFERROR(ROUND(MIN(BJ36:BJ101),2),"—"))</f>
        <v>1.01</v>
      </c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  <c r="AH30" s="92"/>
      <c r="AI30" s="92"/>
      <c r="AJ30" s="92"/>
      <c r="AK30" s="92"/>
      <c r="AL30" s="92"/>
    </row>
    <row r="31" customFormat="false" ht="15" hidden="false" customHeight="false" outlineLevel="0" collapsed="false">
      <c r="A31" s="62"/>
      <c r="B31" s="62"/>
      <c r="C31" s="93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  <c r="AH31" s="92"/>
      <c r="AI31" s="92"/>
      <c r="AJ31" s="92"/>
      <c r="AK31" s="92"/>
      <c r="AL31" s="92"/>
    </row>
    <row r="32" customFormat="false" ht="15" hidden="false" customHeight="true" outlineLevel="0" collapsed="false">
      <c r="A32" s="94" t="s">
        <v>82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</row>
    <row r="33" customFormat="false" ht="15" hidden="false" customHeight="true" outlineLevel="0" collapsed="false">
      <c r="A33" s="95" t="s">
        <v>83</v>
      </c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</row>
    <row r="34" customFormat="false" ht="26.85" hidden="false" customHeight="false" outlineLevel="0" collapsed="false">
      <c r="A34" s="96" t="s">
        <v>84</v>
      </c>
      <c r="B34" s="96" t="s">
        <v>85</v>
      </c>
      <c r="C34" s="97" t="s">
        <v>86</v>
      </c>
      <c r="D34" s="98" t="str">
        <f aca="false">"Antenna #"&amp;1&amp;" — "&amp;Calculator!$B$30&amp;" m  "&amp;Calculator!$H$30</f>
        <v>Antenna #1 — 46,3 m  Long wire – max performance</v>
      </c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9" t="str">
        <f aca="false">"Antenna #"&amp;2&amp;" — "&amp;Calculator!$B$31&amp;" m  "&amp;Calculator!$H$31</f>
        <v>Antenna #2 — 46,2 m  Long wire – max performance</v>
      </c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100" t="str">
        <f aca="false">"Antenna #"&amp;3&amp;" — "&amp;Calculator!$B$32&amp;" m  "&amp;Calculator!$H$32</f>
        <v>Antenna #3 — 44,1 m  Excellent home station</v>
      </c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1" t="str">
        <f aca="false">"Antenna #"&amp;4&amp;" — "&amp;Calculator!$B$33&amp;" m  "&amp;Calculator!$H$33</f>
        <v>Antenna #4 — 46,1 m  Long wire – max performance</v>
      </c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2" t="str">
        <f aca="false">"Antenna #"&amp;5&amp;" — "&amp;Calculator!$B$34&amp;" m  "&amp;Calculator!$H$34</f>
        <v>Antenna #5 — 46,4 m  Long wire – max performance</v>
      </c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</row>
    <row r="35" customFormat="false" ht="22.35" hidden="false" customHeight="false" outlineLevel="0" collapsed="false">
      <c r="A35" s="87"/>
      <c r="B35" s="87" t="s">
        <v>87</v>
      </c>
      <c r="C35" s="90" t="s">
        <v>88</v>
      </c>
      <c r="D35" s="103" t="s">
        <v>17</v>
      </c>
      <c r="E35" s="103" t="s">
        <v>19</v>
      </c>
      <c r="F35" s="103" t="s">
        <v>20</v>
      </c>
      <c r="G35" s="103" t="s">
        <v>21</v>
      </c>
      <c r="H35" s="103" t="s">
        <v>22</v>
      </c>
      <c r="I35" s="103" t="s">
        <v>23</v>
      </c>
      <c r="J35" s="103" t="s">
        <v>24</v>
      </c>
      <c r="K35" s="103" t="s">
        <v>25</v>
      </c>
      <c r="L35" s="103" t="s">
        <v>26</v>
      </c>
      <c r="M35" s="103" t="s">
        <v>27</v>
      </c>
      <c r="N35" s="103" t="s">
        <v>28</v>
      </c>
      <c r="O35" s="104" t="s">
        <v>89</v>
      </c>
      <c r="P35" s="103" t="s">
        <v>17</v>
      </c>
      <c r="Q35" s="103" t="s">
        <v>19</v>
      </c>
      <c r="R35" s="103" t="s">
        <v>20</v>
      </c>
      <c r="S35" s="103" t="s">
        <v>21</v>
      </c>
      <c r="T35" s="103" t="s">
        <v>22</v>
      </c>
      <c r="U35" s="103" t="s">
        <v>23</v>
      </c>
      <c r="V35" s="103" t="s">
        <v>24</v>
      </c>
      <c r="W35" s="103" t="s">
        <v>25</v>
      </c>
      <c r="X35" s="103" t="s">
        <v>26</v>
      </c>
      <c r="Y35" s="103" t="s">
        <v>27</v>
      </c>
      <c r="Z35" s="103" t="s">
        <v>28</v>
      </c>
      <c r="AA35" s="104" t="s">
        <v>89</v>
      </c>
      <c r="AB35" s="103" t="s">
        <v>17</v>
      </c>
      <c r="AC35" s="103" t="s">
        <v>19</v>
      </c>
      <c r="AD35" s="103" t="s">
        <v>20</v>
      </c>
      <c r="AE35" s="103" t="s">
        <v>21</v>
      </c>
      <c r="AF35" s="103" t="s">
        <v>22</v>
      </c>
      <c r="AG35" s="103" t="s">
        <v>23</v>
      </c>
      <c r="AH35" s="103" t="s">
        <v>24</v>
      </c>
      <c r="AI35" s="103" t="s">
        <v>25</v>
      </c>
      <c r="AJ35" s="103" t="s">
        <v>26</v>
      </c>
      <c r="AK35" s="103" t="s">
        <v>27</v>
      </c>
      <c r="AL35" s="103" t="s">
        <v>28</v>
      </c>
      <c r="AM35" s="105" t="s">
        <v>89</v>
      </c>
      <c r="AN35" s="106" t="s">
        <v>17</v>
      </c>
      <c r="AO35" s="106" t="s">
        <v>19</v>
      </c>
      <c r="AP35" s="106" t="s">
        <v>20</v>
      </c>
      <c r="AQ35" s="106" t="s">
        <v>21</v>
      </c>
      <c r="AR35" s="106" t="s">
        <v>22</v>
      </c>
      <c r="AS35" s="106" t="s">
        <v>23</v>
      </c>
      <c r="AT35" s="106" t="s">
        <v>24</v>
      </c>
      <c r="AU35" s="106" t="s">
        <v>25</v>
      </c>
      <c r="AV35" s="106" t="s">
        <v>26</v>
      </c>
      <c r="AW35" s="106" t="s">
        <v>27</v>
      </c>
      <c r="AX35" s="106" t="s">
        <v>28</v>
      </c>
      <c r="AY35" s="105" t="s">
        <v>89</v>
      </c>
      <c r="AZ35" s="106" t="s">
        <v>17</v>
      </c>
      <c r="BA35" s="106" t="s">
        <v>19</v>
      </c>
      <c r="BB35" s="106" t="s">
        <v>20</v>
      </c>
      <c r="BC35" s="106" t="s">
        <v>21</v>
      </c>
      <c r="BD35" s="106" t="s">
        <v>22</v>
      </c>
      <c r="BE35" s="106" t="s">
        <v>23</v>
      </c>
      <c r="BF35" s="106" t="s">
        <v>24</v>
      </c>
      <c r="BG35" s="106" t="s">
        <v>25</v>
      </c>
      <c r="BH35" s="106" t="s">
        <v>26</v>
      </c>
      <c r="BI35" s="106" t="s">
        <v>27</v>
      </c>
      <c r="BJ35" s="106" t="s">
        <v>28</v>
      </c>
      <c r="BK35" s="105" t="s">
        <v>89</v>
      </c>
    </row>
    <row r="36" customFormat="false" ht="15" hidden="false" customHeight="false" outlineLevel="0" collapsed="false">
      <c r="A36" s="107" t="s">
        <v>90</v>
      </c>
      <c r="B36" s="108" t="s">
        <v>91</v>
      </c>
      <c r="C36" s="109" t="n">
        <v>200</v>
      </c>
      <c r="D36" s="110" t="n">
        <f aca="false">IF(OR(Calculator!$E$11&lt;&gt;"YES",Calculator!$B$30&lt;Calculator!$G$11),"—",ROUND(MAX((50*POWER(80,POWER(COS(PI()*MOD(Calculator!$B$30/Calculator!$F$11,1)),2)))/$C36,$C36/(50*POWER(80,POWER(COS(PI()*MOD(Calculator!$B$30/Calculator!$F$11,1)),2)))),2))</f>
        <v>2.26</v>
      </c>
      <c r="E36" s="110" t="n">
        <f aca="false">IF(OR(Calculator!$E$12&lt;&gt;"YES",Calculator!$B$30&lt;Calculator!$G$12),"—",ROUND(MAX((50*POWER(80,POWER(COS(PI()*MOD(Calculator!$B$30/Calculator!$F$12,1)),2)))/$C36,$C36/(50*POWER(80,POWER(COS(PI()*MOD(Calculator!$B$30/Calculator!$F$12,1)),2)))),2))</f>
        <v>5.28</v>
      </c>
      <c r="F36" s="110" t="n">
        <f aca="false">IF(OR(Calculator!$E$13&lt;&gt;"YES",Calculator!$B$30&lt;Calculator!$G$13),"—",ROUND(MAX((50*POWER(80,POWER(COS(PI()*MOD(Calculator!$B$30/Calculator!$F$13,1)),2)))/$C36,$C36/(50*POWER(80,POWER(COS(PI()*MOD(Calculator!$B$30/Calculator!$F$13,1)),2)))),2))</f>
        <v>1.98</v>
      </c>
      <c r="G36" s="110" t="n">
        <f aca="false">IF(OR(Calculator!$E$14&lt;&gt;"YES",Calculator!$B$30&lt;Calculator!$G$14),"—",ROUND(MAX((50*POWER(80,POWER(COS(PI()*MOD(Calculator!$B$30/Calculator!$F$14,1)),2)))/$C36,$C36/(50*POWER(80,POWER(COS(PI()*MOD(Calculator!$B$30/Calculator!$F$14,1)),2)))),2))</f>
        <v>1.18</v>
      </c>
      <c r="H36" s="110" t="n">
        <f aca="false">IF(OR(Calculator!$E$15&lt;&gt;"YES",Calculator!$B$30&lt;Calculator!$G$15),"—",ROUND(MAX((50*POWER(80,POWER(COS(PI()*MOD(Calculator!$B$30/Calculator!$F$15,1)),2)))/$C36,$C36/(50*POWER(80,POWER(COS(PI()*MOD(Calculator!$B$30/Calculator!$F$15,1)),2)))),2))</f>
        <v>1.3</v>
      </c>
      <c r="I36" s="110" t="n">
        <f aca="false">IF(OR(Calculator!$E$16&lt;&gt;"YES",Calculator!$B$30&lt;Calculator!$G$16),"—",ROUND(MAX((50*POWER(80,POWER(COS(PI()*MOD(Calculator!$B$30/Calculator!$F$16,1)),2)))/$C36,$C36/(50*POWER(80,POWER(COS(PI()*MOD(Calculator!$B$30/Calculator!$F$16,1)),2)))),2))</f>
        <v>2.51</v>
      </c>
      <c r="J36" s="110" t="n">
        <f aca="false">IF(OR(Calculator!$E$17&lt;&gt;"YES",Calculator!$B$30&lt;Calculator!$G$17),"—",ROUND(MAX((50*POWER(80,POWER(COS(PI()*MOD(Calculator!$B$30/Calculator!$F$17,1)),2)))/$C36,$C36/(50*POWER(80,POWER(COS(PI()*MOD(Calculator!$B$30/Calculator!$F$17,1)),2)))),2))</f>
        <v>11.75</v>
      </c>
      <c r="K36" s="110" t="n">
        <f aca="false">IF(OR(Calculator!$E$18&lt;&gt;"YES",Calculator!$B$30&lt;Calculator!$G$18),"—",ROUND(MAX((50*POWER(80,POWER(COS(PI()*MOD(Calculator!$B$30/Calculator!$F$18,1)),2)))/$C36,$C36/(50*POWER(80,POWER(COS(PI()*MOD(Calculator!$B$30/Calculator!$F$18,1)),2)))),2))</f>
        <v>12.76</v>
      </c>
      <c r="L36" s="110" t="n">
        <f aca="false">IF(OR(Calculator!$E$19&lt;&gt;"YES",Calculator!$B$30&lt;Calculator!$G$19),"—",ROUND(MAX((50*POWER(80,POWER(COS(PI()*MOD(Calculator!$B$30/Calculator!$F$19,1)),2)))/$C36,$C36/(50*POWER(80,POWER(COS(PI()*MOD(Calculator!$B$30/Calculator!$F$19,1)),2)))),2))</f>
        <v>12.81</v>
      </c>
      <c r="M36" s="110" t="n">
        <f aca="false">IF(OR(Calculator!$E$20&lt;&gt;"YES",Calculator!$B$30&lt;Calculator!$G$20),"—",ROUND(MAX((50*POWER(80,POWER(COS(PI()*MOD(Calculator!$B$30/Calculator!$F$20,1)),2)))/$C36,$C36/(50*POWER(80,POWER(COS(PI()*MOD(Calculator!$B$30/Calculator!$F$20,1)),2)))),2))</f>
        <v>2.08</v>
      </c>
      <c r="N36" s="110" t="n">
        <f aca="false">IF(OR(Calculator!$E$21&lt;&gt;"YES",Calculator!$B$30&lt;Calculator!$G$21),"—",ROUND(MAX((50*POWER(80,POWER(COS(PI()*MOD(Calculator!$B$30/Calculator!$F$21,1)),2)))/$C36,$C36/(50*POWER(80,POWER(COS(PI()*MOD(Calculator!$B$30/Calculator!$F$21,1)),2)))),2))</f>
        <v>12.68</v>
      </c>
      <c r="O36" s="111" t="n">
        <f aca="false">IFERROR(ROUND((IF(ISNUMBER(D36),D36,0)+IF(ISNUMBER(E36),E36,0)+IF(ISNUMBER(F36),F36,0)+IF(ISNUMBER(G36),G36,0)+IF(ISNUMBER(H36),H36,0)+IF(ISNUMBER(I36),I36,0)+IF(ISNUMBER(J36),J36,0)+IF(ISNUMBER(K36),K36,0)+IF(ISNUMBER(L36),L36,0)+IF(ISNUMBER(M36),M36,0)+IF(ISNUMBER(N36),N36,0))/(IF(ISNUMBER(D36),1,0)+IF(ISNUMBER(E36),1,0)+IF(ISNUMBER(F36),1,0)+IF(ISNUMBER(G36),1,0)+IF(ISNUMBER(H36),1,0)+IF(ISNUMBER(I36),1,0)+IF(ISNUMBER(J36),1,0)+IF(ISNUMBER(K36),1,0)+IF(ISNUMBER(L36),1,0)+IF(ISNUMBER(M36),1,0)+IF(ISNUMBER(N36),1,0)),2),"")</f>
        <v>6.05</v>
      </c>
      <c r="P36" s="110" t="n">
        <f aca="false">IF(OR(Calculator!$E$11&lt;&gt;"YES",Calculator!$B$31&lt;Calculator!$G$11),"—",ROUND(MAX((50*POWER(80,POWER(COS(PI()*MOD(Calculator!$B$31/Calculator!$F$11,1)),2)))/$C36,$C36/(50*POWER(80,POWER(COS(PI()*MOD(Calculator!$B$31/Calculator!$F$11,1)),2)))),2))</f>
        <v>2.29</v>
      </c>
      <c r="Q36" s="110" t="n">
        <f aca="false">IF(OR(Calculator!$E$12&lt;&gt;"YES",Calculator!$B$31&lt;Calculator!$G$12),"—",ROUND(MAX((50*POWER(80,POWER(COS(PI()*MOD(Calculator!$B$31/Calculator!$F$12,1)),2)))/$C36,$C36/(50*POWER(80,POWER(COS(PI()*MOD(Calculator!$B$31/Calculator!$F$12,1)),2)))),2))</f>
        <v>5.45</v>
      </c>
      <c r="R36" s="110" t="n">
        <f aca="false">IF(OR(Calculator!$E$13&lt;&gt;"YES",Calculator!$B$31&lt;Calculator!$G$13),"—",ROUND(MAX((50*POWER(80,POWER(COS(PI()*MOD(Calculator!$B$31/Calculator!$F$13,1)),2)))/$C36,$C36/(50*POWER(80,POWER(COS(PI()*MOD(Calculator!$B$31/Calculator!$F$13,1)),2)))),2))</f>
        <v>1.88</v>
      </c>
      <c r="S36" s="110" t="n">
        <f aca="false">IF(OR(Calculator!$E$14&lt;&gt;"YES",Calculator!$B$31&lt;Calculator!$G$14),"—",ROUND(MAX((50*POWER(80,POWER(COS(PI()*MOD(Calculator!$B$31/Calculator!$F$14,1)),2)))/$C36,$C36/(50*POWER(80,POWER(COS(PI()*MOD(Calculator!$B$31/Calculator!$F$14,1)),2)))),2))</f>
        <v>1.11</v>
      </c>
      <c r="T36" s="110" t="n">
        <f aca="false">IF(OR(Calculator!$E$15&lt;&gt;"YES",Calculator!$B$31&lt;Calculator!$G$15),"—",ROUND(MAX((50*POWER(80,POWER(COS(PI()*MOD(Calculator!$B$31/Calculator!$F$15,1)),2)))/$C36,$C36/(50*POWER(80,POWER(COS(PI()*MOD(Calculator!$B$31/Calculator!$F$15,1)),2)))),2))</f>
        <v>1.43</v>
      </c>
      <c r="U36" s="110" t="n">
        <f aca="false">IF(OR(Calculator!$E$16&lt;&gt;"YES",Calculator!$B$31&lt;Calculator!$G$16),"—",ROUND(MAX((50*POWER(80,POWER(COS(PI()*MOD(Calculator!$B$31/Calculator!$F$16,1)),2)))/$C36,$C36/(50*POWER(80,POWER(COS(PI()*MOD(Calculator!$B$31/Calculator!$F$16,1)),2)))),2))</f>
        <v>2.72</v>
      </c>
      <c r="V36" s="110" t="n">
        <f aca="false">IF(OR(Calculator!$E$17&lt;&gt;"YES",Calculator!$B$31&lt;Calculator!$G$17),"—",ROUND(MAX((50*POWER(80,POWER(COS(PI()*MOD(Calculator!$B$31/Calculator!$F$17,1)),2)))/$C36,$C36/(50*POWER(80,POWER(COS(PI()*MOD(Calculator!$B$31/Calculator!$F$17,1)),2)))),2))</f>
        <v>10.43</v>
      </c>
      <c r="W36" s="110" t="n">
        <f aca="false">IF(OR(Calculator!$E$18&lt;&gt;"YES",Calculator!$B$31&lt;Calculator!$G$18),"—",ROUND(MAX((50*POWER(80,POWER(COS(PI()*MOD(Calculator!$B$31/Calculator!$F$18,1)),2)))/$C36,$C36/(50*POWER(80,POWER(COS(PI()*MOD(Calculator!$B$31/Calculator!$F$18,1)),2)))),2))</f>
        <v>11.19</v>
      </c>
      <c r="X36" s="110" t="n">
        <f aca="false">IF(OR(Calculator!$E$19&lt;&gt;"YES",Calculator!$B$31&lt;Calculator!$G$19),"—",ROUND(MAX((50*POWER(80,POWER(COS(PI()*MOD(Calculator!$B$31/Calculator!$F$19,1)),2)))/$C36,$C36/(50*POWER(80,POWER(COS(PI()*MOD(Calculator!$B$31/Calculator!$F$19,1)),2)))),2))</f>
        <v>14.66</v>
      </c>
      <c r="Y36" s="110" t="n">
        <f aca="false">IF(OR(Calculator!$E$20&lt;&gt;"YES",Calculator!$B$31&lt;Calculator!$G$20),"—",ROUND(MAX((50*POWER(80,POWER(COS(PI()*MOD(Calculator!$B$31/Calculator!$F$20,1)),2)))/$C36,$C36/(50*POWER(80,POWER(COS(PI()*MOD(Calculator!$B$31/Calculator!$F$20,1)),2)))),2))</f>
        <v>1.68</v>
      </c>
      <c r="Z36" s="110" t="n">
        <f aca="false">IF(OR(Calculator!$E$21&lt;&gt;"YES",Calculator!$B$31&lt;Calculator!$G$21),"—",ROUND(MAX((50*POWER(80,POWER(COS(PI()*MOD(Calculator!$B$31/Calculator!$F$21,1)),2)))/$C36,$C36/(50*POWER(80,POWER(COS(PI()*MOD(Calculator!$B$31/Calculator!$F$21,1)),2)))),2))</f>
        <v>8.94</v>
      </c>
      <c r="AA36" s="111" t="n">
        <f aca="false">IFERROR(ROUND((IF(ISNUMBER(P36),P36,0)+IF(ISNUMBER(Q36),Q36,0)+IF(ISNUMBER(R36),R36,0)+IF(ISNUMBER(S36),S36,0)+IF(ISNUMBER(T36),T36,0)+IF(ISNUMBER(U36),U36,0)+IF(ISNUMBER(V36),V36,0)+IF(ISNUMBER(W36),W36,0)+IF(ISNUMBER(X36),X36,0)+IF(ISNUMBER(Y36),Y36,0)+IF(ISNUMBER(Z36),Z36,0))/(IF(ISNUMBER(P36),1,0)+IF(ISNUMBER(Q36),1,0)+IF(ISNUMBER(R36),1,0)+IF(ISNUMBER(S36),1,0)+IF(ISNUMBER(T36),1,0)+IF(ISNUMBER(U36),1,0)+IF(ISNUMBER(V36),1,0)+IF(ISNUMBER(W36),1,0)+IF(ISNUMBER(X36),1,0)+IF(ISNUMBER(Y36),1,0)+IF(ISNUMBER(Z36),1,0)),2),"")</f>
        <v>5.62</v>
      </c>
      <c r="AB36" s="110" t="n">
        <f aca="false">IF(OR(Calculator!$E$11&lt;&gt;"YES",Calculator!$B$32&lt;Calculator!$G$11),"—",ROUND(MAX((50*POWER(80,POWER(COS(PI()*MOD(Calculator!$B$32/Calculator!$F$11,1)),2)))/$C36,$C36/(50*POWER(80,POWER(COS(PI()*MOD(Calculator!$B$32/Calculator!$F$11,1)),2)))),2))</f>
        <v>2.89</v>
      </c>
      <c r="AC36" s="110" t="n">
        <f aca="false">IF(OR(Calculator!$E$12&lt;&gt;"YES",Calculator!$B$32&lt;Calculator!$G$12),"—",ROUND(MAX((50*POWER(80,POWER(COS(PI()*MOD(Calculator!$B$32/Calculator!$F$12,1)),2)))/$C36,$C36/(50*POWER(80,POWER(COS(PI()*MOD(Calculator!$B$32/Calculator!$F$12,1)),2)))),2))</f>
        <v>10.06</v>
      </c>
      <c r="AD36" s="110" t="n">
        <f aca="false">IF(OR(Calculator!$E$13&lt;&gt;"YES",Calculator!$B$32&lt;Calculator!$G$13),"—",ROUND(MAX((50*POWER(80,POWER(COS(PI()*MOD(Calculator!$B$32/Calculator!$F$13,1)),2)))/$C36,$C36/(50*POWER(80,POWER(COS(PI()*MOD(Calculator!$B$32/Calculator!$F$13,1)),2)))),2))</f>
        <v>1.47</v>
      </c>
      <c r="AE36" s="110" t="n">
        <f aca="false">IF(OR(Calculator!$E$14&lt;&gt;"YES",Calculator!$B$32&lt;Calculator!$G$14),"—",ROUND(MAX((50*POWER(80,POWER(COS(PI()*MOD(Calculator!$B$32/Calculator!$F$14,1)),2)))/$C36,$C36/(50*POWER(80,POWER(COS(PI()*MOD(Calculator!$B$32/Calculator!$F$14,1)),2)))),2))</f>
        <v>3.72</v>
      </c>
      <c r="AF36" s="110" t="n">
        <f aca="false">IF(OR(Calculator!$E$15&lt;&gt;"YES",Calculator!$B$32&lt;Calculator!$G$15),"—",ROUND(MAX((50*POWER(80,POWER(COS(PI()*MOD(Calculator!$B$32/Calculator!$F$15,1)),2)))/$C36,$C36/(50*POWER(80,POWER(COS(PI()*MOD(Calculator!$B$32/Calculator!$F$15,1)),2)))),2))</f>
        <v>9.68</v>
      </c>
      <c r="AG36" s="110" t="n">
        <f aca="false">IF(OR(Calculator!$E$16&lt;&gt;"YES",Calculator!$B$32&lt;Calculator!$G$16),"—",ROUND(MAX((50*POWER(80,POWER(COS(PI()*MOD(Calculator!$B$32/Calculator!$F$16,1)),2)))/$C36,$C36/(50*POWER(80,POWER(COS(PI()*MOD(Calculator!$B$32/Calculator!$F$16,1)),2)))),2))</f>
        <v>2.35</v>
      </c>
      <c r="AH36" s="110" t="n">
        <f aca="false">IF(OR(Calculator!$E$17&lt;&gt;"YES",Calculator!$B$32&lt;Calculator!$G$17),"—",ROUND(MAX((50*POWER(80,POWER(COS(PI()*MOD(Calculator!$B$32/Calculator!$F$17,1)),2)))/$C36,$C36/(50*POWER(80,POWER(COS(PI()*MOD(Calculator!$B$32/Calculator!$F$17,1)),2)))),2))</f>
        <v>2.48</v>
      </c>
      <c r="AI36" s="110" t="n">
        <f aca="false">IF(OR(Calculator!$E$18&lt;&gt;"YES",Calculator!$B$32&lt;Calculator!$G$18),"—",ROUND(MAX((50*POWER(80,POWER(COS(PI()*MOD(Calculator!$B$32/Calculator!$F$18,1)),2)))/$C36,$C36/(50*POWER(80,POWER(COS(PI()*MOD(Calculator!$B$32/Calculator!$F$18,1)),2)))),2))</f>
        <v>3.27</v>
      </c>
      <c r="AJ36" s="110" t="n">
        <f aca="false">IF(OR(Calculator!$E$19&lt;&gt;"YES",Calculator!$B$32&lt;Calculator!$G$19),"—",ROUND(MAX((50*POWER(80,POWER(COS(PI()*MOD(Calculator!$B$32/Calculator!$F$19,1)),2)))/$C36,$C36/(50*POWER(80,POWER(COS(PI()*MOD(Calculator!$B$32/Calculator!$F$19,1)),2)))),2))</f>
        <v>1.45</v>
      </c>
      <c r="AK36" s="110" t="n">
        <f aca="false">IF(OR(Calculator!$E$20&lt;&gt;"YES",Calculator!$B$32&lt;Calculator!$G$20),"—",ROUND(MAX((50*POWER(80,POWER(COS(PI()*MOD(Calculator!$B$32/Calculator!$F$20,1)),2)))/$C36,$C36/(50*POWER(80,POWER(COS(PI()*MOD(Calculator!$B$32/Calculator!$F$20,1)),2)))),2))</f>
        <v>16.07</v>
      </c>
      <c r="AL36" s="110" t="n">
        <f aca="false">IF(OR(Calculator!$E$21&lt;&gt;"YES",Calculator!$B$32&lt;Calculator!$G$21),"—",ROUND(MAX((50*POWER(80,POWER(COS(PI()*MOD(Calculator!$B$32/Calculator!$F$21,1)),2)))/$C36,$C36/(50*POWER(80,POWER(COS(PI()*MOD(Calculator!$B$32/Calculator!$F$21,1)),2)))),2))</f>
        <v>13.94</v>
      </c>
      <c r="AM36" s="112" t="n">
        <f aca="false">IFERROR(ROUND((IF(ISNUMBER(AB36),AB36,0)+IF(ISNUMBER(AC36),AC36,0)+IF(ISNUMBER(AD36),AD36,0)+IF(ISNUMBER(AE36),AE36,0)+IF(ISNUMBER(AF36),AF36,0)+IF(ISNUMBER(AG36),AG36,0)+IF(ISNUMBER(AH36),AH36,0)+IF(ISNUMBER(AI36),AI36,0)+IF(ISNUMBER(AJ36),AJ36,0)+IF(ISNUMBER(AK36),AK36,0)+IF(ISNUMBER(AL36),AL36,0))/(IF(ISNUMBER(AB36),1,0)+IF(ISNUMBER(AC36),1,0)+IF(ISNUMBER(AD36),1,0)+IF(ISNUMBER(AE36),1,0)+IF(ISNUMBER(AF36),1,0)+IF(ISNUMBER(AG36),1,0)+IF(ISNUMBER(AH36),1,0)+IF(ISNUMBER(AI36),1,0)+IF(ISNUMBER(AJ36),1,0)+IF(ISNUMBER(AK36),1,0)+IF(ISNUMBER(AL36),1,0)),2),"")</f>
        <v>6.13</v>
      </c>
      <c r="AN36" s="113" t="n">
        <f aca="false">IF(OR(Calculator!$E$11&lt;&gt;"YES",Calculator!$B$33&lt;Calculator!$G$11),"—",ROUND(MAX((50*POWER(80,POWER(COS(PI()*MOD(Calculator!$B$33/Calculator!$F$11,1)),2)))/$C36,$C36/(50*POWER(80,POWER(COS(PI()*MOD(Calculator!$B$33/Calculator!$F$11,1)),2)))),2))</f>
        <v>2.32</v>
      </c>
      <c r="AO36" s="113" t="n">
        <f aca="false">IF(OR(Calculator!$E$12&lt;&gt;"YES",Calculator!$B$33&lt;Calculator!$G$12),"—",ROUND(MAX((50*POWER(80,POWER(COS(PI()*MOD(Calculator!$B$33/Calculator!$F$12,1)),2)))/$C36,$C36/(50*POWER(80,POWER(COS(PI()*MOD(Calculator!$B$33/Calculator!$F$12,1)),2)))),2))</f>
        <v>5.63</v>
      </c>
      <c r="AP36" s="113" t="n">
        <f aca="false">IF(OR(Calculator!$E$13&lt;&gt;"YES",Calculator!$B$33&lt;Calculator!$G$13),"—",ROUND(MAX((50*POWER(80,POWER(COS(PI()*MOD(Calculator!$B$33/Calculator!$F$13,1)),2)))/$C36,$C36/(50*POWER(80,POWER(COS(PI()*MOD(Calculator!$B$33/Calculator!$F$13,1)),2)))),2))</f>
        <v>1.79</v>
      </c>
      <c r="AQ36" s="113" t="n">
        <f aca="false">IF(OR(Calculator!$E$14&lt;&gt;"YES",Calculator!$B$33&lt;Calculator!$G$14),"—",ROUND(MAX((50*POWER(80,POWER(COS(PI()*MOD(Calculator!$B$33/Calculator!$F$14,1)),2)))/$C36,$C36/(50*POWER(80,POWER(COS(PI()*MOD(Calculator!$B$33/Calculator!$F$14,1)),2)))),2))</f>
        <v>1.04</v>
      </c>
      <c r="AR36" s="113" t="n">
        <f aca="false">IF(OR(Calculator!$E$15&lt;&gt;"YES",Calculator!$B$33&lt;Calculator!$G$15),"—",ROUND(MAX((50*POWER(80,POWER(COS(PI()*MOD(Calculator!$B$33/Calculator!$F$15,1)),2)))/$C36,$C36/(50*POWER(80,POWER(COS(PI()*MOD(Calculator!$B$33/Calculator!$F$15,1)),2)))),2))</f>
        <v>1.58</v>
      </c>
      <c r="AS36" s="113" t="n">
        <f aca="false">IF(OR(Calculator!$E$16&lt;&gt;"YES",Calculator!$B$33&lt;Calculator!$G$16),"—",ROUND(MAX((50*POWER(80,POWER(COS(PI()*MOD(Calculator!$B$33/Calculator!$F$16,1)),2)))/$C36,$C36/(50*POWER(80,POWER(COS(PI()*MOD(Calculator!$B$33/Calculator!$F$16,1)),2)))),2))</f>
        <v>2.93</v>
      </c>
      <c r="AT36" s="113" t="n">
        <f aca="false">IF(OR(Calculator!$E$17&lt;&gt;"YES",Calculator!$B$33&lt;Calculator!$G$17),"—",ROUND(MAX((50*POWER(80,POWER(COS(PI()*MOD(Calculator!$B$33/Calculator!$F$17,1)),2)))/$C36,$C36/(50*POWER(80,POWER(COS(PI()*MOD(Calculator!$B$33/Calculator!$F$17,1)),2)))),2))</f>
        <v>9.17</v>
      </c>
      <c r="AU36" s="113" t="n">
        <f aca="false">IF(OR(Calculator!$E$18&lt;&gt;"YES",Calculator!$B$33&lt;Calculator!$G$18),"—",ROUND(MAX((50*POWER(80,POWER(COS(PI()*MOD(Calculator!$B$33/Calculator!$F$18,1)),2)))/$C36,$C36/(50*POWER(80,POWER(COS(PI()*MOD(Calculator!$B$33/Calculator!$F$18,1)),2)))),2))</f>
        <v>9.67</v>
      </c>
      <c r="AV36" s="113" t="n">
        <f aca="false">IF(OR(Calculator!$E$19&lt;&gt;"YES",Calculator!$B$33&lt;Calculator!$G$19),"—",ROUND(MAX((50*POWER(80,POWER(COS(PI()*MOD(Calculator!$B$33/Calculator!$F$19,1)),2)))/$C36,$C36/(50*POWER(80,POWER(COS(PI()*MOD(Calculator!$B$33/Calculator!$F$19,1)),2)))),2))</f>
        <v>16.4</v>
      </c>
      <c r="AW36" s="113" t="n">
        <f aca="false">IF(OR(Calculator!$E$20&lt;&gt;"YES",Calculator!$B$33&lt;Calculator!$G$20),"—",ROUND(MAX((50*POWER(80,POWER(COS(PI()*MOD(Calculator!$B$33/Calculator!$F$20,1)),2)))/$C36,$C36/(50*POWER(80,POWER(COS(PI()*MOD(Calculator!$B$33/Calculator!$F$20,1)),2)))),2))</f>
        <v>1.34</v>
      </c>
      <c r="AX36" s="113" t="n">
        <f aca="false">IF(OR(Calculator!$E$21&lt;&gt;"YES",Calculator!$B$33&lt;Calculator!$G$21),"—",ROUND(MAX((50*POWER(80,POWER(COS(PI()*MOD(Calculator!$B$33/Calculator!$F$21,1)),2)))/$C36,$C36/(50*POWER(80,POWER(COS(PI()*MOD(Calculator!$B$33/Calculator!$F$21,1)),2)))),2))</f>
        <v>5.86</v>
      </c>
      <c r="AY36" s="112" t="n">
        <f aca="false">IFERROR(ROUND((IF(ISNUMBER(AN36),AN36,0)+IF(ISNUMBER(AO36),AO36,0)+IF(ISNUMBER(AP36),AP36,0)+IF(ISNUMBER(AQ36),AQ36,0)+IF(ISNUMBER(AR36),AR36,0)+IF(ISNUMBER(AS36),AS36,0)+IF(ISNUMBER(AT36),AT36,0)+IF(ISNUMBER(AU36),AU36,0)+IF(ISNUMBER(AV36),AV36,0)+IF(ISNUMBER(AW36),AW36,0)+IF(ISNUMBER(AX36),AX36,0))/(IF(ISNUMBER(AN36),1,0)+IF(ISNUMBER(AO36),1,0)+IF(ISNUMBER(AP36),1,0)+IF(ISNUMBER(AQ36),1,0)+IF(ISNUMBER(AR36),1,0)+IF(ISNUMBER(AS36),1,0)+IF(ISNUMBER(AT36),1,0)+IF(ISNUMBER(AU36),1,0)+IF(ISNUMBER(AV36),1,0)+IF(ISNUMBER(AW36),1,0)+IF(ISNUMBER(AX36),1,0)),2),"")</f>
        <v>5.25</v>
      </c>
      <c r="AZ36" s="113" t="n">
        <f aca="false">IF(OR(Calculator!$E$11&lt;&gt;"YES",Calculator!$B$34&lt;Calculator!$G$11),"—",ROUND(MAX((50*POWER(80,POWER(COS(PI()*MOD(Calculator!$B$34/Calculator!$F$11,1)),2)))/$C36,$C36/(50*POWER(80,POWER(COS(PI()*MOD(Calculator!$B$34/Calculator!$F$11,1)),2)))),2))</f>
        <v>2.24</v>
      </c>
      <c r="BA36" s="113" t="n">
        <f aca="false">IF(OR(Calculator!$E$12&lt;&gt;"YES",Calculator!$B$34&lt;Calculator!$G$12),"—",ROUND(MAX((50*POWER(80,POWER(COS(PI()*MOD(Calculator!$B$34/Calculator!$F$12,1)),2)))/$C36,$C36/(50*POWER(80,POWER(COS(PI()*MOD(Calculator!$B$34/Calculator!$F$12,1)),2)))),2))</f>
        <v>5.11</v>
      </c>
      <c r="BB36" s="113" t="n">
        <f aca="false">IF(OR(Calculator!$E$13&lt;&gt;"YES",Calculator!$B$34&lt;Calculator!$G$13),"—",ROUND(MAX((50*POWER(80,POWER(COS(PI()*MOD(Calculator!$B$34/Calculator!$F$13,1)),2)))/$C36,$C36/(50*POWER(80,POWER(COS(PI()*MOD(Calculator!$B$34/Calculator!$F$13,1)),2)))),2))</f>
        <v>2.09</v>
      </c>
      <c r="BC36" s="113" t="n">
        <f aca="false">IF(OR(Calculator!$E$14&lt;&gt;"YES",Calculator!$B$34&lt;Calculator!$G$14),"—",ROUND(MAX((50*POWER(80,POWER(COS(PI()*MOD(Calculator!$B$34/Calculator!$F$14,1)),2)))/$C36,$C36/(50*POWER(80,POWER(COS(PI()*MOD(Calculator!$B$34/Calculator!$F$14,1)),2)))),2))</f>
        <v>1.26</v>
      </c>
      <c r="BD36" s="113" t="n">
        <f aca="false">IF(OR(Calculator!$E$15&lt;&gt;"YES",Calculator!$B$34&lt;Calculator!$G$15),"—",ROUND(MAX((50*POWER(80,POWER(COS(PI()*MOD(Calculator!$B$34/Calculator!$F$15,1)),2)))/$C36,$C36/(50*POWER(80,POWER(COS(PI()*MOD(Calculator!$B$34/Calculator!$F$15,1)),2)))),2))</f>
        <v>1.18</v>
      </c>
      <c r="BE36" s="113" t="n">
        <f aca="false">IF(OR(Calculator!$E$16&lt;&gt;"YES",Calculator!$B$34&lt;Calculator!$G$16),"—",ROUND(MAX((50*POWER(80,POWER(COS(PI()*MOD(Calculator!$B$34/Calculator!$F$16,1)),2)))/$C36,$C36/(50*POWER(80,POWER(COS(PI()*MOD(Calculator!$B$34/Calculator!$F$16,1)),2)))),2))</f>
        <v>2.3</v>
      </c>
      <c r="BF36" s="113" t="n">
        <f aca="false">IF(OR(Calculator!$E$17&lt;&gt;"YES",Calculator!$B$34&lt;Calculator!$G$17),"—",ROUND(MAX((50*POWER(80,POWER(COS(PI()*MOD(Calculator!$B$34/Calculator!$F$17,1)),2)))/$C36,$C36/(50*POWER(80,POWER(COS(PI()*MOD(Calculator!$B$34/Calculator!$F$17,1)),2)))),2))</f>
        <v>13.11</v>
      </c>
      <c r="BG36" s="113" t="n">
        <f aca="false">IF(OR(Calculator!$E$18&lt;&gt;"YES",Calculator!$B$34&lt;Calculator!$G$18),"—",ROUND(MAX((50*POWER(80,POWER(COS(PI()*MOD(Calculator!$B$34/Calculator!$F$18,1)),2)))/$C36,$C36/(50*POWER(80,POWER(COS(PI()*MOD(Calculator!$B$34/Calculator!$F$18,1)),2)))),2))</f>
        <v>14.34</v>
      </c>
      <c r="BH36" s="113" t="n">
        <f aca="false">IF(OR(Calculator!$E$19&lt;&gt;"YES",Calculator!$B$34&lt;Calculator!$G$19),"—",ROUND(MAX((50*POWER(80,POWER(COS(PI()*MOD(Calculator!$B$34/Calculator!$F$19,1)),2)))/$C36,$C36/(50*POWER(80,POWER(COS(PI()*MOD(Calculator!$B$34/Calculator!$F$19,1)),2)))),2))</f>
        <v>10.96</v>
      </c>
      <c r="BI36" s="113" t="n">
        <f aca="false">IF(OR(Calculator!$E$20&lt;&gt;"YES",Calculator!$B$34&lt;Calculator!$G$20),"—",ROUND(MAX((50*POWER(80,POWER(COS(PI()*MOD(Calculator!$B$34/Calculator!$F$20,1)),2)))/$C36,$C36/(50*POWER(80,POWER(COS(PI()*MOD(Calculator!$B$34/Calculator!$F$20,1)),2)))),2))</f>
        <v>2.5</v>
      </c>
      <c r="BJ36" s="113" t="n">
        <f aca="false">IF(OR(Calculator!$E$21&lt;&gt;"YES",Calculator!$B$34&lt;Calculator!$G$21),"—",ROUND(MAX((50*POWER(80,POWER(COS(PI()*MOD(Calculator!$B$34/Calculator!$F$21,1)),2)))/$C36,$C36/(50*POWER(80,POWER(COS(PI()*MOD(Calculator!$B$34/Calculator!$F$21,1)),2)))),2))</f>
        <v>16.42</v>
      </c>
      <c r="BK36" s="112" t="n">
        <f aca="false">IFERROR(ROUND((IF(ISNUMBER(AZ36),AZ36,0)+IF(ISNUMBER(BA36),BA36,0)+IF(ISNUMBER(BB36),BB36,0)+IF(ISNUMBER(BC36),BC36,0)+IF(ISNUMBER(BD36),BD36,0)+IF(ISNUMBER(BE36),BE36,0)+IF(ISNUMBER(BF36),BF36,0)+IF(ISNUMBER(BG36),BG36,0)+IF(ISNUMBER(BH36),BH36,0)+IF(ISNUMBER(BI36),BI36,0)+IF(ISNUMBER(BJ36),BJ36,0))/(IF(ISNUMBER(AZ36),1,0)+IF(ISNUMBER(BA36),1,0)+IF(ISNUMBER(BB36),1,0)+IF(ISNUMBER(BC36),1,0)+IF(ISNUMBER(BD36),1,0)+IF(ISNUMBER(BE36),1,0)+IF(ISNUMBER(BF36),1,0)+IF(ISNUMBER(BG36),1,0)+IF(ISNUMBER(BH36),1,0)+IF(ISNUMBER(BI36),1,0)+IF(ISNUMBER(BJ36),1,0)),2),"")</f>
        <v>6.5</v>
      </c>
    </row>
    <row r="37" customFormat="false" ht="15" hidden="false" customHeight="false" outlineLevel="0" collapsed="false">
      <c r="A37" s="87" t="s">
        <v>92</v>
      </c>
      <c r="B37" s="87" t="s">
        <v>93</v>
      </c>
      <c r="C37" s="90" t="n">
        <v>250</v>
      </c>
      <c r="D37" s="91" t="n">
        <f aca="false">IF(OR(Calculator!$E$11&lt;&gt;"YES",Calculator!$B$30&lt;Calculator!$G$11),"—",ROUND(MAX((50*POWER(80,POWER(COS(PI()*MOD(Calculator!$B$30/Calculator!$F$11,1)),2)))/$C37,$C37/(50*POWER(80,POWER(COS(PI()*MOD(Calculator!$B$30/Calculator!$F$11,1)),2)))),2))</f>
        <v>2.83</v>
      </c>
      <c r="E37" s="91" t="n">
        <f aca="false">IF(OR(Calculator!$E$12&lt;&gt;"YES",Calculator!$B$30&lt;Calculator!$G$12),"—",ROUND(MAX((50*POWER(80,POWER(COS(PI()*MOD(Calculator!$B$30/Calculator!$F$12,1)),2)))/$C37,$C37/(50*POWER(80,POWER(COS(PI()*MOD(Calculator!$B$30/Calculator!$F$12,1)),2)))),2))</f>
        <v>4.22</v>
      </c>
      <c r="F37" s="91" t="n">
        <f aca="false">IF(OR(Calculator!$E$13&lt;&gt;"YES",Calculator!$B$30&lt;Calculator!$G$13),"—",ROUND(MAX((50*POWER(80,POWER(COS(PI()*MOD(Calculator!$B$30/Calculator!$F$13,1)),2)))/$C37,$C37/(50*POWER(80,POWER(COS(PI()*MOD(Calculator!$B$30/Calculator!$F$13,1)),2)))),2))</f>
        <v>1.58</v>
      </c>
      <c r="G37" s="91" t="n">
        <f aca="false">IF(OR(Calculator!$E$14&lt;&gt;"YES",Calculator!$B$30&lt;Calculator!$G$14),"—",ROUND(MAX((50*POWER(80,POWER(COS(PI()*MOD(Calculator!$B$30/Calculator!$F$14,1)),2)))/$C37,$C37/(50*POWER(80,POWER(COS(PI()*MOD(Calculator!$B$30/Calculator!$F$14,1)),2)))),2))</f>
        <v>1.48</v>
      </c>
      <c r="H37" s="91" t="n">
        <f aca="false">IF(OR(Calculator!$E$15&lt;&gt;"YES",Calculator!$B$30&lt;Calculator!$G$15),"—",ROUND(MAX((50*POWER(80,POWER(COS(PI()*MOD(Calculator!$B$30/Calculator!$F$15,1)),2)))/$C37,$C37/(50*POWER(80,POWER(COS(PI()*MOD(Calculator!$B$30/Calculator!$F$15,1)),2)))),2))</f>
        <v>1.04</v>
      </c>
      <c r="I37" s="91" t="n">
        <f aca="false">IF(OR(Calculator!$E$16&lt;&gt;"YES",Calculator!$B$30&lt;Calculator!$G$16),"—",ROUND(MAX((50*POWER(80,POWER(COS(PI()*MOD(Calculator!$B$30/Calculator!$F$16,1)),2)))/$C37,$C37/(50*POWER(80,POWER(COS(PI()*MOD(Calculator!$B$30/Calculator!$F$16,1)),2)))),2))</f>
        <v>3.14</v>
      </c>
      <c r="J37" s="91" t="n">
        <f aca="false">IF(OR(Calculator!$E$17&lt;&gt;"YES",Calculator!$B$30&lt;Calculator!$G$17),"—",ROUND(MAX((50*POWER(80,POWER(COS(PI()*MOD(Calculator!$B$30/Calculator!$F$17,1)),2)))/$C37,$C37/(50*POWER(80,POWER(COS(PI()*MOD(Calculator!$B$30/Calculator!$F$17,1)),2)))),2))</f>
        <v>9.4</v>
      </c>
      <c r="K37" s="91" t="n">
        <f aca="false">IF(OR(Calculator!$E$18&lt;&gt;"YES",Calculator!$B$30&lt;Calculator!$G$18),"—",ROUND(MAX((50*POWER(80,POWER(COS(PI()*MOD(Calculator!$B$30/Calculator!$F$18,1)),2)))/$C37,$C37/(50*POWER(80,POWER(COS(PI()*MOD(Calculator!$B$30/Calculator!$F$18,1)),2)))),2))</f>
        <v>10.21</v>
      </c>
      <c r="L37" s="91" t="n">
        <f aca="false">IF(OR(Calculator!$E$19&lt;&gt;"YES",Calculator!$B$30&lt;Calculator!$G$19),"—",ROUND(MAX((50*POWER(80,POWER(COS(PI()*MOD(Calculator!$B$30/Calculator!$F$19,1)),2)))/$C37,$C37/(50*POWER(80,POWER(COS(PI()*MOD(Calculator!$B$30/Calculator!$F$19,1)),2)))),2))</f>
        <v>10.25</v>
      </c>
      <c r="M37" s="91" t="n">
        <f aca="false">IF(OR(Calculator!$E$20&lt;&gt;"YES",Calculator!$B$30&lt;Calculator!$G$20),"—",ROUND(MAX((50*POWER(80,POWER(COS(PI()*MOD(Calculator!$B$30/Calculator!$F$20,1)),2)))/$C37,$C37/(50*POWER(80,POWER(COS(PI()*MOD(Calculator!$B$30/Calculator!$F$20,1)),2)))),2))</f>
        <v>2.6</v>
      </c>
      <c r="N37" s="91" t="n">
        <f aca="false">IF(OR(Calculator!$E$21&lt;&gt;"YES",Calculator!$B$30&lt;Calculator!$G$21),"—",ROUND(MAX((50*POWER(80,POWER(COS(PI()*MOD(Calculator!$B$30/Calculator!$F$21,1)),2)))/$C37,$C37/(50*POWER(80,POWER(COS(PI()*MOD(Calculator!$B$30/Calculator!$F$21,1)),2)))),2))</f>
        <v>10.14</v>
      </c>
      <c r="O37" s="114" t="n">
        <f aca="false">IFERROR(ROUND((IF(ISNUMBER(D37),D37,0)+IF(ISNUMBER(E37),E37,0)+IF(ISNUMBER(F37),F37,0)+IF(ISNUMBER(G37),G37,0)+IF(ISNUMBER(H37),H37,0)+IF(ISNUMBER(I37),I37,0)+IF(ISNUMBER(J37),J37,0)+IF(ISNUMBER(K37),K37,0)+IF(ISNUMBER(L37),L37,0)+IF(ISNUMBER(M37),M37,0)+IF(ISNUMBER(N37),N37,0))/(IF(ISNUMBER(D37),1,0)+IF(ISNUMBER(E37),1,0)+IF(ISNUMBER(F37),1,0)+IF(ISNUMBER(G37),1,0)+IF(ISNUMBER(H37),1,0)+IF(ISNUMBER(I37),1,0)+IF(ISNUMBER(J37),1,0)+IF(ISNUMBER(K37),1,0)+IF(ISNUMBER(L37),1,0)+IF(ISNUMBER(M37),1,0)+IF(ISNUMBER(N37),1,0)),2),"")</f>
        <v>5.17</v>
      </c>
      <c r="P37" s="91" t="n">
        <f aca="false">IF(OR(Calculator!$E$11&lt;&gt;"YES",Calculator!$B$31&lt;Calculator!$G$11),"—",ROUND(MAX((50*POWER(80,POWER(COS(PI()*MOD(Calculator!$B$31/Calculator!$F$11,1)),2)))/$C37,$C37/(50*POWER(80,POWER(COS(PI()*MOD(Calculator!$B$31/Calculator!$F$11,1)),2)))),2))</f>
        <v>2.87</v>
      </c>
      <c r="Q37" s="91" t="n">
        <f aca="false">IF(OR(Calculator!$E$12&lt;&gt;"YES",Calculator!$B$31&lt;Calculator!$G$12),"—",ROUND(MAX((50*POWER(80,POWER(COS(PI()*MOD(Calculator!$B$31/Calculator!$F$12,1)),2)))/$C37,$C37/(50*POWER(80,POWER(COS(PI()*MOD(Calculator!$B$31/Calculator!$F$12,1)),2)))),2))</f>
        <v>4.36</v>
      </c>
      <c r="R37" s="91" t="n">
        <f aca="false">IF(OR(Calculator!$E$13&lt;&gt;"YES",Calculator!$B$31&lt;Calculator!$G$13),"—",ROUND(MAX((50*POWER(80,POWER(COS(PI()*MOD(Calculator!$B$31/Calculator!$F$13,1)),2)))/$C37,$C37/(50*POWER(80,POWER(COS(PI()*MOD(Calculator!$B$31/Calculator!$F$13,1)),2)))),2))</f>
        <v>1.51</v>
      </c>
      <c r="S37" s="91" t="n">
        <f aca="false">IF(OR(Calculator!$E$14&lt;&gt;"YES",Calculator!$B$31&lt;Calculator!$G$14),"—",ROUND(MAX((50*POWER(80,POWER(COS(PI()*MOD(Calculator!$B$31/Calculator!$F$14,1)),2)))/$C37,$C37/(50*POWER(80,POWER(COS(PI()*MOD(Calculator!$B$31/Calculator!$F$14,1)),2)))),2))</f>
        <v>1.39</v>
      </c>
      <c r="T37" s="91" t="n">
        <f aca="false">IF(OR(Calculator!$E$15&lt;&gt;"YES",Calculator!$B$31&lt;Calculator!$G$15),"—",ROUND(MAX((50*POWER(80,POWER(COS(PI()*MOD(Calculator!$B$31/Calculator!$F$15,1)),2)))/$C37,$C37/(50*POWER(80,POWER(COS(PI()*MOD(Calculator!$B$31/Calculator!$F$15,1)),2)))),2))</f>
        <v>1.15</v>
      </c>
      <c r="U37" s="91" t="n">
        <f aca="false">IF(OR(Calculator!$E$16&lt;&gt;"YES",Calculator!$B$31&lt;Calculator!$G$16),"—",ROUND(MAX((50*POWER(80,POWER(COS(PI()*MOD(Calculator!$B$31/Calculator!$F$16,1)),2)))/$C37,$C37/(50*POWER(80,POWER(COS(PI()*MOD(Calculator!$B$31/Calculator!$F$16,1)),2)))),2))</f>
        <v>3.41</v>
      </c>
      <c r="V37" s="91" t="n">
        <f aca="false">IF(OR(Calculator!$E$17&lt;&gt;"YES",Calculator!$B$31&lt;Calculator!$G$17),"—",ROUND(MAX((50*POWER(80,POWER(COS(PI()*MOD(Calculator!$B$31/Calculator!$F$17,1)),2)))/$C37,$C37/(50*POWER(80,POWER(COS(PI()*MOD(Calculator!$B$31/Calculator!$F$17,1)),2)))),2))</f>
        <v>8.34</v>
      </c>
      <c r="W37" s="91" t="n">
        <f aca="false">IF(OR(Calculator!$E$18&lt;&gt;"YES",Calculator!$B$31&lt;Calculator!$G$18),"—",ROUND(MAX((50*POWER(80,POWER(COS(PI()*MOD(Calculator!$B$31/Calculator!$F$18,1)),2)))/$C37,$C37/(50*POWER(80,POWER(COS(PI()*MOD(Calculator!$B$31/Calculator!$F$18,1)),2)))),2))</f>
        <v>8.95</v>
      </c>
      <c r="X37" s="91" t="n">
        <f aca="false">IF(OR(Calculator!$E$19&lt;&gt;"YES",Calculator!$B$31&lt;Calculator!$G$19),"—",ROUND(MAX((50*POWER(80,POWER(COS(PI()*MOD(Calculator!$B$31/Calculator!$F$19,1)),2)))/$C37,$C37/(50*POWER(80,POWER(COS(PI()*MOD(Calculator!$B$31/Calculator!$F$19,1)),2)))),2))</f>
        <v>11.73</v>
      </c>
      <c r="Y37" s="91" t="n">
        <f aca="false">IF(OR(Calculator!$E$20&lt;&gt;"YES",Calculator!$B$31&lt;Calculator!$G$20),"—",ROUND(MAX((50*POWER(80,POWER(COS(PI()*MOD(Calculator!$B$31/Calculator!$F$20,1)),2)))/$C37,$C37/(50*POWER(80,POWER(COS(PI()*MOD(Calculator!$B$31/Calculator!$F$20,1)),2)))),2))</f>
        <v>2.11</v>
      </c>
      <c r="Z37" s="91" t="n">
        <f aca="false">IF(OR(Calculator!$E$21&lt;&gt;"YES",Calculator!$B$31&lt;Calculator!$G$21),"—",ROUND(MAX((50*POWER(80,POWER(COS(PI()*MOD(Calculator!$B$31/Calculator!$F$21,1)),2)))/$C37,$C37/(50*POWER(80,POWER(COS(PI()*MOD(Calculator!$B$31/Calculator!$F$21,1)),2)))),2))</f>
        <v>7.15</v>
      </c>
      <c r="AA37" s="114" t="n">
        <f aca="false">IFERROR(ROUND((IF(ISNUMBER(P37),P37,0)+IF(ISNUMBER(Q37),Q37,0)+IF(ISNUMBER(R37),R37,0)+IF(ISNUMBER(S37),S37,0)+IF(ISNUMBER(T37),T37,0)+IF(ISNUMBER(U37),U37,0)+IF(ISNUMBER(V37),V37,0)+IF(ISNUMBER(W37),W37,0)+IF(ISNUMBER(X37),X37,0)+IF(ISNUMBER(Y37),Y37,0)+IF(ISNUMBER(Z37),Z37,0))/(IF(ISNUMBER(P37),1,0)+IF(ISNUMBER(Q37),1,0)+IF(ISNUMBER(R37),1,0)+IF(ISNUMBER(S37),1,0)+IF(ISNUMBER(T37),1,0)+IF(ISNUMBER(U37),1,0)+IF(ISNUMBER(V37),1,0)+IF(ISNUMBER(W37),1,0)+IF(ISNUMBER(X37),1,0)+IF(ISNUMBER(Y37),1,0)+IF(ISNUMBER(Z37),1,0)),2),"")</f>
        <v>4.82</v>
      </c>
      <c r="AB37" s="91" t="n">
        <f aca="false">IF(OR(Calculator!$E$11&lt;&gt;"YES",Calculator!$B$32&lt;Calculator!$G$11),"—",ROUND(MAX((50*POWER(80,POWER(COS(PI()*MOD(Calculator!$B$32/Calculator!$F$11,1)),2)))/$C37,$C37/(50*POWER(80,POWER(COS(PI()*MOD(Calculator!$B$32/Calculator!$F$11,1)),2)))),2))</f>
        <v>3.61</v>
      </c>
      <c r="AC37" s="91" t="n">
        <f aca="false">IF(OR(Calculator!$E$12&lt;&gt;"YES",Calculator!$B$32&lt;Calculator!$G$12),"—",ROUND(MAX((50*POWER(80,POWER(COS(PI()*MOD(Calculator!$B$32/Calculator!$F$12,1)),2)))/$C37,$C37/(50*POWER(80,POWER(COS(PI()*MOD(Calculator!$B$32/Calculator!$F$12,1)),2)))),2))</f>
        <v>8.05</v>
      </c>
      <c r="AD37" s="91" t="n">
        <f aca="false">IF(OR(Calculator!$E$13&lt;&gt;"YES",Calculator!$B$32&lt;Calculator!$G$13),"—",ROUND(MAX((50*POWER(80,POWER(COS(PI()*MOD(Calculator!$B$32/Calculator!$F$13,1)),2)))/$C37,$C37/(50*POWER(80,POWER(COS(PI()*MOD(Calculator!$B$32/Calculator!$F$13,1)),2)))),2))</f>
        <v>1.84</v>
      </c>
      <c r="AE37" s="91" t="n">
        <f aca="false">IF(OR(Calculator!$E$14&lt;&gt;"YES",Calculator!$B$32&lt;Calculator!$G$14),"—",ROUND(MAX((50*POWER(80,POWER(COS(PI()*MOD(Calculator!$B$32/Calculator!$F$14,1)),2)))/$C37,$C37/(50*POWER(80,POWER(COS(PI()*MOD(Calculator!$B$32/Calculator!$F$14,1)),2)))),2))</f>
        <v>2.97</v>
      </c>
      <c r="AF37" s="91" t="n">
        <f aca="false">IF(OR(Calculator!$E$15&lt;&gt;"YES",Calculator!$B$32&lt;Calculator!$G$15),"—",ROUND(MAX((50*POWER(80,POWER(COS(PI()*MOD(Calculator!$B$32/Calculator!$F$15,1)),2)))/$C37,$C37/(50*POWER(80,POWER(COS(PI()*MOD(Calculator!$B$32/Calculator!$F$15,1)),2)))),2))</f>
        <v>7.74</v>
      </c>
      <c r="AG37" s="91" t="n">
        <f aca="false">IF(OR(Calculator!$E$16&lt;&gt;"YES",Calculator!$B$32&lt;Calculator!$G$16),"—",ROUND(MAX((50*POWER(80,POWER(COS(PI()*MOD(Calculator!$B$32/Calculator!$F$16,1)),2)))/$C37,$C37/(50*POWER(80,POWER(COS(PI()*MOD(Calculator!$B$32/Calculator!$F$16,1)),2)))),2))</f>
        <v>2.94</v>
      </c>
      <c r="AH37" s="91" t="n">
        <f aca="false">IF(OR(Calculator!$E$17&lt;&gt;"YES",Calculator!$B$32&lt;Calculator!$G$17),"—",ROUND(MAX((50*POWER(80,POWER(COS(PI()*MOD(Calculator!$B$32/Calculator!$F$17,1)),2)))/$C37,$C37/(50*POWER(80,POWER(COS(PI()*MOD(Calculator!$B$32/Calculator!$F$17,1)),2)))),2))</f>
        <v>3.1</v>
      </c>
      <c r="AI37" s="91" t="n">
        <f aca="false">IF(OR(Calculator!$E$18&lt;&gt;"YES",Calculator!$B$32&lt;Calculator!$G$18),"—",ROUND(MAX((50*POWER(80,POWER(COS(PI()*MOD(Calculator!$B$32/Calculator!$F$18,1)),2)))/$C37,$C37/(50*POWER(80,POWER(COS(PI()*MOD(Calculator!$B$32/Calculator!$F$18,1)),2)))),2))</f>
        <v>4.09</v>
      </c>
      <c r="AJ37" s="91" t="n">
        <f aca="false">IF(OR(Calculator!$E$19&lt;&gt;"YES",Calculator!$B$32&lt;Calculator!$G$19),"—",ROUND(MAX((50*POWER(80,POWER(COS(PI()*MOD(Calculator!$B$32/Calculator!$F$19,1)),2)))/$C37,$C37/(50*POWER(80,POWER(COS(PI()*MOD(Calculator!$B$32/Calculator!$F$19,1)),2)))),2))</f>
        <v>1.16</v>
      </c>
      <c r="AK37" s="91" t="n">
        <f aca="false">IF(OR(Calculator!$E$20&lt;&gt;"YES",Calculator!$B$32&lt;Calculator!$G$20),"—",ROUND(MAX((50*POWER(80,POWER(COS(PI()*MOD(Calculator!$B$32/Calculator!$F$20,1)),2)))/$C37,$C37/(50*POWER(80,POWER(COS(PI()*MOD(Calculator!$B$32/Calculator!$F$20,1)),2)))),2))</f>
        <v>12.86</v>
      </c>
      <c r="AL37" s="91" t="n">
        <f aca="false">IF(OR(Calculator!$E$21&lt;&gt;"YES",Calculator!$B$32&lt;Calculator!$G$21),"—",ROUND(MAX((50*POWER(80,POWER(COS(PI()*MOD(Calculator!$B$32/Calculator!$F$21,1)),2)))/$C37,$C37/(50*POWER(80,POWER(COS(PI()*MOD(Calculator!$B$32/Calculator!$F$21,1)),2)))),2))</f>
        <v>11.15</v>
      </c>
      <c r="AM37" s="115" t="n">
        <f aca="false">IFERROR(ROUND((IF(ISNUMBER(AB37),AB37,0)+IF(ISNUMBER(AC37),AC37,0)+IF(ISNUMBER(AD37),AD37,0)+IF(ISNUMBER(AE37),AE37,0)+IF(ISNUMBER(AF37),AF37,0)+IF(ISNUMBER(AG37),AG37,0)+IF(ISNUMBER(AH37),AH37,0)+IF(ISNUMBER(AI37),AI37,0)+IF(ISNUMBER(AJ37),AJ37,0)+IF(ISNUMBER(AK37),AK37,0)+IF(ISNUMBER(AL37),AL37,0))/(IF(ISNUMBER(AB37),1,0)+IF(ISNUMBER(AC37),1,0)+IF(ISNUMBER(AD37),1,0)+IF(ISNUMBER(AE37),1,0)+IF(ISNUMBER(AF37),1,0)+IF(ISNUMBER(AG37),1,0)+IF(ISNUMBER(AH37),1,0)+IF(ISNUMBER(AI37),1,0)+IF(ISNUMBER(AJ37),1,0)+IF(ISNUMBER(AK37),1,0)+IF(ISNUMBER(AL37),1,0)),2),"")</f>
        <v>5.41</v>
      </c>
      <c r="AN37" s="116" t="n">
        <f aca="false">IF(OR(Calculator!$E$11&lt;&gt;"YES",Calculator!$B$33&lt;Calculator!$G$11),"—",ROUND(MAX((50*POWER(80,POWER(COS(PI()*MOD(Calculator!$B$33/Calculator!$F$11,1)),2)))/$C37,$C37/(50*POWER(80,POWER(COS(PI()*MOD(Calculator!$B$33/Calculator!$F$11,1)),2)))),2))</f>
        <v>2.9</v>
      </c>
      <c r="AO37" s="116" t="n">
        <f aca="false">IF(OR(Calculator!$E$12&lt;&gt;"YES",Calculator!$B$33&lt;Calculator!$G$12),"—",ROUND(MAX((50*POWER(80,POWER(COS(PI()*MOD(Calculator!$B$33/Calculator!$F$12,1)),2)))/$C37,$C37/(50*POWER(80,POWER(COS(PI()*MOD(Calculator!$B$33/Calculator!$F$12,1)),2)))),2))</f>
        <v>4.5</v>
      </c>
      <c r="AP37" s="116" t="n">
        <f aca="false">IF(OR(Calculator!$E$13&lt;&gt;"YES",Calculator!$B$33&lt;Calculator!$G$13),"—",ROUND(MAX((50*POWER(80,POWER(COS(PI()*MOD(Calculator!$B$33/Calculator!$F$13,1)),2)))/$C37,$C37/(50*POWER(80,POWER(COS(PI()*MOD(Calculator!$B$33/Calculator!$F$13,1)),2)))),2))</f>
        <v>1.43</v>
      </c>
      <c r="AQ37" s="116" t="n">
        <f aca="false">IF(OR(Calculator!$E$14&lt;&gt;"YES",Calculator!$B$33&lt;Calculator!$G$14),"—",ROUND(MAX((50*POWER(80,POWER(COS(PI()*MOD(Calculator!$B$33/Calculator!$F$14,1)),2)))/$C37,$C37/(50*POWER(80,POWER(COS(PI()*MOD(Calculator!$B$33/Calculator!$F$14,1)),2)))),2))</f>
        <v>1.3</v>
      </c>
      <c r="AR37" s="116" t="n">
        <f aca="false">IF(OR(Calculator!$E$15&lt;&gt;"YES",Calculator!$B$33&lt;Calculator!$G$15),"—",ROUND(MAX((50*POWER(80,POWER(COS(PI()*MOD(Calculator!$B$33/Calculator!$F$15,1)),2)))/$C37,$C37/(50*POWER(80,POWER(COS(PI()*MOD(Calculator!$B$33/Calculator!$F$15,1)),2)))),2))</f>
        <v>1.26</v>
      </c>
      <c r="AS37" s="116" t="n">
        <f aca="false">IF(OR(Calculator!$E$16&lt;&gt;"YES",Calculator!$B$33&lt;Calculator!$G$16),"—",ROUND(MAX((50*POWER(80,POWER(COS(PI()*MOD(Calculator!$B$33/Calculator!$F$16,1)),2)))/$C37,$C37/(50*POWER(80,POWER(COS(PI()*MOD(Calculator!$B$33/Calculator!$F$16,1)),2)))),2))</f>
        <v>3.67</v>
      </c>
      <c r="AT37" s="116" t="n">
        <f aca="false">IF(OR(Calculator!$E$17&lt;&gt;"YES",Calculator!$B$33&lt;Calculator!$G$17),"—",ROUND(MAX((50*POWER(80,POWER(COS(PI()*MOD(Calculator!$B$33/Calculator!$F$17,1)),2)))/$C37,$C37/(50*POWER(80,POWER(COS(PI()*MOD(Calculator!$B$33/Calculator!$F$17,1)),2)))),2))</f>
        <v>7.33</v>
      </c>
      <c r="AU37" s="116" t="n">
        <f aca="false">IF(OR(Calculator!$E$18&lt;&gt;"YES",Calculator!$B$33&lt;Calculator!$G$18),"—",ROUND(MAX((50*POWER(80,POWER(COS(PI()*MOD(Calculator!$B$33/Calculator!$F$18,1)),2)))/$C37,$C37/(50*POWER(80,POWER(COS(PI()*MOD(Calculator!$B$33/Calculator!$F$18,1)),2)))),2))</f>
        <v>7.73</v>
      </c>
      <c r="AV37" s="116" t="n">
        <f aca="false">IF(OR(Calculator!$E$19&lt;&gt;"YES",Calculator!$B$33&lt;Calculator!$G$19),"—",ROUND(MAX((50*POWER(80,POWER(COS(PI()*MOD(Calculator!$B$33/Calculator!$F$19,1)),2)))/$C37,$C37/(50*POWER(80,POWER(COS(PI()*MOD(Calculator!$B$33/Calculator!$F$19,1)),2)))),2))</f>
        <v>13.12</v>
      </c>
      <c r="AW37" s="116" t="n">
        <f aca="false">IF(OR(Calculator!$E$20&lt;&gt;"YES",Calculator!$B$33&lt;Calculator!$G$20),"—",ROUND(MAX((50*POWER(80,POWER(COS(PI()*MOD(Calculator!$B$33/Calculator!$F$20,1)),2)))/$C37,$C37/(50*POWER(80,POWER(COS(PI()*MOD(Calculator!$B$33/Calculator!$F$20,1)),2)))),2))</f>
        <v>1.67</v>
      </c>
      <c r="AX37" s="116" t="n">
        <f aca="false">IF(OR(Calculator!$E$21&lt;&gt;"YES",Calculator!$B$33&lt;Calculator!$G$21),"—",ROUND(MAX((50*POWER(80,POWER(COS(PI()*MOD(Calculator!$B$33/Calculator!$F$21,1)),2)))/$C37,$C37/(50*POWER(80,POWER(COS(PI()*MOD(Calculator!$B$33/Calculator!$F$21,1)),2)))),2))</f>
        <v>4.69</v>
      </c>
      <c r="AY37" s="115" t="n">
        <f aca="false">IFERROR(ROUND((IF(ISNUMBER(AN37),AN37,0)+IF(ISNUMBER(AO37),AO37,0)+IF(ISNUMBER(AP37),AP37,0)+IF(ISNUMBER(AQ37),AQ37,0)+IF(ISNUMBER(AR37),AR37,0)+IF(ISNUMBER(AS37),AS37,0)+IF(ISNUMBER(AT37),AT37,0)+IF(ISNUMBER(AU37),AU37,0)+IF(ISNUMBER(AV37),AV37,0)+IF(ISNUMBER(AW37),AW37,0)+IF(ISNUMBER(AX37),AX37,0))/(IF(ISNUMBER(AN37),1,0)+IF(ISNUMBER(AO37),1,0)+IF(ISNUMBER(AP37),1,0)+IF(ISNUMBER(AQ37),1,0)+IF(ISNUMBER(AR37),1,0)+IF(ISNUMBER(AS37),1,0)+IF(ISNUMBER(AT37),1,0)+IF(ISNUMBER(AU37),1,0)+IF(ISNUMBER(AV37),1,0)+IF(ISNUMBER(AW37),1,0)+IF(ISNUMBER(AX37),1,0)),2),"")</f>
        <v>4.51</v>
      </c>
      <c r="AZ37" s="116" t="n">
        <f aca="false">IF(OR(Calculator!$E$11&lt;&gt;"YES",Calculator!$B$34&lt;Calculator!$G$11),"—",ROUND(MAX((50*POWER(80,POWER(COS(PI()*MOD(Calculator!$B$34/Calculator!$F$11,1)),2)))/$C37,$C37/(50*POWER(80,POWER(COS(PI()*MOD(Calculator!$B$34/Calculator!$F$11,1)),2)))),2))</f>
        <v>2.8</v>
      </c>
      <c r="BA37" s="116" t="n">
        <f aca="false">IF(OR(Calculator!$E$12&lt;&gt;"YES",Calculator!$B$34&lt;Calculator!$G$12),"—",ROUND(MAX((50*POWER(80,POWER(COS(PI()*MOD(Calculator!$B$34/Calculator!$F$12,1)),2)))/$C37,$C37/(50*POWER(80,POWER(COS(PI()*MOD(Calculator!$B$34/Calculator!$F$12,1)),2)))),2))</f>
        <v>4.09</v>
      </c>
      <c r="BB37" s="116" t="n">
        <f aca="false">IF(OR(Calculator!$E$13&lt;&gt;"YES",Calculator!$B$34&lt;Calculator!$G$13),"—",ROUND(MAX((50*POWER(80,POWER(COS(PI()*MOD(Calculator!$B$34/Calculator!$F$13,1)),2)))/$C37,$C37/(50*POWER(80,POWER(COS(PI()*MOD(Calculator!$B$34/Calculator!$F$13,1)),2)))),2))</f>
        <v>1.67</v>
      </c>
      <c r="BC37" s="116" t="n">
        <f aca="false">IF(OR(Calculator!$E$14&lt;&gt;"YES",Calculator!$B$34&lt;Calculator!$G$14),"—",ROUND(MAX((50*POWER(80,POWER(COS(PI()*MOD(Calculator!$B$34/Calculator!$F$14,1)),2)))/$C37,$C37/(50*POWER(80,POWER(COS(PI()*MOD(Calculator!$B$34/Calculator!$F$14,1)),2)))),2))</f>
        <v>1.57</v>
      </c>
      <c r="BD37" s="116" t="n">
        <f aca="false">IF(OR(Calculator!$E$15&lt;&gt;"YES",Calculator!$B$34&lt;Calculator!$G$15),"—",ROUND(MAX((50*POWER(80,POWER(COS(PI()*MOD(Calculator!$B$34/Calculator!$F$15,1)),2)))/$C37,$C37/(50*POWER(80,POWER(COS(PI()*MOD(Calculator!$B$34/Calculator!$F$15,1)),2)))),2))</f>
        <v>1.06</v>
      </c>
      <c r="BE37" s="116" t="n">
        <f aca="false">IF(OR(Calculator!$E$16&lt;&gt;"YES",Calculator!$B$34&lt;Calculator!$G$16),"—",ROUND(MAX((50*POWER(80,POWER(COS(PI()*MOD(Calculator!$B$34/Calculator!$F$16,1)),2)))/$C37,$C37/(50*POWER(80,POWER(COS(PI()*MOD(Calculator!$B$34/Calculator!$F$16,1)),2)))),2))</f>
        <v>2.88</v>
      </c>
      <c r="BF37" s="116" t="n">
        <f aca="false">IF(OR(Calculator!$E$17&lt;&gt;"YES",Calculator!$B$34&lt;Calculator!$G$17),"—",ROUND(MAX((50*POWER(80,POWER(COS(PI()*MOD(Calculator!$B$34/Calculator!$F$17,1)),2)))/$C37,$C37/(50*POWER(80,POWER(COS(PI()*MOD(Calculator!$B$34/Calculator!$F$17,1)),2)))),2))</f>
        <v>10.48</v>
      </c>
      <c r="BG37" s="116" t="n">
        <f aca="false">IF(OR(Calculator!$E$18&lt;&gt;"YES",Calculator!$B$34&lt;Calculator!$G$18),"—",ROUND(MAX((50*POWER(80,POWER(COS(PI()*MOD(Calculator!$B$34/Calculator!$F$18,1)),2)))/$C37,$C37/(50*POWER(80,POWER(COS(PI()*MOD(Calculator!$B$34/Calculator!$F$18,1)),2)))),2))</f>
        <v>11.47</v>
      </c>
      <c r="BH37" s="116" t="n">
        <f aca="false">IF(OR(Calculator!$E$19&lt;&gt;"YES",Calculator!$B$34&lt;Calculator!$G$19),"—",ROUND(MAX((50*POWER(80,POWER(COS(PI()*MOD(Calculator!$B$34/Calculator!$F$19,1)),2)))/$C37,$C37/(50*POWER(80,POWER(COS(PI()*MOD(Calculator!$B$34/Calculator!$F$19,1)),2)))),2))</f>
        <v>8.77</v>
      </c>
      <c r="BI37" s="116" t="n">
        <f aca="false">IF(OR(Calculator!$E$20&lt;&gt;"YES",Calculator!$B$34&lt;Calculator!$G$20),"—",ROUND(MAX((50*POWER(80,POWER(COS(PI()*MOD(Calculator!$B$34/Calculator!$F$20,1)),2)))/$C37,$C37/(50*POWER(80,POWER(COS(PI()*MOD(Calculator!$B$34/Calculator!$F$20,1)),2)))),2))</f>
        <v>3.13</v>
      </c>
      <c r="BJ37" s="116" t="n">
        <f aca="false">IF(OR(Calculator!$E$21&lt;&gt;"YES",Calculator!$B$34&lt;Calculator!$G$21),"—",ROUND(MAX((50*POWER(80,POWER(COS(PI()*MOD(Calculator!$B$34/Calculator!$F$21,1)),2)))/$C37,$C37/(50*POWER(80,POWER(COS(PI()*MOD(Calculator!$B$34/Calculator!$F$21,1)),2)))),2))</f>
        <v>13.13</v>
      </c>
      <c r="BK37" s="115" t="n">
        <f aca="false">IFERROR(ROUND((IF(ISNUMBER(AZ37),AZ37,0)+IF(ISNUMBER(BA37),BA37,0)+IF(ISNUMBER(BB37),BB37,0)+IF(ISNUMBER(BC37),BC37,0)+IF(ISNUMBER(BD37),BD37,0)+IF(ISNUMBER(BE37),BE37,0)+IF(ISNUMBER(BF37),BF37,0)+IF(ISNUMBER(BG37),BG37,0)+IF(ISNUMBER(BH37),BH37,0)+IF(ISNUMBER(BI37),BI37,0)+IF(ISNUMBER(BJ37),BJ37,0))/(IF(ISNUMBER(AZ37),1,0)+IF(ISNUMBER(BA37),1,0)+IF(ISNUMBER(BB37),1,0)+IF(ISNUMBER(BC37),1,0)+IF(ISNUMBER(BD37),1,0)+IF(ISNUMBER(BE37),1,0)+IF(ISNUMBER(BF37),1,0)+IF(ISNUMBER(BG37),1,0)+IF(ISNUMBER(BH37),1,0)+IF(ISNUMBER(BI37),1,0)+IF(ISNUMBER(BJ37),1,0)),2),"")</f>
        <v>5.55</v>
      </c>
    </row>
    <row r="38" customFormat="false" ht="15" hidden="false" customHeight="false" outlineLevel="0" collapsed="false">
      <c r="A38" s="117" t="s">
        <v>94</v>
      </c>
      <c r="B38" s="117" t="s">
        <v>93</v>
      </c>
      <c r="C38" s="118" t="n">
        <v>300</v>
      </c>
      <c r="D38" s="119" t="n">
        <f aca="false">IF(OR(Calculator!$E$11&lt;&gt;"YES",Calculator!$B$30&lt;Calculator!$G$11),"—",ROUND(MAX((50*POWER(80,POWER(COS(PI()*MOD(Calculator!$B$30/Calculator!$F$11,1)),2)))/$C38,$C38/(50*POWER(80,POWER(COS(PI()*MOD(Calculator!$B$30/Calculator!$F$11,1)),2)))),2))</f>
        <v>3.4</v>
      </c>
      <c r="E38" s="119" t="n">
        <f aca="false">IF(OR(Calculator!$E$12&lt;&gt;"YES",Calculator!$B$30&lt;Calculator!$G$12),"—",ROUND(MAX((50*POWER(80,POWER(COS(PI()*MOD(Calculator!$B$30/Calculator!$F$12,1)),2)))/$C38,$C38/(50*POWER(80,POWER(COS(PI()*MOD(Calculator!$B$30/Calculator!$F$12,1)),2)))),2))</f>
        <v>3.52</v>
      </c>
      <c r="F38" s="119" t="n">
        <f aca="false">IF(OR(Calculator!$E$13&lt;&gt;"YES",Calculator!$B$30&lt;Calculator!$G$13),"—",ROUND(MAX((50*POWER(80,POWER(COS(PI()*MOD(Calculator!$B$30/Calculator!$F$13,1)),2)))/$C38,$C38/(50*POWER(80,POWER(COS(PI()*MOD(Calculator!$B$30/Calculator!$F$13,1)),2)))),2))</f>
        <v>1.32</v>
      </c>
      <c r="G38" s="119" t="n">
        <f aca="false">IF(OR(Calculator!$E$14&lt;&gt;"YES",Calculator!$B$30&lt;Calculator!$G$14),"—",ROUND(MAX((50*POWER(80,POWER(COS(PI()*MOD(Calculator!$B$30/Calculator!$F$14,1)),2)))/$C38,$C38/(50*POWER(80,POWER(COS(PI()*MOD(Calculator!$B$30/Calculator!$F$14,1)),2)))),2))</f>
        <v>1.77</v>
      </c>
      <c r="H38" s="119" t="n">
        <f aca="false">IF(OR(Calculator!$E$15&lt;&gt;"YES",Calculator!$B$30&lt;Calculator!$G$15),"—",ROUND(MAX((50*POWER(80,POWER(COS(PI()*MOD(Calculator!$B$30/Calculator!$F$15,1)),2)))/$C38,$C38/(50*POWER(80,POWER(COS(PI()*MOD(Calculator!$B$30/Calculator!$F$15,1)),2)))),2))</f>
        <v>1.15</v>
      </c>
      <c r="I38" s="119" t="n">
        <f aca="false">IF(OR(Calculator!$E$16&lt;&gt;"YES",Calculator!$B$30&lt;Calculator!$G$16),"—",ROUND(MAX((50*POWER(80,POWER(COS(PI()*MOD(Calculator!$B$30/Calculator!$F$16,1)),2)))/$C38,$C38/(50*POWER(80,POWER(COS(PI()*MOD(Calculator!$B$30/Calculator!$F$16,1)),2)))),2))</f>
        <v>3.77</v>
      </c>
      <c r="J38" s="119" t="n">
        <f aca="false">IF(OR(Calculator!$E$17&lt;&gt;"YES",Calculator!$B$30&lt;Calculator!$G$17),"—",ROUND(MAX((50*POWER(80,POWER(COS(PI()*MOD(Calculator!$B$30/Calculator!$F$17,1)),2)))/$C38,$C38/(50*POWER(80,POWER(COS(PI()*MOD(Calculator!$B$30/Calculator!$F$17,1)),2)))),2))</f>
        <v>7.84</v>
      </c>
      <c r="K38" s="119" t="n">
        <f aca="false">IF(OR(Calculator!$E$18&lt;&gt;"YES",Calculator!$B$30&lt;Calculator!$G$18),"—",ROUND(MAX((50*POWER(80,POWER(COS(PI()*MOD(Calculator!$B$30/Calculator!$F$18,1)),2)))/$C38,$C38/(50*POWER(80,POWER(COS(PI()*MOD(Calculator!$B$30/Calculator!$F$18,1)),2)))),2))</f>
        <v>8.51</v>
      </c>
      <c r="L38" s="119" t="n">
        <f aca="false">IF(OR(Calculator!$E$19&lt;&gt;"YES",Calculator!$B$30&lt;Calculator!$G$19),"—",ROUND(MAX((50*POWER(80,POWER(COS(PI()*MOD(Calculator!$B$30/Calculator!$F$19,1)),2)))/$C38,$C38/(50*POWER(80,POWER(COS(PI()*MOD(Calculator!$B$30/Calculator!$F$19,1)),2)))),2))</f>
        <v>8.54</v>
      </c>
      <c r="M38" s="119" t="n">
        <f aca="false">IF(OR(Calculator!$E$20&lt;&gt;"YES",Calculator!$B$30&lt;Calculator!$G$20),"—",ROUND(MAX((50*POWER(80,POWER(COS(PI()*MOD(Calculator!$B$30/Calculator!$F$20,1)),2)))/$C38,$C38/(50*POWER(80,POWER(COS(PI()*MOD(Calculator!$B$30/Calculator!$F$20,1)),2)))),2))</f>
        <v>3.12</v>
      </c>
      <c r="N38" s="119" t="n">
        <f aca="false">IF(OR(Calculator!$E$21&lt;&gt;"YES",Calculator!$B$30&lt;Calculator!$G$21),"—",ROUND(MAX((50*POWER(80,POWER(COS(PI()*MOD(Calculator!$B$30/Calculator!$F$21,1)),2)))/$C38,$C38/(50*POWER(80,POWER(COS(PI()*MOD(Calculator!$B$30/Calculator!$F$21,1)),2)))),2))</f>
        <v>8.45</v>
      </c>
      <c r="O38" s="114" t="n">
        <f aca="false">IFERROR(ROUND((IF(ISNUMBER(D38),D38,0)+IF(ISNUMBER(E38),E38,0)+IF(ISNUMBER(F38),F38,0)+IF(ISNUMBER(G38),G38,0)+IF(ISNUMBER(H38),H38,0)+IF(ISNUMBER(I38),I38,0)+IF(ISNUMBER(J38),J38,0)+IF(ISNUMBER(K38),K38,0)+IF(ISNUMBER(L38),L38,0)+IF(ISNUMBER(M38),M38,0)+IF(ISNUMBER(N38),N38,0))/(IF(ISNUMBER(D38),1,0)+IF(ISNUMBER(E38),1,0)+IF(ISNUMBER(F38),1,0)+IF(ISNUMBER(G38),1,0)+IF(ISNUMBER(H38),1,0)+IF(ISNUMBER(I38),1,0)+IF(ISNUMBER(J38),1,0)+IF(ISNUMBER(K38),1,0)+IF(ISNUMBER(L38),1,0)+IF(ISNUMBER(M38),1,0)+IF(ISNUMBER(N38),1,0)),2),"")</f>
        <v>4.67</v>
      </c>
      <c r="P38" s="119" t="n">
        <f aca="false">IF(OR(Calculator!$E$11&lt;&gt;"YES",Calculator!$B$31&lt;Calculator!$G$11),"—",ROUND(MAX((50*POWER(80,POWER(COS(PI()*MOD(Calculator!$B$31/Calculator!$F$11,1)),2)))/$C38,$C38/(50*POWER(80,POWER(COS(PI()*MOD(Calculator!$B$31/Calculator!$F$11,1)),2)))),2))</f>
        <v>3.44</v>
      </c>
      <c r="Q38" s="119" t="n">
        <f aca="false">IF(OR(Calculator!$E$12&lt;&gt;"YES",Calculator!$B$31&lt;Calculator!$G$12),"—",ROUND(MAX((50*POWER(80,POWER(COS(PI()*MOD(Calculator!$B$31/Calculator!$F$12,1)),2)))/$C38,$C38/(50*POWER(80,POWER(COS(PI()*MOD(Calculator!$B$31/Calculator!$F$12,1)),2)))),2))</f>
        <v>3.63</v>
      </c>
      <c r="R38" s="119" t="n">
        <f aca="false">IF(OR(Calculator!$E$13&lt;&gt;"YES",Calculator!$B$31&lt;Calculator!$G$13),"—",ROUND(MAX((50*POWER(80,POWER(COS(PI()*MOD(Calculator!$B$31/Calculator!$F$13,1)),2)))/$C38,$C38/(50*POWER(80,POWER(COS(PI()*MOD(Calculator!$B$31/Calculator!$F$13,1)),2)))),2))</f>
        <v>1.25</v>
      </c>
      <c r="S38" s="119" t="n">
        <f aca="false">IF(OR(Calculator!$E$14&lt;&gt;"YES",Calculator!$B$31&lt;Calculator!$G$14),"—",ROUND(MAX((50*POWER(80,POWER(COS(PI()*MOD(Calculator!$B$31/Calculator!$F$14,1)),2)))/$C38,$C38/(50*POWER(80,POWER(COS(PI()*MOD(Calculator!$B$31/Calculator!$F$14,1)),2)))),2))</f>
        <v>1.67</v>
      </c>
      <c r="T38" s="119" t="n">
        <f aca="false">IF(OR(Calculator!$E$15&lt;&gt;"YES",Calculator!$B$31&lt;Calculator!$G$15),"—",ROUND(MAX((50*POWER(80,POWER(COS(PI()*MOD(Calculator!$B$31/Calculator!$F$15,1)),2)))/$C38,$C38/(50*POWER(80,POWER(COS(PI()*MOD(Calculator!$B$31/Calculator!$F$15,1)),2)))),2))</f>
        <v>1.05</v>
      </c>
      <c r="U38" s="119" t="n">
        <f aca="false">IF(OR(Calculator!$E$16&lt;&gt;"YES",Calculator!$B$31&lt;Calculator!$G$16),"—",ROUND(MAX((50*POWER(80,POWER(COS(PI()*MOD(Calculator!$B$31/Calculator!$F$16,1)),2)))/$C38,$C38/(50*POWER(80,POWER(COS(PI()*MOD(Calculator!$B$31/Calculator!$F$16,1)),2)))),2))</f>
        <v>4.09</v>
      </c>
      <c r="V38" s="119" t="n">
        <f aca="false">IF(OR(Calculator!$E$17&lt;&gt;"YES",Calculator!$B$31&lt;Calculator!$G$17),"—",ROUND(MAX((50*POWER(80,POWER(COS(PI()*MOD(Calculator!$B$31/Calculator!$F$17,1)),2)))/$C38,$C38/(50*POWER(80,POWER(COS(PI()*MOD(Calculator!$B$31/Calculator!$F$17,1)),2)))),2))</f>
        <v>6.95</v>
      </c>
      <c r="W38" s="119" t="n">
        <f aca="false">IF(OR(Calculator!$E$18&lt;&gt;"YES",Calculator!$B$31&lt;Calculator!$G$18),"—",ROUND(MAX((50*POWER(80,POWER(COS(PI()*MOD(Calculator!$B$31/Calculator!$F$18,1)),2)))/$C38,$C38/(50*POWER(80,POWER(COS(PI()*MOD(Calculator!$B$31/Calculator!$F$18,1)),2)))),2))</f>
        <v>7.46</v>
      </c>
      <c r="X38" s="119" t="n">
        <f aca="false">IF(OR(Calculator!$E$19&lt;&gt;"YES",Calculator!$B$31&lt;Calculator!$G$19),"—",ROUND(MAX((50*POWER(80,POWER(COS(PI()*MOD(Calculator!$B$31/Calculator!$F$19,1)),2)))/$C38,$C38/(50*POWER(80,POWER(COS(PI()*MOD(Calculator!$B$31/Calculator!$F$19,1)),2)))),2))</f>
        <v>9.77</v>
      </c>
      <c r="Y38" s="119" t="n">
        <f aca="false">IF(OR(Calculator!$E$20&lt;&gt;"YES",Calculator!$B$31&lt;Calculator!$G$20),"—",ROUND(MAX((50*POWER(80,POWER(COS(PI()*MOD(Calculator!$B$31/Calculator!$F$20,1)),2)))/$C38,$C38/(50*POWER(80,POWER(COS(PI()*MOD(Calculator!$B$31/Calculator!$F$20,1)),2)))),2))</f>
        <v>2.53</v>
      </c>
      <c r="Z38" s="119" t="n">
        <f aca="false">IF(OR(Calculator!$E$21&lt;&gt;"YES",Calculator!$B$31&lt;Calculator!$G$21),"—",ROUND(MAX((50*POWER(80,POWER(COS(PI()*MOD(Calculator!$B$31/Calculator!$F$21,1)),2)))/$C38,$C38/(50*POWER(80,POWER(COS(PI()*MOD(Calculator!$B$31/Calculator!$F$21,1)),2)))),2))</f>
        <v>5.96</v>
      </c>
      <c r="AA38" s="114" t="n">
        <f aca="false">IFERROR(ROUND((IF(ISNUMBER(P38),P38,0)+IF(ISNUMBER(Q38),Q38,0)+IF(ISNUMBER(R38),R38,0)+IF(ISNUMBER(S38),S38,0)+IF(ISNUMBER(T38),T38,0)+IF(ISNUMBER(U38),U38,0)+IF(ISNUMBER(V38),V38,0)+IF(ISNUMBER(W38),W38,0)+IF(ISNUMBER(X38),X38,0)+IF(ISNUMBER(Y38),Y38,0)+IF(ISNUMBER(Z38),Z38,0))/(IF(ISNUMBER(P38),1,0)+IF(ISNUMBER(Q38),1,0)+IF(ISNUMBER(R38),1,0)+IF(ISNUMBER(S38),1,0)+IF(ISNUMBER(T38),1,0)+IF(ISNUMBER(U38),1,0)+IF(ISNUMBER(V38),1,0)+IF(ISNUMBER(W38),1,0)+IF(ISNUMBER(X38),1,0)+IF(ISNUMBER(Y38),1,0)+IF(ISNUMBER(Z38),1,0)),2),"")</f>
        <v>4.35</v>
      </c>
      <c r="AB38" s="119" t="n">
        <f aca="false">IF(OR(Calculator!$E$11&lt;&gt;"YES",Calculator!$B$32&lt;Calculator!$G$11),"—",ROUND(MAX((50*POWER(80,POWER(COS(PI()*MOD(Calculator!$B$32/Calculator!$F$11,1)),2)))/$C38,$C38/(50*POWER(80,POWER(COS(PI()*MOD(Calculator!$B$32/Calculator!$F$11,1)),2)))),2))</f>
        <v>4.33</v>
      </c>
      <c r="AC38" s="119" t="n">
        <f aca="false">IF(OR(Calculator!$E$12&lt;&gt;"YES",Calculator!$B$32&lt;Calculator!$G$12),"—",ROUND(MAX((50*POWER(80,POWER(COS(PI()*MOD(Calculator!$B$32/Calculator!$F$12,1)),2)))/$C38,$C38/(50*POWER(80,POWER(COS(PI()*MOD(Calculator!$B$32/Calculator!$F$12,1)),2)))),2))</f>
        <v>6.71</v>
      </c>
      <c r="AD38" s="119" t="n">
        <f aca="false">IF(OR(Calculator!$E$13&lt;&gt;"YES",Calculator!$B$32&lt;Calculator!$G$13),"—",ROUND(MAX((50*POWER(80,POWER(COS(PI()*MOD(Calculator!$B$32/Calculator!$F$13,1)),2)))/$C38,$C38/(50*POWER(80,POWER(COS(PI()*MOD(Calculator!$B$32/Calculator!$F$13,1)),2)))),2))</f>
        <v>2.21</v>
      </c>
      <c r="AE38" s="119" t="n">
        <f aca="false">IF(OR(Calculator!$E$14&lt;&gt;"YES",Calculator!$B$32&lt;Calculator!$G$14),"—",ROUND(MAX((50*POWER(80,POWER(COS(PI()*MOD(Calculator!$B$32/Calculator!$F$14,1)),2)))/$C38,$C38/(50*POWER(80,POWER(COS(PI()*MOD(Calculator!$B$32/Calculator!$F$14,1)),2)))),2))</f>
        <v>2.48</v>
      </c>
      <c r="AF38" s="119" t="n">
        <f aca="false">IF(OR(Calculator!$E$15&lt;&gt;"YES",Calculator!$B$32&lt;Calculator!$G$15),"—",ROUND(MAX((50*POWER(80,POWER(COS(PI()*MOD(Calculator!$B$32/Calculator!$F$15,1)),2)))/$C38,$C38/(50*POWER(80,POWER(COS(PI()*MOD(Calculator!$B$32/Calculator!$F$15,1)),2)))),2))</f>
        <v>6.45</v>
      </c>
      <c r="AG38" s="119" t="n">
        <f aca="false">IF(OR(Calculator!$E$16&lt;&gt;"YES",Calculator!$B$32&lt;Calculator!$G$16),"—",ROUND(MAX((50*POWER(80,POWER(COS(PI()*MOD(Calculator!$B$32/Calculator!$F$16,1)),2)))/$C38,$C38/(50*POWER(80,POWER(COS(PI()*MOD(Calculator!$B$32/Calculator!$F$16,1)),2)))),2))</f>
        <v>3.53</v>
      </c>
      <c r="AH38" s="119" t="n">
        <f aca="false">IF(OR(Calculator!$E$17&lt;&gt;"YES",Calculator!$B$32&lt;Calculator!$G$17),"—",ROUND(MAX((50*POWER(80,POWER(COS(PI()*MOD(Calculator!$B$32/Calculator!$F$17,1)),2)))/$C38,$C38/(50*POWER(80,POWER(COS(PI()*MOD(Calculator!$B$32/Calculator!$F$17,1)),2)))),2))</f>
        <v>3.72</v>
      </c>
      <c r="AI38" s="119" t="n">
        <f aca="false">IF(OR(Calculator!$E$18&lt;&gt;"YES",Calculator!$B$32&lt;Calculator!$G$18),"—",ROUND(MAX((50*POWER(80,POWER(COS(PI()*MOD(Calculator!$B$32/Calculator!$F$18,1)),2)))/$C38,$C38/(50*POWER(80,POWER(COS(PI()*MOD(Calculator!$B$32/Calculator!$F$18,1)),2)))),2))</f>
        <v>4.91</v>
      </c>
      <c r="AJ38" s="119" t="n">
        <f aca="false">IF(OR(Calculator!$E$19&lt;&gt;"YES",Calculator!$B$32&lt;Calculator!$G$19),"—",ROUND(MAX((50*POWER(80,POWER(COS(PI()*MOD(Calculator!$B$32/Calculator!$F$19,1)),2)))/$C38,$C38/(50*POWER(80,POWER(COS(PI()*MOD(Calculator!$B$32/Calculator!$F$19,1)),2)))),2))</f>
        <v>1.04</v>
      </c>
      <c r="AK38" s="119" t="n">
        <f aca="false">IF(OR(Calculator!$E$20&lt;&gt;"YES",Calculator!$B$32&lt;Calculator!$G$20),"—",ROUND(MAX((50*POWER(80,POWER(COS(PI()*MOD(Calculator!$B$32/Calculator!$F$20,1)),2)))/$C38,$C38/(50*POWER(80,POWER(COS(PI()*MOD(Calculator!$B$32/Calculator!$F$20,1)),2)))),2))</f>
        <v>10.72</v>
      </c>
      <c r="AL38" s="119" t="n">
        <f aca="false">IF(OR(Calculator!$E$21&lt;&gt;"YES",Calculator!$B$32&lt;Calculator!$G$21),"—",ROUND(MAX((50*POWER(80,POWER(COS(PI()*MOD(Calculator!$B$32/Calculator!$F$21,1)),2)))/$C38,$C38/(50*POWER(80,POWER(COS(PI()*MOD(Calculator!$B$32/Calculator!$F$21,1)),2)))),2))</f>
        <v>9.3</v>
      </c>
      <c r="AM38" s="115" t="n">
        <f aca="false">IFERROR(ROUND((IF(ISNUMBER(AB38),AB38,0)+IF(ISNUMBER(AC38),AC38,0)+IF(ISNUMBER(AD38),AD38,0)+IF(ISNUMBER(AE38),AE38,0)+IF(ISNUMBER(AF38),AF38,0)+IF(ISNUMBER(AG38),AG38,0)+IF(ISNUMBER(AH38),AH38,0)+IF(ISNUMBER(AI38),AI38,0)+IF(ISNUMBER(AJ38),AJ38,0)+IF(ISNUMBER(AK38),AK38,0)+IF(ISNUMBER(AL38),AL38,0))/(IF(ISNUMBER(AB38),1,0)+IF(ISNUMBER(AC38),1,0)+IF(ISNUMBER(AD38),1,0)+IF(ISNUMBER(AE38),1,0)+IF(ISNUMBER(AF38),1,0)+IF(ISNUMBER(AG38),1,0)+IF(ISNUMBER(AH38),1,0)+IF(ISNUMBER(AI38),1,0)+IF(ISNUMBER(AJ38),1,0)+IF(ISNUMBER(AK38),1,0)+IF(ISNUMBER(AL38),1,0)),2),"")</f>
        <v>5.04</v>
      </c>
      <c r="AN38" s="120" t="n">
        <f aca="false">IF(OR(Calculator!$E$11&lt;&gt;"YES",Calculator!$B$33&lt;Calculator!$G$11),"—",ROUND(MAX((50*POWER(80,POWER(COS(PI()*MOD(Calculator!$B$33/Calculator!$F$11,1)),2)))/$C38,$C38/(50*POWER(80,POWER(COS(PI()*MOD(Calculator!$B$33/Calculator!$F$11,1)),2)))),2))</f>
        <v>3.48</v>
      </c>
      <c r="AO38" s="120" t="n">
        <f aca="false">IF(OR(Calculator!$E$12&lt;&gt;"YES",Calculator!$B$33&lt;Calculator!$G$12),"—",ROUND(MAX((50*POWER(80,POWER(COS(PI()*MOD(Calculator!$B$33/Calculator!$F$12,1)),2)))/$C38,$C38/(50*POWER(80,POWER(COS(PI()*MOD(Calculator!$B$33/Calculator!$F$12,1)),2)))),2))</f>
        <v>3.75</v>
      </c>
      <c r="AP38" s="120" t="n">
        <f aca="false">IF(OR(Calculator!$E$13&lt;&gt;"YES",Calculator!$B$33&lt;Calculator!$G$13),"—",ROUND(MAX((50*POWER(80,POWER(COS(PI()*MOD(Calculator!$B$33/Calculator!$F$13,1)),2)))/$C38,$C38/(50*POWER(80,POWER(COS(PI()*MOD(Calculator!$B$33/Calculator!$F$13,1)),2)))),2))</f>
        <v>1.19</v>
      </c>
      <c r="AQ38" s="120" t="n">
        <f aca="false">IF(OR(Calculator!$E$14&lt;&gt;"YES",Calculator!$B$33&lt;Calculator!$G$14),"—",ROUND(MAX((50*POWER(80,POWER(COS(PI()*MOD(Calculator!$B$33/Calculator!$F$14,1)),2)))/$C38,$C38/(50*POWER(80,POWER(COS(PI()*MOD(Calculator!$B$33/Calculator!$F$14,1)),2)))),2))</f>
        <v>1.56</v>
      </c>
      <c r="AR38" s="120" t="n">
        <f aca="false">IF(OR(Calculator!$E$15&lt;&gt;"YES",Calculator!$B$33&lt;Calculator!$G$15),"—",ROUND(MAX((50*POWER(80,POWER(COS(PI()*MOD(Calculator!$B$33/Calculator!$F$15,1)),2)))/$C38,$C38/(50*POWER(80,POWER(COS(PI()*MOD(Calculator!$B$33/Calculator!$F$15,1)),2)))),2))</f>
        <v>1.05</v>
      </c>
      <c r="AS38" s="120" t="n">
        <f aca="false">IF(OR(Calculator!$E$16&lt;&gt;"YES",Calculator!$B$33&lt;Calculator!$G$16),"—",ROUND(MAX((50*POWER(80,POWER(COS(PI()*MOD(Calculator!$B$33/Calculator!$F$16,1)),2)))/$C38,$C38/(50*POWER(80,POWER(COS(PI()*MOD(Calculator!$B$33/Calculator!$F$16,1)),2)))),2))</f>
        <v>4.4</v>
      </c>
      <c r="AT38" s="120" t="n">
        <f aca="false">IF(OR(Calculator!$E$17&lt;&gt;"YES",Calculator!$B$33&lt;Calculator!$G$17),"—",ROUND(MAX((50*POWER(80,POWER(COS(PI()*MOD(Calculator!$B$33/Calculator!$F$17,1)),2)))/$C38,$C38/(50*POWER(80,POWER(COS(PI()*MOD(Calculator!$B$33/Calculator!$F$17,1)),2)))),2))</f>
        <v>6.11</v>
      </c>
      <c r="AU38" s="120" t="n">
        <f aca="false">IF(OR(Calculator!$E$18&lt;&gt;"YES",Calculator!$B$33&lt;Calculator!$G$18),"—",ROUND(MAX((50*POWER(80,POWER(COS(PI()*MOD(Calculator!$B$33/Calculator!$F$18,1)),2)))/$C38,$C38/(50*POWER(80,POWER(COS(PI()*MOD(Calculator!$B$33/Calculator!$F$18,1)),2)))),2))</f>
        <v>6.45</v>
      </c>
      <c r="AV38" s="120" t="n">
        <f aca="false">IF(OR(Calculator!$E$19&lt;&gt;"YES",Calculator!$B$33&lt;Calculator!$G$19),"—",ROUND(MAX((50*POWER(80,POWER(COS(PI()*MOD(Calculator!$B$33/Calculator!$F$19,1)),2)))/$C38,$C38/(50*POWER(80,POWER(COS(PI()*MOD(Calculator!$B$33/Calculator!$F$19,1)),2)))),2))</f>
        <v>10.93</v>
      </c>
      <c r="AW38" s="120" t="n">
        <f aca="false">IF(OR(Calculator!$E$20&lt;&gt;"YES",Calculator!$B$33&lt;Calculator!$G$20),"—",ROUND(MAX((50*POWER(80,POWER(COS(PI()*MOD(Calculator!$B$33/Calculator!$F$20,1)),2)))/$C38,$C38/(50*POWER(80,POWER(COS(PI()*MOD(Calculator!$B$33/Calculator!$F$20,1)),2)))),2))</f>
        <v>2</v>
      </c>
      <c r="AX38" s="120" t="n">
        <f aca="false">IF(OR(Calculator!$E$21&lt;&gt;"YES",Calculator!$B$33&lt;Calculator!$G$21),"—",ROUND(MAX((50*POWER(80,POWER(COS(PI()*MOD(Calculator!$B$33/Calculator!$F$21,1)),2)))/$C38,$C38/(50*POWER(80,POWER(COS(PI()*MOD(Calculator!$B$33/Calculator!$F$21,1)),2)))),2))</f>
        <v>3.91</v>
      </c>
      <c r="AY38" s="115" t="n">
        <f aca="false">IFERROR(ROUND((IF(ISNUMBER(AN38),AN38,0)+IF(ISNUMBER(AO38),AO38,0)+IF(ISNUMBER(AP38),AP38,0)+IF(ISNUMBER(AQ38),AQ38,0)+IF(ISNUMBER(AR38),AR38,0)+IF(ISNUMBER(AS38),AS38,0)+IF(ISNUMBER(AT38),AT38,0)+IF(ISNUMBER(AU38),AU38,0)+IF(ISNUMBER(AV38),AV38,0)+IF(ISNUMBER(AW38),AW38,0)+IF(ISNUMBER(AX38),AX38,0))/(IF(ISNUMBER(AN38),1,0)+IF(ISNUMBER(AO38),1,0)+IF(ISNUMBER(AP38),1,0)+IF(ISNUMBER(AQ38),1,0)+IF(ISNUMBER(AR38),1,0)+IF(ISNUMBER(AS38),1,0)+IF(ISNUMBER(AT38),1,0)+IF(ISNUMBER(AU38),1,0)+IF(ISNUMBER(AV38),1,0)+IF(ISNUMBER(AW38),1,0)+IF(ISNUMBER(AX38),1,0)),2),"")</f>
        <v>4.08</v>
      </c>
      <c r="AZ38" s="120" t="n">
        <f aca="false">IF(OR(Calculator!$E$11&lt;&gt;"YES",Calculator!$B$34&lt;Calculator!$G$11),"—",ROUND(MAX((50*POWER(80,POWER(COS(PI()*MOD(Calculator!$B$34/Calculator!$F$11,1)),2)))/$C38,$C38/(50*POWER(80,POWER(COS(PI()*MOD(Calculator!$B$34/Calculator!$F$11,1)),2)))),2))</f>
        <v>3.35</v>
      </c>
      <c r="BA38" s="120" t="n">
        <f aca="false">IF(OR(Calculator!$E$12&lt;&gt;"YES",Calculator!$B$34&lt;Calculator!$G$12),"—",ROUND(MAX((50*POWER(80,POWER(COS(PI()*MOD(Calculator!$B$34/Calculator!$F$12,1)),2)))/$C38,$C38/(50*POWER(80,POWER(COS(PI()*MOD(Calculator!$B$34/Calculator!$F$12,1)),2)))),2))</f>
        <v>3.4</v>
      </c>
      <c r="BB38" s="120" t="n">
        <f aca="false">IF(OR(Calculator!$E$13&lt;&gt;"YES",Calculator!$B$34&lt;Calculator!$G$13),"—",ROUND(MAX((50*POWER(80,POWER(COS(PI()*MOD(Calculator!$B$34/Calculator!$F$13,1)),2)))/$C38,$C38/(50*POWER(80,POWER(COS(PI()*MOD(Calculator!$B$34/Calculator!$F$13,1)),2)))),2))</f>
        <v>1.39</v>
      </c>
      <c r="BC38" s="120" t="n">
        <f aca="false">IF(OR(Calculator!$E$14&lt;&gt;"YES",Calculator!$B$34&lt;Calculator!$G$14),"—",ROUND(MAX((50*POWER(80,POWER(COS(PI()*MOD(Calculator!$B$34/Calculator!$F$14,1)),2)))/$C38,$C38/(50*POWER(80,POWER(COS(PI()*MOD(Calculator!$B$34/Calculator!$F$14,1)),2)))),2))</f>
        <v>1.88</v>
      </c>
      <c r="BD38" s="120" t="n">
        <f aca="false">IF(OR(Calculator!$E$15&lt;&gt;"YES",Calculator!$B$34&lt;Calculator!$G$15),"—",ROUND(MAX((50*POWER(80,POWER(COS(PI()*MOD(Calculator!$B$34/Calculator!$F$15,1)),2)))/$C38,$C38/(50*POWER(80,POWER(COS(PI()*MOD(Calculator!$B$34/Calculator!$F$15,1)),2)))),2))</f>
        <v>1.27</v>
      </c>
      <c r="BE38" s="120" t="n">
        <f aca="false">IF(OR(Calculator!$E$16&lt;&gt;"YES",Calculator!$B$34&lt;Calculator!$G$16),"—",ROUND(MAX((50*POWER(80,POWER(COS(PI()*MOD(Calculator!$B$34/Calculator!$F$16,1)),2)))/$C38,$C38/(50*POWER(80,POWER(COS(PI()*MOD(Calculator!$B$34/Calculator!$F$16,1)),2)))),2))</f>
        <v>3.45</v>
      </c>
      <c r="BF38" s="120" t="n">
        <f aca="false">IF(OR(Calculator!$E$17&lt;&gt;"YES",Calculator!$B$34&lt;Calculator!$G$17),"—",ROUND(MAX((50*POWER(80,POWER(COS(PI()*MOD(Calculator!$B$34/Calculator!$F$17,1)),2)))/$C38,$C38/(50*POWER(80,POWER(COS(PI()*MOD(Calculator!$B$34/Calculator!$F$17,1)),2)))),2))</f>
        <v>8.74</v>
      </c>
      <c r="BG38" s="120" t="n">
        <f aca="false">IF(OR(Calculator!$E$18&lt;&gt;"YES",Calculator!$B$34&lt;Calculator!$G$18),"—",ROUND(MAX((50*POWER(80,POWER(COS(PI()*MOD(Calculator!$B$34/Calculator!$F$18,1)),2)))/$C38,$C38/(50*POWER(80,POWER(COS(PI()*MOD(Calculator!$B$34/Calculator!$F$18,1)),2)))),2))</f>
        <v>9.56</v>
      </c>
      <c r="BH38" s="120" t="n">
        <f aca="false">IF(OR(Calculator!$E$19&lt;&gt;"YES",Calculator!$B$34&lt;Calculator!$G$19),"—",ROUND(MAX((50*POWER(80,POWER(COS(PI()*MOD(Calculator!$B$34/Calculator!$F$19,1)),2)))/$C38,$C38/(50*POWER(80,POWER(COS(PI()*MOD(Calculator!$B$34/Calculator!$F$19,1)),2)))),2))</f>
        <v>7.31</v>
      </c>
      <c r="BI38" s="120" t="n">
        <f aca="false">IF(OR(Calculator!$E$20&lt;&gt;"YES",Calculator!$B$34&lt;Calculator!$G$20),"—",ROUND(MAX((50*POWER(80,POWER(COS(PI()*MOD(Calculator!$B$34/Calculator!$F$20,1)),2)))/$C38,$C38/(50*POWER(80,POWER(COS(PI()*MOD(Calculator!$B$34/Calculator!$F$20,1)),2)))),2))</f>
        <v>3.76</v>
      </c>
      <c r="BJ38" s="120" t="n">
        <f aca="false">IF(OR(Calculator!$E$21&lt;&gt;"YES",Calculator!$B$34&lt;Calculator!$G$21),"—",ROUND(MAX((50*POWER(80,POWER(COS(PI()*MOD(Calculator!$B$34/Calculator!$F$21,1)),2)))/$C38,$C38/(50*POWER(80,POWER(COS(PI()*MOD(Calculator!$B$34/Calculator!$F$21,1)),2)))),2))</f>
        <v>10.95</v>
      </c>
      <c r="BK38" s="115" t="n">
        <f aca="false">IFERROR(ROUND((IF(ISNUMBER(AZ38),AZ38,0)+IF(ISNUMBER(BA38),BA38,0)+IF(ISNUMBER(BB38),BB38,0)+IF(ISNUMBER(BC38),BC38,0)+IF(ISNUMBER(BD38),BD38,0)+IF(ISNUMBER(BE38),BE38,0)+IF(ISNUMBER(BF38),BF38,0)+IF(ISNUMBER(BG38),BG38,0)+IF(ISNUMBER(BH38),BH38,0)+IF(ISNUMBER(BI38),BI38,0)+IF(ISNUMBER(BJ38),BJ38,0))/(IF(ISNUMBER(AZ38),1,0)+IF(ISNUMBER(BA38),1,0)+IF(ISNUMBER(BB38),1,0)+IF(ISNUMBER(BC38),1,0)+IF(ISNUMBER(BD38),1,0)+IF(ISNUMBER(BE38),1,0)+IF(ISNUMBER(BF38),1,0)+IF(ISNUMBER(BG38),1,0)+IF(ISNUMBER(BH38),1,0)+IF(ISNUMBER(BI38),1,0)+IF(ISNUMBER(BJ38),1,0)),2),"")</f>
        <v>5.01</v>
      </c>
    </row>
    <row r="39" customFormat="false" ht="15" hidden="false" customHeight="false" outlineLevel="0" collapsed="false">
      <c r="A39" s="87" t="s">
        <v>95</v>
      </c>
      <c r="B39" s="87" t="s">
        <v>93</v>
      </c>
      <c r="C39" s="90" t="n">
        <v>350</v>
      </c>
      <c r="D39" s="91" t="n">
        <f aca="false">IF(OR(Calculator!$E$11&lt;&gt;"YES",Calculator!$B$30&lt;Calculator!$G$11),"—",ROUND(MAX((50*POWER(80,POWER(COS(PI()*MOD(Calculator!$B$30/Calculator!$F$11,1)),2)))/$C39,$C39/(50*POWER(80,POWER(COS(PI()*MOD(Calculator!$B$30/Calculator!$F$11,1)),2)))),2))</f>
        <v>3.96</v>
      </c>
      <c r="E39" s="91" t="n">
        <f aca="false">IF(OR(Calculator!$E$12&lt;&gt;"YES",Calculator!$B$30&lt;Calculator!$G$12),"—",ROUND(MAX((50*POWER(80,POWER(COS(PI()*MOD(Calculator!$B$30/Calculator!$F$12,1)),2)))/$C39,$C39/(50*POWER(80,POWER(COS(PI()*MOD(Calculator!$B$30/Calculator!$F$12,1)),2)))),2))</f>
        <v>3.01</v>
      </c>
      <c r="F39" s="91" t="n">
        <f aca="false">IF(OR(Calculator!$E$13&lt;&gt;"YES",Calculator!$B$30&lt;Calculator!$G$13),"—",ROUND(MAX((50*POWER(80,POWER(COS(PI()*MOD(Calculator!$B$30/Calculator!$F$13,1)),2)))/$C39,$C39/(50*POWER(80,POWER(COS(PI()*MOD(Calculator!$B$30/Calculator!$F$13,1)),2)))),2))</f>
        <v>1.13</v>
      </c>
      <c r="G39" s="91" t="n">
        <f aca="false">IF(OR(Calculator!$E$14&lt;&gt;"YES",Calculator!$B$30&lt;Calculator!$G$14),"—",ROUND(MAX((50*POWER(80,POWER(COS(PI()*MOD(Calculator!$B$30/Calculator!$F$14,1)),2)))/$C39,$C39/(50*POWER(80,POWER(COS(PI()*MOD(Calculator!$B$30/Calculator!$F$14,1)),2)))),2))</f>
        <v>2.07</v>
      </c>
      <c r="H39" s="91" t="n">
        <f aca="false">IF(OR(Calculator!$E$15&lt;&gt;"YES",Calculator!$B$30&lt;Calculator!$G$15),"—",ROUND(MAX((50*POWER(80,POWER(COS(PI()*MOD(Calculator!$B$30/Calculator!$F$15,1)),2)))/$C39,$C39/(50*POWER(80,POWER(COS(PI()*MOD(Calculator!$B$30/Calculator!$F$15,1)),2)))),2))</f>
        <v>1.34</v>
      </c>
      <c r="I39" s="91" t="n">
        <f aca="false">IF(OR(Calculator!$E$16&lt;&gt;"YES",Calculator!$B$30&lt;Calculator!$G$16),"—",ROUND(MAX((50*POWER(80,POWER(COS(PI()*MOD(Calculator!$B$30/Calculator!$F$16,1)),2)))/$C39,$C39/(50*POWER(80,POWER(COS(PI()*MOD(Calculator!$B$30/Calculator!$F$16,1)),2)))),2))</f>
        <v>4.4</v>
      </c>
      <c r="J39" s="91" t="n">
        <f aca="false">IF(OR(Calculator!$E$17&lt;&gt;"YES",Calculator!$B$30&lt;Calculator!$G$17),"—",ROUND(MAX((50*POWER(80,POWER(COS(PI()*MOD(Calculator!$B$30/Calculator!$F$17,1)),2)))/$C39,$C39/(50*POWER(80,POWER(COS(PI()*MOD(Calculator!$B$30/Calculator!$F$17,1)),2)))),2))</f>
        <v>6.72</v>
      </c>
      <c r="K39" s="91" t="n">
        <f aca="false">IF(OR(Calculator!$E$18&lt;&gt;"YES",Calculator!$B$30&lt;Calculator!$G$18),"—",ROUND(MAX((50*POWER(80,POWER(COS(PI()*MOD(Calculator!$B$30/Calculator!$F$18,1)),2)))/$C39,$C39/(50*POWER(80,POWER(COS(PI()*MOD(Calculator!$B$30/Calculator!$F$18,1)),2)))),2))</f>
        <v>7.29</v>
      </c>
      <c r="L39" s="91" t="n">
        <f aca="false">IF(OR(Calculator!$E$19&lt;&gt;"YES",Calculator!$B$30&lt;Calculator!$G$19),"—",ROUND(MAX((50*POWER(80,POWER(COS(PI()*MOD(Calculator!$B$30/Calculator!$F$19,1)),2)))/$C39,$C39/(50*POWER(80,POWER(COS(PI()*MOD(Calculator!$B$30/Calculator!$F$19,1)),2)))),2))</f>
        <v>7.32</v>
      </c>
      <c r="M39" s="91" t="n">
        <f aca="false">IF(OR(Calculator!$E$20&lt;&gt;"YES",Calculator!$B$30&lt;Calculator!$G$20),"—",ROUND(MAX((50*POWER(80,POWER(COS(PI()*MOD(Calculator!$B$30/Calculator!$F$20,1)),2)))/$C39,$C39/(50*POWER(80,POWER(COS(PI()*MOD(Calculator!$B$30/Calculator!$F$20,1)),2)))),2))</f>
        <v>3.64</v>
      </c>
      <c r="N39" s="91" t="n">
        <f aca="false">IF(OR(Calculator!$E$21&lt;&gt;"YES",Calculator!$B$30&lt;Calculator!$G$21),"—",ROUND(MAX((50*POWER(80,POWER(COS(PI()*MOD(Calculator!$B$30/Calculator!$F$21,1)),2)))/$C39,$C39/(50*POWER(80,POWER(COS(PI()*MOD(Calculator!$B$30/Calculator!$F$21,1)),2)))),2))</f>
        <v>7.24</v>
      </c>
      <c r="O39" s="114" t="n">
        <f aca="false">IFERROR(ROUND((IF(ISNUMBER(D39),D39,0)+IF(ISNUMBER(E39),E39,0)+IF(ISNUMBER(F39),F39,0)+IF(ISNUMBER(G39),G39,0)+IF(ISNUMBER(H39),H39,0)+IF(ISNUMBER(I39),I39,0)+IF(ISNUMBER(J39),J39,0)+IF(ISNUMBER(K39),K39,0)+IF(ISNUMBER(L39),L39,0)+IF(ISNUMBER(M39),M39,0)+IF(ISNUMBER(N39),N39,0))/(IF(ISNUMBER(D39),1,0)+IF(ISNUMBER(E39),1,0)+IF(ISNUMBER(F39),1,0)+IF(ISNUMBER(G39),1,0)+IF(ISNUMBER(H39),1,0)+IF(ISNUMBER(I39),1,0)+IF(ISNUMBER(J39),1,0)+IF(ISNUMBER(K39),1,0)+IF(ISNUMBER(L39),1,0)+IF(ISNUMBER(M39),1,0)+IF(ISNUMBER(N39),1,0)),2),"")</f>
        <v>4.37</v>
      </c>
      <c r="P39" s="91" t="n">
        <f aca="false">IF(OR(Calculator!$E$11&lt;&gt;"YES",Calculator!$B$31&lt;Calculator!$G$11),"—",ROUND(MAX((50*POWER(80,POWER(COS(PI()*MOD(Calculator!$B$31/Calculator!$F$11,1)),2)))/$C39,$C39/(50*POWER(80,POWER(COS(PI()*MOD(Calculator!$B$31/Calculator!$F$11,1)),2)))),2))</f>
        <v>4.01</v>
      </c>
      <c r="Q39" s="91" t="n">
        <f aca="false">IF(OR(Calculator!$E$12&lt;&gt;"YES",Calculator!$B$31&lt;Calculator!$G$12),"—",ROUND(MAX((50*POWER(80,POWER(COS(PI()*MOD(Calculator!$B$31/Calculator!$F$12,1)),2)))/$C39,$C39/(50*POWER(80,POWER(COS(PI()*MOD(Calculator!$B$31/Calculator!$F$12,1)),2)))),2))</f>
        <v>3.11</v>
      </c>
      <c r="R39" s="91" t="n">
        <f aca="false">IF(OR(Calculator!$E$13&lt;&gt;"YES",Calculator!$B$31&lt;Calculator!$G$13),"—",ROUND(MAX((50*POWER(80,POWER(COS(PI()*MOD(Calculator!$B$31/Calculator!$F$13,1)),2)))/$C39,$C39/(50*POWER(80,POWER(COS(PI()*MOD(Calculator!$B$31/Calculator!$F$13,1)),2)))),2))</f>
        <v>1.08</v>
      </c>
      <c r="S39" s="91" t="n">
        <f aca="false">IF(OR(Calculator!$E$14&lt;&gt;"YES",Calculator!$B$31&lt;Calculator!$G$14),"—",ROUND(MAX((50*POWER(80,POWER(COS(PI()*MOD(Calculator!$B$31/Calculator!$F$14,1)),2)))/$C39,$C39/(50*POWER(80,POWER(COS(PI()*MOD(Calculator!$B$31/Calculator!$F$14,1)),2)))),2))</f>
        <v>1.94</v>
      </c>
      <c r="T39" s="91" t="n">
        <f aca="false">IF(OR(Calculator!$E$15&lt;&gt;"YES",Calculator!$B$31&lt;Calculator!$G$15),"—",ROUND(MAX((50*POWER(80,POWER(COS(PI()*MOD(Calculator!$B$31/Calculator!$F$15,1)),2)))/$C39,$C39/(50*POWER(80,POWER(COS(PI()*MOD(Calculator!$B$31/Calculator!$F$15,1)),2)))),2))</f>
        <v>1.22</v>
      </c>
      <c r="U39" s="91" t="n">
        <f aca="false">IF(OR(Calculator!$E$16&lt;&gt;"YES",Calculator!$B$31&lt;Calculator!$G$16),"—",ROUND(MAX((50*POWER(80,POWER(COS(PI()*MOD(Calculator!$B$31/Calculator!$F$16,1)),2)))/$C39,$C39/(50*POWER(80,POWER(COS(PI()*MOD(Calculator!$B$31/Calculator!$F$16,1)),2)))),2))</f>
        <v>4.77</v>
      </c>
      <c r="V39" s="91" t="n">
        <f aca="false">IF(OR(Calculator!$E$17&lt;&gt;"YES",Calculator!$B$31&lt;Calculator!$G$17),"—",ROUND(MAX((50*POWER(80,POWER(COS(PI()*MOD(Calculator!$B$31/Calculator!$F$17,1)),2)))/$C39,$C39/(50*POWER(80,POWER(COS(PI()*MOD(Calculator!$B$31/Calculator!$F$17,1)),2)))),2))</f>
        <v>5.96</v>
      </c>
      <c r="W39" s="91" t="n">
        <f aca="false">IF(OR(Calculator!$E$18&lt;&gt;"YES",Calculator!$B$31&lt;Calculator!$G$18),"—",ROUND(MAX((50*POWER(80,POWER(COS(PI()*MOD(Calculator!$B$31/Calculator!$F$18,1)),2)))/$C39,$C39/(50*POWER(80,POWER(COS(PI()*MOD(Calculator!$B$31/Calculator!$F$18,1)),2)))),2))</f>
        <v>6.39</v>
      </c>
      <c r="X39" s="91" t="n">
        <f aca="false">IF(OR(Calculator!$E$19&lt;&gt;"YES",Calculator!$B$31&lt;Calculator!$G$19),"—",ROUND(MAX((50*POWER(80,POWER(COS(PI()*MOD(Calculator!$B$31/Calculator!$F$19,1)),2)))/$C39,$C39/(50*POWER(80,POWER(COS(PI()*MOD(Calculator!$B$31/Calculator!$F$19,1)),2)))),2))</f>
        <v>8.38</v>
      </c>
      <c r="Y39" s="91" t="n">
        <f aca="false">IF(OR(Calculator!$E$20&lt;&gt;"YES",Calculator!$B$31&lt;Calculator!$G$20),"—",ROUND(MAX((50*POWER(80,POWER(COS(PI()*MOD(Calculator!$B$31/Calculator!$F$20,1)),2)))/$C39,$C39/(50*POWER(80,POWER(COS(PI()*MOD(Calculator!$B$31/Calculator!$F$20,1)),2)))),2))</f>
        <v>2.95</v>
      </c>
      <c r="Z39" s="91" t="n">
        <f aca="false">IF(OR(Calculator!$E$21&lt;&gt;"YES",Calculator!$B$31&lt;Calculator!$G$21),"—",ROUND(MAX((50*POWER(80,POWER(COS(PI()*MOD(Calculator!$B$31/Calculator!$F$21,1)),2)))/$C39,$C39/(50*POWER(80,POWER(COS(PI()*MOD(Calculator!$B$31/Calculator!$F$21,1)),2)))),2))</f>
        <v>5.11</v>
      </c>
      <c r="AA39" s="114" t="n">
        <f aca="false">IFERROR(ROUND((IF(ISNUMBER(P39),P39,0)+IF(ISNUMBER(Q39),Q39,0)+IF(ISNUMBER(R39),R39,0)+IF(ISNUMBER(S39),S39,0)+IF(ISNUMBER(T39),T39,0)+IF(ISNUMBER(U39),U39,0)+IF(ISNUMBER(V39),V39,0)+IF(ISNUMBER(W39),W39,0)+IF(ISNUMBER(X39),X39,0)+IF(ISNUMBER(Y39),Y39,0)+IF(ISNUMBER(Z39),Z39,0))/(IF(ISNUMBER(P39),1,0)+IF(ISNUMBER(Q39),1,0)+IF(ISNUMBER(R39),1,0)+IF(ISNUMBER(S39),1,0)+IF(ISNUMBER(T39),1,0)+IF(ISNUMBER(U39),1,0)+IF(ISNUMBER(V39),1,0)+IF(ISNUMBER(W39),1,0)+IF(ISNUMBER(X39),1,0)+IF(ISNUMBER(Y39),1,0)+IF(ISNUMBER(Z39),1,0)),2),"")</f>
        <v>4.08</v>
      </c>
      <c r="AB39" s="91" t="n">
        <f aca="false">IF(OR(Calculator!$E$11&lt;&gt;"YES",Calculator!$B$32&lt;Calculator!$G$11),"—",ROUND(MAX((50*POWER(80,POWER(COS(PI()*MOD(Calculator!$B$32/Calculator!$F$11,1)),2)))/$C39,$C39/(50*POWER(80,POWER(COS(PI()*MOD(Calculator!$B$32/Calculator!$F$11,1)),2)))),2))</f>
        <v>5.05</v>
      </c>
      <c r="AC39" s="91" t="n">
        <f aca="false">IF(OR(Calculator!$E$12&lt;&gt;"YES",Calculator!$B$32&lt;Calculator!$G$12),"—",ROUND(MAX((50*POWER(80,POWER(COS(PI()*MOD(Calculator!$B$32/Calculator!$F$12,1)),2)))/$C39,$C39/(50*POWER(80,POWER(COS(PI()*MOD(Calculator!$B$32/Calculator!$F$12,1)),2)))),2))</f>
        <v>5.75</v>
      </c>
      <c r="AD39" s="91" t="n">
        <f aca="false">IF(OR(Calculator!$E$13&lt;&gt;"YES",Calculator!$B$32&lt;Calculator!$G$13),"—",ROUND(MAX((50*POWER(80,POWER(COS(PI()*MOD(Calculator!$B$32/Calculator!$F$13,1)),2)))/$C39,$C39/(50*POWER(80,POWER(COS(PI()*MOD(Calculator!$B$32/Calculator!$F$13,1)),2)))),2))</f>
        <v>2.58</v>
      </c>
      <c r="AE39" s="91" t="n">
        <f aca="false">IF(OR(Calculator!$E$14&lt;&gt;"YES",Calculator!$B$32&lt;Calculator!$G$14),"—",ROUND(MAX((50*POWER(80,POWER(COS(PI()*MOD(Calculator!$B$32/Calculator!$F$14,1)),2)))/$C39,$C39/(50*POWER(80,POWER(COS(PI()*MOD(Calculator!$B$32/Calculator!$F$14,1)),2)))),2))</f>
        <v>2.12</v>
      </c>
      <c r="AF39" s="91" t="n">
        <f aca="false">IF(OR(Calculator!$E$15&lt;&gt;"YES",Calculator!$B$32&lt;Calculator!$G$15),"—",ROUND(MAX((50*POWER(80,POWER(COS(PI()*MOD(Calculator!$B$32/Calculator!$F$15,1)),2)))/$C39,$C39/(50*POWER(80,POWER(COS(PI()*MOD(Calculator!$B$32/Calculator!$F$15,1)),2)))),2))</f>
        <v>5.53</v>
      </c>
      <c r="AG39" s="91" t="n">
        <f aca="false">IF(OR(Calculator!$E$16&lt;&gt;"YES",Calculator!$B$32&lt;Calculator!$G$16),"—",ROUND(MAX((50*POWER(80,POWER(COS(PI()*MOD(Calculator!$B$32/Calculator!$F$16,1)),2)))/$C39,$C39/(50*POWER(80,POWER(COS(PI()*MOD(Calculator!$B$32/Calculator!$F$16,1)),2)))),2))</f>
        <v>4.11</v>
      </c>
      <c r="AH39" s="91" t="n">
        <f aca="false">IF(OR(Calculator!$E$17&lt;&gt;"YES",Calculator!$B$32&lt;Calculator!$G$17),"—",ROUND(MAX((50*POWER(80,POWER(COS(PI()*MOD(Calculator!$B$32/Calculator!$F$17,1)),2)))/$C39,$C39/(50*POWER(80,POWER(COS(PI()*MOD(Calculator!$B$32/Calculator!$F$17,1)),2)))),2))</f>
        <v>4.34</v>
      </c>
      <c r="AI39" s="91" t="n">
        <f aca="false">IF(OR(Calculator!$E$18&lt;&gt;"YES",Calculator!$B$32&lt;Calculator!$G$18),"—",ROUND(MAX((50*POWER(80,POWER(COS(PI()*MOD(Calculator!$B$32/Calculator!$F$18,1)),2)))/$C39,$C39/(50*POWER(80,POWER(COS(PI()*MOD(Calculator!$B$32/Calculator!$F$18,1)),2)))),2))</f>
        <v>5.73</v>
      </c>
      <c r="AJ39" s="91" t="n">
        <f aca="false">IF(OR(Calculator!$E$19&lt;&gt;"YES",Calculator!$B$32&lt;Calculator!$G$19),"—",ROUND(MAX((50*POWER(80,POWER(COS(PI()*MOD(Calculator!$B$32/Calculator!$F$19,1)),2)))/$C39,$C39/(50*POWER(80,POWER(COS(PI()*MOD(Calculator!$B$32/Calculator!$F$19,1)),2)))),2))</f>
        <v>1.21</v>
      </c>
      <c r="AK39" s="91" t="n">
        <f aca="false">IF(OR(Calculator!$E$20&lt;&gt;"YES",Calculator!$B$32&lt;Calculator!$G$20),"—",ROUND(MAX((50*POWER(80,POWER(COS(PI()*MOD(Calculator!$B$32/Calculator!$F$20,1)),2)))/$C39,$C39/(50*POWER(80,POWER(COS(PI()*MOD(Calculator!$B$32/Calculator!$F$20,1)),2)))),2))</f>
        <v>9.19</v>
      </c>
      <c r="AL39" s="91" t="n">
        <f aca="false">IF(OR(Calculator!$E$21&lt;&gt;"YES",Calculator!$B$32&lt;Calculator!$G$21),"—",ROUND(MAX((50*POWER(80,POWER(COS(PI()*MOD(Calculator!$B$32/Calculator!$F$21,1)),2)))/$C39,$C39/(50*POWER(80,POWER(COS(PI()*MOD(Calculator!$B$32/Calculator!$F$21,1)),2)))),2))</f>
        <v>7.97</v>
      </c>
      <c r="AM39" s="115" t="n">
        <f aca="false">IFERROR(ROUND((IF(ISNUMBER(AB39),AB39,0)+IF(ISNUMBER(AC39),AC39,0)+IF(ISNUMBER(AD39),AD39,0)+IF(ISNUMBER(AE39),AE39,0)+IF(ISNUMBER(AF39),AF39,0)+IF(ISNUMBER(AG39),AG39,0)+IF(ISNUMBER(AH39),AH39,0)+IF(ISNUMBER(AI39),AI39,0)+IF(ISNUMBER(AJ39),AJ39,0)+IF(ISNUMBER(AK39),AK39,0)+IF(ISNUMBER(AL39),AL39,0))/(IF(ISNUMBER(AB39),1,0)+IF(ISNUMBER(AC39),1,0)+IF(ISNUMBER(AD39),1,0)+IF(ISNUMBER(AE39),1,0)+IF(ISNUMBER(AF39),1,0)+IF(ISNUMBER(AG39),1,0)+IF(ISNUMBER(AH39),1,0)+IF(ISNUMBER(AI39),1,0)+IF(ISNUMBER(AJ39),1,0)+IF(ISNUMBER(AK39),1,0)+IF(ISNUMBER(AL39),1,0)),2),"")</f>
        <v>4.87</v>
      </c>
      <c r="AN39" s="116" t="n">
        <f aca="false">IF(OR(Calculator!$E$11&lt;&gt;"YES",Calculator!$B$33&lt;Calculator!$G$11),"—",ROUND(MAX((50*POWER(80,POWER(COS(PI()*MOD(Calculator!$B$33/Calculator!$F$11,1)),2)))/$C39,$C39/(50*POWER(80,POWER(COS(PI()*MOD(Calculator!$B$33/Calculator!$F$11,1)),2)))),2))</f>
        <v>4.06</v>
      </c>
      <c r="AO39" s="116" t="n">
        <f aca="false">IF(OR(Calculator!$E$12&lt;&gt;"YES",Calculator!$B$33&lt;Calculator!$G$12),"—",ROUND(MAX((50*POWER(80,POWER(COS(PI()*MOD(Calculator!$B$33/Calculator!$F$12,1)),2)))/$C39,$C39/(50*POWER(80,POWER(COS(PI()*MOD(Calculator!$B$33/Calculator!$F$12,1)),2)))),2))</f>
        <v>3.22</v>
      </c>
      <c r="AP39" s="116" t="n">
        <f aca="false">IF(OR(Calculator!$E$13&lt;&gt;"YES",Calculator!$B$33&lt;Calculator!$G$13),"—",ROUND(MAX((50*POWER(80,POWER(COS(PI()*MOD(Calculator!$B$33/Calculator!$F$13,1)),2)))/$C39,$C39/(50*POWER(80,POWER(COS(PI()*MOD(Calculator!$B$33/Calculator!$F$13,1)),2)))),2))</f>
        <v>1.02</v>
      </c>
      <c r="AQ39" s="116" t="n">
        <f aca="false">IF(OR(Calculator!$E$14&lt;&gt;"YES",Calculator!$B$33&lt;Calculator!$G$14),"—",ROUND(MAX((50*POWER(80,POWER(COS(PI()*MOD(Calculator!$B$33/Calculator!$F$14,1)),2)))/$C39,$C39/(50*POWER(80,POWER(COS(PI()*MOD(Calculator!$B$33/Calculator!$F$14,1)),2)))),2))</f>
        <v>1.82</v>
      </c>
      <c r="AR39" s="116" t="n">
        <f aca="false">IF(OR(Calculator!$E$15&lt;&gt;"YES",Calculator!$B$33&lt;Calculator!$G$15),"—",ROUND(MAX((50*POWER(80,POWER(COS(PI()*MOD(Calculator!$B$33/Calculator!$F$15,1)),2)))/$C39,$C39/(50*POWER(80,POWER(COS(PI()*MOD(Calculator!$B$33/Calculator!$F$15,1)),2)))),2))</f>
        <v>1.11</v>
      </c>
      <c r="AS39" s="116" t="n">
        <f aca="false">IF(OR(Calculator!$E$16&lt;&gt;"YES",Calculator!$B$33&lt;Calculator!$G$16),"—",ROUND(MAX((50*POWER(80,POWER(COS(PI()*MOD(Calculator!$B$33/Calculator!$F$16,1)),2)))/$C39,$C39/(50*POWER(80,POWER(COS(PI()*MOD(Calculator!$B$33/Calculator!$F$16,1)),2)))),2))</f>
        <v>5.13</v>
      </c>
      <c r="AT39" s="116" t="n">
        <f aca="false">IF(OR(Calculator!$E$17&lt;&gt;"YES",Calculator!$B$33&lt;Calculator!$G$17),"—",ROUND(MAX((50*POWER(80,POWER(COS(PI()*MOD(Calculator!$B$33/Calculator!$F$17,1)),2)))/$C39,$C39/(50*POWER(80,POWER(COS(PI()*MOD(Calculator!$B$33/Calculator!$F$17,1)),2)))),2))</f>
        <v>5.24</v>
      </c>
      <c r="AU39" s="116" t="n">
        <f aca="false">IF(OR(Calculator!$E$18&lt;&gt;"YES",Calculator!$B$33&lt;Calculator!$G$18),"—",ROUND(MAX((50*POWER(80,POWER(COS(PI()*MOD(Calculator!$B$33/Calculator!$F$18,1)),2)))/$C39,$C39/(50*POWER(80,POWER(COS(PI()*MOD(Calculator!$B$33/Calculator!$F$18,1)),2)))),2))</f>
        <v>5.52</v>
      </c>
      <c r="AV39" s="116" t="n">
        <f aca="false">IF(OR(Calculator!$E$19&lt;&gt;"YES",Calculator!$B$33&lt;Calculator!$G$19),"—",ROUND(MAX((50*POWER(80,POWER(COS(PI()*MOD(Calculator!$B$33/Calculator!$F$19,1)),2)))/$C39,$C39/(50*POWER(80,POWER(COS(PI()*MOD(Calculator!$B$33/Calculator!$F$19,1)),2)))),2))</f>
        <v>9.37</v>
      </c>
      <c r="AW39" s="116" t="n">
        <f aca="false">IF(OR(Calculator!$E$20&lt;&gt;"YES",Calculator!$B$33&lt;Calculator!$G$20),"—",ROUND(MAX((50*POWER(80,POWER(COS(PI()*MOD(Calculator!$B$33/Calculator!$F$20,1)),2)))/$C39,$C39/(50*POWER(80,POWER(COS(PI()*MOD(Calculator!$B$33/Calculator!$F$20,1)),2)))),2))</f>
        <v>2.34</v>
      </c>
      <c r="AX39" s="116" t="n">
        <f aca="false">IF(OR(Calculator!$E$21&lt;&gt;"YES",Calculator!$B$33&lt;Calculator!$G$21),"—",ROUND(MAX((50*POWER(80,POWER(COS(PI()*MOD(Calculator!$B$33/Calculator!$F$21,1)),2)))/$C39,$C39/(50*POWER(80,POWER(COS(PI()*MOD(Calculator!$B$33/Calculator!$F$21,1)),2)))),2))</f>
        <v>3.35</v>
      </c>
      <c r="AY39" s="115" t="n">
        <f aca="false">IFERROR(ROUND((IF(ISNUMBER(AN39),AN39,0)+IF(ISNUMBER(AO39),AO39,0)+IF(ISNUMBER(AP39),AP39,0)+IF(ISNUMBER(AQ39),AQ39,0)+IF(ISNUMBER(AR39),AR39,0)+IF(ISNUMBER(AS39),AS39,0)+IF(ISNUMBER(AT39),AT39,0)+IF(ISNUMBER(AU39),AU39,0)+IF(ISNUMBER(AV39),AV39,0)+IF(ISNUMBER(AW39),AW39,0)+IF(ISNUMBER(AX39),AX39,0))/(IF(ISNUMBER(AN39),1,0)+IF(ISNUMBER(AO39),1,0)+IF(ISNUMBER(AP39),1,0)+IF(ISNUMBER(AQ39),1,0)+IF(ISNUMBER(AR39),1,0)+IF(ISNUMBER(AS39),1,0)+IF(ISNUMBER(AT39),1,0)+IF(ISNUMBER(AU39),1,0)+IF(ISNUMBER(AV39),1,0)+IF(ISNUMBER(AW39),1,0)+IF(ISNUMBER(AX39),1,0)),2),"")</f>
        <v>3.83</v>
      </c>
      <c r="AZ39" s="116" t="n">
        <f aca="false">IF(OR(Calculator!$E$11&lt;&gt;"YES",Calculator!$B$34&lt;Calculator!$G$11),"—",ROUND(MAX((50*POWER(80,POWER(COS(PI()*MOD(Calculator!$B$34/Calculator!$F$11,1)),2)))/$C39,$C39/(50*POWER(80,POWER(COS(PI()*MOD(Calculator!$B$34/Calculator!$F$11,1)),2)))),2))</f>
        <v>3.91</v>
      </c>
      <c r="BA39" s="116" t="n">
        <f aca="false">IF(OR(Calculator!$E$12&lt;&gt;"YES",Calculator!$B$34&lt;Calculator!$G$12),"—",ROUND(MAX((50*POWER(80,POWER(COS(PI()*MOD(Calculator!$B$34/Calculator!$F$12,1)),2)))/$C39,$C39/(50*POWER(80,POWER(COS(PI()*MOD(Calculator!$B$34/Calculator!$F$12,1)),2)))),2))</f>
        <v>2.92</v>
      </c>
      <c r="BB39" s="116" t="n">
        <f aca="false">IF(OR(Calculator!$E$13&lt;&gt;"YES",Calculator!$B$34&lt;Calculator!$G$13),"—",ROUND(MAX((50*POWER(80,POWER(COS(PI()*MOD(Calculator!$B$34/Calculator!$F$13,1)),2)))/$C39,$C39/(50*POWER(80,POWER(COS(PI()*MOD(Calculator!$B$34/Calculator!$F$13,1)),2)))),2))</f>
        <v>1.19</v>
      </c>
      <c r="BC39" s="116" t="n">
        <f aca="false">IF(OR(Calculator!$E$14&lt;&gt;"YES",Calculator!$B$34&lt;Calculator!$G$14),"—",ROUND(MAX((50*POWER(80,POWER(COS(PI()*MOD(Calculator!$B$34/Calculator!$F$14,1)),2)))/$C39,$C39/(50*POWER(80,POWER(COS(PI()*MOD(Calculator!$B$34/Calculator!$F$14,1)),2)))),2))</f>
        <v>2.2</v>
      </c>
      <c r="BD39" s="116" t="n">
        <f aca="false">IF(OR(Calculator!$E$15&lt;&gt;"YES",Calculator!$B$34&lt;Calculator!$G$15),"—",ROUND(MAX((50*POWER(80,POWER(COS(PI()*MOD(Calculator!$B$34/Calculator!$F$15,1)),2)))/$C39,$C39/(50*POWER(80,POWER(COS(PI()*MOD(Calculator!$B$34/Calculator!$F$15,1)),2)))),2))</f>
        <v>1.48</v>
      </c>
      <c r="BE39" s="116" t="n">
        <f aca="false">IF(OR(Calculator!$E$16&lt;&gt;"YES",Calculator!$B$34&lt;Calculator!$G$16),"—",ROUND(MAX((50*POWER(80,POWER(COS(PI()*MOD(Calculator!$B$34/Calculator!$F$16,1)),2)))/$C39,$C39/(50*POWER(80,POWER(COS(PI()*MOD(Calculator!$B$34/Calculator!$F$16,1)),2)))),2))</f>
        <v>4.03</v>
      </c>
      <c r="BF39" s="116" t="n">
        <f aca="false">IF(OR(Calculator!$E$17&lt;&gt;"YES",Calculator!$B$34&lt;Calculator!$G$17),"—",ROUND(MAX((50*POWER(80,POWER(COS(PI()*MOD(Calculator!$B$34/Calculator!$F$17,1)),2)))/$C39,$C39/(50*POWER(80,POWER(COS(PI()*MOD(Calculator!$B$34/Calculator!$F$17,1)),2)))),2))</f>
        <v>7.49</v>
      </c>
      <c r="BG39" s="116" t="n">
        <f aca="false">IF(OR(Calculator!$E$18&lt;&gt;"YES",Calculator!$B$34&lt;Calculator!$G$18),"—",ROUND(MAX((50*POWER(80,POWER(COS(PI()*MOD(Calculator!$B$34/Calculator!$F$18,1)),2)))/$C39,$C39/(50*POWER(80,POWER(COS(PI()*MOD(Calculator!$B$34/Calculator!$F$18,1)),2)))),2))</f>
        <v>8.2</v>
      </c>
      <c r="BH39" s="116" t="n">
        <f aca="false">IF(OR(Calculator!$E$19&lt;&gt;"YES",Calculator!$B$34&lt;Calculator!$G$19),"—",ROUND(MAX((50*POWER(80,POWER(COS(PI()*MOD(Calculator!$B$34/Calculator!$F$19,1)),2)))/$C39,$C39/(50*POWER(80,POWER(COS(PI()*MOD(Calculator!$B$34/Calculator!$F$19,1)),2)))),2))</f>
        <v>6.26</v>
      </c>
      <c r="BI39" s="116" t="n">
        <f aca="false">IF(OR(Calculator!$E$20&lt;&gt;"YES",Calculator!$B$34&lt;Calculator!$G$20),"—",ROUND(MAX((50*POWER(80,POWER(COS(PI()*MOD(Calculator!$B$34/Calculator!$F$20,1)),2)))/$C39,$C39/(50*POWER(80,POWER(COS(PI()*MOD(Calculator!$B$34/Calculator!$F$20,1)),2)))),2))</f>
        <v>4.38</v>
      </c>
      <c r="BJ39" s="116" t="n">
        <f aca="false">IF(OR(Calculator!$E$21&lt;&gt;"YES",Calculator!$B$34&lt;Calculator!$G$21),"—",ROUND(MAX((50*POWER(80,POWER(COS(PI()*MOD(Calculator!$B$34/Calculator!$F$21,1)),2)))/$C39,$C39/(50*POWER(80,POWER(COS(PI()*MOD(Calculator!$B$34/Calculator!$F$21,1)),2)))),2))</f>
        <v>9.38</v>
      </c>
      <c r="BK39" s="115" t="n">
        <f aca="false">IFERROR(ROUND((IF(ISNUMBER(AZ39),AZ39,0)+IF(ISNUMBER(BA39),BA39,0)+IF(ISNUMBER(BB39),BB39,0)+IF(ISNUMBER(BC39),BC39,0)+IF(ISNUMBER(BD39),BD39,0)+IF(ISNUMBER(BE39),BE39,0)+IF(ISNUMBER(BF39),BF39,0)+IF(ISNUMBER(BG39),BG39,0)+IF(ISNUMBER(BH39),BH39,0)+IF(ISNUMBER(BI39),BI39,0)+IF(ISNUMBER(BJ39),BJ39,0))/(IF(ISNUMBER(AZ39),1,0)+IF(ISNUMBER(BA39),1,0)+IF(ISNUMBER(BB39),1,0)+IF(ISNUMBER(BC39),1,0)+IF(ISNUMBER(BD39),1,0)+IF(ISNUMBER(BE39),1,0)+IF(ISNUMBER(BF39),1,0)+IF(ISNUMBER(BG39),1,0)+IF(ISNUMBER(BH39),1,0)+IF(ISNUMBER(BI39),1,0)+IF(ISNUMBER(BJ39),1,0)),2),"")</f>
        <v>4.68</v>
      </c>
    </row>
    <row r="40" customFormat="false" ht="15" hidden="false" customHeight="false" outlineLevel="0" collapsed="false">
      <c r="A40" s="117" t="s">
        <v>96</v>
      </c>
      <c r="B40" s="117" t="s">
        <v>93</v>
      </c>
      <c r="C40" s="118" t="n">
        <v>400</v>
      </c>
      <c r="D40" s="119" t="n">
        <f aca="false">IF(OR(Calculator!$E$11&lt;&gt;"YES",Calculator!$B$30&lt;Calculator!$G$11),"—",ROUND(MAX((50*POWER(80,POWER(COS(PI()*MOD(Calculator!$B$30/Calculator!$F$11,1)),2)))/$C40,$C40/(50*POWER(80,POWER(COS(PI()*MOD(Calculator!$B$30/Calculator!$F$11,1)),2)))),2))</f>
        <v>4.53</v>
      </c>
      <c r="E40" s="119" t="n">
        <f aca="false">IF(OR(Calculator!$E$12&lt;&gt;"YES",Calculator!$B$30&lt;Calculator!$G$12),"—",ROUND(MAX((50*POWER(80,POWER(COS(PI()*MOD(Calculator!$B$30/Calculator!$F$12,1)),2)))/$C40,$C40/(50*POWER(80,POWER(COS(PI()*MOD(Calculator!$B$30/Calculator!$F$12,1)),2)))),2))</f>
        <v>2.64</v>
      </c>
      <c r="F40" s="119" t="n">
        <f aca="false">IF(OR(Calculator!$E$13&lt;&gt;"YES",Calculator!$B$30&lt;Calculator!$G$13),"—",ROUND(MAX((50*POWER(80,POWER(COS(PI()*MOD(Calculator!$B$30/Calculator!$F$13,1)),2)))/$C40,$C40/(50*POWER(80,POWER(COS(PI()*MOD(Calculator!$B$30/Calculator!$F$13,1)),2)))),2))</f>
        <v>1.01</v>
      </c>
      <c r="G40" s="119" t="n">
        <f aca="false">IF(OR(Calculator!$E$14&lt;&gt;"YES",Calculator!$B$30&lt;Calculator!$G$14),"—",ROUND(MAX((50*POWER(80,POWER(COS(PI()*MOD(Calculator!$B$30/Calculator!$F$14,1)),2)))/$C40,$C40/(50*POWER(80,POWER(COS(PI()*MOD(Calculator!$B$30/Calculator!$F$14,1)),2)))),2))</f>
        <v>2.36</v>
      </c>
      <c r="H40" s="119" t="n">
        <f aca="false">IF(OR(Calculator!$E$15&lt;&gt;"YES",Calculator!$B$30&lt;Calculator!$G$15),"—",ROUND(MAX((50*POWER(80,POWER(COS(PI()*MOD(Calculator!$B$30/Calculator!$F$15,1)),2)))/$C40,$C40/(50*POWER(80,POWER(COS(PI()*MOD(Calculator!$B$30/Calculator!$F$15,1)),2)))),2))</f>
        <v>1.54</v>
      </c>
      <c r="I40" s="119" t="n">
        <f aca="false">IF(OR(Calculator!$E$16&lt;&gt;"YES",Calculator!$B$30&lt;Calculator!$G$16),"—",ROUND(MAX((50*POWER(80,POWER(COS(PI()*MOD(Calculator!$B$30/Calculator!$F$16,1)),2)))/$C40,$C40/(50*POWER(80,POWER(COS(PI()*MOD(Calculator!$B$30/Calculator!$F$16,1)),2)))),2))</f>
        <v>5.02</v>
      </c>
      <c r="J40" s="119" t="n">
        <f aca="false">IF(OR(Calculator!$E$17&lt;&gt;"YES",Calculator!$B$30&lt;Calculator!$G$17),"—",ROUND(MAX((50*POWER(80,POWER(COS(PI()*MOD(Calculator!$B$30/Calculator!$F$17,1)),2)))/$C40,$C40/(50*POWER(80,POWER(COS(PI()*MOD(Calculator!$B$30/Calculator!$F$17,1)),2)))),2))</f>
        <v>5.88</v>
      </c>
      <c r="K40" s="119" t="n">
        <f aca="false">IF(OR(Calculator!$E$18&lt;&gt;"YES",Calculator!$B$30&lt;Calculator!$G$18),"—",ROUND(MAX((50*POWER(80,POWER(COS(PI()*MOD(Calculator!$B$30/Calculator!$F$18,1)),2)))/$C40,$C40/(50*POWER(80,POWER(COS(PI()*MOD(Calculator!$B$30/Calculator!$F$18,1)),2)))),2))</f>
        <v>6.38</v>
      </c>
      <c r="L40" s="119" t="n">
        <f aca="false">IF(OR(Calculator!$E$19&lt;&gt;"YES",Calculator!$B$30&lt;Calculator!$G$19),"—",ROUND(MAX((50*POWER(80,POWER(COS(PI()*MOD(Calculator!$B$30/Calculator!$F$19,1)),2)))/$C40,$C40/(50*POWER(80,POWER(COS(PI()*MOD(Calculator!$B$30/Calculator!$F$19,1)),2)))),2))</f>
        <v>6.4</v>
      </c>
      <c r="M40" s="119" t="n">
        <f aca="false">IF(OR(Calculator!$E$20&lt;&gt;"YES",Calculator!$B$30&lt;Calculator!$G$20),"—",ROUND(MAX((50*POWER(80,POWER(COS(PI()*MOD(Calculator!$B$30/Calculator!$F$20,1)),2)))/$C40,$C40/(50*POWER(80,POWER(COS(PI()*MOD(Calculator!$B$30/Calculator!$F$20,1)),2)))),2))</f>
        <v>4.16</v>
      </c>
      <c r="N40" s="119" t="n">
        <f aca="false">IF(OR(Calculator!$E$21&lt;&gt;"YES",Calculator!$B$30&lt;Calculator!$G$21),"—",ROUND(MAX((50*POWER(80,POWER(COS(PI()*MOD(Calculator!$B$30/Calculator!$F$21,1)),2)))/$C40,$C40/(50*POWER(80,POWER(COS(PI()*MOD(Calculator!$B$30/Calculator!$F$21,1)),2)))),2))</f>
        <v>6.34</v>
      </c>
      <c r="O40" s="114" t="n">
        <f aca="false">IFERROR(ROUND((IF(ISNUMBER(D40),D40,0)+IF(ISNUMBER(E40),E40,0)+IF(ISNUMBER(F40),F40,0)+IF(ISNUMBER(G40),G40,0)+IF(ISNUMBER(H40),H40,0)+IF(ISNUMBER(I40),I40,0)+IF(ISNUMBER(J40),J40,0)+IF(ISNUMBER(K40),K40,0)+IF(ISNUMBER(L40),L40,0)+IF(ISNUMBER(M40),M40,0)+IF(ISNUMBER(N40),N40,0))/(IF(ISNUMBER(D40),1,0)+IF(ISNUMBER(E40),1,0)+IF(ISNUMBER(F40),1,0)+IF(ISNUMBER(G40),1,0)+IF(ISNUMBER(H40),1,0)+IF(ISNUMBER(I40),1,0)+IF(ISNUMBER(J40),1,0)+IF(ISNUMBER(K40),1,0)+IF(ISNUMBER(L40),1,0)+IF(ISNUMBER(M40),1,0)+IF(ISNUMBER(N40),1,0)),2),"")</f>
        <v>4.21</v>
      </c>
      <c r="P40" s="119" t="n">
        <f aca="false">IF(OR(Calculator!$E$11&lt;&gt;"YES",Calculator!$B$31&lt;Calculator!$G$11),"—",ROUND(MAX((50*POWER(80,POWER(COS(PI()*MOD(Calculator!$B$31/Calculator!$F$11,1)),2)))/$C40,$C40/(50*POWER(80,POWER(COS(PI()*MOD(Calculator!$B$31/Calculator!$F$11,1)),2)))),2))</f>
        <v>4.59</v>
      </c>
      <c r="Q40" s="119" t="n">
        <f aca="false">IF(OR(Calculator!$E$12&lt;&gt;"YES",Calculator!$B$31&lt;Calculator!$G$12),"—",ROUND(MAX((50*POWER(80,POWER(COS(PI()*MOD(Calculator!$B$31/Calculator!$F$12,1)),2)))/$C40,$C40/(50*POWER(80,POWER(COS(PI()*MOD(Calculator!$B$31/Calculator!$F$12,1)),2)))),2))</f>
        <v>2.72</v>
      </c>
      <c r="R40" s="119" t="n">
        <f aca="false">IF(OR(Calculator!$E$13&lt;&gt;"YES",Calculator!$B$31&lt;Calculator!$G$13),"—",ROUND(MAX((50*POWER(80,POWER(COS(PI()*MOD(Calculator!$B$31/Calculator!$F$13,1)),2)))/$C40,$C40/(50*POWER(80,POWER(COS(PI()*MOD(Calculator!$B$31/Calculator!$F$13,1)),2)))),2))</f>
        <v>1.06</v>
      </c>
      <c r="S40" s="119" t="n">
        <f aca="false">IF(OR(Calculator!$E$14&lt;&gt;"YES",Calculator!$B$31&lt;Calculator!$G$14),"—",ROUND(MAX((50*POWER(80,POWER(COS(PI()*MOD(Calculator!$B$31/Calculator!$F$14,1)),2)))/$C40,$C40/(50*POWER(80,POWER(COS(PI()*MOD(Calculator!$B$31/Calculator!$F$14,1)),2)))),2))</f>
        <v>2.22</v>
      </c>
      <c r="T40" s="119" t="n">
        <f aca="false">IF(OR(Calculator!$E$15&lt;&gt;"YES",Calculator!$B$31&lt;Calculator!$G$15),"—",ROUND(MAX((50*POWER(80,POWER(COS(PI()*MOD(Calculator!$B$31/Calculator!$F$15,1)),2)))/$C40,$C40/(50*POWER(80,POWER(COS(PI()*MOD(Calculator!$B$31/Calculator!$F$15,1)),2)))),2))</f>
        <v>1.4</v>
      </c>
      <c r="U40" s="119" t="n">
        <f aca="false">IF(OR(Calculator!$E$16&lt;&gt;"YES",Calculator!$B$31&lt;Calculator!$G$16),"—",ROUND(MAX((50*POWER(80,POWER(COS(PI()*MOD(Calculator!$B$31/Calculator!$F$16,1)),2)))/$C40,$C40/(50*POWER(80,POWER(COS(PI()*MOD(Calculator!$B$31/Calculator!$F$16,1)),2)))),2))</f>
        <v>5.45</v>
      </c>
      <c r="V40" s="119" t="n">
        <f aca="false">IF(OR(Calculator!$E$17&lt;&gt;"YES",Calculator!$B$31&lt;Calculator!$G$17),"—",ROUND(MAX((50*POWER(80,POWER(COS(PI()*MOD(Calculator!$B$31/Calculator!$F$17,1)),2)))/$C40,$C40/(50*POWER(80,POWER(COS(PI()*MOD(Calculator!$B$31/Calculator!$F$17,1)),2)))),2))</f>
        <v>5.22</v>
      </c>
      <c r="W40" s="119" t="n">
        <f aca="false">IF(OR(Calculator!$E$18&lt;&gt;"YES",Calculator!$B$31&lt;Calculator!$G$18),"—",ROUND(MAX((50*POWER(80,POWER(COS(PI()*MOD(Calculator!$B$31/Calculator!$F$18,1)),2)))/$C40,$C40/(50*POWER(80,POWER(COS(PI()*MOD(Calculator!$B$31/Calculator!$F$18,1)),2)))),2))</f>
        <v>5.59</v>
      </c>
      <c r="X40" s="119" t="n">
        <f aca="false">IF(OR(Calculator!$E$19&lt;&gt;"YES",Calculator!$B$31&lt;Calculator!$G$19),"—",ROUND(MAX((50*POWER(80,POWER(COS(PI()*MOD(Calculator!$B$31/Calculator!$F$19,1)),2)))/$C40,$C40/(50*POWER(80,POWER(COS(PI()*MOD(Calculator!$B$31/Calculator!$F$19,1)),2)))),2))</f>
        <v>7.33</v>
      </c>
      <c r="Y40" s="119" t="n">
        <f aca="false">IF(OR(Calculator!$E$20&lt;&gt;"YES",Calculator!$B$31&lt;Calculator!$G$20),"—",ROUND(MAX((50*POWER(80,POWER(COS(PI()*MOD(Calculator!$B$31/Calculator!$F$20,1)),2)))/$C40,$C40/(50*POWER(80,POWER(COS(PI()*MOD(Calculator!$B$31/Calculator!$F$20,1)),2)))),2))</f>
        <v>3.37</v>
      </c>
      <c r="Z40" s="119" t="n">
        <f aca="false">IF(OR(Calculator!$E$21&lt;&gt;"YES",Calculator!$B$31&lt;Calculator!$G$21),"—",ROUND(MAX((50*POWER(80,POWER(COS(PI()*MOD(Calculator!$B$31/Calculator!$F$21,1)),2)))/$C40,$C40/(50*POWER(80,POWER(COS(PI()*MOD(Calculator!$B$31/Calculator!$F$21,1)),2)))),2))</f>
        <v>4.47</v>
      </c>
      <c r="AA40" s="114" t="n">
        <f aca="false">IFERROR(ROUND((IF(ISNUMBER(P40),P40,0)+IF(ISNUMBER(Q40),Q40,0)+IF(ISNUMBER(R40),R40,0)+IF(ISNUMBER(S40),S40,0)+IF(ISNUMBER(T40),T40,0)+IF(ISNUMBER(U40),U40,0)+IF(ISNUMBER(V40),V40,0)+IF(ISNUMBER(W40),W40,0)+IF(ISNUMBER(X40),X40,0)+IF(ISNUMBER(Y40),Y40,0)+IF(ISNUMBER(Z40),Z40,0))/(IF(ISNUMBER(P40),1,0)+IF(ISNUMBER(Q40),1,0)+IF(ISNUMBER(R40),1,0)+IF(ISNUMBER(S40),1,0)+IF(ISNUMBER(T40),1,0)+IF(ISNUMBER(U40),1,0)+IF(ISNUMBER(V40),1,0)+IF(ISNUMBER(W40),1,0)+IF(ISNUMBER(X40),1,0)+IF(ISNUMBER(Y40),1,0)+IF(ISNUMBER(Z40),1,0)),2),"")</f>
        <v>3.95</v>
      </c>
      <c r="AB40" s="119" t="n">
        <f aca="false">IF(OR(Calculator!$E$11&lt;&gt;"YES",Calculator!$B$32&lt;Calculator!$G$11),"—",ROUND(MAX((50*POWER(80,POWER(COS(PI()*MOD(Calculator!$B$32/Calculator!$F$11,1)),2)))/$C40,$C40/(50*POWER(80,POWER(COS(PI()*MOD(Calculator!$B$32/Calculator!$F$11,1)),2)))),2))</f>
        <v>5.77</v>
      </c>
      <c r="AC40" s="119" t="n">
        <f aca="false">IF(OR(Calculator!$E$12&lt;&gt;"YES",Calculator!$B$32&lt;Calculator!$G$12),"—",ROUND(MAX((50*POWER(80,POWER(COS(PI()*MOD(Calculator!$B$32/Calculator!$F$12,1)),2)))/$C40,$C40/(50*POWER(80,POWER(COS(PI()*MOD(Calculator!$B$32/Calculator!$F$12,1)),2)))),2))</f>
        <v>5.03</v>
      </c>
      <c r="AD40" s="119" t="n">
        <f aca="false">IF(OR(Calculator!$E$13&lt;&gt;"YES",Calculator!$B$32&lt;Calculator!$G$13),"—",ROUND(MAX((50*POWER(80,POWER(COS(PI()*MOD(Calculator!$B$32/Calculator!$F$13,1)),2)))/$C40,$C40/(50*POWER(80,POWER(COS(PI()*MOD(Calculator!$B$32/Calculator!$F$13,1)),2)))),2))</f>
        <v>2.95</v>
      </c>
      <c r="AE40" s="119" t="n">
        <f aca="false">IF(OR(Calculator!$E$14&lt;&gt;"YES",Calculator!$B$32&lt;Calculator!$G$14),"—",ROUND(MAX((50*POWER(80,POWER(COS(PI()*MOD(Calculator!$B$32/Calculator!$F$14,1)),2)))/$C40,$C40/(50*POWER(80,POWER(COS(PI()*MOD(Calculator!$B$32/Calculator!$F$14,1)),2)))),2))</f>
        <v>1.86</v>
      </c>
      <c r="AF40" s="119" t="n">
        <f aca="false">IF(OR(Calculator!$E$15&lt;&gt;"YES",Calculator!$B$32&lt;Calculator!$G$15),"—",ROUND(MAX((50*POWER(80,POWER(COS(PI()*MOD(Calculator!$B$32/Calculator!$F$15,1)),2)))/$C40,$C40/(50*POWER(80,POWER(COS(PI()*MOD(Calculator!$B$32/Calculator!$F$15,1)),2)))),2))</f>
        <v>4.84</v>
      </c>
      <c r="AG40" s="119" t="n">
        <f aca="false">IF(OR(Calculator!$E$16&lt;&gt;"YES",Calculator!$B$32&lt;Calculator!$G$16),"—",ROUND(MAX((50*POWER(80,POWER(COS(PI()*MOD(Calculator!$B$32/Calculator!$F$16,1)),2)))/$C40,$C40/(50*POWER(80,POWER(COS(PI()*MOD(Calculator!$B$32/Calculator!$F$16,1)),2)))),2))</f>
        <v>4.7</v>
      </c>
      <c r="AH40" s="119" t="n">
        <f aca="false">IF(OR(Calculator!$E$17&lt;&gt;"YES",Calculator!$B$32&lt;Calculator!$G$17),"—",ROUND(MAX((50*POWER(80,POWER(COS(PI()*MOD(Calculator!$B$32/Calculator!$F$17,1)),2)))/$C40,$C40/(50*POWER(80,POWER(COS(PI()*MOD(Calculator!$B$32/Calculator!$F$17,1)),2)))),2))</f>
        <v>4.96</v>
      </c>
      <c r="AI40" s="119" t="n">
        <f aca="false">IF(OR(Calculator!$E$18&lt;&gt;"YES",Calculator!$B$32&lt;Calculator!$G$18),"—",ROUND(MAX((50*POWER(80,POWER(COS(PI()*MOD(Calculator!$B$32/Calculator!$F$18,1)),2)))/$C40,$C40/(50*POWER(80,POWER(COS(PI()*MOD(Calculator!$B$32/Calculator!$F$18,1)),2)))),2))</f>
        <v>6.55</v>
      </c>
      <c r="AJ40" s="119" t="n">
        <f aca="false">IF(OR(Calculator!$E$19&lt;&gt;"YES",Calculator!$B$32&lt;Calculator!$G$19),"—",ROUND(MAX((50*POWER(80,POWER(COS(PI()*MOD(Calculator!$B$32/Calculator!$F$19,1)),2)))/$C40,$C40/(50*POWER(80,POWER(COS(PI()*MOD(Calculator!$B$32/Calculator!$F$19,1)),2)))),2))</f>
        <v>1.38</v>
      </c>
      <c r="AK40" s="119" t="n">
        <f aca="false">IF(OR(Calculator!$E$20&lt;&gt;"YES",Calculator!$B$32&lt;Calculator!$G$20),"—",ROUND(MAX((50*POWER(80,POWER(COS(PI()*MOD(Calculator!$B$32/Calculator!$F$20,1)),2)))/$C40,$C40/(50*POWER(80,POWER(COS(PI()*MOD(Calculator!$B$32/Calculator!$F$20,1)),2)))),2))</f>
        <v>8.04</v>
      </c>
      <c r="AL40" s="119" t="n">
        <f aca="false">IF(OR(Calculator!$E$21&lt;&gt;"YES",Calculator!$B$32&lt;Calculator!$G$21),"—",ROUND(MAX((50*POWER(80,POWER(COS(PI()*MOD(Calculator!$B$32/Calculator!$F$21,1)),2)))/$C40,$C40/(50*POWER(80,POWER(COS(PI()*MOD(Calculator!$B$32/Calculator!$F$21,1)),2)))),2))</f>
        <v>6.97</v>
      </c>
      <c r="AM40" s="115" t="n">
        <f aca="false">IFERROR(ROUND((IF(ISNUMBER(AB40),AB40,0)+IF(ISNUMBER(AC40),AC40,0)+IF(ISNUMBER(AD40),AD40,0)+IF(ISNUMBER(AE40),AE40,0)+IF(ISNUMBER(AF40),AF40,0)+IF(ISNUMBER(AG40),AG40,0)+IF(ISNUMBER(AH40),AH40,0)+IF(ISNUMBER(AI40),AI40,0)+IF(ISNUMBER(AJ40),AJ40,0)+IF(ISNUMBER(AK40),AK40,0)+IF(ISNUMBER(AL40),AL40,0))/(IF(ISNUMBER(AB40),1,0)+IF(ISNUMBER(AC40),1,0)+IF(ISNUMBER(AD40),1,0)+IF(ISNUMBER(AE40),1,0)+IF(ISNUMBER(AF40),1,0)+IF(ISNUMBER(AG40),1,0)+IF(ISNUMBER(AH40),1,0)+IF(ISNUMBER(AI40),1,0)+IF(ISNUMBER(AJ40),1,0)+IF(ISNUMBER(AK40),1,0)+IF(ISNUMBER(AL40),1,0)),2),"")</f>
        <v>4.82</v>
      </c>
      <c r="AN40" s="120" t="n">
        <f aca="false">IF(OR(Calculator!$E$11&lt;&gt;"YES",Calculator!$B$33&lt;Calculator!$G$11),"—",ROUND(MAX((50*POWER(80,POWER(COS(PI()*MOD(Calculator!$B$33/Calculator!$F$11,1)),2)))/$C40,$C40/(50*POWER(80,POWER(COS(PI()*MOD(Calculator!$B$33/Calculator!$F$11,1)),2)))),2))</f>
        <v>4.64</v>
      </c>
      <c r="AO40" s="120" t="n">
        <f aca="false">IF(OR(Calculator!$E$12&lt;&gt;"YES",Calculator!$B$33&lt;Calculator!$G$12),"—",ROUND(MAX((50*POWER(80,POWER(COS(PI()*MOD(Calculator!$B$33/Calculator!$F$12,1)),2)))/$C40,$C40/(50*POWER(80,POWER(COS(PI()*MOD(Calculator!$B$33/Calculator!$F$12,1)),2)))),2))</f>
        <v>2.81</v>
      </c>
      <c r="AP40" s="120" t="n">
        <f aca="false">IF(OR(Calculator!$E$13&lt;&gt;"YES",Calculator!$B$33&lt;Calculator!$G$13),"—",ROUND(MAX((50*POWER(80,POWER(COS(PI()*MOD(Calculator!$B$33/Calculator!$F$13,1)),2)))/$C40,$C40/(50*POWER(80,POWER(COS(PI()*MOD(Calculator!$B$33/Calculator!$F$13,1)),2)))),2))</f>
        <v>1.12</v>
      </c>
      <c r="AQ40" s="120" t="n">
        <f aca="false">IF(OR(Calculator!$E$14&lt;&gt;"YES",Calculator!$B$33&lt;Calculator!$G$14),"—",ROUND(MAX((50*POWER(80,POWER(COS(PI()*MOD(Calculator!$B$33/Calculator!$F$14,1)),2)))/$C40,$C40/(50*POWER(80,POWER(COS(PI()*MOD(Calculator!$B$33/Calculator!$F$14,1)),2)))),2))</f>
        <v>2.08</v>
      </c>
      <c r="AR40" s="120" t="n">
        <f aca="false">IF(OR(Calculator!$E$15&lt;&gt;"YES",Calculator!$B$33&lt;Calculator!$G$15),"—",ROUND(MAX((50*POWER(80,POWER(COS(PI()*MOD(Calculator!$B$33/Calculator!$F$15,1)),2)))/$C40,$C40/(50*POWER(80,POWER(COS(PI()*MOD(Calculator!$B$33/Calculator!$F$15,1)),2)))),2))</f>
        <v>1.27</v>
      </c>
      <c r="AS40" s="120" t="n">
        <f aca="false">IF(OR(Calculator!$E$16&lt;&gt;"YES",Calculator!$B$33&lt;Calculator!$G$16),"—",ROUND(MAX((50*POWER(80,POWER(COS(PI()*MOD(Calculator!$B$33/Calculator!$F$16,1)),2)))/$C40,$C40/(50*POWER(80,POWER(COS(PI()*MOD(Calculator!$B$33/Calculator!$F$16,1)),2)))),2))</f>
        <v>5.87</v>
      </c>
      <c r="AT40" s="120" t="n">
        <f aca="false">IF(OR(Calculator!$E$17&lt;&gt;"YES",Calculator!$B$33&lt;Calculator!$G$17),"—",ROUND(MAX((50*POWER(80,POWER(COS(PI()*MOD(Calculator!$B$33/Calculator!$F$17,1)),2)))/$C40,$C40/(50*POWER(80,POWER(COS(PI()*MOD(Calculator!$B$33/Calculator!$F$17,1)),2)))),2))</f>
        <v>4.58</v>
      </c>
      <c r="AU40" s="120" t="n">
        <f aca="false">IF(OR(Calculator!$E$18&lt;&gt;"YES",Calculator!$B$33&lt;Calculator!$G$18),"—",ROUND(MAX((50*POWER(80,POWER(COS(PI()*MOD(Calculator!$B$33/Calculator!$F$18,1)),2)))/$C40,$C40/(50*POWER(80,POWER(COS(PI()*MOD(Calculator!$B$33/Calculator!$F$18,1)),2)))),2))</f>
        <v>4.83</v>
      </c>
      <c r="AV40" s="120" t="n">
        <f aca="false">IF(OR(Calculator!$E$19&lt;&gt;"YES",Calculator!$B$33&lt;Calculator!$G$19),"—",ROUND(MAX((50*POWER(80,POWER(COS(PI()*MOD(Calculator!$B$33/Calculator!$F$19,1)),2)))/$C40,$C40/(50*POWER(80,POWER(COS(PI()*MOD(Calculator!$B$33/Calculator!$F$19,1)),2)))),2))</f>
        <v>8.2</v>
      </c>
      <c r="AW40" s="120" t="n">
        <f aca="false">IF(OR(Calculator!$E$20&lt;&gt;"YES",Calculator!$B$33&lt;Calculator!$G$20),"—",ROUND(MAX((50*POWER(80,POWER(COS(PI()*MOD(Calculator!$B$33/Calculator!$F$20,1)),2)))/$C40,$C40/(50*POWER(80,POWER(COS(PI()*MOD(Calculator!$B$33/Calculator!$F$20,1)),2)))),2))</f>
        <v>2.67</v>
      </c>
      <c r="AX40" s="120" t="n">
        <f aca="false">IF(OR(Calculator!$E$21&lt;&gt;"YES",Calculator!$B$33&lt;Calculator!$G$21),"—",ROUND(MAX((50*POWER(80,POWER(COS(PI()*MOD(Calculator!$B$33/Calculator!$F$21,1)),2)))/$C40,$C40/(50*POWER(80,POWER(COS(PI()*MOD(Calculator!$B$33/Calculator!$F$21,1)),2)))),2))</f>
        <v>2.93</v>
      </c>
      <c r="AY40" s="115" t="n">
        <f aca="false">IFERROR(ROUND((IF(ISNUMBER(AN40),AN40,0)+IF(ISNUMBER(AO40),AO40,0)+IF(ISNUMBER(AP40),AP40,0)+IF(ISNUMBER(AQ40),AQ40,0)+IF(ISNUMBER(AR40),AR40,0)+IF(ISNUMBER(AS40),AS40,0)+IF(ISNUMBER(AT40),AT40,0)+IF(ISNUMBER(AU40),AU40,0)+IF(ISNUMBER(AV40),AV40,0)+IF(ISNUMBER(AW40),AW40,0)+IF(ISNUMBER(AX40),AX40,0))/(IF(ISNUMBER(AN40),1,0)+IF(ISNUMBER(AO40),1,0)+IF(ISNUMBER(AP40),1,0)+IF(ISNUMBER(AQ40),1,0)+IF(ISNUMBER(AR40),1,0)+IF(ISNUMBER(AS40),1,0)+IF(ISNUMBER(AT40),1,0)+IF(ISNUMBER(AU40),1,0)+IF(ISNUMBER(AV40),1,0)+IF(ISNUMBER(AW40),1,0)+IF(ISNUMBER(AX40),1,0)),2),"")</f>
        <v>3.73</v>
      </c>
      <c r="AZ40" s="120" t="n">
        <f aca="false">IF(OR(Calculator!$E$11&lt;&gt;"YES",Calculator!$B$34&lt;Calculator!$G$11),"—",ROUND(MAX((50*POWER(80,POWER(COS(PI()*MOD(Calculator!$B$34/Calculator!$F$11,1)),2)))/$C40,$C40/(50*POWER(80,POWER(COS(PI()*MOD(Calculator!$B$34/Calculator!$F$11,1)),2)))),2))</f>
        <v>4.47</v>
      </c>
      <c r="BA40" s="120" t="n">
        <f aca="false">IF(OR(Calculator!$E$12&lt;&gt;"YES",Calculator!$B$34&lt;Calculator!$G$12),"—",ROUND(MAX((50*POWER(80,POWER(COS(PI()*MOD(Calculator!$B$34/Calculator!$F$12,1)),2)))/$C40,$C40/(50*POWER(80,POWER(COS(PI()*MOD(Calculator!$B$34/Calculator!$F$12,1)),2)))),2))</f>
        <v>2.55</v>
      </c>
      <c r="BB40" s="120" t="n">
        <f aca="false">IF(OR(Calculator!$E$13&lt;&gt;"YES",Calculator!$B$34&lt;Calculator!$G$13),"—",ROUND(MAX((50*POWER(80,POWER(COS(PI()*MOD(Calculator!$B$34/Calculator!$F$13,1)),2)))/$C40,$C40/(50*POWER(80,POWER(COS(PI()*MOD(Calculator!$B$34/Calculator!$F$13,1)),2)))),2))</f>
        <v>1.04</v>
      </c>
      <c r="BC40" s="120" t="n">
        <f aca="false">IF(OR(Calculator!$E$14&lt;&gt;"YES",Calculator!$B$34&lt;Calculator!$G$14),"—",ROUND(MAX((50*POWER(80,POWER(COS(PI()*MOD(Calculator!$B$34/Calculator!$F$14,1)),2)))/$C40,$C40/(50*POWER(80,POWER(COS(PI()*MOD(Calculator!$B$34/Calculator!$F$14,1)),2)))),2))</f>
        <v>2.51</v>
      </c>
      <c r="BD40" s="120" t="n">
        <f aca="false">IF(OR(Calculator!$E$15&lt;&gt;"YES",Calculator!$B$34&lt;Calculator!$G$15),"—",ROUND(MAX((50*POWER(80,POWER(COS(PI()*MOD(Calculator!$B$34/Calculator!$F$15,1)),2)))/$C40,$C40/(50*POWER(80,POWER(COS(PI()*MOD(Calculator!$B$34/Calculator!$F$15,1)),2)))),2))</f>
        <v>1.69</v>
      </c>
      <c r="BE40" s="120" t="n">
        <f aca="false">IF(OR(Calculator!$E$16&lt;&gt;"YES",Calculator!$B$34&lt;Calculator!$G$16),"—",ROUND(MAX((50*POWER(80,POWER(COS(PI()*MOD(Calculator!$B$34/Calculator!$F$16,1)),2)))/$C40,$C40/(50*POWER(80,POWER(COS(PI()*MOD(Calculator!$B$34/Calculator!$F$16,1)),2)))),2))</f>
        <v>4.6</v>
      </c>
      <c r="BF40" s="120" t="n">
        <f aca="false">IF(OR(Calculator!$E$17&lt;&gt;"YES",Calculator!$B$34&lt;Calculator!$G$17),"—",ROUND(MAX((50*POWER(80,POWER(COS(PI()*MOD(Calculator!$B$34/Calculator!$F$17,1)),2)))/$C40,$C40/(50*POWER(80,POWER(COS(PI()*MOD(Calculator!$B$34/Calculator!$F$17,1)),2)))),2))</f>
        <v>6.55</v>
      </c>
      <c r="BG40" s="120" t="n">
        <f aca="false">IF(OR(Calculator!$E$18&lt;&gt;"YES",Calculator!$B$34&lt;Calculator!$G$18),"—",ROUND(MAX((50*POWER(80,POWER(COS(PI()*MOD(Calculator!$B$34/Calculator!$F$18,1)),2)))/$C40,$C40/(50*POWER(80,POWER(COS(PI()*MOD(Calculator!$B$34/Calculator!$F$18,1)),2)))),2))</f>
        <v>7.17</v>
      </c>
      <c r="BH40" s="120" t="n">
        <f aca="false">IF(OR(Calculator!$E$19&lt;&gt;"YES",Calculator!$B$34&lt;Calculator!$G$19),"—",ROUND(MAX((50*POWER(80,POWER(COS(PI()*MOD(Calculator!$B$34/Calculator!$F$19,1)),2)))/$C40,$C40/(50*POWER(80,POWER(COS(PI()*MOD(Calculator!$B$34/Calculator!$F$19,1)),2)))),2))</f>
        <v>5.48</v>
      </c>
      <c r="BI40" s="120" t="n">
        <f aca="false">IF(OR(Calculator!$E$20&lt;&gt;"YES",Calculator!$B$34&lt;Calculator!$G$20),"—",ROUND(MAX((50*POWER(80,POWER(COS(PI()*MOD(Calculator!$B$34/Calculator!$F$20,1)),2)))/$C40,$C40/(50*POWER(80,POWER(COS(PI()*MOD(Calculator!$B$34/Calculator!$F$20,1)),2)))),2))</f>
        <v>5.01</v>
      </c>
      <c r="BJ40" s="120" t="n">
        <f aca="false">IF(OR(Calculator!$E$21&lt;&gt;"YES",Calculator!$B$34&lt;Calculator!$G$21),"—",ROUND(MAX((50*POWER(80,POWER(COS(PI()*MOD(Calculator!$B$34/Calculator!$F$21,1)),2)))/$C40,$C40/(50*POWER(80,POWER(COS(PI()*MOD(Calculator!$B$34/Calculator!$F$21,1)),2)))),2))</f>
        <v>8.21</v>
      </c>
      <c r="BK40" s="115" t="n">
        <f aca="false">IFERROR(ROUND((IF(ISNUMBER(AZ40),AZ40,0)+IF(ISNUMBER(BA40),BA40,0)+IF(ISNUMBER(BB40),BB40,0)+IF(ISNUMBER(BC40),BC40,0)+IF(ISNUMBER(BD40),BD40,0)+IF(ISNUMBER(BE40),BE40,0)+IF(ISNUMBER(BF40),BF40,0)+IF(ISNUMBER(BG40),BG40,0)+IF(ISNUMBER(BH40),BH40,0)+IF(ISNUMBER(BI40),BI40,0)+IF(ISNUMBER(BJ40),BJ40,0))/(IF(ISNUMBER(AZ40),1,0)+IF(ISNUMBER(BA40),1,0)+IF(ISNUMBER(BB40),1,0)+IF(ISNUMBER(BC40),1,0)+IF(ISNUMBER(BD40),1,0)+IF(ISNUMBER(BE40),1,0)+IF(ISNUMBER(BF40),1,0)+IF(ISNUMBER(BG40),1,0)+IF(ISNUMBER(BH40),1,0)+IF(ISNUMBER(BI40),1,0)+IF(ISNUMBER(BJ40),1,0)),2),"")</f>
        <v>4.48</v>
      </c>
    </row>
    <row r="41" customFormat="false" ht="15" hidden="false" customHeight="false" outlineLevel="0" collapsed="false">
      <c r="A41" s="107" t="s">
        <v>97</v>
      </c>
      <c r="B41" s="108" t="s">
        <v>98</v>
      </c>
      <c r="C41" s="109" t="n">
        <v>450</v>
      </c>
      <c r="D41" s="110" t="n">
        <f aca="false">IF(OR(Calculator!$E$11&lt;&gt;"YES",Calculator!$B$30&lt;Calculator!$G$11),"—",ROUND(MAX((50*POWER(80,POWER(COS(PI()*MOD(Calculator!$B$30/Calculator!$F$11,1)),2)))/$C41,$C41/(50*POWER(80,POWER(COS(PI()*MOD(Calculator!$B$30/Calculator!$F$11,1)),2)))),2))</f>
        <v>5.1</v>
      </c>
      <c r="E41" s="110" t="n">
        <f aca="false">IF(OR(Calculator!$E$12&lt;&gt;"YES",Calculator!$B$30&lt;Calculator!$G$12),"—",ROUND(MAX((50*POWER(80,POWER(COS(PI()*MOD(Calculator!$B$30/Calculator!$F$12,1)),2)))/$C41,$C41/(50*POWER(80,POWER(COS(PI()*MOD(Calculator!$B$30/Calculator!$F$12,1)),2)))),2))</f>
        <v>2.34</v>
      </c>
      <c r="F41" s="110" t="n">
        <f aca="false">IF(OR(Calculator!$E$13&lt;&gt;"YES",Calculator!$B$30&lt;Calculator!$G$13),"—",ROUND(MAX((50*POWER(80,POWER(COS(PI()*MOD(Calculator!$B$30/Calculator!$F$13,1)),2)))/$C41,$C41/(50*POWER(80,POWER(COS(PI()*MOD(Calculator!$B$30/Calculator!$F$13,1)),2)))),2))</f>
        <v>1.14</v>
      </c>
      <c r="G41" s="110" t="n">
        <f aca="false">IF(OR(Calculator!$E$14&lt;&gt;"YES",Calculator!$B$30&lt;Calculator!$G$14),"—",ROUND(MAX((50*POWER(80,POWER(COS(PI()*MOD(Calculator!$B$30/Calculator!$F$14,1)),2)))/$C41,$C41/(50*POWER(80,POWER(COS(PI()*MOD(Calculator!$B$30/Calculator!$F$14,1)),2)))),2))</f>
        <v>2.66</v>
      </c>
      <c r="H41" s="110" t="n">
        <f aca="false">IF(OR(Calculator!$E$15&lt;&gt;"YES",Calculator!$B$30&lt;Calculator!$G$15),"—",ROUND(MAX((50*POWER(80,POWER(COS(PI()*MOD(Calculator!$B$30/Calculator!$F$15,1)),2)))/$C41,$C41/(50*POWER(80,POWER(COS(PI()*MOD(Calculator!$B$30/Calculator!$F$15,1)),2)))),2))</f>
        <v>1.73</v>
      </c>
      <c r="I41" s="110" t="n">
        <f aca="false">IF(OR(Calculator!$E$16&lt;&gt;"YES",Calculator!$B$30&lt;Calculator!$G$16),"—",ROUND(MAX((50*POWER(80,POWER(COS(PI()*MOD(Calculator!$B$30/Calculator!$F$16,1)),2)))/$C41,$C41/(50*POWER(80,POWER(COS(PI()*MOD(Calculator!$B$30/Calculator!$F$16,1)),2)))),2))</f>
        <v>5.65</v>
      </c>
      <c r="J41" s="110" t="n">
        <f aca="false">IF(OR(Calculator!$E$17&lt;&gt;"YES",Calculator!$B$30&lt;Calculator!$G$17),"—",ROUND(MAX((50*POWER(80,POWER(COS(PI()*MOD(Calculator!$B$30/Calculator!$F$17,1)),2)))/$C41,$C41/(50*POWER(80,POWER(COS(PI()*MOD(Calculator!$B$30/Calculator!$F$17,1)),2)))),2))</f>
        <v>5.22</v>
      </c>
      <c r="K41" s="110" t="n">
        <f aca="false">IF(OR(Calculator!$E$18&lt;&gt;"YES",Calculator!$B$30&lt;Calculator!$G$18),"—",ROUND(MAX((50*POWER(80,POWER(COS(PI()*MOD(Calculator!$B$30/Calculator!$F$18,1)),2)))/$C41,$C41/(50*POWER(80,POWER(COS(PI()*MOD(Calculator!$B$30/Calculator!$F$18,1)),2)))),2))</f>
        <v>5.67</v>
      </c>
      <c r="L41" s="110" t="n">
        <f aca="false">IF(OR(Calculator!$E$19&lt;&gt;"YES",Calculator!$B$30&lt;Calculator!$G$19),"—",ROUND(MAX((50*POWER(80,POWER(COS(PI()*MOD(Calculator!$B$30/Calculator!$F$19,1)),2)))/$C41,$C41/(50*POWER(80,POWER(COS(PI()*MOD(Calculator!$B$30/Calculator!$F$19,1)),2)))),2))</f>
        <v>5.69</v>
      </c>
      <c r="M41" s="110" t="n">
        <f aca="false">IF(OR(Calculator!$E$20&lt;&gt;"YES",Calculator!$B$30&lt;Calculator!$G$20),"—",ROUND(MAX((50*POWER(80,POWER(COS(PI()*MOD(Calculator!$B$30/Calculator!$F$20,1)),2)))/$C41,$C41/(50*POWER(80,POWER(COS(PI()*MOD(Calculator!$B$30/Calculator!$F$20,1)),2)))),2))</f>
        <v>4.68</v>
      </c>
      <c r="N41" s="110" t="n">
        <f aca="false">IF(OR(Calculator!$E$21&lt;&gt;"YES",Calculator!$B$30&lt;Calculator!$G$21),"—",ROUND(MAX((50*POWER(80,POWER(COS(PI()*MOD(Calculator!$B$30/Calculator!$F$21,1)),2)))/$C41,$C41/(50*POWER(80,POWER(COS(PI()*MOD(Calculator!$B$30/Calculator!$F$21,1)),2)))),2))</f>
        <v>5.63</v>
      </c>
      <c r="O41" s="111" t="n">
        <f aca="false">IFERROR(ROUND((IF(ISNUMBER(D41),D41,0)+IF(ISNUMBER(E41),E41,0)+IF(ISNUMBER(F41),F41,0)+IF(ISNUMBER(G41),G41,0)+IF(ISNUMBER(H41),H41,0)+IF(ISNUMBER(I41),I41,0)+IF(ISNUMBER(J41),J41,0)+IF(ISNUMBER(K41),K41,0)+IF(ISNUMBER(L41),L41,0)+IF(ISNUMBER(M41),M41,0)+IF(ISNUMBER(N41),N41,0))/(IF(ISNUMBER(D41),1,0)+IF(ISNUMBER(E41),1,0)+IF(ISNUMBER(F41),1,0)+IF(ISNUMBER(G41),1,0)+IF(ISNUMBER(H41),1,0)+IF(ISNUMBER(I41),1,0)+IF(ISNUMBER(J41),1,0)+IF(ISNUMBER(K41),1,0)+IF(ISNUMBER(L41),1,0)+IF(ISNUMBER(M41),1,0)+IF(ISNUMBER(N41),1,0)),2),"")</f>
        <v>4.14</v>
      </c>
      <c r="P41" s="110" t="n">
        <f aca="false">IF(OR(Calculator!$E$11&lt;&gt;"YES",Calculator!$B$31&lt;Calculator!$G$11),"—",ROUND(MAX((50*POWER(80,POWER(COS(PI()*MOD(Calculator!$B$31/Calculator!$F$11,1)),2)))/$C41,$C41/(50*POWER(80,POWER(COS(PI()*MOD(Calculator!$B$31/Calculator!$F$11,1)),2)))),2))</f>
        <v>5.16</v>
      </c>
      <c r="Q41" s="110" t="n">
        <f aca="false">IF(OR(Calculator!$E$12&lt;&gt;"YES",Calculator!$B$31&lt;Calculator!$G$12),"—",ROUND(MAX((50*POWER(80,POWER(COS(PI()*MOD(Calculator!$B$31/Calculator!$F$12,1)),2)))/$C41,$C41/(50*POWER(80,POWER(COS(PI()*MOD(Calculator!$B$31/Calculator!$F$12,1)),2)))),2))</f>
        <v>2.42</v>
      </c>
      <c r="R41" s="110" t="n">
        <f aca="false">IF(OR(Calculator!$E$13&lt;&gt;"YES",Calculator!$B$31&lt;Calculator!$G$13),"—",ROUND(MAX((50*POWER(80,POWER(COS(PI()*MOD(Calculator!$B$31/Calculator!$F$13,1)),2)))/$C41,$C41/(50*POWER(80,POWER(COS(PI()*MOD(Calculator!$B$31/Calculator!$F$13,1)),2)))),2))</f>
        <v>1.2</v>
      </c>
      <c r="S41" s="110" t="n">
        <f aca="false">IF(OR(Calculator!$E$14&lt;&gt;"YES",Calculator!$B$31&lt;Calculator!$G$14),"—",ROUND(MAX((50*POWER(80,POWER(COS(PI()*MOD(Calculator!$B$31/Calculator!$F$14,1)),2)))/$C41,$C41/(50*POWER(80,POWER(COS(PI()*MOD(Calculator!$B$31/Calculator!$F$14,1)),2)))),2))</f>
        <v>2.5</v>
      </c>
      <c r="T41" s="110" t="n">
        <f aca="false">IF(OR(Calculator!$E$15&lt;&gt;"YES",Calculator!$B$31&lt;Calculator!$G$15),"—",ROUND(MAX((50*POWER(80,POWER(COS(PI()*MOD(Calculator!$B$31/Calculator!$F$15,1)),2)))/$C41,$C41/(50*POWER(80,POWER(COS(PI()*MOD(Calculator!$B$31/Calculator!$F$15,1)),2)))),2))</f>
        <v>1.57</v>
      </c>
      <c r="U41" s="110" t="n">
        <f aca="false">IF(OR(Calculator!$E$16&lt;&gt;"YES",Calculator!$B$31&lt;Calculator!$G$16),"—",ROUND(MAX((50*POWER(80,POWER(COS(PI()*MOD(Calculator!$B$31/Calculator!$F$16,1)),2)))/$C41,$C41/(50*POWER(80,POWER(COS(PI()*MOD(Calculator!$B$31/Calculator!$F$16,1)),2)))),2))</f>
        <v>6.13</v>
      </c>
      <c r="V41" s="110" t="n">
        <f aca="false">IF(OR(Calculator!$E$17&lt;&gt;"YES",Calculator!$B$31&lt;Calculator!$G$17),"—",ROUND(MAX((50*POWER(80,POWER(COS(PI()*MOD(Calculator!$B$31/Calculator!$F$17,1)),2)))/$C41,$C41/(50*POWER(80,POWER(COS(PI()*MOD(Calculator!$B$31/Calculator!$F$17,1)),2)))),2))</f>
        <v>4.64</v>
      </c>
      <c r="W41" s="110" t="n">
        <f aca="false">IF(OR(Calculator!$E$18&lt;&gt;"YES",Calculator!$B$31&lt;Calculator!$G$18),"—",ROUND(MAX((50*POWER(80,POWER(COS(PI()*MOD(Calculator!$B$31/Calculator!$F$18,1)),2)))/$C41,$C41/(50*POWER(80,POWER(COS(PI()*MOD(Calculator!$B$31/Calculator!$F$18,1)),2)))),2))</f>
        <v>4.97</v>
      </c>
      <c r="X41" s="110" t="n">
        <f aca="false">IF(OR(Calculator!$E$19&lt;&gt;"YES",Calculator!$B$31&lt;Calculator!$G$19),"—",ROUND(MAX((50*POWER(80,POWER(COS(PI()*MOD(Calculator!$B$31/Calculator!$F$19,1)),2)))/$C41,$C41/(50*POWER(80,POWER(COS(PI()*MOD(Calculator!$B$31/Calculator!$F$19,1)),2)))),2))</f>
        <v>6.51</v>
      </c>
      <c r="Y41" s="110" t="n">
        <f aca="false">IF(OR(Calculator!$E$20&lt;&gt;"YES",Calculator!$B$31&lt;Calculator!$G$20),"—",ROUND(MAX((50*POWER(80,POWER(COS(PI()*MOD(Calculator!$B$31/Calculator!$F$20,1)),2)))/$C41,$C41/(50*POWER(80,POWER(COS(PI()*MOD(Calculator!$B$31/Calculator!$F$20,1)),2)))),2))</f>
        <v>3.79</v>
      </c>
      <c r="Z41" s="110" t="n">
        <f aca="false">IF(OR(Calculator!$E$21&lt;&gt;"YES",Calculator!$B$31&lt;Calculator!$G$21),"—",ROUND(MAX((50*POWER(80,POWER(COS(PI()*MOD(Calculator!$B$31/Calculator!$F$21,1)),2)))/$C41,$C41/(50*POWER(80,POWER(COS(PI()*MOD(Calculator!$B$31/Calculator!$F$21,1)),2)))),2))</f>
        <v>3.97</v>
      </c>
      <c r="AA41" s="111" t="n">
        <f aca="false">IFERROR(ROUND((IF(ISNUMBER(P41),P41,0)+IF(ISNUMBER(Q41),Q41,0)+IF(ISNUMBER(R41),R41,0)+IF(ISNUMBER(S41),S41,0)+IF(ISNUMBER(T41),T41,0)+IF(ISNUMBER(U41),U41,0)+IF(ISNUMBER(V41),V41,0)+IF(ISNUMBER(W41),W41,0)+IF(ISNUMBER(X41),X41,0)+IF(ISNUMBER(Y41),Y41,0)+IF(ISNUMBER(Z41),Z41,0))/(IF(ISNUMBER(P41),1,0)+IF(ISNUMBER(Q41),1,0)+IF(ISNUMBER(R41),1,0)+IF(ISNUMBER(S41),1,0)+IF(ISNUMBER(T41),1,0)+IF(ISNUMBER(U41),1,0)+IF(ISNUMBER(V41),1,0)+IF(ISNUMBER(W41),1,0)+IF(ISNUMBER(X41),1,0)+IF(ISNUMBER(Y41),1,0)+IF(ISNUMBER(Z41),1,0)),2),"")</f>
        <v>3.9</v>
      </c>
      <c r="AB41" s="110" t="n">
        <f aca="false">IF(OR(Calculator!$E$11&lt;&gt;"YES",Calculator!$B$32&lt;Calculator!$G$11),"—",ROUND(MAX((50*POWER(80,POWER(COS(PI()*MOD(Calculator!$B$32/Calculator!$F$11,1)),2)))/$C41,$C41/(50*POWER(80,POWER(COS(PI()*MOD(Calculator!$B$32/Calculator!$F$11,1)),2)))),2))</f>
        <v>6.49</v>
      </c>
      <c r="AC41" s="110" t="n">
        <f aca="false">IF(OR(Calculator!$E$12&lt;&gt;"YES",Calculator!$B$32&lt;Calculator!$G$12),"—",ROUND(MAX((50*POWER(80,POWER(COS(PI()*MOD(Calculator!$B$32/Calculator!$F$12,1)),2)))/$C41,$C41/(50*POWER(80,POWER(COS(PI()*MOD(Calculator!$B$32/Calculator!$F$12,1)),2)))),2))</f>
        <v>4.47</v>
      </c>
      <c r="AD41" s="110" t="n">
        <f aca="false">IF(OR(Calculator!$E$13&lt;&gt;"YES",Calculator!$B$32&lt;Calculator!$G$13),"—",ROUND(MAX((50*POWER(80,POWER(COS(PI()*MOD(Calculator!$B$32/Calculator!$F$13,1)),2)))/$C41,$C41/(50*POWER(80,POWER(COS(PI()*MOD(Calculator!$B$32/Calculator!$F$13,1)),2)))),2))</f>
        <v>3.31</v>
      </c>
      <c r="AE41" s="110" t="n">
        <f aca="false">IF(OR(Calculator!$E$14&lt;&gt;"YES",Calculator!$B$32&lt;Calculator!$G$14),"—",ROUND(MAX((50*POWER(80,POWER(COS(PI()*MOD(Calculator!$B$32/Calculator!$F$14,1)),2)))/$C41,$C41/(50*POWER(80,POWER(COS(PI()*MOD(Calculator!$B$32/Calculator!$F$14,1)),2)))),2))</f>
        <v>1.65</v>
      </c>
      <c r="AF41" s="110" t="n">
        <f aca="false">IF(OR(Calculator!$E$15&lt;&gt;"YES",Calculator!$B$32&lt;Calculator!$G$15),"—",ROUND(MAX((50*POWER(80,POWER(COS(PI()*MOD(Calculator!$B$32/Calculator!$F$15,1)),2)))/$C41,$C41/(50*POWER(80,POWER(COS(PI()*MOD(Calculator!$B$32/Calculator!$F$15,1)),2)))),2))</f>
        <v>4.3</v>
      </c>
      <c r="AG41" s="110" t="n">
        <f aca="false">IF(OR(Calculator!$E$16&lt;&gt;"YES",Calculator!$B$32&lt;Calculator!$G$16),"—",ROUND(MAX((50*POWER(80,POWER(COS(PI()*MOD(Calculator!$B$32/Calculator!$F$16,1)),2)))/$C41,$C41/(50*POWER(80,POWER(COS(PI()*MOD(Calculator!$B$32/Calculator!$F$16,1)),2)))),2))</f>
        <v>5.29</v>
      </c>
      <c r="AH41" s="110" t="n">
        <f aca="false">IF(OR(Calculator!$E$17&lt;&gt;"YES",Calculator!$B$32&lt;Calculator!$G$17),"—",ROUND(MAX((50*POWER(80,POWER(COS(PI()*MOD(Calculator!$B$32/Calculator!$F$17,1)),2)))/$C41,$C41/(50*POWER(80,POWER(COS(PI()*MOD(Calculator!$B$32/Calculator!$F$17,1)),2)))),2))</f>
        <v>5.58</v>
      </c>
      <c r="AI41" s="110" t="n">
        <f aca="false">IF(OR(Calculator!$E$18&lt;&gt;"YES",Calculator!$B$32&lt;Calculator!$G$18),"—",ROUND(MAX((50*POWER(80,POWER(COS(PI()*MOD(Calculator!$B$32/Calculator!$F$18,1)),2)))/$C41,$C41/(50*POWER(80,POWER(COS(PI()*MOD(Calculator!$B$32/Calculator!$F$18,1)),2)))),2))</f>
        <v>7.37</v>
      </c>
      <c r="AJ41" s="110" t="n">
        <f aca="false">IF(OR(Calculator!$E$19&lt;&gt;"YES",Calculator!$B$32&lt;Calculator!$G$19),"—",ROUND(MAX((50*POWER(80,POWER(COS(PI()*MOD(Calculator!$B$32/Calculator!$F$19,1)),2)))/$C41,$C41/(50*POWER(80,POWER(COS(PI()*MOD(Calculator!$B$32/Calculator!$F$19,1)),2)))),2))</f>
        <v>1.55</v>
      </c>
      <c r="AK41" s="110" t="n">
        <f aca="false">IF(OR(Calculator!$E$20&lt;&gt;"YES",Calculator!$B$32&lt;Calculator!$G$20),"—",ROUND(MAX((50*POWER(80,POWER(COS(PI()*MOD(Calculator!$B$32/Calculator!$F$20,1)),2)))/$C41,$C41/(50*POWER(80,POWER(COS(PI()*MOD(Calculator!$B$32/Calculator!$F$20,1)),2)))),2))</f>
        <v>7.14</v>
      </c>
      <c r="AL41" s="110" t="n">
        <f aca="false">IF(OR(Calculator!$E$21&lt;&gt;"YES",Calculator!$B$32&lt;Calculator!$G$21),"—",ROUND(MAX((50*POWER(80,POWER(COS(PI()*MOD(Calculator!$B$32/Calculator!$F$21,1)),2)))/$C41,$C41/(50*POWER(80,POWER(COS(PI()*MOD(Calculator!$B$32/Calculator!$F$21,1)),2)))),2))</f>
        <v>6.2</v>
      </c>
      <c r="AM41" s="112" t="n">
        <f aca="false">IFERROR(ROUND((IF(ISNUMBER(AB41),AB41,0)+IF(ISNUMBER(AC41),AC41,0)+IF(ISNUMBER(AD41),AD41,0)+IF(ISNUMBER(AE41),AE41,0)+IF(ISNUMBER(AF41),AF41,0)+IF(ISNUMBER(AG41),AG41,0)+IF(ISNUMBER(AH41),AH41,0)+IF(ISNUMBER(AI41),AI41,0)+IF(ISNUMBER(AJ41),AJ41,0)+IF(ISNUMBER(AK41),AK41,0)+IF(ISNUMBER(AL41),AL41,0))/(IF(ISNUMBER(AB41),1,0)+IF(ISNUMBER(AC41),1,0)+IF(ISNUMBER(AD41),1,0)+IF(ISNUMBER(AE41),1,0)+IF(ISNUMBER(AF41),1,0)+IF(ISNUMBER(AG41),1,0)+IF(ISNUMBER(AH41),1,0)+IF(ISNUMBER(AI41),1,0)+IF(ISNUMBER(AJ41),1,0)+IF(ISNUMBER(AK41),1,0)+IF(ISNUMBER(AL41),1,0)),2),"")</f>
        <v>4.85</v>
      </c>
      <c r="AN41" s="113" t="n">
        <f aca="false">IF(OR(Calculator!$E$11&lt;&gt;"YES",Calculator!$B$33&lt;Calculator!$G$11),"—",ROUND(MAX((50*POWER(80,POWER(COS(PI()*MOD(Calculator!$B$33/Calculator!$F$11,1)),2)))/$C41,$C41/(50*POWER(80,POWER(COS(PI()*MOD(Calculator!$B$33/Calculator!$F$11,1)),2)))),2))</f>
        <v>5.22</v>
      </c>
      <c r="AO41" s="113" t="n">
        <f aca="false">IF(OR(Calculator!$E$12&lt;&gt;"YES",Calculator!$B$33&lt;Calculator!$G$12),"—",ROUND(MAX((50*POWER(80,POWER(COS(PI()*MOD(Calculator!$B$33/Calculator!$F$12,1)),2)))/$C41,$C41/(50*POWER(80,POWER(COS(PI()*MOD(Calculator!$B$33/Calculator!$F$12,1)),2)))),2))</f>
        <v>2.5</v>
      </c>
      <c r="AP41" s="113" t="n">
        <f aca="false">IF(OR(Calculator!$E$13&lt;&gt;"YES",Calculator!$B$33&lt;Calculator!$G$13),"—",ROUND(MAX((50*POWER(80,POWER(COS(PI()*MOD(Calculator!$B$33/Calculator!$F$13,1)),2)))/$C41,$C41/(50*POWER(80,POWER(COS(PI()*MOD(Calculator!$B$33/Calculator!$F$13,1)),2)))),2))</f>
        <v>1.26</v>
      </c>
      <c r="AQ41" s="113" t="n">
        <f aca="false">IF(OR(Calculator!$E$14&lt;&gt;"YES",Calculator!$B$33&lt;Calculator!$G$14),"—",ROUND(MAX((50*POWER(80,POWER(COS(PI()*MOD(Calculator!$B$33/Calculator!$F$14,1)),2)))/$C41,$C41/(50*POWER(80,POWER(COS(PI()*MOD(Calculator!$B$33/Calculator!$F$14,1)),2)))),2))</f>
        <v>2.34</v>
      </c>
      <c r="AR41" s="113" t="n">
        <f aca="false">IF(OR(Calculator!$E$15&lt;&gt;"YES",Calculator!$B$33&lt;Calculator!$G$15),"—",ROUND(MAX((50*POWER(80,POWER(COS(PI()*MOD(Calculator!$B$33/Calculator!$F$15,1)),2)))/$C41,$C41/(50*POWER(80,POWER(COS(PI()*MOD(Calculator!$B$33/Calculator!$F$15,1)),2)))),2))</f>
        <v>1.43</v>
      </c>
      <c r="AS41" s="113" t="n">
        <f aca="false">IF(OR(Calculator!$E$16&lt;&gt;"YES",Calculator!$B$33&lt;Calculator!$G$16),"—",ROUND(MAX((50*POWER(80,POWER(COS(PI()*MOD(Calculator!$B$33/Calculator!$F$16,1)),2)))/$C41,$C41/(50*POWER(80,POWER(COS(PI()*MOD(Calculator!$B$33/Calculator!$F$16,1)),2)))),2))</f>
        <v>6.6</v>
      </c>
      <c r="AT41" s="113" t="n">
        <f aca="false">IF(OR(Calculator!$E$17&lt;&gt;"YES",Calculator!$B$33&lt;Calculator!$G$17),"—",ROUND(MAX((50*POWER(80,POWER(COS(PI()*MOD(Calculator!$B$33/Calculator!$F$17,1)),2)))/$C41,$C41/(50*POWER(80,POWER(COS(PI()*MOD(Calculator!$B$33/Calculator!$F$17,1)),2)))),2))</f>
        <v>4.07</v>
      </c>
      <c r="AU41" s="113" t="n">
        <f aca="false">IF(OR(Calculator!$E$18&lt;&gt;"YES",Calculator!$B$33&lt;Calculator!$G$18),"—",ROUND(MAX((50*POWER(80,POWER(COS(PI()*MOD(Calculator!$B$33/Calculator!$F$18,1)),2)))/$C41,$C41/(50*POWER(80,POWER(COS(PI()*MOD(Calculator!$B$33/Calculator!$F$18,1)),2)))),2))</f>
        <v>4.3</v>
      </c>
      <c r="AV41" s="113" t="n">
        <f aca="false">IF(OR(Calculator!$E$19&lt;&gt;"YES",Calculator!$B$33&lt;Calculator!$G$19),"—",ROUND(MAX((50*POWER(80,POWER(COS(PI()*MOD(Calculator!$B$33/Calculator!$F$19,1)),2)))/$C41,$C41/(50*POWER(80,POWER(COS(PI()*MOD(Calculator!$B$33/Calculator!$F$19,1)),2)))),2))</f>
        <v>7.29</v>
      </c>
      <c r="AW41" s="113" t="n">
        <f aca="false">IF(OR(Calculator!$E$20&lt;&gt;"YES",Calculator!$B$33&lt;Calculator!$G$20),"—",ROUND(MAX((50*POWER(80,POWER(COS(PI()*MOD(Calculator!$B$33/Calculator!$F$20,1)),2)))/$C41,$C41/(50*POWER(80,POWER(COS(PI()*MOD(Calculator!$B$33/Calculator!$F$20,1)),2)))),2))</f>
        <v>3.01</v>
      </c>
      <c r="AX41" s="113" t="n">
        <f aca="false">IF(OR(Calculator!$E$21&lt;&gt;"YES",Calculator!$B$33&lt;Calculator!$G$21),"—",ROUND(MAX((50*POWER(80,POWER(COS(PI()*MOD(Calculator!$B$33/Calculator!$F$21,1)),2)))/$C41,$C41/(50*POWER(80,POWER(COS(PI()*MOD(Calculator!$B$33/Calculator!$F$21,1)),2)))),2))</f>
        <v>2.6</v>
      </c>
      <c r="AY41" s="112" t="n">
        <f aca="false">IFERROR(ROUND((IF(ISNUMBER(AN41),AN41,0)+IF(ISNUMBER(AO41),AO41,0)+IF(ISNUMBER(AP41),AP41,0)+IF(ISNUMBER(AQ41),AQ41,0)+IF(ISNUMBER(AR41),AR41,0)+IF(ISNUMBER(AS41),AS41,0)+IF(ISNUMBER(AT41),AT41,0)+IF(ISNUMBER(AU41),AU41,0)+IF(ISNUMBER(AV41),AV41,0)+IF(ISNUMBER(AW41),AW41,0)+IF(ISNUMBER(AX41),AX41,0))/(IF(ISNUMBER(AN41),1,0)+IF(ISNUMBER(AO41),1,0)+IF(ISNUMBER(AP41),1,0)+IF(ISNUMBER(AQ41),1,0)+IF(ISNUMBER(AR41),1,0)+IF(ISNUMBER(AS41),1,0)+IF(ISNUMBER(AT41),1,0)+IF(ISNUMBER(AU41),1,0)+IF(ISNUMBER(AV41),1,0)+IF(ISNUMBER(AW41),1,0)+IF(ISNUMBER(AX41),1,0)),2),"")</f>
        <v>3.69</v>
      </c>
      <c r="AZ41" s="113" t="n">
        <f aca="false">IF(OR(Calculator!$E$11&lt;&gt;"YES",Calculator!$B$34&lt;Calculator!$G$11),"—",ROUND(MAX((50*POWER(80,POWER(COS(PI()*MOD(Calculator!$B$34/Calculator!$F$11,1)),2)))/$C41,$C41/(50*POWER(80,POWER(COS(PI()*MOD(Calculator!$B$34/Calculator!$F$11,1)),2)))),2))</f>
        <v>5.03</v>
      </c>
      <c r="BA41" s="113" t="n">
        <f aca="false">IF(OR(Calculator!$E$12&lt;&gt;"YES",Calculator!$B$34&lt;Calculator!$G$12),"—",ROUND(MAX((50*POWER(80,POWER(COS(PI()*MOD(Calculator!$B$34/Calculator!$F$12,1)),2)))/$C41,$C41/(50*POWER(80,POWER(COS(PI()*MOD(Calculator!$B$34/Calculator!$F$12,1)),2)))),2))</f>
        <v>2.27</v>
      </c>
      <c r="BB41" s="113" t="n">
        <f aca="false">IF(OR(Calculator!$E$13&lt;&gt;"YES",Calculator!$B$34&lt;Calculator!$G$13),"—",ROUND(MAX((50*POWER(80,POWER(COS(PI()*MOD(Calculator!$B$34/Calculator!$F$13,1)),2)))/$C41,$C41/(50*POWER(80,POWER(COS(PI()*MOD(Calculator!$B$34/Calculator!$F$13,1)),2)))),2))</f>
        <v>1.08</v>
      </c>
      <c r="BC41" s="113" t="n">
        <f aca="false">IF(OR(Calculator!$E$14&lt;&gt;"YES",Calculator!$B$34&lt;Calculator!$G$14),"—",ROUND(MAX((50*POWER(80,POWER(COS(PI()*MOD(Calculator!$B$34/Calculator!$F$14,1)),2)))/$C41,$C41/(50*POWER(80,POWER(COS(PI()*MOD(Calculator!$B$34/Calculator!$F$14,1)),2)))),2))</f>
        <v>2.83</v>
      </c>
      <c r="BD41" s="113" t="n">
        <f aca="false">IF(OR(Calculator!$E$15&lt;&gt;"YES",Calculator!$B$34&lt;Calculator!$G$15),"—",ROUND(MAX((50*POWER(80,POWER(COS(PI()*MOD(Calculator!$B$34/Calculator!$F$15,1)),2)))/$C41,$C41/(50*POWER(80,POWER(COS(PI()*MOD(Calculator!$B$34/Calculator!$F$15,1)),2)))),2))</f>
        <v>1.9</v>
      </c>
      <c r="BE41" s="113" t="n">
        <f aca="false">IF(OR(Calculator!$E$16&lt;&gt;"YES",Calculator!$B$34&lt;Calculator!$G$16),"—",ROUND(MAX((50*POWER(80,POWER(COS(PI()*MOD(Calculator!$B$34/Calculator!$F$16,1)),2)))/$C41,$C41/(50*POWER(80,POWER(COS(PI()*MOD(Calculator!$B$34/Calculator!$F$16,1)),2)))),2))</f>
        <v>5.18</v>
      </c>
      <c r="BF41" s="113" t="n">
        <f aca="false">IF(OR(Calculator!$E$17&lt;&gt;"YES",Calculator!$B$34&lt;Calculator!$G$17),"—",ROUND(MAX((50*POWER(80,POWER(COS(PI()*MOD(Calculator!$B$34/Calculator!$F$17,1)),2)))/$C41,$C41/(50*POWER(80,POWER(COS(PI()*MOD(Calculator!$B$34/Calculator!$F$17,1)),2)))),2))</f>
        <v>5.82</v>
      </c>
      <c r="BG41" s="113" t="n">
        <f aca="false">IF(OR(Calculator!$E$18&lt;&gt;"YES",Calculator!$B$34&lt;Calculator!$G$18),"—",ROUND(MAX((50*POWER(80,POWER(COS(PI()*MOD(Calculator!$B$34/Calculator!$F$18,1)),2)))/$C41,$C41/(50*POWER(80,POWER(COS(PI()*MOD(Calculator!$B$34/Calculator!$F$18,1)),2)))),2))</f>
        <v>6.37</v>
      </c>
      <c r="BH41" s="113" t="n">
        <f aca="false">IF(OR(Calculator!$E$19&lt;&gt;"YES",Calculator!$B$34&lt;Calculator!$G$19),"—",ROUND(MAX((50*POWER(80,POWER(COS(PI()*MOD(Calculator!$B$34/Calculator!$F$19,1)),2)))/$C41,$C41/(50*POWER(80,POWER(COS(PI()*MOD(Calculator!$B$34/Calculator!$F$19,1)),2)))),2))</f>
        <v>4.87</v>
      </c>
      <c r="BI41" s="113" t="n">
        <f aca="false">IF(OR(Calculator!$E$20&lt;&gt;"YES",Calculator!$B$34&lt;Calculator!$G$20),"—",ROUND(MAX((50*POWER(80,POWER(COS(PI()*MOD(Calculator!$B$34/Calculator!$F$20,1)),2)))/$C41,$C41/(50*POWER(80,POWER(COS(PI()*MOD(Calculator!$B$34/Calculator!$F$20,1)),2)))),2))</f>
        <v>5.63</v>
      </c>
      <c r="BJ41" s="113" t="n">
        <f aca="false">IF(OR(Calculator!$E$21&lt;&gt;"YES",Calculator!$B$34&lt;Calculator!$G$21),"—",ROUND(MAX((50*POWER(80,POWER(COS(PI()*MOD(Calculator!$B$34/Calculator!$F$21,1)),2)))/$C41,$C41/(50*POWER(80,POWER(COS(PI()*MOD(Calculator!$B$34/Calculator!$F$21,1)),2)))),2))</f>
        <v>7.3</v>
      </c>
      <c r="BK41" s="112" t="n">
        <f aca="false">IFERROR(ROUND((IF(ISNUMBER(AZ41),AZ41,0)+IF(ISNUMBER(BA41),BA41,0)+IF(ISNUMBER(BB41),BB41,0)+IF(ISNUMBER(BC41),BC41,0)+IF(ISNUMBER(BD41),BD41,0)+IF(ISNUMBER(BE41),BE41,0)+IF(ISNUMBER(BF41),BF41,0)+IF(ISNUMBER(BG41),BG41,0)+IF(ISNUMBER(BH41),BH41,0)+IF(ISNUMBER(BI41),BI41,0)+IF(ISNUMBER(BJ41),BJ41,0))/(IF(ISNUMBER(AZ41),1,0)+IF(ISNUMBER(BA41),1,0)+IF(ISNUMBER(BB41),1,0)+IF(ISNUMBER(BC41),1,0)+IF(ISNUMBER(BD41),1,0)+IF(ISNUMBER(BE41),1,0)+IF(ISNUMBER(BF41),1,0)+IF(ISNUMBER(BG41),1,0)+IF(ISNUMBER(BH41),1,0)+IF(ISNUMBER(BI41),1,0)+IF(ISNUMBER(BJ41),1,0)),2),"")</f>
        <v>4.39</v>
      </c>
    </row>
    <row r="42" customFormat="false" ht="15" hidden="false" customHeight="false" outlineLevel="0" collapsed="false">
      <c r="A42" s="117" t="s">
        <v>99</v>
      </c>
      <c r="B42" s="117" t="s">
        <v>93</v>
      </c>
      <c r="C42" s="118" t="n">
        <v>500</v>
      </c>
      <c r="D42" s="119" t="n">
        <f aca="false">IF(OR(Calculator!$E$11&lt;&gt;"YES",Calculator!$B$30&lt;Calculator!$G$11),"—",ROUND(MAX((50*POWER(80,POWER(COS(PI()*MOD(Calculator!$B$30/Calculator!$F$11,1)),2)))/$C42,$C42/(50*POWER(80,POWER(COS(PI()*MOD(Calculator!$B$30/Calculator!$F$11,1)),2)))),2))</f>
        <v>5.66</v>
      </c>
      <c r="E42" s="119" t="n">
        <f aca="false">IF(OR(Calculator!$E$12&lt;&gt;"YES",Calculator!$B$30&lt;Calculator!$G$12),"—",ROUND(MAX((50*POWER(80,POWER(COS(PI()*MOD(Calculator!$B$30/Calculator!$F$12,1)),2)))/$C42,$C42/(50*POWER(80,POWER(COS(PI()*MOD(Calculator!$B$30/Calculator!$F$12,1)),2)))),2))</f>
        <v>2.11</v>
      </c>
      <c r="F42" s="119" t="n">
        <f aca="false">IF(OR(Calculator!$E$13&lt;&gt;"YES",Calculator!$B$30&lt;Calculator!$G$13),"—",ROUND(MAX((50*POWER(80,POWER(COS(PI()*MOD(Calculator!$B$30/Calculator!$F$13,1)),2)))/$C42,$C42/(50*POWER(80,POWER(COS(PI()*MOD(Calculator!$B$30/Calculator!$F$13,1)),2)))),2))</f>
        <v>1.26</v>
      </c>
      <c r="G42" s="119" t="n">
        <f aca="false">IF(OR(Calculator!$E$14&lt;&gt;"YES",Calculator!$B$30&lt;Calculator!$G$14),"—",ROUND(MAX((50*POWER(80,POWER(COS(PI()*MOD(Calculator!$B$30/Calculator!$F$14,1)),2)))/$C42,$C42/(50*POWER(80,POWER(COS(PI()*MOD(Calculator!$B$30/Calculator!$F$14,1)),2)))),2))</f>
        <v>2.95</v>
      </c>
      <c r="H42" s="119" t="n">
        <f aca="false">IF(OR(Calculator!$E$15&lt;&gt;"YES",Calculator!$B$30&lt;Calculator!$G$15),"—",ROUND(MAX((50*POWER(80,POWER(COS(PI()*MOD(Calculator!$B$30/Calculator!$F$15,1)),2)))/$C42,$C42/(50*POWER(80,POWER(COS(PI()*MOD(Calculator!$B$30/Calculator!$F$15,1)),2)))),2))</f>
        <v>1.92</v>
      </c>
      <c r="I42" s="119" t="n">
        <f aca="false">IF(OR(Calculator!$E$16&lt;&gt;"YES",Calculator!$B$30&lt;Calculator!$G$16),"—",ROUND(MAX((50*POWER(80,POWER(COS(PI()*MOD(Calculator!$B$30/Calculator!$F$16,1)),2)))/$C42,$C42/(50*POWER(80,POWER(COS(PI()*MOD(Calculator!$B$30/Calculator!$F$16,1)),2)))),2))</f>
        <v>6.28</v>
      </c>
      <c r="J42" s="119" t="n">
        <f aca="false">IF(OR(Calculator!$E$17&lt;&gt;"YES",Calculator!$B$30&lt;Calculator!$G$17),"—",ROUND(MAX((50*POWER(80,POWER(COS(PI()*MOD(Calculator!$B$30/Calculator!$F$17,1)),2)))/$C42,$C42/(50*POWER(80,POWER(COS(PI()*MOD(Calculator!$B$30/Calculator!$F$17,1)),2)))),2))</f>
        <v>4.7</v>
      </c>
      <c r="K42" s="119" t="n">
        <f aca="false">IF(OR(Calculator!$E$18&lt;&gt;"YES",Calculator!$B$30&lt;Calculator!$G$18),"—",ROUND(MAX((50*POWER(80,POWER(COS(PI()*MOD(Calculator!$B$30/Calculator!$F$18,1)),2)))/$C42,$C42/(50*POWER(80,POWER(COS(PI()*MOD(Calculator!$B$30/Calculator!$F$18,1)),2)))),2))</f>
        <v>5.11</v>
      </c>
      <c r="L42" s="119" t="n">
        <f aca="false">IF(OR(Calculator!$E$19&lt;&gt;"YES",Calculator!$B$30&lt;Calculator!$G$19),"—",ROUND(MAX((50*POWER(80,POWER(COS(PI()*MOD(Calculator!$B$30/Calculator!$F$19,1)),2)))/$C42,$C42/(50*POWER(80,POWER(COS(PI()*MOD(Calculator!$B$30/Calculator!$F$19,1)),2)))),2))</f>
        <v>5.12</v>
      </c>
      <c r="M42" s="119" t="n">
        <f aca="false">IF(OR(Calculator!$E$20&lt;&gt;"YES",Calculator!$B$30&lt;Calculator!$G$20),"—",ROUND(MAX((50*POWER(80,POWER(COS(PI()*MOD(Calculator!$B$30/Calculator!$F$20,1)),2)))/$C42,$C42/(50*POWER(80,POWER(COS(PI()*MOD(Calculator!$B$30/Calculator!$F$20,1)),2)))),2))</f>
        <v>5.2</v>
      </c>
      <c r="N42" s="119" t="n">
        <f aca="false">IF(OR(Calculator!$E$21&lt;&gt;"YES",Calculator!$B$30&lt;Calculator!$G$21),"—",ROUND(MAX((50*POWER(80,POWER(COS(PI()*MOD(Calculator!$B$30/Calculator!$F$21,1)),2)))/$C42,$C42/(50*POWER(80,POWER(COS(PI()*MOD(Calculator!$B$30/Calculator!$F$21,1)),2)))),2))</f>
        <v>5.07</v>
      </c>
      <c r="O42" s="114" t="n">
        <f aca="false">IFERROR(ROUND((IF(ISNUMBER(D42),D42,0)+IF(ISNUMBER(E42),E42,0)+IF(ISNUMBER(F42),F42,0)+IF(ISNUMBER(G42),G42,0)+IF(ISNUMBER(H42),H42,0)+IF(ISNUMBER(I42),I42,0)+IF(ISNUMBER(J42),J42,0)+IF(ISNUMBER(K42),K42,0)+IF(ISNUMBER(L42),L42,0)+IF(ISNUMBER(M42),M42,0)+IF(ISNUMBER(N42),N42,0))/(IF(ISNUMBER(D42),1,0)+IF(ISNUMBER(E42),1,0)+IF(ISNUMBER(F42),1,0)+IF(ISNUMBER(G42),1,0)+IF(ISNUMBER(H42),1,0)+IF(ISNUMBER(I42),1,0)+IF(ISNUMBER(J42),1,0)+IF(ISNUMBER(K42),1,0)+IF(ISNUMBER(L42),1,0)+IF(ISNUMBER(M42),1,0)+IF(ISNUMBER(N42),1,0)),2),"")</f>
        <v>4.13</v>
      </c>
      <c r="P42" s="119" t="n">
        <f aca="false">IF(OR(Calculator!$E$11&lt;&gt;"YES",Calculator!$B$31&lt;Calculator!$G$11),"—",ROUND(MAX((50*POWER(80,POWER(COS(PI()*MOD(Calculator!$B$31/Calculator!$F$11,1)),2)))/$C42,$C42/(50*POWER(80,POWER(COS(PI()*MOD(Calculator!$B$31/Calculator!$F$11,1)),2)))),2))</f>
        <v>5.73</v>
      </c>
      <c r="Q42" s="119" t="n">
        <f aca="false">IF(OR(Calculator!$E$12&lt;&gt;"YES",Calculator!$B$31&lt;Calculator!$G$12),"—",ROUND(MAX((50*POWER(80,POWER(COS(PI()*MOD(Calculator!$B$31/Calculator!$F$12,1)),2)))/$C42,$C42/(50*POWER(80,POWER(COS(PI()*MOD(Calculator!$B$31/Calculator!$F$12,1)),2)))),2))</f>
        <v>2.18</v>
      </c>
      <c r="R42" s="119" t="n">
        <f aca="false">IF(OR(Calculator!$E$13&lt;&gt;"YES",Calculator!$B$31&lt;Calculator!$G$13),"—",ROUND(MAX((50*POWER(80,POWER(COS(PI()*MOD(Calculator!$B$31/Calculator!$F$13,1)),2)))/$C42,$C42/(50*POWER(80,POWER(COS(PI()*MOD(Calculator!$B$31/Calculator!$F$13,1)),2)))),2))</f>
        <v>1.33</v>
      </c>
      <c r="S42" s="119" t="n">
        <f aca="false">IF(OR(Calculator!$E$14&lt;&gt;"YES",Calculator!$B$31&lt;Calculator!$G$14),"—",ROUND(MAX((50*POWER(80,POWER(COS(PI()*MOD(Calculator!$B$31/Calculator!$F$14,1)),2)))/$C42,$C42/(50*POWER(80,POWER(COS(PI()*MOD(Calculator!$B$31/Calculator!$F$14,1)),2)))),2))</f>
        <v>2.78</v>
      </c>
      <c r="T42" s="119" t="n">
        <f aca="false">IF(OR(Calculator!$E$15&lt;&gt;"YES",Calculator!$B$31&lt;Calculator!$G$15),"—",ROUND(MAX((50*POWER(80,POWER(COS(PI()*MOD(Calculator!$B$31/Calculator!$F$15,1)),2)))/$C42,$C42/(50*POWER(80,POWER(COS(PI()*MOD(Calculator!$B$31/Calculator!$F$15,1)),2)))),2))</f>
        <v>1.75</v>
      </c>
      <c r="U42" s="119" t="n">
        <f aca="false">IF(OR(Calculator!$E$16&lt;&gt;"YES",Calculator!$B$31&lt;Calculator!$G$16),"—",ROUND(MAX((50*POWER(80,POWER(COS(PI()*MOD(Calculator!$B$31/Calculator!$F$16,1)),2)))/$C42,$C42/(50*POWER(80,POWER(COS(PI()*MOD(Calculator!$B$31/Calculator!$F$16,1)),2)))),2))</f>
        <v>6.81</v>
      </c>
      <c r="V42" s="119" t="n">
        <f aca="false">IF(OR(Calculator!$E$17&lt;&gt;"YES",Calculator!$B$31&lt;Calculator!$G$17),"—",ROUND(MAX((50*POWER(80,POWER(COS(PI()*MOD(Calculator!$B$31/Calculator!$F$17,1)),2)))/$C42,$C42/(50*POWER(80,POWER(COS(PI()*MOD(Calculator!$B$31/Calculator!$F$17,1)),2)))),2))</f>
        <v>4.17</v>
      </c>
      <c r="W42" s="119" t="n">
        <f aca="false">IF(OR(Calculator!$E$18&lt;&gt;"YES",Calculator!$B$31&lt;Calculator!$G$18),"—",ROUND(MAX((50*POWER(80,POWER(COS(PI()*MOD(Calculator!$B$31/Calculator!$F$18,1)),2)))/$C42,$C42/(50*POWER(80,POWER(COS(PI()*MOD(Calculator!$B$31/Calculator!$F$18,1)),2)))),2))</f>
        <v>4.47</v>
      </c>
      <c r="X42" s="119" t="n">
        <f aca="false">IF(OR(Calculator!$E$19&lt;&gt;"YES",Calculator!$B$31&lt;Calculator!$G$19),"—",ROUND(MAX((50*POWER(80,POWER(COS(PI()*MOD(Calculator!$B$31/Calculator!$F$19,1)),2)))/$C42,$C42/(50*POWER(80,POWER(COS(PI()*MOD(Calculator!$B$31/Calculator!$F$19,1)),2)))),2))</f>
        <v>5.86</v>
      </c>
      <c r="Y42" s="119" t="n">
        <f aca="false">IF(OR(Calculator!$E$20&lt;&gt;"YES",Calculator!$B$31&lt;Calculator!$G$20),"—",ROUND(MAX((50*POWER(80,POWER(COS(PI()*MOD(Calculator!$B$31/Calculator!$F$20,1)),2)))/$C42,$C42/(50*POWER(80,POWER(COS(PI()*MOD(Calculator!$B$31/Calculator!$F$20,1)),2)))),2))</f>
        <v>4.21</v>
      </c>
      <c r="Z42" s="119" t="n">
        <f aca="false">IF(OR(Calculator!$E$21&lt;&gt;"YES",Calculator!$B$31&lt;Calculator!$G$21),"—",ROUND(MAX((50*POWER(80,POWER(COS(PI()*MOD(Calculator!$B$31/Calculator!$F$21,1)),2)))/$C42,$C42/(50*POWER(80,POWER(COS(PI()*MOD(Calculator!$B$31/Calculator!$F$21,1)),2)))),2))</f>
        <v>3.57</v>
      </c>
      <c r="AA42" s="114" t="n">
        <f aca="false">IFERROR(ROUND((IF(ISNUMBER(P42),P42,0)+IF(ISNUMBER(Q42),Q42,0)+IF(ISNUMBER(R42),R42,0)+IF(ISNUMBER(S42),S42,0)+IF(ISNUMBER(T42),T42,0)+IF(ISNUMBER(U42),U42,0)+IF(ISNUMBER(V42),V42,0)+IF(ISNUMBER(W42),W42,0)+IF(ISNUMBER(X42),X42,0)+IF(ISNUMBER(Y42),Y42,0)+IF(ISNUMBER(Z42),Z42,0))/(IF(ISNUMBER(P42),1,0)+IF(ISNUMBER(Q42),1,0)+IF(ISNUMBER(R42),1,0)+IF(ISNUMBER(S42),1,0)+IF(ISNUMBER(T42),1,0)+IF(ISNUMBER(U42),1,0)+IF(ISNUMBER(V42),1,0)+IF(ISNUMBER(W42),1,0)+IF(ISNUMBER(X42),1,0)+IF(ISNUMBER(Y42),1,0)+IF(ISNUMBER(Z42),1,0)),2),"")</f>
        <v>3.9</v>
      </c>
      <c r="AB42" s="119" t="n">
        <f aca="false">IF(OR(Calculator!$E$11&lt;&gt;"YES",Calculator!$B$32&lt;Calculator!$G$11),"—",ROUND(MAX((50*POWER(80,POWER(COS(PI()*MOD(Calculator!$B$32/Calculator!$F$11,1)),2)))/$C42,$C42/(50*POWER(80,POWER(COS(PI()*MOD(Calculator!$B$32/Calculator!$F$11,1)),2)))),2))</f>
        <v>7.21</v>
      </c>
      <c r="AC42" s="119" t="n">
        <f aca="false">IF(OR(Calculator!$E$12&lt;&gt;"YES",Calculator!$B$32&lt;Calculator!$G$12),"—",ROUND(MAX((50*POWER(80,POWER(COS(PI()*MOD(Calculator!$B$32/Calculator!$F$12,1)),2)))/$C42,$C42/(50*POWER(80,POWER(COS(PI()*MOD(Calculator!$B$32/Calculator!$F$12,1)),2)))),2))</f>
        <v>4.02</v>
      </c>
      <c r="AD42" s="119" t="n">
        <f aca="false">IF(OR(Calculator!$E$13&lt;&gt;"YES",Calculator!$B$32&lt;Calculator!$G$13),"—",ROUND(MAX((50*POWER(80,POWER(COS(PI()*MOD(Calculator!$B$32/Calculator!$F$13,1)),2)))/$C42,$C42/(50*POWER(80,POWER(COS(PI()*MOD(Calculator!$B$32/Calculator!$F$13,1)),2)))),2))</f>
        <v>3.68</v>
      </c>
      <c r="AE42" s="119" t="n">
        <f aca="false">IF(OR(Calculator!$E$14&lt;&gt;"YES",Calculator!$B$32&lt;Calculator!$G$14),"—",ROUND(MAX((50*POWER(80,POWER(COS(PI()*MOD(Calculator!$B$32/Calculator!$F$14,1)),2)))/$C42,$C42/(50*POWER(80,POWER(COS(PI()*MOD(Calculator!$B$32/Calculator!$F$14,1)),2)))),2))</f>
        <v>1.49</v>
      </c>
      <c r="AF42" s="119" t="n">
        <f aca="false">IF(OR(Calculator!$E$15&lt;&gt;"YES",Calculator!$B$32&lt;Calculator!$G$15),"—",ROUND(MAX((50*POWER(80,POWER(COS(PI()*MOD(Calculator!$B$32/Calculator!$F$15,1)),2)))/$C42,$C42/(50*POWER(80,POWER(COS(PI()*MOD(Calculator!$B$32/Calculator!$F$15,1)),2)))),2))</f>
        <v>3.87</v>
      </c>
      <c r="AG42" s="119" t="n">
        <f aca="false">IF(OR(Calculator!$E$16&lt;&gt;"YES",Calculator!$B$32&lt;Calculator!$G$16),"—",ROUND(MAX((50*POWER(80,POWER(COS(PI()*MOD(Calculator!$B$32/Calculator!$F$16,1)),2)))/$C42,$C42/(50*POWER(80,POWER(COS(PI()*MOD(Calculator!$B$32/Calculator!$F$16,1)),2)))),2))</f>
        <v>5.88</v>
      </c>
      <c r="AH42" s="119" t="n">
        <f aca="false">IF(OR(Calculator!$E$17&lt;&gt;"YES",Calculator!$B$32&lt;Calculator!$G$17),"—",ROUND(MAX((50*POWER(80,POWER(COS(PI()*MOD(Calculator!$B$32/Calculator!$F$17,1)),2)))/$C42,$C42/(50*POWER(80,POWER(COS(PI()*MOD(Calculator!$B$32/Calculator!$F$17,1)),2)))),2))</f>
        <v>6.21</v>
      </c>
      <c r="AI42" s="119" t="n">
        <f aca="false">IF(OR(Calculator!$E$18&lt;&gt;"YES",Calculator!$B$32&lt;Calculator!$G$18),"—",ROUND(MAX((50*POWER(80,POWER(COS(PI()*MOD(Calculator!$B$32/Calculator!$F$18,1)),2)))/$C42,$C42/(50*POWER(80,POWER(COS(PI()*MOD(Calculator!$B$32/Calculator!$F$18,1)),2)))),2))</f>
        <v>8.19</v>
      </c>
      <c r="AJ42" s="119" t="n">
        <f aca="false">IF(OR(Calculator!$E$19&lt;&gt;"YES",Calculator!$B$32&lt;Calculator!$G$19),"—",ROUND(MAX((50*POWER(80,POWER(COS(PI()*MOD(Calculator!$B$32/Calculator!$F$19,1)),2)))/$C42,$C42/(50*POWER(80,POWER(COS(PI()*MOD(Calculator!$B$32/Calculator!$F$19,1)),2)))),2))</f>
        <v>1.73</v>
      </c>
      <c r="AK42" s="119" t="n">
        <f aca="false">IF(OR(Calculator!$E$20&lt;&gt;"YES",Calculator!$B$32&lt;Calculator!$G$20),"—",ROUND(MAX((50*POWER(80,POWER(COS(PI()*MOD(Calculator!$B$32/Calculator!$F$20,1)),2)))/$C42,$C42/(50*POWER(80,POWER(COS(PI()*MOD(Calculator!$B$32/Calculator!$F$20,1)),2)))),2))</f>
        <v>6.43</v>
      </c>
      <c r="AL42" s="119" t="n">
        <f aca="false">IF(OR(Calculator!$E$21&lt;&gt;"YES",Calculator!$B$32&lt;Calculator!$G$21),"—",ROUND(MAX((50*POWER(80,POWER(COS(PI()*MOD(Calculator!$B$32/Calculator!$F$21,1)),2)))/$C42,$C42/(50*POWER(80,POWER(COS(PI()*MOD(Calculator!$B$32/Calculator!$F$21,1)),2)))),2))</f>
        <v>5.58</v>
      </c>
      <c r="AM42" s="115" t="n">
        <f aca="false">IFERROR(ROUND((IF(ISNUMBER(AB42),AB42,0)+IF(ISNUMBER(AC42),AC42,0)+IF(ISNUMBER(AD42),AD42,0)+IF(ISNUMBER(AE42),AE42,0)+IF(ISNUMBER(AF42),AF42,0)+IF(ISNUMBER(AG42),AG42,0)+IF(ISNUMBER(AH42),AH42,0)+IF(ISNUMBER(AI42),AI42,0)+IF(ISNUMBER(AJ42),AJ42,0)+IF(ISNUMBER(AK42),AK42,0)+IF(ISNUMBER(AL42),AL42,0))/(IF(ISNUMBER(AB42),1,0)+IF(ISNUMBER(AC42),1,0)+IF(ISNUMBER(AD42),1,0)+IF(ISNUMBER(AE42),1,0)+IF(ISNUMBER(AF42),1,0)+IF(ISNUMBER(AG42),1,0)+IF(ISNUMBER(AH42),1,0)+IF(ISNUMBER(AI42),1,0)+IF(ISNUMBER(AJ42),1,0)+IF(ISNUMBER(AK42),1,0)+IF(ISNUMBER(AL42),1,0)),2),"")</f>
        <v>4.94</v>
      </c>
      <c r="AN42" s="120" t="n">
        <f aca="false">IF(OR(Calculator!$E$11&lt;&gt;"YES",Calculator!$B$33&lt;Calculator!$G$11),"—",ROUND(MAX((50*POWER(80,POWER(COS(PI()*MOD(Calculator!$B$33/Calculator!$F$11,1)),2)))/$C42,$C42/(50*POWER(80,POWER(COS(PI()*MOD(Calculator!$B$33/Calculator!$F$11,1)),2)))),2))</f>
        <v>5.8</v>
      </c>
      <c r="AO42" s="120" t="n">
        <f aca="false">IF(OR(Calculator!$E$12&lt;&gt;"YES",Calculator!$B$33&lt;Calculator!$G$12),"—",ROUND(MAX((50*POWER(80,POWER(COS(PI()*MOD(Calculator!$B$33/Calculator!$F$12,1)),2)))/$C42,$C42/(50*POWER(80,POWER(COS(PI()*MOD(Calculator!$B$33/Calculator!$F$12,1)),2)))),2))</f>
        <v>2.25</v>
      </c>
      <c r="AP42" s="120" t="n">
        <f aca="false">IF(OR(Calculator!$E$13&lt;&gt;"YES",Calculator!$B$33&lt;Calculator!$G$13),"—",ROUND(MAX((50*POWER(80,POWER(COS(PI()*MOD(Calculator!$B$33/Calculator!$F$13,1)),2)))/$C42,$C42/(50*POWER(80,POWER(COS(PI()*MOD(Calculator!$B$33/Calculator!$F$13,1)),2)))),2))</f>
        <v>1.4</v>
      </c>
      <c r="AQ42" s="120" t="n">
        <f aca="false">IF(OR(Calculator!$E$14&lt;&gt;"YES",Calculator!$B$33&lt;Calculator!$G$14),"—",ROUND(MAX((50*POWER(80,POWER(COS(PI()*MOD(Calculator!$B$33/Calculator!$F$14,1)),2)))/$C42,$C42/(50*POWER(80,POWER(COS(PI()*MOD(Calculator!$B$33/Calculator!$F$14,1)),2)))),2))</f>
        <v>2.61</v>
      </c>
      <c r="AR42" s="120" t="n">
        <f aca="false">IF(OR(Calculator!$E$15&lt;&gt;"YES",Calculator!$B$33&lt;Calculator!$G$15),"—",ROUND(MAX((50*POWER(80,POWER(COS(PI()*MOD(Calculator!$B$33/Calculator!$F$15,1)),2)))/$C42,$C42/(50*POWER(80,POWER(COS(PI()*MOD(Calculator!$B$33/Calculator!$F$15,1)),2)))),2))</f>
        <v>1.59</v>
      </c>
      <c r="AS42" s="120" t="n">
        <f aca="false">IF(OR(Calculator!$E$16&lt;&gt;"YES",Calculator!$B$33&lt;Calculator!$G$16),"—",ROUND(MAX((50*POWER(80,POWER(COS(PI()*MOD(Calculator!$B$33/Calculator!$F$16,1)),2)))/$C42,$C42/(50*POWER(80,POWER(COS(PI()*MOD(Calculator!$B$33/Calculator!$F$16,1)),2)))),2))</f>
        <v>7.33</v>
      </c>
      <c r="AT42" s="120" t="n">
        <f aca="false">IF(OR(Calculator!$E$17&lt;&gt;"YES",Calculator!$B$33&lt;Calculator!$G$17),"—",ROUND(MAX((50*POWER(80,POWER(COS(PI()*MOD(Calculator!$B$33/Calculator!$F$17,1)),2)))/$C42,$C42/(50*POWER(80,POWER(COS(PI()*MOD(Calculator!$B$33/Calculator!$F$17,1)),2)))),2))</f>
        <v>3.67</v>
      </c>
      <c r="AU42" s="120" t="n">
        <f aca="false">IF(OR(Calculator!$E$18&lt;&gt;"YES",Calculator!$B$33&lt;Calculator!$G$18),"—",ROUND(MAX((50*POWER(80,POWER(COS(PI()*MOD(Calculator!$B$33/Calculator!$F$18,1)),2)))/$C42,$C42/(50*POWER(80,POWER(COS(PI()*MOD(Calculator!$B$33/Calculator!$F$18,1)),2)))),2))</f>
        <v>3.87</v>
      </c>
      <c r="AV42" s="120" t="n">
        <f aca="false">IF(OR(Calculator!$E$19&lt;&gt;"YES",Calculator!$B$33&lt;Calculator!$G$19),"—",ROUND(MAX((50*POWER(80,POWER(COS(PI()*MOD(Calculator!$B$33/Calculator!$F$19,1)),2)))/$C42,$C42/(50*POWER(80,POWER(COS(PI()*MOD(Calculator!$B$33/Calculator!$F$19,1)),2)))),2))</f>
        <v>6.56</v>
      </c>
      <c r="AW42" s="120" t="n">
        <f aca="false">IF(OR(Calculator!$E$20&lt;&gt;"YES",Calculator!$B$33&lt;Calculator!$G$20),"—",ROUND(MAX((50*POWER(80,POWER(COS(PI()*MOD(Calculator!$B$33/Calculator!$F$20,1)),2)))/$C42,$C42/(50*POWER(80,POWER(COS(PI()*MOD(Calculator!$B$33/Calculator!$F$20,1)),2)))),2))</f>
        <v>3.34</v>
      </c>
      <c r="AX42" s="120" t="n">
        <f aca="false">IF(OR(Calculator!$E$21&lt;&gt;"YES",Calculator!$B$33&lt;Calculator!$G$21),"—",ROUND(MAX((50*POWER(80,POWER(COS(PI()*MOD(Calculator!$B$33/Calculator!$F$21,1)),2)))/$C42,$C42/(50*POWER(80,POWER(COS(PI()*MOD(Calculator!$B$33/Calculator!$F$21,1)),2)))),2))</f>
        <v>2.34</v>
      </c>
      <c r="AY42" s="115" t="n">
        <f aca="false">IFERROR(ROUND((IF(ISNUMBER(AN42),AN42,0)+IF(ISNUMBER(AO42),AO42,0)+IF(ISNUMBER(AP42),AP42,0)+IF(ISNUMBER(AQ42),AQ42,0)+IF(ISNUMBER(AR42),AR42,0)+IF(ISNUMBER(AS42),AS42,0)+IF(ISNUMBER(AT42),AT42,0)+IF(ISNUMBER(AU42),AU42,0)+IF(ISNUMBER(AV42),AV42,0)+IF(ISNUMBER(AW42),AW42,0)+IF(ISNUMBER(AX42),AX42,0))/(IF(ISNUMBER(AN42),1,0)+IF(ISNUMBER(AO42),1,0)+IF(ISNUMBER(AP42),1,0)+IF(ISNUMBER(AQ42),1,0)+IF(ISNUMBER(AR42),1,0)+IF(ISNUMBER(AS42),1,0)+IF(ISNUMBER(AT42),1,0)+IF(ISNUMBER(AU42),1,0)+IF(ISNUMBER(AV42),1,0)+IF(ISNUMBER(AW42),1,0)+IF(ISNUMBER(AX42),1,0)),2),"")</f>
        <v>3.71</v>
      </c>
      <c r="AZ42" s="120" t="n">
        <f aca="false">IF(OR(Calculator!$E$11&lt;&gt;"YES",Calculator!$B$34&lt;Calculator!$G$11),"—",ROUND(MAX((50*POWER(80,POWER(COS(PI()*MOD(Calculator!$B$34/Calculator!$F$11,1)),2)))/$C42,$C42/(50*POWER(80,POWER(COS(PI()*MOD(Calculator!$B$34/Calculator!$F$11,1)),2)))),2))</f>
        <v>5.59</v>
      </c>
      <c r="BA42" s="120" t="n">
        <f aca="false">IF(OR(Calculator!$E$12&lt;&gt;"YES",Calculator!$B$34&lt;Calculator!$G$12),"—",ROUND(MAX((50*POWER(80,POWER(COS(PI()*MOD(Calculator!$B$34/Calculator!$F$12,1)),2)))/$C42,$C42/(50*POWER(80,POWER(COS(PI()*MOD(Calculator!$B$34/Calculator!$F$12,1)),2)))),2))</f>
        <v>2.04</v>
      </c>
      <c r="BB42" s="120" t="n">
        <f aca="false">IF(OR(Calculator!$E$13&lt;&gt;"YES",Calculator!$B$34&lt;Calculator!$G$13),"—",ROUND(MAX((50*POWER(80,POWER(COS(PI()*MOD(Calculator!$B$34/Calculator!$F$13,1)),2)))/$C42,$C42/(50*POWER(80,POWER(COS(PI()*MOD(Calculator!$B$34/Calculator!$F$13,1)),2)))),2))</f>
        <v>1.2</v>
      </c>
      <c r="BC42" s="120" t="n">
        <f aca="false">IF(OR(Calculator!$E$14&lt;&gt;"YES",Calculator!$B$34&lt;Calculator!$G$14),"—",ROUND(MAX((50*POWER(80,POWER(COS(PI()*MOD(Calculator!$B$34/Calculator!$F$14,1)),2)))/$C42,$C42/(50*POWER(80,POWER(COS(PI()*MOD(Calculator!$B$34/Calculator!$F$14,1)),2)))),2))</f>
        <v>3.14</v>
      </c>
      <c r="BD42" s="120" t="n">
        <f aca="false">IF(OR(Calculator!$E$15&lt;&gt;"YES",Calculator!$B$34&lt;Calculator!$G$15),"—",ROUND(MAX((50*POWER(80,POWER(COS(PI()*MOD(Calculator!$B$34/Calculator!$F$15,1)),2)))/$C42,$C42/(50*POWER(80,POWER(COS(PI()*MOD(Calculator!$B$34/Calculator!$F$15,1)),2)))),2))</f>
        <v>2.11</v>
      </c>
      <c r="BE42" s="120" t="n">
        <f aca="false">IF(OR(Calculator!$E$16&lt;&gt;"YES",Calculator!$B$34&lt;Calculator!$G$16),"—",ROUND(MAX((50*POWER(80,POWER(COS(PI()*MOD(Calculator!$B$34/Calculator!$F$16,1)),2)))/$C42,$C42/(50*POWER(80,POWER(COS(PI()*MOD(Calculator!$B$34/Calculator!$F$16,1)),2)))),2))</f>
        <v>5.75</v>
      </c>
      <c r="BF42" s="120" t="n">
        <f aca="false">IF(OR(Calculator!$E$17&lt;&gt;"YES",Calculator!$B$34&lt;Calculator!$G$17),"—",ROUND(MAX((50*POWER(80,POWER(COS(PI()*MOD(Calculator!$B$34/Calculator!$F$17,1)),2)))/$C42,$C42/(50*POWER(80,POWER(COS(PI()*MOD(Calculator!$B$34/Calculator!$F$17,1)),2)))),2))</f>
        <v>5.24</v>
      </c>
      <c r="BG42" s="120" t="n">
        <f aca="false">IF(OR(Calculator!$E$18&lt;&gt;"YES",Calculator!$B$34&lt;Calculator!$G$18),"—",ROUND(MAX((50*POWER(80,POWER(COS(PI()*MOD(Calculator!$B$34/Calculator!$F$18,1)),2)))/$C42,$C42/(50*POWER(80,POWER(COS(PI()*MOD(Calculator!$B$34/Calculator!$F$18,1)),2)))),2))</f>
        <v>5.74</v>
      </c>
      <c r="BH42" s="120" t="n">
        <f aca="false">IF(OR(Calculator!$E$19&lt;&gt;"YES",Calculator!$B$34&lt;Calculator!$G$19),"—",ROUND(MAX((50*POWER(80,POWER(COS(PI()*MOD(Calculator!$B$34/Calculator!$F$19,1)),2)))/$C42,$C42/(50*POWER(80,POWER(COS(PI()*MOD(Calculator!$B$34/Calculator!$F$19,1)),2)))),2))</f>
        <v>4.38</v>
      </c>
      <c r="BI42" s="120" t="n">
        <f aca="false">IF(OR(Calculator!$E$20&lt;&gt;"YES",Calculator!$B$34&lt;Calculator!$G$20),"—",ROUND(MAX((50*POWER(80,POWER(COS(PI()*MOD(Calculator!$B$34/Calculator!$F$20,1)),2)))/$C42,$C42/(50*POWER(80,POWER(COS(PI()*MOD(Calculator!$B$34/Calculator!$F$20,1)),2)))),2))</f>
        <v>6.26</v>
      </c>
      <c r="BJ42" s="120" t="n">
        <f aca="false">IF(OR(Calculator!$E$21&lt;&gt;"YES",Calculator!$B$34&lt;Calculator!$G$21),"—",ROUND(MAX((50*POWER(80,POWER(COS(PI()*MOD(Calculator!$B$34/Calculator!$F$21,1)),2)))/$C42,$C42/(50*POWER(80,POWER(COS(PI()*MOD(Calculator!$B$34/Calculator!$F$21,1)),2)))),2))</f>
        <v>6.57</v>
      </c>
      <c r="BK42" s="115" t="n">
        <f aca="false">IFERROR(ROUND((IF(ISNUMBER(AZ42),AZ42,0)+IF(ISNUMBER(BA42),BA42,0)+IF(ISNUMBER(BB42),BB42,0)+IF(ISNUMBER(BC42),BC42,0)+IF(ISNUMBER(BD42),BD42,0)+IF(ISNUMBER(BE42),BE42,0)+IF(ISNUMBER(BF42),BF42,0)+IF(ISNUMBER(BG42),BG42,0)+IF(ISNUMBER(BH42),BH42,0)+IF(ISNUMBER(BI42),BI42,0)+IF(ISNUMBER(BJ42),BJ42,0))/(IF(ISNUMBER(AZ42),1,0)+IF(ISNUMBER(BA42),1,0)+IF(ISNUMBER(BB42),1,0)+IF(ISNUMBER(BC42),1,0)+IF(ISNUMBER(BD42),1,0)+IF(ISNUMBER(BE42),1,0)+IF(ISNUMBER(BF42),1,0)+IF(ISNUMBER(BG42),1,0)+IF(ISNUMBER(BH42),1,0)+IF(ISNUMBER(BI42),1,0)+IF(ISNUMBER(BJ42),1,0)),2),"")</f>
        <v>4.37</v>
      </c>
    </row>
    <row r="43" customFormat="false" ht="15" hidden="false" customHeight="false" outlineLevel="0" collapsed="false">
      <c r="A43" s="87" t="s">
        <v>100</v>
      </c>
      <c r="B43" s="87" t="s">
        <v>93</v>
      </c>
      <c r="C43" s="90" t="n">
        <v>550</v>
      </c>
      <c r="D43" s="91" t="n">
        <f aca="false">IF(OR(Calculator!$E$11&lt;&gt;"YES",Calculator!$B$30&lt;Calculator!$G$11),"—",ROUND(MAX((50*POWER(80,POWER(COS(PI()*MOD(Calculator!$B$30/Calculator!$F$11,1)),2)))/$C43,$C43/(50*POWER(80,POWER(COS(PI()*MOD(Calculator!$B$30/Calculator!$F$11,1)),2)))),2))</f>
        <v>6.23</v>
      </c>
      <c r="E43" s="91" t="n">
        <f aca="false">IF(OR(Calculator!$E$12&lt;&gt;"YES",Calculator!$B$30&lt;Calculator!$G$12),"—",ROUND(MAX((50*POWER(80,POWER(COS(PI()*MOD(Calculator!$B$30/Calculator!$F$12,1)),2)))/$C43,$C43/(50*POWER(80,POWER(COS(PI()*MOD(Calculator!$B$30/Calculator!$F$12,1)),2)))),2))</f>
        <v>1.92</v>
      </c>
      <c r="F43" s="91" t="n">
        <f aca="false">IF(OR(Calculator!$E$13&lt;&gt;"YES",Calculator!$B$30&lt;Calculator!$G$13),"—",ROUND(MAX((50*POWER(80,POWER(COS(PI()*MOD(Calculator!$B$30/Calculator!$F$13,1)),2)))/$C43,$C43/(50*POWER(80,POWER(COS(PI()*MOD(Calculator!$B$30/Calculator!$F$13,1)),2)))),2))</f>
        <v>1.39</v>
      </c>
      <c r="G43" s="91" t="n">
        <f aca="false">IF(OR(Calculator!$E$14&lt;&gt;"YES",Calculator!$B$30&lt;Calculator!$G$14),"—",ROUND(MAX((50*POWER(80,POWER(COS(PI()*MOD(Calculator!$B$30/Calculator!$F$14,1)),2)))/$C43,$C43/(50*POWER(80,POWER(COS(PI()*MOD(Calculator!$B$30/Calculator!$F$14,1)),2)))),2))</f>
        <v>3.25</v>
      </c>
      <c r="H43" s="91" t="n">
        <f aca="false">IF(OR(Calculator!$E$15&lt;&gt;"YES",Calculator!$B$30&lt;Calculator!$G$15),"—",ROUND(MAX((50*POWER(80,POWER(COS(PI()*MOD(Calculator!$B$30/Calculator!$F$15,1)),2)))/$C43,$C43/(50*POWER(80,POWER(COS(PI()*MOD(Calculator!$B$30/Calculator!$F$15,1)),2)))),2))</f>
        <v>2.11</v>
      </c>
      <c r="I43" s="91" t="n">
        <f aca="false">IF(OR(Calculator!$E$16&lt;&gt;"YES",Calculator!$B$30&lt;Calculator!$G$16),"—",ROUND(MAX((50*POWER(80,POWER(COS(PI()*MOD(Calculator!$B$30/Calculator!$F$16,1)),2)))/$C43,$C43/(50*POWER(80,POWER(COS(PI()*MOD(Calculator!$B$30/Calculator!$F$16,1)),2)))),2))</f>
        <v>6.91</v>
      </c>
      <c r="J43" s="91" t="n">
        <f aca="false">IF(OR(Calculator!$E$17&lt;&gt;"YES",Calculator!$B$30&lt;Calculator!$G$17),"—",ROUND(MAX((50*POWER(80,POWER(COS(PI()*MOD(Calculator!$B$30/Calculator!$F$17,1)),2)))/$C43,$C43/(50*POWER(80,POWER(COS(PI()*MOD(Calculator!$B$30/Calculator!$F$17,1)),2)))),2))</f>
        <v>4.27</v>
      </c>
      <c r="K43" s="91" t="n">
        <f aca="false">IF(OR(Calculator!$E$18&lt;&gt;"YES",Calculator!$B$30&lt;Calculator!$G$18),"—",ROUND(MAX((50*POWER(80,POWER(COS(PI()*MOD(Calculator!$B$30/Calculator!$F$18,1)),2)))/$C43,$C43/(50*POWER(80,POWER(COS(PI()*MOD(Calculator!$B$30/Calculator!$F$18,1)),2)))),2))</f>
        <v>4.64</v>
      </c>
      <c r="L43" s="91" t="n">
        <f aca="false">IF(OR(Calculator!$E$19&lt;&gt;"YES",Calculator!$B$30&lt;Calculator!$G$19),"—",ROUND(MAX((50*POWER(80,POWER(COS(PI()*MOD(Calculator!$B$30/Calculator!$F$19,1)),2)))/$C43,$C43/(50*POWER(80,POWER(COS(PI()*MOD(Calculator!$B$30/Calculator!$F$19,1)),2)))),2))</f>
        <v>4.66</v>
      </c>
      <c r="M43" s="91" t="n">
        <f aca="false">IF(OR(Calculator!$E$20&lt;&gt;"YES",Calculator!$B$30&lt;Calculator!$G$20),"—",ROUND(MAX((50*POWER(80,POWER(COS(PI()*MOD(Calculator!$B$30/Calculator!$F$20,1)),2)))/$C43,$C43/(50*POWER(80,POWER(COS(PI()*MOD(Calculator!$B$30/Calculator!$F$20,1)),2)))),2))</f>
        <v>5.72</v>
      </c>
      <c r="N43" s="91" t="n">
        <f aca="false">IF(OR(Calculator!$E$21&lt;&gt;"YES",Calculator!$B$30&lt;Calculator!$G$21),"—",ROUND(MAX((50*POWER(80,POWER(COS(PI()*MOD(Calculator!$B$30/Calculator!$F$21,1)),2)))/$C43,$C43/(50*POWER(80,POWER(COS(PI()*MOD(Calculator!$B$30/Calculator!$F$21,1)),2)))),2))</f>
        <v>4.61</v>
      </c>
      <c r="O43" s="114" t="n">
        <f aca="false">IFERROR(ROUND((IF(ISNUMBER(D43),D43,0)+IF(ISNUMBER(E43),E43,0)+IF(ISNUMBER(F43),F43,0)+IF(ISNUMBER(G43),G43,0)+IF(ISNUMBER(H43),H43,0)+IF(ISNUMBER(I43),I43,0)+IF(ISNUMBER(J43),J43,0)+IF(ISNUMBER(K43),K43,0)+IF(ISNUMBER(L43),L43,0)+IF(ISNUMBER(M43),M43,0)+IF(ISNUMBER(N43),N43,0))/(IF(ISNUMBER(D43),1,0)+IF(ISNUMBER(E43),1,0)+IF(ISNUMBER(F43),1,0)+IF(ISNUMBER(G43),1,0)+IF(ISNUMBER(H43),1,0)+IF(ISNUMBER(I43),1,0)+IF(ISNUMBER(J43),1,0)+IF(ISNUMBER(K43),1,0)+IF(ISNUMBER(L43),1,0)+IF(ISNUMBER(M43),1,0)+IF(ISNUMBER(N43),1,0)),2),"")</f>
        <v>4.16</v>
      </c>
      <c r="P43" s="91" t="n">
        <f aca="false">IF(OR(Calculator!$E$11&lt;&gt;"YES",Calculator!$B$31&lt;Calculator!$G$11),"—",ROUND(MAX((50*POWER(80,POWER(COS(PI()*MOD(Calculator!$B$31/Calculator!$F$11,1)),2)))/$C43,$C43/(50*POWER(80,POWER(COS(PI()*MOD(Calculator!$B$31/Calculator!$F$11,1)),2)))),2))</f>
        <v>6.3</v>
      </c>
      <c r="Q43" s="91" t="n">
        <f aca="false">IF(OR(Calculator!$E$12&lt;&gt;"YES",Calculator!$B$31&lt;Calculator!$G$12),"—",ROUND(MAX((50*POWER(80,POWER(COS(PI()*MOD(Calculator!$B$31/Calculator!$F$12,1)),2)))/$C43,$C43/(50*POWER(80,POWER(COS(PI()*MOD(Calculator!$B$31/Calculator!$F$12,1)),2)))),2))</f>
        <v>1.98</v>
      </c>
      <c r="R43" s="91" t="n">
        <f aca="false">IF(OR(Calculator!$E$13&lt;&gt;"YES",Calculator!$B$31&lt;Calculator!$G$13),"—",ROUND(MAX((50*POWER(80,POWER(COS(PI()*MOD(Calculator!$B$31/Calculator!$F$13,1)),2)))/$C43,$C43/(50*POWER(80,POWER(COS(PI()*MOD(Calculator!$B$31/Calculator!$F$13,1)),2)))),2))</f>
        <v>1.46</v>
      </c>
      <c r="S43" s="91" t="n">
        <f aca="false">IF(OR(Calculator!$E$14&lt;&gt;"YES",Calculator!$B$31&lt;Calculator!$G$14),"—",ROUND(MAX((50*POWER(80,POWER(COS(PI()*MOD(Calculator!$B$31/Calculator!$F$14,1)),2)))/$C43,$C43/(50*POWER(80,POWER(COS(PI()*MOD(Calculator!$B$31/Calculator!$F$14,1)),2)))),2))</f>
        <v>3.05</v>
      </c>
      <c r="T43" s="91" t="n">
        <f aca="false">IF(OR(Calculator!$E$15&lt;&gt;"YES",Calculator!$B$31&lt;Calculator!$G$15),"—",ROUND(MAX((50*POWER(80,POWER(COS(PI()*MOD(Calculator!$B$31/Calculator!$F$15,1)),2)))/$C43,$C43/(50*POWER(80,POWER(COS(PI()*MOD(Calculator!$B$31/Calculator!$F$15,1)),2)))),2))</f>
        <v>1.92</v>
      </c>
      <c r="U43" s="91" t="n">
        <f aca="false">IF(OR(Calculator!$E$16&lt;&gt;"YES",Calculator!$B$31&lt;Calculator!$G$16),"—",ROUND(MAX((50*POWER(80,POWER(COS(PI()*MOD(Calculator!$B$31/Calculator!$F$16,1)),2)))/$C43,$C43/(50*POWER(80,POWER(COS(PI()*MOD(Calculator!$B$31/Calculator!$F$16,1)),2)))),2))</f>
        <v>7.49</v>
      </c>
      <c r="V43" s="91" t="n">
        <f aca="false">IF(OR(Calculator!$E$17&lt;&gt;"YES",Calculator!$B$31&lt;Calculator!$G$17),"—",ROUND(MAX((50*POWER(80,POWER(COS(PI()*MOD(Calculator!$B$31/Calculator!$F$17,1)),2)))/$C43,$C43/(50*POWER(80,POWER(COS(PI()*MOD(Calculator!$B$31/Calculator!$F$17,1)),2)))),2))</f>
        <v>3.79</v>
      </c>
      <c r="W43" s="91" t="n">
        <f aca="false">IF(OR(Calculator!$E$18&lt;&gt;"YES",Calculator!$B$31&lt;Calculator!$G$18),"—",ROUND(MAX((50*POWER(80,POWER(COS(PI()*MOD(Calculator!$B$31/Calculator!$F$18,1)),2)))/$C43,$C43/(50*POWER(80,POWER(COS(PI()*MOD(Calculator!$B$31/Calculator!$F$18,1)),2)))),2))</f>
        <v>4.07</v>
      </c>
      <c r="X43" s="91" t="n">
        <f aca="false">IF(OR(Calculator!$E$19&lt;&gt;"YES",Calculator!$B$31&lt;Calculator!$G$19),"—",ROUND(MAX((50*POWER(80,POWER(COS(PI()*MOD(Calculator!$B$31/Calculator!$F$19,1)),2)))/$C43,$C43/(50*POWER(80,POWER(COS(PI()*MOD(Calculator!$B$31/Calculator!$F$19,1)),2)))),2))</f>
        <v>5.33</v>
      </c>
      <c r="Y43" s="91" t="n">
        <f aca="false">IF(OR(Calculator!$E$20&lt;&gt;"YES",Calculator!$B$31&lt;Calculator!$G$20),"—",ROUND(MAX((50*POWER(80,POWER(COS(PI()*MOD(Calculator!$B$31/Calculator!$F$20,1)),2)))/$C43,$C43/(50*POWER(80,POWER(COS(PI()*MOD(Calculator!$B$31/Calculator!$F$20,1)),2)))),2))</f>
        <v>4.63</v>
      </c>
      <c r="Z43" s="91" t="n">
        <f aca="false">IF(OR(Calculator!$E$21&lt;&gt;"YES",Calculator!$B$31&lt;Calculator!$G$21),"—",ROUND(MAX((50*POWER(80,POWER(COS(PI()*MOD(Calculator!$B$31/Calculator!$F$21,1)),2)))/$C43,$C43/(50*POWER(80,POWER(COS(PI()*MOD(Calculator!$B$31/Calculator!$F$21,1)),2)))),2))</f>
        <v>3.25</v>
      </c>
      <c r="AA43" s="114" t="n">
        <f aca="false">IFERROR(ROUND((IF(ISNUMBER(P43),P43,0)+IF(ISNUMBER(Q43),Q43,0)+IF(ISNUMBER(R43),R43,0)+IF(ISNUMBER(S43),S43,0)+IF(ISNUMBER(T43),T43,0)+IF(ISNUMBER(U43),U43,0)+IF(ISNUMBER(V43),V43,0)+IF(ISNUMBER(W43),W43,0)+IF(ISNUMBER(X43),X43,0)+IF(ISNUMBER(Y43),Y43,0)+IF(ISNUMBER(Z43),Z43,0))/(IF(ISNUMBER(P43),1,0)+IF(ISNUMBER(Q43),1,0)+IF(ISNUMBER(R43),1,0)+IF(ISNUMBER(S43),1,0)+IF(ISNUMBER(T43),1,0)+IF(ISNUMBER(U43),1,0)+IF(ISNUMBER(V43),1,0)+IF(ISNUMBER(W43),1,0)+IF(ISNUMBER(X43),1,0)+IF(ISNUMBER(Y43),1,0)+IF(ISNUMBER(Z43),1,0)),2),"")</f>
        <v>3.93</v>
      </c>
      <c r="AB43" s="91" t="n">
        <f aca="false">IF(OR(Calculator!$E$11&lt;&gt;"YES",Calculator!$B$32&lt;Calculator!$G$11),"—",ROUND(MAX((50*POWER(80,POWER(COS(PI()*MOD(Calculator!$B$32/Calculator!$F$11,1)),2)))/$C43,$C43/(50*POWER(80,POWER(COS(PI()*MOD(Calculator!$B$32/Calculator!$F$11,1)),2)))),2))</f>
        <v>7.94</v>
      </c>
      <c r="AC43" s="91" t="n">
        <f aca="false">IF(OR(Calculator!$E$12&lt;&gt;"YES",Calculator!$B$32&lt;Calculator!$G$12),"—",ROUND(MAX((50*POWER(80,POWER(COS(PI()*MOD(Calculator!$B$32/Calculator!$F$12,1)),2)))/$C43,$C43/(50*POWER(80,POWER(COS(PI()*MOD(Calculator!$B$32/Calculator!$F$12,1)),2)))),2))</f>
        <v>3.66</v>
      </c>
      <c r="AD43" s="91" t="n">
        <f aca="false">IF(OR(Calculator!$E$13&lt;&gt;"YES",Calculator!$B$32&lt;Calculator!$G$13),"—",ROUND(MAX((50*POWER(80,POWER(COS(PI()*MOD(Calculator!$B$32/Calculator!$F$13,1)),2)))/$C43,$C43/(50*POWER(80,POWER(COS(PI()*MOD(Calculator!$B$32/Calculator!$F$13,1)),2)))),2))</f>
        <v>4.05</v>
      </c>
      <c r="AE43" s="91" t="n">
        <f aca="false">IF(OR(Calculator!$E$14&lt;&gt;"YES",Calculator!$B$32&lt;Calculator!$G$14),"—",ROUND(MAX((50*POWER(80,POWER(COS(PI()*MOD(Calculator!$B$32/Calculator!$F$14,1)),2)))/$C43,$C43/(50*POWER(80,POWER(COS(PI()*MOD(Calculator!$B$32/Calculator!$F$14,1)),2)))),2))</f>
        <v>1.35</v>
      </c>
      <c r="AF43" s="91" t="n">
        <f aca="false">IF(OR(Calculator!$E$15&lt;&gt;"YES",Calculator!$B$32&lt;Calculator!$G$15),"—",ROUND(MAX((50*POWER(80,POWER(COS(PI()*MOD(Calculator!$B$32/Calculator!$F$15,1)),2)))/$C43,$C43/(50*POWER(80,POWER(COS(PI()*MOD(Calculator!$B$32/Calculator!$F$15,1)),2)))),2))</f>
        <v>3.52</v>
      </c>
      <c r="AG43" s="91" t="n">
        <f aca="false">IF(OR(Calculator!$E$16&lt;&gt;"YES",Calculator!$B$32&lt;Calculator!$G$16),"—",ROUND(MAX((50*POWER(80,POWER(COS(PI()*MOD(Calculator!$B$32/Calculator!$F$16,1)),2)))/$C43,$C43/(50*POWER(80,POWER(COS(PI()*MOD(Calculator!$B$32/Calculator!$F$16,1)),2)))),2))</f>
        <v>6.47</v>
      </c>
      <c r="AH43" s="91" t="n">
        <f aca="false">IF(OR(Calculator!$E$17&lt;&gt;"YES",Calculator!$B$32&lt;Calculator!$G$17),"—",ROUND(MAX((50*POWER(80,POWER(COS(PI()*MOD(Calculator!$B$32/Calculator!$F$17,1)),2)))/$C43,$C43/(50*POWER(80,POWER(COS(PI()*MOD(Calculator!$B$32/Calculator!$F$17,1)),2)))),2))</f>
        <v>6.83</v>
      </c>
      <c r="AI43" s="91" t="n">
        <f aca="false">IF(OR(Calculator!$E$18&lt;&gt;"YES",Calculator!$B$32&lt;Calculator!$G$18),"—",ROUND(MAX((50*POWER(80,POWER(COS(PI()*MOD(Calculator!$B$32/Calculator!$F$18,1)),2)))/$C43,$C43/(50*POWER(80,POWER(COS(PI()*MOD(Calculator!$B$32/Calculator!$F$18,1)),2)))),2))</f>
        <v>9</v>
      </c>
      <c r="AJ43" s="91" t="n">
        <f aca="false">IF(OR(Calculator!$E$19&lt;&gt;"YES",Calculator!$B$32&lt;Calculator!$G$19),"—",ROUND(MAX((50*POWER(80,POWER(COS(PI()*MOD(Calculator!$B$32/Calculator!$F$19,1)),2)))/$C43,$C43/(50*POWER(80,POWER(COS(PI()*MOD(Calculator!$B$32/Calculator!$F$19,1)),2)))),2))</f>
        <v>1.9</v>
      </c>
      <c r="AK43" s="91" t="n">
        <f aca="false">IF(OR(Calculator!$E$20&lt;&gt;"YES",Calculator!$B$32&lt;Calculator!$G$20),"—",ROUND(MAX((50*POWER(80,POWER(COS(PI()*MOD(Calculator!$B$32/Calculator!$F$20,1)),2)))/$C43,$C43/(50*POWER(80,POWER(COS(PI()*MOD(Calculator!$B$32/Calculator!$F$20,1)),2)))),2))</f>
        <v>5.85</v>
      </c>
      <c r="AL43" s="91" t="n">
        <f aca="false">IF(OR(Calculator!$E$21&lt;&gt;"YES",Calculator!$B$32&lt;Calculator!$G$21),"—",ROUND(MAX((50*POWER(80,POWER(COS(PI()*MOD(Calculator!$B$32/Calculator!$F$21,1)),2)))/$C43,$C43/(50*POWER(80,POWER(COS(PI()*MOD(Calculator!$B$32/Calculator!$F$21,1)),2)))),2))</f>
        <v>5.07</v>
      </c>
      <c r="AM43" s="115" t="n">
        <f aca="false">IFERROR(ROUND((IF(ISNUMBER(AB43),AB43,0)+IF(ISNUMBER(AC43),AC43,0)+IF(ISNUMBER(AD43),AD43,0)+IF(ISNUMBER(AE43),AE43,0)+IF(ISNUMBER(AF43),AF43,0)+IF(ISNUMBER(AG43),AG43,0)+IF(ISNUMBER(AH43),AH43,0)+IF(ISNUMBER(AI43),AI43,0)+IF(ISNUMBER(AJ43),AJ43,0)+IF(ISNUMBER(AK43),AK43,0)+IF(ISNUMBER(AL43),AL43,0))/(IF(ISNUMBER(AB43),1,0)+IF(ISNUMBER(AC43),1,0)+IF(ISNUMBER(AD43),1,0)+IF(ISNUMBER(AE43),1,0)+IF(ISNUMBER(AF43),1,0)+IF(ISNUMBER(AG43),1,0)+IF(ISNUMBER(AH43),1,0)+IF(ISNUMBER(AI43),1,0)+IF(ISNUMBER(AJ43),1,0)+IF(ISNUMBER(AK43),1,0)+IF(ISNUMBER(AL43),1,0)),2),"")</f>
        <v>5.06</v>
      </c>
      <c r="AN43" s="116" t="n">
        <f aca="false">IF(OR(Calculator!$E$11&lt;&gt;"YES",Calculator!$B$33&lt;Calculator!$G$11),"—",ROUND(MAX((50*POWER(80,POWER(COS(PI()*MOD(Calculator!$B$33/Calculator!$F$11,1)),2)))/$C43,$C43/(50*POWER(80,POWER(COS(PI()*MOD(Calculator!$B$33/Calculator!$F$11,1)),2)))),2))</f>
        <v>6.38</v>
      </c>
      <c r="AO43" s="116" t="n">
        <f aca="false">IF(OR(Calculator!$E$12&lt;&gt;"YES",Calculator!$B$33&lt;Calculator!$G$12),"—",ROUND(MAX((50*POWER(80,POWER(COS(PI()*MOD(Calculator!$B$33/Calculator!$F$12,1)),2)))/$C43,$C43/(50*POWER(80,POWER(COS(PI()*MOD(Calculator!$B$33/Calculator!$F$12,1)),2)))),2))</f>
        <v>2.05</v>
      </c>
      <c r="AP43" s="116" t="n">
        <f aca="false">IF(OR(Calculator!$E$13&lt;&gt;"YES",Calculator!$B$33&lt;Calculator!$G$13),"—",ROUND(MAX((50*POWER(80,POWER(COS(PI()*MOD(Calculator!$B$33/Calculator!$F$13,1)),2)))/$C43,$C43/(50*POWER(80,POWER(COS(PI()*MOD(Calculator!$B$33/Calculator!$F$13,1)),2)))),2))</f>
        <v>1.54</v>
      </c>
      <c r="AQ43" s="116" t="n">
        <f aca="false">IF(OR(Calculator!$E$14&lt;&gt;"YES",Calculator!$B$33&lt;Calculator!$G$14),"—",ROUND(MAX((50*POWER(80,POWER(COS(PI()*MOD(Calculator!$B$33/Calculator!$F$14,1)),2)))/$C43,$C43/(50*POWER(80,POWER(COS(PI()*MOD(Calculator!$B$33/Calculator!$F$14,1)),2)))),2))</f>
        <v>2.87</v>
      </c>
      <c r="AR43" s="116" t="n">
        <f aca="false">IF(OR(Calculator!$E$15&lt;&gt;"YES",Calculator!$B$33&lt;Calculator!$G$15),"—",ROUND(MAX((50*POWER(80,POWER(COS(PI()*MOD(Calculator!$B$33/Calculator!$F$15,1)),2)))/$C43,$C43/(50*POWER(80,POWER(COS(PI()*MOD(Calculator!$B$33/Calculator!$F$15,1)),2)))),2))</f>
        <v>1.75</v>
      </c>
      <c r="AS43" s="116" t="n">
        <f aca="false">IF(OR(Calculator!$E$16&lt;&gt;"YES",Calculator!$B$33&lt;Calculator!$G$16),"—",ROUND(MAX((50*POWER(80,POWER(COS(PI()*MOD(Calculator!$B$33/Calculator!$F$16,1)),2)))/$C43,$C43/(50*POWER(80,POWER(COS(PI()*MOD(Calculator!$B$33/Calculator!$F$16,1)),2)))),2))</f>
        <v>8.07</v>
      </c>
      <c r="AT43" s="116" t="n">
        <f aca="false">IF(OR(Calculator!$E$17&lt;&gt;"YES",Calculator!$B$33&lt;Calculator!$G$17),"—",ROUND(MAX((50*POWER(80,POWER(COS(PI()*MOD(Calculator!$B$33/Calculator!$F$17,1)),2)))/$C43,$C43/(50*POWER(80,POWER(COS(PI()*MOD(Calculator!$B$33/Calculator!$F$17,1)),2)))),2))</f>
        <v>3.33</v>
      </c>
      <c r="AU43" s="116" t="n">
        <f aca="false">IF(OR(Calculator!$E$18&lt;&gt;"YES",Calculator!$B$33&lt;Calculator!$G$18),"—",ROUND(MAX((50*POWER(80,POWER(COS(PI()*MOD(Calculator!$B$33/Calculator!$F$18,1)),2)))/$C43,$C43/(50*POWER(80,POWER(COS(PI()*MOD(Calculator!$B$33/Calculator!$F$18,1)),2)))),2))</f>
        <v>3.52</v>
      </c>
      <c r="AV43" s="116" t="n">
        <f aca="false">IF(OR(Calculator!$E$19&lt;&gt;"YES",Calculator!$B$33&lt;Calculator!$G$19),"—",ROUND(MAX((50*POWER(80,POWER(COS(PI()*MOD(Calculator!$B$33/Calculator!$F$19,1)),2)))/$C43,$C43/(50*POWER(80,POWER(COS(PI()*MOD(Calculator!$B$33/Calculator!$F$19,1)),2)))),2))</f>
        <v>5.96</v>
      </c>
      <c r="AW43" s="116" t="n">
        <f aca="false">IF(OR(Calculator!$E$20&lt;&gt;"YES",Calculator!$B$33&lt;Calculator!$G$20),"—",ROUND(MAX((50*POWER(80,POWER(COS(PI()*MOD(Calculator!$B$33/Calculator!$F$20,1)),2)))/$C43,$C43/(50*POWER(80,POWER(COS(PI()*MOD(Calculator!$B$33/Calculator!$F$20,1)),2)))),2))</f>
        <v>3.67</v>
      </c>
      <c r="AX43" s="116" t="n">
        <f aca="false">IF(OR(Calculator!$E$21&lt;&gt;"YES",Calculator!$B$33&lt;Calculator!$G$21),"—",ROUND(MAX((50*POWER(80,POWER(COS(PI()*MOD(Calculator!$B$33/Calculator!$F$21,1)),2)))/$C43,$C43/(50*POWER(80,POWER(COS(PI()*MOD(Calculator!$B$33/Calculator!$F$21,1)),2)))),2))</f>
        <v>2.13</v>
      </c>
      <c r="AY43" s="115" t="n">
        <f aca="false">IFERROR(ROUND((IF(ISNUMBER(AN43),AN43,0)+IF(ISNUMBER(AO43),AO43,0)+IF(ISNUMBER(AP43),AP43,0)+IF(ISNUMBER(AQ43),AQ43,0)+IF(ISNUMBER(AR43),AR43,0)+IF(ISNUMBER(AS43),AS43,0)+IF(ISNUMBER(AT43),AT43,0)+IF(ISNUMBER(AU43),AU43,0)+IF(ISNUMBER(AV43),AV43,0)+IF(ISNUMBER(AW43),AW43,0)+IF(ISNUMBER(AX43),AX43,0))/(IF(ISNUMBER(AN43),1,0)+IF(ISNUMBER(AO43),1,0)+IF(ISNUMBER(AP43),1,0)+IF(ISNUMBER(AQ43),1,0)+IF(ISNUMBER(AR43),1,0)+IF(ISNUMBER(AS43),1,0)+IF(ISNUMBER(AT43),1,0)+IF(ISNUMBER(AU43),1,0)+IF(ISNUMBER(AV43),1,0)+IF(ISNUMBER(AW43),1,0)+IF(ISNUMBER(AX43),1,0)),2),"")</f>
        <v>3.75</v>
      </c>
      <c r="AZ43" s="116" t="n">
        <f aca="false">IF(OR(Calculator!$E$11&lt;&gt;"YES",Calculator!$B$34&lt;Calculator!$G$11),"—",ROUND(MAX((50*POWER(80,POWER(COS(PI()*MOD(Calculator!$B$34/Calculator!$F$11,1)),2)))/$C43,$C43/(50*POWER(80,POWER(COS(PI()*MOD(Calculator!$B$34/Calculator!$F$11,1)),2)))),2))</f>
        <v>6.15</v>
      </c>
      <c r="BA43" s="116" t="n">
        <f aca="false">IF(OR(Calculator!$E$12&lt;&gt;"YES",Calculator!$B$34&lt;Calculator!$G$12),"—",ROUND(MAX((50*POWER(80,POWER(COS(PI()*MOD(Calculator!$B$34/Calculator!$F$12,1)),2)))/$C43,$C43/(50*POWER(80,POWER(COS(PI()*MOD(Calculator!$B$34/Calculator!$F$12,1)),2)))),2))</f>
        <v>1.86</v>
      </c>
      <c r="BB43" s="116" t="n">
        <f aca="false">IF(OR(Calculator!$E$13&lt;&gt;"YES",Calculator!$B$34&lt;Calculator!$G$13),"—",ROUND(MAX((50*POWER(80,POWER(COS(PI()*MOD(Calculator!$B$34/Calculator!$F$13,1)),2)))/$C43,$C43/(50*POWER(80,POWER(COS(PI()*MOD(Calculator!$B$34/Calculator!$F$13,1)),2)))),2))</f>
        <v>1.32</v>
      </c>
      <c r="BC43" s="116" t="n">
        <f aca="false">IF(OR(Calculator!$E$14&lt;&gt;"YES",Calculator!$B$34&lt;Calculator!$G$14),"—",ROUND(MAX((50*POWER(80,POWER(COS(PI()*MOD(Calculator!$B$34/Calculator!$F$14,1)),2)))/$C43,$C43/(50*POWER(80,POWER(COS(PI()*MOD(Calculator!$B$34/Calculator!$F$14,1)),2)))),2))</f>
        <v>3.46</v>
      </c>
      <c r="BD43" s="116" t="n">
        <f aca="false">IF(OR(Calculator!$E$15&lt;&gt;"YES",Calculator!$B$34&lt;Calculator!$G$15),"—",ROUND(MAX((50*POWER(80,POWER(COS(PI()*MOD(Calculator!$B$34/Calculator!$F$15,1)),2)))/$C43,$C43/(50*POWER(80,POWER(COS(PI()*MOD(Calculator!$B$34/Calculator!$F$15,1)),2)))),2))</f>
        <v>2.32</v>
      </c>
      <c r="BE43" s="116" t="n">
        <f aca="false">IF(OR(Calculator!$E$16&lt;&gt;"YES",Calculator!$B$34&lt;Calculator!$G$16),"—",ROUND(MAX((50*POWER(80,POWER(COS(PI()*MOD(Calculator!$B$34/Calculator!$F$16,1)),2)))/$C43,$C43/(50*POWER(80,POWER(COS(PI()*MOD(Calculator!$B$34/Calculator!$F$16,1)),2)))),2))</f>
        <v>6.33</v>
      </c>
      <c r="BF43" s="116" t="n">
        <f aca="false">IF(OR(Calculator!$E$17&lt;&gt;"YES",Calculator!$B$34&lt;Calculator!$G$17),"—",ROUND(MAX((50*POWER(80,POWER(COS(PI()*MOD(Calculator!$B$34/Calculator!$F$17,1)),2)))/$C43,$C43/(50*POWER(80,POWER(COS(PI()*MOD(Calculator!$B$34/Calculator!$F$17,1)),2)))),2))</f>
        <v>4.77</v>
      </c>
      <c r="BG43" s="116" t="n">
        <f aca="false">IF(OR(Calculator!$E$18&lt;&gt;"YES",Calculator!$B$34&lt;Calculator!$G$18),"—",ROUND(MAX((50*POWER(80,POWER(COS(PI()*MOD(Calculator!$B$34/Calculator!$F$18,1)),2)))/$C43,$C43/(50*POWER(80,POWER(COS(PI()*MOD(Calculator!$B$34/Calculator!$F$18,1)),2)))),2))</f>
        <v>5.22</v>
      </c>
      <c r="BH43" s="116" t="n">
        <f aca="false">IF(OR(Calculator!$E$19&lt;&gt;"YES",Calculator!$B$34&lt;Calculator!$G$19),"—",ROUND(MAX((50*POWER(80,POWER(COS(PI()*MOD(Calculator!$B$34/Calculator!$F$19,1)),2)))/$C43,$C43/(50*POWER(80,POWER(COS(PI()*MOD(Calculator!$B$34/Calculator!$F$19,1)),2)))),2))</f>
        <v>3.99</v>
      </c>
      <c r="BI43" s="116" t="n">
        <f aca="false">IF(OR(Calculator!$E$20&lt;&gt;"YES",Calculator!$B$34&lt;Calculator!$G$20),"—",ROUND(MAX((50*POWER(80,POWER(COS(PI()*MOD(Calculator!$B$34/Calculator!$F$20,1)),2)))/$C43,$C43/(50*POWER(80,POWER(COS(PI()*MOD(Calculator!$B$34/Calculator!$F$20,1)),2)))),2))</f>
        <v>6.89</v>
      </c>
      <c r="BJ43" s="116" t="n">
        <f aca="false">IF(OR(Calculator!$E$21&lt;&gt;"YES",Calculator!$B$34&lt;Calculator!$G$21),"—",ROUND(MAX((50*POWER(80,POWER(COS(PI()*MOD(Calculator!$B$34/Calculator!$F$21,1)),2)))/$C43,$C43/(50*POWER(80,POWER(COS(PI()*MOD(Calculator!$B$34/Calculator!$F$21,1)),2)))),2))</f>
        <v>5.97</v>
      </c>
      <c r="BK43" s="115" t="n">
        <f aca="false">IFERROR(ROUND((IF(ISNUMBER(AZ43),AZ43,0)+IF(ISNUMBER(BA43),BA43,0)+IF(ISNUMBER(BB43),BB43,0)+IF(ISNUMBER(BC43),BC43,0)+IF(ISNUMBER(BD43),BD43,0)+IF(ISNUMBER(BE43),BE43,0)+IF(ISNUMBER(BF43),BF43,0)+IF(ISNUMBER(BG43),BG43,0)+IF(ISNUMBER(BH43),BH43,0)+IF(ISNUMBER(BI43),BI43,0)+IF(ISNUMBER(BJ43),BJ43,0))/(IF(ISNUMBER(AZ43),1,0)+IF(ISNUMBER(BA43),1,0)+IF(ISNUMBER(BB43),1,0)+IF(ISNUMBER(BC43),1,0)+IF(ISNUMBER(BD43),1,0)+IF(ISNUMBER(BE43),1,0)+IF(ISNUMBER(BF43),1,0)+IF(ISNUMBER(BG43),1,0)+IF(ISNUMBER(BH43),1,0)+IF(ISNUMBER(BI43),1,0)+IF(ISNUMBER(BJ43),1,0)),2),"")</f>
        <v>4.39</v>
      </c>
    </row>
    <row r="44" customFormat="false" ht="15" hidden="false" customHeight="false" outlineLevel="0" collapsed="false">
      <c r="A44" s="117" t="s">
        <v>101</v>
      </c>
      <c r="B44" s="117" t="s">
        <v>93</v>
      </c>
      <c r="C44" s="118" t="n">
        <v>600</v>
      </c>
      <c r="D44" s="119" t="n">
        <f aca="false">IF(OR(Calculator!$E$11&lt;&gt;"YES",Calculator!$B$30&lt;Calculator!$G$11),"—",ROUND(MAX((50*POWER(80,POWER(COS(PI()*MOD(Calculator!$B$30/Calculator!$F$11,1)),2)))/$C44,$C44/(50*POWER(80,POWER(COS(PI()*MOD(Calculator!$B$30/Calculator!$F$11,1)),2)))),2))</f>
        <v>6.79</v>
      </c>
      <c r="E44" s="119" t="n">
        <f aca="false">IF(OR(Calculator!$E$12&lt;&gt;"YES",Calculator!$B$30&lt;Calculator!$G$12),"—",ROUND(MAX((50*POWER(80,POWER(COS(PI()*MOD(Calculator!$B$30/Calculator!$F$12,1)),2)))/$C44,$C44/(50*POWER(80,POWER(COS(PI()*MOD(Calculator!$B$30/Calculator!$F$12,1)),2)))),2))</f>
        <v>1.76</v>
      </c>
      <c r="F44" s="119" t="n">
        <f aca="false">IF(OR(Calculator!$E$13&lt;&gt;"YES",Calculator!$B$30&lt;Calculator!$G$13),"—",ROUND(MAX((50*POWER(80,POWER(COS(PI()*MOD(Calculator!$B$30/Calculator!$F$13,1)),2)))/$C44,$C44/(50*POWER(80,POWER(COS(PI()*MOD(Calculator!$B$30/Calculator!$F$13,1)),2)))),2))</f>
        <v>1.51</v>
      </c>
      <c r="G44" s="119" t="n">
        <f aca="false">IF(OR(Calculator!$E$14&lt;&gt;"YES",Calculator!$B$30&lt;Calculator!$G$14),"—",ROUND(MAX((50*POWER(80,POWER(COS(PI()*MOD(Calculator!$B$30/Calculator!$F$14,1)),2)))/$C44,$C44/(50*POWER(80,POWER(COS(PI()*MOD(Calculator!$B$30/Calculator!$F$14,1)),2)))),2))</f>
        <v>3.54</v>
      </c>
      <c r="H44" s="119" t="n">
        <f aca="false">IF(OR(Calculator!$E$15&lt;&gt;"YES",Calculator!$B$30&lt;Calculator!$G$15),"—",ROUND(MAX((50*POWER(80,POWER(COS(PI()*MOD(Calculator!$B$30/Calculator!$F$15,1)),2)))/$C44,$C44/(50*POWER(80,POWER(COS(PI()*MOD(Calculator!$B$30/Calculator!$F$15,1)),2)))),2))</f>
        <v>2.31</v>
      </c>
      <c r="I44" s="119" t="n">
        <f aca="false">IF(OR(Calculator!$E$16&lt;&gt;"YES",Calculator!$B$30&lt;Calculator!$G$16),"—",ROUND(MAX((50*POWER(80,POWER(COS(PI()*MOD(Calculator!$B$30/Calculator!$F$16,1)),2)))/$C44,$C44/(50*POWER(80,POWER(COS(PI()*MOD(Calculator!$B$30/Calculator!$F$16,1)),2)))),2))</f>
        <v>7.54</v>
      </c>
      <c r="J44" s="119" t="n">
        <f aca="false">IF(OR(Calculator!$E$17&lt;&gt;"YES",Calculator!$B$30&lt;Calculator!$G$17),"—",ROUND(MAX((50*POWER(80,POWER(COS(PI()*MOD(Calculator!$B$30/Calculator!$F$17,1)),2)))/$C44,$C44/(50*POWER(80,POWER(COS(PI()*MOD(Calculator!$B$30/Calculator!$F$17,1)),2)))),2))</f>
        <v>3.92</v>
      </c>
      <c r="K44" s="119" t="n">
        <f aca="false">IF(OR(Calculator!$E$18&lt;&gt;"YES",Calculator!$B$30&lt;Calculator!$G$18),"—",ROUND(MAX((50*POWER(80,POWER(COS(PI()*MOD(Calculator!$B$30/Calculator!$F$18,1)),2)))/$C44,$C44/(50*POWER(80,POWER(COS(PI()*MOD(Calculator!$B$30/Calculator!$F$18,1)),2)))),2))</f>
        <v>4.25</v>
      </c>
      <c r="L44" s="119" t="n">
        <f aca="false">IF(OR(Calculator!$E$19&lt;&gt;"YES",Calculator!$B$30&lt;Calculator!$G$19),"—",ROUND(MAX((50*POWER(80,POWER(COS(PI()*MOD(Calculator!$B$30/Calculator!$F$19,1)),2)))/$C44,$C44/(50*POWER(80,POWER(COS(PI()*MOD(Calculator!$B$30/Calculator!$F$19,1)),2)))),2))</f>
        <v>4.27</v>
      </c>
      <c r="M44" s="119" t="n">
        <f aca="false">IF(OR(Calculator!$E$20&lt;&gt;"YES",Calculator!$B$30&lt;Calculator!$G$20),"—",ROUND(MAX((50*POWER(80,POWER(COS(PI()*MOD(Calculator!$B$30/Calculator!$F$20,1)),2)))/$C44,$C44/(50*POWER(80,POWER(COS(PI()*MOD(Calculator!$B$30/Calculator!$F$20,1)),2)))),2))</f>
        <v>6.24</v>
      </c>
      <c r="N44" s="119" t="n">
        <f aca="false">IF(OR(Calculator!$E$21&lt;&gt;"YES",Calculator!$B$30&lt;Calculator!$G$21),"—",ROUND(MAX((50*POWER(80,POWER(COS(PI()*MOD(Calculator!$B$30/Calculator!$F$21,1)),2)))/$C44,$C44/(50*POWER(80,POWER(COS(PI()*MOD(Calculator!$B$30/Calculator!$F$21,1)),2)))),2))</f>
        <v>4.23</v>
      </c>
      <c r="O44" s="114" t="n">
        <f aca="false">IFERROR(ROUND((IF(ISNUMBER(D44),D44,0)+IF(ISNUMBER(E44),E44,0)+IF(ISNUMBER(F44),F44,0)+IF(ISNUMBER(G44),G44,0)+IF(ISNUMBER(H44),H44,0)+IF(ISNUMBER(I44),I44,0)+IF(ISNUMBER(J44),J44,0)+IF(ISNUMBER(K44),K44,0)+IF(ISNUMBER(L44),L44,0)+IF(ISNUMBER(M44),M44,0)+IF(ISNUMBER(N44),N44,0))/(IF(ISNUMBER(D44),1,0)+IF(ISNUMBER(E44),1,0)+IF(ISNUMBER(F44),1,0)+IF(ISNUMBER(G44),1,0)+IF(ISNUMBER(H44),1,0)+IF(ISNUMBER(I44),1,0)+IF(ISNUMBER(J44),1,0)+IF(ISNUMBER(K44),1,0)+IF(ISNUMBER(L44),1,0)+IF(ISNUMBER(M44),1,0)+IF(ISNUMBER(N44),1,0)),2),"")</f>
        <v>4.21</v>
      </c>
      <c r="P44" s="119" t="n">
        <f aca="false">IF(OR(Calculator!$E$11&lt;&gt;"YES",Calculator!$B$31&lt;Calculator!$G$11),"—",ROUND(MAX((50*POWER(80,POWER(COS(PI()*MOD(Calculator!$B$31/Calculator!$F$11,1)),2)))/$C44,$C44/(50*POWER(80,POWER(COS(PI()*MOD(Calculator!$B$31/Calculator!$F$11,1)),2)))),2))</f>
        <v>6.88</v>
      </c>
      <c r="Q44" s="119" t="n">
        <f aca="false">IF(OR(Calculator!$E$12&lt;&gt;"YES",Calculator!$B$31&lt;Calculator!$G$12),"—",ROUND(MAX((50*POWER(80,POWER(COS(PI()*MOD(Calculator!$B$31/Calculator!$F$12,1)),2)))/$C44,$C44/(50*POWER(80,POWER(COS(PI()*MOD(Calculator!$B$31/Calculator!$F$12,1)),2)))),2))</f>
        <v>1.82</v>
      </c>
      <c r="R44" s="119" t="n">
        <f aca="false">IF(OR(Calculator!$E$13&lt;&gt;"YES",Calculator!$B$31&lt;Calculator!$G$13),"—",ROUND(MAX((50*POWER(80,POWER(COS(PI()*MOD(Calculator!$B$31/Calculator!$F$13,1)),2)))/$C44,$C44/(50*POWER(80,POWER(COS(PI()*MOD(Calculator!$B$31/Calculator!$F$13,1)),2)))),2))</f>
        <v>1.59</v>
      </c>
      <c r="S44" s="119" t="n">
        <f aca="false">IF(OR(Calculator!$E$14&lt;&gt;"YES",Calculator!$B$31&lt;Calculator!$G$14),"—",ROUND(MAX((50*POWER(80,POWER(COS(PI()*MOD(Calculator!$B$31/Calculator!$F$14,1)),2)))/$C44,$C44/(50*POWER(80,POWER(COS(PI()*MOD(Calculator!$B$31/Calculator!$F$14,1)),2)))),2))</f>
        <v>3.33</v>
      </c>
      <c r="T44" s="119" t="n">
        <f aca="false">IF(OR(Calculator!$E$15&lt;&gt;"YES",Calculator!$B$31&lt;Calculator!$G$15),"—",ROUND(MAX((50*POWER(80,POWER(COS(PI()*MOD(Calculator!$B$31/Calculator!$F$15,1)),2)))/$C44,$C44/(50*POWER(80,POWER(COS(PI()*MOD(Calculator!$B$31/Calculator!$F$15,1)),2)))),2))</f>
        <v>2.1</v>
      </c>
      <c r="U44" s="119" t="n">
        <f aca="false">IF(OR(Calculator!$E$16&lt;&gt;"YES",Calculator!$B$31&lt;Calculator!$G$16),"—",ROUND(MAX((50*POWER(80,POWER(COS(PI()*MOD(Calculator!$B$31/Calculator!$F$16,1)),2)))/$C44,$C44/(50*POWER(80,POWER(COS(PI()*MOD(Calculator!$B$31/Calculator!$F$16,1)),2)))),2))</f>
        <v>8.17</v>
      </c>
      <c r="V44" s="119" t="n">
        <f aca="false">IF(OR(Calculator!$E$17&lt;&gt;"YES",Calculator!$B$31&lt;Calculator!$G$17),"—",ROUND(MAX((50*POWER(80,POWER(COS(PI()*MOD(Calculator!$B$31/Calculator!$F$17,1)),2)))/$C44,$C44/(50*POWER(80,POWER(COS(PI()*MOD(Calculator!$B$31/Calculator!$F$17,1)),2)))),2))</f>
        <v>3.48</v>
      </c>
      <c r="W44" s="119" t="n">
        <f aca="false">IF(OR(Calculator!$E$18&lt;&gt;"YES",Calculator!$B$31&lt;Calculator!$G$18),"—",ROUND(MAX((50*POWER(80,POWER(COS(PI()*MOD(Calculator!$B$31/Calculator!$F$18,1)),2)))/$C44,$C44/(50*POWER(80,POWER(COS(PI()*MOD(Calculator!$B$31/Calculator!$F$18,1)),2)))),2))</f>
        <v>3.73</v>
      </c>
      <c r="X44" s="119" t="n">
        <f aca="false">IF(OR(Calculator!$E$19&lt;&gt;"YES",Calculator!$B$31&lt;Calculator!$G$19),"—",ROUND(MAX((50*POWER(80,POWER(COS(PI()*MOD(Calculator!$B$31/Calculator!$F$19,1)),2)))/$C44,$C44/(50*POWER(80,POWER(COS(PI()*MOD(Calculator!$B$31/Calculator!$F$19,1)),2)))),2))</f>
        <v>4.89</v>
      </c>
      <c r="Y44" s="119" t="n">
        <f aca="false">IF(OR(Calculator!$E$20&lt;&gt;"YES",Calculator!$B$31&lt;Calculator!$G$20),"—",ROUND(MAX((50*POWER(80,POWER(COS(PI()*MOD(Calculator!$B$31/Calculator!$F$20,1)),2)))/$C44,$C44/(50*POWER(80,POWER(COS(PI()*MOD(Calculator!$B$31/Calculator!$F$20,1)),2)))),2))</f>
        <v>5.05</v>
      </c>
      <c r="Z44" s="119" t="n">
        <f aca="false">IF(OR(Calculator!$E$21&lt;&gt;"YES",Calculator!$B$31&lt;Calculator!$G$21),"—",ROUND(MAX((50*POWER(80,POWER(COS(PI()*MOD(Calculator!$B$31/Calculator!$F$21,1)),2)))/$C44,$C44/(50*POWER(80,POWER(COS(PI()*MOD(Calculator!$B$31/Calculator!$F$21,1)),2)))),2))</f>
        <v>2.98</v>
      </c>
      <c r="AA44" s="114" t="n">
        <f aca="false">IFERROR(ROUND((IF(ISNUMBER(P44),P44,0)+IF(ISNUMBER(Q44),Q44,0)+IF(ISNUMBER(R44),R44,0)+IF(ISNUMBER(S44),S44,0)+IF(ISNUMBER(T44),T44,0)+IF(ISNUMBER(U44),U44,0)+IF(ISNUMBER(V44),V44,0)+IF(ISNUMBER(W44),W44,0)+IF(ISNUMBER(X44),X44,0)+IF(ISNUMBER(Y44),Y44,0)+IF(ISNUMBER(Z44),Z44,0))/(IF(ISNUMBER(P44),1,0)+IF(ISNUMBER(Q44),1,0)+IF(ISNUMBER(R44),1,0)+IF(ISNUMBER(S44),1,0)+IF(ISNUMBER(T44),1,0)+IF(ISNUMBER(U44),1,0)+IF(ISNUMBER(V44),1,0)+IF(ISNUMBER(W44),1,0)+IF(ISNUMBER(X44),1,0)+IF(ISNUMBER(Y44),1,0)+IF(ISNUMBER(Z44),1,0)),2),"")</f>
        <v>4</v>
      </c>
      <c r="AB44" s="119" t="n">
        <f aca="false">IF(OR(Calculator!$E$11&lt;&gt;"YES",Calculator!$B$32&lt;Calculator!$G$11),"—",ROUND(MAX((50*POWER(80,POWER(COS(PI()*MOD(Calculator!$B$32/Calculator!$F$11,1)),2)))/$C44,$C44/(50*POWER(80,POWER(COS(PI()*MOD(Calculator!$B$32/Calculator!$F$11,1)),2)))),2))</f>
        <v>8.66</v>
      </c>
      <c r="AC44" s="119" t="n">
        <f aca="false">IF(OR(Calculator!$E$12&lt;&gt;"YES",Calculator!$B$32&lt;Calculator!$G$12),"—",ROUND(MAX((50*POWER(80,POWER(COS(PI()*MOD(Calculator!$B$32/Calculator!$F$12,1)),2)))/$C44,$C44/(50*POWER(80,POWER(COS(PI()*MOD(Calculator!$B$32/Calculator!$F$12,1)),2)))),2))</f>
        <v>3.35</v>
      </c>
      <c r="AD44" s="119" t="n">
        <f aca="false">IF(OR(Calculator!$E$13&lt;&gt;"YES",Calculator!$B$32&lt;Calculator!$G$13),"—",ROUND(MAX((50*POWER(80,POWER(COS(PI()*MOD(Calculator!$B$32/Calculator!$F$13,1)),2)))/$C44,$C44/(50*POWER(80,POWER(COS(PI()*MOD(Calculator!$B$32/Calculator!$F$13,1)),2)))),2))</f>
        <v>4.42</v>
      </c>
      <c r="AE44" s="119" t="n">
        <f aca="false">IF(OR(Calculator!$E$14&lt;&gt;"YES",Calculator!$B$32&lt;Calculator!$G$14),"—",ROUND(MAX((50*POWER(80,POWER(COS(PI()*MOD(Calculator!$B$32/Calculator!$F$14,1)),2)))/$C44,$C44/(50*POWER(80,POWER(COS(PI()*MOD(Calculator!$B$32/Calculator!$F$14,1)),2)))),2))</f>
        <v>1.24</v>
      </c>
      <c r="AF44" s="119" t="n">
        <f aca="false">IF(OR(Calculator!$E$15&lt;&gt;"YES",Calculator!$B$32&lt;Calculator!$G$15),"—",ROUND(MAX((50*POWER(80,POWER(COS(PI()*MOD(Calculator!$B$32/Calculator!$F$15,1)),2)))/$C44,$C44/(50*POWER(80,POWER(COS(PI()*MOD(Calculator!$B$32/Calculator!$F$15,1)),2)))),2))</f>
        <v>3.23</v>
      </c>
      <c r="AG44" s="119" t="n">
        <f aca="false">IF(OR(Calculator!$E$16&lt;&gt;"YES",Calculator!$B$32&lt;Calculator!$G$16),"—",ROUND(MAX((50*POWER(80,POWER(COS(PI()*MOD(Calculator!$B$32/Calculator!$F$16,1)),2)))/$C44,$C44/(50*POWER(80,POWER(COS(PI()*MOD(Calculator!$B$32/Calculator!$F$16,1)),2)))),2))</f>
        <v>7.05</v>
      </c>
      <c r="AH44" s="119" t="n">
        <f aca="false">IF(OR(Calculator!$E$17&lt;&gt;"YES",Calculator!$B$32&lt;Calculator!$G$17),"—",ROUND(MAX((50*POWER(80,POWER(COS(PI()*MOD(Calculator!$B$32/Calculator!$F$17,1)),2)))/$C44,$C44/(50*POWER(80,POWER(COS(PI()*MOD(Calculator!$B$32/Calculator!$F$17,1)),2)))),2))</f>
        <v>7.45</v>
      </c>
      <c r="AI44" s="119" t="n">
        <f aca="false">IF(OR(Calculator!$E$18&lt;&gt;"YES",Calculator!$B$32&lt;Calculator!$G$18),"—",ROUND(MAX((50*POWER(80,POWER(COS(PI()*MOD(Calculator!$B$32/Calculator!$F$18,1)),2)))/$C44,$C44/(50*POWER(80,POWER(COS(PI()*MOD(Calculator!$B$32/Calculator!$F$18,1)),2)))),2))</f>
        <v>9.82</v>
      </c>
      <c r="AJ44" s="119" t="n">
        <f aca="false">IF(OR(Calculator!$E$19&lt;&gt;"YES",Calculator!$B$32&lt;Calculator!$G$19),"—",ROUND(MAX((50*POWER(80,POWER(COS(PI()*MOD(Calculator!$B$32/Calculator!$F$19,1)),2)))/$C44,$C44/(50*POWER(80,POWER(COS(PI()*MOD(Calculator!$B$32/Calculator!$F$19,1)),2)))),2))</f>
        <v>2.07</v>
      </c>
      <c r="AK44" s="119" t="n">
        <f aca="false">IF(OR(Calculator!$E$20&lt;&gt;"YES",Calculator!$B$32&lt;Calculator!$G$20),"—",ROUND(MAX((50*POWER(80,POWER(COS(PI()*MOD(Calculator!$B$32/Calculator!$F$20,1)),2)))/$C44,$C44/(50*POWER(80,POWER(COS(PI()*MOD(Calculator!$B$32/Calculator!$F$20,1)),2)))),2))</f>
        <v>5.36</v>
      </c>
      <c r="AL44" s="119" t="n">
        <f aca="false">IF(OR(Calculator!$E$21&lt;&gt;"YES",Calculator!$B$32&lt;Calculator!$G$21),"—",ROUND(MAX((50*POWER(80,POWER(COS(PI()*MOD(Calculator!$B$32/Calculator!$F$21,1)),2)))/$C44,$C44/(50*POWER(80,POWER(COS(PI()*MOD(Calculator!$B$32/Calculator!$F$21,1)),2)))),2))</f>
        <v>4.65</v>
      </c>
      <c r="AM44" s="115" t="n">
        <f aca="false">IFERROR(ROUND((IF(ISNUMBER(AB44),AB44,0)+IF(ISNUMBER(AC44),AC44,0)+IF(ISNUMBER(AD44),AD44,0)+IF(ISNUMBER(AE44),AE44,0)+IF(ISNUMBER(AF44),AF44,0)+IF(ISNUMBER(AG44),AG44,0)+IF(ISNUMBER(AH44),AH44,0)+IF(ISNUMBER(AI44),AI44,0)+IF(ISNUMBER(AJ44),AJ44,0)+IF(ISNUMBER(AK44),AK44,0)+IF(ISNUMBER(AL44),AL44,0))/(IF(ISNUMBER(AB44),1,0)+IF(ISNUMBER(AC44),1,0)+IF(ISNUMBER(AD44),1,0)+IF(ISNUMBER(AE44),1,0)+IF(ISNUMBER(AF44),1,0)+IF(ISNUMBER(AG44),1,0)+IF(ISNUMBER(AH44),1,0)+IF(ISNUMBER(AI44),1,0)+IF(ISNUMBER(AJ44),1,0)+IF(ISNUMBER(AK44),1,0)+IF(ISNUMBER(AL44),1,0)),2),"")</f>
        <v>5.21</v>
      </c>
      <c r="AN44" s="120" t="n">
        <f aca="false">IF(OR(Calculator!$E$11&lt;&gt;"YES",Calculator!$B$33&lt;Calculator!$G$11),"—",ROUND(MAX((50*POWER(80,POWER(COS(PI()*MOD(Calculator!$B$33/Calculator!$F$11,1)),2)))/$C44,$C44/(50*POWER(80,POWER(COS(PI()*MOD(Calculator!$B$33/Calculator!$F$11,1)),2)))),2))</f>
        <v>6.96</v>
      </c>
      <c r="AO44" s="120" t="n">
        <f aca="false">IF(OR(Calculator!$E$12&lt;&gt;"YES",Calculator!$B$33&lt;Calculator!$G$12),"—",ROUND(MAX((50*POWER(80,POWER(COS(PI()*MOD(Calculator!$B$33/Calculator!$F$12,1)),2)))/$C44,$C44/(50*POWER(80,POWER(COS(PI()*MOD(Calculator!$B$33/Calculator!$F$12,1)),2)))),2))</f>
        <v>1.88</v>
      </c>
      <c r="AP44" s="120" t="n">
        <f aca="false">IF(OR(Calculator!$E$13&lt;&gt;"YES",Calculator!$B$33&lt;Calculator!$G$13),"—",ROUND(MAX((50*POWER(80,POWER(COS(PI()*MOD(Calculator!$B$33/Calculator!$F$13,1)),2)))/$C44,$C44/(50*POWER(80,POWER(COS(PI()*MOD(Calculator!$B$33/Calculator!$F$13,1)),2)))),2))</f>
        <v>1.68</v>
      </c>
      <c r="AQ44" s="120" t="n">
        <f aca="false">IF(OR(Calculator!$E$14&lt;&gt;"YES",Calculator!$B$33&lt;Calculator!$G$14),"—",ROUND(MAX((50*POWER(80,POWER(COS(PI()*MOD(Calculator!$B$33/Calculator!$F$14,1)),2)))/$C44,$C44/(50*POWER(80,POWER(COS(PI()*MOD(Calculator!$B$33/Calculator!$F$14,1)),2)))),2))</f>
        <v>3.13</v>
      </c>
      <c r="AR44" s="120" t="n">
        <f aca="false">IF(OR(Calculator!$E$15&lt;&gt;"YES",Calculator!$B$33&lt;Calculator!$G$15),"—",ROUND(MAX((50*POWER(80,POWER(COS(PI()*MOD(Calculator!$B$33/Calculator!$F$15,1)),2)))/$C44,$C44/(50*POWER(80,POWER(COS(PI()*MOD(Calculator!$B$33/Calculator!$F$15,1)),2)))),2))</f>
        <v>1.9</v>
      </c>
      <c r="AS44" s="120" t="n">
        <f aca="false">IF(OR(Calculator!$E$16&lt;&gt;"YES",Calculator!$B$33&lt;Calculator!$G$16),"—",ROUND(MAX((50*POWER(80,POWER(COS(PI()*MOD(Calculator!$B$33/Calculator!$F$16,1)),2)))/$C44,$C44/(50*POWER(80,POWER(COS(PI()*MOD(Calculator!$B$33/Calculator!$F$16,1)),2)))),2))</f>
        <v>8.8</v>
      </c>
      <c r="AT44" s="120" t="n">
        <f aca="false">IF(OR(Calculator!$E$17&lt;&gt;"YES",Calculator!$B$33&lt;Calculator!$G$17),"—",ROUND(MAX((50*POWER(80,POWER(COS(PI()*MOD(Calculator!$B$33/Calculator!$F$17,1)),2)))/$C44,$C44/(50*POWER(80,POWER(COS(PI()*MOD(Calculator!$B$33/Calculator!$F$17,1)),2)))),2))</f>
        <v>3.06</v>
      </c>
      <c r="AU44" s="120" t="n">
        <f aca="false">IF(OR(Calculator!$E$18&lt;&gt;"YES",Calculator!$B$33&lt;Calculator!$G$18),"—",ROUND(MAX((50*POWER(80,POWER(COS(PI()*MOD(Calculator!$B$33/Calculator!$F$18,1)),2)))/$C44,$C44/(50*POWER(80,POWER(COS(PI()*MOD(Calculator!$B$33/Calculator!$F$18,1)),2)))),2))</f>
        <v>3.22</v>
      </c>
      <c r="AV44" s="120" t="n">
        <f aca="false">IF(OR(Calculator!$E$19&lt;&gt;"YES",Calculator!$B$33&lt;Calculator!$G$19),"—",ROUND(MAX((50*POWER(80,POWER(COS(PI()*MOD(Calculator!$B$33/Calculator!$F$19,1)),2)))/$C44,$C44/(50*POWER(80,POWER(COS(PI()*MOD(Calculator!$B$33/Calculator!$F$19,1)),2)))),2))</f>
        <v>5.47</v>
      </c>
      <c r="AW44" s="120" t="n">
        <f aca="false">IF(OR(Calculator!$E$20&lt;&gt;"YES",Calculator!$B$33&lt;Calculator!$G$20),"—",ROUND(MAX((50*POWER(80,POWER(COS(PI()*MOD(Calculator!$B$33/Calculator!$F$20,1)),2)))/$C44,$C44/(50*POWER(80,POWER(COS(PI()*MOD(Calculator!$B$33/Calculator!$F$20,1)),2)))),2))</f>
        <v>4.01</v>
      </c>
      <c r="AX44" s="120" t="n">
        <f aca="false">IF(OR(Calculator!$E$21&lt;&gt;"YES",Calculator!$B$33&lt;Calculator!$G$21),"—",ROUND(MAX((50*POWER(80,POWER(COS(PI()*MOD(Calculator!$B$33/Calculator!$F$21,1)),2)))/$C44,$C44/(50*POWER(80,POWER(COS(PI()*MOD(Calculator!$B$33/Calculator!$F$21,1)),2)))),2))</f>
        <v>1.95</v>
      </c>
      <c r="AY44" s="115" t="n">
        <f aca="false">IFERROR(ROUND((IF(ISNUMBER(AN44),AN44,0)+IF(ISNUMBER(AO44),AO44,0)+IF(ISNUMBER(AP44),AP44,0)+IF(ISNUMBER(AQ44),AQ44,0)+IF(ISNUMBER(AR44),AR44,0)+IF(ISNUMBER(AS44),AS44,0)+IF(ISNUMBER(AT44),AT44,0)+IF(ISNUMBER(AU44),AU44,0)+IF(ISNUMBER(AV44),AV44,0)+IF(ISNUMBER(AW44),AW44,0)+IF(ISNUMBER(AX44),AX44,0))/(IF(ISNUMBER(AN44),1,0)+IF(ISNUMBER(AO44),1,0)+IF(ISNUMBER(AP44),1,0)+IF(ISNUMBER(AQ44),1,0)+IF(ISNUMBER(AR44),1,0)+IF(ISNUMBER(AS44),1,0)+IF(ISNUMBER(AT44),1,0)+IF(ISNUMBER(AU44),1,0)+IF(ISNUMBER(AV44),1,0)+IF(ISNUMBER(AW44),1,0)+IF(ISNUMBER(AX44),1,0)),2),"")</f>
        <v>3.82</v>
      </c>
      <c r="AZ44" s="120" t="n">
        <f aca="false">IF(OR(Calculator!$E$11&lt;&gt;"YES",Calculator!$B$34&lt;Calculator!$G$11),"—",ROUND(MAX((50*POWER(80,POWER(COS(PI()*MOD(Calculator!$B$34/Calculator!$F$11,1)),2)))/$C44,$C44/(50*POWER(80,POWER(COS(PI()*MOD(Calculator!$B$34/Calculator!$F$11,1)),2)))),2))</f>
        <v>6.71</v>
      </c>
      <c r="BA44" s="120" t="n">
        <f aca="false">IF(OR(Calculator!$E$12&lt;&gt;"YES",Calculator!$B$34&lt;Calculator!$G$12),"—",ROUND(MAX((50*POWER(80,POWER(COS(PI()*MOD(Calculator!$B$34/Calculator!$F$12,1)),2)))/$C44,$C44/(50*POWER(80,POWER(COS(PI()*MOD(Calculator!$B$34/Calculator!$F$12,1)),2)))),2))</f>
        <v>1.7</v>
      </c>
      <c r="BB44" s="120" t="n">
        <f aca="false">IF(OR(Calculator!$E$13&lt;&gt;"YES",Calculator!$B$34&lt;Calculator!$G$13),"—",ROUND(MAX((50*POWER(80,POWER(COS(PI()*MOD(Calculator!$B$34/Calculator!$F$13,1)),2)))/$C44,$C44/(50*POWER(80,POWER(COS(PI()*MOD(Calculator!$B$34/Calculator!$F$13,1)),2)))),2))</f>
        <v>1.44</v>
      </c>
      <c r="BC44" s="120" t="n">
        <f aca="false">IF(OR(Calculator!$E$14&lt;&gt;"YES",Calculator!$B$34&lt;Calculator!$G$14),"—",ROUND(MAX((50*POWER(80,POWER(COS(PI()*MOD(Calculator!$B$34/Calculator!$F$14,1)),2)))/$C44,$C44/(50*POWER(80,POWER(COS(PI()*MOD(Calculator!$B$34/Calculator!$F$14,1)),2)))),2))</f>
        <v>3.77</v>
      </c>
      <c r="BD44" s="120" t="n">
        <f aca="false">IF(OR(Calculator!$E$15&lt;&gt;"YES",Calculator!$B$34&lt;Calculator!$G$15),"—",ROUND(MAX((50*POWER(80,POWER(COS(PI()*MOD(Calculator!$B$34/Calculator!$F$15,1)),2)))/$C44,$C44/(50*POWER(80,POWER(COS(PI()*MOD(Calculator!$B$34/Calculator!$F$15,1)),2)))),2))</f>
        <v>2.53</v>
      </c>
      <c r="BE44" s="120" t="n">
        <f aca="false">IF(OR(Calculator!$E$16&lt;&gt;"YES",Calculator!$B$34&lt;Calculator!$G$16),"—",ROUND(MAX((50*POWER(80,POWER(COS(PI()*MOD(Calculator!$B$34/Calculator!$F$16,1)),2)))/$C44,$C44/(50*POWER(80,POWER(COS(PI()*MOD(Calculator!$B$34/Calculator!$F$16,1)),2)))),2))</f>
        <v>6.9</v>
      </c>
      <c r="BF44" s="120" t="n">
        <f aca="false">IF(OR(Calculator!$E$17&lt;&gt;"YES",Calculator!$B$34&lt;Calculator!$G$17),"—",ROUND(MAX((50*POWER(80,POWER(COS(PI()*MOD(Calculator!$B$34/Calculator!$F$17,1)),2)))/$C44,$C44/(50*POWER(80,POWER(COS(PI()*MOD(Calculator!$B$34/Calculator!$F$17,1)),2)))),2))</f>
        <v>4.37</v>
      </c>
      <c r="BG44" s="120" t="n">
        <f aca="false">IF(OR(Calculator!$E$18&lt;&gt;"YES",Calculator!$B$34&lt;Calculator!$G$18),"—",ROUND(MAX((50*POWER(80,POWER(COS(PI()*MOD(Calculator!$B$34/Calculator!$F$18,1)),2)))/$C44,$C44/(50*POWER(80,POWER(COS(PI()*MOD(Calculator!$B$34/Calculator!$F$18,1)),2)))),2))</f>
        <v>4.78</v>
      </c>
      <c r="BH44" s="120" t="n">
        <f aca="false">IF(OR(Calculator!$E$19&lt;&gt;"YES",Calculator!$B$34&lt;Calculator!$G$19),"—",ROUND(MAX((50*POWER(80,POWER(COS(PI()*MOD(Calculator!$B$34/Calculator!$F$19,1)),2)))/$C44,$C44/(50*POWER(80,POWER(COS(PI()*MOD(Calculator!$B$34/Calculator!$F$19,1)),2)))),2))</f>
        <v>3.65</v>
      </c>
      <c r="BI44" s="120" t="n">
        <f aca="false">IF(OR(Calculator!$E$20&lt;&gt;"YES",Calculator!$B$34&lt;Calculator!$G$20),"—",ROUND(MAX((50*POWER(80,POWER(COS(PI()*MOD(Calculator!$B$34/Calculator!$F$20,1)),2)))/$C44,$C44/(50*POWER(80,POWER(COS(PI()*MOD(Calculator!$B$34/Calculator!$F$20,1)),2)))),2))</f>
        <v>7.51</v>
      </c>
      <c r="BJ44" s="120" t="n">
        <f aca="false">IF(OR(Calculator!$E$21&lt;&gt;"YES",Calculator!$B$34&lt;Calculator!$G$21),"—",ROUND(MAX((50*POWER(80,POWER(COS(PI()*MOD(Calculator!$B$34/Calculator!$F$21,1)),2)))/$C44,$C44/(50*POWER(80,POWER(COS(PI()*MOD(Calculator!$B$34/Calculator!$F$21,1)),2)))),2))</f>
        <v>5.47</v>
      </c>
      <c r="BK44" s="115" t="n">
        <f aca="false">IFERROR(ROUND((IF(ISNUMBER(AZ44),AZ44,0)+IF(ISNUMBER(BA44),BA44,0)+IF(ISNUMBER(BB44),BB44,0)+IF(ISNUMBER(BC44),BC44,0)+IF(ISNUMBER(BD44),BD44,0)+IF(ISNUMBER(BE44),BE44,0)+IF(ISNUMBER(BF44),BF44,0)+IF(ISNUMBER(BG44),BG44,0)+IF(ISNUMBER(BH44),BH44,0)+IF(ISNUMBER(BI44),BI44,0)+IF(ISNUMBER(BJ44),BJ44,0))/(IF(ISNUMBER(AZ44),1,0)+IF(ISNUMBER(BA44),1,0)+IF(ISNUMBER(BB44),1,0)+IF(ISNUMBER(BC44),1,0)+IF(ISNUMBER(BD44),1,0)+IF(ISNUMBER(BE44),1,0)+IF(ISNUMBER(BF44),1,0)+IF(ISNUMBER(BG44),1,0)+IF(ISNUMBER(BH44),1,0)+IF(ISNUMBER(BI44),1,0)+IF(ISNUMBER(BJ44),1,0)),2),"")</f>
        <v>4.44</v>
      </c>
    </row>
    <row r="45" customFormat="false" ht="15" hidden="false" customHeight="false" outlineLevel="0" collapsed="false">
      <c r="A45" s="87" t="s">
        <v>102</v>
      </c>
      <c r="B45" s="87" t="s">
        <v>93</v>
      </c>
      <c r="C45" s="90" t="n">
        <v>650</v>
      </c>
      <c r="D45" s="91" t="n">
        <f aca="false">IF(OR(Calculator!$E$11&lt;&gt;"YES",Calculator!$B$30&lt;Calculator!$G$11),"—",ROUND(MAX((50*POWER(80,POWER(COS(PI()*MOD(Calculator!$B$30/Calculator!$F$11,1)),2)))/$C45,$C45/(50*POWER(80,POWER(COS(PI()*MOD(Calculator!$B$30/Calculator!$F$11,1)),2)))),2))</f>
        <v>7.36</v>
      </c>
      <c r="E45" s="91" t="n">
        <f aca="false">IF(OR(Calculator!$E$12&lt;&gt;"YES",Calculator!$B$30&lt;Calculator!$G$12),"—",ROUND(MAX((50*POWER(80,POWER(COS(PI()*MOD(Calculator!$B$30/Calculator!$F$12,1)),2)))/$C45,$C45/(50*POWER(80,POWER(COS(PI()*MOD(Calculator!$B$30/Calculator!$F$12,1)),2)))),2))</f>
        <v>1.62</v>
      </c>
      <c r="F45" s="91" t="n">
        <f aca="false">IF(OR(Calculator!$E$13&lt;&gt;"YES",Calculator!$B$30&lt;Calculator!$G$13),"—",ROUND(MAX((50*POWER(80,POWER(COS(PI()*MOD(Calculator!$B$30/Calculator!$F$13,1)),2)))/$C45,$C45/(50*POWER(80,POWER(COS(PI()*MOD(Calculator!$B$30/Calculator!$F$13,1)),2)))),2))</f>
        <v>1.64</v>
      </c>
      <c r="G45" s="91" t="n">
        <f aca="false">IF(OR(Calculator!$E$14&lt;&gt;"YES",Calculator!$B$30&lt;Calculator!$G$14),"—",ROUND(MAX((50*POWER(80,POWER(COS(PI()*MOD(Calculator!$B$30/Calculator!$F$14,1)),2)))/$C45,$C45/(50*POWER(80,POWER(COS(PI()*MOD(Calculator!$B$30/Calculator!$F$14,1)),2)))),2))</f>
        <v>3.84</v>
      </c>
      <c r="H45" s="91" t="n">
        <f aca="false">IF(OR(Calculator!$E$15&lt;&gt;"YES",Calculator!$B$30&lt;Calculator!$G$15),"—",ROUND(MAX((50*POWER(80,POWER(COS(PI()*MOD(Calculator!$B$30/Calculator!$F$15,1)),2)))/$C45,$C45/(50*POWER(80,POWER(COS(PI()*MOD(Calculator!$B$30/Calculator!$F$15,1)),2)))),2))</f>
        <v>2.5</v>
      </c>
      <c r="I45" s="91" t="n">
        <f aca="false">IF(OR(Calculator!$E$16&lt;&gt;"YES",Calculator!$B$30&lt;Calculator!$G$16),"—",ROUND(MAX((50*POWER(80,POWER(COS(PI()*MOD(Calculator!$B$30/Calculator!$F$16,1)),2)))/$C45,$C45/(50*POWER(80,POWER(COS(PI()*MOD(Calculator!$B$30/Calculator!$F$16,1)),2)))),2))</f>
        <v>8.16</v>
      </c>
      <c r="J45" s="91" t="n">
        <f aca="false">IF(OR(Calculator!$E$17&lt;&gt;"YES",Calculator!$B$30&lt;Calculator!$G$17),"—",ROUND(MAX((50*POWER(80,POWER(COS(PI()*MOD(Calculator!$B$30/Calculator!$F$17,1)),2)))/$C45,$C45/(50*POWER(80,POWER(COS(PI()*MOD(Calculator!$B$30/Calculator!$F$17,1)),2)))),2))</f>
        <v>3.62</v>
      </c>
      <c r="K45" s="91" t="n">
        <f aca="false">IF(OR(Calculator!$E$18&lt;&gt;"YES",Calculator!$B$30&lt;Calculator!$G$18),"—",ROUND(MAX((50*POWER(80,POWER(COS(PI()*MOD(Calculator!$B$30/Calculator!$F$18,1)),2)))/$C45,$C45/(50*POWER(80,POWER(COS(PI()*MOD(Calculator!$B$30/Calculator!$F$18,1)),2)))),2))</f>
        <v>3.93</v>
      </c>
      <c r="L45" s="91" t="n">
        <f aca="false">IF(OR(Calculator!$E$19&lt;&gt;"YES",Calculator!$B$30&lt;Calculator!$G$19),"—",ROUND(MAX((50*POWER(80,POWER(COS(PI()*MOD(Calculator!$B$30/Calculator!$F$19,1)),2)))/$C45,$C45/(50*POWER(80,POWER(COS(PI()*MOD(Calculator!$B$30/Calculator!$F$19,1)),2)))),2))</f>
        <v>3.94</v>
      </c>
      <c r="M45" s="91" t="n">
        <f aca="false">IF(OR(Calculator!$E$20&lt;&gt;"YES",Calculator!$B$30&lt;Calculator!$G$20),"—",ROUND(MAX((50*POWER(80,POWER(COS(PI()*MOD(Calculator!$B$30/Calculator!$F$20,1)),2)))/$C45,$C45/(50*POWER(80,POWER(COS(PI()*MOD(Calculator!$B$30/Calculator!$F$20,1)),2)))),2))</f>
        <v>6.76</v>
      </c>
      <c r="N45" s="91" t="n">
        <f aca="false">IF(OR(Calculator!$E$21&lt;&gt;"YES",Calculator!$B$30&lt;Calculator!$G$21),"—",ROUND(MAX((50*POWER(80,POWER(COS(PI()*MOD(Calculator!$B$30/Calculator!$F$21,1)),2)))/$C45,$C45/(50*POWER(80,POWER(COS(PI()*MOD(Calculator!$B$30/Calculator!$F$21,1)),2)))),2))</f>
        <v>3.9</v>
      </c>
      <c r="O45" s="114" t="n">
        <f aca="false">IFERROR(ROUND((IF(ISNUMBER(D45),D45,0)+IF(ISNUMBER(E45),E45,0)+IF(ISNUMBER(F45),F45,0)+IF(ISNUMBER(G45),G45,0)+IF(ISNUMBER(H45),H45,0)+IF(ISNUMBER(I45),I45,0)+IF(ISNUMBER(J45),J45,0)+IF(ISNUMBER(K45),K45,0)+IF(ISNUMBER(L45),L45,0)+IF(ISNUMBER(M45),M45,0)+IF(ISNUMBER(N45),N45,0))/(IF(ISNUMBER(D45),1,0)+IF(ISNUMBER(E45),1,0)+IF(ISNUMBER(F45),1,0)+IF(ISNUMBER(G45),1,0)+IF(ISNUMBER(H45),1,0)+IF(ISNUMBER(I45),1,0)+IF(ISNUMBER(J45),1,0)+IF(ISNUMBER(K45),1,0)+IF(ISNUMBER(L45),1,0)+IF(ISNUMBER(M45),1,0)+IF(ISNUMBER(N45),1,0)),2),"")</f>
        <v>4.3</v>
      </c>
      <c r="P45" s="91" t="n">
        <f aca="false">IF(OR(Calculator!$E$11&lt;&gt;"YES",Calculator!$B$31&lt;Calculator!$G$11),"—",ROUND(MAX((50*POWER(80,POWER(COS(PI()*MOD(Calculator!$B$31/Calculator!$F$11,1)),2)))/$C45,$C45/(50*POWER(80,POWER(COS(PI()*MOD(Calculator!$B$31/Calculator!$F$11,1)),2)))),2))</f>
        <v>7.45</v>
      </c>
      <c r="Q45" s="91" t="n">
        <f aca="false">IF(OR(Calculator!$E$12&lt;&gt;"YES",Calculator!$B$31&lt;Calculator!$G$12),"—",ROUND(MAX((50*POWER(80,POWER(COS(PI()*MOD(Calculator!$B$31/Calculator!$F$12,1)),2)))/$C45,$C45/(50*POWER(80,POWER(COS(PI()*MOD(Calculator!$B$31/Calculator!$F$12,1)),2)))),2))</f>
        <v>1.68</v>
      </c>
      <c r="R45" s="91" t="n">
        <f aca="false">IF(OR(Calculator!$E$13&lt;&gt;"YES",Calculator!$B$31&lt;Calculator!$G$13),"—",ROUND(MAX((50*POWER(80,POWER(COS(PI()*MOD(Calculator!$B$31/Calculator!$F$13,1)),2)))/$C45,$C45/(50*POWER(80,POWER(COS(PI()*MOD(Calculator!$B$31/Calculator!$F$13,1)),2)))),2))</f>
        <v>1.73</v>
      </c>
      <c r="S45" s="91" t="n">
        <f aca="false">IF(OR(Calculator!$E$14&lt;&gt;"YES",Calculator!$B$31&lt;Calculator!$G$14),"—",ROUND(MAX((50*POWER(80,POWER(COS(PI()*MOD(Calculator!$B$31/Calculator!$F$14,1)),2)))/$C45,$C45/(50*POWER(80,POWER(COS(PI()*MOD(Calculator!$B$31/Calculator!$F$14,1)),2)))),2))</f>
        <v>3.61</v>
      </c>
      <c r="T45" s="91" t="n">
        <f aca="false">IF(OR(Calculator!$E$15&lt;&gt;"YES",Calculator!$B$31&lt;Calculator!$G$15),"—",ROUND(MAX((50*POWER(80,POWER(COS(PI()*MOD(Calculator!$B$31/Calculator!$F$15,1)),2)))/$C45,$C45/(50*POWER(80,POWER(COS(PI()*MOD(Calculator!$B$31/Calculator!$F$15,1)),2)))),2))</f>
        <v>2.27</v>
      </c>
      <c r="U45" s="91" t="n">
        <f aca="false">IF(OR(Calculator!$E$16&lt;&gt;"YES",Calculator!$B$31&lt;Calculator!$G$16),"—",ROUND(MAX((50*POWER(80,POWER(COS(PI()*MOD(Calculator!$B$31/Calculator!$F$16,1)),2)))/$C45,$C45/(50*POWER(80,POWER(COS(PI()*MOD(Calculator!$B$31/Calculator!$F$16,1)),2)))),2))</f>
        <v>8.85</v>
      </c>
      <c r="V45" s="91" t="n">
        <f aca="false">IF(OR(Calculator!$E$17&lt;&gt;"YES",Calculator!$B$31&lt;Calculator!$G$17),"—",ROUND(MAX((50*POWER(80,POWER(COS(PI()*MOD(Calculator!$B$31/Calculator!$F$17,1)),2)))/$C45,$C45/(50*POWER(80,POWER(COS(PI()*MOD(Calculator!$B$31/Calculator!$F$17,1)),2)))),2))</f>
        <v>3.21</v>
      </c>
      <c r="W45" s="91" t="n">
        <f aca="false">IF(OR(Calculator!$E$18&lt;&gt;"YES",Calculator!$B$31&lt;Calculator!$G$18),"—",ROUND(MAX((50*POWER(80,POWER(COS(PI()*MOD(Calculator!$B$31/Calculator!$F$18,1)),2)))/$C45,$C45/(50*POWER(80,POWER(COS(PI()*MOD(Calculator!$B$31/Calculator!$F$18,1)),2)))),2))</f>
        <v>3.44</v>
      </c>
      <c r="X45" s="91" t="n">
        <f aca="false">IF(OR(Calculator!$E$19&lt;&gt;"YES",Calculator!$B$31&lt;Calculator!$G$19),"—",ROUND(MAX((50*POWER(80,POWER(COS(PI()*MOD(Calculator!$B$31/Calculator!$F$19,1)),2)))/$C45,$C45/(50*POWER(80,POWER(COS(PI()*MOD(Calculator!$B$31/Calculator!$F$19,1)),2)))),2))</f>
        <v>4.51</v>
      </c>
      <c r="Y45" s="91" t="n">
        <f aca="false">IF(OR(Calculator!$E$20&lt;&gt;"YES",Calculator!$B$31&lt;Calculator!$G$20),"—",ROUND(MAX((50*POWER(80,POWER(COS(PI()*MOD(Calculator!$B$31/Calculator!$F$20,1)),2)))/$C45,$C45/(50*POWER(80,POWER(COS(PI()*MOD(Calculator!$B$31/Calculator!$F$20,1)),2)))),2))</f>
        <v>5.47</v>
      </c>
      <c r="Z45" s="91" t="n">
        <f aca="false">IF(OR(Calculator!$E$21&lt;&gt;"YES",Calculator!$B$31&lt;Calculator!$G$21),"—",ROUND(MAX((50*POWER(80,POWER(COS(PI()*MOD(Calculator!$B$31/Calculator!$F$21,1)),2)))/$C45,$C45/(50*POWER(80,POWER(COS(PI()*MOD(Calculator!$B$31/Calculator!$F$21,1)),2)))),2))</f>
        <v>2.75</v>
      </c>
      <c r="AA45" s="114" t="n">
        <f aca="false">IFERROR(ROUND((IF(ISNUMBER(P45),P45,0)+IF(ISNUMBER(Q45),Q45,0)+IF(ISNUMBER(R45),R45,0)+IF(ISNUMBER(S45),S45,0)+IF(ISNUMBER(T45),T45,0)+IF(ISNUMBER(U45),U45,0)+IF(ISNUMBER(V45),V45,0)+IF(ISNUMBER(W45),W45,0)+IF(ISNUMBER(X45),X45,0)+IF(ISNUMBER(Y45),Y45,0)+IF(ISNUMBER(Z45),Z45,0))/(IF(ISNUMBER(P45),1,0)+IF(ISNUMBER(Q45),1,0)+IF(ISNUMBER(R45),1,0)+IF(ISNUMBER(S45),1,0)+IF(ISNUMBER(T45),1,0)+IF(ISNUMBER(U45),1,0)+IF(ISNUMBER(V45),1,0)+IF(ISNUMBER(W45),1,0)+IF(ISNUMBER(X45),1,0)+IF(ISNUMBER(Y45),1,0)+IF(ISNUMBER(Z45),1,0)),2),"")</f>
        <v>4.09</v>
      </c>
      <c r="AB45" s="91" t="n">
        <f aca="false">IF(OR(Calculator!$E$11&lt;&gt;"YES",Calculator!$B$32&lt;Calculator!$G$11),"—",ROUND(MAX((50*POWER(80,POWER(COS(PI()*MOD(Calculator!$B$32/Calculator!$F$11,1)),2)))/$C45,$C45/(50*POWER(80,POWER(COS(PI()*MOD(Calculator!$B$32/Calculator!$F$11,1)),2)))),2))</f>
        <v>9.38</v>
      </c>
      <c r="AC45" s="91" t="n">
        <f aca="false">IF(OR(Calculator!$E$12&lt;&gt;"YES",Calculator!$B$32&lt;Calculator!$G$12),"—",ROUND(MAX((50*POWER(80,POWER(COS(PI()*MOD(Calculator!$B$32/Calculator!$F$12,1)),2)))/$C45,$C45/(50*POWER(80,POWER(COS(PI()*MOD(Calculator!$B$32/Calculator!$F$12,1)),2)))),2))</f>
        <v>3.1</v>
      </c>
      <c r="AD45" s="91" t="n">
        <f aca="false">IF(OR(Calculator!$E$13&lt;&gt;"YES",Calculator!$B$32&lt;Calculator!$G$13),"—",ROUND(MAX((50*POWER(80,POWER(COS(PI()*MOD(Calculator!$B$32/Calculator!$F$13,1)),2)))/$C45,$C45/(50*POWER(80,POWER(COS(PI()*MOD(Calculator!$B$32/Calculator!$F$13,1)),2)))),2))</f>
        <v>4.79</v>
      </c>
      <c r="AE45" s="91" t="n">
        <f aca="false">IF(OR(Calculator!$E$14&lt;&gt;"YES",Calculator!$B$32&lt;Calculator!$G$14),"—",ROUND(MAX((50*POWER(80,POWER(COS(PI()*MOD(Calculator!$B$32/Calculator!$F$14,1)),2)))/$C45,$C45/(50*POWER(80,POWER(COS(PI()*MOD(Calculator!$B$32/Calculator!$F$14,1)),2)))),2))</f>
        <v>1.14</v>
      </c>
      <c r="AF45" s="91" t="n">
        <f aca="false">IF(OR(Calculator!$E$15&lt;&gt;"YES",Calculator!$B$32&lt;Calculator!$G$15),"—",ROUND(MAX((50*POWER(80,POWER(COS(PI()*MOD(Calculator!$B$32/Calculator!$F$15,1)),2)))/$C45,$C45/(50*POWER(80,POWER(COS(PI()*MOD(Calculator!$B$32/Calculator!$F$15,1)),2)))),2))</f>
        <v>2.98</v>
      </c>
      <c r="AG45" s="91" t="n">
        <f aca="false">IF(OR(Calculator!$E$16&lt;&gt;"YES",Calculator!$B$32&lt;Calculator!$G$16),"—",ROUND(MAX((50*POWER(80,POWER(COS(PI()*MOD(Calculator!$B$32/Calculator!$F$16,1)),2)))/$C45,$C45/(50*POWER(80,POWER(COS(PI()*MOD(Calculator!$B$32/Calculator!$F$16,1)),2)))),2))</f>
        <v>7.64</v>
      </c>
      <c r="AH45" s="91" t="n">
        <f aca="false">IF(OR(Calculator!$E$17&lt;&gt;"YES",Calculator!$B$32&lt;Calculator!$G$17),"—",ROUND(MAX((50*POWER(80,POWER(COS(PI()*MOD(Calculator!$B$32/Calculator!$F$17,1)),2)))/$C45,$C45/(50*POWER(80,POWER(COS(PI()*MOD(Calculator!$B$32/Calculator!$F$17,1)),2)))),2))</f>
        <v>8.07</v>
      </c>
      <c r="AI45" s="91" t="n">
        <f aca="false">IF(OR(Calculator!$E$18&lt;&gt;"YES",Calculator!$B$32&lt;Calculator!$G$18),"—",ROUND(MAX((50*POWER(80,POWER(COS(PI()*MOD(Calculator!$B$32/Calculator!$F$18,1)),2)))/$C45,$C45/(50*POWER(80,POWER(COS(PI()*MOD(Calculator!$B$32/Calculator!$F$18,1)),2)))),2))</f>
        <v>10.64</v>
      </c>
      <c r="AJ45" s="91" t="n">
        <f aca="false">IF(OR(Calculator!$E$19&lt;&gt;"YES",Calculator!$B$32&lt;Calculator!$G$19),"—",ROUND(MAX((50*POWER(80,POWER(COS(PI()*MOD(Calculator!$B$32/Calculator!$F$19,1)),2)))/$C45,$C45/(50*POWER(80,POWER(COS(PI()*MOD(Calculator!$B$32/Calculator!$F$19,1)),2)))),2))</f>
        <v>2.24</v>
      </c>
      <c r="AK45" s="91" t="n">
        <f aca="false">IF(OR(Calculator!$E$20&lt;&gt;"YES",Calculator!$B$32&lt;Calculator!$G$20),"—",ROUND(MAX((50*POWER(80,POWER(COS(PI()*MOD(Calculator!$B$32/Calculator!$F$20,1)),2)))/$C45,$C45/(50*POWER(80,POWER(COS(PI()*MOD(Calculator!$B$32/Calculator!$F$20,1)),2)))),2))</f>
        <v>4.95</v>
      </c>
      <c r="AL45" s="91" t="n">
        <f aca="false">IF(OR(Calculator!$E$21&lt;&gt;"YES",Calculator!$B$32&lt;Calculator!$G$21),"—",ROUND(MAX((50*POWER(80,POWER(COS(PI()*MOD(Calculator!$B$32/Calculator!$F$21,1)),2)))/$C45,$C45/(50*POWER(80,POWER(COS(PI()*MOD(Calculator!$B$32/Calculator!$F$21,1)),2)))),2))</f>
        <v>4.29</v>
      </c>
      <c r="AM45" s="115" t="n">
        <f aca="false">IFERROR(ROUND((IF(ISNUMBER(AB45),AB45,0)+IF(ISNUMBER(AC45),AC45,0)+IF(ISNUMBER(AD45),AD45,0)+IF(ISNUMBER(AE45),AE45,0)+IF(ISNUMBER(AF45),AF45,0)+IF(ISNUMBER(AG45),AG45,0)+IF(ISNUMBER(AH45),AH45,0)+IF(ISNUMBER(AI45),AI45,0)+IF(ISNUMBER(AJ45),AJ45,0)+IF(ISNUMBER(AK45),AK45,0)+IF(ISNUMBER(AL45),AL45,0))/(IF(ISNUMBER(AB45),1,0)+IF(ISNUMBER(AC45),1,0)+IF(ISNUMBER(AD45),1,0)+IF(ISNUMBER(AE45),1,0)+IF(ISNUMBER(AF45),1,0)+IF(ISNUMBER(AG45),1,0)+IF(ISNUMBER(AH45),1,0)+IF(ISNUMBER(AI45),1,0)+IF(ISNUMBER(AJ45),1,0)+IF(ISNUMBER(AK45),1,0)+IF(ISNUMBER(AL45),1,0)),2),"")</f>
        <v>5.38</v>
      </c>
      <c r="AN45" s="116" t="n">
        <f aca="false">IF(OR(Calculator!$E$11&lt;&gt;"YES",Calculator!$B$33&lt;Calculator!$G$11),"—",ROUND(MAX((50*POWER(80,POWER(COS(PI()*MOD(Calculator!$B$33/Calculator!$F$11,1)),2)))/$C45,$C45/(50*POWER(80,POWER(COS(PI()*MOD(Calculator!$B$33/Calculator!$F$11,1)),2)))),2))</f>
        <v>7.54</v>
      </c>
      <c r="AO45" s="116" t="n">
        <f aca="false">IF(OR(Calculator!$E$12&lt;&gt;"YES",Calculator!$B$33&lt;Calculator!$G$12),"—",ROUND(MAX((50*POWER(80,POWER(COS(PI()*MOD(Calculator!$B$33/Calculator!$F$12,1)),2)))/$C45,$C45/(50*POWER(80,POWER(COS(PI()*MOD(Calculator!$B$33/Calculator!$F$12,1)),2)))),2))</f>
        <v>1.73</v>
      </c>
      <c r="AP45" s="116" t="n">
        <f aca="false">IF(OR(Calculator!$E$13&lt;&gt;"YES",Calculator!$B$33&lt;Calculator!$G$13),"—",ROUND(MAX((50*POWER(80,POWER(COS(PI()*MOD(Calculator!$B$33/Calculator!$F$13,1)),2)))/$C45,$C45/(50*POWER(80,POWER(COS(PI()*MOD(Calculator!$B$33/Calculator!$F$13,1)),2)))),2))</f>
        <v>1.82</v>
      </c>
      <c r="AQ45" s="116" t="n">
        <f aca="false">IF(OR(Calculator!$E$14&lt;&gt;"YES",Calculator!$B$33&lt;Calculator!$G$14),"—",ROUND(MAX((50*POWER(80,POWER(COS(PI()*MOD(Calculator!$B$33/Calculator!$F$14,1)),2)))/$C45,$C45/(50*POWER(80,POWER(COS(PI()*MOD(Calculator!$B$33/Calculator!$F$14,1)),2)))),2))</f>
        <v>3.39</v>
      </c>
      <c r="AR45" s="116" t="n">
        <f aca="false">IF(OR(Calculator!$E$15&lt;&gt;"YES",Calculator!$B$33&lt;Calculator!$G$15),"—",ROUND(MAX((50*POWER(80,POWER(COS(PI()*MOD(Calculator!$B$33/Calculator!$F$15,1)),2)))/$C45,$C45/(50*POWER(80,POWER(COS(PI()*MOD(Calculator!$B$33/Calculator!$F$15,1)),2)))),2))</f>
        <v>2.06</v>
      </c>
      <c r="AS45" s="116" t="n">
        <f aca="false">IF(OR(Calculator!$E$16&lt;&gt;"YES",Calculator!$B$33&lt;Calculator!$G$16),"—",ROUND(MAX((50*POWER(80,POWER(COS(PI()*MOD(Calculator!$B$33/Calculator!$F$16,1)),2)))/$C45,$C45/(50*POWER(80,POWER(COS(PI()*MOD(Calculator!$B$33/Calculator!$F$16,1)),2)))),2))</f>
        <v>9.53</v>
      </c>
      <c r="AT45" s="116" t="n">
        <f aca="false">IF(OR(Calculator!$E$17&lt;&gt;"YES",Calculator!$B$33&lt;Calculator!$G$17),"—",ROUND(MAX((50*POWER(80,POWER(COS(PI()*MOD(Calculator!$B$33/Calculator!$F$17,1)),2)))/$C45,$C45/(50*POWER(80,POWER(COS(PI()*MOD(Calculator!$B$33/Calculator!$F$17,1)),2)))),2))</f>
        <v>2.82</v>
      </c>
      <c r="AU45" s="116" t="n">
        <f aca="false">IF(OR(Calculator!$E$18&lt;&gt;"YES",Calculator!$B$33&lt;Calculator!$G$18),"—",ROUND(MAX((50*POWER(80,POWER(COS(PI()*MOD(Calculator!$B$33/Calculator!$F$18,1)),2)))/$C45,$C45/(50*POWER(80,POWER(COS(PI()*MOD(Calculator!$B$33/Calculator!$F$18,1)),2)))),2))</f>
        <v>2.97</v>
      </c>
      <c r="AV45" s="116" t="n">
        <f aca="false">IF(OR(Calculator!$E$19&lt;&gt;"YES",Calculator!$B$33&lt;Calculator!$G$19),"—",ROUND(MAX((50*POWER(80,POWER(COS(PI()*MOD(Calculator!$B$33/Calculator!$F$19,1)),2)))/$C45,$C45/(50*POWER(80,POWER(COS(PI()*MOD(Calculator!$B$33/Calculator!$F$19,1)),2)))),2))</f>
        <v>5.04</v>
      </c>
      <c r="AW45" s="116" t="n">
        <f aca="false">IF(OR(Calculator!$E$20&lt;&gt;"YES",Calculator!$B$33&lt;Calculator!$G$20),"—",ROUND(MAX((50*POWER(80,POWER(COS(PI()*MOD(Calculator!$B$33/Calculator!$F$20,1)),2)))/$C45,$C45/(50*POWER(80,POWER(COS(PI()*MOD(Calculator!$B$33/Calculator!$F$20,1)),2)))),2))</f>
        <v>4.34</v>
      </c>
      <c r="AX45" s="116" t="n">
        <f aca="false">IF(OR(Calculator!$E$21&lt;&gt;"YES",Calculator!$B$33&lt;Calculator!$G$21),"—",ROUND(MAX((50*POWER(80,POWER(COS(PI()*MOD(Calculator!$B$33/Calculator!$F$21,1)),2)))/$C45,$C45/(50*POWER(80,POWER(COS(PI()*MOD(Calculator!$B$33/Calculator!$F$21,1)),2)))),2))</f>
        <v>1.8</v>
      </c>
      <c r="AY45" s="115" t="n">
        <f aca="false">IFERROR(ROUND((IF(ISNUMBER(AN45),AN45,0)+IF(ISNUMBER(AO45),AO45,0)+IF(ISNUMBER(AP45),AP45,0)+IF(ISNUMBER(AQ45),AQ45,0)+IF(ISNUMBER(AR45),AR45,0)+IF(ISNUMBER(AS45),AS45,0)+IF(ISNUMBER(AT45),AT45,0)+IF(ISNUMBER(AU45),AU45,0)+IF(ISNUMBER(AV45),AV45,0)+IF(ISNUMBER(AW45),AW45,0)+IF(ISNUMBER(AX45),AX45,0))/(IF(ISNUMBER(AN45),1,0)+IF(ISNUMBER(AO45),1,0)+IF(ISNUMBER(AP45),1,0)+IF(ISNUMBER(AQ45),1,0)+IF(ISNUMBER(AR45),1,0)+IF(ISNUMBER(AS45),1,0)+IF(ISNUMBER(AT45),1,0)+IF(ISNUMBER(AU45),1,0)+IF(ISNUMBER(AV45),1,0)+IF(ISNUMBER(AW45),1,0)+IF(ISNUMBER(AX45),1,0)),2),"")</f>
        <v>3.91</v>
      </c>
      <c r="AZ45" s="116" t="n">
        <f aca="false">IF(OR(Calculator!$E$11&lt;&gt;"YES",Calculator!$B$34&lt;Calculator!$G$11),"—",ROUND(MAX((50*POWER(80,POWER(COS(PI()*MOD(Calculator!$B$34/Calculator!$F$11,1)),2)))/$C45,$C45/(50*POWER(80,POWER(COS(PI()*MOD(Calculator!$B$34/Calculator!$F$11,1)),2)))),2))</f>
        <v>7.27</v>
      </c>
      <c r="BA45" s="116" t="n">
        <f aca="false">IF(OR(Calculator!$E$12&lt;&gt;"YES",Calculator!$B$34&lt;Calculator!$G$12),"—",ROUND(MAX((50*POWER(80,POWER(COS(PI()*MOD(Calculator!$B$34/Calculator!$F$12,1)),2)))/$C45,$C45/(50*POWER(80,POWER(COS(PI()*MOD(Calculator!$B$34/Calculator!$F$12,1)),2)))),2))</f>
        <v>1.57</v>
      </c>
      <c r="BB45" s="116" t="n">
        <f aca="false">IF(OR(Calculator!$E$13&lt;&gt;"YES",Calculator!$B$34&lt;Calculator!$G$13),"—",ROUND(MAX((50*POWER(80,POWER(COS(PI()*MOD(Calculator!$B$34/Calculator!$F$13,1)),2)))/$C45,$C45/(50*POWER(80,POWER(COS(PI()*MOD(Calculator!$B$34/Calculator!$F$13,1)),2)))),2))</f>
        <v>1.56</v>
      </c>
      <c r="BC45" s="116" t="n">
        <f aca="false">IF(OR(Calculator!$E$14&lt;&gt;"YES",Calculator!$B$34&lt;Calculator!$G$14),"—",ROUND(MAX((50*POWER(80,POWER(COS(PI()*MOD(Calculator!$B$34/Calculator!$F$14,1)),2)))/$C45,$C45/(50*POWER(80,POWER(COS(PI()*MOD(Calculator!$B$34/Calculator!$F$14,1)),2)))),2))</f>
        <v>4.08</v>
      </c>
      <c r="BD45" s="116" t="n">
        <f aca="false">IF(OR(Calculator!$E$15&lt;&gt;"YES",Calculator!$B$34&lt;Calculator!$G$15),"—",ROUND(MAX((50*POWER(80,POWER(COS(PI()*MOD(Calculator!$B$34/Calculator!$F$15,1)),2)))/$C45,$C45/(50*POWER(80,POWER(COS(PI()*MOD(Calculator!$B$34/Calculator!$F$15,1)),2)))),2))</f>
        <v>2.74</v>
      </c>
      <c r="BE45" s="116" t="n">
        <f aca="false">IF(OR(Calculator!$E$16&lt;&gt;"YES",Calculator!$B$34&lt;Calculator!$G$16),"—",ROUND(MAX((50*POWER(80,POWER(COS(PI()*MOD(Calculator!$B$34/Calculator!$F$16,1)),2)))/$C45,$C45/(50*POWER(80,POWER(COS(PI()*MOD(Calculator!$B$34/Calculator!$F$16,1)),2)))),2))</f>
        <v>7.48</v>
      </c>
      <c r="BF45" s="116" t="n">
        <f aca="false">IF(OR(Calculator!$E$17&lt;&gt;"YES",Calculator!$B$34&lt;Calculator!$G$17),"—",ROUND(MAX((50*POWER(80,POWER(COS(PI()*MOD(Calculator!$B$34/Calculator!$F$17,1)),2)))/$C45,$C45/(50*POWER(80,POWER(COS(PI()*MOD(Calculator!$B$34/Calculator!$F$17,1)),2)))),2))</f>
        <v>4.03</v>
      </c>
      <c r="BG45" s="116" t="n">
        <f aca="false">IF(OR(Calculator!$E$18&lt;&gt;"YES",Calculator!$B$34&lt;Calculator!$G$18),"—",ROUND(MAX((50*POWER(80,POWER(COS(PI()*MOD(Calculator!$B$34/Calculator!$F$18,1)),2)))/$C45,$C45/(50*POWER(80,POWER(COS(PI()*MOD(Calculator!$B$34/Calculator!$F$18,1)),2)))),2))</f>
        <v>4.41</v>
      </c>
      <c r="BH45" s="116" t="n">
        <f aca="false">IF(OR(Calculator!$E$19&lt;&gt;"YES",Calculator!$B$34&lt;Calculator!$G$19),"—",ROUND(MAX((50*POWER(80,POWER(COS(PI()*MOD(Calculator!$B$34/Calculator!$F$19,1)),2)))/$C45,$C45/(50*POWER(80,POWER(COS(PI()*MOD(Calculator!$B$34/Calculator!$F$19,1)),2)))),2))</f>
        <v>3.37</v>
      </c>
      <c r="BI45" s="116" t="n">
        <f aca="false">IF(OR(Calculator!$E$20&lt;&gt;"YES",Calculator!$B$34&lt;Calculator!$G$20),"—",ROUND(MAX((50*POWER(80,POWER(COS(PI()*MOD(Calculator!$B$34/Calculator!$F$20,1)),2)))/$C45,$C45/(50*POWER(80,POWER(COS(PI()*MOD(Calculator!$B$34/Calculator!$F$20,1)),2)))),2))</f>
        <v>8.14</v>
      </c>
      <c r="BJ45" s="116" t="n">
        <f aca="false">IF(OR(Calculator!$E$21&lt;&gt;"YES",Calculator!$B$34&lt;Calculator!$G$21),"—",ROUND(MAX((50*POWER(80,POWER(COS(PI()*MOD(Calculator!$B$34/Calculator!$F$21,1)),2)))/$C45,$C45/(50*POWER(80,POWER(COS(PI()*MOD(Calculator!$B$34/Calculator!$F$21,1)),2)))),2))</f>
        <v>5.05</v>
      </c>
      <c r="BK45" s="115" t="n">
        <f aca="false">IFERROR(ROUND((IF(ISNUMBER(AZ45),AZ45,0)+IF(ISNUMBER(BA45),BA45,0)+IF(ISNUMBER(BB45),BB45,0)+IF(ISNUMBER(BC45),BC45,0)+IF(ISNUMBER(BD45),BD45,0)+IF(ISNUMBER(BE45),BE45,0)+IF(ISNUMBER(BF45),BF45,0)+IF(ISNUMBER(BG45),BG45,0)+IF(ISNUMBER(BH45),BH45,0)+IF(ISNUMBER(BI45),BI45,0)+IF(ISNUMBER(BJ45),BJ45,0))/(IF(ISNUMBER(AZ45),1,0)+IF(ISNUMBER(BA45),1,0)+IF(ISNUMBER(BB45),1,0)+IF(ISNUMBER(BC45),1,0)+IF(ISNUMBER(BD45),1,0)+IF(ISNUMBER(BE45),1,0)+IF(ISNUMBER(BF45),1,0)+IF(ISNUMBER(BG45),1,0)+IF(ISNUMBER(BH45),1,0)+IF(ISNUMBER(BI45),1,0)+IF(ISNUMBER(BJ45),1,0)),2),"")</f>
        <v>4.52</v>
      </c>
    </row>
    <row r="46" customFormat="false" ht="15" hidden="false" customHeight="false" outlineLevel="0" collapsed="false">
      <c r="A46" s="117" t="s">
        <v>103</v>
      </c>
      <c r="B46" s="117" t="s">
        <v>93</v>
      </c>
      <c r="C46" s="118" t="n">
        <v>700</v>
      </c>
      <c r="D46" s="119" t="n">
        <f aca="false">IF(OR(Calculator!$E$11&lt;&gt;"YES",Calculator!$B$30&lt;Calculator!$G$11),"—",ROUND(MAX((50*POWER(80,POWER(COS(PI()*MOD(Calculator!$B$30/Calculator!$F$11,1)),2)))/$C46,$C46/(50*POWER(80,POWER(COS(PI()*MOD(Calculator!$B$30/Calculator!$F$11,1)),2)))),2))</f>
        <v>7.93</v>
      </c>
      <c r="E46" s="119" t="n">
        <f aca="false">IF(OR(Calculator!$E$12&lt;&gt;"YES",Calculator!$B$30&lt;Calculator!$G$12),"—",ROUND(MAX((50*POWER(80,POWER(COS(PI()*MOD(Calculator!$B$30/Calculator!$F$12,1)),2)))/$C46,$C46/(50*POWER(80,POWER(COS(PI()*MOD(Calculator!$B$30/Calculator!$F$12,1)),2)))),2))</f>
        <v>1.51</v>
      </c>
      <c r="F46" s="119" t="n">
        <f aca="false">IF(OR(Calculator!$E$13&lt;&gt;"YES",Calculator!$B$30&lt;Calculator!$G$13),"—",ROUND(MAX((50*POWER(80,POWER(COS(PI()*MOD(Calculator!$B$30/Calculator!$F$13,1)),2)))/$C46,$C46/(50*POWER(80,POWER(COS(PI()*MOD(Calculator!$B$30/Calculator!$F$13,1)),2)))),2))</f>
        <v>1.77</v>
      </c>
      <c r="G46" s="119" t="n">
        <f aca="false">IF(OR(Calculator!$E$14&lt;&gt;"YES",Calculator!$B$30&lt;Calculator!$G$14),"—",ROUND(MAX((50*POWER(80,POWER(COS(PI()*MOD(Calculator!$B$30/Calculator!$F$14,1)),2)))/$C46,$C46/(50*POWER(80,POWER(COS(PI()*MOD(Calculator!$B$30/Calculator!$F$14,1)),2)))),2))</f>
        <v>4.14</v>
      </c>
      <c r="H46" s="119" t="n">
        <f aca="false">IF(OR(Calculator!$E$15&lt;&gt;"YES",Calculator!$B$30&lt;Calculator!$G$15),"—",ROUND(MAX((50*POWER(80,POWER(COS(PI()*MOD(Calculator!$B$30/Calculator!$F$15,1)),2)))/$C46,$C46/(50*POWER(80,POWER(COS(PI()*MOD(Calculator!$B$30/Calculator!$F$15,1)),2)))),2))</f>
        <v>2.69</v>
      </c>
      <c r="I46" s="119" t="n">
        <f aca="false">IF(OR(Calculator!$E$16&lt;&gt;"YES",Calculator!$B$30&lt;Calculator!$G$16),"—",ROUND(MAX((50*POWER(80,POWER(COS(PI()*MOD(Calculator!$B$30/Calculator!$F$16,1)),2)))/$C46,$C46/(50*POWER(80,POWER(COS(PI()*MOD(Calculator!$B$30/Calculator!$F$16,1)),2)))),2))</f>
        <v>8.79</v>
      </c>
      <c r="J46" s="119" t="n">
        <f aca="false">IF(OR(Calculator!$E$17&lt;&gt;"YES",Calculator!$B$30&lt;Calculator!$G$17),"—",ROUND(MAX((50*POWER(80,POWER(COS(PI()*MOD(Calculator!$B$30/Calculator!$F$17,1)),2)))/$C46,$C46/(50*POWER(80,POWER(COS(PI()*MOD(Calculator!$B$30/Calculator!$F$17,1)),2)))),2))</f>
        <v>3.36</v>
      </c>
      <c r="K46" s="119" t="n">
        <f aca="false">IF(OR(Calculator!$E$18&lt;&gt;"YES",Calculator!$B$30&lt;Calculator!$G$18),"—",ROUND(MAX((50*POWER(80,POWER(COS(PI()*MOD(Calculator!$B$30/Calculator!$F$18,1)),2)))/$C46,$C46/(50*POWER(80,POWER(COS(PI()*MOD(Calculator!$B$30/Calculator!$F$18,1)),2)))),2))</f>
        <v>3.65</v>
      </c>
      <c r="L46" s="119" t="n">
        <f aca="false">IF(OR(Calculator!$E$19&lt;&gt;"YES",Calculator!$B$30&lt;Calculator!$G$19),"—",ROUND(MAX((50*POWER(80,POWER(COS(PI()*MOD(Calculator!$B$30/Calculator!$F$19,1)),2)))/$C46,$C46/(50*POWER(80,POWER(COS(PI()*MOD(Calculator!$B$30/Calculator!$F$19,1)),2)))),2))</f>
        <v>3.66</v>
      </c>
      <c r="M46" s="119" t="n">
        <f aca="false">IF(OR(Calculator!$E$20&lt;&gt;"YES",Calculator!$B$30&lt;Calculator!$G$20),"—",ROUND(MAX((50*POWER(80,POWER(COS(PI()*MOD(Calculator!$B$30/Calculator!$F$20,1)),2)))/$C46,$C46/(50*POWER(80,POWER(COS(PI()*MOD(Calculator!$B$30/Calculator!$F$20,1)),2)))),2))</f>
        <v>7.28</v>
      </c>
      <c r="N46" s="119" t="n">
        <f aca="false">IF(OR(Calculator!$E$21&lt;&gt;"YES",Calculator!$B$30&lt;Calculator!$G$21),"—",ROUND(MAX((50*POWER(80,POWER(COS(PI()*MOD(Calculator!$B$30/Calculator!$F$21,1)),2)))/$C46,$C46/(50*POWER(80,POWER(COS(PI()*MOD(Calculator!$B$30/Calculator!$F$21,1)),2)))),2))</f>
        <v>3.62</v>
      </c>
      <c r="O46" s="114" t="n">
        <f aca="false">IFERROR(ROUND((IF(ISNUMBER(D46),D46,0)+IF(ISNUMBER(E46),E46,0)+IF(ISNUMBER(F46),F46,0)+IF(ISNUMBER(G46),G46,0)+IF(ISNUMBER(H46),H46,0)+IF(ISNUMBER(I46),I46,0)+IF(ISNUMBER(J46),J46,0)+IF(ISNUMBER(K46),K46,0)+IF(ISNUMBER(L46),L46,0)+IF(ISNUMBER(M46),M46,0)+IF(ISNUMBER(N46),N46,0))/(IF(ISNUMBER(D46),1,0)+IF(ISNUMBER(E46),1,0)+IF(ISNUMBER(F46),1,0)+IF(ISNUMBER(G46),1,0)+IF(ISNUMBER(H46),1,0)+IF(ISNUMBER(I46),1,0)+IF(ISNUMBER(J46),1,0)+IF(ISNUMBER(K46),1,0)+IF(ISNUMBER(L46),1,0)+IF(ISNUMBER(M46),1,0)+IF(ISNUMBER(N46),1,0)),2),"")</f>
        <v>4.4</v>
      </c>
      <c r="P46" s="119" t="n">
        <f aca="false">IF(OR(Calculator!$E$11&lt;&gt;"YES",Calculator!$B$31&lt;Calculator!$G$11),"—",ROUND(MAX((50*POWER(80,POWER(COS(PI()*MOD(Calculator!$B$31/Calculator!$F$11,1)),2)))/$C46,$C46/(50*POWER(80,POWER(COS(PI()*MOD(Calculator!$B$31/Calculator!$F$11,1)),2)))),2))</f>
        <v>8.02</v>
      </c>
      <c r="Q46" s="119" t="n">
        <f aca="false">IF(OR(Calculator!$E$12&lt;&gt;"YES",Calculator!$B$31&lt;Calculator!$G$12),"—",ROUND(MAX((50*POWER(80,POWER(COS(PI()*MOD(Calculator!$B$31/Calculator!$F$12,1)),2)))/$C46,$C46/(50*POWER(80,POWER(COS(PI()*MOD(Calculator!$B$31/Calculator!$F$12,1)),2)))),2))</f>
        <v>1.56</v>
      </c>
      <c r="R46" s="119" t="n">
        <f aca="false">IF(OR(Calculator!$E$13&lt;&gt;"YES",Calculator!$B$31&lt;Calculator!$G$13),"—",ROUND(MAX((50*POWER(80,POWER(COS(PI()*MOD(Calculator!$B$31/Calculator!$F$13,1)),2)))/$C46,$C46/(50*POWER(80,POWER(COS(PI()*MOD(Calculator!$B$31/Calculator!$F$13,1)),2)))),2))</f>
        <v>1.86</v>
      </c>
      <c r="S46" s="119" t="n">
        <f aca="false">IF(OR(Calculator!$E$14&lt;&gt;"YES",Calculator!$B$31&lt;Calculator!$G$14),"—",ROUND(MAX((50*POWER(80,POWER(COS(PI()*MOD(Calculator!$B$31/Calculator!$F$14,1)),2)))/$C46,$C46/(50*POWER(80,POWER(COS(PI()*MOD(Calculator!$B$31/Calculator!$F$14,1)),2)))),2))</f>
        <v>3.89</v>
      </c>
      <c r="T46" s="119" t="n">
        <f aca="false">IF(OR(Calculator!$E$15&lt;&gt;"YES",Calculator!$B$31&lt;Calculator!$G$15),"—",ROUND(MAX((50*POWER(80,POWER(COS(PI()*MOD(Calculator!$B$31/Calculator!$F$15,1)),2)))/$C46,$C46/(50*POWER(80,POWER(COS(PI()*MOD(Calculator!$B$31/Calculator!$F$15,1)),2)))),2))</f>
        <v>2.45</v>
      </c>
      <c r="U46" s="119" t="n">
        <f aca="false">IF(OR(Calculator!$E$16&lt;&gt;"YES",Calculator!$B$31&lt;Calculator!$G$16),"—",ROUND(MAX((50*POWER(80,POWER(COS(PI()*MOD(Calculator!$B$31/Calculator!$F$16,1)),2)))/$C46,$C46/(50*POWER(80,POWER(COS(PI()*MOD(Calculator!$B$31/Calculator!$F$16,1)),2)))),2))</f>
        <v>9.53</v>
      </c>
      <c r="V46" s="119" t="n">
        <f aca="false">IF(OR(Calculator!$E$17&lt;&gt;"YES",Calculator!$B$31&lt;Calculator!$G$17),"—",ROUND(MAX((50*POWER(80,POWER(COS(PI()*MOD(Calculator!$B$31/Calculator!$F$17,1)),2)))/$C46,$C46/(50*POWER(80,POWER(COS(PI()*MOD(Calculator!$B$31/Calculator!$F$17,1)),2)))),2))</f>
        <v>2.98</v>
      </c>
      <c r="W46" s="119" t="n">
        <f aca="false">IF(OR(Calculator!$E$18&lt;&gt;"YES",Calculator!$B$31&lt;Calculator!$G$18),"—",ROUND(MAX((50*POWER(80,POWER(COS(PI()*MOD(Calculator!$B$31/Calculator!$F$18,1)),2)))/$C46,$C46/(50*POWER(80,POWER(COS(PI()*MOD(Calculator!$B$31/Calculator!$F$18,1)),2)))),2))</f>
        <v>3.2</v>
      </c>
      <c r="X46" s="119" t="n">
        <f aca="false">IF(OR(Calculator!$E$19&lt;&gt;"YES",Calculator!$B$31&lt;Calculator!$G$19),"—",ROUND(MAX((50*POWER(80,POWER(COS(PI()*MOD(Calculator!$B$31/Calculator!$F$19,1)),2)))/$C46,$C46/(50*POWER(80,POWER(COS(PI()*MOD(Calculator!$B$31/Calculator!$F$19,1)),2)))),2))</f>
        <v>4.19</v>
      </c>
      <c r="Y46" s="119" t="n">
        <f aca="false">IF(OR(Calculator!$E$20&lt;&gt;"YES",Calculator!$B$31&lt;Calculator!$G$20),"—",ROUND(MAX((50*POWER(80,POWER(COS(PI()*MOD(Calculator!$B$31/Calculator!$F$20,1)),2)))/$C46,$C46/(50*POWER(80,POWER(COS(PI()*MOD(Calculator!$B$31/Calculator!$F$20,1)),2)))),2))</f>
        <v>5.9</v>
      </c>
      <c r="Z46" s="119" t="n">
        <f aca="false">IF(OR(Calculator!$E$21&lt;&gt;"YES",Calculator!$B$31&lt;Calculator!$G$21),"—",ROUND(MAX((50*POWER(80,POWER(COS(PI()*MOD(Calculator!$B$31/Calculator!$F$21,1)),2)))/$C46,$C46/(50*POWER(80,POWER(COS(PI()*MOD(Calculator!$B$31/Calculator!$F$21,1)),2)))),2))</f>
        <v>2.55</v>
      </c>
      <c r="AA46" s="114" t="n">
        <f aca="false">IFERROR(ROUND((IF(ISNUMBER(P46),P46,0)+IF(ISNUMBER(Q46),Q46,0)+IF(ISNUMBER(R46),R46,0)+IF(ISNUMBER(S46),S46,0)+IF(ISNUMBER(T46),T46,0)+IF(ISNUMBER(U46),U46,0)+IF(ISNUMBER(V46),V46,0)+IF(ISNUMBER(W46),W46,0)+IF(ISNUMBER(X46),X46,0)+IF(ISNUMBER(Y46),Y46,0)+IF(ISNUMBER(Z46),Z46,0))/(IF(ISNUMBER(P46),1,0)+IF(ISNUMBER(Q46),1,0)+IF(ISNUMBER(R46),1,0)+IF(ISNUMBER(S46),1,0)+IF(ISNUMBER(T46),1,0)+IF(ISNUMBER(U46),1,0)+IF(ISNUMBER(V46),1,0)+IF(ISNUMBER(W46),1,0)+IF(ISNUMBER(X46),1,0)+IF(ISNUMBER(Y46),1,0)+IF(ISNUMBER(Z46),1,0)),2),"")</f>
        <v>4.19</v>
      </c>
      <c r="AB46" s="119" t="n">
        <f aca="false">IF(OR(Calculator!$E$11&lt;&gt;"YES",Calculator!$B$32&lt;Calculator!$G$11),"—",ROUND(MAX((50*POWER(80,POWER(COS(PI()*MOD(Calculator!$B$32/Calculator!$F$11,1)),2)))/$C46,$C46/(50*POWER(80,POWER(COS(PI()*MOD(Calculator!$B$32/Calculator!$F$11,1)),2)))),2))</f>
        <v>10.1</v>
      </c>
      <c r="AC46" s="119" t="n">
        <f aca="false">IF(OR(Calculator!$E$12&lt;&gt;"YES",Calculator!$B$32&lt;Calculator!$G$12),"—",ROUND(MAX((50*POWER(80,POWER(COS(PI()*MOD(Calculator!$B$32/Calculator!$F$12,1)),2)))/$C46,$C46/(50*POWER(80,POWER(COS(PI()*MOD(Calculator!$B$32/Calculator!$F$12,1)),2)))),2))</f>
        <v>2.87</v>
      </c>
      <c r="AD46" s="119" t="n">
        <f aca="false">IF(OR(Calculator!$E$13&lt;&gt;"YES",Calculator!$B$32&lt;Calculator!$G$13),"—",ROUND(MAX((50*POWER(80,POWER(COS(PI()*MOD(Calculator!$B$32/Calculator!$F$13,1)),2)))/$C46,$C46/(50*POWER(80,POWER(COS(PI()*MOD(Calculator!$B$32/Calculator!$F$13,1)),2)))),2))</f>
        <v>5.15</v>
      </c>
      <c r="AE46" s="119" t="n">
        <f aca="false">IF(OR(Calculator!$E$14&lt;&gt;"YES",Calculator!$B$32&lt;Calculator!$G$14),"—",ROUND(MAX((50*POWER(80,POWER(COS(PI()*MOD(Calculator!$B$32/Calculator!$F$14,1)),2)))/$C46,$C46/(50*POWER(80,POWER(COS(PI()*MOD(Calculator!$B$32/Calculator!$F$14,1)),2)))),2))</f>
        <v>1.06</v>
      </c>
      <c r="AF46" s="119" t="n">
        <f aca="false">IF(OR(Calculator!$E$15&lt;&gt;"YES",Calculator!$B$32&lt;Calculator!$G$15),"—",ROUND(MAX((50*POWER(80,POWER(COS(PI()*MOD(Calculator!$B$32/Calculator!$F$15,1)),2)))/$C46,$C46/(50*POWER(80,POWER(COS(PI()*MOD(Calculator!$B$32/Calculator!$F$15,1)),2)))),2))</f>
        <v>2.77</v>
      </c>
      <c r="AG46" s="119" t="n">
        <f aca="false">IF(OR(Calculator!$E$16&lt;&gt;"YES",Calculator!$B$32&lt;Calculator!$G$16),"—",ROUND(MAX((50*POWER(80,POWER(COS(PI()*MOD(Calculator!$B$32/Calculator!$F$16,1)),2)))/$C46,$C46/(50*POWER(80,POWER(COS(PI()*MOD(Calculator!$B$32/Calculator!$F$16,1)),2)))),2))</f>
        <v>8.23</v>
      </c>
      <c r="AH46" s="119" t="n">
        <f aca="false">IF(OR(Calculator!$E$17&lt;&gt;"YES",Calculator!$B$32&lt;Calculator!$G$17),"—",ROUND(MAX((50*POWER(80,POWER(COS(PI()*MOD(Calculator!$B$32/Calculator!$F$17,1)),2)))/$C46,$C46/(50*POWER(80,POWER(COS(PI()*MOD(Calculator!$B$32/Calculator!$F$17,1)),2)))),2))</f>
        <v>8.69</v>
      </c>
      <c r="AI46" s="119" t="n">
        <f aca="false">IF(OR(Calculator!$E$18&lt;&gt;"YES",Calculator!$B$32&lt;Calculator!$G$18),"—",ROUND(MAX((50*POWER(80,POWER(COS(PI()*MOD(Calculator!$B$32/Calculator!$F$18,1)),2)))/$C46,$C46/(50*POWER(80,POWER(COS(PI()*MOD(Calculator!$B$32/Calculator!$F$18,1)),2)))),2))</f>
        <v>11.46</v>
      </c>
      <c r="AJ46" s="119" t="n">
        <f aca="false">IF(OR(Calculator!$E$19&lt;&gt;"YES",Calculator!$B$32&lt;Calculator!$G$19),"—",ROUND(MAX((50*POWER(80,POWER(COS(PI()*MOD(Calculator!$B$32/Calculator!$F$19,1)),2)))/$C46,$C46/(50*POWER(80,POWER(COS(PI()*MOD(Calculator!$B$32/Calculator!$F$19,1)),2)))),2))</f>
        <v>2.42</v>
      </c>
      <c r="AK46" s="119" t="n">
        <f aca="false">IF(OR(Calculator!$E$20&lt;&gt;"YES",Calculator!$B$32&lt;Calculator!$G$20),"—",ROUND(MAX((50*POWER(80,POWER(COS(PI()*MOD(Calculator!$B$32/Calculator!$F$20,1)),2)))/$C46,$C46/(50*POWER(80,POWER(COS(PI()*MOD(Calculator!$B$32/Calculator!$F$20,1)),2)))),2))</f>
        <v>4.59</v>
      </c>
      <c r="AL46" s="119" t="n">
        <f aca="false">IF(OR(Calculator!$E$21&lt;&gt;"YES",Calculator!$B$32&lt;Calculator!$G$21),"—",ROUND(MAX((50*POWER(80,POWER(COS(PI()*MOD(Calculator!$B$32/Calculator!$F$21,1)),2)))/$C46,$C46/(50*POWER(80,POWER(COS(PI()*MOD(Calculator!$B$32/Calculator!$F$21,1)),2)))),2))</f>
        <v>3.98</v>
      </c>
      <c r="AM46" s="115" t="n">
        <f aca="false">IFERROR(ROUND((IF(ISNUMBER(AB46),AB46,0)+IF(ISNUMBER(AC46),AC46,0)+IF(ISNUMBER(AD46),AD46,0)+IF(ISNUMBER(AE46),AE46,0)+IF(ISNUMBER(AF46),AF46,0)+IF(ISNUMBER(AG46),AG46,0)+IF(ISNUMBER(AH46),AH46,0)+IF(ISNUMBER(AI46),AI46,0)+IF(ISNUMBER(AJ46),AJ46,0)+IF(ISNUMBER(AK46),AK46,0)+IF(ISNUMBER(AL46),AL46,0))/(IF(ISNUMBER(AB46),1,0)+IF(ISNUMBER(AC46),1,0)+IF(ISNUMBER(AD46),1,0)+IF(ISNUMBER(AE46),1,0)+IF(ISNUMBER(AF46),1,0)+IF(ISNUMBER(AG46),1,0)+IF(ISNUMBER(AH46),1,0)+IF(ISNUMBER(AI46),1,0)+IF(ISNUMBER(AJ46),1,0)+IF(ISNUMBER(AK46),1,0)+IF(ISNUMBER(AL46),1,0)),2),"")</f>
        <v>5.57</v>
      </c>
      <c r="AN46" s="120" t="n">
        <f aca="false">IF(OR(Calculator!$E$11&lt;&gt;"YES",Calculator!$B$33&lt;Calculator!$G$11),"—",ROUND(MAX((50*POWER(80,POWER(COS(PI()*MOD(Calculator!$B$33/Calculator!$F$11,1)),2)))/$C46,$C46/(50*POWER(80,POWER(COS(PI()*MOD(Calculator!$B$33/Calculator!$F$11,1)),2)))),2))</f>
        <v>8.12</v>
      </c>
      <c r="AO46" s="120" t="n">
        <f aca="false">IF(OR(Calculator!$E$12&lt;&gt;"YES",Calculator!$B$33&lt;Calculator!$G$12),"—",ROUND(MAX((50*POWER(80,POWER(COS(PI()*MOD(Calculator!$B$33/Calculator!$F$12,1)),2)))/$C46,$C46/(50*POWER(80,POWER(COS(PI()*MOD(Calculator!$B$33/Calculator!$F$12,1)),2)))),2))</f>
        <v>1.61</v>
      </c>
      <c r="AP46" s="120" t="n">
        <f aca="false">IF(OR(Calculator!$E$13&lt;&gt;"YES",Calculator!$B$33&lt;Calculator!$G$13),"—",ROUND(MAX((50*POWER(80,POWER(COS(PI()*MOD(Calculator!$B$33/Calculator!$F$13,1)),2)))/$C46,$C46/(50*POWER(80,POWER(COS(PI()*MOD(Calculator!$B$33/Calculator!$F$13,1)),2)))),2))</f>
        <v>1.96</v>
      </c>
      <c r="AQ46" s="120" t="n">
        <f aca="false">IF(OR(Calculator!$E$14&lt;&gt;"YES",Calculator!$B$33&lt;Calculator!$G$14),"—",ROUND(MAX((50*POWER(80,POWER(COS(PI()*MOD(Calculator!$B$33/Calculator!$F$14,1)),2)))/$C46,$C46/(50*POWER(80,POWER(COS(PI()*MOD(Calculator!$B$33/Calculator!$F$14,1)),2)))),2))</f>
        <v>3.65</v>
      </c>
      <c r="AR46" s="120" t="n">
        <f aca="false">IF(OR(Calculator!$E$15&lt;&gt;"YES",Calculator!$B$33&lt;Calculator!$G$15),"—",ROUND(MAX((50*POWER(80,POWER(COS(PI()*MOD(Calculator!$B$33/Calculator!$F$15,1)),2)))/$C46,$C46/(50*POWER(80,POWER(COS(PI()*MOD(Calculator!$B$33/Calculator!$F$15,1)),2)))),2))</f>
        <v>2.22</v>
      </c>
      <c r="AS46" s="120" t="n">
        <f aca="false">IF(OR(Calculator!$E$16&lt;&gt;"YES",Calculator!$B$33&lt;Calculator!$G$16),"—",ROUND(MAX((50*POWER(80,POWER(COS(PI()*MOD(Calculator!$B$33/Calculator!$F$16,1)),2)))/$C46,$C46/(50*POWER(80,POWER(COS(PI()*MOD(Calculator!$B$33/Calculator!$F$16,1)),2)))),2))</f>
        <v>10.27</v>
      </c>
      <c r="AT46" s="120" t="n">
        <f aca="false">IF(OR(Calculator!$E$17&lt;&gt;"YES",Calculator!$B$33&lt;Calculator!$G$17),"—",ROUND(MAX((50*POWER(80,POWER(COS(PI()*MOD(Calculator!$B$33/Calculator!$F$17,1)),2)))/$C46,$C46/(50*POWER(80,POWER(COS(PI()*MOD(Calculator!$B$33/Calculator!$F$17,1)),2)))),2))</f>
        <v>2.62</v>
      </c>
      <c r="AU46" s="120" t="n">
        <f aca="false">IF(OR(Calculator!$E$18&lt;&gt;"YES",Calculator!$B$33&lt;Calculator!$G$18),"—",ROUND(MAX((50*POWER(80,POWER(COS(PI()*MOD(Calculator!$B$33/Calculator!$F$18,1)),2)))/$C46,$C46/(50*POWER(80,POWER(COS(PI()*MOD(Calculator!$B$33/Calculator!$F$18,1)),2)))),2))</f>
        <v>2.76</v>
      </c>
      <c r="AV46" s="120" t="n">
        <f aca="false">IF(OR(Calculator!$E$19&lt;&gt;"YES",Calculator!$B$33&lt;Calculator!$G$19),"—",ROUND(MAX((50*POWER(80,POWER(COS(PI()*MOD(Calculator!$B$33/Calculator!$F$19,1)),2)))/$C46,$C46/(50*POWER(80,POWER(COS(PI()*MOD(Calculator!$B$33/Calculator!$F$19,1)),2)))),2))</f>
        <v>4.68</v>
      </c>
      <c r="AW46" s="120" t="n">
        <f aca="false">IF(OR(Calculator!$E$20&lt;&gt;"YES",Calculator!$B$33&lt;Calculator!$G$20),"—",ROUND(MAX((50*POWER(80,POWER(COS(PI()*MOD(Calculator!$B$33/Calculator!$F$20,1)),2)))/$C46,$C46/(50*POWER(80,POWER(COS(PI()*MOD(Calculator!$B$33/Calculator!$F$20,1)),2)))),2))</f>
        <v>4.68</v>
      </c>
      <c r="AX46" s="120" t="n">
        <f aca="false">IF(OR(Calculator!$E$21&lt;&gt;"YES",Calculator!$B$33&lt;Calculator!$G$21),"—",ROUND(MAX((50*POWER(80,POWER(COS(PI()*MOD(Calculator!$B$33/Calculator!$F$21,1)),2)))/$C46,$C46/(50*POWER(80,POWER(COS(PI()*MOD(Calculator!$B$33/Calculator!$F$21,1)),2)))),2))</f>
        <v>1.67</v>
      </c>
      <c r="AY46" s="115" t="n">
        <f aca="false">IFERROR(ROUND((IF(ISNUMBER(AN46),AN46,0)+IF(ISNUMBER(AO46),AO46,0)+IF(ISNUMBER(AP46),AP46,0)+IF(ISNUMBER(AQ46),AQ46,0)+IF(ISNUMBER(AR46),AR46,0)+IF(ISNUMBER(AS46),AS46,0)+IF(ISNUMBER(AT46),AT46,0)+IF(ISNUMBER(AU46),AU46,0)+IF(ISNUMBER(AV46),AV46,0)+IF(ISNUMBER(AW46),AW46,0)+IF(ISNUMBER(AX46),AX46,0))/(IF(ISNUMBER(AN46),1,0)+IF(ISNUMBER(AO46),1,0)+IF(ISNUMBER(AP46),1,0)+IF(ISNUMBER(AQ46),1,0)+IF(ISNUMBER(AR46),1,0)+IF(ISNUMBER(AS46),1,0)+IF(ISNUMBER(AT46),1,0)+IF(ISNUMBER(AU46),1,0)+IF(ISNUMBER(AV46),1,0)+IF(ISNUMBER(AW46),1,0)+IF(ISNUMBER(AX46),1,0)),2),"")</f>
        <v>4.02</v>
      </c>
      <c r="AZ46" s="120" t="n">
        <f aca="false">IF(OR(Calculator!$E$11&lt;&gt;"YES",Calculator!$B$34&lt;Calculator!$G$11),"—",ROUND(MAX((50*POWER(80,POWER(COS(PI()*MOD(Calculator!$B$34/Calculator!$F$11,1)),2)))/$C46,$C46/(50*POWER(80,POWER(COS(PI()*MOD(Calculator!$B$34/Calculator!$F$11,1)),2)))),2))</f>
        <v>7.83</v>
      </c>
      <c r="BA46" s="120" t="n">
        <f aca="false">IF(OR(Calculator!$E$12&lt;&gt;"YES",Calculator!$B$34&lt;Calculator!$G$12),"—",ROUND(MAX((50*POWER(80,POWER(COS(PI()*MOD(Calculator!$B$34/Calculator!$F$12,1)),2)))/$C46,$C46/(50*POWER(80,POWER(COS(PI()*MOD(Calculator!$B$34/Calculator!$F$12,1)),2)))),2))</f>
        <v>1.46</v>
      </c>
      <c r="BB46" s="120" t="n">
        <f aca="false">IF(OR(Calculator!$E$13&lt;&gt;"YES",Calculator!$B$34&lt;Calculator!$G$13),"—",ROUND(MAX((50*POWER(80,POWER(COS(PI()*MOD(Calculator!$B$34/Calculator!$F$13,1)),2)))/$C46,$C46/(50*POWER(80,POWER(COS(PI()*MOD(Calculator!$B$34/Calculator!$F$13,1)),2)))),2))</f>
        <v>1.68</v>
      </c>
      <c r="BC46" s="120" t="n">
        <f aca="false">IF(OR(Calculator!$E$14&lt;&gt;"YES",Calculator!$B$34&lt;Calculator!$G$14),"—",ROUND(MAX((50*POWER(80,POWER(COS(PI()*MOD(Calculator!$B$34/Calculator!$F$14,1)),2)))/$C46,$C46/(50*POWER(80,POWER(COS(PI()*MOD(Calculator!$B$34/Calculator!$F$14,1)),2)))),2))</f>
        <v>4.4</v>
      </c>
      <c r="BD46" s="120" t="n">
        <f aca="false">IF(OR(Calculator!$E$15&lt;&gt;"YES",Calculator!$B$34&lt;Calculator!$G$15),"—",ROUND(MAX((50*POWER(80,POWER(COS(PI()*MOD(Calculator!$B$34/Calculator!$F$15,1)),2)))/$C46,$C46/(50*POWER(80,POWER(COS(PI()*MOD(Calculator!$B$34/Calculator!$F$15,1)),2)))),2))</f>
        <v>2.96</v>
      </c>
      <c r="BE46" s="120" t="n">
        <f aca="false">IF(OR(Calculator!$E$16&lt;&gt;"YES",Calculator!$B$34&lt;Calculator!$G$16),"—",ROUND(MAX((50*POWER(80,POWER(COS(PI()*MOD(Calculator!$B$34/Calculator!$F$16,1)),2)))/$C46,$C46/(50*POWER(80,POWER(COS(PI()*MOD(Calculator!$B$34/Calculator!$F$16,1)),2)))),2))</f>
        <v>8.05</v>
      </c>
      <c r="BF46" s="120" t="n">
        <f aca="false">IF(OR(Calculator!$E$17&lt;&gt;"YES",Calculator!$B$34&lt;Calculator!$G$17),"—",ROUND(MAX((50*POWER(80,POWER(COS(PI()*MOD(Calculator!$B$34/Calculator!$F$17,1)),2)))/$C46,$C46/(50*POWER(80,POWER(COS(PI()*MOD(Calculator!$B$34/Calculator!$F$17,1)),2)))),2))</f>
        <v>3.74</v>
      </c>
      <c r="BG46" s="120" t="n">
        <f aca="false">IF(OR(Calculator!$E$18&lt;&gt;"YES",Calculator!$B$34&lt;Calculator!$G$18),"—",ROUND(MAX((50*POWER(80,POWER(COS(PI()*MOD(Calculator!$B$34/Calculator!$F$18,1)),2)))/$C46,$C46/(50*POWER(80,POWER(COS(PI()*MOD(Calculator!$B$34/Calculator!$F$18,1)),2)))),2))</f>
        <v>4.1</v>
      </c>
      <c r="BH46" s="120" t="n">
        <f aca="false">IF(OR(Calculator!$E$19&lt;&gt;"YES",Calculator!$B$34&lt;Calculator!$G$19),"—",ROUND(MAX((50*POWER(80,POWER(COS(PI()*MOD(Calculator!$B$34/Calculator!$F$19,1)),2)))/$C46,$C46/(50*POWER(80,POWER(COS(PI()*MOD(Calculator!$B$34/Calculator!$F$19,1)),2)))),2))</f>
        <v>3.13</v>
      </c>
      <c r="BI46" s="120" t="n">
        <f aca="false">IF(OR(Calculator!$E$20&lt;&gt;"YES",Calculator!$B$34&lt;Calculator!$G$20),"—",ROUND(MAX((50*POWER(80,POWER(COS(PI()*MOD(Calculator!$B$34/Calculator!$F$20,1)),2)))/$C46,$C46/(50*POWER(80,POWER(COS(PI()*MOD(Calculator!$B$34/Calculator!$F$20,1)),2)))),2))</f>
        <v>8.76</v>
      </c>
      <c r="BJ46" s="120" t="n">
        <f aca="false">IF(OR(Calculator!$E$21&lt;&gt;"YES",Calculator!$B$34&lt;Calculator!$G$21),"—",ROUND(MAX((50*POWER(80,POWER(COS(PI()*MOD(Calculator!$B$34/Calculator!$F$21,1)),2)))/$C46,$C46/(50*POWER(80,POWER(COS(PI()*MOD(Calculator!$B$34/Calculator!$F$21,1)),2)))),2))</f>
        <v>4.69</v>
      </c>
      <c r="BK46" s="115" t="n">
        <f aca="false">IFERROR(ROUND((IF(ISNUMBER(AZ46),AZ46,0)+IF(ISNUMBER(BA46),BA46,0)+IF(ISNUMBER(BB46),BB46,0)+IF(ISNUMBER(BC46),BC46,0)+IF(ISNUMBER(BD46),BD46,0)+IF(ISNUMBER(BE46),BE46,0)+IF(ISNUMBER(BF46),BF46,0)+IF(ISNUMBER(BG46),BG46,0)+IF(ISNUMBER(BH46),BH46,0)+IF(ISNUMBER(BI46),BI46,0)+IF(ISNUMBER(BJ46),BJ46,0))/(IF(ISNUMBER(AZ46),1,0)+IF(ISNUMBER(BA46),1,0)+IF(ISNUMBER(BB46),1,0)+IF(ISNUMBER(BC46),1,0)+IF(ISNUMBER(BD46),1,0)+IF(ISNUMBER(BE46),1,0)+IF(ISNUMBER(BF46),1,0)+IF(ISNUMBER(BG46),1,0)+IF(ISNUMBER(BH46),1,0)+IF(ISNUMBER(BI46),1,0)+IF(ISNUMBER(BJ46),1,0)),2),"")</f>
        <v>4.62</v>
      </c>
    </row>
    <row r="47" customFormat="false" ht="15" hidden="false" customHeight="false" outlineLevel="0" collapsed="false">
      <c r="A47" s="87" t="s">
        <v>104</v>
      </c>
      <c r="B47" s="87" t="s">
        <v>93</v>
      </c>
      <c r="C47" s="90" t="n">
        <v>750</v>
      </c>
      <c r="D47" s="91" t="n">
        <f aca="false">IF(OR(Calculator!$E$11&lt;&gt;"YES",Calculator!$B$30&lt;Calculator!$G$11),"—",ROUND(MAX((50*POWER(80,POWER(COS(PI()*MOD(Calculator!$B$30/Calculator!$F$11,1)),2)))/$C47,$C47/(50*POWER(80,POWER(COS(PI()*MOD(Calculator!$B$30/Calculator!$F$11,1)),2)))),2))</f>
        <v>8.49</v>
      </c>
      <c r="E47" s="91" t="n">
        <f aca="false">IF(OR(Calculator!$E$12&lt;&gt;"YES",Calculator!$B$30&lt;Calculator!$G$12),"—",ROUND(MAX((50*POWER(80,POWER(COS(PI()*MOD(Calculator!$B$30/Calculator!$F$12,1)),2)))/$C47,$C47/(50*POWER(80,POWER(COS(PI()*MOD(Calculator!$B$30/Calculator!$F$12,1)),2)))),2))</f>
        <v>1.41</v>
      </c>
      <c r="F47" s="91" t="n">
        <f aca="false">IF(OR(Calculator!$E$13&lt;&gt;"YES",Calculator!$B$30&lt;Calculator!$G$13),"—",ROUND(MAX((50*POWER(80,POWER(COS(PI()*MOD(Calculator!$B$30/Calculator!$F$13,1)),2)))/$C47,$C47/(50*POWER(80,POWER(COS(PI()*MOD(Calculator!$B$30/Calculator!$F$13,1)),2)))),2))</f>
        <v>1.89</v>
      </c>
      <c r="G47" s="91" t="n">
        <f aca="false">IF(OR(Calculator!$E$14&lt;&gt;"YES",Calculator!$B$30&lt;Calculator!$G$14),"—",ROUND(MAX((50*POWER(80,POWER(COS(PI()*MOD(Calculator!$B$30/Calculator!$F$14,1)),2)))/$C47,$C47/(50*POWER(80,POWER(COS(PI()*MOD(Calculator!$B$30/Calculator!$F$14,1)),2)))),2))</f>
        <v>4.43</v>
      </c>
      <c r="H47" s="91" t="n">
        <f aca="false">IF(OR(Calculator!$E$15&lt;&gt;"YES",Calculator!$B$30&lt;Calculator!$G$15),"—",ROUND(MAX((50*POWER(80,POWER(COS(PI()*MOD(Calculator!$B$30/Calculator!$F$15,1)),2)))/$C47,$C47/(50*POWER(80,POWER(COS(PI()*MOD(Calculator!$B$30/Calculator!$F$15,1)),2)))),2))</f>
        <v>2.88</v>
      </c>
      <c r="I47" s="91" t="n">
        <f aca="false">IF(OR(Calculator!$E$16&lt;&gt;"YES",Calculator!$B$30&lt;Calculator!$G$16),"—",ROUND(MAX((50*POWER(80,POWER(COS(PI()*MOD(Calculator!$B$30/Calculator!$F$16,1)),2)))/$C47,$C47/(50*POWER(80,POWER(COS(PI()*MOD(Calculator!$B$30/Calculator!$F$16,1)),2)))),2))</f>
        <v>9.42</v>
      </c>
      <c r="J47" s="91" t="n">
        <f aca="false">IF(OR(Calculator!$E$17&lt;&gt;"YES",Calculator!$B$30&lt;Calculator!$G$17),"—",ROUND(MAX((50*POWER(80,POWER(COS(PI()*MOD(Calculator!$B$30/Calculator!$F$17,1)),2)))/$C47,$C47/(50*POWER(80,POWER(COS(PI()*MOD(Calculator!$B$30/Calculator!$F$17,1)),2)))),2))</f>
        <v>3.13</v>
      </c>
      <c r="K47" s="91" t="n">
        <f aca="false">IF(OR(Calculator!$E$18&lt;&gt;"YES",Calculator!$B$30&lt;Calculator!$G$18),"—",ROUND(MAX((50*POWER(80,POWER(COS(PI()*MOD(Calculator!$B$30/Calculator!$F$18,1)),2)))/$C47,$C47/(50*POWER(80,POWER(COS(PI()*MOD(Calculator!$B$30/Calculator!$F$18,1)),2)))),2))</f>
        <v>3.4</v>
      </c>
      <c r="L47" s="91" t="n">
        <f aca="false">IF(OR(Calculator!$E$19&lt;&gt;"YES",Calculator!$B$30&lt;Calculator!$G$19),"—",ROUND(MAX((50*POWER(80,POWER(COS(PI()*MOD(Calculator!$B$30/Calculator!$F$19,1)),2)))/$C47,$C47/(50*POWER(80,POWER(COS(PI()*MOD(Calculator!$B$30/Calculator!$F$19,1)),2)))),2))</f>
        <v>3.42</v>
      </c>
      <c r="M47" s="91" t="n">
        <f aca="false">IF(OR(Calculator!$E$20&lt;&gt;"YES",Calculator!$B$30&lt;Calculator!$G$20),"—",ROUND(MAX((50*POWER(80,POWER(COS(PI()*MOD(Calculator!$B$30/Calculator!$F$20,1)),2)))/$C47,$C47/(50*POWER(80,POWER(COS(PI()*MOD(Calculator!$B$30/Calculator!$F$20,1)),2)))),2))</f>
        <v>7.8</v>
      </c>
      <c r="N47" s="91" t="n">
        <f aca="false">IF(OR(Calculator!$E$21&lt;&gt;"YES",Calculator!$B$30&lt;Calculator!$G$21),"—",ROUND(MAX((50*POWER(80,POWER(COS(PI()*MOD(Calculator!$B$30/Calculator!$F$21,1)),2)))/$C47,$C47/(50*POWER(80,POWER(COS(PI()*MOD(Calculator!$B$30/Calculator!$F$21,1)),2)))),2))</f>
        <v>3.38</v>
      </c>
      <c r="O47" s="114" t="n">
        <f aca="false">IFERROR(ROUND((IF(ISNUMBER(D47),D47,0)+IF(ISNUMBER(E47),E47,0)+IF(ISNUMBER(F47),F47,0)+IF(ISNUMBER(G47),G47,0)+IF(ISNUMBER(H47),H47,0)+IF(ISNUMBER(I47),I47,0)+IF(ISNUMBER(J47),J47,0)+IF(ISNUMBER(K47),K47,0)+IF(ISNUMBER(L47),L47,0)+IF(ISNUMBER(M47),M47,0)+IF(ISNUMBER(N47),N47,0))/(IF(ISNUMBER(D47),1,0)+IF(ISNUMBER(E47),1,0)+IF(ISNUMBER(F47),1,0)+IF(ISNUMBER(G47),1,0)+IF(ISNUMBER(H47),1,0)+IF(ISNUMBER(I47),1,0)+IF(ISNUMBER(J47),1,0)+IF(ISNUMBER(K47),1,0)+IF(ISNUMBER(L47),1,0)+IF(ISNUMBER(M47),1,0)+IF(ISNUMBER(N47),1,0)),2),"")</f>
        <v>4.51</v>
      </c>
      <c r="P47" s="91" t="n">
        <f aca="false">IF(OR(Calculator!$E$11&lt;&gt;"YES",Calculator!$B$31&lt;Calculator!$G$11),"—",ROUND(MAX((50*POWER(80,POWER(COS(PI()*MOD(Calculator!$B$31/Calculator!$F$11,1)),2)))/$C47,$C47/(50*POWER(80,POWER(COS(PI()*MOD(Calculator!$B$31/Calculator!$F$11,1)),2)))),2))</f>
        <v>8.6</v>
      </c>
      <c r="Q47" s="91" t="n">
        <f aca="false">IF(OR(Calculator!$E$12&lt;&gt;"YES",Calculator!$B$31&lt;Calculator!$G$12),"—",ROUND(MAX((50*POWER(80,POWER(COS(PI()*MOD(Calculator!$B$31/Calculator!$F$12,1)),2)))/$C47,$C47/(50*POWER(80,POWER(COS(PI()*MOD(Calculator!$B$31/Calculator!$F$12,1)),2)))),2))</f>
        <v>1.45</v>
      </c>
      <c r="R47" s="91" t="n">
        <f aca="false">IF(OR(Calculator!$E$13&lt;&gt;"YES",Calculator!$B$31&lt;Calculator!$G$13),"—",ROUND(MAX((50*POWER(80,POWER(COS(PI()*MOD(Calculator!$B$31/Calculator!$F$13,1)),2)))/$C47,$C47/(50*POWER(80,POWER(COS(PI()*MOD(Calculator!$B$31/Calculator!$F$13,1)),2)))),2))</f>
        <v>1.99</v>
      </c>
      <c r="S47" s="91" t="n">
        <f aca="false">IF(OR(Calculator!$E$14&lt;&gt;"YES",Calculator!$B$31&lt;Calculator!$G$14),"—",ROUND(MAX((50*POWER(80,POWER(COS(PI()*MOD(Calculator!$B$31/Calculator!$F$14,1)),2)))/$C47,$C47/(50*POWER(80,POWER(COS(PI()*MOD(Calculator!$B$31/Calculator!$F$14,1)),2)))),2))</f>
        <v>4.16</v>
      </c>
      <c r="T47" s="91" t="n">
        <f aca="false">IF(OR(Calculator!$E$15&lt;&gt;"YES",Calculator!$B$31&lt;Calculator!$G$15),"—",ROUND(MAX((50*POWER(80,POWER(COS(PI()*MOD(Calculator!$B$31/Calculator!$F$15,1)),2)))/$C47,$C47/(50*POWER(80,POWER(COS(PI()*MOD(Calculator!$B$31/Calculator!$F$15,1)),2)))),2))</f>
        <v>2.62</v>
      </c>
      <c r="U47" s="91" t="n">
        <f aca="false">IF(OR(Calculator!$E$16&lt;&gt;"YES",Calculator!$B$31&lt;Calculator!$G$16),"—",ROUND(MAX((50*POWER(80,POWER(COS(PI()*MOD(Calculator!$B$31/Calculator!$F$16,1)),2)))/$C47,$C47/(50*POWER(80,POWER(COS(PI()*MOD(Calculator!$B$31/Calculator!$F$16,1)),2)))),2))</f>
        <v>10.22</v>
      </c>
      <c r="V47" s="91" t="n">
        <f aca="false">IF(OR(Calculator!$E$17&lt;&gt;"YES",Calculator!$B$31&lt;Calculator!$G$17),"—",ROUND(MAX((50*POWER(80,POWER(COS(PI()*MOD(Calculator!$B$31/Calculator!$F$17,1)),2)))/$C47,$C47/(50*POWER(80,POWER(COS(PI()*MOD(Calculator!$B$31/Calculator!$F$17,1)),2)))),2))</f>
        <v>2.78</v>
      </c>
      <c r="W47" s="91" t="n">
        <f aca="false">IF(OR(Calculator!$E$18&lt;&gt;"YES",Calculator!$B$31&lt;Calculator!$G$18),"—",ROUND(MAX((50*POWER(80,POWER(COS(PI()*MOD(Calculator!$B$31/Calculator!$F$18,1)),2)))/$C47,$C47/(50*POWER(80,POWER(COS(PI()*MOD(Calculator!$B$31/Calculator!$F$18,1)),2)))),2))</f>
        <v>2.98</v>
      </c>
      <c r="X47" s="91" t="n">
        <f aca="false">IF(OR(Calculator!$E$19&lt;&gt;"YES",Calculator!$B$31&lt;Calculator!$G$19),"—",ROUND(MAX((50*POWER(80,POWER(COS(PI()*MOD(Calculator!$B$31/Calculator!$F$19,1)),2)))/$C47,$C47/(50*POWER(80,POWER(COS(PI()*MOD(Calculator!$B$31/Calculator!$F$19,1)),2)))),2))</f>
        <v>3.91</v>
      </c>
      <c r="Y47" s="91" t="n">
        <f aca="false">IF(OR(Calculator!$E$20&lt;&gt;"YES",Calculator!$B$31&lt;Calculator!$G$20),"—",ROUND(MAX((50*POWER(80,POWER(COS(PI()*MOD(Calculator!$B$31/Calculator!$F$20,1)),2)))/$C47,$C47/(50*POWER(80,POWER(COS(PI()*MOD(Calculator!$B$31/Calculator!$F$20,1)),2)))),2))</f>
        <v>6.32</v>
      </c>
      <c r="Z47" s="91" t="n">
        <f aca="false">IF(OR(Calculator!$E$21&lt;&gt;"YES",Calculator!$B$31&lt;Calculator!$G$21),"—",ROUND(MAX((50*POWER(80,POWER(COS(PI()*MOD(Calculator!$B$31/Calculator!$F$21,1)),2)))/$C47,$C47/(50*POWER(80,POWER(COS(PI()*MOD(Calculator!$B$31/Calculator!$F$21,1)),2)))),2))</f>
        <v>2.38</v>
      </c>
      <c r="AA47" s="114" t="n">
        <f aca="false">IFERROR(ROUND((IF(ISNUMBER(P47),P47,0)+IF(ISNUMBER(Q47),Q47,0)+IF(ISNUMBER(R47),R47,0)+IF(ISNUMBER(S47),S47,0)+IF(ISNUMBER(T47),T47,0)+IF(ISNUMBER(U47),U47,0)+IF(ISNUMBER(V47),V47,0)+IF(ISNUMBER(W47),W47,0)+IF(ISNUMBER(X47),X47,0)+IF(ISNUMBER(Y47),Y47,0)+IF(ISNUMBER(Z47),Z47,0))/(IF(ISNUMBER(P47),1,0)+IF(ISNUMBER(Q47),1,0)+IF(ISNUMBER(R47),1,0)+IF(ISNUMBER(S47),1,0)+IF(ISNUMBER(T47),1,0)+IF(ISNUMBER(U47),1,0)+IF(ISNUMBER(V47),1,0)+IF(ISNUMBER(W47),1,0)+IF(ISNUMBER(X47),1,0)+IF(ISNUMBER(Y47),1,0)+IF(ISNUMBER(Z47),1,0)),2),"")</f>
        <v>4.31</v>
      </c>
      <c r="AB47" s="91" t="n">
        <f aca="false">IF(OR(Calculator!$E$11&lt;&gt;"YES",Calculator!$B$32&lt;Calculator!$G$11),"—",ROUND(MAX((50*POWER(80,POWER(COS(PI()*MOD(Calculator!$B$32/Calculator!$F$11,1)),2)))/$C47,$C47/(50*POWER(80,POWER(COS(PI()*MOD(Calculator!$B$32/Calculator!$F$11,1)),2)))),2))</f>
        <v>10.82</v>
      </c>
      <c r="AC47" s="91" t="n">
        <f aca="false">IF(OR(Calculator!$E$12&lt;&gt;"YES",Calculator!$B$32&lt;Calculator!$G$12),"—",ROUND(MAX((50*POWER(80,POWER(COS(PI()*MOD(Calculator!$B$32/Calculator!$F$12,1)),2)))/$C47,$C47/(50*POWER(80,POWER(COS(PI()*MOD(Calculator!$B$32/Calculator!$F$12,1)),2)))),2))</f>
        <v>2.68</v>
      </c>
      <c r="AD47" s="91" t="n">
        <f aca="false">IF(OR(Calculator!$E$13&lt;&gt;"YES",Calculator!$B$32&lt;Calculator!$G$13),"—",ROUND(MAX((50*POWER(80,POWER(COS(PI()*MOD(Calculator!$B$32/Calculator!$F$13,1)),2)))/$C47,$C47/(50*POWER(80,POWER(COS(PI()*MOD(Calculator!$B$32/Calculator!$F$13,1)),2)))),2))</f>
        <v>5.52</v>
      </c>
      <c r="AE47" s="91" t="n">
        <f aca="false">IF(OR(Calculator!$E$14&lt;&gt;"YES",Calculator!$B$32&lt;Calculator!$G$14),"—",ROUND(MAX((50*POWER(80,POWER(COS(PI()*MOD(Calculator!$B$32/Calculator!$F$14,1)),2)))/$C47,$C47/(50*POWER(80,POWER(COS(PI()*MOD(Calculator!$B$32/Calculator!$F$14,1)),2)))),2))</f>
        <v>1.01</v>
      </c>
      <c r="AF47" s="91" t="n">
        <f aca="false">IF(OR(Calculator!$E$15&lt;&gt;"YES",Calculator!$B$32&lt;Calculator!$G$15),"—",ROUND(MAX((50*POWER(80,POWER(COS(PI()*MOD(Calculator!$B$32/Calculator!$F$15,1)),2)))/$C47,$C47/(50*POWER(80,POWER(COS(PI()*MOD(Calculator!$B$32/Calculator!$F$15,1)),2)))),2))</f>
        <v>2.58</v>
      </c>
      <c r="AG47" s="91" t="n">
        <f aca="false">IF(OR(Calculator!$E$16&lt;&gt;"YES",Calculator!$B$32&lt;Calculator!$G$16),"—",ROUND(MAX((50*POWER(80,POWER(COS(PI()*MOD(Calculator!$B$32/Calculator!$F$16,1)),2)))/$C47,$C47/(50*POWER(80,POWER(COS(PI()*MOD(Calculator!$B$32/Calculator!$F$16,1)),2)))),2))</f>
        <v>8.82</v>
      </c>
      <c r="AH47" s="91" t="n">
        <f aca="false">IF(OR(Calculator!$E$17&lt;&gt;"YES",Calculator!$B$32&lt;Calculator!$G$17),"—",ROUND(MAX((50*POWER(80,POWER(COS(PI()*MOD(Calculator!$B$32/Calculator!$F$17,1)),2)))/$C47,$C47/(50*POWER(80,POWER(COS(PI()*MOD(Calculator!$B$32/Calculator!$F$17,1)),2)))),2))</f>
        <v>9.31</v>
      </c>
      <c r="AI47" s="91" t="n">
        <f aca="false">IF(OR(Calculator!$E$18&lt;&gt;"YES",Calculator!$B$32&lt;Calculator!$G$18),"—",ROUND(MAX((50*POWER(80,POWER(COS(PI()*MOD(Calculator!$B$32/Calculator!$F$18,1)),2)))/$C47,$C47/(50*POWER(80,POWER(COS(PI()*MOD(Calculator!$B$32/Calculator!$F$18,1)),2)))),2))</f>
        <v>12.28</v>
      </c>
      <c r="AJ47" s="91" t="n">
        <f aca="false">IF(OR(Calculator!$E$19&lt;&gt;"YES",Calculator!$B$32&lt;Calculator!$G$19),"—",ROUND(MAX((50*POWER(80,POWER(COS(PI()*MOD(Calculator!$B$32/Calculator!$F$19,1)),2)))/$C47,$C47/(50*POWER(80,POWER(COS(PI()*MOD(Calculator!$B$32/Calculator!$F$19,1)),2)))),2))</f>
        <v>2.59</v>
      </c>
      <c r="AK47" s="91" t="n">
        <f aca="false">IF(OR(Calculator!$E$20&lt;&gt;"YES",Calculator!$B$32&lt;Calculator!$G$20),"—",ROUND(MAX((50*POWER(80,POWER(COS(PI()*MOD(Calculator!$B$32/Calculator!$F$20,1)),2)))/$C47,$C47/(50*POWER(80,POWER(COS(PI()*MOD(Calculator!$B$32/Calculator!$F$20,1)),2)))),2))</f>
        <v>4.29</v>
      </c>
      <c r="AL47" s="91" t="n">
        <f aca="false">IF(OR(Calculator!$E$21&lt;&gt;"YES",Calculator!$B$32&lt;Calculator!$G$21),"—",ROUND(MAX((50*POWER(80,POWER(COS(PI()*MOD(Calculator!$B$32/Calculator!$F$21,1)),2)))/$C47,$C47/(50*POWER(80,POWER(COS(PI()*MOD(Calculator!$B$32/Calculator!$F$21,1)),2)))),2))</f>
        <v>3.72</v>
      </c>
      <c r="AM47" s="115" t="n">
        <f aca="false">IFERROR(ROUND((IF(ISNUMBER(AB47),AB47,0)+IF(ISNUMBER(AC47),AC47,0)+IF(ISNUMBER(AD47),AD47,0)+IF(ISNUMBER(AE47),AE47,0)+IF(ISNUMBER(AF47),AF47,0)+IF(ISNUMBER(AG47),AG47,0)+IF(ISNUMBER(AH47),AH47,0)+IF(ISNUMBER(AI47),AI47,0)+IF(ISNUMBER(AJ47),AJ47,0)+IF(ISNUMBER(AK47),AK47,0)+IF(ISNUMBER(AL47),AL47,0))/(IF(ISNUMBER(AB47),1,0)+IF(ISNUMBER(AC47),1,0)+IF(ISNUMBER(AD47),1,0)+IF(ISNUMBER(AE47),1,0)+IF(ISNUMBER(AF47),1,0)+IF(ISNUMBER(AG47),1,0)+IF(ISNUMBER(AH47),1,0)+IF(ISNUMBER(AI47),1,0)+IF(ISNUMBER(AJ47),1,0)+IF(ISNUMBER(AK47),1,0)+IF(ISNUMBER(AL47),1,0)),2),"")</f>
        <v>5.78</v>
      </c>
      <c r="AN47" s="116" t="n">
        <f aca="false">IF(OR(Calculator!$E$11&lt;&gt;"YES",Calculator!$B$33&lt;Calculator!$G$11),"—",ROUND(MAX((50*POWER(80,POWER(COS(PI()*MOD(Calculator!$B$33/Calculator!$F$11,1)),2)))/$C47,$C47/(50*POWER(80,POWER(COS(PI()*MOD(Calculator!$B$33/Calculator!$F$11,1)),2)))),2))</f>
        <v>8.7</v>
      </c>
      <c r="AO47" s="116" t="n">
        <f aca="false">IF(OR(Calculator!$E$12&lt;&gt;"YES",Calculator!$B$33&lt;Calculator!$G$12),"—",ROUND(MAX((50*POWER(80,POWER(COS(PI()*MOD(Calculator!$B$33/Calculator!$F$12,1)),2)))/$C47,$C47/(50*POWER(80,POWER(COS(PI()*MOD(Calculator!$B$33/Calculator!$F$12,1)),2)))),2))</f>
        <v>1.5</v>
      </c>
      <c r="AP47" s="116" t="n">
        <f aca="false">IF(OR(Calculator!$E$13&lt;&gt;"YES",Calculator!$B$33&lt;Calculator!$G$13),"—",ROUND(MAX((50*POWER(80,POWER(COS(PI()*MOD(Calculator!$B$33/Calculator!$F$13,1)),2)))/$C47,$C47/(50*POWER(80,POWER(COS(PI()*MOD(Calculator!$B$33/Calculator!$F$13,1)),2)))),2))</f>
        <v>2.1</v>
      </c>
      <c r="AQ47" s="116" t="n">
        <f aca="false">IF(OR(Calculator!$E$14&lt;&gt;"YES",Calculator!$B$33&lt;Calculator!$G$14),"—",ROUND(MAX((50*POWER(80,POWER(COS(PI()*MOD(Calculator!$B$33/Calculator!$F$14,1)),2)))/$C47,$C47/(50*POWER(80,POWER(COS(PI()*MOD(Calculator!$B$33/Calculator!$F$14,1)),2)))),2))</f>
        <v>3.91</v>
      </c>
      <c r="AR47" s="116" t="n">
        <f aca="false">IF(OR(Calculator!$E$15&lt;&gt;"YES",Calculator!$B$33&lt;Calculator!$G$15),"—",ROUND(MAX((50*POWER(80,POWER(COS(PI()*MOD(Calculator!$B$33/Calculator!$F$15,1)),2)))/$C47,$C47/(50*POWER(80,POWER(COS(PI()*MOD(Calculator!$B$33/Calculator!$F$15,1)),2)))),2))</f>
        <v>2.38</v>
      </c>
      <c r="AS47" s="116" t="n">
        <f aca="false">IF(OR(Calculator!$E$16&lt;&gt;"YES",Calculator!$B$33&lt;Calculator!$G$16),"—",ROUND(MAX((50*POWER(80,POWER(COS(PI()*MOD(Calculator!$B$33/Calculator!$F$16,1)),2)))/$C47,$C47/(50*POWER(80,POWER(COS(PI()*MOD(Calculator!$B$33/Calculator!$F$16,1)),2)))),2))</f>
        <v>11</v>
      </c>
      <c r="AT47" s="116" t="n">
        <f aca="false">IF(OR(Calculator!$E$17&lt;&gt;"YES",Calculator!$B$33&lt;Calculator!$G$17),"—",ROUND(MAX((50*POWER(80,POWER(COS(PI()*MOD(Calculator!$B$33/Calculator!$F$17,1)),2)))/$C47,$C47/(50*POWER(80,POWER(COS(PI()*MOD(Calculator!$B$33/Calculator!$F$17,1)),2)))),2))</f>
        <v>2.44</v>
      </c>
      <c r="AU47" s="116" t="n">
        <f aca="false">IF(OR(Calculator!$E$18&lt;&gt;"YES",Calculator!$B$33&lt;Calculator!$G$18),"—",ROUND(MAX((50*POWER(80,POWER(COS(PI()*MOD(Calculator!$B$33/Calculator!$F$18,1)),2)))/$C47,$C47/(50*POWER(80,POWER(COS(PI()*MOD(Calculator!$B$33/Calculator!$F$18,1)),2)))),2))</f>
        <v>2.58</v>
      </c>
      <c r="AV47" s="116" t="n">
        <f aca="false">IF(OR(Calculator!$E$19&lt;&gt;"YES",Calculator!$B$33&lt;Calculator!$G$19),"—",ROUND(MAX((50*POWER(80,POWER(COS(PI()*MOD(Calculator!$B$33/Calculator!$F$19,1)),2)))/$C47,$C47/(50*POWER(80,POWER(COS(PI()*MOD(Calculator!$B$33/Calculator!$F$19,1)),2)))),2))</f>
        <v>4.37</v>
      </c>
      <c r="AW47" s="116" t="n">
        <f aca="false">IF(OR(Calculator!$E$20&lt;&gt;"YES",Calculator!$B$33&lt;Calculator!$G$20),"—",ROUND(MAX((50*POWER(80,POWER(COS(PI()*MOD(Calculator!$B$33/Calculator!$F$20,1)),2)))/$C47,$C47/(50*POWER(80,POWER(COS(PI()*MOD(Calculator!$B$33/Calculator!$F$20,1)),2)))),2))</f>
        <v>5.01</v>
      </c>
      <c r="AX47" s="116" t="n">
        <f aca="false">IF(OR(Calculator!$E$21&lt;&gt;"YES",Calculator!$B$33&lt;Calculator!$G$21),"—",ROUND(MAX((50*POWER(80,POWER(COS(PI()*MOD(Calculator!$B$33/Calculator!$F$21,1)),2)))/$C47,$C47/(50*POWER(80,POWER(COS(PI()*MOD(Calculator!$B$33/Calculator!$F$21,1)),2)))),2))</f>
        <v>1.56</v>
      </c>
      <c r="AY47" s="115" t="n">
        <f aca="false">IFERROR(ROUND((IF(ISNUMBER(AN47),AN47,0)+IF(ISNUMBER(AO47),AO47,0)+IF(ISNUMBER(AP47),AP47,0)+IF(ISNUMBER(AQ47),AQ47,0)+IF(ISNUMBER(AR47),AR47,0)+IF(ISNUMBER(AS47),AS47,0)+IF(ISNUMBER(AT47),AT47,0)+IF(ISNUMBER(AU47),AU47,0)+IF(ISNUMBER(AV47),AV47,0)+IF(ISNUMBER(AW47),AW47,0)+IF(ISNUMBER(AX47),AX47,0))/(IF(ISNUMBER(AN47),1,0)+IF(ISNUMBER(AO47),1,0)+IF(ISNUMBER(AP47),1,0)+IF(ISNUMBER(AQ47),1,0)+IF(ISNUMBER(AR47),1,0)+IF(ISNUMBER(AS47),1,0)+IF(ISNUMBER(AT47),1,0)+IF(ISNUMBER(AU47),1,0)+IF(ISNUMBER(AV47),1,0)+IF(ISNUMBER(AW47),1,0)+IF(ISNUMBER(AX47),1,0)),2),"")</f>
        <v>4.14</v>
      </c>
      <c r="AZ47" s="116" t="n">
        <f aca="false">IF(OR(Calculator!$E$11&lt;&gt;"YES",Calculator!$B$34&lt;Calculator!$G$11),"—",ROUND(MAX((50*POWER(80,POWER(COS(PI()*MOD(Calculator!$B$34/Calculator!$F$11,1)),2)))/$C47,$C47/(50*POWER(80,POWER(COS(PI()*MOD(Calculator!$B$34/Calculator!$F$11,1)),2)))),2))</f>
        <v>8.39</v>
      </c>
      <c r="BA47" s="116" t="n">
        <f aca="false">IF(OR(Calculator!$E$12&lt;&gt;"YES",Calculator!$B$34&lt;Calculator!$G$12),"—",ROUND(MAX((50*POWER(80,POWER(COS(PI()*MOD(Calculator!$B$34/Calculator!$F$12,1)),2)))/$C47,$C47/(50*POWER(80,POWER(COS(PI()*MOD(Calculator!$B$34/Calculator!$F$12,1)),2)))),2))</f>
        <v>1.36</v>
      </c>
      <c r="BB47" s="116" t="n">
        <f aca="false">IF(OR(Calculator!$E$13&lt;&gt;"YES",Calculator!$B$34&lt;Calculator!$G$13),"—",ROUND(MAX((50*POWER(80,POWER(COS(PI()*MOD(Calculator!$B$34/Calculator!$F$13,1)),2)))/$C47,$C47/(50*POWER(80,POWER(COS(PI()*MOD(Calculator!$B$34/Calculator!$F$13,1)),2)))),2))</f>
        <v>1.8</v>
      </c>
      <c r="BC47" s="116" t="n">
        <f aca="false">IF(OR(Calculator!$E$14&lt;&gt;"YES",Calculator!$B$34&lt;Calculator!$G$14),"—",ROUND(MAX((50*POWER(80,POWER(COS(PI()*MOD(Calculator!$B$34/Calculator!$F$14,1)),2)))/$C47,$C47/(50*POWER(80,POWER(COS(PI()*MOD(Calculator!$B$34/Calculator!$F$14,1)),2)))),2))</f>
        <v>4.71</v>
      </c>
      <c r="BD47" s="116" t="n">
        <f aca="false">IF(OR(Calculator!$E$15&lt;&gt;"YES",Calculator!$B$34&lt;Calculator!$G$15),"—",ROUND(MAX((50*POWER(80,POWER(COS(PI()*MOD(Calculator!$B$34/Calculator!$F$15,1)),2)))/$C47,$C47/(50*POWER(80,POWER(COS(PI()*MOD(Calculator!$B$34/Calculator!$F$15,1)),2)))),2))</f>
        <v>3.17</v>
      </c>
      <c r="BE47" s="116" t="n">
        <f aca="false">IF(OR(Calculator!$E$16&lt;&gt;"YES",Calculator!$B$34&lt;Calculator!$G$16),"—",ROUND(MAX((50*POWER(80,POWER(COS(PI()*MOD(Calculator!$B$34/Calculator!$F$16,1)),2)))/$C47,$C47/(50*POWER(80,POWER(COS(PI()*MOD(Calculator!$B$34/Calculator!$F$16,1)),2)))),2))</f>
        <v>8.63</v>
      </c>
      <c r="BF47" s="116" t="n">
        <f aca="false">IF(OR(Calculator!$E$17&lt;&gt;"YES",Calculator!$B$34&lt;Calculator!$G$17),"—",ROUND(MAX((50*POWER(80,POWER(COS(PI()*MOD(Calculator!$B$34/Calculator!$F$17,1)),2)))/$C47,$C47/(50*POWER(80,POWER(COS(PI()*MOD(Calculator!$B$34/Calculator!$F$17,1)),2)))),2))</f>
        <v>3.49</v>
      </c>
      <c r="BG47" s="116" t="n">
        <f aca="false">IF(OR(Calculator!$E$18&lt;&gt;"YES",Calculator!$B$34&lt;Calculator!$G$18),"—",ROUND(MAX((50*POWER(80,POWER(COS(PI()*MOD(Calculator!$B$34/Calculator!$F$18,1)),2)))/$C47,$C47/(50*POWER(80,POWER(COS(PI()*MOD(Calculator!$B$34/Calculator!$F$18,1)),2)))),2))</f>
        <v>3.82</v>
      </c>
      <c r="BH47" s="116" t="n">
        <f aca="false">IF(OR(Calculator!$E$19&lt;&gt;"YES",Calculator!$B$34&lt;Calculator!$G$19),"—",ROUND(MAX((50*POWER(80,POWER(COS(PI()*MOD(Calculator!$B$34/Calculator!$F$19,1)),2)))/$C47,$C47/(50*POWER(80,POWER(COS(PI()*MOD(Calculator!$B$34/Calculator!$F$19,1)),2)))),2))</f>
        <v>2.92</v>
      </c>
      <c r="BI47" s="116" t="n">
        <f aca="false">IF(OR(Calculator!$E$20&lt;&gt;"YES",Calculator!$B$34&lt;Calculator!$G$20),"—",ROUND(MAX((50*POWER(80,POWER(COS(PI()*MOD(Calculator!$B$34/Calculator!$F$20,1)),2)))/$C47,$C47/(50*POWER(80,POWER(COS(PI()*MOD(Calculator!$B$34/Calculator!$F$20,1)),2)))),2))</f>
        <v>9.39</v>
      </c>
      <c r="BJ47" s="116" t="n">
        <f aca="false">IF(OR(Calculator!$E$21&lt;&gt;"YES",Calculator!$B$34&lt;Calculator!$G$21),"—",ROUND(MAX((50*POWER(80,POWER(COS(PI()*MOD(Calculator!$B$34/Calculator!$F$21,1)),2)))/$C47,$C47/(50*POWER(80,POWER(COS(PI()*MOD(Calculator!$B$34/Calculator!$F$21,1)),2)))),2))</f>
        <v>4.38</v>
      </c>
      <c r="BK47" s="115" t="n">
        <f aca="false">IFERROR(ROUND((IF(ISNUMBER(AZ47),AZ47,0)+IF(ISNUMBER(BA47),BA47,0)+IF(ISNUMBER(BB47),BB47,0)+IF(ISNUMBER(BC47),BC47,0)+IF(ISNUMBER(BD47),BD47,0)+IF(ISNUMBER(BE47),BE47,0)+IF(ISNUMBER(BF47),BF47,0)+IF(ISNUMBER(BG47),BG47,0)+IF(ISNUMBER(BH47),BH47,0)+IF(ISNUMBER(BI47),BI47,0)+IF(ISNUMBER(BJ47),BJ47,0))/(IF(ISNUMBER(AZ47),1,0)+IF(ISNUMBER(BA47),1,0)+IF(ISNUMBER(BB47),1,0)+IF(ISNUMBER(BC47),1,0)+IF(ISNUMBER(BD47),1,0)+IF(ISNUMBER(BE47),1,0)+IF(ISNUMBER(BF47),1,0)+IF(ISNUMBER(BG47),1,0)+IF(ISNUMBER(BH47),1,0)+IF(ISNUMBER(BI47),1,0)+IF(ISNUMBER(BJ47),1,0)),2),"")</f>
        <v>4.73</v>
      </c>
    </row>
    <row r="48" customFormat="false" ht="15" hidden="false" customHeight="false" outlineLevel="0" collapsed="false">
      <c r="A48" s="107" t="s">
        <v>105</v>
      </c>
      <c r="B48" s="108" t="s">
        <v>106</v>
      </c>
      <c r="C48" s="109" t="n">
        <v>800</v>
      </c>
      <c r="D48" s="110" t="n">
        <f aca="false">IF(OR(Calculator!$E$11&lt;&gt;"YES",Calculator!$B$30&lt;Calculator!$G$11),"—",ROUND(MAX((50*POWER(80,POWER(COS(PI()*MOD(Calculator!$B$30/Calculator!$F$11,1)),2)))/$C48,$C48/(50*POWER(80,POWER(COS(PI()*MOD(Calculator!$B$30/Calculator!$F$11,1)),2)))),2))</f>
        <v>9.06</v>
      </c>
      <c r="E48" s="110" t="n">
        <f aca="false">IF(OR(Calculator!$E$12&lt;&gt;"YES",Calculator!$B$30&lt;Calculator!$G$12),"—",ROUND(MAX((50*POWER(80,POWER(COS(PI()*MOD(Calculator!$B$30/Calculator!$F$12,1)),2)))/$C48,$C48/(50*POWER(80,POWER(COS(PI()*MOD(Calculator!$B$30/Calculator!$F$12,1)),2)))),2))</f>
        <v>1.32</v>
      </c>
      <c r="F48" s="110" t="n">
        <f aca="false">IF(OR(Calculator!$E$13&lt;&gt;"YES",Calculator!$B$30&lt;Calculator!$G$13),"—",ROUND(MAX((50*POWER(80,POWER(COS(PI()*MOD(Calculator!$B$30/Calculator!$F$13,1)),2)))/$C48,$C48/(50*POWER(80,POWER(COS(PI()*MOD(Calculator!$B$30/Calculator!$F$13,1)),2)))),2))</f>
        <v>2.02</v>
      </c>
      <c r="G48" s="110" t="n">
        <f aca="false">IF(OR(Calculator!$E$14&lt;&gt;"YES",Calculator!$B$30&lt;Calculator!$G$14),"—",ROUND(MAX((50*POWER(80,POWER(COS(PI()*MOD(Calculator!$B$30/Calculator!$F$14,1)),2)))/$C48,$C48/(50*POWER(80,POWER(COS(PI()*MOD(Calculator!$B$30/Calculator!$F$14,1)),2)))),2))</f>
        <v>4.73</v>
      </c>
      <c r="H48" s="110" t="n">
        <f aca="false">IF(OR(Calculator!$E$15&lt;&gt;"YES",Calculator!$B$30&lt;Calculator!$G$15),"—",ROUND(MAX((50*POWER(80,POWER(COS(PI()*MOD(Calculator!$B$30/Calculator!$F$15,1)),2)))/$C48,$C48/(50*POWER(80,POWER(COS(PI()*MOD(Calculator!$B$30/Calculator!$F$15,1)),2)))),2))</f>
        <v>3.07</v>
      </c>
      <c r="I48" s="110" t="n">
        <f aca="false">IF(OR(Calculator!$E$16&lt;&gt;"YES",Calculator!$B$30&lt;Calculator!$G$16),"—",ROUND(MAX((50*POWER(80,POWER(COS(PI()*MOD(Calculator!$B$30/Calculator!$F$16,1)),2)))/$C48,$C48/(50*POWER(80,POWER(COS(PI()*MOD(Calculator!$B$30/Calculator!$F$16,1)),2)))),2))</f>
        <v>10.05</v>
      </c>
      <c r="J48" s="110" t="n">
        <f aca="false">IF(OR(Calculator!$E$17&lt;&gt;"YES",Calculator!$B$30&lt;Calculator!$G$17),"—",ROUND(MAX((50*POWER(80,POWER(COS(PI()*MOD(Calculator!$B$30/Calculator!$F$17,1)),2)))/$C48,$C48/(50*POWER(80,POWER(COS(PI()*MOD(Calculator!$B$30/Calculator!$F$17,1)),2)))),2))</f>
        <v>2.94</v>
      </c>
      <c r="K48" s="110" t="n">
        <f aca="false">IF(OR(Calculator!$E$18&lt;&gt;"YES",Calculator!$B$30&lt;Calculator!$G$18),"—",ROUND(MAX((50*POWER(80,POWER(COS(PI()*MOD(Calculator!$B$30/Calculator!$F$18,1)),2)))/$C48,$C48/(50*POWER(80,POWER(COS(PI()*MOD(Calculator!$B$30/Calculator!$F$18,1)),2)))),2))</f>
        <v>3.19</v>
      </c>
      <c r="L48" s="110" t="n">
        <f aca="false">IF(OR(Calculator!$E$19&lt;&gt;"YES",Calculator!$B$30&lt;Calculator!$G$19),"—",ROUND(MAX((50*POWER(80,POWER(COS(PI()*MOD(Calculator!$B$30/Calculator!$F$19,1)),2)))/$C48,$C48/(50*POWER(80,POWER(COS(PI()*MOD(Calculator!$B$30/Calculator!$F$19,1)),2)))),2))</f>
        <v>3.2</v>
      </c>
      <c r="M48" s="110" t="n">
        <f aca="false">IF(OR(Calculator!$E$20&lt;&gt;"YES",Calculator!$B$30&lt;Calculator!$G$20),"—",ROUND(MAX((50*POWER(80,POWER(COS(PI()*MOD(Calculator!$B$30/Calculator!$F$20,1)),2)))/$C48,$C48/(50*POWER(80,POWER(COS(PI()*MOD(Calculator!$B$30/Calculator!$F$20,1)),2)))),2))</f>
        <v>8.32</v>
      </c>
      <c r="N48" s="110" t="n">
        <f aca="false">IF(OR(Calculator!$E$21&lt;&gt;"YES",Calculator!$B$30&lt;Calculator!$G$21),"—",ROUND(MAX((50*POWER(80,POWER(COS(PI()*MOD(Calculator!$B$30/Calculator!$F$21,1)),2)))/$C48,$C48/(50*POWER(80,POWER(COS(PI()*MOD(Calculator!$B$30/Calculator!$F$21,1)),2)))),2))</f>
        <v>3.17</v>
      </c>
      <c r="O48" s="111" t="n">
        <f aca="false">IFERROR(ROUND((IF(ISNUMBER(D48),D48,0)+IF(ISNUMBER(E48),E48,0)+IF(ISNUMBER(F48),F48,0)+IF(ISNUMBER(G48),G48,0)+IF(ISNUMBER(H48),H48,0)+IF(ISNUMBER(I48),I48,0)+IF(ISNUMBER(J48),J48,0)+IF(ISNUMBER(K48),K48,0)+IF(ISNUMBER(L48),L48,0)+IF(ISNUMBER(M48),M48,0)+IF(ISNUMBER(N48),N48,0))/(IF(ISNUMBER(D48),1,0)+IF(ISNUMBER(E48),1,0)+IF(ISNUMBER(F48),1,0)+IF(ISNUMBER(G48),1,0)+IF(ISNUMBER(H48),1,0)+IF(ISNUMBER(I48),1,0)+IF(ISNUMBER(J48),1,0)+IF(ISNUMBER(K48),1,0)+IF(ISNUMBER(L48),1,0)+IF(ISNUMBER(M48),1,0)+IF(ISNUMBER(N48),1,0)),2),"")</f>
        <v>4.64</v>
      </c>
      <c r="P48" s="110" t="n">
        <f aca="false">IF(OR(Calculator!$E$11&lt;&gt;"YES",Calculator!$B$31&lt;Calculator!$G$11),"—",ROUND(MAX((50*POWER(80,POWER(COS(PI()*MOD(Calculator!$B$31/Calculator!$F$11,1)),2)))/$C48,$C48/(50*POWER(80,POWER(COS(PI()*MOD(Calculator!$B$31/Calculator!$F$11,1)),2)))),2))</f>
        <v>9.17</v>
      </c>
      <c r="Q48" s="110" t="n">
        <f aca="false">IF(OR(Calculator!$E$12&lt;&gt;"YES",Calculator!$B$31&lt;Calculator!$G$12),"—",ROUND(MAX((50*POWER(80,POWER(COS(PI()*MOD(Calculator!$B$31/Calculator!$F$12,1)),2)))/$C48,$C48/(50*POWER(80,POWER(COS(PI()*MOD(Calculator!$B$31/Calculator!$F$12,1)),2)))),2))</f>
        <v>1.36</v>
      </c>
      <c r="R48" s="110" t="n">
        <f aca="false">IF(OR(Calculator!$E$13&lt;&gt;"YES",Calculator!$B$31&lt;Calculator!$G$13),"—",ROUND(MAX((50*POWER(80,POWER(COS(PI()*MOD(Calculator!$B$31/Calculator!$F$13,1)),2)))/$C48,$C48/(50*POWER(80,POWER(COS(PI()*MOD(Calculator!$B$31/Calculator!$F$13,1)),2)))),2))</f>
        <v>2.13</v>
      </c>
      <c r="S48" s="110" t="n">
        <f aca="false">IF(OR(Calculator!$E$14&lt;&gt;"YES",Calculator!$B$31&lt;Calculator!$G$14),"—",ROUND(MAX((50*POWER(80,POWER(COS(PI()*MOD(Calculator!$B$31/Calculator!$F$14,1)),2)))/$C48,$C48/(50*POWER(80,POWER(COS(PI()*MOD(Calculator!$B$31/Calculator!$F$14,1)),2)))),2))</f>
        <v>4.44</v>
      </c>
      <c r="T48" s="110" t="n">
        <f aca="false">IF(OR(Calculator!$E$15&lt;&gt;"YES",Calculator!$B$31&lt;Calculator!$G$15),"—",ROUND(MAX((50*POWER(80,POWER(COS(PI()*MOD(Calculator!$B$31/Calculator!$F$15,1)),2)))/$C48,$C48/(50*POWER(80,POWER(COS(PI()*MOD(Calculator!$B$31/Calculator!$F$15,1)),2)))),2))</f>
        <v>2.79</v>
      </c>
      <c r="U48" s="110" t="n">
        <f aca="false">IF(OR(Calculator!$E$16&lt;&gt;"YES",Calculator!$B$31&lt;Calculator!$G$16),"—",ROUND(MAX((50*POWER(80,POWER(COS(PI()*MOD(Calculator!$B$31/Calculator!$F$16,1)),2)))/$C48,$C48/(50*POWER(80,POWER(COS(PI()*MOD(Calculator!$B$31/Calculator!$F$16,1)),2)))),2))</f>
        <v>10.9</v>
      </c>
      <c r="V48" s="110" t="n">
        <f aca="false">IF(OR(Calculator!$E$17&lt;&gt;"YES",Calculator!$B$31&lt;Calculator!$G$17),"—",ROUND(MAX((50*POWER(80,POWER(COS(PI()*MOD(Calculator!$B$31/Calculator!$F$17,1)),2)))/$C48,$C48/(50*POWER(80,POWER(COS(PI()*MOD(Calculator!$B$31/Calculator!$F$17,1)),2)))),2))</f>
        <v>2.61</v>
      </c>
      <c r="W48" s="110" t="n">
        <f aca="false">IF(OR(Calculator!$E$18&lt;&gt;"YES",Calculator!$B$31&lt;Calculator!$G$18),"—",ROUND(MAX((50*POWER(80,POWER(COS(PI()*MOD(Calculator!$B$31/Calculator!$F$18,1)),2)))/$C48,$C48/(50*POWER(80,POWER(COS(PI()*MOD(Calculator!$B$31/Calculator!$F$18,1)),2)))),2))</f>
        <v>2.8</v>
      </c>
      <c r="X48" s="110" t="n">
        <f aca="false">IF(OR(Calculator!$E$19&lt;&gt;"YES",Calculator!$B$31&lt;Calculator!$G$19),"—",ROUND(MAX((50*POWER(80,POWER(COS(PI()*MOD(Calculator!$B$31/Calculator!$F$19,1)),2)))/$C48,$C48/(50*POWER(80,POWER(COS(PI()*MOD(Calculator!$B$31/Calculator!$F$19,1)),2)))),2))</f>
        <v>3.66</v>
      </c>
      <c r="Y48" s="110" t="n">
        <f aca="false">IF(OR(Calculator!$E$20&lt;&gt;"YES",Calculator!$B$31&lt;Calculator!$G$20),"—",ROUND(MAX((50*POWER(80,POWER(COS(PI()*MOD(Calculator!$B$31/Calculator!$F$20,1)),2)))/$C48,$C48/(50*POWER(80,POWER(COS(PI()*MOD(Calculator!$B$31/Calculator!$F$20,1)),2)))),2))</f>
        <v>6.74</v>
      </c>
      <c r="Z48" s="110" t="n">
        <f aca="false">IF(OR(Calculator!$E$21&lt;&gt;"YES",Calculator!$B$31&lt;Calculator!$G$21),"—",ROUND(MAX((50*POWER(80,POWER(COS(PI()*MOD(Calculator!$B$31/Calculator!$F$21,1)),2)))/$C48,$C48/(50*POWER(80,POWER(COS(PI()*MOD(Calculator!$B$31/Calculator!$F$21,1)),2)))),2))</f>
        <v>2.23</v>
      </c>
      <c r="AA48" s="111" t="n">
        <f aca="false">IFERROR(ROUND((IF(ISNUMBER(P48),P48,0)+IF(ISNUMBER(Q48),Q48,0)+IF(ISNUMBER(R48),R48,0)+IF(ISNUMBER(S48),S48,0)+IF(ISNUMBER(T48),T48,0)+IF(ISNUMBER(U48),U48,0)+IF(ISNUMBER(V48),V48,0)+IF(ISNUMBER(W48),W48,0)+IF(ISNUMBER(X48),X48,0)+IF(ISNUMBER(Y48),Y48,0)+IF(ISNUMBER(Z48),Z48,0))/(IF(ISNUMBER(P48),1,0)+IF(ISNUMBER(Q48),1,0)+IF(ISNUMBER(R48),1,0)+IF(ISNUMBER(S48),1,0)+IF(ISNUMBER(T48),1,0)+IF(ISNUMBER(U48),1,0)+IF(ISNUMBER(V48),1,0)+IF(ISNUMBER(W48),1,0)+IF(ISNUMBER(X48),1,0)+IF(ISNUMBER(Y48),1,0)+IF(ISNUMBER(Z48),1,0)),2),"")</f>
        <v>4.44</v>
      </c>
      <c r="AB48" s="110" t="n">
        <f aca="false">IF(OR(Calculator!$E$11&lt;&gt;"YES",Calculator!$B$32&lt;Calculator!$G$11),"—",ROUND(MAX((50*POWER(80,POWER(COS(PI()*MOD(Calculator!$B$32/Calculator!$F$11,1)),2)))/$C48,$C48/(50*POWER(80,POWER(COS(PI()*MOD(Calculator!$B$32/Calculator!$F$11,1)),2)))),2))</f>
        <v>11.54</v>
      </c>
      <c r="AC48" s="110" t="n">
        <f aca="false">IF(OR(Calculator!$E$12&lt;&gt;"YES",Calculator!$B$32&lt;Calculator!$G$12),"—",ROUND(MAX((50*POWER(80,POWER(COS(PI()*MOD(Calculator!$B$32/Calculator!$F$12,1)),2)))/$C48,$C48/(50*POWER(80,POWER(COS(PI()*MOD(Calculator!$B$32/Calculator!$F$12,1)),2)))),2))</f>
        <v>2.52</v>
      </c>
      <c r="AD48" s="110" t="n">
        <f aca="false">IF(OR(Calculator!$E$13&lt;&gt;"YES",Calculator!$B$32&lt;Calculator!$G$13),"—",ROUND(MAX((50*POWER(80,POWER(COS(PI()*MOD(Calculator!$B$32/Calculator!$F$13,1)),2)))/$C48,$C48/(50*POWER(80,POWER(COS(PI()*MOD(Calculator!$B$32/Calculator!$F$13,1)),2)))),2))</f>
        <v>5.89</v>
      </c>
      <c r="AE48" s="110" t="n">
        <f aca="false">IF(OR(Calculator!$E$14&lt;&gt;"YES",Calculator!$B$32&lt;Calculator!$G$14),"—",ROUND(MAX((50*POWER(80,POWER(COS(PI()*MOD(Calculator!$B$32/Calculator!$F$14,1)),2)))/$C48,$C48/(50*POWER(80,POWER(COS(PI()*MOD(Calculator!$B$32/Calculator!$F$14,1)),2)))),2))</f>
        <v>1.08</v>
      </c>
      <c r="AF48" s="110" t="n">
        <f aca="false">IF(OR(Calculator!$E$15&lt;&gt;"YES",Calculator!$B$32&lt;Calculator!$G$15),"—",ROUND(MAX((50*POWER(80,POWER(COS(PI()*MOD(Calculator!$B$32/Calculator!$F$15,1)),2)))/$C48,$C48/(50*POWER(80,POWER(COS(PI()*MOD(Calculator!$B$32/Calculator!$F$15,1)),2)))),2))</f>
        <v>2.42</v>
      </c>
      <c r="AG48" s="110" t="n">
        <f aca="false">IF(OR(Calculator!$E$16&lt;&gt;"YES",Calculator!$B$32&lt;Calculator!$G$16),"—",ROUND(MAX((50*POWER(80,POWER(COS(PI()*MOD(Calculator!$B$32/Calculator!$F$16,1)),2)))/$C48,$C48/(50*POWER(80,POWER(COS(PI()*MOD(Calculator!$B$32/Calculator!$F$16,1)),2)))),2))</f>
        <v>9.41</v>
      </c>
      <c r="AH48" s="110" t="n">
        <f aca="false">IF(OR(Calculator!$E$17&lt;&gt;"YES",Calculator!$B$32&lt;Calculator!$G$17),"—",ROUND(MAX((50*POWER(80,POWER(COS(PI()*MOD(Calculator!$B$32/Calculator!$F$17,1)),2)))/$C48,$C48/(50*POWER(80,POWER(COS(PI()*MOD(Calculator!$B$32/Calculator!$F$17,1)),2)))),2))</f>
        <v>9.93</v>
      </c>
      <c r="AI48" s="110" t="n">
        <f aca="false">IF(OR(Calculator!$E$18&lt;&gt;"YES",Calculator!$B$32&lt;Calculator!$G$18),"—",ROUND(MAX((50*POWER(80,POWER(COS(PI()*MOD(Calculator!$B$32/Calculator!$F$18,1)),2)))/$C48,$C48/(50*POWER(80,POWER(COS(PI()*MOD(Calculator!$B$32/Calculator!$F$18,1)),2)))),2))</f>
        <v>13.1</v>
      </c>
      <c r="AJ48" s="110" t="n">
        <f aca="false">IF(OR(Calculator!$E$19&lt;&gt;"YES",Calculator!$B$32&lt;Calculator!$G$19),"—",ROUND(MAX((50*POWER(80,POWER(COS(PI()*MOD(Calculator!$B$32/Calculator!$F$19,1)),2)))/$C48,$C48/(50*POWER(80,POWER(COS(PI()*MOD(Calculator!$B$32/Calculator!$F$19,1)),2)))),2))</f>
        <v>2.76</v>
      </c>
      <c r="AK48" s="110" t="n">
        <f aca="false">IF(OR(Calculator!$E$20&lt;&gt;"YES",Calculator!$B$32&lt;Calculator!$G$20),"—",ROUND(MAX((50*POWER(80,POWER(COS(PI()*MOD(Calculator!$B$32/Calculator!$F$20,1)),2)))/$C48,$C48/(50*POWER(80,POWER(COS(PI()*MOD(Calculator!$B$32/Calculator!$F$20,1)),2)))),2))</f>
        <v>4.02</v>
      </c>
      <c r="AL48" s="110" t="n">
        <f aca="false">IF(OR(Calculator!$E$21&lt;&gt;"YES",Calculator!$B$32&lt;Calculator!$G$21),"—",ROUND(MAX((50*POWER(80,POWER(COS(PI()*MOD(Calculator!$B$32/Calculator!$F$21,1)),2)))/$C48,$C48/(50*POWER(80,POWER(COS(PI()*MOD(Calculator!$B$32/Calculator!$F$21,1)),2)))),2))</f>
        <v>3.49</v>
      </c>
      <c r="AM48" s="112" t="n">
        <f aca="false">IFERROR(ROUND((IF(ISNUMBER(AB48),AB48,0)+IF(ISNUMBER(AC48),AC48,0)+IF(ISNUMBER(AD48),AD48,0)+IF(ISNUMBER(AE48),AE48,0)+IF(ISNUMBER(AF48),AF48,0)+IF(ISNUMBER(AG48),AG48,0)+IF(ISNUMBER(AH48),AH48,0)+IF(ISNUMBER(AI48),AI48,0)+IF(ISNUMBER(AJ48),AJ48,0)+IF(ISNUMBER(AK48),AK48,0)+IF(ISNUMBER(AL48),AL48,0))/(IF(ISNUMBER(AB48),1,0)+IF(ISNUMBER(AC48),1,0)+IF(ISNUMBER(AD48),1,0)+IF(ISNUMBER(AE48),1,0)+IF(ISNUMBER(AF48),1,0)+IF(ISNUMBER(AG48),1,0)+IF(ISNUMBER(AH48),1,0)+IF(ISNUMBER(AI48),1,0)+IF(ISNUMBER(AJ48),1,0)+IF(ISNUMBER(AK48),1,0)+IF(ISNUMBER(AL48),1,0)),2),"")</f>
        <v>6.01</v>
      </c>
      <c r="AN48" s="113" t="n">
        <f aca="false">IF(OR(Calculator!$E$11&lt;&gt;"YES",Calculator!$B$33&lt;Calculator!$G$11),"—",ROUND(MAX((50*POWER(80,POWER(COS(PI()*MOD(Calculator!$B$33/Calculator!$F$11,1)),2)))/$C48,$C48/(50*POWER(80,POWER(COS(PI()*MOD(Calculator!$B$33/Calculator!$F$11,1)),2)))),2))</f>
        <v>9.28</v>
      </c>
      <c r="AO48" s="113" t="n">
        <f aca="false">IF(OR(Calculator!$E$12&lt;&gt;"YES",Calculator!$B$33&lt;Calculator!$G$12),"—",ROUND(MAX((50*POWER(80,POWER(COS(PI()*MOD(Calculator!$B$33/Calculator!$F$12,1)),2)))/$C48,$C48/(50*POWER(80,POWER(COS(PI()*MOD(Calculator!$B$33/Calculator!$F$12,1)),2)))),2))</f>
        <v>1.41</v>
      </c>
      <c r="AP48" s="113" t="n">
        <f aca="false">IF(OR(Calculator!$E$13&lt;&gt;"YES",Calculator!$B$33&lt;Calculator!$G$13),"—",ROUND(MAX((50*POWER(80,POWER(COS(PI()*MOD(Calculator!$B$33/Calculator!$F$13,1)),2)))/$C48,$C48/(50*POWER(80,POWER(COS(PI()*MOD(Calculator!$B$33/Calculator!$F$13,1)),2)))),2))</f>
        <v>2.24</v>
      </c>
      <c r="AQ48" s="113" t="n">
        <f aca="false">IF(OR(Calculator!$E$14&lt;&gt;"YES",Calculator!$B$33&lt;Calculator!$G$14),"—",ROUND(MAX((50*POWER(80,POWER(COS(PI()*MOD(Calculator!$B$33/Calculator!$F$14,1)),2)))/$C48,$C48/(50*POWER(80,POWER(COS(PI()*MOD(Calculator!$B$33/Calculator!$F$14,1)),2)))),2))</f>
        <v>4.17</v>
      </c>
      <c r="AR48" s="113" t="n">
        <f aca="false">IF(OR(Calculator!$E$15&lt;&gt;"YES",Calculator!$B$33&lt;Calculator!$G$15),"—",ROUND(MAX((50*POWER(80,POWER(COS(PI()*MOD(Calculator!$B$33/Calculator!$F$15,1)),2)))/$C48,$C48/(50*POWER(80,POWER(COS(PI()*MOD(Calculator!$B$33/Calculator!$F$15,1)),2)))),2))</f>
        <v>2.54</v>
      </c>
      <c r="AS48" s="113" t="n">
        <f aca="false">IF(OR(Calculator!$E$16&lt;&gt;"YES",Calculator!$B$33&lt;Calculator!$G$16),"—",ROUND(MAX((50*POWER(80,POWER(COS(PI()*MOD(Calculator!$B$33/Calculator!$F$16,1)),2)))/$C48,$C48/(50*POWER(80,POWER(COS(PI()*MOD(Calculator!$B$33/Calculator!$F$16,1)),2)))),2))</f>
        <v>11.73</v>
      </c>
      <c r="AT48" s="113" t="n">
        <f aca="false">IF(OR(Calculator!$E$17&lt;&gt;"YES",Calculator!$B$33&lt;Calculator!$G$17),"—",ROUND(MAX((50*POWER(80,POWER(COS(PI()*MOD(Calculator!$B$33/Calculator!$F$17,1)),2)))/$C48,$C48/(50*POWER(80,POWER(COS(PI()*MOD(Calculator!$B$33/Calculator!$F$17,1)),2)))),2))</f>
        <v>2.29</v>
      </c>
      <c r="AU48" s="113" t="n">
        <f aca="false">IF(OR(Calculator!$E$18&lt;&gt;"YES",Calculator!$B$33&lt;Calculator!$G$18),"—",ROUND(MAX((50*POWER(80,POWER(COS(PI()*MOD(Calculator!$B$33/Calculator!$F$18,1)),2)))/$C48,$C48/(50*POWER(80,POWER(COS(PI()*MOD(Calculator!$B$33/Calculator!$F$18,1)),2)))),2))</f>
        <v>2.42</v>
      </c>
      <c r="AV48" s="113" t="n">
        <f aca="false">IF(OR(Calculator!$E$19&lt;&gt;"YES",Calculator!$B$33&lt;Calculator!$G$19),"—",ROUND(MAX((50*POWER(80,POWER(COS(PI()*MOD(Calculator!$B$33/Calculator!$F$19,1)),2)))/$C48,$C48/(50*POWER(80,POWER(COS(PI()*MOD(Calculator!$B$33/Calculator!$F$19,1)),2)))),2))</f>
        <v>4.1</v>
      </c>
      <c r="AW48" s="113" t="n">
        <f aca="false">IF(OR(Calculator!$E$20&lt;&gt;"YES",Calculator!$B$33&lt;Calculator!$G$20),"—",ROUND(MAX((50*POWER(80,POWER(COS(PI()*MOD(Calculator!$B$33/Calculator!$F$20,1)),2)))/$C48,$C48/(50*POWER(80,POWER(COS(PI()*MOD(Calculator!$B$33/Calculator!$F$20,1)),2)))),2))</f>
        <v>5.34</v>
      </c>
      <c r="AX48" s="113" t="n">
        <f aca="false">IF(OR(Calculator!$E$21&lt;&gt;"YES",Calculator!$B$33&lt;Calculator!$G$21),"—",ROUND(MAX((50*POWER(80,POWER(COS(PI()*MOD(Calculator!$B$33/Calculator!$F$21,1)),2)))/$C48,$C48/(50*POWER(80,POWER(COS(PI()*MOD(Calculator!$B$33/Calculator!$F$21,1)),2)))),2))</f>
        <v>1.46</v>
      </c>
      <c r="AY48" s="112" t="n">
        <f aca="false">IFERROR(ROUND((IF(ISNUMBER(AN48),AN48,0)+IF(ISNUMBER(AO48),AO48,0)+IF(ISNUMBER(AP48),AP48,0)+IF(ISNUMBER(AQ48),AQ48,0)+IF(ISNUMBER(AR48),AR48,0)+IF(ISNUMBER(AS48),AS48,0)+IF(ISNUMBER(AT48),AT48,0)+IF(ISNUMBER(AU48),AU48,0)+IF(ISNUMBER(AV48),AV48,0)+IF(ISNUMBER(AW48),AW48,0)+IF(ISNUMBER(AX48),AX48,0))/(IF(ISNUMBER(AN48),1,0)+IF(ISNUMBER(AO48),1,0)+IF(ISNUMBER(AP48),1,0)+IF(ISNUMBER(AQ48),1,0)+IF(ISNUMBER(AR48),1,0)+IF(ISNUMBER(AS48),1,0)+IF(ISNUMBER(AT48),1,0)+IF(ISNUMBER(AU48),1,0)+IF(ISNUMBER(AV48),1,0)+IF(ISNUMBER(AW48),1,0)+IF(ISNUMBER(AX48),1,0)),2),"")</f>
        <v>4.27</v>
      </c>
      <c r="AZ48" s="113" t="n">
        <f aca="false">IF(OR(Calculator!$E$11&lt;&gt;"YES",Calculator!$B$34&lt;Calculator!$G$11),"—",ROUND(MAX((50*POWER(80,POWER(COS(PI()*MOD(Calculator!$B$34/Calculator!$F$11,1)),2)))/$C48,$C48/(50*POWER(80,POWER(COS(PI()*MOD(Calculator!$B$34/Calculator!$F$11,1)),2)))),2))</f>
        <v>8.95</v>
      </c>
      <c r="BA48" s="113" t="n">
        <f aca="false">IF(OR(Calculator!$E$12&lt;&gt;"YES",Calculator!$B$34&lt;Calculator!$G$12),"—",ROUND(MAX((50*POWER(80,POWER(COS(PI()*MOD(Calculator!$B$34/Calculator!$F$12,1)),2)))/$C48,$C48/(50*POWER(80,POWER(COS(PI()*MOD(Calculator!$B$34/Calculator!$F$12,1)),2)))),2))</f>
        <v>1.28</v>
      </c>
      <c r="BB48" s="113" t="n">
        <f aca="false">IF(OR(Calculator!$E$13&lt;&gt;"YES",Calculator!$B$34&lt;Calculator!$G$13),"—",ROUND(MAX((50*POWER(80,POWER(COS(PI()*MOD(Calculator!$B$34/Calculator!$F$13,1)),2)))/$C48,$C48/(50*POWER(80,POWER(COS(PI()*MOD(Calculator!$B$34/Calculator!$F$13,1)),2)))),2))</f>
        <v>1.92</v>
      </c>
      <c r="BC48" s="113" t="n">
        <f aca="false">IF(OR(Calculator!$E$14&lt;&gt;"YES",Calculator!$B$34&lt;Calculator!$G$14),"—",ROUND(MAX((50*POWER(80,POWER(COS(PI()*MOD(Calculator!$B$34/Calculator!$F$14,1)),2)))/$C48,$C48/(50*POWER(80,POWER(COS(PI()*MOD(Calculator!$B$34/Calculator!$F$14,1)),2)))),2))</f>
        <v>5.03</v>
      </c>
      <c r="BD48" s="113" t="n">
        <f aca="false">IF(OR(Calculator!$E$15&lt;&gt;"YES",Calculator!$B$34&lt;Calculator!$G$15),"—",ROUND(MAX((50*POWER(80,POWER(COS(PI()*MOD(Calculator!$B$34/Calculator!$F$15,1)),2)))/$C48,$C48/(50*POWER(80,POWER(COS(PI()*MOD(Calculator!$B$34/Calculator!$F$15,1)),2)))),2))</f>
        <v>3.38</v>
      </c>
      <c r="BE48" s="113" t="n">
        <f aca="false">IF(OR(Calculator!$E$16&lt;&gt;"YES",Calculator!$B$34&lt;Calculator!$G$16),"—",ROUND(MAX((50*POWER(80,POWER(COS(PI()*MOD(Calculator!$B$34/Calculator!$F$16,1)),2)))/$C48,$C48/(50*POWER(80,POWER(COS(PI()*MOD(Calculator!$B$34/Calculator!$F$16,1)),2)))),2))</f>
        <v>9.21</v>
      </c>
      <c r="BF48" s="113" t="n">
        <f aca="false">IF(OR(Calculator!$E$17&lt;&gt;"YES",Calculator!$B$34&lt;Calculator!$G$17),"—",ROUND(MAX((50*POWER(80,POWER(COS(PI()*MOD(Calculator!$B$34/Calculator!$F$17,1)),2)))/$C48,$C48/(50*POWER(80,POWER(COS(PI()*MOD(Calculator!$B$34/Calculator!$F$17,1)),2)))),2))</f>
        <v>3.28</v>
      </c>
      <c r="BG48" s="113" t="n">
        <f aca="false">IF(OR(Calculator!$E$18&lt;&gt;"YES",Calculator!$B$34&lt;Calculator!$G$18),"—",ROUND(MAX((50*POWER(80,POWER(COS(PI()*MOD(Calculator!$B$34/Calculator!$F$18,1)),2)))/$C48,$C48/(50*POWER(80,POWER(COS(PI()*MOD(Calculator!$B$34/Calculator!$F$18,1)),2)))),2))</f>
        <v>3.59</v>
      </c>
      <c r="BH48" s="113" t="n">
        <f aca="false">IF(OR(Calculator!$E$19&lt;&gt;"YES",Calculator!$B$34&lt;Calculator!$G$19),"—",ROUND(MAX((50*POWER(80,POWER(COS(PI()*MOD(Calculator!$B$34/Calculator!$F$19,1)),2)))/$C48,$C48/(50*POWER(80,POWER(COS(PI()*MOD(Calculator!$B$34/Calculator!$F$19,1)),2)))),2))</f>
        <v>2.74</v>
      </c>
      <c r="BI48" s="113" t="n">
        <f aca="false">IF(OR(Calculator!$E$20&lt;&gt;"YES",Calculator!$B$34&lt;Calculator!$G$20),"—",ROUND(MAX((50*POWER(80,POWER(COS(PI()*MOD(Calculator!$B$34/Calculator!$F$20,1)),2)))/$C48,$C48/(50*POWER(80,POWER(COS(PI()*MOD(Calculator!$B$34/Calculator!$F$20,1)),2)))),2))</f>
        <v>10.01</v>
      </c>
      <c r="BJ48" s="113" t="n">
        <f aca="false">IF(OR(Calculator!$E$21&lt;&gt;"YES",Calculator!$B$34&lt;Calculator!$G$21),"—",ROUND(MAX((50*POWER(80,POWER(COS(PI()*MOD(Calculator!$B$34/Calculator!$F$21,1)),2)))/$C48,$C48/(50*POWER(80,POWER(COS(PI()*MOD(Calculator!$B$34/Calculator!$F$21,1)),2)))),2))</f>
        <v>4.1</v>
      </c>
      <c r="BK48" s="112" t="n">
        <f aca="false">IFERROR(ROUND((IF(ISNUMBER(AZ48),AZ48,0)+IF(ISNUMBER(BA48),BA48,0)+IF(ISNUMBER(BB48),BB48,0)+IF(ISNUMBER(BC48),BC48,0)+IF(ISNUMBER(BD48),BD48,0)+IF(ISNUMBER(BE48),BE48,0)+IF(ISNUMBER(BF48),BF48,0)+IF(ISNUMBER(BG48),BG48,0)+IF(ISNUMBER(BH48),BH48,0)+IF(ISNUMBER(BI48),BI48,0)+IF(ISNUMBER(BJ48),BJ48,0))/(IF(ISNUMBER(AZ48),1,0)+IF(ISNUMBER(BA48),1,0)+IF(ISNUMBER(BB48),1,0)+IF(ISNUMBER(BC48),1,0)+IF(ISNUMBER(BD48),1,0)+IF(ISNUMBER(BE48),1,0)+IF(ISNUMBER(BF48),1,0)+IF(ISNUMBER(BG48),1,0)+IF(ISNUMBER(BH48),1,0)+IF(ISNUMBER(BI48),1,0)+IF(ISNUMBER(BJ48),1,0)),2),"")</f>
        <v>4.86</v>
      </c>
    </row>
    <row r="49" customFormat="false" ht="15" hidden="false" customHeight="false" outlineLevel="0" collapsed="false">
      <c r="A49" s="87" t="s">
        <v>107</v>
      </c>
      <c r="B49" s="87" t="s">
        <v>93</v>
      </c>
      <c r="C49" s="90" t="n">
        <v>850</v>
      </c>
      <c r="D49" s="91" t="n">
        <f aca="false">IF(OR(Calculator!$E$11&lt;&gt;"YES",Calculator!$B$30&lt;Calculator!$G$11),"—",ROUND(MAX((50*POWER(80,POWER(COS(PI()*MOD(Calculator!$B$30/Calculator!$F$11,1)),2)))/$C49,$C49/(50*POWER(80,POWER(COS(PI()*MOD(Calculator!$B$30/Calculator!$F$11,1)),2)))),2))</f>
        <v>9.62</v>
      </c>
      <c r="E49" s="91" t="n">
        <f aca="false">IF(OR(Calculator!$E$12&lt;&gt;"YES",Calculator!$B$30&lt;Calculator!$G$12),"—",ROUND(MAX((50*POWER(80,POWER(COS(PI()*MOD(Calculator!$B$30/Calculator!$F$12,1)),2)))/$C49,$C49/(50*POWER(80,POWER(COS(PI()*MOD(Calculator!$B$30/Calculator!$F$12,1)),2)))),2))</f>
        <v>1.24</v>
      </c>
      <c r="F49" s="91" t="n">
        <f aca="false">IF(OR(Calculator!$E$13&lt;&gt;"YES",Calculator!$B$30&lt;Calculator!$G$13),"—",ROUND(MAX((50*POWER(80,POWER(COS(PI()*MOD(Calculator!$B$30/Calculator!$F$13,1)),2)))/$C49,$C49/(50*POWER(80,POWER(COS(PI()*MOD(Calculator!$B$30/Calculator!$F$13,1)),2)))),2))</f>
        <v>2.15</v>
      </c>
      <c r="G49" s="91" t="n">
        <f aca="false">IF(OR(Calculator!$E$14&lt;&gt;"YES",Calculator!$B$30&lt;Calculator!$G$14),"—",ROUND(MAX((50*POWER(80,POWER(COS(PI()*MOD(Calculator!$B$30/Calculator!$F$14,1)),2)))/$C49,$C49/(50*POWER(80,POWER(COS(PI()*MOD(Calculator!$B$30/Calculator!$F$14,1)),2)))),2))</f>
        <v>5.02</v>
      </c>
      <c r="H49" s="91" t="n">
        <f aca="false">IF(OR(Calculator!$E$15&lt;&gt;"YES",Calculator!$B$30&lt;Calculator!$G$15),"—",ROUND(MAX((50*POWER(80,POWER(COS(PI()*MOD(Calculator!$B$30/Calculator!$F$15,1)),2)))/$C49,$C49/(50*POWER(80,POWER(COS(PI()*MOD(Calculator!$B$30/Calculator!$F$15,1)),2)))),2))</f>
        <v>3.27</v>
      </c>
      <c r="I49" s="91" t="n">
        <f aca="false">IF(OR(Calculator!$E$16&lt;&gt;"YES",Calculator!$B$30&lt;Calculator!$G$16),"—",ROUND(MAX((50*POWER(80,POWER(COS(PI()*MOD(Calculator!$B$30/Calculator!$F$16,1)),2)))/$C49,$C49/(50*POWER(80,POWER(COS(PI()*MOD(Calculator!$B$30/Calculator!$F$16,1)),2)))),2))</f>
        <v>10.68</v>
      </c>
      <c r="J49" s="91" t="n">
        <f aca="false">IF(OR(Calculator!$E$17&lt;&gt;"YES",Calculator!$B$30&lt;Calculator!$G$17),"—",ROUND(MAX((50*POWER(80,POWER(COS(PI()*MOD(Calculator!$B$30/Calculator!$F$17,1)),2)))/$C49,$C49/(50*POWER(80,POWER(COS(PI()*MOD(Calculator!$B$30/Calculator!$F$17,1)),2)))),2))</f>
        <v>2.77</v>
      </c>
      <c r="K49" s="91" t="n">
        <f aca="false">IF(OR(Calculator!$E$18&lt;&gt;"YES",Calculator!$B$30&lt;Calculator!$G$18),"—",ROUND(MAX((50*POWER(80,POWER(COS(PI()*MOD(Calculator!$B$30/Calculator!$F$18,1)),2)))/$C49,$C49/(50*POWER(80,POWER(COS(PI()*MOD(Calculator!$B$30/Calculator!$F$18,1)),2)))),2))</f>
        <v>3</v>
      </c>
      <c r="L49" s="91" t="n">
        <f aca="false">IF(OR(Calculator!$E$19&lt;&gt;"YES",Calculator!$B$30&lt;Calculator!$G$19),"—",ROUND(MAX((50*POWER(80,POWER(COS(PI()*MOD(Calculator!$B$30/Calculator!$F$19,1)),2)))/$C49,$C49/(50*POWER(80,POWER(COS(PI()*MOD(Calculator!$B$30/Calculator!$F$19,1)),2)))),2))</f>
        <v>3.01</v>
      </c>
      <c r="M49" s="91" t="n">
        <f aca="false">IF(OR(Calculator!$E$20&lt;&gt;"YES",Calculator!$B$30&lt;Calculator!$G$20),"—",ROUND(MAX((50*POWER(80,POWER(COS(PI()*MOD(Calculator!$B$30/Calculator!$F$20,1)),2)))/$C49,$C49/(50*POWER(80,POWER(COS(PI()*MOD(Calculator!$B$30/Calculator!$F$20,1)),2)))),2))</f>
        <v>8.84</v>
      </c>
      <c r="N49" s="91" t="n">
        <f aca="false">IF(OR(Calculator!$E$21&lt;&gt;"YES",Calculator!$B$30&lt;Calculator!$G$21),"—",ROUND(MAX((50*POWER(80,POWER(COS(PI()*MOD(Calculator!$B$30/Calculator!$F$21,1)),2)))/$C49,$C49/(50*POWER(80,POWER(COS(PI()*MOD(Calculator!$B$30/Calculator!$F$21,1)),2)))),2))</f>
        <v>2.98</v>
      </c>
      <c r="O49" s="114" t="n">
        <f aca="false">IFERROR(ROUND((IF(ISNUMBER(D49),D49,0)+IF(ISNUMBER(E49),E49,0)+IF(ISNUMBER(F49),F49,0)+IF(ISNUMBER(G49),G49,0)+IF(ISNUMBER(H49),H49,0)+IF(ISNUMBER(I49),I49,0)+IF(ISNUMBER(J49),J49,0)+IF(ISNUMBER(K49),K49,0)+IF(ISNUMBER(L49),L49,0)+IF(ISNUMBER(M49),M49,0)+IF(ISNUMBER(N49),N49,0))/(IF(ISNUMBER(D49),1,0)+IF(ISNUMBER(E49),1,0)+IF(ISNUMBER(F49),1,0)+IF(ISNUMBER(G49),1,0)+IF(ISNUMBER(H49),1,0)+IF(ISNUMBER(I49),1,0)+IF(ISNUMBER(J49),1,0)+IF(ISNUMBER(K49),1,0)+IF(ISNUMBER(L49),1,0)+IF(ISNUMBER(M49),1,0)+IF(ISNUMBER(N49),1,0)),2),"")</f>
        <v>4.78</v>
      </c>
      <c r="P49" s="91" t="n">
        <f aca="false">IF(OR(Calculator!$E$11&lt;&gt;"YES",Calculator!$B$31&lt;Calculator!$G$11),"—",ROUND(MAX((50*POWER(80,POWER(COS(PI()*MOD(Calculator!$B$31/Calculator!$F$11,1)),2)))/$C49,$C49/(50*POWER(80,POWER(COS(PI()*MOD(Calculator!$B$31/Calculator!$F$11,1)),2)))),2))</f>
        <v>9.74</v>
      </c>
      <c r="Q49" s="91" t="n">
        <f aca="false">IF(OR(Calculator!$E$12&lt;&gt;"YES",Calculator!$B$31&lt;Calculator!$G$12),"—",ROUND(MAX((50*POWER(80,POWER(COS(PI()*MOD(Calculator!$B$31/Calculator!$F$12,1)),2)))/$C49,$C49/(50*POWER(80,POWER(COS(PI()*MOD(Calculator!$B$31/Calculator!$F$12,1)),2)))),2))</f>
        <v>1.28</v>
      </c>
      <c r="R49" s="91" t="n">
        <f aca="false">IF(OR(Calculator!$E$13&lt;&gt;"YES",Calculator!$B$31&lt;Calculator!$G$13),"—",ROUND(MAX((50*POWER(80,POWER(COS(PI()*MOD(Calculator!$B$31/Calculator!$F$13,1)),2)))/$C49,$C49/(50*POWER(80,POWER(COS(PI()*MOD(Calculator!$B$31/Calculator!$F$13,1)),2)))),2))</f>
        <v>2.26</v>
      </c>
      <c r="S49" s="91" t="n">
        <f aca="false">IF(OR(Calculator!$E$14&lt;&gt;"YES",Calculator!$B$31&lt;Calculator!$G$14),"—",ROUND(MAX((50*POWER(80,POWER(COS(PI()*MOD(Calculator!$B$31/Calculator!$F$14,1)),2)))/$C49,$C49/(50*POWER(80,POWER(COS(PI()*MOD(Calculator!$B$31/Calculator!$F$14,1)),2)))),2))</f>
        <v>4.72</v>
      </c>
      <c r="T49" s="91" t="n">
        <f aca="false">IF(OR(Calculator!$E$15&lt;&gt;"YES",Calculator!$B$31&lt;Calculator!$G$15),"—",ROUND(MAX((50*POWER(80,POWER(COS(PI()*MOD(Calculator!$B$31/Calculator!$F$15,1)),2)))/$C49,$C49/(50*POWER(80,POWER(COS(PI()*MOD(Calculator!$B$31/Calculator!$F$15,1)),2)))),2))</f>
        <v>2.97</v>
      </c>
      <c r="U49" s="91" t="n">
        <f aca="false">IF(OR(Calculator!$E$16&lt;&gt;"YES",Calculator!$B$31&lt;Calculator!$G$16),"—",ROUND(MAX((50*POWER(80,POWER(COS(PI()*MOD(Calculator!$B$31/Calculator!$F$16,1)),2)))/$C49,$C49/(50*POWER(80,POWER(COS(PI()*MOD(Calculator!$B$31/Calculator!$F$16,1)),2)))),2))</f>
        <v>11.58</v>
      </c>
      <c r="V49" s="91" t="n">
        <f aca="false">IF(OR(Calculator!$E$17&lt;&gt;"YES",Calculator!$B$31&lt;Calculator!$G$17),"—",ROUND(MAX((50*POWER(80,POWER(COS(PI()*MOD(Calculator!$B$31/Calculator!$F$17,1)),2)))/$C49,$C49/(50*POWER(80,POWER(COS(PI()*MOD(Calculator!$B$31/Calculator!$F$17,1)),2)))),2))</f>
        <v>2.45</v>
      </c>
      <c r="W49" s="91" t="n">
        <f aca="false">IF(OR(Calculator!$E$18&lt;&gt;"YES",Calculator!$B$31&lt;Calculator!$G$18),"—",ROUND(MAX((50*POWER(80,POWER(COS(PI()*MOD(Calculator!$B$31/Calculator!$F$18,1)),2)))/$C49,$C49/(50*POWER(80,POWER(COS(PI()*MOD(Calculator!$B$31/Calculator!$F$18,1)),2)))),2))</f>
        <v>2.63</v>
      </c>
      <c r="X49" s="91" t="n">
        <f aca="false">IF(OR(Calculator!$E$19&lt;&gt;"YES",Calculator!$B$31&lt;Calculator!$G$19),"—",ROUND(MAX((50*POWER(80,POWER(COS(PI()*MOD(Calculator!$B$31/Calculator!$F$19,1)),2)))/$C49,$C49/(50*POWER(80,POWER(COS(PI()*MOD(Calculator!$B$31/Calculator!$F$19,1)),2)))),2))</f>
        <v>3.45</v>
      </c>
      <c r="Y49" s="91" t="n">
        <f aca="false">IF(OR(Calculator!$E$20&lt;&gt;"YES",Calculator!$B$31&lt;Calculator!$G$20),"—",ROUND(MAX((50*POWER(80,POWER(COS(PI()*MOD(Calculator!$B$31/Calculator!$F$20,1)),2)))/$C49,$C49/(50*POWER(80,POWER(COS(PI()*MOD(Calculator!$B$31/Calculator!$F$20,1)),2)))),2))</f>
        <v>7.16</v>
      </c>
      <c r="Z49" s="91" t="n">
        <f aca="false">IF(OR(Calculator!$E$21&lt;&gt;"YES",Calculator!$B$31&lt;Calculator!$G$21),"—",ROUND(MAX((50*POWER(80,POWER(COS(PI()*MOD(Calculator!$B$31/Calculator!$F$21,1)),2)))/$C49,$C49/(50*POWER(80,POWER(COS(PI()*MOD(Calculator!$B$31/Calculator!$F$21,1)),2)))),2))</f>
        <v>2.1</v>
      </c>
      <c r="AA49" s="114" t="n">
        <f aca="false">IFERROR(ROUND((IF(ISNUMBER(P49),P49,0)+IF(ISNUMBER(Q49),Q49,0)+IF(ISNUMBER(R49),R49,0)+IF(ISNUMBER(S49),S49,0)+IF(ISNUMBER(T49),T49,0)+IF(ISNUMBER(U49),U49,0)+IF(ISNUMBER(V49),V49,0)+IF(ISNUMBER(W49),W49,0)+IF(ISNUMBER(X49),X49,0)+IF(ISNUMBER(Y49),Y49,0)+IF(ISNUMBER(Z49),Z49,0))/(IF(ISNUMBER(P49),1,0)+IF(ISNUMBER(Q49),1,0)+IF(ISNUMBER(R49),1,0)+IF(ISNUMBER(S49),1,0)+IF(ISNUMBER(T49),1,0)+IF(ISNUMBER(U49),1,0)+IF(ISNUMBER(V49),1,0)+IF(ISNUMBER(W49),1,0)+IF(ISNUMBER(X49),1,0)+IF(ISNUMBER(Y49),1,0)+IF(ISNUMBER(Z49),1,0)),2),"")</f>
        <v>4.58</v>
      </c>
      <c r="AB49" s="91" t="n">
        <f aca="false">IF(OR(Calculator!$E$11&lt;&gt;"YES",Calculator!$B$32&lt;Calculator!$G$11),"—",ROUND(MAX((50*POWER(80,POWER(COS(PI()*MOD(Calculator!$B$32/Calculator!$F$11,1)),2)))/$C49,$C49/(50*POWER(80,POWER(COS(PI()*MOD(Calculator!$B$32/Calculator!$F$11,1)),2)))),2))</f>
        <v>12.26</v>
      </c>
      <c r="AC49" s="91" t="n">
        <f aca="false">IF(OR(Calculator!$E$12&lt;&gt;"YES",Calculator!$B$32&lt;Calculator!$G$12),"—",ROUND(MAX((50*POWER(80,POWER(COS(PI()*MOD(Calculator!$B$32/Calculator!$F$12,1)),2)))/$C49,$C49/(50*POWER(80,POWER(COS(PI()*MOD(Calculator!$B$32/Calculator!$F$12,1)),2)))),2))</f>
        <v>2.37</v>
      </c>
      <c r="AD49" s="91" t="n">
        <f aca="false">IF(OR(Calculator!$E$13&lt;&gt;"YES",Calculator!$B$32&lt;Calculator!$G$13),"—",ROUND(MAX((50*POWER(80,POWER(COS(PI()*MOD(Calculator!$B$32/Calculator!$F$13,1)),2)))/$C49,$C49/(50*POWER(80,POWER(COS(PI()*MOD(Calculator!$B$32/Calculator!$F$13,1)),2)))),2))</f>
        <v>6.26</v>
      </c>
      <c r="AE49" s="91" t="n">
        <f aca="false">IF(OR(Calculator!$E$14&lt;&gt;"YES",Calculator!$B$32&lt;Calculator!$G$14),"—",ROUND(MAX((50*POWER(80,POWER(COS(PI()*MOD(Calculator!$B$32/Calculator!$F$14,1)),2)))/$C49,$C49/(50*POWER(80,POWER(COS(PI()*MOD(Calculator!$B$32/Calculator!$F$14,1)),2)))),2))</f>
        <v>1.14</v>
      </c>
      <c r="AF49" s="91" t="n">
        <f aca="false">IF(OR(Calculator!$E$15&lt;&gt;"YES",Calculator!$B$32&lt;Calculator!$G$15),"—",ROUND(MAX((50*POWER(80,POWER(COS(PI()*MOD(Calculator!$B$32/Calculator!$F$15,1)),2)))/$C49,$C49/(50*POWER(80,POWER(COS(PI()*MOD(Calculator!$B$32/Calculator!$F$15,1)),2)))),2))</f>
        <v>2.28</v>
      </c>
      <c r="AG49" s="91" t="n">
        <f aca="false">IF(OR(Calculator!$E$16&lt;&gt;"YES",Calculator!$B$32&lt;Calculator!$G$16),"—",ROUND(MAX((50*POWER(80,POWER(COS(PI()*MOD(Calculator!$B$32/Calculator!$F$16,1)),2)))/$C49,$C49/(50*POWER(80,POWER(COS(PI()*MOD(Calculator!$B$32/Calculator!$F$16,1)),2)))),2))</f>
        <v>9.99</v>
      </c>
      <c r="AH49" s="91" t="n">
        <f aca="false">IF(OR(Calculator!$E$17&lt;&gt;"YES",Calculator!$B$32&lt;Calculator!$G$17),"—",ROUND(MAX((50*POWER(80,POWER(COS(PI()*MOD(Calculator!$B$32/Calculator!$F$17,1)),2)))/$C49,$C49/(50*POWER(80,POWER(COS(PI()*MOD(Calculator!$B$32/Calculator!$F$17,1)),2)))),2))</f>
        <v>10.55</v>
      </c>
      <c r="AI49" s="91" t="n">
        <f aca="false">IF(OR(Calculator!$E$18&lt;&gt;"YES",Calculator!$B$32&lt;Calculator!$G$18),"—",ROUND(MAX((50*POWER(80,POWER(COS(PI()*MOD(Calculator!$B$32/Calculator!$F$18,1)),2)))/$C49,$C49/(50*POWER(80,POWER(COS(PI()*MOD(Calculator!$B$32/Calculator!$F$18,1)),2)))),2))</f>
        <v>13.91</v>
      </c>
      <c r="AJ49" s="91" t="n">
        <f aca="false">IF(OR(Calculator!$E$19&lt;&gt;"YES",Calculator!$B$32&lt;Calculator!$G$19),"—",ROUND(MAX((50*POWER(80,POWER(COS(PI()*MOD(Calculator!$B$32/Calculator!$F$19,1)),2)))/$C49,$C49/(50*POWER(80,POWER(COS(PI()*MOD(Calculator!$B$32/Calculator!$F$19,1)),2)))),2))</f>
        <v>2.93</v>
      </c>
      <c r="AK49" s="91" t="n">
        <f aca="false">IF(OR(Calculator!$E$20&lt;&gt;"YES",Calculator!$B$32&lt;Calculator!$G$20),"—",ROUND(MAX((50*POWER(80,POWER(COS(PI()*MOD(Calculator!$B$32/Calculator!$F$20,1)),2)))/$C49,$C49/(50*POWER(80,POWER(COS(PI()*MOD(Calculator!$B$32/Calculator!$F$20,1)),2)))),2))</f>
        <v>3.78</v>
      </c>
      <c r="AL49" s="91" t="n">
        <f aca="false">IF(OR(Calculator!$E$21&lt;&gt;"YES",Calculator!$B$32&lt;Calculator!$G$21),"—",ROUND(MAX((50*POWER(80,POWER(COS(PI()*MOD(Calculator!$B$32/Calculator!$F$21,1)),2)))/$C49,$C49/(50*POWER(80,POWER(COS(PI()*MOD(Calculator!$B$32/Calculator!$F$21,1)),2)))),2))</f>
        <v>3.28</v>
      </c>
      <c r="AM49" s="115" t="n">
        <f aca="false">IFERROR(ROUND((IF(ISNUMBER(AB49),AB49,0)+IF(ISNUMBER(AC49),AC49,0)+IF(ISNUMBER(AD49),AD49,0)+IF(ISNUMBER(AE49),AE49,0)+IF(ISNUMBER(AF49),AF49,0)+IF(ISNUMBER(AG49),AG49,0)+IF(ISNUMBER(AH49),AH49,0)+IF(ISNUMBER(AI49),AI49,0)+IF(ISNUMBER(AJ49),AJ49,0)+IF(ISNUMBER(AK49),AK49,0)+IF(ISNUMBER(AL49),AL49,0))/(IF(ISNUMBER(AB49),1,0)+IF(ISNUMBER(AC49),1,0)+IF(ISNUMBER(AD49),1,0)+IF(ISNUMBER(AE49),1,0)+IF(ISNUMBER(AF49),1,0)+IF(ISNUMBER(AG49),1,0)+IF(ISNUMBER(AH49),1,0)+IF(ISNUMBER(AI49),1,0)+IF(ISNUMBER(AJ49),1,0)+IF(ISNUMBER(AK49),1,0)+IF(ISNUMBER(AL49),1,0)),2),"")</f>
        <v>6.25</v>
      </c>
      <c r="AN49" s="116" t="n">
        <f aca="false">IF(OR(Calculator!$E$11&lt;&gt;"YES",Calculator!$B$33&lt;Calculator!$G$11),"—",ROUND(MAX((50*POWER(80,POWER(COS(PI()*MOD(Calculator!$B$33/Calculator!$F$11,1)),2)))/$C49,$C49/(50*POWER(80,POWER(COS(PI()*MOD(Calculator!$B$33/Calculator!$F$11,1)),2)))),2))</f>
        <v>9.86</v>
      </c>
      <c r="AO49" s="116" t="n">
        <f aca="false">IF(OR(Calculator!$E$12&lt;&gt;"YES",Calculator!$B$33&lt;Calculator!$G$12),"—",ROUND(MAX((50*POWER(80,POWER(COS(PI()*MOD(Calculator!$B$33/Calculator!$F$12,1)),2)))/$C49,$C49/(50*POWER(80,POWER(COS(PI()*MOD(Calculator!$B$33/Calculator!$F$12,1)),2)))),2))</f>
        <v>1.32</v>
      </c>
      <c r="AP49" s="116" t="n">
        <f aca="false">IF(OR(Calculator!$E$13&lt;&gt;"YES",Calculator!$B$33&lt;Calculator!$G$13),"—",ROUND(MAX((50*POWER(80,POWER(COS(PI()*MOD(Calculator!$B$33/Calculator!$F$13,1)),2)))/$C49,$C49/(50*POWER(80,POWER(COS(PI()*MOD(Calculator!$B$33/Calculator!$F$13,1)),2)))),2))</f>
        <v>2.38</v>
      </c>
      <c r="AQ49" s="116" t="n">
        <f aca="false">IF(OR(Calculator!$E$14&lt;&gt;"YES",Calculator!$B$33&lt;Calculator!$G$14),"—",ROUND(MAX((50*POWER(80,POWER(COS(PI()*MOD(Calculator!$B$33/Calculator!$F$14,1)),2)))/$C49,$C49/(50*POWER(80,POWER(COS(PI()*MOD(Calculator!$B$33/Calculator!$F$14,1)),2)))),2))</f>
        <v>4.43</v>
      </c>
      <c r="AR49" s="116" t="n">
        <f aca="false">IF(OR(Calculator!$E$15&lt;&gt;"YES",Calculator!$B$33&lt;Calculator!$G$15),"—",ROUND(MAX((50*POWER(80,POWER(COS(PI()*MOD(Calculator!$B$33/Calculator!$F$15,1)),2)))/$C49,$C49/(50*POWER(80,POWER(COS(PI()*MOD(Calculator!$B$33/Calculator!$F$15,1)),2)))),2))</f>
        <v>2.7</v>
      </c>
      <c r="AS49" s="116" t="n">
        <f aca="false">IF(OR(Calculator!$E$16&lt;&gt;"YES",Calculator!$B$33&lt;Calculator!$G$16),"—",ROUND(MAX((50*POWER(80,POWER(COS(PI()*MOD(Calculator!$B$33/Calculator!$F$16,1)),2)))/$C49,$C49/(50*POWER(80,POWER(COS(PI()*MOD(Calculator!$B$33/Calculator!$F$16,1)),2)))),2))</f>
        <v>12.46</v>
      </c>
      <c r="AT49" s="116" t="n">
        <f aca="false">IF(OR(Calculator!$E$17&lt;&gt;"YES",Calculator!$B$33&lt;Calculator!$G$17),"—",ROUND(MAX((50*POWER(80,POWER(COS(PI()*MOD(Calculator!$B$33/Calculator!$F$17,1)),2)))/$C49,$C49/(50*POWER(80,POWER(COS(PI()*MOD(Calculator!$B$33/Calculator!$F$17,1)),2)))),2))</f>
        <v>2.16</v>
      </c>
      <c r="AU49" s="116" t="n">
        <f aca="false">IF(OR(Calculator!$E$18&lt;&gt;"YES",Calculator!$B$33&lt;Calculator!$G$18),"—",ROUND(MAX((50*POWER(80,POWER(COS(PI()*MOD(Calculator!$B$33/Calculator!$F$18,1)),2)))/$C49,$C49/(50*POWER(80,POWER(COS(PI()*MOD(Calculator!$B$33/Calculator!$F$18,1)),2)))),2))</f>
        <v>2.27</v>
      </c>
      <c r="AV49" s="116" t="n">
        <f aca="false">IF(OR(Calculator!$E$19&lt;&gt;"YES",Calculator!$B$33&lt;Calculator!$G$19),"—",ROUND(MAX((50*POWER(80,POWER(COS(PI()*MOD(Calculator!$B$33/Calculator!$F$19,1)),2)))/$C49,$C49/(50*POWER(80,POWER(COS(PI()*MOD(Calculator!$B$33/Calculator!$F$19,1)),2)))),2))</f>
        <v>3.86</v>
      </c>
      <c r="AW49" s="116" t="n">
        <f aca="false">IF(OR(Calculator!$E$20&lt;&gt;"YES",Calculator!$B$33&lt;Calculator!$G$20),"—",ROUND(MAX((50*POWER(80,POWER(COS(PI()*MOD(Calculator!$B$33/Calculator!$F$20,1)),2)))/$C49,$C49/(50*POWER(80,POWER(COS(PI()*MOD(Calculator!$B$33/Calculator!$F$20,1)),2)))),2))</f>
        <v>5.68</v>
      </c>
      <c r="AX49" s="116" t="n">
        <f aca="false">IF(OR(Calculator!$E$21&lt;&gt;"YES",Calculator!$B$33&lt;Calculator!$G$21),"—",ROUND(MAX((50*POWER(80,POWER(COS(PI()*MOD(Calculator!$B$33/Calculator!$F$21,1)),2)))/$C49,$C49/(50*POWER(80,POWER(COS(PI()*MOD(Calculator!$B$33/Calculator!$F$21,1)),2)))),2))</f>
        <v>1.38</v>
      </c>
      <c r="AY49" s="115" t="n">
        <f aca="false">IFERROR(ROUND((IF(ISNUMBER(AN49),AN49,0)+IF(ISNUMBER(AO49),AO49,0)+IF(ISNUMBER(AP49),AP49,0)+IF(ISNUMBER(AQ49),AQ49,0)+IF(ISNUMBER(AR49),AR49,0)+IF(ISNUMBER(AS49),AS49,0)+IF(ISNUMBER(AT49),AT49,0)+IF(ISNUMBER(AU49),AU49,0)+IF(ISNUMBER(AV49),AV49,0)+IF(ISNUMBER(AW49),AW49,0)+IF(ISNUMBER(AX49),AX49,0))/(IF(ISNUMBER(AN49),1,0)+IF(ISNUMBER(AO49),1,0)+IF(ISNUMBER(AP49),1,0)+IF(ISNUMBER(AQ49),1,0)+IF(ISNUMBER(AR49),1,0)+IF(ISNUMBER(AS49),1,0)+IF(ISNUMBER(AT49),1,0)+IF(ISNUMBER(AU49),1,0)+IF(ISNUMBER(AV49),1,0)+IF(ISNUMBER(AW49),1,0)+IF(ISNUMBER(AX49),1,0)),2),"")</f>
        <v>4.41</v>
      </c>
      <c r="AZ49" s="116" t="n">
        <f aca="false">IF(OR(Calculator!$E$11&lt;&gt;"YES",Calculator!$B$34&lt;Calculator!$G$11),"—",ROUND(MAX((50*POWER(80,POWER(COS(PI()*MOD(Calculator!$B$34/Calculator!$F$11,1)),2)))/$C49,$C49/(50*POWER(80,POWER(COS(PI()*MOD(Calculator!$B$34/Calculator!$F$11,1)),2)))),2))</f>
        <v>9.51</v>
      </c>
      <c r="BA49" s="116" t="n">
        <f aca="false">IF(OR(Calculator!$E$12&lt;&gt;"YES",Calculator!$B$34&lt;Calculator!$G$12),"—",ROUND(MAX((50*POWER(80,POWER(COS(PI()*MOD(Calculator!$B$34/Calculator!$F$12,1)),2)))/$C49,$C49/(50*POWER(80,POWER(COS(PI()*MOD(Calculator!$B$34/Calculator!$F$12,1)),2)))),2))</f>
        <v>1.2</v>
      </c>
      <c r="BB49" s="116" t="n">
        <f aca="false">IF(OR(Calculator!$E$13&lt;&gt;"YES",Calculator!$B$34&lt;Calculator!$G$13),"—",ROUND(MAX((50*POWER(80,POWER(COS(PI()*MOD(Calculator!$B$34/Calculator!$F$13,1)),2)))/$C49,$C49/(50*POWER(80,POWER(COS(PI()*MOD(Calculator!$B$34/Calculator!$F$13,1)),2)))),2))</f>
        <v>2.04</v>
      </c>
      <c r="BC49" s="116" t="n">
        <f aca="false">IF(OR(Calculator!$E$14&lt;&gt;"YES",Calculator!$B$34&lt;Calculator!$G$14),"—",ROUND(MAX((50*POWER(80,POWER(COS(PI()*MOD(Calculator!$B$34/Calculator!$F$14,1)),2)))/$C49,$C49/(50*POWER(80,POWER(COS(PI()*MOD(Calculator!$B$34/Calculator!$F$14,1)),2)))),2))</f>
        <v>5.34</v>
      </c>
      <c r="BD49" s="116" t="n">
        <f aca="false">IF(OR(Calculator!$E$15&lt;&gt;"YES",Calculator!$B$34&lt;Calculator!$G$15),"—",ROUND(MAX((50*POWER(80,POWER(COS(PI()*MOD(Calculator!$B$34/Calculator!$F$15,1)),2)))/$C49,$C49/(50*POWER(80,POWER(COS(PI()*MOD(Calculator!$B$34/Calculator!$F$15,1)),2)))),2))</f>
        <v>3.59</v>
      </c>
      <c r="BE49" s="116" t="n">
        <f aca="false">IF(OR(Calculator!$E$16&lt;&gt;"YES",Calculator!$B$34&lt;Calculator!$G$16),"—",ROUND(MAX((50*POWER(80,POWER(COS(PI()*MOD(Calculator!$B$34/Calculator!$F$16,1)),2)))/$C49,$C49/(50*POWER(80,POWER(COS(PI()*MOD(Calculator!$B$34/Calculator!$F$16,1)),2)))),2))</f>
        <v>9.78</v>
      </c>
      <c r="BF49" s="116" t="n">
        <f aca="false">IF(OR(Calculator!$E$17&lt;&gt;"YES",Calculator!$B$34&lt;Calculator!$G$17),"—",ROUND(MAX((50*POWER(80,POWER(COS(PI()*MOD(Calculator!$B$34/Calculator!$F$17,1)),2)))/$C49,$C49/(50*POWER(80,POWER(COS(PI()*MOD(Calculator!$B$34/Calculator!$F$17,1)),2)))),2))</f>
        <v>3.08</v>
      </c>
      <c r="BG49" s="116" t="n">
        <f aca="false">IF(OR(Calculator!$E$18&lt;&gt;"YES",Calculator!$B$34&lt;Calculator!$G$18),"—",ROUND(MAX((50*POWER(80,POWER(COS(PI()*MOD(Calculator!$B$34/Calculator!$F$18,1)),2)))/$C49,$C49/(50*POWER(80,POWER(COS(PI()*MOD(Calculator!$B$34/Calculator!$F$18,1)),2)))),2))</f>
        <v>3.37</v>
      </c>
      <c r="BH49" s="116" t="n">
        <f aca="false">IF(OR(Calculator!$E$19&lt;&gt;"YES",Calculator!$B$34&lt;Calculator!$G$19),"—",ROUND(MAX((50*POWER(80,POWER(COS(PI()*MOD(Calculator!$B$34/Calculator!$F$19,1)),2)))/$C49,$C49/(50*POWER(80,POWER(COS(PI()*MOD(Calculator!$B$34/Calculator!$F$19,1)),2)))),2))</f>
        <v>2.58</v>
      </c>
      <c r="BI49" s="116" t="n">
        <f aca="false">IF(OR(Calculator!$E$20&lt;&gt;"YES",Calculator!$B$34&lt;Calculator!$G$20),"—",ROUND(MAX((50*POWER(80,POWER(COS(PI()*MOD(Calculator!$B$34/Calculator!$F$20,1)),2)))/$C49,$C49/(50*POWER(80,POWER(COS(PI()*MOD(Calculator!$B$34/Calculator!$F$20,1)),2)))),2))</f>
        <v>10.64</v>
      </c>
      <c r="BJ49" s="116" t="n">
        <f aca="false">IF(OR(Calculator!$E$21&lt;&gt;"YES",Calculator!$B$34&lt;Calculator!$G$21),"—",ROUND(MAX((50*POWER(80,POWER(COS(PI()*MOD(Calculator!$B$34/Calculator!$F$21,1)),2)))/$C49,$C49/(50*POWER(80,POWER(COS(PI()*MOD(Calculator!$B$34/Calculator!$F$21,1)),2)))),2))</f>
        <v>3.86</v>
      </c>
      <c r="BK49" s="115" t="n">
        <f aca="false">IFERROR(ROUND((IF(ISNUMBER(AZ49),AZ49,0)+IF(ISNUMBER(BA49),BA49,0)+IF(ISNUMBER(BB49),BB49,0)+IF(ISNUMBER(BC49),BC49,0)+IF(ISNUMBER(BD49),BD49,0)+IF(ISNUMBER(BE49),BE49,0)+IF(ISNUMBER(BF49),BF49,0)+IF(ISNUMBER(BG49),BG49,0)+IF(ISNUMBER(BH49),BH49,0)+IF(ISNUMBER(BI49),BI49,0)+IF(ISNUMBER(BJ49),BJ49,0))/(IF(ISNUMBER(AZ49),1,0)+IF(ISNUMBER(BA49),1,0)+IF(ISNUMBER(BB49),1,0)+IF(ISNUMBER(BC49),1,0)+IF(ISNUMBER(BD49),1,0)+IF(ISNUMBER(BE49),1,0)+IF(ISNUMBER(BF49),1,0)+IF(ISNUMBER(BG49),1,0)+IF(ISNUMBER(BH49),1,0)+IF(ISNUMBER(BI49),1,0)+IF(ISNUMBER(BJ49),1,0)),2),"")</f>
        <v>5</v>
      </c>
    </row>
    <row r="50" customFormat="false" ht="15" hidden="false" customHeight="false" outlineLevel="0" collapsed="false">
      <c r="A50" s="117" t="s">
        <v>108</v>
      </c>
      <c r="B50" s="117" t="s">
        <v>93</v>
      </c>
      <c r="C50" s="118" t="n">
        <v>900</v>
      </c>
      <c r="D50" s="119" t="n">
        <f aca="false">IF(OR(Calculator!$E$11&lt;&gt;"YES",Calculator!$B$30&lt;Calculator!$G$11),"—",ROUND(MAX((50*POWER(80,POWER(COS(PI()*MOD(Calculator!$B$30/Calculator!$F$11,1)),2)))/$C50,$C50/(50*POWER(80,POWER(COS(PI()*MOD(Calculator!$B$30/Calculator!$F$11,1)),2)))),2))</f>
        <v>10.19</v>
      </c>
      <c r="E50" s="119" t="n">
        <f aca="false">IF(OR(Calculator!$E$12&lt;&gt;"YES",Calculator!$B$30&lt;Calculator!$G$12),"—",ROUND(MAX((50*POWER(80,POWER(COS(PI()*MOD(Calculator!$B$30/Calculator!$F$12,1)),2)))/$C50,$C50/(50*POWER(80,POWER(COS(PI()*MOD(Calculator!$B$30/Calculator!$F$12,1)),2)))),2))</f>
        <v>1.17</v>
      </c>
      <c r="F50" s="119" t="n">
        <f aca="false">IF(OR(Calculator!$E$13&lt;&gt;"YES",Calculator!$B$30&lt;Calculator!$G$13),"—",ROUND(MAX((50*POWER(80,POWER(COS(PI()*MOD(Calculator!$B$30/Calculator!$F$13,1)),2)))/$C50,$C50/(50*POWER(80,POWER(COS(PI()*MOD(Calculator!$B$30/Calculator!$F$13,1)),2)))),2))</f>
        <v>2.27</v>
      </c>
      <c r="G50" s="119" t="n">
        <f aca="false">IF(OR(Calculator!$E$14&lt;&gt;"YES",Calculator!$B$30&lt;Calculator!$G$14),"—",ROUND(MAX((50*POWER(80,POWER(COS(PI()*MOD(Calculator!$B$30/Calculator!$F$14,1)),2)))/$C50,$C50/(50*POWER(80,POWER(COS(PI()*MOD(Calculator!$B$30/Calculator!$F$14,1)),2)))),2))</f>
        <v>5.32</v>
      </c>
      <c r="H50" s="119" t="n">
        <f aca="false">IF(OR(Calculator!$E$15&lt;&gt;"YES",Calculator!$B$30&lt;Calculator!$G$15),"—",ROUND(MAX((50*POWER(80,POWER(COS(PI()*MOD(Calculator!$B$30/Calculator!$F$15,1)),2)))/$C50,$C50/(50*POWER(80,POWER(COS(PI()*MOD(Calculator!$B$30/Calculator!$F$15,1)),2)))),2))</f>
        <v>3.46</v>
      </c>
      <c r="I50" s="119" t="n">
        <f aca="false">IF(OR(Calculator!$E$16&lt;&gt;"YES",Calculator!$B$30&lt;Calculator!$G$16),"—",ROUND(MAX((50*POWER(80,POWER(COS(PI()*MOD(Calculator!$B$30/Calculator!$F$16,1)),2)))/$C50,$C50/(50*POWER(80,POWER(COS(PI()*MOD(Calculator!$B$30/Calculator!$F$16,1)),2)))),2))</f>
        <v>11.31</v>
      </c>
      <c r="J50" s="119" t="n">
        <f aca="false">IF(OR(Calculator!$E$17&lt;&gt;"YES",Calculator!$B$30&lt;Calculator!$G$17),"—",ROUND(MAX((50*POWER(80,POWER(COS(PI()*MOD(Calculator!$B$30/Calculator!$F$17,1)),2)))/$C50,$C50/(50*POWER(80,POWER(COS(PI()*MOD(Calculator!$B$30/Calculator!$F$17,1)),2)))),2))</f>
        <v>2.61</v>
      </c>
      <c r="K50" s="119" t="n">
        <f aca="false">IF(OR(Calculator!$E$18&lt;&gt;"YES",Calculator!$B$30&lt;Calculator!$G$18),"—",ROUND(MAX((50*POWER(80,POWER(COS(PI()*MOD(Calculator!$B$30/Calculator!$F$18,1)),2)))/$C50,$C50/(50*POWER(80,POWER(COS(PI()*MOD(Calculator!$B$30/Calculator!$F$18,1)),2)))),2))</f>
        <v>2.84</v>
      </c>
      <c r="L50" s="119" t="n">
        <f aca="false">IF(OR(Calculator!$E$19&lt;&gt;"YES",Calculator!$B$30&lt;Calculator!$G$19),"—",ROUND(MAX((50*POWER(80,POWER(COS(PI()*MOD(Calculator!$B$30/Calculator!$F$19,1)),2)))/$C50,$C50/(50*POWER(80,POWER(COS(PI()*MOD(Calculator!$B$30/Calculator!$F$19,1)),2)))),2))</f>
        <v>2.85</v>
      </c>
      <c r="M50" s="119" t="n">
        <f aca="false">IF(OR(Calculator!$E$20&lt;&gt;"YES",Calculator!$B$30&lt;Calculator!$G$20),"—",ROUND(MAX((50*POWER(80,POWER(COS(PI()*MOD(Calculator!$B$30/Calculator!$F$20,1)),2)))/$C50,$C50/(50*POWER(80,POWER(COS(PI()*MOD(Calculator!$B$30/Calculator!$F$20,1)),2)))),2))</f>
        <v>9.36</v>
      </c>
      <c r="N50" s="119" t="n">
        <f aca="false">IF(OR(Calculator!$E$21&lt;&gt;"YES",Calculator!$B$30&lt;Calculator!$G$21),"—",ROUND(MAX((50*POWER(80,POWER(COS(PI()*MOD(Calculator!$B$30/Calculator!$F$21,1)),2)))/$C50,$C50/(50*POWER(80,POWER(COS(PI()*MOD(Calculator!$B$30/Calculator!$F$21,1)),2)))),2))</f>
        <v>2.82</v>
      </c>
      <c r="O50" s="114" t="n">
        <f aca="false">IFERROR(ROUND((IF(ISNUMBER(D50),D50,0)+IF(ISNUMBER(E50),E50,0)+IF(ISNUMBER(F50),F50,0)+IF(ISNUMBER(G50),G50,0)+IF(ISNUMBER(H50),H50,0)+IF(ISNUMBER(I50),I50,0)+IF(ISNUMBER(J50),J50,0)+IF(ISNUMBER(K50),K50,0)+IF(ISNUMBER(L50),L50,0)+IF(ISNUMBER(M50),M50,0)+IF(ISNUMBER(N50),N50,0))/(IF(ISNUMBER(D50),1,0)+IF(ISNUMBER(E50),1,0)+IF(ISNUMBER(F50),1,0)+IF(ISNUMBER(G50),1,0)+IF(ISNUMBER(H50),1,0)+IF(ISNUMBER(I50),1,0)+IF(ISNUMBER(J50),1,0)+IF(ISNUMBER(K50),1,0)+IF(ISNUMBER(L50),1,0)+IF(ISNUMBER(M50),1,0)+IF(ISNUMBER(N50),1,0)),2),"")</f>
        <v>4.93</v>
      </c>
      <c r="P50" s="119" t="n">
        <f aca="false">IF(OR(Calculator!$E$11&lt;&gt;"YES",Calculator!$B$31&lt;Calculator!$G$11),"—",ROUND(MAX((50*POWER(80,POWER(COS(PI()*MOD(Calculator!$B$31/Calculator!$F$11,1)),2)))/$C50,$C50/(50*POWER(80,POWER(COS(PI()*MOD(Calculator!$B$31/Calculator!$F$11,1)),2)))),2))</f>
        <v>10.32</v>
      </c>
      <c r="Q50" s="119" t="n">
        <f aca="false">IF(OR(Calculator!$E$12&lt;&gt;"YES",Calculator!$B$31&lt;Calculator!$G$12),"—",ROUND(MAX((50*POWER(80,POWER(COS(PI()*MOD(Calculator!$B$31/Calculator!$F$12,1)),2)))/$C50,$C50/(50*POWER(80,POWER(COS(PI()*MOD(Calculator!$B$31/Calculator!$F$12,1)),2)))),2))</f>
        <v>1.21</v>
      </c>
      <c r="R50" s="119" t="n">
        <f aca="false">IF(OR(Calculator!$E$13&lt;&gt;"YES",Calculator!$B$31&lt;Calculator!$G$13),"—",ROUND(MAX((50*POWER(80,POWER(COS(PI()*MOD(Calculator!$B$31/Calculator!$F$13,1)),2)))/$C50,$C50/(50*POWER(80,POWER(COS(PI()*MOD(Calculator!$B$31/Calculator!$F$13,1)),2)))),2))</f>
        <v>2.39</v>
      </c>
      <c r="S50" s="119" t="n">
        <f aca="false">IF(OR(Calculator!$E$14&lt;&gt;"YES",Calculator!$B$31&lt;Calculator!$G$14),"—",ROUND(MAX((50*POWER(80,POWER(COS(PI()*MOD(Calculator!$B$31/Calculator!$F$14,1)),2)))/$C50,$C50/(50*POWER(80,POWER(COS(PI()*MOD(Calculator!$B$31/Calculator!$F$14,1)),2)))),2))</f>
        <v>5</v>
      </c>
      <c r="T50" s="119" t="n">
        <f aca="false">IF(OR(Calculator!$E$15&lt;&gt;"YES",Calculator!$B$31&lt;Calculator!$G$15),"—",ROUND(MAX((50*POWER(80,POWER(COS(PI()*MOD(Calculator!$B$31/Calculator!$F$15,1)),2)))/$C50,$C50/(50*POWER(80,POWER(COS(PI()*MOD(Calculator!$B$31/Calculator!$F$15,1)),2)))),2))</f>
        <v>3.14</v>
      </c>
      <c r="U50" s="119" t="n">
        <f aca="false">IF(OR(Calculator!$E$16&lt;&gt;"YES",Calculator!$B$31&lt;Calculator!$G$16),"—",ROUND(MAX((50*POWER(80,POWER(COS(PI()*MOD(Calculator!$B$31/Calculator!$F$16,1)),2)))/$C50,$C50/(50*POWER(80,POWER(COS(PI()*MOD(Calculator!$B$31/Calculator!$F$16,1)),2)))),2))</f>
        <v>12.26</v>
      </c>
      <c r="V50" s="119" t="n">
        <f aca="false">IF(OR(Calculator!$E$17&lt;&gt;"YES",Calculator!$B$31&lt;Calculator!$G$17),"—",ROUND(MAX((50*POWER(80,POWER(COS(PI()*MOD(Calculator!$B$31/Calculator!$F$17,1)),2)))/$C50,$C50/(50*POWER(80,POWER(COS(PI()*MOD(Calculator!$B$31/Calculator!$F$17,1)),2)))),2))</f>
        <v>2.32</v>
      </c>
      <c r="W50" s="119" t="n">
        <f aca="false">IF(OR(Calculator!$E$18&lt;&gt;"YES",Calculator!$B$31&lt;Calculator!$G$18),"—",ROUND(MAX((50*POWER(80,POWER(COS(PI()*MOD(Calculator!$B$31/Calculator!$F$18,1)),2)))/$C50,$C50/(50*POWER(80,POWER(COS(PI()*MOD(Calculator!$B$31/Calculator!$F$18,1)),2)))),2))</f>
        <v>2.49</v>
      </c>
      <c r="X50" s="119" t="n">
        <f aca="false">IF(OR(Calculator!$E$19&lt;&gt;"YES",Calculator!$B$31&lt;Calculator!$G$19),"—",ROUND(MAX((50*POWER(80,POWER(COS(PI()*MOD(Calculator!$B$31/Calculator!$F$19,1)),2)))/$C50,$C50/(50*POWER(80,POWER(COS(PI()*MOD(Calculator!$B$31/Calculator!$F$19,1)),2)))),2))</f>
        <v>3.26</v>
      </c>
      <c r="Y50" s="119" t="n">
        <f aca="false">IF(OR(Calculator!$E$20&lt;&gt;"YES",Calculator!$B$31&lt;Calculator!$G$20),"—",ROUND(MAX((50*POWER(80,POWER(COS(PI()*MOD(Calculator!$B$31/Calculator!$F$20,1)),2)))/$C50,$C50/(50*POWER(80,POWER(COS(PI()*MOD(Calculator!$B$31/Calculator!$F$20,1)),2)))),2))</f>
        <v>7.58</v>
      </c>
      <c r="Z50" s="119" t="n">
        <f aca="false">IF(OR(Calculator!$E$21&lt;&gt;"YES",Calculator!$B$31&lt;Calculator!$G$21),"—",ROUND(MAX((50*POWER(80,POWER(COS(PI()*MOD(Calculator!$B$31/Calculator!$F$21,1)),2)))/$C50,$C50/(50*POWER(80,POWER(COS(PI()*MOD(Calculator!$B$31/Calculator!$F$21,1)),2)))),2))</f>
        <v>1.99</v>
      </c>
      <c r="AA50" s="114" t="n">
        <f aca="false">IFERROR(ROUND((IF(ISNUMBER(P50),P50,0)+IF(ISNUMBER(Q50),Q50,0)+IF(ISNUMBER(R50),R50,0)+IF(ISNUMBER(S50),S50,0)+IF(ISNUMBER(T50),T50,0)+IF(ISNUMBER(U50),U50,0)+IF(ISNUMBER(V50),V50,0)+IF(ISNUMBER(W50),W50,0)+IF(ISNUMBER(X50),X50,0)+IF(ISNUMBER(Y50),Y50,0)+IF(ISNUMBER(Z50),Z50,0))/(IF(ISNUMBER(P50),1,0)+IF(ISNUMBER(Q50),1,0)+IF(ISNUMBER(R50),1,0)+IF(ISNUMBER(S50),1,0)+IF(ISNUMBER(T50),1,0)+IF(ISNUMBER(U50),1,0)+IF(ISNUMBER(V50),1,0)+IF(ISNUMBER(W50),1,0)+IF(ISNUMBER(X50),1,0)+IF(ISNUMBER(Y50),1,0)+IF(ISNUMBER(Z50),1,0)),2),"")</f>
        <v>4.72</v>
      </c>
      <c r="AB50" s="119" t="n">
        <f aca="false">IF(OR(Calculator!$E$11&lt;&gt;"YES",Calculator!$B$32&lt;Calculator!$G$11),"—",ROUND(MAX((50*POWER(80,POWER(COS(PI()*MOD(Calculator!$B$32/Calculator!$F$11,1)),2)))/$C50,$C50/(50*POWER(80,POWER(COS(PI()*MOD(Calculator!$B$32/Calculator!$F$11,1)),2)))),2))</f>
        <v>12.99</v>
      </c>
      <c r="AC50" s="119" t="n">
        <f aca="false">IF(OR(Calculator!$E$12&lt;&gt;"YES",Calculator!$B$32&lt;Calculator!$G$12),"—",ROUND(MAX((50*POWER(80,POWER(COS(PI()*MOD(Calculator!$B$32/Calculator!$F$12,1)),2)))/$C50,$C50/(50*POWER(80,POWER(COS(PI()*MOD(Calculator!$B$32/Calculator!$F$12,1)),2)))),2))</f>
        <v>2.24</v>
      </c>
      <c r="AD50" s="119" t="n">
        <f aca="false">IF(OR(Calculator!$E$13&lt;&gt;"YES",Calculator!$B$32&lt;Calculator!$G$13),"—",ROUND(MAX((50*POWER(80,POWER(COS(PI()*MOD(Calculator!$B$32/Calculator!$F$13,1)),2)))/$C50,$C50/(50*POWER(80,POWER(COS(PI()*MOD(Calculator!$B$32/Calculator!$F$13,1)),2)))),2))</f>
        <v>6.63</v>
      </c>
      <c r="AE50" s="119" t="n">
        <f aca="false">IF(OR(Calculator!$E$14&lt;&gt;"YES",Calculator!$B$32&lt;Calculator!$G$14),"—",ROUND(MAX((50*POWER(80,POWER(COS(PI()*MOD(Calculator!$B$32/Calculator!$F$14,1)),2)))/$C50,$C50/(50*POWER(80,POWER(COS(PI()*MOD(Calculator!$B$32/Calculator!$F$14,1)),2)))),2))</f>
        <v>1.21</v>
      </c>
      <c r="AF50" s="119" t="n">
        <f aca="false">IF(OR(Calculator!$E$15&lt;&gt;"YES",Calculator!$B$32&lt;Calculator!$G$15),"—",ROUND(MAX((50*POWER(80,POWER(COS(PI()*MOD(Calculator!$B$32/Calculator!$F$15,1)),2)))/$C50,$C50/(50*POWER(80,POWER(COS(PI()*MOD(Calculator!$B$32/Calculator!$F$15,1)),2)))),2))</f>
        <v>2.15</v>
      </c>
      <c r="AG50" s="119" t="n">
        <f aca="false">IF(OR(Calculator!$E$16&lt;&gt;"YES",Calculator!$B$32&lt;Calculator!$G$16),"—",ROUND(MAX((50*POWER(80,POWER(COS(PI()*MOD(Calculator!$B$32/Calculator!$F$16,1)),2)))/$C50,$C50/(50*POWER(80,POWER(COS(PI()*MOD(Calculator!$B$32/Calculator!$F$16,1)),2)))),2))</f>
        <v>10.58</v>
      </c>
      <c r="AH50" s="119" t="n">
        <f aca="false">IF(OR(Calculator!$E$17&lt;&gt;"YES",Calculator!$B$32&lt;Calculator!$G$17),"—",ROUND(MAX((50*POWER(80,POWER(COS(PI()*MOD(Calculator!$B$32/Calculator!$F$17,1)),2)))/$C50,$C50/(50*POWER(80,POWER(COS(PI()*MOD(Calculator!$B$32/Calculator!$F$17,1)),2)))),2))</f>
        <v>11.17</v>
      </c>
      <c r="AI50" s="119" t="n">
        <f aca="false">IF(OR(Calculator!$E$18&lt;&gt;"YES",Calculator!$B$32&lt;Calculator!$G$18),"—",ROUND(MAX((50*POWER(80,POWER(COS(PI()*MOD(Calculator!$B$32/Calculator!$F$18,1)),2)))/$C50,$C50/(50*POWER(80,POWER(COS(PI()*MOD(Calculator!$B$32/Calculator!$F$18,1)),2)))),2))</f>
        <v>14.73</v>
      </c>
      <c r="AJ50" s="119" t="n">
        <f aca="false">IF(OR(Calculator!$E$19&lt;&gt;"YES",Calculator!$B$32&lt;Calculator!$G$19),"—",ROUND(MAX((50*POWER(80,POWER(COS(PI()*MOD(Calculator!$B$32/Calculator!$F$19,1)),2)))/$C50,$C50/(50*POWER(80,POWER(COS(PI()*MOD(Calculator!$B$32/Calculator!$F$19,1)),2)))),2))</f>
        <v>3.11</v>
      </c>
      <c r="AK50" s="119" t="n">
        <f aca="false">IF(OR(Calculator!$E$20&lt;&gt;"YES",Calculator!$B$32&lt;Calculator!$G$20),"—",ROUND(MAX((50*POWER(80,POWER(COS(PI()*MOD(Calculator!$B$32/Calculator!$F$20,1)),2)))/$C50,$C50/(50*POWER(80,POWER(COS(PI()*MOD(Calculator!$B$32/Calculator!$F$20,1)),2)))),2))</f>
        <v>3.57</v>
      </c>
      <c r="AL50" s="119" t="n">
        <f aca="false">IF(OR(Calculator!$E$21&lt;&gt;"YES",Calculator!$B$32&lt;Calculator!$G$21),"—",ROUND(MAX((50*POWER(80,POWER(COS(PI()*MOD(Calculator!$B$32/Calculator!$F$21,1)),2)))/$C50,$C50/(50*POWER(80,POWER(COS(PI()*MOD(Calculator!$B$32/Calculator!$F$21,1)),2)))),2))</f>
        <v>3.1</v>
      </c>
      <c r="AM50" s="115" t="n">
        <f aca="false">IFERROR(ROUND((IF(ISNUMBER(AB50),AB50,0)+IF(ISNUMBER(AC50),AC50,0)+IF(ISNUMBER(AD50),AD50,0)+IF(ISNUMBER(AE50),AE50,0)+IF(ISNUMBER(AF50),AF50,0)+IF(ISNUMBER(AG50),AG50,0)+IF(ISNUMBER(AH50),AH50,0)+IF(ISNUMBER(AI50),AI50,0)+IF(ISNUMBER(AJ50),AJ50,0)+IF(ISNUMBER(AK50),AK50,0)+IF(ISNUMBER(AL50),AL50,0))/(IF(ISNUMBER(AB50),1,0)+IF(ISNUMBER(AC50),1,0)+IF(ISNUMBER(AD50),1,0)+IF(ISNUMBER(AE50),1,0)+IF(ISNUMBER(AF50),1,0)+IF(ISNUMBER(AG50),1,0)+IF(ISNUMBER(AH50),1,0)+IF(ISNUMBER(AI50),1,0)+IF(ISNUMBER(AJ50),1,0)+IF(ISNUMBER(AK50),1,0)+IF(ISNUMBER(AL50),1,0)),2),"")</f>
        <v>6.5</v>
      </c>
      <c r="AN50" s="120" t="n">
        <f aca="false">IF(OR(Calculator!$E$11&lt;&gt;"YES",Calculator!$B$33&lt;Calculator!$G$11),"—",ROUND(MAX((50*POWER(80,POWER(COS(PI()*MOD(Calculator!$B$33/Calculator!$F$11,1)),2)))/$C50,$C50/(50*POWER(80,POWER(COS(PI()*MOD(Calculator!$B$33/Calculator!$F$11,1)),2)))),2))</f>
        <v>10.44</v>
      </c>
      <c r="AO50" s="120" t="n">
        <f aca="false">IF(OR(Calculator!$E$12&lt;&gt;"YES",Calculator!$B$33&lt;Calculator!$G$12),"—",ROUND(MAX((50*POWER(80,POWER(COS(PI()*MOD(Calculator!$B$33/Calculator!$F$12,1)),2)))/$C50,$C50/(50*POWER(80,POWER(COS(PI()*MOD(Calculator!$B$33/Calculator!$F$12,1)),2)))),2))</f>
        <v>1.25</v>
      </c>
      <c r="AP50" s="120" t="n">
        <f aca="false">IF(OR(Calculator!$E$13&lt;&gt;"YES",Calculator!$B$33&lt;Calculator!$G$13),"—",ROUND(MAX((50*POWER(80,POWER(COS(PI()*MOD(Calculator!$B$33/Calculator!$F$13,1)),2)))/$C50,$C50/(50*POWER(80,POWER(COS(PI()*MOD(Calculator!$B$33/Calculator!$F$13,1)),2)))),2))</f>
        <v>2.52</v>
      </c>
      <c r="AQ50" s="120" t="n">
        <f aca="false">IF(OR(Calculator!$E$14&lt;&gt;"YES",Calculator!$B$33&lt;Calculator!$G$14),"—",ROUND(MAX((50*POWER(80,POWER(COS(PI()*MOD(Calculator!$B$33/Calculator!$F$14,1)),2)))/$C50,$C50/(50*POWER(80,POWER(COS(PI()*MOD(Calculator!$B$33/Calculator!$F$14,1)),2)))),2))</f>
        <v>4.69</v>
      </c>
      <c r="AR50" s="120" t="n">
        <f aca="false">IF(OR(Calculator!$E$15&lt;&gt;"YES",Calculator!$B$33&lt;Calculator!$G$15),"—",ROUND(MAX((50*POWER(80,POWER(COS(PI()*MOD(Calculator!$B$33/Calculator!$F$15,1)),2)))/$C50,$C50/(50*POWER(80,POWER(COS(PI()*MOD(Calculator!$B$33/Calculator!$F$15,1)),2)))),2))</f>
        <v>2.86</v>
      </c>
      <c r="AS50" s="120" t="n">
        <f aca="false">IF(OR(Calculator!$E$16&lt;&gt;"YES",Calculator!$B$33&lt;Calculator!$G$16),"—",ROUND(MAX((50*POWER(80,POWER(COS(PI()*MOD(Calculator!$B$33/Calculator!$F$16,1)),2)))/$C50,$C50/(50*POWER(80,POWER(COS(PI()*MOD(Calculator!$B$33/Calculator!$F$16,1)),2)))),2))</f>
        <v>13.2</v>
      </c>
      <c r="AT50" s="120" t="n">
        <f aca="false">IF(OR(Calculator!$E$17&lt;&gt;"YES",Calculator!$B$33&lt;Calculator!$G$17),"—",ROUND(MAX((50*POWER(80,POWER(COS(PI()*MOD(Calculator!$B$33/Calculator!$F$17,1)),2)))/$C50,$C50/(50*POWER(80,POWER(COS(PI()*MOD(Calculator!$B$33/Calculator!$F$17,1)),2)))),2))</f>
        <v>2.04</v>
      </c>
      <c r="AU50" s="120" t="n">
        <f aca="false">IF(OR(Calculator!$E$18&lt;&gt;"YES",Calculator!$B$33&lt;Calculator!$G$18),"—",ROUND(MAX((50*POWER(80,POWER(COS(PI()*MOD(Calculator!$B$33/Calculator!$F$18,1)),2)))/$C50,$C50/(50*POWER(80,POWER(COS(PI()*MOD(Calculator!$B$33/Calculator!$F$18,1)),2)))),2))</f>
        <v>2.15</v>
      </c>
      <c r="AV50" s="120" t="n">
        <f aca="false">IF(OR(Calculator!$E$19&lt;&gt;"YES",Calculator!$B$33&lt;Calculator!$G$19),"—",ROUND(MAX((50*POWER(80,POWER(COS(PI()*MOD(Calculator!$B$33/Calculator!$F$19,1)),2)))/$C50,$C50/(50*POWER(80,POWER(COS(PI()*MOD(Calculator!$B$33/Calculator!$F$19,1)),2)))),2))</f>
        <v>3.64</v>
      </c>
      <c r="AW50" s="120" t="n">
        <f aca="false">IF(OR(Calculator!$E$20&lt;&gt;"YES",Calculator!$B$33&lt;Calculator!$G$20),"—",ROUND(MAX((50*POWER(80,POWER(COS(PI()*MOD(Calculator!$B$33/Calculator!$F$20,1)),2)))/$C50,$C50/(50*POWER(80,POWER(COS(PI()*MOD(Calculator!$B$33/Calculator!$F$20,1)),2)))),2))</f>
        <v>6.01</v>
      </c>
      <c r="AX50" s="120" t="n">
        <f aca="false">IF(OR(Calculator!$E$21&lt;&gt;"YES",Calculator!$B$33&lt;Calculator!$G$21),"—",ROUND(MAX((50*POWER(80,POWER(COS(PI()*MOD(Calculator!$B$33/Calculator!$F$21,1)),2)))/$C50,$C50/(50*POWER(80,POWER(COS(PI()*MOD(Calculator!$B$33/Calculator!$F$21,1)),2)))),2))</f>
        <v>1.3</v>
      </c>
      <c r="AY50" s="115" t="n">
        <f aca="false">IFERROR(ROUND((IF(ISNUMBER(AN50),AN50,0)+IF(ISNUMBER(AO50),AO50,0)+IF(ISNUMBER(AP50),AP50,0)+IF(ISNUMBER(AQ50),AQ50,0)+IF(ISNUMBER(AR50),AR50,0)+IF(ISNUMBER(AS50),AS50,0)+IF(ISNUMBER(AT50),AT50,0)+IF(ISNUMBER(AU50),AU50,0)+IF(ISNUMBER(AV50),AV50,0)+IF(ISNUMBER(AW50),AW50,0)+IF(ISNUMBER(AX50),AX50,0))/(IF(ISNUMBER(AN50),1,0)+IF(ISNUMBER(AO50),1,0)+IF(ISNUMBER(AP50),1,0)+IF(ISNUMBER(AQ50),1,0)+IF(ISNUMBER(AR50),1,0)+IF(ISNUMBER(AS50),1,0)+IF(ISNUMBER(AT50),1,0)+IF(ISNUMBER(AU50),1,0)+IF(ISNUMBER(AV50),1,0)+IF(ISNUMBER(AW50),1,0)+IF(ISNUMBER(AX50),1,0)),2),"")</f>
        <v>4.55</v>
      </c>
      <c r="AZ50" s="120" t="n">
        <f aca="false">IF(OR(Calculator!$E$11&lt;&gt;"YES",Calculator!$B$34&lt;Calculator!$G$11),"—",ROUND(MAX((50*POWER(80,POWER(COS(PI()*MOD(Calculator!$B$34/Calculator!$F$11,1)),2)))/$C50,$C50/(50*POWER(80,POWER(COS(PI()*MOD(Calculator!$B$34/Calculator!$F$11,1)),2)))),2))</f>
        <v>10.06</v>
      </c>
      <c r="BA50" s="120" t="n">
        <f aca="false">IF(OR(Calculator!$E$12&lt;&gt;"YES",Calculator!$B$34&lt;Calculator!$G$12),"—",ROUND(MAX((50*POWER(80,POWER(COS(PI()*MOD(Calculator!$B$34/Calculator!$F$12,1)),2)))/$C50,$C50/(50*POWER(80,POWER(COS(PI()*MOD(Calculator!$B$34/Calculator!$F$12,1)),2)))),2))</f>
        <v>1.13</v>
      </c>
      <c r="BB50" s="120" t="n">
        <f aca="false">IF(OR(Calculator!$E$13&lt;&gt;"YES",Calculator!$B$34&lt;Calculator!$G$13),"—",ROUND(MAX((50*POWER(80,POWER(COS(PI()*MOD(Calculator!$B$34/Calculator!$F$13,1)),2)))/$C50,$C50/(50*POWER(80,POWER(COS(PI()*MOD(Calculator!$B$34/Calculator!$F$13,1)),2)))),2))</f>
        <v>2.16</v>
      </c>
      <c r="BC50" s="120" t="n">
        <f aca="false">IF(OR(Calculator!$E$14&lt;&gt;"YES",Calculator!$B$34&lt;Calculator!$G$14),"—",ROUND(MAX((50*POWER(80,POWER(COS(PI()*MOD(Calculator!$B$34/Calculator!$F$14,1)),2)))/$C50,$C50/(50*POWER(80,POWER(COS(PI()*MOD(Calculator!$B$34/Calculator!$F$14,1)),2)))),2))</f>
        <v>5.65</v>
      </c>
      <c r="BD50" s="120" t="n">
        <f aca="false">IF(OR(Calculator!$E$15&lt;&gt;"YES",Calculator!$B$34&lt;Calculator!$G$15),"—",ROUND(MAX((50*POWER(80,POWER(COS(PI()*MOD(Calculator!$B$34/Calculator!$F$15,1)),2)))/$C50,$C50/(50*POWER(80,POWER(COS(PI()*MOD(Calculator!$B$34/Calculator!$F$15,1)),2)))),2))</f>
        <v>3.8</v>
      </c>
      <c r="BE50" s="120" t="n">
        <f aca="false">IF(OR(Calculator!$E$16&lt;&gt;"YES",Calculator!$B$34&lt;Calculator!$G$16),"—",ROUND(MAX((50*POWER(80,POWER(COS(PI()*MOD(Calculator!$B$34/Calculator!$F$16,1)),2)))/$C50,$C50/(50*POWER(80,POWER(COS(PI()*MOD(Calculator!$B$34/Calculator!$F$16,1)),2)))),2))</f>
        <v>10.36</v>
      </c>
      <c r="BF50" s="120" t="n">
        <f aca="false">IF(OR(Calculator!$E$17&lt;&gt;"YES",Calculator!$B$34&lt;Calculator!$G$17),"—",ROUND(MAX((50*POWER(80,POWER(COS(PI()*MOD(Calculator!$B$34/Calculator!$F$17,1)),2)))/$C50,$C50/(50*POWER(80,POWER(COS(PI()*MOD(Calculator!$B$34/Calculator!$F$17,1)),2)))),2))</f>
        <v>2.91</v>
      </c>
      <c r="BG50" s="120" t="n">
        <f aca="false">IF(OR(Calculator!$E$18&lt;&gt;"YES",Calculator!$B$34&lt;Calculator!$G$18),"—",ROUND(MAX((50*POWER(80,POWER(COS(PI()*MOD(Calculator!$B$34/Calculator!$F$18,1)),2)))/$C50,$C50/(50*POWER(80,POWER(COS(PI()*MOD(Calculator!$B$34/Calculator!$F$18,1)),2)))),2))</f>
        <v>3.19</v>
      </c>
      <c r="BH50" s="120" t="n">
        <f aca="false">IF(OR(Calculator!$E$19&lt;&gt;"YES",Calculator!$B$34&lt;Calculator!$G$19),"—",ROUND(MAX((50*POWER(80,POWER(COS(PI()*MOD(Calculator!$B$34/Calculator!$F$19,1)),2)))/$C50,$C50/(50*POWER(80,POWER(COS(PI()*MOD(Calculator!$B$34/Calculator!$F$19,1)),2)))),2))</f>
        <v>2.44</v>
      </c>
      <c r="BI50" s="120" t="n">
        <f aca="false">IF(OR(Calculator!$E$20&lt;&gt;"YES",Calculator!$B$34&lt;Calculator!$G$20),"—",ROUND(MAX((50*POWER(80,POWER(COS(PI()*MOD(Calculator!$B$34/Calculator!$F$20,1)),2)))/$C50,$C50/(50*POWER(80,POWER(COS(PI()*MOD(Calculator!$B$34/Calculator!$F$20,1)),2)))),2))</f>
        <v>11.27</v>
      </c>
      <c r="BJ50" s="120" t="n">
        <f aca="false">IF(OR(Calculator!$E$21&lt;&gt;"YES",Calculator!$B$34&lt;Calculator!$G$21),"—",ROUND(MAX((50*POWER(80,POWER(COS(PI()*MOD(Calculator!$B$34/Calculator!$F$21,1)),2)))/$C50,$C50/(50*POWER(80,POWER(COS(PI()*MOD(Calculator!$B$34/Calculator!$F$21,1)),2)))),2))</f>
        <v>3.65</v>
      </c>
      <c r="BK50" s="115" t="n">
        <f aca="false">IFERROR(ROUND((IF(ISNUMBER(AZ50),AZ50,0)+IF(ISNUMBER(BA50),BA50,0)+IF(ISNUMBER(BB50),BB50,0)+IF(ISNUMBER(BC50),BC50,0)+IF(ISNUMBER(BD50),BD50,0)+IF(ISNUMBER(BE50),BE50,0)+IF(ISNUMBER(BF50),BF50,0)+IF(ISNUMBER(BG50),BG50,0)+IF(ISNUMBER(BH50),BH50,0)+IF(ISNUMBER(BI50),BI50,0)+IF(ISNUMBER(BJ50),BJ50,0))/(IF(ISNUMBER(AZ50),1,0)+IF(ISNUMBER(BA50),1,0)+IF(ISNUMBER(BB50),1,0)+IF(ISNUMBER(BC50),1,0)+IF(ISNUMBER(BD50),1,0)+IF(ISNUMBER(BE50),1,0)+IF(ISNUMBER(BF50),1,0)+IF(ISNUMBER(BG50),1,0)+IF(ISNUMBER(BH50),1,0)+IF(ISNUMBER(BI50),1,0)+IF(ISNUMBER(BJ50),1,0)),2),"")</f>
        <v>5.15</v>
      </c>
    </row>
    <row r="51" customFormat="false" ht="15" hidden="false" customHeight="false" outlineLevel="0" collapsed="false">
      <c r="A51" s="87" t="s">
        <v>109</v>
      </c>
      <c r="B51" s="87" t="s">
        <v>93</v>
      </c>
      <c r="C51" s="90" t="n">
        <v>950</v>
      </c>
      <c r="D51" s="91" t="n">
        <f aca="false">IF(OR(Calculator!$E$11&lt;&gt;"YES",Calculator!$B$30&lt;Calculator!$G$11),"—",ROUND(MAX((50*POWER(80,POWER(COS(PI()*MOD(Calculator!$B$30/Calculator!$F$11,1)),2)))/$C51,$C51/(50*POWER(80,POWER(COS(PI()*MOD(Calculator!$B$30/Calculator!$F$11,1)),2)))),2))</f>
        <v>10.76</v>
      </c>
      <c r="E51" s="91" t="n">
        <f aca="false">IF(OR(Calculator!$E$12&lt;&gt;"YES",Calculator!$B$30&lt;Calculator!$G$12),"—",ROUND(MAX((50*POWER(80,POWER(COS(PI()*MOD(Calculator!$B$30/Calculator!$F$12,1)),2)))/$C51,$C51/(50*POWER(80,POWER(COS(PI()*MOD(Calculator!$B$30/Calculator!$F$12,1)),2)))),2))</f>
        <v>1.11</v>
      </c>
      <c r="F51" s="91" t="n">
        <f aca="false">IF(OR(Calculator!$E$13&lt;&gt;"YES",Calculator!$B$30&lt;Calculator!$G$13),"—",ROUND(MAX((50*POWER(80,POWER(COS(PI()*MOD(Calculator!$B$30/Calculator!$F$13,1)),2)))/$C51,$C51/(50*POWER(80,POWER(COS(PI()*MOD(Calculator!$B$30/Calculator!$F$13,1)),2)))),2))</f>
        <v>2.4</v>
      </c>
      <c r="G51" s="91" t="n">
        <f aca="false">IF(OR(Calculator!$E$14&lt;&gt;"YES",Calculator!$B$30&lt;Calculator!$G$14),"—",ROUND(MAX((50*POWER(80,POWER(COS(PI()*MOD(Calculator!$B$30/Calculator!$F$14,1)),2)))/$C51,$C51/(50*POWER(80,POWER(COS(PI()*MOD(Calculator!$B$30/Calculator!$F$14,1)),2)))),2))</f>
        <v>5.61</v>
      </c>
      <c r="H51" s="91" t="n">
        <f aca="false">IF(OR(Calculator!$E$15&lt;&gt;"YES",Calculator!$B$30&lt;Calculator!$G$15),"—",ROUND(MAX((50*POWER(80,POWER(COS(PI()*MOD(Calculator!$B$30/Calculator!$F$15,1)),2)))/$C51,$C51/(50*POWER(80,POWER(COS(PI()*MOD(Calculator!$B$30/Calculator!$F$15,1)),2)))),2))</f>
        <v>3.65</v>
      </c>
      <c r="I51" s="91" t="n">
        <f aca="false">IF(OR(Calculator!$E$16&lt;&gt;"YES",Calculator!$B$30&lt;Calculator!$G$16),"—",ROUND(MAX((50*POWER(80,POWER(COS(PI()*MOD(Calculator!$B$30/Calculator!$F$16,1)),2)))/$C51,$C51/(50*POWER(80,POWER(COS(PI()*MOD(Calculator!$B$30/Calculator!$F$16,1)),2)))),2))</f>
        <v>11.93</v>
      </c>
      <c r="J51" s="91" t="n">
        <f aca="false">IF(OR(Calculator!$E$17&lt;&gt;"YES",Calculator!$B$30&lt;Calculator!$G$17),"—",ROUND(MAX((50*POWER(80,POWER(COS(PI()*MOD(Calculator!$B$30/Calculator!$F$17,1)),2)))/$C51,$C51/(50*POWER(80,POWER(COS(PI()*MOD(Calculator!$B$30/Calculator!$F$17,1)),2)))),2))</f>
        <v>2.47</v>
      </c>
      <c r="K51" s="91" t="n">
        <f aca="false">IF(OR(Calculator!$E$18&lt;&gt;"YES",Calculator!$B$30&lt;Calculator!$G$18),"—",ROUND(MAX((50*POWER(80,POWER(COS(PI()*MOD(Calculator!$B$30/Calculator!$F$18,1)),2)))/$C51,$C51/(50*POWER(80,POWER(COS(PI()*MOD(Calculator!$B$30/Calculator!$F$18,1)),2)))),2))</f>
        <v>2.69</v>
      </c>
      <c r="L51" s="91" t="n">
        <f aca="false">IF(OR(Calculator!$E$19&lt;&gt;"YES",Calculator!$B$30&lt;Calculator!$G$19),"—",ROUND(MAX((50*POWER(80,POWER(COS(PI()*MOD(Calculator!$B$30/Calculator!$F$19,1)),2)))/$C51,$C51/(50*POWER(80,POWER(COS(PI()*MOD(Calculator!$B$30/Calculator!$F$19,1)),2)))),2))</f>
        <v>2.7</v>
      </c>
      <c r="M51" s="91" t="n">
        <f aca="false">IF(OR(Calculator!$E$20&lt;&gt;"YES",Calculator!$B$30&lt;Calculator!$G$20),"—",ROUND(MAX((50*POWER(80,POWER(COS(PI()*MOD(Calculator!$B$30/Calculator!$F$20,1)),2)))/$C51,$C51/(50*POWER(80,POWER(COS(PI()*MOD(Calculator!$B$30/Calculator!$F$20,1)),2)))),2))</f>
        <v>9.88</v>
      </c>
      <c r="N51" s="91" t="n">
        <f aca="false">IF(OR(Calculator!$E$21&lt;&gt;"YES",Calculator!$B$30&lt;Calculator!$G$21),"—",ROUND(MAX((50*POWER(80,POWER(COS(PI()*MOD(Calculator!$B$30/Calculator!$F$21,1)),2)))/$C51,$C51/(50*POWER(80,POWER(COS(PI()*MOD(Calculator!$B$30/Calculator!$F$21,1)),2)))),2))</f>
        <v>2.67</v>
      </c>
      <c r="O51" s="114" t="n">
        <f aca="false">IFERROR(ROUND((IF(ISNUMBER(D51),D51,0)+IF(ISNUMBER(E51),E51,0)+IF(ISNUMBER(F51),F51,0)+IF(ISNUMBER(G51),G51,0)+IF(ISNUMBER(H51),H51,0)+IF(ISNUMBER(I51),I51,0)+IF(ISNUMBER(J51),J51,0)+IF(ISNUMBER(K51),K51,0)+IF(ISNUMBER(L51),L51,0)+IF(ISNUMBER(M51),M51,0)+IF(ISNUMBER(N51),N51,0))/(IF(ISNUMBER(D51),1,0)+IF(ISNUMBER(E51),1,0)+IF(ISNUMBER(F51),1,0)+IF(ISNUMBER(G51),1,0)+IF(ISNUMBER(H51),1,0)+IF(ISNUMBER(I51),1,0)+IF(ISNUMBER(J51),1,0)+IF(ISNUMBER(K51),1,0)+IF(ISNUMBER(L51),1,0)+IF(ISNUMBER(M51),1,0)+IF(ISNUMBER(N51),1,0)),2),"")</f>
        <v>5.08</v>
      </c>
      <c r="P51" s="91" t="n">
        <f aca="false">IF(OR(Calculator!$E$11&lt;&gt;"YES",Calculator!$B$31&lt;Calculator!$G$11),"—",ROUND(MAX((50*POWER(80,POWER(COS(PI()*MOD(Calculator!$B$31/Calculator!$F$11,1)),2)))/$C51,$C51/(50*POWER(80,POWER(COS(PI()*MOD(Calculator!$B$31/Calculator!$F$11,1)),2)))),2))</f>
        <v>10.89</v>
      </c>
      <c r="Q51" s="91" t="n">
        <f aca="false">IF(OR(Calculator!$E$12&lt;&gt;"YES",Calculator!$B$31&lt;Calculator!$G$12),"—",ROUND(MAX((50*POWER(80,POWER(COS(PI()*MOD(Calculator!$B$31/Calculator!$F$12,1)),2)))/$C51,$C51/(50*POWER(80,POWER(COS(PI()*MOD(Calculator!$B$31/Calculator!$F$12,1)),2)))),2))</f>
        <v>1.15</v>
      </c>
      <c r="R51" s="91" t="n">
        <f aca="false">IF(OR(Calculator!$E$13&lt;&gt;"YES",Calculator!$B$31&lt;Calculator!$G$13),"—",ROUND(MAX((50*POWER(80,POWER(COS(PI()*MOD(Calculator!$B$31/Calculator!$F$13,1)),2)))/$C51,$C51/(50*POWER(80,POWER(COS(PI()*MOD(Calculator!$B$31/Calculator!$F$13,1)),2)))),2))</f>
        <v>2.52</v>
      </c>
      <c r="S51" s="91" t="n">
        <f aca="false">IF(OR(Calculator!$E$14&lt;&gt;"YES",Calculator!$B$31&lt;Calculator!$G$14),"—",ROUND(MAX((50*POWER(80,POWER(COS(PI()*MOD(Calculator!$B$31/Calculator!$F$14,1)),2)))/$C51,$C51/(50*POWER(80,POWER(COS(PI()*MOD(Calculator!$B$31/Calculator!$F$14,1)),2)))),2))</f>
        <v>5.27</v>
      </c>
      <c r="T51" s="91" t="n">
        <f aca="false">IF(OR(Calculator!$E$15&lt;&gt;"YES",Calculator!$B$31&lt;Calculator!$G$15),"—",ROUND(MAX((50*POWER(80,POWER(COS(PI()*MOD(Calculator!$B$31/Calculator!$F$15,1)),2)))/$C51,$C51/(50*POWER(80,POWER(COS(PI()*MOD(Calculator!$B$31/Calculator!$F$15,1)),2)))),2))</f>
        <v>3.32</v>
      </c>
      <c r="U51" s="91" t="n">
        <f aca="false">IF(OR(Calculator!$E$16&lt;&gt;"YES",Calculator!$B$31&lt;Calculator!$G$16),"—",ROUND(MAX((50*POWER(80,POWER(COS(PI()*MOD(Calculator!$B$31/Calculator!$F$16,1)),2)))/$C51,$C51/(50*POWER(80,POWER(COS(PI()*MOD(Calculator!$B$31/Calculator!$F$16,1)),2)))),2))</f>
        <v>12.94</v>
      </c>
      <c r="V51" s="91" t="n">
        <f aca="false">IF(OR(Calculator!$E$17&lt;&gt;"YES",Calculator!$B$31&lt;Calculator!$G$17),"—",ROUND(MAX((50*POWER(80,POWER(COS(PI()*MOD(Calculator!$B$31/Calculator!$F$17,1)),2)))/$C51,$C51/(50*POWER(80,POWER(COS(PI()*MOD(Calculator!$B$31/Calculator!$F$17,1)),2)))),2))</f>
        <v>2.2</v>
      </c>
      <c r="W51" s="91" t="n">
        <f aca="false">IF(OR(Calculator!$E$18&lt;&gt;"YES",Calculator!$B$31&lt;Calculator!$G$18),"—",ROUND(MAX((50*POWER(80,POWER(COS(PI()*MOD(Calculator!$B$31/Calculator!$F$18,1)),2)))/$C51,$C51/(50*POWER(80,POWER(COS(PI()*MOD(Calculator!$B$31/Calculator!$F$18,1)),2)))),2))</f>
        <v>2.36</v>
      </c>
      <c r="X51" s="91" t="n">
        <f aca="false">IF(OR(Calculator!$E$19&lt;&gt;"YES",Calculator!$B$31&lt;Calculator!$G$19),"—",ROUND(MAX((50*POWER(80,POWER(COS(PI()*MOD(Calculator!$B$31/Calculator!$F$19,1)),2)))/$C51,$C51/(50*POWER(80,POWER(COS(PI()*MOD(Calculator!$B$31/Calculator!$F$19,1)),2)))),2))</f>
        <v>3.09</v>
      </c>
      <c r="Y51" s="91" t="n">
        <f aca="false">IF(OR(Calculator!$E$20&lt;&gt;"YES",Calculator!$B$31&lt;Calculator!$G$20),"—",ROUND(MAX((50*POWER(80,POWER(COS(PI()*MOD(Calculator!$B$31/Calculator!$F$20,1)),2)))/$C51,$C51/(50*POWER(80,POWER(COS(PI()*MOD(Calculator!$B$31/Calculator!$F$20,1)),2)))),2))</f>
        <v>8</v>
      </c>
      <c r="Z51" s="91" t="n">
        <f aca="false">IF(OR(Calculator!$E$21&lt;&gt;"YES",Calculator!$B$31&lt;Calculator!$G$21),"—",ROUND(MAX((50*POWER(80,POWER(COS(PI()*MOD(Calculator!$B$31/Calculator!$F$21,1)),2)))/$C51,$C51/(50*POWER(80,POWER(COS(PI()*MOD(Calculator!$B$31/Calculator!$F$21,1)),2)))),2))</f>
        <v>1.88</v>
      </c>
      <c r="AA51" s="114" t="n">
        <f aca="false">IFERROR(ROUND((IF(ISNUMBER(P51),P51,0)+IF(ISNUMBER(Q51),Q51,0)+IF(ISNUMBER(R51),R51,0)+IF(ISNUMBER(S51),S51,0)+IF(ISNUMBER(T51),T51,0)+IF(ISNUMBER(U51),U51,0)+IF(ISNUMBER(V51),V51,0)+IF(ISNUMBER(W51),W51,0)+IF(ISNUMBER(X51),X51,0)+IF(ISNUMBER(Y51),Y51,0)+IF(ISNUMBER(Z51),Z51,0))/(IF(ISNUMBER(P51),1,0)+IF(ISNUMBER(Q51),1,0)+IF(ISNUMBER(R51),1,0)+IF(ISNUMBER(S51),1,0)+IF(ISNUMBER(T51),1,0)+IF(ISNUMBER(U51),1,0)+IF(ISNUMBER(V51),1,0)+IF(ISNUMBER(W51),1,0)+IF(ISNUMBER(X51),1,0)+IF(ISNUMBER(Y51),1,0)+IF(ISNUMBER(Z51),1,0)),2),"")</f>
        <v>4.87</v>
      </c>
      <c r="AB51" s="91" t="n">
        <f aca="false">IF(OR(Calculator!$E$11&lt;&gt;"YES",Calculator!$B$32&lt;Calculator!$G$11),"—",ROUND(MAX((50*POWER(80,POWER(COS(PI()*MOD(Calculator!$B$32/Calculator!$F$11,1)),2)))/$C51,$C51/(50*POWER(80,POWER(COS(PI()*MOD(Calculator!$B$32/Calculator!$F$11,1)),2)))),2))</f>
        <v>13.71</v>
      </c>
      <c r="AC51" s="91" t="n">
        <f aca="false">IF(OR(Calculator!$E$12&lt;&gt;"YES",Calculator!$B$32&lt;Calculator!$G$12),"—",ROUND(MAX((50*POWER(80,POWER(COS(PI()*MOD(Calculator!$B$32/Calculator!$F$12,1)),2)))/$C51,$C51/(50*POWER(80,POWER(COS(PI()*MOD(Calculator!$B$32/Calculator!$F$12,1)),2)))),2))</f>
        <v>2.12</v>
      </c>
      <c r="AD51" s="91" t="n">
        <f aca="false">IF(OR(Calculator!$E$13&lt;&gt;"YES",Calculator!$B$32&lt;Calculator!$G$13),"—",ROUND(MAX((50*POWER(80,POWER(COS(PI()*MOD(Calculator!$B$32/Calculator!$F$13,1)),2)))/$C51,$C51/(50*POWER(80,POWER(COS(PI()*MOD(Calculator!$B$32/Calculator!$F$13,1)),2)))),2))</f>
        <v>6.99</v>
      </c>
      <c r="AE51" s="91" t="n">
        <f aca="false">IF(OR(Calculator!$E$14&lt;&gt;"YES",Calculator!$B$32&lt;Calculator!$G$14),"—",ROUND(MAX((50*POWER(80,POWER(COS(PI()*MOD(Calculator!$B$32/Calculator!$F$14,1)),2)))/$C51,$C51/(50*POWER(80,POWER(COS(PI()*MOD(Calculator!$B$32/Calculator!$F$14,1)),2)))),2))</f>
        <v>1.28</v>
      </c>
      <c r="AF51" s="91" t="n">
        <f aca="false">IF(OR(Calculator!$E$15&lt;&gt;"YES",Calculator!$B$32&lt;Calculator!$G$15),"—",ROUND(MAX((50*POWER(80,POWER(COS(PI()*MOD(Calculator!$B$32/Calculator!$F$15,1)),2)))/$C51,$C51/(50*POWER(80,POWER(COS(PI()*MOD(Calculator!$B$32/Calculator!$F$15,1)),2)))),2))</f>
        <v>2.04</v>
      </c>
      <c r="AG51" s="91" t="n">
        <f aca="false">IF(OR(Calculator!$E$16&lt;&gt;"YES",Calculator!$B$32&lt;Calculator!$G$16),"—",ROUND(MAX((50*POWER(80,POWER(COS(PI()*MOD(Calculator!$B$32/Calculator!$F$16,1)),2)))/$C51,$C51/(50*POWER(80,POWER(COS(PI()*MOD(Calculator!$B$32/Calculator!$F$16,1)),2)))),2))</f>
        <v>11.17</v>
      </c>
      <c r="AH51" s="91" t="n">
        <f aca="false">IF(OR(Calculator!$E$17&lt;&gt;"YES",Calculator!$B$32&lt;Calculator!$G$17),"—",ROUND(MAX((50*POWER(80,POWER(COS(PI()*MOD(Calculator!$B$32/Calculator!$F$17,1)),2)))/$C51,$C51/(50*POWER(80,POWER(COS(PI()*MOD(Calculator!$B$32/Calculator!$F$17,1)),2)))),2))</f>
        <v>11.79</v>
      </c>
      <c r="AI51" s="91" t="n">
        <f aca="false">IF(OR(Calculator!$E$18&lt;&gt;"YES",Calculator!$B$32&lt;Calculator!$G$18),"—",ROUND(MAX((50*POWER(80,POWER(COS(PI()*MOD(Calculator!$B$32/Calculator!$F$18,1)),2)))/$C51,$C51/(50*POWER(80,POWER(COS(PI()*MOD(Calculator!$B$32/Calculator!$F$18,1)),2)))),2))</f>
        <v>15.55</v>
      </c>
      <c r="AJ51" s="91" t="n">
        <f aca="false">IF(OR(Calculator!$E$19&lt;&gt;"YES",Calculator!$B$32&lt;Calculator!$G$19),"—",ROUND(MAX((50*POWER(80,POWER(COS(PI()*MOD(Calculator!$B$32/Calculator!$F$19,1)),2)))/$C51,$C51/(50*POWER(80,POWER(COS(PI()*MOD(Calculator!$B$32/Calculator!$F$19,1)),2)))),2))</f>
        <v>3.28</v>
      </c>
      <c r="AK51" s="91" t="n">
        <f aca="false">IF(OR(Calculator!$E$20&lt;&gt;"YES",Calculator!$B$32&lt;Calculator!$G$20),"—",ROUND(MAX((50*POWER(80,POWER(COS(PI()*MOD(Calculator!$B$32/Calculator!$F$20,1)),2)))/$C51,$C51/(50*POWER(80,POWER(COS(PI()*MOD(Calculator!$B$32/Calculator!$F$20,1)),2)))),2))</f>
        <v>3.38</v>
      </c>
      <c r="AL51" s="91" t="n">
        <f aca="false">IF(OR(Calculator!$E$21&lt;&gt;"YES",Calculator!$B$32&lt;Calculator!$G$21),"—",ROUND(MAX((50*POWER(80,POWER(COS(PI()*MOD(Calculator!$B$32/Calculator!$F$21,1)),2)))/$C51,$C51/(50*POWER(80,POWER(COS(PI()*MOD(Calculator!$B$32/Calculator!$F$21,1)),2)))),2))</f>
        <v>2.94</v>
      </c>
      <c r="AM51" s="115" t="n">
        <f aca="false">IFERROR(ROUND((IF(ISNUMBER(AB51),AB51,0)+IF(ISNUMBER(AC51),AC51,0)+IF(ISNUMBER(AD51),AD51,0)+IF(ISNUMBER(AE51),AE51,0)+IF(ISNUMBER(AF51),AF51,0)+IF(ISNUMBER(AG51),AG51,0)+IF(ISNUMBER(AH51),AH51,0)+IF(ISNUMBER(AI51),AI51,0)+IF(ISNUMBER(AJ51),AJ51,0)+IF(ISNUMBER(AK51),AK51,0)+IF(ISNUMBER(AL51),AL51,0))/(IF(ISNUMBER(AB51),1,0)+IF(ISNUMBER(AC51),1,0)+IF(ISNUMBER(AD51),1,0)+IF(ISNUMBER(AE51),1,0)+IF(ISNUMBER(AF51),1,0)+IF(ISNUMBER(AG51),1,0)+IF(ISNUMBER(AH51),1,0)+IF(ISNUMBER(AI51),1,0)+IF(ISNUMBER(AJ51),1,0)+IF(ISNUMBER(AK51),1,0)+IF(ISNUMBER(AL51),1,0)),2),"")</f>
        <v>6.75</v>
      </c>
      <c r="AN51" s="116" t="n">
        <f aca="false">IF(OR(Calculator!$E$11&lt;&gt;"YES",Calculator!$B$33&lt;Calculator!$G$11),"—",ROUND(MAX((50*POWER(80,POWER(COS(PI()*MOD(Calculator!$B$33/Calculator!$F$11,1)),2)))/$C51,$C51/(50*POWER(80,POWER(COS(PI()*MOD(Calculator!$B$33/Calculator!$F$11,1)),2)))),2))</f>
        <v>11.02</v>
      </c>
      <c r="AO51" s="116" t="n">
        <f aca="false">IF(OR(Calculator!$E$12&lt;&gt;"YES",Calculator!$B$33&lt;Calculator!$G$12),"—",ROUND(MAX((50*POWER(80,POWER(COS(PI()*MOD(Calculator!$B$33/Calculator!$F$12,1)),2)))/$C51,$C51/(50*POWER(80,POWER(COS(PI()*MOD(Calculator!$B$33/Calculator!$F$12,1)),2)))),2))</f>
        <v>1.18</v>
      </c>
      <c r="AP51" s="116" t="n">
        <f aca="false">IF(OR(Calculator!$E$13&lt;&gt;"YES",Calculator!$B$33&lt;Calculator!$G$13),"—",ROUND(MAX((50*POWER(80,POWER(COS(PI()*MOD(Calculator!$B$33/Calculator!$F$13,1)),2)))/$C51,$C51/(50*POWER(80,POWER(COS(PI()*MOD(Calculator!$B$33/Calculator!$F$13,1)),2)))),2))</f>
        <v>2.66</v>
      </c>
      <c r="AQ51" s="116" t="n">
        <f aca="false">IF(OR(Calculator!$E$14&lt;&gt;"YES",Calculator!$B$33&lt;Calculator!$G$14),"—",ROUND(MAX((50*POWER(80,POWER(COS(PI()*MOD(Calculator!$B$33/Calculator!$F$14,1)),2)))/$C51,$C51/(50*POWER(80,POWER(COS(PI()*MOD(Calculator!$B$33/Calculator!$F$14,1)),2)))),2))</f>
        <v>4.95</v>
      </c>
      <c r="AR51" s="116" t="n">
        <f aca="false">IF(OR(Calculator!$E$15&lt;&gt;"YES",Calculator!$B$33&lt;Calculator!$G$15),"—",ROUND(MAX((50*POWER(80,POWER(COS(PI()*MOD(Calculator!$B$33/Calculator!$F$15,1)),2)))/$C51,$C51/(50*POWER(80,POWER(COS(PI()*MOD(Calculator!$B$33/Calculator!$F$15,1)),2)))),2))</f>
        <v>3.01</v>
      </c>
      <c r="AS51" s="116" t="n">
        <f aca="false">IF(OR(Calculator!$E$16&lt;&gt;"YES",Calculator!$B$33&lt;Calculator!$G$16),"—",ROUND(MAX((50*POWER(80,POWER(COS(PI()*MOD(Calculator!$B$33/Calculator!$F$16,1)),2)))/$C51,$C51/(50*POWER(80,POWER(COS(PI()*MOD(Calculator!$B$33/Calculator!$F$16,1)),2)))),2))</f>
        <v>13.93</v>
      </c>
      <c r="AT51" s="116" t="n">
        <f aca="false">IF(OR(Calculator!$E$17&lt;&gt;"YES",Calculator!$B$33&lt;Calculator!$G$17),"—",ROUND(MAX((50*POWER(80,POWER(COS(PI()*MOD(Calculator!$B$33/Calculator!$F$17,1)),2)))/$C51,$C51/(50*POWER(80,POWER(COS(PI()*MOD(Calculator!$B$33/Calculator!$F$17,1)),2)))),2))</f>
        <v>1.93</v>
      </c>
      <c r="AU51" s="116" t="n">
        <f aca="false">IF(OR(Calculator!$E$18&lt;&gt;"YES",Calculator!$B$33&lt;Calculator!$G$18),"—",ROUND(MAX((50*POWER(80,POWER(COS(PI()*MOD(Calculator!$B$33/Calculator!$F$18,1)),2)))/$C51,$C51/(50*POWER(80,POWER(COS(PI()*MOD(Calculator!$B$33/Calculator!$F$18,1)),2)))),2))</f>
        <v>2.04</v>
      </c>
      <c r="AV51" s="116" t="n">
        <f aca="false">IF(OR(Calculator!$E$19&lt;&gt;"YES",Calculator!$B$33&lt;Calculator!$G$19),"—",ROUND(MAX((50*POWER(80,POWER(COS(PI()*MOD(Calculator!$B$33/Calculator!$F$19,1)),2)))/$C51,$C51/(50*POWER(80,POWER(COS(PI()*MOD(Calculator!$B$33/Calculator!$F$19,1)),2)))),2))</f>
        <v>3.45</v>
      </c>
      <c r="AW51" s="116" t="n">
        <f aca="false">IF(OR(Calculator!$E$20&lt;&gt;"YES",Calculator!$B$33&lt;Calculator!$G$20),"—",ROUND(MAX((50*POWER(80,POWER(COS(PI()*MOD(Calculator!$B$33/Calculator!$F$20,1)),2)))/$C51,$C51/(50*POWER(80,POWER(COS(PI()*MOD(Calculator!$B$33/Calculator!$F$20,1)),2)))),2))</f>
        <v>6.35</v>
      </c>
      <c r="AX51" s="116" t="n">
        <f aca="false">IF(OR(Calculator!$E$21&lt;&gt;"YES",Calculator!$B$33&lt;Calculator!$G$21),"—",ROUND(MAX((50*POWER(80,POWER(COS(PI()*MOD(Calculator!$B$33/Calculator!$F$21,1)),2)))/$C51,$C51/(50*POWER(80,POWER(COS(PI()*MOD(Calculator!$B$33/Calculator!$F$21,1)),2)))),2))</f>
        <v>1.23</v>
      </c>
      <c r="AY51" s="115" t="n">
        <f aca="false">IFERROR(ROUND((IF(ISNUMBER(AN51),AN51,0)+IF(ISNUMBER(AO51),AO51,0)+IF(ISNUMBER(AP51),AP51,0)+IF(ISNUMBER(AQ51),AQ51,0)+IF(ISNUMBER(AR51),AR51,0)+IF(ISNUMBER(AS51),AS51,0)+IF(ISNUMBER(AT51),AT51,0)+IF(ISNUMBER(AU51),AU51,0)+IF(ISNUMBER(AV51),AV51,0)+IF(ISNUMBER(AW51),AW51,0)+IF(ISNUMBER(AX51),AX51,0))/(IF(ISNUMBER(AN51),1,0)+IF(ISNUMBER(AO51),1,0)+IF(ISNUMBER(AP51),1,0)+IF(ISNUMBER(AQ51),1,0)+IF(ISNUMBER(AR51),1,0)+IF(ISNUMBER(AS51),1,0)+IF(ISNUMBER(AT51),1,0)+IF(ISNUMBER(AU51),1,0)+IF(ISNUMBER(AV51),1,0)+IF(ISNUMBER(AW51),1,0)+IF(ISNUMBER(AX51),1,0)),2),"")</f>
        <v>4.7</v>
      </c>
      <c r="AZ51" s="116" t="n">
        <f aca="false">IF(OR(Calculator!$E$11&lt;&gt;"YES",Calculator!$B$34&lt;Calculator!$G$11),"—",ROUND(MAX((50*POWER(80,POWER(COS(PI()*MOD(Calculator!$B$34/Calculator!$F$11,1)),2)))/$C51,$C51/(50*POWER(80,POWER(COS(PI()*MOD(Calculator!$B$34/Calculator!$F$11,1)),2)))),2))</f>
        <v>10.62</v>
      </c>
      <c r="BA51" s="116" t="n">
        <f aca="false">IF(OR(Calculator!$E$12&lt;&gt;"YES",Calculator!$B$34&lt;Calculator!$G$12),"—",ROUND(MAX((50*POWER(80,POWER(COS(PI()*MOD(Calculator!$B$34/Calculator!$F$12,1)),2)))/$C51,$C51/(50*POWER(80,POWER(COS(PI()*MOD(Calculator!$B$34/Calculator!$F$12,1)),2)))),2))</f>
        <v>1.08</v>
      </c>
      <c r="BB51" s="116" t="n">
        <f aca="false">IF(OR(Calculator!$E$13&lt;&gt;"YES",Calculator!$B$34&lt;Calculator!$G$13),"—",ROUND(MAX((50*POWER(80,POWER(COS(PI()*MOD(Calculator!$B$34/Calculator!$F$13,1)),2)))/$C51,$C51/(50*POWER(80,POWER(COS(PI()*MOD(Calculator!$B$34/Calculator!$F$13,1)),2)))),2))</f>
        <v>2.28</v>
      </c>
      <c r="BC51" s="116" t="n">
        <f aca="false">IF(OR(Calculator!$E$14&lt;&gt;"YES",Calculator!$B$34&lt;Calculator!$G$14),"—",ROUND(MAX((50*POWER(80,POWER(COS(PI()*MOD(Calculator!$B$34/Calculator!$F$14,1)),2)))/$C51,$C51/(50*POWER(80,POWER(COS(PI()*MOD(Calculator!$B$34/Calculator!$F$14,1)),2)))),2))</f>
        <v>5.97</v>
      </c>
      <c r="BD51" s="116" t="n">
        <f aca="false">IF(OR(Calculator!$E$15&lt;&gt;"YES",Calculator!$B$34&lt;Calculator!$G$15),"—",ROUND(MAX((50*POWER(80,POWER(COS(PI()*MOD(Calculator!$B$34/Calculator!$F$15,1)),2)))/$C51,$C51/(50*POWER(80,POWER(COS(PI()*MOD(Calculator!$B$34/Calculator!$F$15,1)),2)))),2))</f>
        <v>4.01</v>
      </c>
      <c r="BE51" s="116" t="n">
        <f aca="false">IF(OR(Calculator!$E$16&lt;&gt;"YES",Calculator!$B$34&lt;Calculator!$G$16),"—",ROUND(MAX((50*POWER(80,POWER(COS(PI()*MOD(Calculator!$B$34/Calculator!$F$16,1)),2)))/$C51,$C51/(50*POWER(80,POWER(COS(PI()*MOD(Calculator!$B$34/Calculator!$F$16,1)),2)))),2))</f>
        <v>10.93</v>
      </c>
      <c r="BF51" s="116" t="n">
        <f aca="false">IF(OR(Calculator!$E$17&lt;&gt;"YES",Calculator!$B$34&lt;Calculator!$G$17),"—",ROUND(MAX((50*POWER(80,POWER(COS(PI()*MOD(Calculator!$B$34/Calculator!$F$17,1)),2)))/$C51,$C51/(50*POWER(80,POWER(COS(PI()*MOD(Calculator!$B$34/Calculator!$F$17,1)),2)))),2))</f>
        <v>2.76</v>
      </c>
      <c r="BG51" s="116" t="n">
        <f aca="false">IF(OR(Calculator!$E$18&lt;&gt;"YES",Calculator!$B$34&lt;Calculator!$G$18),"—",ROUND(MAX((50*POWER(80,POWER(COS(PI()*MOD(Calculator!$B$34/Calculator!$F$18,1)),2)))/$C51,$C51/(50*POWER(80,POWER(COS(PI()*MOD(Calculator!$B$34/Calculator!$F$18,1)),2)))),2))</f>
        <v>3.02</v>
      </c>
      <c r="BH51" s="116" t="n">
        <f aca="false">IF(OR(Calculator!$E$19&lt;&gt;"YES",Calculator!$B$34&lt;Calculator!$G$19),"—",ROUND(MAX((50*POWER(80,POWER(COS(PI()*MOD(Calculator!$B$34/Calculator!$F$19,1)),2)))/$C51,$C51/(50*POWER(80,POWER(COS(PI()*MOD(Calculator!$B$34/Calculator!$F$19,1)),2)))),2))</f>
        <v>2.31</v>
      </c>
      <c r="BI51" s="116" t="n">
        <f aca="false">IF(OR(Calculator!$E$20&lt;&gt;"YES",Calculator!$B$34&lt;Calculator!$G$20),"—",ROUND(MAX((50*POWER(80,POWER(COS(PI()*MOD(Calculator!$B$34/Calculator!$F$20,1)),2)))/$C51,$C51/(50*POWER(80,POWER(COS(PI()*MOD(Calculator!$B$34/Calculator!$F$20,1)),2)))),2))</f>
        <v>11.89</v>
      </c>
      <c r="BJ51" s="116" t="n">
        <f aca="false">IF(OR(Calculator!$E$21&lt;&gt;"YES",Calculator!$B$34&lt;Calculator!$G$21),"—",ROUND(MAX((50*POWER(80,POWER(COS(PI()*MOD(Calculator!$B$34/Calculator!$F$21,1)),2)))/$C51,$C51/(50*POWER(80,POWER(COS(PI()*MOD(Calculator!$B$34/Calculator!$F$21,1)),2)))),2))</f>
        <v>3.46</v>
      </c>
      <c r="BK51" s="115" t="n">
        <f aca="false">IFERROR(ROUND((IF(ISNUMBER(AZ51),AZ51,0)+IF(ISNUMBER(BA51),BA51,0)+IF(ISNUMBER(BB51),BB51,0)+IF(ISNUMBER(BC51),BC51,0)+IF(ISNUMBER(BD51),BD51,0)+IF(ISNUMBER(BE51),BE51,0)+IF(ISNUMBER(BF51),BF51,0)+IF(ISNUMBER(BG51),BG51,0)+IF(ISNUMBER(BH51),BH51,0)+IF(ISNUMBER(BI51),BI51,0)+IF(ISNUMBER(BJ51),BJ51,0))/(IF(ISNUMBER(AZ51),1,0)+IF(ISNUMBER(BA51),1,0)+IF(ISNUMBER(BB51),1,0)+IF(ISNUMBER(BC51),1,0)+IF(ISNUMBER(BD51),1,0)+IF(ISNUMBER(BE51),1,0)+IF(ISNUMBER(BF51),1,0)+IF(ISNUMBER(BG51),1,0)+IF(ISNUMBER(BH51),1,0)+IF(ISNUMBER(BI51),1,0)+IF(ISNUMBER(BJ51),1,0)),2),"")</f>
        <v>5.3</v>
      </c>
    </row>
    <row r="52" customFormat="false" ht="15" hidden="false" customHeight="false" outlineLevel="0" collapsed="false">
      <c r="A52" s="117" t="s">
        <v>110</v>
      </c>
      <c r="B52" s="117" t="s">
        <v>93</v>
      </c>
      <c r="C52" s="118" t="n">
        <v>1000</v>
      </c>
      <c r="D52" s="119" t="n">
        <f aca="false">IF(OR(Calculator!$E$11&lt;&gt;"YES",Calculator!$B$30&lt;Calculator!$G$11),"—",ROUND(MAX((50*POWER(80,POWER(COS(PI()*MOD(Calculator!$B$30/Calculator!$F$11,1)),2)))/$C52,$C52/(50*POWER(80,POWER(COS(PI()*MOD(Calculator!$B$30/Calculator!$F$11,1)),2)))),2))</f>
        <v>11.32</v>
      </c>
      <c r="E52" s="119" t="n">
        <f aca="false">IF(OR(Calculator!$E$12&lt;&gt;"YES",Calculator!$B$30&lt;Calculator!$G$12),"—",ROUND(MAX((50*POWER(80,POWER(COS(PI()*MOD(Calculator!$B$30/Calculator!$F$12,1)),2)))/$C52,$C52/(50*POWER(80,POWER(COS(PI()*MOD(Calculator!$B$30/Calculator!$F$12,1)),2)))),2))</f>
        <v>1.06</v>
      </c>
      <c r="F52" s="119" t="n">
        <f aca="false">IF(OR(Calculator!$E$13&lt;&gt;"YES",Calculator!$B$30&lt;Calculator!$G$13),"—",ROUND(MAX((50*POWER(80,POWER(COS(PI()*MOD(Calculator!$B$30/Calculator!$F$13,1)),2)))/$C52,$C52/(50*POWER(80,POWER(COS(PI()*MOD(Calculator!$B$30/Calculator!$F$13,1)),2)))),2))</f>
        <v>2.52</v>
      </c>
      <c r="G52" s="119" t="n">
        <f aca="false">IF(OR(Calculator!$E$14&lt;&gt;"YES",Calculator!$B$30&lt;Calculator!$G$14),"—",ROUND(MAX((50*POWER(80,POWER(COS(PI()*MOD(Calculator!$B$30/Calculator!$F$14,1)),2)))/$C52,$C52/(50*POWER(80,POWER(COS(PI()*MOD(Calculator!$B$30/Calculator!$F$14,1)),2)))),2))</f>
        <v>5.91</v>
      </c>
      <c r="H52" s="119" t="n">
        <f aca="false">IF(OR(Calculator!$E$15&lt;&gt;"YES",Calculator!$B$30&lt;Calculator!$G$15),"—",ROUND(MAX((50*POWER(80,POWER(COS(PI()*MOD(Calculator!$B$30/Calculator!$F$15,1)),2)))/$C52,$C52/(50*POWER(80,POWER(COS(PI()*MOD(Calculator!$B$30/Calculator!$F$15,1)),2)))),2))</f>
        <v>3.84</v>
      </c>
      <c r="I52" s="119" t="n">
        <f aca="false">IF(OR(Calculator!$E$16&lt;&gt;"YES",Calculator!$B$30&lt;Calculator!$G$16),"—",ROUND(MAX((50*POWER(80,POWER(COS(PI()*MOD(Calculator!$B$30/Calculator!$F$16,1)),2)))/$C52,$C52/(50*POWER(80,POWER(COS(PI()*MOD(Calculator!$B$30/Calculator!$F$16,1)),2)))),2))</f>
        <v>12.56</v>
      </c>
      <c r="J52" s="119" t="n">
        <f aca="false">IF(OR(Calculator!$E$17&lt;&gt;"YES",Calculator!$B$30&lt;Calculator!$G$17),"—",ROUND(MAX((50*POWER(80,POWER(COS(PI()*MOD(Calculator!$B$30/Calculator!$F$17,1)),2)))/$C52,$C52/(50*POWER(80,POWER(COS(PI()*MOD(Calculator!$B$30/Calculator!$F$17,1)),2)))),2))</f>
        <v>2.35</v>
      </c>
      <c r="K52" s="119" t="n">
        <f aca="false">IF(OR(Calculator!$E$18&lt;&gt;"YES",Calculator!$B$30&lt;Calculator!$G$18),"—",ROUND(MAX((50*POWER(80,POWER(COS(PI()*MOD(Calculator!$B$30/Calculator!$F$18,1)),2)))/$C52,$C52/(50*POWER(80,POWER(COS(PI()*MOD(Calculator!$B$30/Calculator!$F$18,1)),2)))),2))</f>
        <v>2.55</v>
      </c>
      <c r="L52" s="119" t="n">
        <f aca="false">IF(OR(Calculator!$E$19&lt;&gt;"YES",Calculator!$B$30&lt;Calculator!$G$19),"—",ROUND(MAX((50*POWER(80,POWER(COS(PI()*MOD(Calculator!$B$30/Calculator!$F$19,1)),2)))/$C52,$C52/(50*POWER(80,POWER(COS(PI()*MOD(Calculator!$B$30/Calculator!$F$19,1)),2)))),2))</f>
        <v>2.56</v>
      </c>
      <c r="M52" s="119" t="n">
        <f aca="false">IF(OR(Calculator!$E$20&lt;&gt;"YES",Calculator!$B$30&lt;Calculator!$G$20),"—",ROUND(MAX((50*POWER(80,POWER(COS(PI()*MOD(Calculator!$B$30/Calculator!$F$20,1)),2)))/$C52,$C52/(50*POWER(80,POWER(COS(PI()*MOD(Calculator!$B$30/Calculator!$F$20,1)),2)))),2))</f>
        <v>10.4</v>
      </c>
      <c r="N52" s="119" t="n">
        <f aca="false">IF(OR(Calculator!$E$21&lt;&gt;"YES",Calculator!$B$30&lt;Calculator!$G$21),"—",ROUND(MAX((50*POWER(80,POWER(COS(PI()*MOD(Calculator!$B$30/Calculator!$F$21,1)),2)))/$C52,$C52/(50*POWER(80,POWER(COS(PI()*MOD(Calculator!$B$30/Calculator!$F$21,1)),2)))),2))</f>
        <v>2.54</v>
      </c>
      <c r="O52" s="114" t="n">
        <f aca="false">IFERROR(ROUND((IF(ISNUMBER(D52),D52,0)+IF(ISNUMBER(E52),E52,0)+IF(ISNUMBER(F52),F52,0)+IF(ISNUMBER(G52),G52,0)+IF(ISNUMBER(H52),H52,0)+IF(ISNUMBER(I52),I52,0)+IF(ISNUMBER(J52),J52,0)+IF(ISNUMBER(K52),K52,0)+IF(ISNUMBER(L52),L52,0)+IF(ISNUMBER(M52),M52,0)+IF(ISNUMBER(N52),N52,0))/(IF(ISNUMBER(D52),1,0)+IF(ISNUMBER(E52),1,0)+IF(ISNUMBER(F52),1,0)+IF(ISNUMBER(G52),1,0)+IF(ISNUMBER(H52),1,0)+IF(ISNUMBER(I52),1,0)+IF(ISNUMBER(J52),1,0)+IF(ISNUMBER(K52),1,0)+IF(ISNUMBER(L52),1,0)+IF(ISNUMBER(M52),1,0)+IF(ISNUMBER(N52),1,0)),2),"")</f>
        <v>5.24</v>
      </c>
      <c r="P52" s="119" t="n">
        <f aca="false">IF(OR(Calculator!$E$11&lt;&gt;"YES",Calculator!$B$31&lt;Calculator!$G$11),"—",ROUND(MAX((50*POWER(80,POWER(COS(PI()*MOD(Calculator!$B$31/Calculator!$F$11,1)),2)))/$C52,$C52/(50*POWER(80,POWER(COS(PI()*MOD(Calculator!$B$31/Calculator!$F$11,1)),2)))),2))</f>
        <v>11.46</v>
      </c>
      <c r="Q52" s="119" t="n">
        <f aca="false">IF(OR(Calculator!$E$12&lt;&gt;"YES",Calculator!$B$31&lt;Calculator!$G$12),"—",ROUND(MAX((50*POWER(80,POWER(COS(PI()*MOD(Calculator!$B$31/Calculator!$F$12,1)),2)))/$C52,$C52/(50*POWER(80,POWER(COS(PI()*MOD(Calculator!$B$31/Calculator!$F$12,1)),2)))),2))</f>
        <v>1.09</v>
      </c>
      <c r="R52" s="119" t="n">
        <f aca="false">IF(OR(Calculator!$E$13&lt;&gt;"YES",Calculator!$B$31&lt;Calculator!$G$13),"—",ROUND(MAX((50*POWER(80,POWER(COS(PI()*MOD(Calculator!$B$31/Calculator!$F$13,1)),2)))/$C52,$C52/(50*POWER(80,POWER(COS(PI()*MOD(Calculator!$B$31/Calculator!$F$13,1)),2)))),2))</f>
        <v>2.66</v>
      </c>
      <c r="S52" s="119" t="n">
        <f aca="false">IF(OR(Calculator!$E$14&lt;&gt;"YES",Calculator!$B$31&lt;Calculator!$G$14),"—",ROUND(MAX((50*POWER(80,POWER(COS(PI()*MOD(Calculator!$B$31/Calculator!$F$14,1)),2)))/$C52,$C52/(50*POWER(80,POWER(COS(PI()*MOD(Calculator!$B$31/Calculator!$F$14,1)),2)))),2))</f>
        <v>5.55</v>
      </c>
      <c r="T52" s="119" t="n">
        <f aca="false">IF(OR(Calculator!$E$15&lt;&gt;"YES",Calculator!$B$31&lt;Calculator!$G$15),"—",ROUND(MAX((50*POWER(80,POWER(COS(PI()*MOD(Calculator!$B$31/Calculator!$F$15,1)),2)))/$C52,$C52/(50*POWER(80,POWER(COS(PI()*MOD(Calculator!$B$31/Calculator!$F$15,1)),2)))),2))</f>
        <v>3.49</v>
      </c>
      <c r="U52" s="119" t="n">
        <f aca="false">IF(OR(Calculator!$E$16&lt;&gt;"YES",Calculator!$B$31&lt;Calculator!$G$16),"—",ROUND(MAX((50*POWER(80,POWER(COS(PI()*MOD(Calculator!$B$31/Calculator!$F$16,1)),2)))/$C52,$C52/(50*POWER(80,POWER(COS(PI()*MOD(Calculator!$B$31/Calculator!$F$16,1)),2)))),2))</f>
        <v>13.62</v>
      </c>
      <c r="V52" s="119" t="n">
        <f aca="false">IF(OR(Calculator!$E$17&lt;&gt;"YES",Calculator!$B$31&lt;Calculator!$G$17),"—",ROUND(MAX((50*POWER(80,POWER(COS(PI()*MOD(Calculator!$B$31/Calculator!$F$17,1)),2)))/$C52,$C52/(50*POWER(80,POWER(COS(PI()*MOD(Calculator!$B$31/Calculator!$F$17,1)),2)))),2))</f>
        <v>2.09</v>
      </c>
      <c r="W52" s="119" t="n">
        <f aca="false">IF(OR(Calculator!$E$18&lt;&gt;"YES",Calculator!$B$31&lt;Calculator!$G$18),"—",ROUND(MAX((50*POWER(80,POWER(COS(PI()*MOD(Calculator!$B$31/Calculator!$F$18,1)),2)))/$C52,$C52/(50*POWER(80,POWER(COS(PI()*MOD(Calculator!$B$31/Calculator!$F$18,1)),2)))),2))</f>
        <v>2.24</v>
      </c>
      <c r="X52" s="119" t="n">
        <f aca="false">IF(OR(Calculator!$E$19&lt;&gt;"YES",Calculator!$B$31&lt;Calculator!$G$19),"—",ROUND(MAX((50*POWER(80,POWER(COS(PI()*MOD(Calculator!$B$31/Calculator!$F$19,1)),2)))/$C52,$C52/(50*POWER(80,POWER(COS(PI()*MOD(Calculator!$B$31/Calculator!$F$19,1)),2)))),2))</f>
        <v>2.93</v>
      </c>
      <c r="Y52" s="119" t="n">
        <f aca="false">IF(OR(Calculator!$E$20&lt;&gt;"YES",Calculator!$B$31&lt;Calculator!$G$20),"—",ROUND(MAX((50*POWER(80,POWER(COS(PI()*MOD(Calculator!$B$31/Calculator!$F$20,1)),2)))/$C52,$C52/(50*POWER(80,POWER(COS(PI()*MOD(Calculator!$B$31/Calculator!$F$20,1)),2)))),2))</f>
        <v>8.42</v>
      </c>
      <c r="Z52" s="119" t="n">
        <f aca="false">IF(OR(Calculator!$E$21&lt;&gt;"YES",Calculator!$B$31&lt;Calculator!$G$21),"—",ROUND(MAX((50*POWER(80,POWER(COS(PI()*MOD(Calculator!$B$31/Calculator!$F$21,1)),2)))/$C52,$C52/(50*POWER(80,POWER(COS(PI()*MOD(Calculator!$B$31/Calculator!$F$21,1)),2)))),2))</f>
        <v>1.79</v>
      </c>
      <c r="AA52" s="114" t="n">
        <f aca="false">IFERROR(ROUND((IF(ISNUMBER(P52),P52,0)+IF(ISNUMBER(Q52),Q52,0)+IF(ISNUMBER(R52),R52,0)+IF(ISNUMBER(S52),S52,0)+IF(ISNUMBER(T52),T52,0)+IF(ISNUMBER(U52),U52,0)+IF(ISNUMBER(V52),V52,0)+IF(ISNUMBER(W52),W52,0)+IF(ISNUMBER(X52),X52,0)+IF(ISNUMBER(Y52),Y52,0)+IF(ISNUMBER(Z52),Z52,0))/(IF(ISNUMBER(P52),1,0)+IF(ISNUMBER(Q52),1,0)+IF(ISNUMBER(R52),1,0)+IF(ISNUMBER(S52),1,0)+IF(ISNUMBER(T52),1,0)+IF(ISNUMBER(U52),1,0)+IF(ISNUMBER(V52),1,0)+IF(ISNUMBER(W52),1,0)+IF(ISNUMBER(X52),1,0)+IF(ISNUMBER(Y52),1,0)+IF(ISNUMBER(Z52),1,0)),2),"")</f>
        <v>5.03</v>
      </c>
      <c r="AB52" s="119" t="n">
        <f aca="false">IF(OR(Calculator!$E$11&lt;&gt;"YES",Calculator!$B$32&lt;Calculator!$G$11),"—",ROUND(MAX((50*POWER(80,POWER(COS(PI()*MOD(Calculator!$B$32/Calculator!$F$11,1)),2)))/$C52,$C52/(50*POWER(80,POWER(COS(PI()*MOD(Calculator!$B$32/Calculator!$F$11,1)),2)))),2))</f>
        <v>14.43</v>
      </c>
      <c r="AC52" s="119" t="n">
        <f aca="false">IF(OR(Calculator!$E$12&lt;&gt;"YES",Calculator!$B$32&lt;Calculator!$G$12),"—",ROUND(MAX((50*POWER(80,POWER(COS(PI()*MOD(Calculator!$B$32/Calculator!$F$12,1)),2)))/$C52,$C52/(50*POWER(80,POWER(COS(PI()*MOD(Calculator!$B$32/Calculator!$F$12,1)),2)))),2))</f>
        <v>2.01</v>
      </c>
      <c r="AD52" s="119" t="n">
        <f aca="false">IF(OR(Calculator!$E$13&lt;&gt;"YES",Calculator!$B$32&lt;Calculator!$G$13),"—",ROUND(MAX((50*POWER(80,POWER(COS(PI()*MOD(Calculator!$B$32/Calculator!$F$13,1)),2)))/$C52,$C52/(50*POWER(80,POWER(COS(PI()*MOD(Calculator!$B$32/Calculator!$F$13,1)),2)))),2))</f>
        <v>7.36</v>
      </c>
      <c r="AE52" s="119" t="n">
        <f aca="false">IF(OR(Calculator!$E$14&lt;&gt;"YES",Calculator!$B$32&lt;Calculator!$G$14),"—",ROUND(MAX((50*POWER(80,POWER(COS(PI()*MOD(Calculator!$B$32/Calculator!$F$14,1)),2)))/$C52,$C52/(50*POWER(80,POWER(COS(PI()*MOD(Calculator!$B$32/Calculator!$F$14,1)),2)))),2))</f>
        <v>1.35</v>
      </c>
      <c r="AF52" s="119" t="n">
        <f aca="false">IF(OR(Calculator!$E$15&lt;&gt;"YES",Calculator!$B$32&lt;Calculator!$G$15),"—",ROUND(MAX((50*POWER(80,POWER(COS(PI()*MOD(Calculator!$B$32/Calculator!$F$15,1)),2)))/$C52,$C52/(50*POWER(80,POWER(COS(PI()*MOD(Calculator!$B$32/Calculator!$F$15,1)),2)))),2))</f>
        <v>1.94</v>
      </c>
      <c r="AG52" s="119" t="n">
        <f aca="false">IF(OR(Calculator!$E$16&lt;&gt;"YES",Calculator!$B$32&lt;Calculator!$G$16),"—",ROUND(MAX((50*POWER(80,POWER(COS(PI()*MOD(Calculator!$B$32/Calculator!$F$16,1)),2)))/$C52,$C52/(50*POWER(80,POWER(COS(PI()*MOD(Calculator!$B$32/Calculator!$F$16,1)),2)))),2))</f>
        <v>11.76</v>
      </c>
      <c r="AH52" s="119" t="n">
        <f aca="false">IF(OR(Calculator!$E$17&lt;&gt;"YES",Calculator!$B$32&lt;Calculator!$G$17),"—",ROUND(MAX((50*POWER(80,POWER(COS(PI()*MOD(Calculator!$B$32/Calculator!$F$17,1)),2)))/$C52,$C52/(50*POWER(80,POWER(COS(PI()*MOD(Calculator!$B$32/Calculator!$F$17,1)),2)))),2))</f>
        <v>12.41</v>
      </c>
      <c r="AI52" s="119" t="n">
        <f aca="false">IF(OR(Calculator!$E$18&lt;&gt;"YES",Calculator!$B$32&lt;Calculator!$G$18),"—",ROUND(MAX((50*POWER(80,POWER(COS(PI()*MOD(Calculator!$B$32/Calculator!$F$18,1)),2)))/$C52,$C52/(50*POWER(80,POWER(COS(PI()*MOD(Calculator!$B$32/Calculator!$F$18,1)),2)))),2))</f>
        <v>16.37</v>
      </c>
      <c r="AJ52" s="119" t="n">
        <f aca="false">IF(OR(Calculator!$E$19&lt;&gt;"YES",Calculator!$B$32&lt;Calculator!$G$19),"—",ROUND(MAX((50*POWER(80,POWER(COS(PI()*MOD(Calculator!$B$32/Calculator!$F$19,1)),2)))/$C52,$C52/(50*POWER(80,POWER(COS(PI()*MOD(Calculator!$B$32/Calculator!$F$19,1)),2)))),2))</f>
        <v>3.45</v>
      </c>
      <c r="AK52" s="119" t="n">
        <f aca="false">IF(OR(Calculator!$E$20&lt;&gt;"YES",Calculator!$B$32&lt;Calculator!$G$20),"—",ROUND(MAX((50*POWER(80,POWER(COS(PI()*MOD(Calculator!$B$32/Calculator!$F$20,1)),2)))/$C52,$C52/(50*POWER(80,POWER(COS(PI()*MOD(Calculator!$B$32/Calculator!$F$20,1)),2)))),2))</f>
        <v>3.21</v>
      </c>
      <c r="AL52" s="119" t="n">
        <f aca="false">IF(OR(Calculator!$E$21&lt;&gt;"YES",Calculator!$B$32&lt;Calculator!$G$21),"—",ROUND(MAX((50*POWER(80,POWER(COS(PI()*MOD(Calculator!$B$32/Calculator!$F$21,1)),2)))/$C52,$C52/(50*POWER(80,POWER(COS(PI()*MOD(Calculator!$B$32/Calculator!$F$21,1)),2)))),2))</f>
        <v>2.79</v>
      </c>
      <c r="AM52" s="115" t="n">
        <f aca="false">IFERROR(ROUND((IF(ISNUMBER(AB52),AB52,0)+IF(ISNUMBER(AC52),AC52,0)+IF(ISNUMBER(AD52),AD52,0)+IF(ISNUMBER(AE52),AE52,0)+IF(ISNUMBER(AF52),AF52,0)+IF(ISNUMBER(AG52),AG52,0)+IF(ISNUMBER(AH52),AH52,0)+IF(ISNUMBER(AI52),AI52,0)+IF(ISNUMBER(AJ52),AJ52,0)+IF(ISNUMBER(AK52),AK52,0)+IF(ISNUMBER(AL52),AL52,0))/(IF(ISNUMBER(AB52),1,0)+IF(ISNUMBER(AC52),1,0)+IF(ISNUMBER(AD52),1,0)+IF(ISNUMBER(AE52),1,0)+IF(ISNUMBER(AF52),1,0)+IF(ISNUMBER(AG52),1,0)+IF(ISNUMBER(AH52),1,0)+IF(ISNUMBER(AI52),1,0)+IF(ISNUMBER(AJ52),1,0)+IF(ISNUMBER(AK52),1,0)+IF(ISNUMBER(AL52),1,0)),2),"")</f>
        <v>7.01</v>
      </c>
      <c r="AN52" s="120" t="n">
        <f aca="false">IF(OR(Calculator!$E$11&lt;&gt;"YES",Calculator!$B$33&lt;Calculator!$G$11),"—",ROUND(MAX((50*POWER(80,POWER(COS(PI()*MOD(Calculator!$B$33/Calculator!$F$11,1)),2)))/$C52,$C52/(50*POWER(80,POWER(COS(PI()*MOD(Calculator!$B$33/Calculator!$F$11,1)),2)))),2))</f>
        <v>11.6</v>
      </c>
      <c r="AO52" s="120" t="n">
        <f aca="false">IF(OR(Calculator!$E$12&lt;&gt;"YES",Calculator!$B$33&lt;Calculator!$G$12),"—",ROUND(MAX((50*POWER(80,POWER(COS(PI()*MOD(Calculator!$B$33/Calculator!$F$12,1)),2)))/$C52,$C52/(50*POWER(80,POWER(COS(PI()*MOD(Calculator!$B$33/Calculator!$F$12,1)),2)))),2))</f>
        <v>1.13</v>
      </c>
      <c r="AP52" s="120" t="n">
        <f aca="false">IF(OR(Calculator!$E$13&lt;&gt;"YES",Calculator!$B$33&lt;Calculator!$G$13),"—",ROUND(MAX((50*POWER(80,POWER(COS(PI()*MOD(Calculator!$B$33/Calculator!$F$13,1)),2)))/$C52,$C52/(50*POWER(80,POWER(COS(PI()*MOD(Calculator!$B$33/Calculator!$F$13,1)),2)))),2))</f>
        <v>2.8</v>
      </c>
      <c r="AQ52" s="120" t="n">
        <f aca="false">IF(OR(Calculator!$E$14&lt;&gt;"YES",Calculator!$B$33&lt;Calculator!$G$14),"—",ROUND(MAX((50*POWER(80,POWER(COS(PI()*MOD(Calculator!$B$33/Calculator!$F$14,1)),2)))/$C52,$C52/(50*POWER(80,POWER(COS(PI()*MOD(Calculator!$B$33/Calculator!$F$14,1)),2)))),2))</f>
        <v>5.21</v>
      </c>
      <c r="AR52" s="120" t="n">
        <f aca="false">IF(OR(Calculator!$E$15&lt;&gt;"YES",Calculator!$B$33&lt;Calculator!$G$15),"—",ROUND(MAX((50*POWER(80,POWER(COS(PI()*MOD(Calculator!$B$33/Calculator!$F$15,1)),2)))/$C52,$C52/(50*POWER(80,POWER(COS(PI()*MOD(Calculator!$B$33/Calculator!$F$15,1)),2)))),2))</f>
        <v>3.17</v>
      </c>
      <c r="AS52" s="120" t="n">
        <f aca="false">IF(OR(Calculator!$E$16&lt;&gt;"YES",Calculator!$B$33&lt;Calculator!$G$16),"—",ROUND(MAX((50*POWER(80,POWER(COS(PI()*MOD(Calculator!$B$33/Calculator!$F$16,1)),2)))/$C52,$C52/(50*POWER(80,POWER(COS(PI()*MOD(Calculator!$B$33/Calculator!$F$16,1)),2)))),2))</f>
        <v>14.66</v>
      </c>
      <c r="AT52" s="120" t="n">
        <f aca="false">IF(OR(Calculator!$E$17&lt;&gt;"YES",Calculator!$B$33&lt;Calculator!$G$17),"—",ROUND(MAX((50*POWER(80,POWER(COS(PI()*MOD(Calculator!$B$33/Calculator!$F$17,1)),2)))/$C52,$C52/(50*POWER(80,POWER(COS(PI()*MOD(Calculator!$B$33/Calculator!$F$17,1)),2)))),2))</f>
        <v>1.83</v>
      </c>
      <c r="AU52" s="120" t="n">
        <f aca="false">IF(OR(Calculator!$E$18&lt;&gt;"YES",Calculator!$B$33&lt;Calculator!$G$18),"—",ROUND(MAX((50*POWER(80,POWER(COS(PI()*MOD(Calculator!$B$33/Calculator!$F$18,1)),2)))/$C52,$C52/(50*POWER(80,POWER(COS(PI()*MOD(Calculator!$B$33/Calculator!$F$18,1)),2)))),2))</f>
        <v>1.93</v>
      </c>
      <c r="AV52" s="120" t="n">
        <f aca="false">IF(OR(Calculator!$E$19&lt;&gt;"YES",Calculator!$B$33&lt;Calculator!$G$19),"—",ROUND(MAX((50*POWER(80,POWER(COS(PI()*MOD(Calculator!$B$33/Calculator!$F$19,1)),2)))/$C52,$C52/(50*POWER(80,POWER(COS(PI()*MOD(Calculator!$B$33/Calculator!$F$19,1)),2)))),2))</f>
        <v>3.28</v>
      </c>
      <c r="AW52" s="120" t="n">
        <f aca="false">IF(OR(Calculator!$E$20&lt;&gt;"YES",Calculator!$B$33&lt;Calculator!$G$20),"—",ROUND(MAX((50*POWER(80,POWER(COS(PI()*MOD(Calculator!$B$33/Calculator!$F$20,1)),2)))/$C52,$C52/(50*POWER(80,POWER(COS(PI()*MOD(Calculator!$B$33/Calculator!$F$20,1)),2)))),2))</f>
        <v>6.68</v>
      </c>
      <c r="AX52" s="120" t="n">
        <f aca="false">IF(OR(Calculator!$E$21&lt;&gt;"YES",Calculator!$B$33&lt;Calculator!$G$21),"—",ROUND(MAX((50*POWER(80,POWER(COS(PI()*MOD(Calculator!$B$33/Calculator!$F$21,1)),2)))/$C52,$C52/(50*POWER(80,POWER(COS(PI()*MOD(Calculator!$B$33/Calculator!$F$21,1)),2)))),2))</f>
        <v>1.17</v>
      </c>
      <c r="AY52" s="115" t="n">
        <f aca="false">IFERROR(ROUND((IF(ISNUMBER(AN52),AN52,0)+IF(ISNUMBER(AO52),AO52,0)+IF(ISNUMBER(AP52),AP52,0)+IF(ISNUMBER(AQ52),AQ52,0)+IF(ISNUMBER(AR52),AR52,0)+IF(ISNUMBER(AS52),AS52,0)+IF(ISNUMBER(AT52),AT52,0)+IF(ISNUMBER(AU52),AU52,0)+IF(ISNUMBER(AV52),AV52,0)+IF(ISNUMBER(AW52),AW52,0)+IF(ISNUMBER(AX52),AX52,0))/(IF(ISNUMBER(AN52),1,0)+IF(ISNUMBER(AO52),1,0)+IF(ISNUMBER(AP52),1,0)+IF(ISNUMBER(AQ52),1,0)+IF(ISNUMBER(AR52),1,0)+IF(ISNUMBER(AS52),1,0)+IF(ISNUMBER(AT52),1,0)+IF(ISNUMBER(AU52),1,0)+IF(ISNUMBER(AV52),1,0)+IF(ISNUMBER(AW52),1,0)+IF(ISNUMBER(AX52),1,0)),2),"")</f>
        <v>4.86</v>
      </c>
      <c r="AZ52" s="120" t="n">
        <f aca="false">IF(OR(Calculator!$E$11&lt;&gt;"YES",Calculator!$B$34&lt;Calculator!$G$11),"—",ROUND(MAX((50*POWER(80,POWER(COS(PI()*MOD(Calculator!$B$34/Calculator!$F$11,1)),2)))/$C52,$C52/(50*POWER(80,POWER(COS(PI()*MOD(Calculator!$B$34/Calculator!$F$11,1)),2)))),2))</f>
        <v>11.18</v>
      </c>
      <c r="BA52" s="120" t="n">
        <f aca="false">IF(OR(Calculator!$E$12&lt;&gt;"YES",Calculator!$B$34&lt;Calculator!$G$12),"—",ROUND(MAX((50*POWER(80,POWER(COS(PI()*MOD(Calculator!$B$34/Calculator!$F$12,1)),2)))/$C52,$C52/(50*POWER(80,POWER(COS(PI()*MOD(Calculator!$B$34/Calculator!$F$12,1)),2)))),2))</f>
        <v>1.02</v>
      </c>
      <c r="BB52" s="120" t="n">
        <f aca="false">IF(OR(Calculator!$E$13&lt;&gt;"YES",Calculator!$B$34&lt;Calculator!$G$13),"—",ROUND(MAX((50*POWER(80,POWER(COS(PI()*MOD(Calculator!$B$34/Calculator!$F$13,1)),2)))/$C52,$C52/(50*POWER(80,POWER(COS(PI()*MOD(Calculator!$B$34/Calculator!$F$13,1)),2)))),2))</f>
        <v>2.4</v>
      </c>
      <c r="BC52" s="120" t="n">
        <f aca="false">IF(OR(Calculator!$E$14&lt;&gt;"YES",Calculator!$B$34&lt;Calculator!$G$14),"—",ROUND(MAX((50*POWER(80,POWER(COS(PI()*MOD(Calculator!$B$34/Calculator!$F$14,1)),2)))/$C52,$C52/(50*POWER(80,POWER(COS(PI()*MOD(Calculator!$B$34/Calculator!$F$14,1)),2)))),2))</f>
        <v>6.28</v>
      </c>
      <c r="BD52" s="120" t="n">
        <f aca="false">IF(OR(Calculator!$E$15&lt;&gt;"YES",Calculator!$B$34&lt;Calculator!$G$15),"—",ROUND(MAX((50*POWER(80,POWER(COS(PI()*MOD(Calculator!$B$34/Calculator!$F$15,1)),2)))/$C52,$C52/(50*POWER(80,POWER(COS(PI()*MOD(Calculator!$B$34/Calculator!$F$15,1)),2)))),2))</f>
        <v>4.22</v>
      </c>
      <c r="BE52" s="120" t="n">
        <f aca="false">IF(OR(Calculator!$E$16&lt;&gt;"YES",Calculator!$B$34&lt;Calculator!$G$16),"—",ROUND(MAX((50*POWER(80,POWER(COS(PI()*MOD(Calculator!$B$34/Calculator!$F$16,1)),2)))/$C52,$C52/(50*POWER(80,POWER(COS(PI()*MOD(Calculator!$B$34/Calculator!$F$16,1)),2)))),2))</f>
        <v>11.51</v>
      </c>
      <c r="BF52" s="120" t="n">
        <f aca="false">IF(OR(Calculator!$E$17&lt;&gt;"YES",Calculator!$B$34&lt;Calculator!$G$17),"—",ROUND(MAX((50*POWER(80,POWER(COS(PI()*MOD(Calculator!$B$34/Calculator!$F$17,1)),2)))/$C52,$C52/(50*POWER(80,POWER(COS(PI()*MOD(Calculator!$B$34/Calculator!$F$17,1)),2)))),2))</f>
        <v>2.62</v>
      </c>
      <c r="BG52" s="120" t="n">
        <f aca="false">IF(OR(Calculator!$E$18&lt;&gt;"YES",Calculator!$B$34&lt;Calculator!$G$18),"—",ROUND(MAX((50*POWER(80,POWER(COS(PI()*MOD(Calculator!$B$34/Calculator!$F$18,1)),2)))/$C52,$C52/(50*POWER(80,POWER(COS(PI()*MOD(Calculator!$B$34/Calculator!$F$18,1)),2)))),2))</f>
        <v>2.87</v>
      </c>
      <c r="BH52" s="120" t="n">
        <f aca="false">IF(OR(Calculator!$E$19&lt;&gt;"YES",Calculator!$B$34&lt;Calculator!$G$19),"—",ROUND(MAX((50*POWER(80,POWER(COS(PI()*MOD(Calculator!$B$34/Calculator!$F$19,1)),2)))/$C52,$C52/(50*POWER(80,POWER(COS(PI()*MOD(Calculator!$B$34/Calculator!$F$19,1)),2)))),2))</f>
        <v>2.19</v>
      </c>
      <c r="BI52" s="120" t="n">
        <f aca="false">IF(OR(Calculator!$E$20&lt;&gt;"YES",Calculator!$B$34&lt;Calculator!$G$20),"—",ROUND(MAX((50*POWER(80,POWER(COS(PI()*MOD(Calculator!$B$34/Calculator!$F$20,1)),2)))/$C52,$C52/(50*POWER(80,POWER(COS(PI()*MOD(Calculator!$B$34/Calculator!$F$20,1)),2)))),2))</f>
        <v>12.52</v>
      </c>
      <c r="BJ52" s="120" t="n">
        <f aca="false">IF(OR(Calculator!$E$21&lt;&gt;"YES",Calculator!$B$34&lt;Calculator!$G$21),"—",ROUND(MAX((50*POWER(80,POWER(COS(PI()*MOD(Calculator!$B$34/Calculator!$F$21,1)),2)))/$C52,$C52/(50*POWER(80,POWER(COS(PI()*MOD(Calculator!$B$34/Calculator!$F$21,1)),2)))),2))</f>
        <v>3.28</v>
      </c>
      <c r="BK52" s="115" t="n">
        <f aca="false">IFERROR(ROUND((IF(ISNUMBER(AZ52),AZ52,0)+IF(ISNUMBER(BA52),BA52,0)+IF(ISNUMBER(BB52),BB52,0)+IF(ISNUMBER(BC52),BC52,0)+IF(ISNUMBER(BD52),BD52,0)+IF(ISNUMBER(BE52),BE52,0)+IF(ISNUMBER(BF52),BF52,0)+IF(ISNUMBER(BG52),BG52,0)+IF(ISNUMBER(BH52),BH52,0)+IF(ISNUMBER(BI52),BI52,0)+IF(ISNUMBER(BJ52),BJ52,0))/(IF(ISNUMBER(AZ52),1,0)+IF(ISNUMBER(BA52),1,0)+IF(ISNUMBER(BB52),1,0)+IF(ISNUMBER(BC52),1,0)+IF(ISNUMBER(BD52),1,0)+IF(ISNUMBER(BE52),1,0)+IF(ISNUMBER(BF52),1,0)+IF(ISNUMBER(BG52),1,0)+IF(ISNUMBER(BH52),1,0)+IF(ISNUMBER(BI52),1,0)+IF(ISNUMBER(BJ52),1,0)),2),"")</f>
        <v>5.46</v>
      </c>
    </row>
    <row r="53" customFormat="false" ht="15" hidden="false" customHeight="false" outlineLevel="0" collapsed="false">
      <c r="A53" s="87" t="s">
        <v>111</v>
      </c>
      <c r="B53" s="87" t="s">
        <v>93</v>
      </c>
      <c r="C53" s="90" t="n">
        <v>1050</v>
      </c>
      <c r="D53" s="91" t="n">
        <f aca="false">IF(OR(Calculator!$E$11&lt;&gt;"YES",Calculator!$B$30&lt;Calculator!$G$11),"—",ROUND(MAX((50*POWER(80,POWER(COS(PI()*MOD(Calculator!$B$30/Calculator!$F$11,1)),2)))/$C53,$C53/(50*POWER(80,POWER(COS(PI()*MOD(Calculator!$B$30/Calculator!$F$11,1)),2)))),2))</f>
        <v>11.89</v>
      </c>
      <c r="E53" s="91" t="n">
        <f aca="false">IF(OR(Calculator!$E$12&lt;&gt;"YES",Calculator!$B$30&lt;Calculator!$G$12),"—",ROUND(MAX((50*POWER(80,POWER(COS(PI()*MOD(Calculator!$B$30/Calculator!$F$12,1)),2)))/$C53,$C53/(50*POWER(80,POWER(COS(PI()*MOD(Calculator!$B$30/Calculator!$F$12,1)),2)))),2))</f>
        <v>1</v>
      </c>
      <c r="F53" s="91" t="n">
        <f aca="false">IF(OR(Calculator!$E$13&lt;&gt;"YES",Calculator!$B$30&lt;Calculator!$G$13),"—",ROUND(MAX((50*POWER(80,POWER(COS(PI()*MOD(Calculator!$B$30/Calculator!$F$13,1)),2)))/$C53,$C53/(50*POWER(80,POWER(COS(PI()*MOD(Calculator!$B$30/Calculator!$F$13,1)),2)))),2))</f>
        <v>2.65</v>
      </c>
      <c r="G53" s="91" t="n">
        <f aca="false">IF(OR(Calculator!$E$14&lt;&gt;"YES",Calculator!$B$30&lt;Calculator!$G$14),"—",ROUND(MAX((50*POWER(80,POWER(COS(PI()*MOD(Calculator!$B$30/Calculator!$F$14,1)),2)))/$C53,$C53/(50*POWER(80,POWER(COS(PI()*MOD(Calculator!$B$30/Calculator!$F$14,1)),2)))),2))</f>
        <v>6.2</v>
      </c>
      <c r="H53" s="91" t="n">
        <f aca="false">IF(OR(Calculator!$E$15&lt;&gt;"YES",Calculator!$B$30&lt;Calculator!$G$15),"—",ROUND(MAX((50*POWER(80,POWER(COS(PI()*MOD(Calculator!$B$30/Calculator!$F$15,1)),2)))/$C53,$C53/(50*POWER(80,POWER(COS(PI()*MOD(Calculator!$B$30/Calculator!$F$15,1)),2)))),2))</f>
        <v>4.03</v>
      </c>
      <c r="I53" s="91" t="n">
        <f aca="false">IF(OR(Calculator!$E$16&lt;&gt;"YES",Calculator!$B$30&lt;Calculator!$G$16),"—",ROUND(MAX((50*POWER(80,POWER(COS(PI()*MOD(Calculator!$B$30/Calculator!$F$16,1)),2)))/$C53,$C53/(50*POWER(80,POWER(COS(PI()*MOD(Calculator!$B$30/Calculator!$F$16,1)),2)))),2))</f>
        <v>13.19</v>
      </c>
      <c r="J53" s="91" t="n">
        <f aca="false">IF(OR(Calculator!$E$17&lt;&gt;"YES",Calculator!$B$30&lt;Calculator!$G$17),"—",ROUND(MAX((50*POWER(80,POWER(COS(PI()*MOD(Calculator!$B$30/Calculator!$F$17,1)),2)))/$C53,$C53/(50*POWER(80,POWER(COS(PI()*MOD(Calculator!$B$30/Calculator!$F$17,1)),2)))),2))</f>
        <v>2.24</v>
      </c>
      <c r="K53" s="91" t="n">
        <f aca="false">IF(OR(Calculator!$E$18&lt;&gt;"YES",Calculator!$B$30&lt;Calculator!$G$18),"—",ROUND(MAX((50*POWER(80,POWER(COS(PI()*MOD(Calculator!$B$30/Calculator!$F$18,1)),2)))/$C53,$C53/(50*POWER(80,POWER(COS(PI()*MOD(Calculator!$B$30/Calculator!$F$18,1)),2)))),2))</f>
        <v>2.43</v>
      </c>
      <c r="L53" s="91" t="n">
        <f aca="false">IF(OR(Calculator!$E$19&lt;&gt;"YES",Calculator!$B$30&lt;Calculator!$G$19),"—",ROUND(MAX((50*POWER(80,POWER(COS(PI()*MOD(Calculator!$B$30/Calculator!$F$19,1)),2)))/$C53,$C53/(50*POWER(80,POWER(COS(PI()*MOD(Calculator!$B$30/Calculator!$F$19,1)),2)))),2))</f>
        <v>2.44</v>
      </c>
      <c r="M53" s="91" t="n">
        <f aca="false">IF(OR(Calculator!$E$20&lt;&gt;"YES",Calculator!$B$30&lt;Calculator!$G$20),"—",ROUND(MAX((50*POWER(80,POWER(COS(PI()*MOD(Calculator!$B$30/Calculator!$F$20,1)),2)))/$C53,$C53/(50*POWER(80,POWER(COS(PI()*MOD(Calculator!$B$30/Calculator!$F$20,1)),2)))),2))</f>
        <v>10.92</v>
      </c>
      <c r="N53" s="91" t="n">
        <f aca="false">IF(OR(Calculator!$E$21&lt;&gt;"YES",Calculator!$B$30&lt;Calculator!$G$21),"—",ROUND(MAX((50*POWER(80,POWER(COS(PI()*MOD(Calculator!$B$30/Calculator!$F$21,1)),2)))/$C53,$C53/(50*POWER(80,POWER(COS(PI()*MOD(Calculator!$B$30/Calculator!$F$21,1)),2)))),2))</f>
        <v>2.41</v>
      </c>
      <c r="O53" s="114" t="n">
        <f aca="false">IFERROR(ROUND((IF(ISNUMBER(D53),D53,0)+IF(ISNUMBER(E53),E53,0)+IF(ISNUMBER(F53),F53,0)+IF(ISNUMBER(G53),G53,0)+IF(ISNUMBER(H53),H53,0)+IF(ISNUMBER(I53),I53,0)+IF(ISNUMBER(J53),J53,0)+IF(ISNUMBER(K53),K53,0)+IF(ISNUMBER(L53),L53,0)+IF(ISNUMBER(M53),M53,0)+IF(ISNUMBER(N53),N53,0))/(IF(ISNUMBER(D53),1,0)+IF(ISNUMBER(E53),1,0)+IF(ISNUMBER(F53),1,0)+IF(ISNUMBER(G53),1,0)+IF(ISNUMBER(H53),1,0)+IF(ISNUMBER(I53),1,0)+IF(ISNUMBER(J53),1,0)+IF(ISNUMBER(K53),1,0)+IF(ISNUMBER(L53),1,0)+IF(ISNUMBER(M53),1,0)+IF(ISNUMBER(N53),1,0)),2),"")</f>
        <v>5.4</v>
      </c>
      <c r="P53" s="91" t="n">
        <f aca="false">IF(OR(Calculator!$E$11&lt;&gt;"YES",Calculator!$B$31&lt;Calculator!$G$11),"—",ROUND(MAX((50*POWER(80,POWER(COS(PI()*MOD(Calculator!$B$31/Calculator!$F$11,1)),2)))/$C53,$C53/(50*POWER(80,POWER(COS(PI()*MOD(Calculator!$B$31/Calculator!$F$11,1)),2)))),2))</f>
        <v>12.04</v>
      </c>
      <c r="Q53" s="91" t="n">
        <f aca="false">IF(OR(Calculator!$E$12&lt;&gt;"YES",Calculator!$B$31&lt;Calculator!$G$12),"—",ROUND(MAX((50*POWER(80,POWER(COS(PI()*MOD(Calculator!$B$31/Calculator!$F$12,1)),2)))/$C53,$C53/(50*POWER(80,POWER(COS(PI()*MOD(Calculator!$B$31/Calculator!$F$12,1)),2)))),2))</f>
        <v>1.04</v>
      </c>
      <c r="R53" s="91" t="n">
        <f aca="false">IF(OR(Calculator!$E$13&lt;&gt;"YES",Calculator!$B$31&lt;Calculator!$G$13),"—",ROUND(MAX((50*POWER(80,POWER(COS(PI()*MOD(Calculator!$B$31/Calculator!$F$13,1)),2)))/$C53,$C53/(50*POWER(80,POWER(COS(PI()*MOD(Calculator!$B$31/Calculator!$F$13,1)),2)))),2))</f>
        <v>2.79</v>
      </c>
      <c r="S53" s="91" t="n">
        <f aca="false">IF(OR(Calculator!$E$14&lt;&gt;"YES",Calculator!$B$31&lt;Calculator!$G$14),"—",ROUND(MAX((50*POWER(80,POWER(COS(PI()*MOD(Calculator!$B$31/Calculator!$F$14,1)),2)))/$C53,$C53/(50*POWER(80,POWER(COS(PI()*MOD(Calculator!$B$31/Calculator!$F$14,1)),2)))),2))</f>
        <v>5.83</v>
      </c>
      <c r="T53" s="91" t="n">
        <f aca="false">IF(OR(Calculator!$E$15&lt;&gt;"YES",Calculator!$B$31&lt;Calculator!$G$15),"—",ROUND(MAX((50*POWER(80,POWER(COS(PI()*MOD(Calculator!$B$31/Calculator!$F$15,1)),2)))/$C53,$C53/(50*POWER(80,POWER(COS(PI()*MOD(Calculator!$B$31/Calculator!$F$15,1)),2)))),2))</f>
        <v>3.67</v>
      </c>
      <c r="U53" s="91" t="n">
        <f aca="false">IF(OR(Calculator!$E$16&lt;&gt;"YES",Calculator!$B$31&lt;Calculator!$G$16),"—",ROUND(MAX((50*POWER(80,POWER(COS(PI()*MOD(Calculator!$B$31/Calculator!$F$16,1)),2)))/$C53,$C53/(50*POWER(80,POWER(COS(PI()*MOD(Calculator!$B$31/Calculator!$F$16,1)),2)))),2))</f>
        <v>14.3</v>
      </c>
      <c r="V53" s="91" t="n">
        <f aca="false">IF(OR(Calculator!$E$17&lt;&gt;"YES",Calculator!$B$31&lt;Calculator!$G$17),"—",ROUND(MAX((50*POWER(80,POWER(COS(PI()*MOD(Calculator!$B$31/Calculator!$F$17,1)),2)))/$C53,$C53/(50*POWER(80,POWER(COS(PI()*MOD(Calculator!$B$31/Calculator!$F$17,1)),2)))),2))</f>
        <v>1.99</v>
      </c>
      <c r="W53" s="91" t="n">
        <f aca="false">IF(OR(Calculator!$E$18&lt;&gt;"YES",Calculator!$B$31&lt;Calculator!$G$18),"—",ROUND(MAX((50*POWER(80,POWER(COS(PI()*MOD(Calculator!$B$31/Calculator!$F$18,1)),2)))/$C53,$C53/(50*POWER(80,POWER(COS(PI()*MOD(Calculator!$B$31/Calculator!$F$18,1)),2)))),2))</f>
        <v>2.13</v>
      </c>
      <c r="X53" s="91" t="n">
        <f aca="false">IF(OR(Calculator!$E$19&lt;&gt;"YES",Calculator!$B$31&lt;Calculator!$G$19),"—",ROUND(MAX((50*POWER(80,POWER(COS(PI()*MOD(Calculator!$B$31/Calculator!$F$19,1)),2)))/$C53,$C53/(50*POWER(80,POWER(COS(PI()*MOD(Calculator!$B$31/Calculator!$F$19,1)),2)))),2))</f>
        <v>2.79</v>
      </c>
      <c r="Y53" s="91" t="n">
        <f aca="false">IF(OR(Calculator!$E$20&lt;&gt;"YES",Calculator!$B$31&lt;Calculator!$G$20),"—",ROUND(MAX((50*POWER(80,POWER(COS(PI()*MOD(Calculator!$B$31/Calculator!$F$20,1)),2)))/$C53,$C53/(50*POWER(80,POWER(COS(PI()*MOD(Calculator!$B$31/Calculator!$F$20,1)),2)))),2))</f>
        <v>8.84</v>
      </c>
      <c r="Z53" s="91" t="n">
        <f aca="false">IF(OR(Calculator!$E$21&lt;&gt;"YES",Calculator!$B$31&lt;Calculator!$G$21),"—",ROUND(MAX((50*POWER(80,POWER(COS(PI()*MOD(Calculator!$B$31/Calculator!$F$21,1)),2)))/$C53,$C53/(50*POWER(80,POWER(COS(PI()*MOD(Calculator!$B$31/Calculator!$F$21,1)),2)))),2))</f>
        <v>1.7</v>
      </c>
      <c r="AA53" s="114" t="n">
        <f aca="false">IFERROR(ROUND((IF(ISNUMBER(P53),P53,0)+IF(ISNUMBER(Q53),Q53,0)+IF(ISNUMBER(R53),R53,0)+IF(ISNUMBER(S53),S53,0)+IF(ISNUMBER(T53),T53,0)+IF(ISNUMBER(U53),U53,0)+IF(ISNUMBER(V53),V53,0)+IF(ISNUMBER(W53),W53,0)+IF(ISNUMBER(X53),X53,0)+IF(ISNUMBER(Y53),Y53,0)+IF(ISNUMBER(Z53),Z53,0))/(IF(ISNUMBER(P53),1,0)+IF(ISNUMBER(Q53),1,0)+IF(ISNUMBER(R53),1,0)+IF(ISNUMBER(S53),1,0)+IF(ISNUMBER(T53),1,0)+IF(ISNUMBER(U53),1,0)+IF(ISNUMBER(V53),1,0)+IF(ISNUMBER(W53),1,0)+IF(ISNUMBER(X53),1,0)+IF(ISNUMBER(Y53),1,0)+IF(ISNUMBER(Z53),1,0)),2),"")</f>
        <v>5.19</v>
      </c>
      <c r="AB53" s="91" t="n">
        <f aca="false">IF(OR(Calculator!$E$11&lt;&gt;"YES",Calculator!$B$32&lt;Calculator!$G$11),"—",ROUND(MAX((50*POWER(80,POWER(COS(PI()*MOD(Calculator!$B$32/Calculator!$F$11,1)),2)))/$C53,$C53/(50*POWER(80,POWER(COS(PI()*MOD(Calculator!$B$32/Calculator!$F$11,1)),2)))),2))</f>
        <v>15.15</v>
      </c>
      <c r="AC53" s="91" t="n">
        <f aca="false">IF(OR(Calculator!$E$12&lt;&gt;"YES",Calculator!$B$32&lt;Calculator!$G$12),"—",ROUND(MAX((50*POWER(80,POWER(COS(PI()*MOD(Calculator!$B$32/Calculator!$F$12,1)),2)))/$C53,$C53/(50*POWER(80,POWER(COS(PI()*MOD(Calculator!$B$32/Calculator!$F$12,1)),2)))),2))</f>
        <v>1.92</v>
      </c>
      <c r="AD53" s="91" t="n">
        <f aca="false">IF(OR(Calculator!$E$13&lt;&gt;"YES",Calculator!$B$32&lt;Calculator!$G$13),"—",ROUND(MAX((50*POWER(80,POWER(COS(PI()*MOD(Calculator!$B$32/Calculator!$F$13,1)),2)))/$C53,$C53/(50*POWER(80,POWER(COS(PI()*MOD(Calculator!$B$32/Calculator!$F$13,1)),2)))),2))</f>
        <v>7.73</v>
      </c>
      <c r="AE53" s="91" t="n">
        <f aca="false">IF(OR(Calculator!$E$14&lt;&gt;"YES",Calculator!$B$32&lt;Calculator!$G$14),"—",ROUND(MAX((50*POWER(80,POWER(COS(PI()*MOD(Calculator!$B$32/Calculator!$F$14,1)),2)))/$C53,$C53/(50*POWER(80,POWER(COS(PI()*MOD(Calculator!$B$32/Calculator!$F$14,1)),2)))),2))</f>
        <v>1.41</v>
      </c>
      <c r="AF53" s="91" t="n">
        <f aca="false">IF(OR(Calculator!$E$15&lt;&gt;"YES",Calculator!$B$32&lt;Calculator!$G$15),"—",ROUND(MAX((50*POWER(80,POWER(COS(PI()*MOD(Calculator!$B$32/Calculator!$F$15,1)),2)))/$C53,$C53/(50*POWER(80,POWER(COS(PI()*MOD(Calculator!$B$32/Calculator!$F$15,1)),2)))),2))</f>
        <v>1.84</v>
      </c>
      <c r="AG53" s="91" t="n">
        <f aca="false">IF(OR(Calculator!$E$16&lt;&gt;"YES",Calculator!$B$32&lt;Calculator!$G$16),"—",ROUND(MAX((50*POWER(80,POWER(COS(PI()*MOD(Calculator!$B$32/Calculator!$F$16,1)),2)))/$C53,$C53/(50*POWER(80,POWER(COS(PI()*MOD(Calculator!$B$32/Calculator!$F$16,1)),2)))),2))</f>
        <v>12.34</v>
      </c>
      <c r="AH53" s="91" t="n">
        <f aca="false">IF(OR(Calculator!$E$17&lt;&gt;"YES",Calculator!$B$32&lt;Calculator!$G$17),"—",ROUND(MAX((50*POWER(80,POWER(COS(PI()*MOD(Calculator!$B$32/Calculator!$F$17,1)),2)))/$C53,$C53/(50*POWER(80,POWER(COS(PI()*MOD(Calculator!$B$32/Calculator!$F$17,1)),2)))),2))</f>
        <v>13.03</v>
      </c>
      <c r="AI53" s="91" t="n">
        <f aca="false">IF(OR(Calculator!$E$18&lt;&gt;"YES",Calculator!$B$32&lt;Calculator!$G$18),"—",ROUND(MAX((50*POWER(80,POWER(COS(PI()*MOD(Calculator!$B$32/Calculator!$F$18,1)),2)))/$C53,$C53/(50*POWER(80,POWER(COS(PI()*MOD(Calculator!$B$32/Calculator!$F$18,1)),2)))),2))</f>
        <v>17.19</v>
      </c>
      <c r="AJ53" s="91" t="n">
        <f aca="false">IF(OR(Calculator!$E$19&lt;&gt;"YES",Calculator!$B$32&lt;Calculator!$G$19),"—",ROUND(MAX((50*POWER(80,POWER(COS(PI()*MOD(Calculator!$B$32/Calculator!$F$19,1)),2)))/$C53,$C53/(50*POWER(80,POWER(COS(PI()*MOD(Calculator!$B$32/Calculator!$F$19,1)),2)))),2))</f>
        <v>3.62</v>
      </c>
      <c r="AK53" s="91" t="n">
        <f aca="false">IF(OR(Calculator!$E$20&lt;&gt;"YES",Calculator!$B$32&lt;Calculator!$G$20),"—",ROUND(MAX((50*POWER(80,POWER(COS(PI()*MOD(Calculator!$B$32/Calculator!$F$20,1)),2)))/$C53,$C53/(50*POWER(80,POWER(COS(PI()*MOD(Calculator!$B$32/Calculator!$F$20,1)),2)))),2))</f>
        <v>3.06</v>
      </c>
      <c r="AL53" s="91" t="n">
        <f aca="false">IF(OR(Calculator!$E$21&lt;&gt;"YES",Calculator!$B$32&lt;Calculator!$G$21),"—",ROUND(MAX((50*POWER(80,POWER(COS(PI()*MOD(Calculator!$B$32/Calculator!$F$21,1)),2)))/$C53,$C53/(50*POWER(80,POWER(COS(PI()*MOD(Calculator!$B$32/Calculator!$F$21,1)),2)))),2))</f>
        <v>2.66</v>
      </c>
      <c r="AM53" s="115" t="n">
        <f aca="false">IFERROR(ROUND((IF(ISNUMBER(AB53),AB53,0)+IF(ISNUMBER(AC53),AC53,0)+IF(ISNUMBER(AD53),AD53,0)+IF(ISNUMBER(AE53),AE53,0)+IF(ISNUMBER(AF53),AF53,0)+IF(ISNUMBER(AG53),AG53,0)+IF(ISNUMBER(AH53),AH53,0)+IF(ISNUMBER(AI53),AI53,0)+IF(ISNUMBER(AJ53),AJ53,0)+IF(ISNUMBER(AK53),AK53,0)+IF(ISNUMBER(AL53),AL53,0))/(IF(ISNUMBER(AB53),1,0)+IF(ISNUMBER(AC53),1,0)+IF(ISNUMBER(AD53),1,0)+IF(ISNUMBER(AE53),1,0)+IF(ISNUMBER(AF53),1,0)+IF(ISNUMBER(AG53),1,0)+IF(ISNUMBER(AH53),1,0)+IF(ISNUMBER(AI53),1,0)+IF(ISNUMBER(AJ53),1,0)+IF(ISNUMBER(AK53),1,0)+IF(ISNUMBER(AL53),1,0)),2),"")</f>
        <v>7.27</v>
      </c>
      <c r="AN53" s="116" t="n">
        <f aca="false">IF(OR(Calculator!$E$11&lt;&gt;"YES",Calculator!$B$33&lt;Calculator!$G$11),"—",ROUND(MAX((50*POWER(80,POWER(COS(PI()*MOD(Calculator!$B$33/Calculator!$F$11,1)),2)))/$C53,$C53/(50*POWER(80,POWER(COS(PI()*MOD(Calculator!$B$33/Calculator!$F$11,1)),2)))),2))</f>
        <v>12.18</v>
      </c>
      <c r="AO53" s="116" t="n">
        <f aca="false">IF(OR(Calculator!$E$12&lt;&gt;"YES",Calculator!$B$33&lt;Calculator!$G$12),"—",ROUND(MAX((50*POWER(80,POWER(COS(PI()*MOD(Calculator!$B$33/Calculator!$F$12,1)),2)))/$C53,$C53/(50*POWER(80,POWER(COS(PI()*MOD(Calculator!$B$33/Calculator!$F$12,1)),2)))),2))</f>
        <v>1.07</v>
      </c>
      <c r="AP53" s="116" t="n">
        <f aca="false">IF(OR(Calculator!$E$13&lt;&gt;"YES",Calculator!$B$33&lt;Calculator!$G$13),"—",ROUND(MAX((50*POWER(80,POWER(COS(PI()*MOD(Calculator!$B$33/Calculator!$F$13,1)),2)))/$C53,$C53/(50*POWER(80,POWER(COS(PI()*MOD(Calculator!$B$33/Calculator!$F$13,1)),2)))),2))</f>
        <v>2.94</v>
      </c>
      <c r="AQ53" s="116" t="n">
        <f aca="false">IF(OR(Calculator!$E$14&lt;&gt;"YES",Calculator!$B$33&lt;Calculator!$G$14),"—",ROUND(MAX((50*POWER(80,POWER(COS(PI()*MOD(Calculator!$B$33/Calculator!$F$14,1)),2)))/$C53,$C53/(50*POWER(80,POWER(COS(PI()*MOD(Calculator!$B$33/Calculator!$F$14,1)),2)))),2))</f>
        <v>5.47</v>
      </c>
      <c r="AR53" s="116" t="n">
        <f aca="false">IF(OR(Calculator!$E$15&lt;&gt;"YES",Calculator!$B$33&lt;Calculator!$G$15),"—",ROUND(MAX((50*POWER(80,POWER(COS(PI()*MOD(Calculator!$B$33/Calculator!$F$15,1)),2)))/$C53,$C53/(50*POWER(80,POWER(COS(PI()*MOD(Calculator!$B$33/Calculator!$F$15,1)),2)))),2))</f>
        <v>3.33</v>
      </c>
      <c r="AS53" s="116" t="n">
        <f aca="false">IF(OR(Calculator!$E$16&lt;&gt;"YES",Calculator!$B$33&lt;Calculator!$G$16),"—",ROUND(MAX((50*POWER(80,POWER(COS(PI()*MOD(Calculator!$B$33/Calculator!$F$16,1)),2)))/$C53,$C53/(50*POWER(80,POWER(COS(PI()*MOD(Calculator!$B$33/Calculator!$F$16,1)),2)))),2))</f>
        <v>15.4</v>
      </c>
      <c r="AT53" s="116" t="n">
        <f aca="false">IF(OR(Calculator!$E$17&lt;&gt;"YES",Calculator!$B$33&lt;Calculator!$G$17),"—",ROUND(MAX((50*POWER(80,POWER(COS(PI()*MOD(Calculator!$B$33/Calculator!$F$17,1)),2)))/$C53,$C53/(50*POWER(80,POWER(COS(PI()*MOD(Calculator!$B$33/Calculator!$F$17,1)),2)))),2))</f>
        <v>1.75</v>
      </c>
      <c r="AU53" s="116" t="n">
        <f aca="false">IF(OR(Calculator!$E$18&lt;&gt;"YES",Calculator!$B$33&lt;Calculator!$G$18),"—",ROUND(MAX((50*POWER(80,POWER(COS(PI()*MOD(Calculator!$B$33/Calculator!$F$18,1)),2)))/$C53,$C53/(50*POWER(80,POWER(COS(PI()*MOD(Calculator!$B$33/Calculator!$F$18,1)),2)))),2))</f>
        <v>1.84</v>
      </c>
      <c r="AV53" s="116" t="n">
        <f aca="false">IF(OR(Calculator!$E$19&lt;&gt;"YES",Calculator!$B$33&lt;Calculator!$G$19),"—",ROUND(MAX((50*POWER(80,POWER(COS(PI()*MOD(Calculator!$B$33/Calculator!$F$19,1)),2)))/$C53,$C53/(50*POWER(80,POWER(COS(PI()*MOD(Calculator!$B$33/Calculator!$F$19,1)),2)))),2))</f>
        <v>3.12</v>
      </c>
      <c r="AW53" s="116" t="n">
        <f aca="false">IF(OR(Calculator!$E$20&lt;&gt;"YES",Calculator!$B$33&lt;Calculator!$G$20),"—",ROUND(MAX((50*POWER(80,POWER(COS(PI()*MOD(Calculator!$B$33/Calculator!$F$20,1)),2)))/$C53,$C53/(50*POWER(80,POWER(COS(PI()*MOD(Calculator!$B$33/Calculator!$F$20,1)),2)))),2))</f>
        <v>7.01</v>
      </c>
      <c r="AX53" s="116" t="n">
        <f aca="false">IF(OR(Calculator!$E$21&lt;&gt;"YES",Calculator!$B$33&lt;Calculator!$G$21),"—",ROUND(MAX((50*POWER(80,POWER(COS(PI()*MOD(Calculator!$B$33/Calculator!$F$21,1)),2)))/$C53,$C53/(50*POWER(80,POWER(COS(PI()*MOD(Calculator!$B$33/Calculator!$F$21,1)),2)))),2))</f>
        <v>1.12</v>
      </c>
      <c r="AY53" s="115" t="n">
        <f aca="false">IFERROR(ROUND((IF(ISNUMBER(AN53),AN53,0)+IF(ISNUMBER(AO53),AO53,0)+IF(ISNUMBER(AP53),AP53,0)+IF(ISNUMBER(AQ53),AQ53,0)+IF(ISNUMBER(AR53),AR53,0)+IF(ISNUMBER(AS53),AS53,0)+IF(ISNUMBER(AT53),AT53,0)+IF(ISNUMBER(AU53),AU53,0)+IF(ISNUMBER(AV53),AV53,0)+IF(ISNUMBER(AW53),AW53,0)+IF(ISNUMBER(AX53),AX53,0))/(IF(ISNUMBER(AN53),1,0)+IF(ISNUMBER(AO53),1,0)+IF(ISNUMBER(AP53),1,0)+IF(ISNUMBER(AQ53),1,0)+IF(ISNUMBER(AR53),1,0)+IF(ISNUMBER(AS53),1,0)+IF(ISNUMBER(AT53),1,0)+IF(ISNUMBER(AU53),1,0)+IF(ISNUMBER(AV53),1,0)+IF(ISNUMBER(AW53),1,0)+IF(ISNUMBER(AX53),1,0)),2),"")</f>
        <v>5.02</v>
      </c>
      <c r="AZ53" s="116" t="n">
        <f aca="false">IF(OR(Calculator!$E$11&lt;&gt;"YES",Calculator!$B$34&lt;Calculator!$G$11),"—",ROUND(MAX((50*POWER(80,POWER(COS(PI()*MOD(Calculator!$B$34/Calculator!$F$11,1)),2)))/$C53,$C53/(50*POWER(80,POWER(COS(PI()*MOD(Calculator!$B$34/Calculator!$F$11,1)),2)))),2))</f>
        <v>11.74</v>
      </c>
      <c r="BA53" s="116" t="n">
        <f aca="false">IF(OR(Calculator!$E$12&lt;&gt;"YES",Calculator!$B$34&lt;Calculator!$G$12),"—",ROUND(MAX((50*POWER(80,POWER(COS(PI()*MOD(Calculator!$B$34/Calculator!$F$12,1)),2)))/$C53,$C53/(50*POWER(80,POWER(COS(PI()*MOD(Calculator!$B$34/Calculator!$F$12,1)),2)))),2))</f>
        <v>1.03</v>
      </c>
      <c r="BB53" s="116" t="n">
        <f aca="false">IF(OR(Calculator!$E$13&lt;&gt;"YES",Calculator!$B$34&lt;Calculator!$G$13),"—",ROUND(MAX((50*POWER(80,POWER(COS(PI()*MOD(Calculator!$B$34/Calculator!$F$13,1)),2)))/$C53,$C53/(50*POWER(80,POWER(COS(PI()*MOD(Calculator!$B$34/Calculator!$F$13,1)),2)))),2))</f>
        <v>2.52</v>
      </c>
      <c r="BC53" s="116" t="n">
        <f aca="false">IF(OR(Calculator!$E$14&lt;&gt;"YES",Calculator!$B$34&lt;Calculator!$G$14),"—",ROUND(MAX((50*POWER(80,POWER(COS(PI()*MOD(Calculator!$B$34/Calculator!$F$14,1)),2)))/$C53,$C53/(50*POWER(80,POWER(COS(PI()*MOD(Calculator!$B$34/Calculator!$F$14,1)),2)))),2))</f>
        <v>6.6</v>
      </c>
      <c r="BD53" s="116" t="n">
        <f aca="false">IF(OR(Calculator!$E$15&lt;&gt;"YES",Calculator!$B$34&lt;Calculator!$G$15),"—",ROUND(MAX((50*POWER(80,POWER(COS(PI()*MOD(Calculator!$B$34/Calculator!$F$15,1)),2)))/$C53,$C53/(50*POWER(80,POWER(COS(PI()*MOD(Calculator!$B$34/Calculator!$F$15,1)),2)))),2))</f>
        <v>4.43</v>
      </c>
      <c r="BE53" s="116" t="n">
        <f aca="false">IF(OR(Calculator!$E$16&lt;&gt;"YES",Calculator!$B$34&lt;Calculator!$G$16),"—",ROUND(MAX((50*POWER(80,POWER(COS(PI()*MOD(Calculator!$B$34/Calculator!$F$16,1)),2)))/$C53,$C53/(50*POWER(80,POWER(COS(PI()*MOD(Calculator!$B$34/Calculator!$F$16,1)),2)))),2))</f>
        <v>12.08</v>
      </c>
      <c r="BF53" s="116" t="n">
        <f aca="false">IF(OR(Calculator!$E$17&lt;&gt;"YES",Calculator!$B$34&lt;Calculator!$G$17),"—",ROUND(MAX((50*POWER(80,POWER(COS(PI()*MOD(Calculator!$B$34/Calculator!$F$17,1)),2)))/$C53,$C53/(50*POWER(80,POWER(COS(PI()*MOD(Calculator!$B$34/Calculator!$F$17,1)),2)))),2))</f>
        <v>2.5</v>
      </c>
      <c r="BG53" s="116" t="n">
        <f aca="false">IF(OR(Calculator!$E$18&lt;&gt;"YES",Calculator!$B$34&lt;Calculator!$G$18),"—",ROUND(MAX((50*POWER(80,POWER(COS(PI()*MOD(Calculator!$B$34/Calculator!$F$18,1)),2)))/$C53,$C53/(50*POWER(80,POWER(COS(PI()*MOD(Calculator!$B$34/Calculator!$F$18,1)),2)))),2))</f>
        <v>2.73</v>
      </c>
      <c r="BH53" s="116" t="n">
        <f aca="false">IF(OR(Calculator!$E$19&lt;&gt;"YES",Calculator!$B$34&lt;Calculator!$G$19),"—",ROUND(MAX((50*POWER(80,POWER(COS(PI()*MOD(Calculator!$B$34/Calculator!$F$19,1)),2)))/$C53,$C53/(50*POWER(80,POWER(COS(PI()*MOD(Calculator!$B$34/Calculator!$F$19,1)),2)))),2))</f>
        <v>2.09</v>
      </c>
      <c r="BI53" s="116" t="n">
        <f aca="false">IF(OR(Calculator!$E$20&lt;&gt;"YES",Calculator!$B$34&lt;Calculator!$G$20),"—",ROUND(MAX((50*POWER(80,POWER(COS(PI()*MOD(Calculator!$B$34/Calculator!$F$20,1)),2)))/$C53,$C53/(50*POWER(80,POWER(COS(PI()*MOD(Calculator!$B$34/Calculator!$F$20,1)),2)))),2))</f>
        <v>13.14</v>
      </c>
      <c r="BJ53" s="116" t="n">
        <f aca="false">IF(OR(Calculator!$E$21&lt;&gt;"YES",Calculator!$B$34&lt;Calculator!$G$21),"—",ROUND(MAX((50*POWER(80,POWER(COS(PI()*MOD(Calculator!$B$34/Calculator!$F$21,1)),2)))/$C53,$C53/(50*POWER(80,POWER(COS(PI()*MOD(Calculator!$B$34/Calculator!$F$21,1)),2)))),2))</f>
        <v>3.13</v>
      </c>
      <c r="BK53" s="115" t="n">
        <f aca="false">IFERROR(ROUND((IF(ISNUMBER(AZ53),AZ53,0)+IF(ISNUMBER(BA53),BA53,0)+IF(ISNUMBER(BB53),BB53,0)+IF(ISNUMBER(BC53),BC53,0)+IF(ISNUMBER(BD53),BD53,0)+IF(ISNUMBER(BE53),BE53,0)+IF(ISNUMBER(BF53),BF53,0)+IF(ISNUMBER(BG53),BG53,0)+IF(ISNUMBER(BH53),BH53,0)+IF(ISNUMBER(BI53),BI53,0)+IF(ISNUMBER(BJ53),BJ53,0))/(IF(ISNUMBER(AZ53),1,0)+IF(ISNUMBER(BA53),1,0)+IF(ISNUMBER(BB53),1,0)+IF(ISNUMBER(BC53),1,0)+IF(ISNUMBER(BD53),1,0)+IF(ISNUMBER(BE53),1,0)+IF(ISNUMBER(BF53),1,0)+IF(ISNUMBER(BG53),1,0)+IF(ISNUMBER(BH53),1,0)+IF(ISNUMBER(BI53),1,0)+IF(ISNUMBER(BJ53),1,0)),2),"")</f>
        <v>5.64</v>
      </c>
    </row>
    <row r="54" customFormat="false" ht="15" hidden="false" customHeight="false" outlineLevel="0" collapsed="false">
      <c r="A54" s="117" t="s">
        <v>112</v>
      </c>
      <c r="B54" s="117" t="s">
        <v>93</v>
      </c>
      <c r="C54" s="118" t="n">
        <v>1100</v>
      </c>
      <c r="D54" s="119" t="n">
        <f aca="false">IF(OR(Calculator!$E$11&lt;&gt;"YES",Calculator!$B$30&lt;Calculator!$G$11),"—",ROUND(MAX((50*POWER(80,POWER(COS(PI()*MOD(Calculator!$B$30/Calculator!$F$11,1)),2)))/$C54,$C54/(50*POWER(80,POWER(COS(PI()*MOD(Calculator!$B$30/Calculator!$F$11,1)),2)))),2))</f>
        <v>12.45</v>
      </c>
      <c r="E54" s="119" t="n">
        <f aca="false">IF(OR(Calculator!$E$12&lt;&gt;"YES",Calculator!$B$30&lt;Calculator!$G$12),"—",ROUND(MAX((50*POWER(80,POWER(COS(PI()*MOD(Calculator!$B$30/Calculator!$F$12,1)),2)))/$C54,$C54/(50*POWER(80,POWER(COS(PI()*MOD(Calculator!$B$30/Calculator!$F$12,1)),2)))),2))</f>
        <v>1.04</v>
      </c>
      <c r="F54" s="119" t="n">
        <f aca="false">IF(OR(Calculator!$E$13&lt;&gt;"YES",Calculator!$B$30&lt;Calculator!$G$13),"—",ROUND(MAX((50*POWER(80,POWER(COS(PI()*MOD(Calculator!$B$30/Calculator!$F$13,1)),2)))/$C54,$C54/(50*POWER(80,POWER(COS(PI()*MOD(Calculator!$B$30/Calculator!$F$13,1)),2)))),2))</f>
        <v>2.78</v>
      </c>
      <c r="G54" s="119" t="n">
        <f aca="false">IF(OR(Calculator!$E$14&lt;&gt;"YES",Calculator!$B$30&lt;Calculator!$G$14),"—",ROUND(MAX((50*POWER(80,POWER(COS(PI()*MOD(Calculator!$B$30/Calculator!$F$14,1)),2)))/$C54,$C54/(50*POWER(80,POWER(COS(PI()*MOD(Calculator!$B$30/Calculator!$F$14,1)),2)))),2))</f>
        <v>6.5</v>
      </c>
      <c r="H54" s="119" t="n">
        <f aca="false">IF(OR(Calculator!$E$15&lt;&gt;"YES",Calculator!$B$30&lt;Calculator!$G$15),"—",ROUND(MAX((50*POWER(80,POWER(COS(PI()*MOD(Calculator!$B$30/Calculator!$F$15,1)),2)))/$C54,$C54/(50*POWER(80,POWER(COS(PI()*MOD(Calculator!$B$30/Calculator!$F$15,1)),2)))),2))</f>
        <v>4.23</v>
      </c>
      <c r="I54" s="119" t="n">
        <f aca="false">IF(OR(Calculator!$E$16&lt;&gt;"YES",Calculator!$B$30&lt;Calculator!$G$16),"—",ROUND(MAX((50*POWER(80,POWER(COS(PI()*MOD(Calculator!$B$30/Calculator!$F$16,1)),2)))/$C54,$C54/(50*POWER(80,POWER(COS(PI()*MOD(Calculator!$B$30/Calculator!$F$16,1)),2)))),2))</f>
        <v>13.82</v>
      </c>
      <c r="J54" s="119" t="n">
        <f aca="false">IF(OR(Calculator!$E$17&lt;&gt;"YES",Calculator!$B$30&lt;Calculator!$G$17),"—",ROUND(MAX((50*POWER(80,POWER(COS(PI()*MOD(Calculator!$B$30/Calculator!$F$17,1)),2)))/$C54,$C54/(50*POWER(80,POWER(COS(PI()*MOD(Calculator!$B$30/Calculator!$F$17,1)),2)))),2))</f>
        <v>2.14</v>
      </c>
      <c r="K54" s="119" t="n">
        <f aca="false">IF(OR(Calculator!$E$18&lt;&gt;"YES",Calculator!$B$30&lt;Calculator!$G$18),"—",ROUND(MAX((50*POWER(80,POWER(COS(PI()*MOD(Calculator!$B$30/Calculator!$F$18,1)),2)))/$C54,$C54/(50*POWER(80,POWER(COS(PI()*MOD(Calculator!$B$30/Calculator!$F$18,1)),2)))),2))</f>
        <v>2.32</v>
      </c>
      <c r="L54" s="119" t="n">
        <f aca="false">IF(OR(Calculator!$E$19&lt;&gt;"YES",Calculator!$B$30&lt;Calculator!$G$19),"—",ROUND(MAX((50*POWER(80,POWER(COS(PI()*MOD(Calculator!$B$30/Calculator!$F$19,1)),2)))/$C54,$C54/(50*POWER(80,POWER(COS(PI()*MOD(Calculator!$B$30/Calculator!$F$19,1)),2)))),2))</f>
        <v>2.33</v>
      </c>
      <c r="M54" s="119" t="n">
        <f aca="false">IF(OR(Calculator!$E$20&lt;&gt;"YES",Calculator!$B$30&lt;Calculator!$G$20),"—",ROUND(MAX((50*POWER(80,POWER(COS(PI()*MOD(Calculator!$B$30/Calculator!$F$20,1)),2)))/$C54,$C54/(50*POWER(80,POWER(COS(PI()*MOD(Calculator!$B$30/Calculator!$F$20,1)),2)))),2))</f>
        <v>11.44</v>
      </c>
      <c r="N54" s="119" t="n">
        <f aca="false">IF(OR(Calculator!$E$21&lt;&gt;"YES",Calculator!$B$30&lt;Calculator!$G$21),"—",ROUND(MAX((50*POWER(80,POWER(COS(PI()*MOD(Calculator!$B$30/Calculator!$F$21,1)),2)))/$C54,$C54/(50*POWER(80,POWER(COS(PI()*MOD(Calculator!$B$30/Calculator!$F$21,1)),2)))),2))</f>
        <v>2.3</v>
      </c>
      <c r="O54" s="114" t="n">
        <f aca="false">IFERROR(ROUND((IF(ISNUMBER(D54),D54,0)+IF(ISNUMBER(E54),E54,0)+IF(ISNUMBER(F54),F54,0)+IF(ISNUMBER(G54),G54,0)+IF(ISNUMBER(H54),H54,0)+IF(ISNUMBER(I54),I54,0)+IF(ISNUMBER(J54),J54,0)+IF(ISNUMBER(K54),K54,0)+IF(ISNUMBER(L54),L54,0)+IF(ISNUMBER(M54),M54,0)+IF(ISNUMBER(N54),N54,0))/(IF(ISNUMBER(D54),1,0)+IF(ISNUMBER(E54),1,0)+IF(ISNUMBER(F54),1,0)+IF(ISNUMBER(G54),1,0)+IF(ISNUMBER(H54),1,0)+IF(ISNUMBER(I54),1,0)+IF(ISNUMBER(J54),1,0)+IF(ISNUMBER(K54),1,0)+IF(ISNUMBER(L54),1,0)+IF(ISNUMBER(M54),1,0)+IF(ISNUMBER(N54),1,0)),2),"")</f>
        <v>5.58</v>
      </c>
      <c r="P54" s="119" t="n">
        <f aca="false">IF(OR(Calculator!$E$11&lt;&gt;"YES",Calculator!$B$31&lt;Calculator!$G$11),"—",ROUND(MAX((50*POWER(80,POWER(COS(PI()*MOD(Calculator!$B$31/Calculator!$F$11,1)),2)))/$C54,$C54/(50*POWER(80,POWER(COS(PI()*MOD(Calculator!$B$31/Calculator!$F$11,1)),2)))),2))</f>
        <v>12.61</v>
      </c>
      <c r="Q54" s="119" t="n">
        <f aca="false">IF(OR(Calculator!$E$12&lt;&gt;"YES",Calculator!$B$31&lt;Calculator!$G$12),"—",ROUND(MAX((50*POWER(80,POWER(COS(PI()*MOD(Calculator!$B$31/Calculator!$F$12,1)),2)))/$C54,$C54/(50*POWER(80,POWER(COS(PI()*MOD(Calculator!$B$31/Calculator!$F$12,1)),2)))),2))</f>
        <v>1.01</v>
      </c>
      <c r="R54" s="119" t="n">
        <f aca="false">IF(OR(Calculator!$E$13&lt;&gt;"YES",Calculator!$B$31&lt;Calculator!$G$13),"—",ROUND(MAX((50*POWER(80,POWER(COS(PI()*MOD(Calculator!$B$31/Calculator!$F$13,1)),2)))/$C54,$C54/(50*POWER(80,POWER(COS(PI()*MOD(Calculator!$B$31/Calculator!$F$13,1)),2)))),2))</f>
        <v>2.92</v>
      </c>
      <c r="S54" s="119" t="n">
        <f aca="false">IF(OR(Calculator!$E$14&lt;&gt;"YES",Calculator!$B$31&lt;Calculator!$G$14),"—",ROUND(MAX((50*POWER(80,POWER(COS(PI()*MOD(Calculator!$B$31/Calculator!$F$14,1)),2)))/$C54,$C54/(50*POWER(80,POWER(COS(PI()*MOD(Calculator!$B$31/Calculator!$F$14,1)),2)))),2))</f>
        <v>6.11</v>
      </c>
      <c r="T54" s="119" t="n">
        <f aca="false">IF(OR(Calculator!$E$15&lt;&gt;"YES",Calculator!$B$31&lt;Calculator!$G$15),"—",ROUND(MAX((50*POWER(80,POWER(COS(PI()*MOD(Calculator!$B$31/Calculator!$F$15,1)),2)))/$C54,$C54/(50*POWER(80,POWER(COS(PI()*MOD(Calculator!$B$31/Calculator!$F$15,1)),2)))),2))</f>
        <v>3.84</v>
      </c>
      <c r="U54" s="119" t="n">
        <f aca="false">IF(OR(Calculator!$E$16&lt;&gt;"YES",Calculator!$B$31&lt;Calculator!$G$16),"—",ROUND(MAX((50*POWER(80,POWER(COS(PI()*MOD(Calculator!$B$31/Calculator!$F$16,1)),2)))/$C54,$C54/(50*POWER(80,POWER(COS(PI()*MOD(Calculator!$B$31/Calculator!$F$16,1)),2)))),2))</f>
        <v>14.98</v>
      </c>
      <c r="V54" s="119" t="n">
        <f aca="false">IF(OR(Calculator!$E$17&lt;&gt;"YES",Calculator!$B$31&lt;Calculator!$G$17),"—",ROUND(MAX((50*POWER(80,POWER(COS(PI()*MOD(Calculator!$B$31/Calculator!$F$17,1)),2)))/$C54,$C54/(50*POWER(80,POWER(COS(PI()*MOD(Calculator!$B$31/Calculator!$F$17,1)),2)))),2))</f>
        <v>1.9</v>
      </c>
      <c r="W54" s="119" t="n">
        <f aca="false">IF(OR(Calculator!$E$18&lt;&gt;"YES",Calculator!$B$31&lt;Calculator!$G$18),"—",ROUND(MAX((50*POWER(80,POWER(COS(PI()*MOD(Calculator!$B$31/Calculator!$F$18,1)),2)))/$C54,$C54/(50*POWER(80,POWER(COS(PI()*MOD(Calculator!$B$31/Calculator!$F$18,1)),2)))),2))</f>
        <v>2.03</v>
      </c>
      <c r="X54" s="119" t="n">
        <f aca="false">IF(OR(Calculator!$E$19&lt;&gt;"YES",Calculator!$B$31&lt;Calculator!$G$19),"—",ROUND(MAX((50*POWER(80,POWER(COS(PI()*MOD(Calculator!$B$31/Calculator!$F$19,1)),2)))/$C54,$C54/(50*POWER(80,POWER(COS(PI()*MOD(Calculator!$B$31/Calculator!$F$19,1)),2)))),2))</f>
        <v>2.66</v>
      </c>
      <c r="Y54" s="119" t="n">
        <f aca="false">IF(OR(Calculator!$E$20&lt;&gt;"YES",Calculator!$B$31&lt;Calculator!$G$20),"—",ROUND(MAX((50*POWER(80,POWER(COS(PI()*MOD(Calculator!$B$31/Calculator!$F$20,1)),2)))/$C54,$C54/(50*POWER(80,POWER(COS(PI()*MOD(Calculator!$B$31/Calculator!$F$20,1)),2)))),2))</f>
        <v>9.27</v>
      </c>
      <c r="Z54" s="119" t="n">
        <f aca="false">IF(OR(Calculator!$E$21&lt;&gt;"YES",Calculator!$B$31&lt;Calculator!$G$21),"—",ROUND(MAX((50*POWER(80,POWER(COS(PI()*MOD(Calculator!$B$31/Calculator!$F$21,1)),2)))/$C54,$C54/(50*POWER(80,POWER(COS(PI()*MOD(Calculator!$B$31/Calculator!$F$21,1)),2)))),2))</f>
        <v>1.62</v>
      </c>
      <c r="AA54" s="114" t="n">
        <f aca="false">IFERROR(ROUND((IF(ISNUMBER(P54),P54,0)+IF(ISNUMBER(Q54),Q54,0)+IF(ISNUMBER(R54),R54,0)+IF(ISNUMBER(S54),S54,0)+IF(ISNUMBER(T54),T54,0)+IF(ISNUMBER(U54),U54,0)+IF(ISNUMBER(V54),V54,0)+IF(ISNUMBER(W54),W54,0)+IF(ISNUMBER(X54),X54,0)+IF(ISNUMBER(Y54),Y54,0)+IF(ISNUMBER(Z54),Z54,0))/(IF(ISNUMBER(P54),1,0)+IF(ISNUMBER(Q54),1,0)+IF(ISNUMBER(R54),1,0)+IF(ISNUMBER(S54),1,0)+IF(ISNUMBER(T54),1,0)+IF(ISNUMBER(U54),1,0)+IF(ISNUMBER(V54),1,0)+IF(ISNUMBER(W54),1,0)+IF(ISNUMBER(X54),1,0)+IF(ISNUMBER(Y54),1,0)+IF(ISNUMBER(Z54),1,0)),2),"")</f>
        <v>5.36</v>
      </c>
      <c r="AB54" s="119" t="n">
        <f aca="false">IF(OR(Calculator!$E$11&lt;&gt;"YES",Calculator!$B$32&lt;Calculator!$G$11),"—",ROUND(MAX((50*POWER(80,POWER(COS(PI()*MOD(Calculator!$B$32/Calculator!$F$11,1)),2)))/$C54,$C54/(50*POWER(80,POWER(COS(PI()*MOD(Calculator!$B$32/Calculator!$F$11,1)),2)))),2))</f>
        <v>15.87</v>
      </c>
      <c r="AC54" s="119" t="n">
        <f aca="false">IF(OR(Calculator!$E$12&lt;&gt;"YES",Calculator!$B$32&lt;Calculator!$G$12),"—",ROUND(MAX((50*POWER(80,POWER(COS(PI()*MOD(Calculator!$B$32/Calculator!$F$12,1)),2)))/$C54,$C54/(50*POWER(80,POWER(COS(PI()*MOD(Calculator!$B$32/Calculator!$F$12,1)),2)))),2))</f>
        <v>1.83</v>
      </c>
      <c r="AD54" s="119" t="n">
        <f aca="false">IF(OR(Calculator!$E$13&lt;&gt;"YES",Calculator!$B$32&lt;Calculator!$G$13),"—",ROUND(MAX((50*POWER(80,POWER(COS(PI()*MOD(Calculator!$B$32/Calculator!$F$13,1)),2)))/$C54,$C54/(50*POWER(80,POWER(COS(PI()*MOD(Calculator!$B$32/Calculator!$F$13,1)),2)))),2))</f>
        <v>8.1</v>
      </c>
      <c r="AE54" s="119" t="n">
        <f aca="false">IF(OR(Calculator!$E$14&lt;&gt;"YES",Calculator!$B$32&lt;Calculator!$G$14),"—",ROUND(MAX((50*POWER(80,POWER(COS(PI()*MOD(Calculator!$B$32/Calculator!$F$14,1)),2)))/$C54,$C54/(50*POWER(80,POWER(COS(PI()*MOD(Calculator!$B$32/Calculator!$F$14,1)),2)))),2))</f>
        <v>1.48</v>
      </c>
      <c r="AF54" s="119" t="n">
        <f aca="false">IF(OR(Calculator!$E$15&lt;&gt;"YES",Calculator!$B$32&lt;Calculator!$G$15),"—",ROUND(MAX((50*POWER(80,POWER(COS(PI()*MOD(Calculator!$B$32/Calculator!$F$15,1)),2)))/$C54,$C54/(50*POWER(80,POWER(COS(PI()*MOD(Calculator!$B$32/Calculator!$F$15,1)),2)))),2))</f>
        <v>1.76</v>
      </c>
      <c r="AG54" s="119" t="n">
        <f aca="false">IF(OR(Calculator!$E$16&lt;&gt;"YES",Calculator!$B$32&lt;Calculator!$G$16),"—",ROUND(MAX((50*POWER(80,POWER(COS(PI()*MOD(Calculator!$B$32/Calculator!$F$16,1)),2)))/$C54,$C54/(50*POWER(80,POWER(COS(PI()*MOD(Calculator!$B$32/Calculator!$F$16,1)),2)))),2))</f>
        <v>12.93</v>
      </c>
      <c r="AH54" s="119" t="n">
        <f aca="false">IF(OR(Calculator!$E$17&lt;&gt;"YES",Calculator!$B$32&lt;Calculator!$G$17),"—",ROUND(MAX((50*POWER(80,POWER(COS(PI()*MOD(Calculator!$B$32/Calculator!$F$17,1)),2)))/$C54,$C54/(50*POWER(80,POWER(COS(PI()*MOD(Calculator!$B$32/Calculator!$F$17,1)),2)))),2))</f>
        <v>13.65</v>
      </c>
      <c r="AI54" s="119" t="n">
        <f aca="false">IF(OR(Calculator!$E$18&lt;&gt;"YES",Calculator!$B$32&lt;Calculator!$G$18),"—",ROUND(MAX((50*POWER(80,POWER(COS(PI()*MOD(Calculator!$B$32/Calculator!$F$18,1)),2)))/$C54,$C54/(50*POWER(80,POWER(COS(PI()*MOD(Calculator!$B$32/Calculator!$F$18,1)),2)))),2))</f>
        <v>18.01</v>
      </c>
      <c r="AJ54" s="119" t="n">
        <f aca="false">IF(OR(Calculator!$E$19&lt;&gt;"YES",Calculator!$B$32&lt;Calculator!$G$19),"—",ROUND(MAX((50*POWER(80,POWER(COS(PI()*MOD(Calculator!$B$32/Calculator!$F$19,1)),2)))/$C54,$C54/(50*POWER(80,POWER(COS(PI()*MOD(Calculator!$B$32/Calculator!$F$19,1)),2)))),2))</f>
        <v>3.8</v>
      </c>
      <c r="AK54" s="119" t="n">
        <f aca="false">IF(OR(Calculator!$E$20&lt;&gt;"YES",Calculator!$B$32&lt;Calculator!$G$20),"—",ROUND(MAX((50*POWER(80,POWER(COS(PI()*MOD(Calculator!$B$32/Calculator!$F$20,1)),2)))/$C54,$C54/(50*POWER(80,POWER(COS(PI()*MOD(Calculator!$B$32/Calculator!$F$20,1)),2)))),2))</f>
        <v>2.92</v>
      </c>
      <c r="AL54" s="119" t="n">
        <f aca="false">IF(OR(Calculator!$E$21&lt;&gt;"YES",Calculator!$B$32&lt;Calculator!$G$21),"—",ROUND(MAX((50*POWER(80,POWER(COS(PI()*MOD(Calculator!$B$32/Calculator!$F$21,1)),2)))/$C54,$C54/(50*POWER(80,POWER(COS(PI()*MOD(Calculator!$B$32/Calculator!$F$21,1)),2)))),2))</f>
        <v>2.54</v>
      </c>
      <c r="AM54" s="115" t="n">
        <f aca="false">IFERROR(ROUND((IF(ISNUMBER(AB54),AB54,0)+IF(ISNUMBER(AC54),AC54,0)+IF(ISNUMBER(AD54),AD54,0)+IF(ISNUMBER(AE54),AE54,0)+IF(ISNUMBER(AF54),AF54,0)+IF(ISNUMBER(AG54),AG54,0)+IF(ISNUMBER(AH54),AH54,0)+IF(ISNUMBER(AI54),AI54,0)+IF(ISNUMBER(AJ54),AJ54,0)+IF(ISNUMBER(AK54),AK54,0)+IF(ISNUMBER(AL54),AL54,0))/(IF(ISNUMBER(AB54),1,0)+IF(ISNUMBER(AC54),1,0)+IF(ISNUMBER(AD54),1,0)+IF(ISNUMBER(AE54),1,0)+IF(ISNUMBER(AF54),1,0)+IF(ISNUMBER(AG54),1,0)+IF(ISNUMBER(AH54),1,0)+IF(ISNUMBER(AI54),1,0)+IF(ISNUMBER(AJ54),1,0)+IF(ISNUMBER(AK54),1,0)+IF(ISNUMBER(AL54),1,0)),2),"")</f>
        <v>7.54</v>
      </c>
      <c r="AN54" s="120" t="n">
        <f aca="false">IF(OR(Calculator!$E$11&lt;&gt;"YES",Calculator!$B$33&lt;Calculator!$G$11),"—",ROUND(MAX((50*POWER(80,POWER(COS(PI()*MOD(Calculator!$B$33/Calculator!$F$11,1)),2)))/$C54,$C54/(50*POWER(80,POWER(COS(PI()*MOD(Calculator!$B$33/Calculator!$F$11,1)),2)))),2))</f>
        <v>12.76</v>
      </c>
      <c r="AO54" s="120" t="n">
        <f aca="false">IF(OR(Calculator!$E$12&lt;&gt;"YES",Calculator!$B$33&lt;Calculator!$G$12),"—",ROUND(MAX((50*POWER(80,POWER(COS(PI()*MOD(Calculator!$B$33/Calculator!$F$12,1)),2)))/$C54,$C54/(50*POWER(80,POWER(COS(PI()*MOD(Calculator!$B$33/Calculator!$F$12,1)),2)))),2))</f>
        <v>1.02</v>
      </c>
      <c r="AP54" s="120" t="n">
        <f aca="false">IF(OR(Calculator!$E$13&lt;&gt;"YES",Calculator!$B$33&lt;Calculator!$G$13),"—",ROUND(MAX((50*POWER(80,POWER(COS(PI()*MOD(Calculator!$B$33/Calculator!$F$13,1)),2)))/$C54,$C54/(50*POWER(80,POWER(COS(PI()*MOD(Calculator!$B$33/Calculator!$F$13,1)),2)))),2))</f>
        <v>3.08</v>
      </c>
      <c r="AQ54" s="120" t="n">
        <f aca="false">IF(OR(Calculator!$E$14&lt;&gt;"YES",Calculator!$B$33&lt;Calculator!$G$14),"—",ROUND(MAX((50*POWER(80,POWER(COS(PI()*MOD(Calculator!$B$33/Calculator!$F$14,1)),2)))/$C54,$C54/(50*POWER(80,POWER(COS(PI()*MOD(Calculator!$B$33/Calculator!$F$14,1)),2)))),2))</f>
        <v>5.73</v>
      </c>
      <c r="AR54" s="120" t="n">
        <f aca="false">IF(OR(Calculator!$E$15&lt;&gt;"YES",Calculator!$B$33&lt;Calculator!$G$15),"—",ROUND(MAX((50*POWER(80,POWER(COS(PI()*MOD(Calculator!$B$33/Calculator!$F$15,1)),2)))/$C54,$C54/(50*POWER(80,POWER(COS(PI()*MOD(Calculator!$B$33/Calculator!$F$15,1)),2)))),2))</f>
        <v>3.49</v>
      </c>
      <c r="AS54" s="120" t="n">
        <f aca="false">IF(OR(Calculator!$E$16&lt;&gt;"YES",Calculator!$B$33&lt;Calculator!$G$16),"—",ROUND(MAX((50*POWER(80,POWER(COS(PI()*MOD(Calculator!$B$33/Calculator!$F$16,1)),2)))/$C54,$C54/(50*POWER(80,POWER(COS(PI()*MOD(Calculator!$B$33/Calculator!$F$16,1)),2)))),2))</f>
        <v>16.13</v>
      </c>
      <c r="AT54" s="120" t="n">
        <f aca="false">IF(OR(Calculator!$E$17&lt;&gt;"YES",Calculator!$B$33&lt;Calculator!$G$17),"—",ROUND(MAX((50*POWER(80,POWER(COS(PI()*MOD(Calculator!$B$33/Calculator!$F$17,1)),2)))/$C54,$C54/(50*POWER(80,POWER(COS(PI()*MOD(Calculator!$B$33/Calculator!$F$17,1)),2)))),2))</f>
        <v>1.67</v>
      </c>
      <c r="AU54" s="120" t="n">
        <f aca="false">IF(OR(Calculator!$E$18&lt;&gt;"YES",Calculator!$B$33&lt;Calculator!$G$18),"—",ROUND(MAX((50*POWER(80,POWER(COS(PI()*MOD(Calculator!$B$33/Calculator!$F$18,1)),2)))/$C54,$C54/(50*POWER(80,POWER(COS(PI()*MOD(Calculator!$B$33/Calculator!$F$18,1)),2)))),2))</f>
        <v>1.76</v>
      </c>
      <c r="AV54" s="120" t="n">
        <f aca="false">IF(OR(Calculator!$E$19&lt;&gt;"YES",Calculator!$B$33&lt;Calculator!$G$19),"—",ROUND(MAX((50*POWER(80,POWER(COS(PI()*MOD(Calculator!$B$33/Calculator!$F$19,1)),2)))/$C54,$C54/(50*POWER(80,POWER(COS(PI()*MOD(Calculator!$B$33/Calculator!$F$19,1)),2)))),2))</f>
        <v>2.98</v>
      </c>
      <c r="AW54" s="120" t="n">
        <f aca="false">IF(OR(Calculator!$E$20&lt;&gt;"YES",Calculator!$B$33&lt;Calculator!$G$20),"—",ROUND(MAX((50*POWER(80,POWER(COS(PI()*MOD(Calculator!$B$33/Calculator!$F$20,1)),2)))/$C54,$C54/(50*POWER(80,POWER(COS(PI()*MOD(Calculator!$B$33/Calculator!$F$20,1)),2)))),2))</f>
        <v>7.35</v>
      </c>
      <c r="AX54" s="120" t="n">
        <f aca="false">IF(OR(Calculator!$E$21&lt;&gt;"YES",Calculator!$B$33&lt;Calculator!$G$21),"—",ROUND(MAX((50*POWER(80,POWER(COS(PI()*MOD(Calculator!$B$33/Calculator!$F$21,1)),2)))/$C54,$C54/(50*POWER(80,POWER(COS(PI()*MOD(Calculator!$B$33/Calculator!$F$21,1)),2)))),2))</f>
        <v>1.07</v>
      </c>
      <c r="AY54" s="115" t="n">
        <f aca="false">IFERROR(ROUND((IF(ISNUMBER(AN54),AN54,0)+IF(ISNUMBER(AO54),AO54,0)+IF(ISNUMBER(AP54),AP54,0)+IF(ISNUMBER(AQ54),AQ54,0)+IF(ISNUMBER(AR54),AR54,0)+IF(ISNUMBER(AS54),AS54,0)+IF(ISNUMBER(AT54),AT54,0)+IF(ISNUMBER(AU54),AU54,0)+IF(ISNUMBER(AV54),AV54,0)+IF(ISNUMBER(AW54),AW54,0)+IF(ISNUMBER(AX54),AX54,0))/(IF(ISNUMBER(AN54),1,0)+IF(ISNUMBER(AO54),1,0)+IF(ISNUMBER(AP54),1,0)+IF(ISNUMBER(AQ54),1,0)+IF(ISNUMBER(AR54),1,0)+IF(ISNUMBER(AS54),1,0)+IF(ISNUMBER(AT54),1,0)+IF(ISNUMBER(AU54),1,0)+IF(ISNUMBER(AV54),1,0)+IF(ISNUMBER(AW54),1,0)+IF(ISNUMBER(AX54),1,0)),2),"")</f>
        <v>5.19</v>
      </c>
      <c r="AZ54" s="120" t="n">
        <f aca="false">IF(OR(Calculator!$E$11&lt;&gt;"YES",Calculator!$B$34&lt;Calculator!$G$11),"—",ROUND(MAX((50*POWER(80,POWER(COS(PI()*MOD(Calculator!$B$34/Calculator!$F$11,1)),2)))/$C54,$C54/(50*POWER(80,POWER(COS(PI()*MOD(Calculator!$B$34/Calculator!$F$11,1)),2)))),2))</f>
        <v>12.3</v>
      </c>
      <c r="BA54" s="120" t="n">
        <f aca="false">IF(OR(Calculator!$E$12&lt;&gt;"YES",Calculator!$B$34&lt;Calculator!$G$12),"—",ROUND(MAX((50*POWER(80,POWER(COS(PI()*MOD(Calculator!$B$34/Calculator!$F$12,1)),2)))/$C54,$C54/(50*POWER(80,POWER(COS(PI()*MOD(Calculator!$B$34/Calculator!$F$12,1)),2)))),2))</f>
        <v>1.08</v>
      </c>
      <c r="BB54" s="120" t="n">
        <f aca="false">IF(OR(Calculator!$E$13&lt;&gt;"YES",Calculator!$B$34&lt;Calculator!$G$13),"—",ROUND(MAX((50*POWER(80,POWER(COS(PI()*MOD(Calculator!$B$34/Calculator!$F$13,1)),2)))/$C54,$C54/(50*POWER(80,POWER(COS(PI()*MOD(Calculator!$B$34/Calculator!$F$13,1)),2)))),2))</f>
        <v>2.64</v>
      </c>
      <c r="BC54" s="120" t="n">
        <f aca="false">IF(OR(Calculator!$E$14&lt;&gt;"YES",Calculator!$B$34&lt;Calculator!$G$14),"—",ROUND(MAX((50*POWER(80,POWER(COS(PI()*MOD(Calculator!$B$34/Calculator!$F$14,1)),2)))/$C54,$C54/(50*POWER(80,POWER(COS(PI()*MOD(Calculator!$B$34/Calculator!$F$14,1)),2)))),2))</f>
        <v>6.91</v>
      </c>
      <c r="BD54" s="120" t="n">
        <f aca="false">IF(OR(Calculator!$E$15&lt;&gt;"YES",Calculator!$B$34&lt;Calculator!$G$15),"—",ROUND(MAX((50*POWER(80,POWER(COS(PI()*MOD(Calculator!$B$34/Calculator!$F$15,1)),2)))/$C54,$C54/(50*POWER(80,POWER(COS(PI()*MOD(Calculator!$B$34/Calculator!$F$15,1)),2)))),2))</f>
        <v>4.64</v>
      </c>
      <c r="BE54" s="120" t="n">
        <f aca="false">IF(OR(Calculator!$E$16&lt;&gt;"YES",Calculator!$B$34&lt;Calculator!$G$16),"—",ROUND(MAX((50*POWER(80,POWER(COS(PI()*MOD(Calculator!$B$34/Calculator!$F$16,1)),2)))/$C54,$C54/(50*POWER(80,POWER(COS(PI()*MOD(Calculator!$B$34/Calculator!$F$16,1)),2)))),2))</f>
        <v>12.66</v>
      </c>
      <c r="BF54" s="120" t="n">
        <f aca="false">IF(OR(Calculator!$E$17&lt;&gt;"YES",Calculator!$B$34&lt;Calculator!$G$17),"—",ROUND(MAX((50*POWER(80,POWER(COS(PI()*MOD(Calculator!$B$34/Calculator!$F$17,1)),2)))/$C54,$C54/(50*POWER(80,POWER(COS(PI()*MOD(Calculator!$B$34/Calculator!$F$17,1)),2)))),2))</f>
        <v>2.38</v>
      </c>
      <c r="BG54" s="120" t="n">
        <f aca="false">IF(OR(Calculator!$E$18&lt;&gt;"YES",Calculator!$B$34&lt;Calculator!$G$18),"—",ROUND(MAX((50*POWER(80,POWER(COS(PI()*MOD(Calculator!$B$34/Calculator!$F$18,1)),2)))/$C54,$C54/(50*POWER(80,POWER(COS(PI()*MOD(Calculator!$B$34/Calculator!$F$18,1)),2)))),2))</f>
        <v>2.61</v>
      </c>
      <c r="BH54" s="120" t="n">
        <f aca="false">IF(OR(Calculator!$E$19&lt;&gt;"YES",Calculator!$B$34&lt;Calculator!$G$19),"—",ROUND(MAX((50*POWER(80,POWER(COS(PI()*MOD(Calculator!$B$34/Calculator!$F$19,1)),2)))/$C54,$C54/(50*POWER(80,POWER(COS(PI()*MOD(Calculator!$B$34/Calculator!$F$19,1)),2)))),2))</f>
        <v>1.99</v>
      </c>
      <c r="BI54" s="120" t="n">
        <f aca="false">IF(OR(Calculator!$E$20&lt;&gt;"YES",Calculator!$B$34&lt;Calculator!$G$20),"—",ROUND(MAX((50*POWER(80,POWER(COS(PI()*MOD(Calculator!$B$34/Calculator!$F$20,1)),2)))/$C54,$C54/(50*POWER(80,POWER(COS(PI()*MOD(Calculator!$B$34/Calculator!$F$20,1)),2)))),2))</f>
        <v>13.77</v>
      </c>
      <c r="BJ54" s="120" t="n">
        <f aca="false">IF(OR(Calculator!$E$21&lt;&gt;"YES",Calculator!$B$34&lt;Calculator!$G$21),"—",ROUND(MAX((50*POWER(80,POWER(COS(PI()*MOD(Calculator!$B$34/Calculator!$F$21,1)),2)))/$C54,$C54/(50*POWER(80,POWER(COS(PI()*MOD(Calculator!$B$34/Calculator!$F$21,1)),2)))),2))</f>
        <v>2.99</v>
      </c>
      <c r="BK54" s="115" t="n">
        <f aca="false">IFERROR(ROUND((IF(ISNUMBER(AZ54),AZ54,0)+IF(ISNUMBER(BA54),BA54,0)+IF(ISNUMBER(BB54),BB54,0)+IF(ISNUMBER(BC54),BC54,0)+IF(ISNUMBER(BD54),BD54,0)+IF(ISNUMBER(BE54),BE54,0)+IF(ISNUMBER(BF54),BF54,0)+IF(ISNUMBER(BG54),BG54,0)+IF(ISNUMBER(BH54),BH54,0)+IF(ISNUMBER(BI54),BI54,0)+IF(ISNUMBER(BJ54),BJ54,0))/(IF(ISNUMBER(AZ54),1,0)+IF(ISNUMBER(BA54),1,0)+IF(ISNUMBER(BB54),1,0)+IF(ISNUMBER(BC54),1,0)+IF(ISNUMBER(BD54),1,0)+IF(ISNUMBER(BE54),1,0)+IF(ISNUMBER(BF54),1,0)+IF(ISNUMBER(BG54),1,0)+IF(ISNUMBER(BH54),1,0)+IF(ISNUMBER(BI54),1,0)+IF(ISNUMBER(BJ54),1,0)),2),"")</f>
        <v>5.82</v>
      </c>
    </row>
    <row r="55" customFormat="false" ht="15" hidden="false" customHeight="false" outlineLevel="0" collapsed="false">
      <c r="A55" s="87" t="s">
        <v>113</v>
      </c>
      <c r="B55" s="87" t="s">
        <v>93</v>
      </c>
      <c r="C55" s="90" t="n">
        <v>1150</v>
      </c>
      <c r="D55" s="91" t="n">
        <f aca="false">IF(OR(Calculator!$E$11&lt;&gt;"YES",Calculator!$B$30&lt;Calculator!$G$11),"—",ROUND(MAX((50*POWER(80,POWER(COS(PI()*MOD(Calculator!$B$30/Calculator!$F$11,1)),2)))/$C55,$C55/(50*POWER(80,POWER(COS(PI()*MOD(Calculator!$B$30/Calculator!$F$11,1)),2)))),2))</f>
        <v>13.02</v>
      </c>
      <c r="E55" s="91" t="n">
        <f aca="false">IF(OR(Calculator!$E$12&lt;&gt;"YES",Calculator!$B$30&lt;Calculator!$G$12),"—",ROUND(MAX((50*POWER(80,POWER(COS(PI()*MOD(Calculator!$B$30/Calculator!$F$12,1)),2)))/$C55,$C55/(50*POWER(80,POWER(COS(PI()*MOD(Calculator!$B$30/Calculator!$F$12,1)),2)))),2))</f>
        <v>1.09</v>
      </c>
      <c r="F55" s="91" t="n">
        <f aca="false">IF(OR(Calculator!$E$13&lt;&gt;"YES",Calculator!$B$30&lt;Calculator!$G$13),"—",ROUND(MAX((50*POWER(80,POWER(COS(PI()*MOD(Calculator!$B$30/Calculator!$F$13,1)),2)))/$C55,$C55/(50*POWER(80,POWER(COS(PI()*MOD(Calculator!$B$30/Calculator!$F$13,1)),2)))),2))</f>
        <v>2.9</v>
      </c>
      <c r="G55" s="91" t="n">
        <f aca="false">IF(OR(Calculator!$E$14&lt;&gt;"YES",Calculator!$B$30&lt;Calculator!$G$14),"—",ROUND(MAX((50*POWER(80,POWER(COS(PI()*MOD(Calculator!$B$30/Calculator!$F$14,1)),2)))/$C55,$C55/(50*POWER(80,POWER(COS(PI()*MOD(Calculator!$B$30/Calculator!$F$14,1)),2)))),2))</f>
        <v>6.79</v>
      </c>
      <c r="H55" s="91" t="n">
        <f aca="false">IF(OR(Calculator!$E$15&lt;&gt;"YES",Calculator!$B$30&lt;Calculator!$G$15),"—",ROUND(MAX((50*POWER(80,POWER(COS(PI()*MOD(Calculator!$B$30/Calculator!$F$15,1)),2)))/$C55,$C55/(50*POWER(80,POWER(COS(PI()*MOD(Calculator!$B$30/Calculator!$F$15,1)),2)))),2))</f>
        <v>4.42</v>
      </c>
      <c r="I55" s="91" t="n">
        <f aca="false">IF(OR(Calculator!$E$16&lt;&gt;"YES",Calculator!$B$30&lt;Calculator!$G$16),"—",ROUND(MAX((50*POWER(80,POWER(COS(PI()*MOD(Calculator!$B$30/Calculator!$F$16,1)),2)))/$C55,$C55/(50*POWER(80,POWER(COS(PI()*MOD(Calculator!$B$30/Calculator!$F$16,1)),2)))),2))</f>
        <v>14.45</v>
      </c>
      <c r="J55" s="91" t="n">
        <f aca="false">IF(OR(Calculator!$E$17&lt;&gt;"YES",Calculator!$B$30&lt;Calculator!$G$17),"—",ROUND(MAX((50*POWER(80,POWER(COS(PI()*MOD(Calculator!$B$30/Calculator!$F$17,1)),2)))/$C55,$C55/(50*POWER(80,POWER(COS(PI()*MOD(Calculator!$B$30/Calculator!$F$17,1)),2)))),2))</f>
        <v>2.04</v>
      </c>
      <c r="K55" s="91" t="n">
        <f aca="false">IF(OR(Calculator!$E$18&lt;&gt;"YES",Calculator!$B$30&lt;Calculator!$G$18),"—",ROUND(MAX((50*POWER(80,POWER(COS(PI()*MOD(Calculator!$B$30/Calculator!$F$18,1)),2)))/$C55,$C55/(50*POWER(80,POWER(COS(PI()*MOD(Calculator!$B$30/Calculator!$F$18,1)),2)))),2))</f>
        <v>2.22</v>
      </c>
      <c r="L55" s="91" t="n">
        <f aca="false">IF(OR(Calculator!$E$19&lt;&gt;"YES",Calculator!$B$30&lt;Calculator!$G$19),"—",ROUND(MAX((50*POWER(80,POWER(COS(PI()*MOD(Calculator!$B$30/Calculator!$F$19,1)),2)))/$C55,$C55/(50*POWER(80,POWER(COS(PI()*MOD(Calculator!$B$30/Calculator!$F$19,1)),2)))),2))</f>
        <v>2.23</v>
      </c>
      <c r="M55" s="91" t="n">
        <f aca="false">IF(OR(Calculator!$E$20&lt;&gt;"YES",Calculator!$B$30&lt;Calculator!$G$20),"—",ROUND(MAX((50*POWER(80,POWER(COS(PI()*MOD(Calculator!$B$30/Calculator!$F$20,1)),2)))/$C55,$C55/(50*POWER(80,POWER(COS(PI()*MOD(Calculator!$B$30/Calculator!$F$20,1)),2)))),2))</f>
        <v>11.96</v>
      </c>
      <c r="N55" s="91" t="n">
        <f aca="false">IF(OR(Calculator!$E$21&lt;&gt;"YES",Calculator!$B$30&lt;Calculator!$G$21),"—",ROUND(MAX((50*POWER(80,POWER(COS(PI()*MOD(Calculator!$B$30/Calculator!$F$21,1)),2)))/$C55,$C55/(50*POWER(80,POWER(COS(PI()*MOD(Calculator!$B$30/Calculator!$F$21,1)),2)))),2))</f>
        <v>2.2</v>
      </c>
      <c r="O55" s="114" t="n">
        <f aca="false">IFERROR(ROUND((IF(ISNUMBER(D55),D55,0)+IF(ISNUMBER(E55),E55,0)+IF(ISNUMBER(F55),F55,0)+IF(ISNUMBER(G55),G55,0)+IF(ISNUMBER(H55),H55,0)+IF(ISNUMBER(I55),I55,0)+IF(ISNUMBER(J55),J55,0)+IF(ISNUMBER(K55),K55,0)+IF(ISNUMBER(L55),L55,0)+IF(ISNUMBER(M55),M55,0)+IF(ISNUMBER(N55),N55,0))/(IF(ISNUMBER(D55),1,0)+IF(ISNUMBER(E55),1,0)+IF(ISNUMBER(F55),1,0)+IF(ISNUMBER(G55),1,0)+IF(ISNUMBER(H55),1,0)+IF(ISNUMBER(I55),1,0)+IF(ISNUMBER(J55),1,0)+IF(ISNUMBER(K55),1,0)+IF(ISNUMBER(L55),1,0)+IF(ISNUMBER(M55),1,0)+IF(ISNUMBER(N55),1,0)),2),"")</f>
        <v>5.76</v>
      </c>
      <c r="P55" s="91" t="n">
        <f aca="false">IF(OR(Calculator!$E$11&lt;&gt;"YES",Calculator!$B$31&lt;Calculator!$G$11),"—",ROUND(MAX((50*POWER(80,POWER(COS(PI()*MOD(Calculator!$B$31/Calculator!$F$11,1)),2)))/$C55,$C55/(50*POWER(80,POWER(COS(PI()*MOD(Calculator!$B$31/Calculator!$F$11,1)),2)))),2))</f>
        <v>13.18</v>
      </c>
      <c r="Q55" s="91" t="n">
        <f aca="false">IF(OR(Calculator!$E$12&lt;&gt;"YES",Calculator!$B$31&lt;Calculator!$G$12),"—",ROUND(MAX((50*POWER(80,POWER(COS(PI()*MOD(Calculator!$B$31/Calculator!$F$12,1)),2)))/$C55,$C55/(50*POWER(80,POWER(COS(PI()*MOD(Calculator!$B$31/Calculator!$F$12,1)),2)))),2))</f>
        <v>1.06</v>
      </c>
      <c r="R55" s="91" t="n">
        <f aca="false">IF(OR(Calculator!$E$13&lt;&gt;"YES",Calculator!$B$31&lt;Calculator!$G$13),"—",ROUND(MAX((50*POWER(80,POWER(COS(PI()*MOD(Calculator!$B$31/Calculator!$F$13,1)),2)))/$C55,$C55/(50*POWER(80,POWER(COS(PI()*MOD(Calculator!$B$31/Calculator!$F$13,1)),2)))),2))</f>
        <v>3.06</v>
      </c>
      <c r="S55" s="91" t="n">
        <f aca="false">IF(OR(Calculator!$E$14&lt;&gt;"YES",Calculator!$B$31&lt;Calculator!$G$14),"—",ROUND(MAX((50*POWER(80,POWER(COS(PI()*MOD(Calculator!$B$31/Calculator!$F$14,1)),2)))/$C55,$C55/(50*POWER(80,POWER(COS(PI()*MOD(Calculator!$B$31/Calculator!$F$14,1)),2)))),2))</f>
        <v>6.38</v>
      </c>
      <c r="T55" s="91" t="n">
        <f aca="false">IF(OR(Calculator!$E$15&lt;&gt;"YES",Calculator!$B$31&lt;Calculator!$G$15),"—",ROUND(MAX((50*POWER(80,POWER(COS(PI()*MOD(Calculator!$B$31/Calculator!$F$15,1)),2)))/$C55,$C55/(50*POWER(80,POWER(COS(PI()*MOD(Calculator!$B$31/Calculator!$F$15,1)),2)))),2))</f>
        <v>4.02</v>
      </c>
      <c r="U55" s="91" t="n">
        <f aca="false">IF(OR(Calculator!$E$16&lt;&gt;"YES",Calculator!$B$31&lt;Calculator!$G$16),"—",ROUND(MAX((50*POWER(80,POWER(COS(PI()*MOD(Calculator!$B$31/Calculator!$F$16,1)),2)))/$C55,$C55/(50*POWER(80,POWER(COS(PI()*MOD(Calculator!$B$31/Calculator!$F$16,1)),2)))),2))</f>
        <v>15.66</v>
      </c>
      <c r="V55" s="91" t="n">
        <f aca="false">IF(OR(Calculator!$E$17&lt;&gt;"YES",Calculator!$B$31&lt;Calculator!$G$17),"—",ROUND(MAX((50*POWER(80,POWER(COS(PI()*MOD(Calculator!$B$31/Calculator!$F$17,1)),2)))/$C55,$C55/(50*POWER(80,POWER(COS(PI()*MOD(Calculator!$B$31/Calculator!$F$17,1)),2)))),2))</f>
        <v>1.81</v>
      </c>
      <c r="W55" s="91" t="n">
        <f aca="false">IF(OR(Calculator!$E$18&lt;&gt;"YES",Calculator!$B$31&lt;Calculator!$G$18),"—",ROUND(MAX((50*POWER(80,POWER(COS(PI()*MOD(Calculator!$B$31/Calculator!$F$18,1)),2)))/$C55,$C55/(50*POWER(80,POWER(COS(PI()*MOD(Calculator!$B$31/Calculator!$F$18,1)),2)))),2))</f>
        <v>1.95</v>
      </c>
      <c r="X55" s="91" t="n">
        <f aca="false">IF(OR(Calculator!$E$19&lt;&gt;"YES",Calculator!$B$31&lt;Calculator!$G$19),"—",ROUND(MAX((50*POWER(80,POWER(COS(PI()*MOD(Calculator!$B$31/Calculator!$F$19,1)),2)))/$C55,$C55/(50*POWER(80,POWER(COS(PI()*MOD(Calculator!$B$31/Calculator!$F$19,1)),2)))),2))</f>
        <v>2.55</v>
      </c>
      <c r="Y55" s="91" t="n">
        <f aca="false">IF(OR(Calculator!$E$20&lt;&gt;"YES",Calculator!$B$31&lt;Calculator!$G$20),"—",ROUND(MAX((50*POWER(80,POWER(COS(PI()*MOD(Calculator!$B$31/Calculator!$F$20,1)),2)))/$C55,$C55/(50*POWER(80,POWER(COS(PI()*MOD(Calculator!$B$31/Calculator!$F$20,1)),2)))),2))</f>
        <v>9.69</v>
      </c>
      <c r="Z55" s="91" t="n">
        <f aca="false">IF(OR(Calculator!$E$21&lt;&gt;"YES",Calculator!$B$31&lt;Calculator!$G$21),"—",ROUND(MAX((50*POWER(80,POWER(COS(PI()*MOD(Calculator!$B$31/Calculator!$F$21,1)),2)))/$C55,$C55/(50*POWER(80,POWER(COS(PI()*MOD(Calculator!$B$31/Calculator!$F$21,1)),2)))),2))</f>
        <v>1.55</v>
      </c>
      <c r="AA55" s="114" t="n">
        <f aca="false">IFERROR(ROUND((IF(ISNUMBER(P55),P55,0)+IF(ISNUMBER(Q55),Q55,0)+IF(ISNUMBER(R55),R55,0)+IF(ISNUMBER(S55),S55,0)+IF(ISNUMBER(T55),T55,0)+IF(ISNUMBER(U55),U55,0)+IF(ISNUMBER(V55),V55,0)+IF(ISNUMBER(W55),W55,0)+IF(ISNUMBER(X55),X55,0)+IF(ISNUMBER(Y55),Y55,0)+IF(ISNUMBER(Z55),Z55,0))/(IF(ISNUMBER(P55),1,0)+IF(ISNUMBER(Q55),1,0)+IF(ISNUMBER(R55),1,0)+IF(ISNUMBER(S55),1,0)+IF(ISNUMBER(T55),1,0)+IF(ISNUMBER(U55),1,0)+IF(ISNUMBER(V55),1,0)+IF(ISNUMBER(W55),1,0)+IF(ISNUMBER(X55),1,0)+IF(ISNUMBER(Y55),1,0)+IF(ISNUMBER(Z55),1,0)),2),"")</f>
        <v>5.54</v>
      </c>
      <c r="AB55" s="91" t="n">
        <f aca="false">IF(OR(Calculator!$E$11&lt;&gt;"YES",Calculator!$B$32&lt;Calculator!$G$11),"—",ROUND(MAX((50*POWER(80,POWER(COS(PI()*MOD(Calculator!$B$32/Calculator!$F$11,1)),2)))/$C55,$C55/(50*POWER(80,POWER(COS(PI()*MOD(Calculator!$B$32/Calculator!$F$11,1)),2)))),2))</f>
        <v>16.59</v>
      </c>
      <c r="AC55" s="91" t="n">
        <f aca="false">IF(OR(Calculator!$E$12&lt;&gt;"YES",Calculator!$B$32&lt;Calculator!$G$12),"—",ROUND(MAX((50*POWER(80,POWER(COS(PI()*MOD(Calculator!$B$32/Calculator!$F$12,1)),2)))/$C55,$C55/(50*POWER(80,POWER(COS(PI()*MOD(Calculator!$B$32/Calculator!$F$12,1)),2)))),2))</f>
        <v>1.75</v>
      </c>
      <c r="AD55" s="91" t="n">
        <f aca="false">IF(OR(Calculator!$E$13&lt;&gt;"YES",Calculator!$B$32&lt;Calculator!$G$13),"—",ROUND(MAX((50*POWER(80,POWER(COS(PI()*MOD(Calculator!$B$32/Calculator!$F$13,1)),2)))/$C55,$C55/(50*POWER(80,POWER(COS(PI()*MOD(Calculator!$B$32/Calculator!$F$13,1)),2)))),2))</f>
        <v>8.47</v>
      </c>
      <c r="AE55" s="91" t="n">
        <f aca="false">IF(OR(Calculator!$E$14&lt;&gt;"YES",Calculator!$B$32&lt;Calculator!$G$14),"—",ROUND(MAX((50*POWER(80,POWER(COS(PI()*MOD(Calculator!$B$32/Calculator!$F$14,1)),2)))/$C55,$C55/(50*POWER(80,POWER(COS(PI()*MOD(Calculator!$B$32/Calculator!$F$14,1)),2)))),2))</f>
        <v>1.55</v>
      </c>
      <c r="AF55" s="91" t="n">
        <f aca="false">IF(OR(Calculator!$E$15&lt;&gt;"YES",Calculator!$B$32&lt;Calculator!$G$15),"—",ROUND(MAX((50*POWER(80,POWER(COS(PI()*MOD(Calculator!$B$32/Calculator!$F$15,1)),2)))/$C55,$C55/(50*POWER(80,POWER(COS(PI()*MOD(Calculator!$B$32/Calculator!$F$15,1)),2)))),2))</f>
        <v>1.68</v>
      </c>
      <c r="AG55" s="91" t="n">
        <f aca="false">IF(OR(Calculator!$E$16&lt;&gt;"YES",Calculator!$B$32&lt;Calculator!$G$16),"—",ROUND(MAX((50*POWER(80,POWER(COS(PI()*MOD(Calculator!$B$32/Calculator!$F$16,1)),2)))/$C55,$C55/(50*POWER(80,POWER(COS(PI()*MOD(Calculator!$B$32/Calculator!$F$16,1)),2)))),2))</f>
        <v>13.52</v>
      </c>
      <c r="AH55" s="91" t="n">
        <f aca="false">IF(OR(Calculator!$E$17&lt;&gt;"YES",Calculator!$B$32&lt;Calculator!$G$17),"—",ROUND(MAX((50*POWER(80,POWER(COS(PI()*MOD(Calculator!$B$32/Calculator!$F$17,1)),2)))/$C55,$C55/(50*POWER(80,POWER(COS(PI()*MOD(Calculator!$B$32/Calculator!$F$17,1)),2)))),2))</f>
        <v>14.27</v>
      </c>
      <c r="AI55" s="91" t="n">
        <f aca="false">IF(OR(Calculator!$E$18&lt;&gt;"YES",Calculator!$B$32&lt;Calculator!$G$18),"—",ROUND(MAX((50*POWER(80,POWER(COS(PI()*MOD(Calculator!$B$32/Calculator!$F$18,1)),2)))/$C55,$C55/(50*POWER(80,POWER(COS(PI()*MOD(Calculator!$B$32/Calculator!$F$18,1)),2)))),2))</f>
        <v>18.83</v>
      </c>
      <c r="AJ55" s="91" t="n">
        <f aca="false">IF(OR(Calculator!$E$19&lt;&gt;"YES",Calculator!$B$32&lt;Calculator!$G$19),"—",ROUND(MAX((50*POWER(80,POWER(COS(PI()*MOD(Calculator!$B$32/Calculator!$F$19,1)),2)))/$C55,$C55/(50*POWER(80,POWER(COS(PI()*MOD(Calculator!$B$32/Calculator!$F$19,1)),2)))),2))</f>
        <v>3.97</v>
      </c>
      <c r="AK55" s="91" t="n">
        <f aca="false">IF(OR(Calculator!$E$20&lt;&gt;"YES",Calculator!$B$32&lt;Calculator!$G$20),"—",ROUND(MAX((50*POWER(80,POWER(COS(PI()*MOD(Calculator!$B$32/Calculator!$F$20,1)),2)))/$C55,$C55/(50*POWER(80,POWER(COS(PI()*MOD(Calculator!$B$32/Calculator!$F$20,1)),2)))),2))</f>
        <v>2.8</v>
      </c>
      <c r="AL55" s="91" t="n">
        <f aca="false">IF(OR(Calculator!$E$21&lt;&gt;"YES",Calculator!$B$32&lt;Calculator!$G$21),"—",ROUND(MAX((50*POWER(80,POWER(COS(PI()*MOD(Calculator!$B$32/Calculator!$F$21,1)),2)))/$C55,$C55/(50*POWER(80,POWER(COS(PI()*MOD(Calculator!$B$32/Calculator!$F$21,1)),2)))),2))</f>
        <v>2.42</v>
      </c>
      <c r="AM55" s="115" t="n">
        <f aca="false">IFERROR(ROUND((IF(ISNUMBER(AB55),AB55,0)+IF(ISNUMBER(AC55),AC55,0)+IF(ISNUMBER(AD55),AD55,0)+IF(ISNUMBER(AE55),AE55,0)+IF(ISNUMBER(AF55),AF55,0)+IF(ISNUMBER(AG55),AG55,0)+IF(ISNUMBER(AH55),AH55,0)+IF(ISNUMBER(AI55),AI55,0)+IF(ISNUMBER(AJ55),AJ55,0)+IF(ISNUMBER(AK55),AK55,0)+IF(ISNUMBER(AL55),AL55,0))/(IF(ISNUMBER(AB55),1,0)+IF(ISNUMBER(AC55),1,0)+IF(ISNUMBER(AD55),1,0)+IF(ISNUMBER(AE55),1,0)+IF(ISNUMBER(AF55),1,0)+IF(ISNUMBER(AG55),1,0)+IF(ISNUMBER(AH55),1,0)+IF(ISNUMBER(AI55),1,0)+IF(ISNUMBER(AJ55),1,0)+IF(ISNUMBER(AK55),1,0)+IF(ISNUMBER(AL55),1,0)),2),"")</f>
        <v>7.8</v>
      </c>
      <c r="AN55" s="116" t="n">
        <f aca="false">IF(OR(Calculator!$E$11&lt;&gt;"YES",Calculator!$B$33&lt;Calculator!$G$11),"—",ROUND(MAX((50*POWER(80,POWER(COS(PI()*MOD(Calculator!$B$33/Calculator!$F$11,1)),2)))/$C55,$C55/(50*POWER(80,POWER(COS(PI()*MOD(Calculator!$B$33/Calculator!$F$11,1)),2)))),2))</f>
        <v>13.34</v>
      </c>
      <c r="AO55" s="116" t="n">
        <f aca="false">IF(OR(Calculator!$E$12&lt;&gt;"YES",Calculator!$B$33&lt;Calculator!$G$12),"—",ROUND(MAX((50*POWER(80,POWER(COS(PI()*MOD(Calculator!$B$33/Calculator!$F$12,1)),2)))/$C55,$C55/(50*POWER(80,POWER(COS(PI()*MOD(Calculator!$B$33/Calculator!$F$12,1)),2)))),2))</f>
        <v>1.02</v>
      </c>
      <c r="AP55" s="116" t="n">
        <f aca="false">IF(OR(Calculator!$E$13&lt;&gt;"YES",Calculator!$B$33&lt;Calculator!$G$13),"—",ROUND(MAX((50*POWER(80,POWER(COS(PI()*MOD(Calculator!$B$33/Calculator!$F$13,1)),2)))/$C55,$C55/(50*POWER(80,POWER(COS(PI()*MOD(Calculator!$B$33/Calculator!$F$13,1)),2)))),2))</f>
        <v>3.22</v>
      </c>
      <c r="AQ55" s="116" t="n">
        <f aca="false">IF(OR(Calculator!$E$14&lt;&gt;"YES",Calculator!$B$33&lt;Calculator!$G$14),"—",ROUND(MAX((50*POWER(80,POWER(COS(PI()*MOD(Calculator!$B$33/Calculator!$F$14,1)),2)))/$C55,$C55/(50*POWER(80,POWER(COS(PI()*MOD(Calculator!$B$33/Calculator!$F$14,1)),2)))),2))</f>
        <v>5.99</v>
      </c>
      <c r="AR55" s="116" t="n">
        <f aca="false">IF(OR(Calculator!$E$15&lt;&gt;"YES",Calculator!$B$33&lt;Calculator!$G$15),"—",ROUND(MAX((50*POWER(80,POWER(COS(PI()*MOD(Calculator!$B$33/Calculator!$F$15,1)),2)))/$C55,$C55/(50*POWER(80,POWER(COS(PI()*MOD(Calculator!$B$33/Calculator!$F$15,1)),2)))),2))</f>
        <v>3.65</v>
      </c>
      <c r="AS55" s="116" t="n">
        <f aca="false">IF(OR(Calculator!$E$16&lt;&gt;"YES",Calculator!$B$33&lt;Calculator!$G$16),"—",ROUND(MAX((50*POWER(80,POWER(COS(PI()*MOD(Calculator!$B$33/Calculator!$F$16,1)),2)))/$C55,$C55/(50*POWER(80,POWER(COS(PI()*MOD(Calculator!$B$33/Calculator!$F$16,1)),2)))),2))</f>
        <v>16.86</v>
      </c>
      <c r="AT55" s="116" t="n">
        <f aca="false">IF(OR(Calculator!$E$17&lt;&gt;"YES",Calculator!$B$33&lt;Calculator!$G$17),"—",ROUND(MAX((50*POWER(80,POWER(COS(PI()*MOD(Calculator!$B$33/Calculator!$F$17,1)),2)))/$C55,$C55/(50*POWER(80,POWER(COS(PI()*MOD(Calculator!$B$33/Calculator!$F$17,1)),2)))),2))</f>
        <v>1.59</v>
      </c>
      <c r="AU55" s="116" t="n">
        <f aca="false">IF(OR(Calculator!$E$18&lt;&gt;"YES",Calculator!$B$33&lt;Calculator!$G$18),"—",ROUND(MAX((50*POWER(80,POWER(COS(PI()*MOD(Calculator!$B$33/Calculator!$F$18,1)),2)))/$C55,$C55/(50*POWER(80,POWER(COS(PI()*MOD(Calculator!$B$33/Calculator!$F$18,1)),2)))),2))</f>
        <v>1.68</v>
      </c>
      <c r="AV55" s="116" t="n">
        <f aca="false">IF(OR(Calculator!$E$19&lt;&gt;"YES",Calculator!$B$33&lt;Calculator!$G$19),"—",ROUND(MAX((50*POWER(80,POWER(COS(PI()*MOD(Calculator!$B$33/Calculator!$F$19,1)),2)))/$C55,$C55/(50*POWER(80,POWER(COS(PI()*MOD(Calculator!$B$33/Calculator!$F$19,1)),2)))),2))</f>
        <v>2.85</v>
      </c>
      <c r="AW55" s="116" t="n">
        <f aca="false">IF(OR(Calculator!$E$20&lt;&gt;"YES",Calculator!$B$33&lt;Calculator!$G$20),"—",ROUND(MAX((50*POWER(80,POWER(COS(PI()*MOD(Calculator!$B$33/Calculator!$F$20,1)),2)))/$C55,$C55/(50*POWER(80,POWER(COS(PI()*MOD(Calculator!$B$33/Calculator!$F$20,1)),2)))),2))</f>
        <v>7.68</v>
      </c>
      <c r="AX55" s="116" t="n">
        <f aca="false">IF(OR(Calculator!$E$21&lt;&gt;"YES",Calculator!$B$33&lt;Calculator!$G$21),"—",ROUND(MAX((50*POWER(80,POWER(COS(PI()*MOD(Calculator!$B$33/Calculator!$F$21,1)),2)))/$C55,$C55/(50*POWER(80,POWER(COS(PI()*MOD(Calculator!$B$33/Calculator!$F$21,1)),2)))),2))</f>
        <v>1.02</v>
      </c>
      <c r="AY55" s="115" t="n">
        <f aca="false">IFERROR(ROUND((IF(ISNUMBER(AN55),AN55,0)+IF(ISNUMBER(AO55),AO55,0)+IF(ISNUMBER(AP55),AP55,0)+IF(ISNUMBER(AQ55),AQ55,0)+IF(ISNUMBER(AR55),AR55,0)+IF(ISNUMBER(AS55),AS55,0)+IF(ISNUMBER(AT55),AT55,0)+IF(ISNUMBER(AU55),AU55,0)+IF(ISNUMBER(AV55),AV55,0)+IF(ISNUMBER(AW55),AW55,0)+IF(ISNUMBER(AX55),AX55,0))/(IF(ISNUMBER(AN55),1,0)+IF(ISNUMBER(AO55),1,0)+IF(ISNUMBER(AP55),1,0)+IF(ISNUMBER(AQ55),1,0)+IF(ISNUMBER(AR55),1,0)+IF(ISNUMBER(AS55),1,0)+IF(ISNUMBER(AT55),1,0)+IF(ISNUMBER(AU55),1,0)+IF(ISNUMBER(AV55),1,0)+IF(ISNUMBER(AW55),1,0)+IF(ISNUMBER(AX55),1,0)),2),"")</f>
        <v>5.35</v>
      </c>
      <c r="AZ55" s="116" t="n">
        <f aca="false">IF(OR(Calculator!$E$11&lt;&gt;"YES",Calculator!$B$34&lt;Calculator!$G$11),"—",ROUND(MAX((50*POWER(80,POWER(COS(PI()*MOD(Calculator!$B$34/Calculator!$F$11,1)),2)))/$C55,$C55/(50*POWER(80,POWER(COS(PI()*MOD(Calculator!$B$34/Calculator!$F$11,1)),2)))),2))</f>
        <v>12.86</v>
      </c>
      <c r="BA55" s="116" t="n">
        <f aca="false">IF(OR(Calculator!$E$12&lt;&gt;"YES",Calculator!$B$34&lt;Calculator!$G$12),"—",ROUND(MAX((50*POWER(80,POWER(COS(PI()*MOD(Calculator!$B$34/Calculator!$F$12,1)),2)))/$C55,$C55/(50*POWER(80,POWER(COS(PI()*MOD(Calculator!$B$34/Calculator!$F$12,1)),2)))),2))</f>
        <v>1.13</v>
      </c>
      <c r="BB55" s="116" t="n">
        <f aca="false">IF(OR(Calculator!$E$13&lt;&gt;"YES",Calculator!$B$34&lt;Calculator!$G$13),"—",ROUND(MAX((50*POWER(80,POWER(COS(PI()*MOD(Calculator!$B$34/Calculator!$F$13,1)),2)))/$C55,$C55/(50*POWER(80,POWER(COS(PI()*MOD(Calculator!$B$34/Calculator!$F$13,1)),2)))),2))</f>
        <v>2.76</v>
      </c>
      <c r="BC55" s="116" t="n">
        <f aca="false">IF(OR(Calculator!$E$14&lt;&gt;"YES",Calculator!$B$34&lt;Calculator!$G$14),"—",ROUND(MAX((50*POWER(80,POWER(COS(PI()*MOD(Calculator!$B$34/Calculator!$F$14,1)),2)))/$C55,$C55/(50*POWER(80,POWER(COS(PI()*MOD(Calculator!$B$34/Calculator!$F$14,1)),2)))),2))</f>
        <v>7.22</v>
      </c>
      <c r="BD55" s="116" t="n">
        <f aca="false">IF(OR(Calculator!$E$15&lt;&gt;"YES",Calculator!$B$34&lt;Calculator!$G$15),"—",ROUND(MAX((50*POWER(80,POWER(COS(PI()*MOD(Calculator!$B$34/Calculator!$F$15,1)),2)))/$C55,$C55/(50*POWER(80,POWER(COS(PI()*MOD(Calculator!$B$34/Calculator!$F$15,1)),2)))),2))</f>
        <v>4.86</v>
      </c>
      <c r="BE55" s="116" t="n">
        <f aca="false">IF(OR(Calculator!$E$16&lt;&gt;"YES",Calculator!$B$34&lt;Calculator!$G$16),"—",ROUND(MAX((50*POWER(80,POWER(COS(PI()*MOD(Calculator!$B$34/Calculator!$F$16,1)),2)))/$C55,$C55/(50*POWER(80,POWER(COS(PI()*MOD(Calculator!$B$34/Calculator!$F$16,1)),2)))),2))</f>
        <v>13.23</v>
      </c>
      <c r="BF55" s="116" t="n">
        <f aca="false">IF(OR(Calculator!$E$17&lt;&gt;"YES",Calculator!$B$34&lt;Calculator!$G$17),"—",ROUND(MAX((50*POWER(80,POWER(COS(PI()*MOD(Calculator!$B$34/Calculator!$F$17,1)),2)))/$C55,$C55/(50*POWER(80,POWER(COS(PI()*MOD(Calculator!$B$34/Calculator!$F$17,1)),2)))),2))</f>
        <v>2.28</v>
      </c>
      <c r="BG55" s="116" t="n">
        <f aca="false">IF(OR(Calculator!$E$18&lt;&gt;"YES",Calculator!$B$34&lt;Calculator!$G$18),"—",ROUND(MAX((50*POWER(80,POWER(COS(PI()*MOD(Calculator!$B$34/Calculator!$F$18,1)),2)))/$C55,$C55/(50*POWER(80,POWER(COS(PI()*MOD(Calculator!$B$34/Calculator!$F$18,1)),2)))),2))</f>
        <v>2.49</v>
      </c>
      <c r="BH55" s="116" t="n">
        <f aca="false">IF(OR(Calculator!$E$19&lt;&gt;"YES",Calculator!$B$34&lt;Calculator!$G$19),"—",ROUND(MAX((50*POWER(80,POWER(COS(PI()*MOD(Calculator!$B$34/Calculator!$F$19,1)),2)))/$C55,$C55/(50*POWER(80,POWER(COS(PI()*MOD(Calculator!$B$34/Calculator!$F$19,1)),2)))),2))</f>
        <v>1.91</v>
      </c>
      <c r="BI55" s="116" t="n">
        <f aca="false">IF(OR(Calculator!$E$20&lt;&gt;"YES",Calculator!$B$34&lt;Calculator!$G$20),"—",ROUND(MAX((50*POWER(80,POWER(COS(PI()*MOD(Calculator!$B$34/Calculator!$F$20,1)),2)))/$C55,$C55/(50*POWER(80,POWER(COS(PI()*MOD(Calculator!$B$34/Calculator!$F$20,1)),2)))),2))</f>
        <v>14.4</v>
      </c>
      <c r="BJ55" s="116" t="n">
        <f aca="false">IF(OR(Calculator!$E$21&lt;&gt;"YES",Calculator!$B$34&lt;Calculator!$G$21),"—",ROUND(MAX((50*POWER(80,POWER(COS(PI()*MOD(Calculator!$B$34/Calculator!$F$21,1)),2)))/$C55,$C55/(50*POWER(80,POWER(COS(PI()*MOD(Calculator!$B$34/Calculator!$F$21,1)),2)))),2))</f>
        <v>2.86</v>
      </c>
      <c r="BK55" s="115" t="n">
        <f aca="false">IFERROR(ROUND((IF(ISNUMBER(AZ55),AZ55,0)+IF(ISNUMBER(BA55),BA55,0)+IF(ISNUMBER(BB55),BB55,0)+IF(ISNUMBER(BC55),BC55,0)+IF(ISNUMBER(BD55),BD55,0)+IF(ISNUMBER(BE55),BE55,0)+IF(ISNUMBER(BF55),BF55,0)+IF(ISNUMBER(BG55),BG55,0)+IF(ISNUMBER(BH55),BH55,0)+IF(ISNUMBER(BI55),BI55,0)+IF(ISNUMBER(BJ55),BJ55,0))/(IF(ISNUMBER(AZ55),1,0)+IF(ISNUMBER(BA55),1,0)+IF(ISNUMBER(BB55),1,0)+IF(ISNUMBER(BC55),1,0)+IF(ISNUMBER(BD55),1,0)+IF(ISNUMBER(BE55),1,0)+IF(ISNUMBER(BF55),1,0)+IF(ISNUMBER(BG55),1,0)+IF(ISNUMBER(BH55),1,0)+IF(ISNUMBER(BI55),1,0)+IF(ISNUMBER(BJ55),1,0)),2),"")</f>
        <v>6</v>
      </c>
    </row>
    <row r="56" customFormat="false" ht="15" hidden="false" customHeight="false" outlineLevel="0" collapsed="false">
      <c r="A56" s="117" t="s">
        <v>114</v>
      </c>
      <c r="B56" s="117" t="s">
        <v>93</v>
      </c>
      <c r="C56" s="118" t="n">
        <v>1200</v>
      </c>
      <c r="D56" s="119" t="n">
        <f aca="false">IF(OR(Calculator!$E$11&lt;&gt;"YES",Calculator!$B$30&lt;Calculator!$G$11),"—",ROUND(MAX((50*POWER(80,POWER(COS(PI()*MOD(Calculator!$B$30/Calculator!$F$11,1)),2)))/$C56,$C56/(50*POWER(80,POWER(COS(PI()*MOD(Calculator!$B$30/Calculator!$F$11,1)),2)))),2))</f>
        <v>13.59</v>
      </c>
      <c r="E56" s="119" t="n">
        <f aca="false">IF(OR(Calculator!$E$12&lt;&gt;"YES",Calculator!$B$30&lt;Calculator!$G$12),"—",ROUND(MAX((50*POWER(80,POWER(COS(PI()*MOD(Calculator!$B$30/Calculator!$F$12,1)),2)))/$C56,$C56/(50*POWER(80,POWER(COS(PI()*MOD(Calculator!$B$30/Calculator!$F$12,1)),2)))),2))</f>
        <v>1.14</v>
      </c>
      <c r="F56" s="119" t="n">
        <f aca="false">IF(OR(Calculator!$E$13&lt;&gt;"YES",Calculator!$B$30&lt;Calculator!$G$13),"—",ROUND(MAX((50*POWER(80,POWER(COS(PI()*MOD(Calculator!$B$30/Calculator!$F$13,1)),2)))/$C56,$C56/(50*POWER(80,POWER(COS(PI()*MOD(Calculator!$B$30/Calculator!$F$13,1)),2)))),2))</f>
        <v>3.03</v>
      </c>
      <c r="G56" s="119" t="n">
        <f aca="false">IF(OR(Calculator!$E$14&lt;&gt;"YES",Calculator!$B$30&lt;Calculator!$G$14),"—",ROUND(MAX((50*POWER(80,POWER(COS(PI()*MOD(Calculator!$B$30/Calculator!$F$14,1)),2)))/$C56,$C56/(50*POWER(80,POWER(COS(PI()*MOD(Calculator!$B$30/Calculator!$F$14,1)),2)))),2))</f>
        <v>7.09</v>
      </c>
      <c r="H56" s="119" t="n">
        <f aca="false">IF(OR(Calculator!$E$15&lt;&gt;"YES",Calculator!$B$30&lt;Calculator!$G$15),"—",ROUND(MAX((50*POWER(80,POWER(COS(PI()*MOD(Calculator!$B$30/Calculator!$F$15,1)),2)))/$C56,$C56/(50*POWER(80,POWER(COS(PI()*MOD(Calculator!$B$30/Calculator!$F$15,1)),2)))),2))</f>
        <v>4.61</v>
      </c>
      <c r="I56" s="119" t="n">
        <f aca="false">IF(OR(Calculator!$E$16&lt;&gt;"YES",Calculator!$B$30&lt;Calculator!$G$16),"—",ROUND(MAX((50*POWER(80,POWER(COS(PI()*MOD(Calculator!$B$30/Calculator!$F$16,1)),2)))/$C56,$C56/(50*POWER(80,POWER(COS(PI()*MOD(Calculator!$B$30/Calculator!$F$16,1)),2)))),2))</f>
        <v>15.07</v>
      </c>
      <c r="J56" s="119" t="n">
        <f aca="false">IF(OR(Calculator!$E$17&lt;&gt;"YES",Calculator!$B$30&lt;Calculator!$G$17),"—",ROUND(MAX((50*POWER(80,POWER(COS(PI()*MOD(Calculator!$B$30/Calculator!$F$17,1)),2)))/$C56,$C56/(50*POWER(80,POWER(COS(PI()*MOD(Calculator!$B$30/Calculator!$F$17,1)),2)))),2))</f>
        <v>1.96</v>
      </c>
      <c r="K56" s="119" t="n">
        <f aca="false">IF(OR(Calculator!$E$18&lt;&gt;"YES",Calculator!$B$30&lt;Calculator!$G$18),"—",ROUND(MAX((50*POWER(80,POWER(COS(PI()*MOD(Calculator!$B$30/Calculator!$F$18,1)),2)))/$C56,$C56/(50*POWER(80,POWER(COS(PI()*MOD(Calculator!$B$30/Calculator!$F$18,1)),2)))),2))</f>
        <v>2.13</v>
      </c>
      <c r="L56" s="119" t="n">
        <f aca="false">IF(OR(Calculator!$E$19&lt;&gt;"YES",Calculator!$B$30&lt;Calculator!$G$19),"—",ROUND(MAX((50*POWER(80,POWER(COS(PI()*MOD(Calculator!$B$30/Calculator!$F$19,1)),2)))/$C56,$C56/(50*POWER(80,POWER(COS(PI()*MOD(Calculator!$B$30/Calculator!$F$19,1)),2)))),2))</f>
        <v>2.13</v>
      </c>
      <c r="M56" s="119" t="n">
        <f aca="false">IF(OR(Calculator!$E$20&lt;&gt;"YES",Calculator!$B$30&lt;Calculator!$G$20),"—",ROUND(MAX((50*POWER(80,POWER(COS(PI()*MOD(Calculator!$B$30/Calculator!$F$20,1)),2)))/$C56,$C56/(50*POWER(80,POWER(COS(PI()*MOD(Calculator!$B$30/Calculator!$F$20,1)),2)))),2))</f>
        <v>12.48</v>
      </c>
      <c r="N56" s="119" t="n">
        <f aca="false">IF(OR(Calculator!$E$21&lt;&gt;"YES",Calculator!$B$30&lt;Calculator!$G$21),"—",ROUND(MAX((50*POWER(80,POWER(COS(PI()*MOD(Calculator!$B$30/Calculator!$F$21,1)),2)))/$C56,$C56/(50*POWER(80,POWER(COS(PI()*MOD(Calculator!$B$30/Calculator!$F$21,1)),2)))),2))</f>
        <v>2.11</v>
      </c>
      <c r="O56" s="114" t="n">
        <f aca="false">IFERROR(ROUND((IF(ISNUMBER(D56),D56,0)+IF(ISNUMBER(E56),E56,0)+IF(ISNUMBER(F56),F56,0)+IF(ISNUMBER(G56),G56,0)+IF(ISNUMBER(H56),H56,0)+IF(ISNUMBER(I56),I56,0)+IF(ISNUMBER(J56),J56,0)+IF(ISNUMBER(K56),K56,0)+IF(ISNUMBER(L56),L56,0)+IF(ISNUMBER(M56),M56,0)+IF(ISNUMBER(N56),N56,0))/(IF(ISNUMBER(D56),1,0)+IF(ISNUMBER(E56),1,0)+IF(ISNUMBER(F56),1,0)+IF(ISNUMBER(G56),1,0)+IF(ISNUMBER(H56),1,0)+IF(ISNUMBER(I56),1,0)+IF(ISNUMBER(J56),1,0)+IF(ISNUMBER(K56),1,0)+IF(ISNUMBER(L56),1,0)+IF(ISNUMBER(M56),1,0)+IF(ISNUMBER(N56),1,0)),2),"")</f>
        <v>5.94</v>
      </c>
      <c r="P56" s="119" t="n">
        <f aca="false">IF(OR(Calculator!$E$11&lt;&gt;"YES",Calculator!$B$31&lt;Calculator!$G$11),"—",ROUND(MAX((50*POWER(80,POWER(COS(PI()*MOD(Calculator!$B$31/Calculator!$F$11,1)),2)))/$C56,$C56/(50*POWER(80,POWER(COS(PI()*MOD(Calculator!$B$31/Calculator!$F$11,1)),2)))),2))</f>
        <v>13.76</v>
      </c>
      <c r="Q56" s="119" t="n">
        <f aca="false">IF(OR(Calculator!$E$12&lt;&gt;"YES",Calculator!$B$31&lt;Calculator!$G$12),"—",ROUND(MAX((50*POWER(80,POWER(COS(PI()*MOD(Calculator!$B$31/Calculator!$F$12,1)),2)))/$C56,$C56/(50*POWER(80,POWER(COS(PI()*MOD(Calculator!$B$31/Calculator!$F$12,1)),2)))),2))</f>
        <v>1.1</v>
      </c>
      <c r="R56" s="119" t="n">
        <f aca="false">IF(OR(Calculator!$E$13&lt;&gt;"YES",Calculator!$B$31&lt;Calculator!$G$13),"—",ROUND(MAX((50*POWER(80,POWER(COS(PI()*MOD(Calculator!$B$31/Calculator!$F$13,1)),2)))/$C56,$C56/(50*POWER(80,POWER(COS(PI()*MOD(Calculator!$B$31/Calculator!$F$13,1)),2)))),2))</f>
        <v>3.19</v>
      </c>
      <c r="S56" s="119" t="n">
        <f aca="false">IF(OR(Calculator!$E$14&lt;&gt;"YES",Calculator!$B$31&lt;Calculator!$G$14),"—",ROUND(MAX((50*POWER(80,POWER(COS(PI()*MOD(Calculator!$B$31/Calculator!$F$14,1)),2)))/$C56,$C56/(50*POWER(80,POWER(COS(PI()*MOD(Calculator!$B$31/Calculator!$F$14,1)),2)))),2))</f>
        <v>6.66</v>
      </c>
      <c r="T56" s="119" t="n">
        <f aca="false">IF(OR(Calculator!$E$15&lt;&gt;"YES",Calculator!$B$31&lt;Calculator!$G$15),"—",ROUND(MAX((50*POWER(80,POWER(COS(PI()*MOD(Calculator!$B$31/Calculator!$F$15,1)),2)))/$C56,$C56/(50*POWER(80,POWER(COS(PI()*MOD(Calculator!$B$31/Calculator!$F$15,1)),2)))),2))</f>
        <v>4.19</v>
      </c>
      <c r="U56" s="119" t="n">
        <f aca="false">IF(OR(Calculator!$E$16&lt;&gt;"YES",Calculator!$B$31&lt;Calculator!$G$16),"—",ROUND(MAX((50*POWER(80,POWER(COS(PI()*MOD(Calculator!$B$31/Calculator!$F$16,1)),2)))/$C56,$C56/(50*POWER(80,POWER(COS(PI()*MOD(Calculator!$B$31/Calculator!$F$16,1)),2)))),2))</f>
        <v>16.34</v>
      </c>
      <c r="V56" s="119" t="n">
        <f aca="false">IF(OR(Calculator!$E$17&lt;&gt;"YES",Calculator!$B$31&lt;Calculator!$G$17),"—",ROUND(MAX((50*POWER(80,POWER(COS(PI()*MOD(Calculator!$B$31/Calculator!$F$17,1)),2)))/$C56,$C56/(50*POWER(80,POWER(COS(PI()*MOD(Calculator!$B$31/Calculator!$F$17,1)),2)))),2))</f>
        <v>1.74</v>
      </c>
      <c r="W56" s="119" t="n">
        <f aca="false">IF(OR(Calculator!$E$18&lt;&gt;"YES",Calculator!$B$31&lt;Calculator!$G$18),"—",ROUND(MAX((50*POWER(80,POWER(COS(PI()*MOD(Calculator!$B$31/Calculator!$F$18,1)),2)))/$C56,$C56/(50*POWER(80,POWER(COS(PI()*MOD(Calculator!$B$31/Calculator!$F$18,1)),2)))),2))</f>
        <v>1.86</v>
      </c>
      <c r="X56" s="119" t="n">
        <f aca="false">IF(OR(Calculator!$E$19&lt;&gt;"YES",Calculator!$B$31&lt;Calculator!$G$19),"—",ROUND(MAX((50*POWER(80,POWER(COS(PI()*MOD(Calculator!$B$31/Calculator!$F$19,1)),2)))/$C56,$C56/(50*POWER(80,POWER(COS(PI()*MOD(Calculator!$B$31/Calculator!$F$19,1)),2)))),2))</f>
        <v>2.44</v>
      </c>
      <c r="Y56" s="119" t="n">
        <f aca="false">IF(OR(Calculator!$E$20&lt;&gt;"YES",Calculator!$B$31&lt;Calculator!$G$20),"—",ROUND(MAX((50*POWER(80,POWER(COS(PI()*MOD(Calculator!$B$31/Calculator!$F$20,1)),2)))/$C56,$C56/(50*POWER(80,POWER(COS(PI()*MOD(Calculator!$B$31/Calculator!$F$20,1)),2)))),2))</f>
        <v>10.11</v>
      </c>
      <c r="Z56" s="119" t="n">
        <f aca="false">IF(OR(Calculator!$E$21&lt;&gt;"YES",Calculator!$B$31&lt;Calculator!$G$21),"—",ROUND(MAX((50*POWER(80,POWER(COS(PI()*MOD(Calculator!$B$31/Calculator!$F$21,1)),2)))/$C56,$C56/(50*POWER(80,POWER(COS(PI()*MOD(Calculator!$B$31/Calculator!$F$21,1)),2)))),2))</f>
        <v>1.49</v>
      </c>
      <c r="AA56" s="114" t="n">
        <f aca="false">IFERROR(ROUND((IF(ISNUMBER(P56),P56,0)+IF(ISNUMBER(Q56),Q56,0)+IF(ISNUMBER(R56),R56,0)+IF(ISNUMBER(S56),S56,0)+IF(ISNUMBER(T56),T56,0)+IF(ISNUMBER(U56),U56,0)+IF(ISNUMBER(V56),V56,0)+IF(ISNUMBER(W56),W56,0)+IF(ISNUMBER(X56),X56,0)+IF(ISNUMBER(Y56),Y56,0)+IF(ISNUMBER(Z56),Z56,0))/(IF(ISNUMBER(P56),1,0)+IF(ISNUMBER(Q56),1,0)+IF(ISNUMBER(R56),1,0)+IF(ISNUMBER(S56),1,0)+IF(ISNUMBER(T56),1,0)+IF(ISNUMBER(U56),1,0)+IF(ISNUMBER(V56),1,0)+IF(ISNUMBER(W56),1,0)+IF(ISNUMBER(X56),1,0)+IF(ISNUMBER(Y56),1,0)+IF(ISNUMBER(Z56),1,0)),2),"")</f>
        <v>5.72</v>
      </c>
      <c r="AB56" s="119" t="n">
        <f aca="false">IF(OR(Calculator!$E$11&lt;&gt;"YES",Calculator!$B$32&lt;Calculator!$G$11),"—",ROUND(MAX((50*POWER(80,POWER(COS(PI()*MOD(Calculator!$B$32/Calculator!$F$11,1)),2)))/$C56,$C56/(50*POWER(80,POWER(COS(PI()*MOD(Calculator!$B$32/Calculator!$F$11,1)),2)))),2))</f>
        <v>17.32</v>
      </c>
      <c r="AC56" s="119" t="n">
        <f aca="false">IF(OR(Calculator!$E$12&lt;&gt;"YES",Calculator!$B$32&lt;Calculator!$G$12),"—",ROUND(MAX((50*POWER(80,POWER(COS(PI()*MOD(Calculator!$B$32/Calculator!$F$12,1)),2)))/$C56,$C56/(50*POWER(80,POWER(COS(PI()*MOD(Calculator!$B$32/Calculator!$F$12,1)),2)))),2))</f>
        <v>1.68</v>
      </c>
      <c r="AD56" s="119" t="n">
        <f aca="false">IF(OR(Calculator!$E$13&lt;&gt;"YES",Calculator!$B$32&lt;Calculator!$G$13),"—",ROUND(MAX((50*POWER(80,POWER(COS(PI()*MOD(Calculator!$B$32/Calculator!$F$13,1)),2)))/$C56,$C56/(50*POWER(80,POWER(COS(PI()*MOD(Calculator!$B$32/Calculator!$F$13,1)),2)))),2))</f>
        <v>8.84</v>
      </c>
      <c r="AE56" s="119" t="n">
        <f aca="false">IF(OR(Calculator!$E$14&lt;&gt;"YES",Calculator!$B$32&lt;Calculator!$G$14),"—",ROUND(MAX((50*POWER(80,POWER(COS(PI()*MOD(Calculator!$B$32/Calculator!$F$14,1)),2)))/$C56,$C56/(50*POWER(80,POWER(COS(PI()*MOD(Calculator!$B$32/Calculator!$F$14,1)),2)))),2))</f>
        <v>1.61</v>
      </c>
      <c r="AF56" s="119" t="n">
        <f aca="false">IF(OR(Calculator!$E$15&lt;&gt;"YES",Calculator!$B$32&lt;Calculator!$G$15),"—",ROUND(MAX((50*POWER(80,POWER(COS(PI()*MOD(Calculator!$B$32/Calculator!$F$15,1)),2)))/$C56,$C56/(50*POWER(80,POWER(COS(PI()*MOD(Calculator!$B$32/Calculator!$F$15,1)),2)))),2))</f>
        <v>1.61</v>
      </c>
      <c r="AG56" s="119" t="n">
        <f aca="false">IF(OR(Calculator!$E$16&lt;&gt;"YES",Calculator!$B$32&lt;Calculator!$G$16),"—",ROUND(MAX((50*POWER(80,POWER(COS(PI()*MOD(Calculator!$B$32/Calculator!$F$16,1)),2)))/$C56,$C56/(50*POWER(80,POWER(COS(PI()*MOD(Calculator!$B$32/Calculator!$F$16,1)),2)))),2))</f>
        <v>14.11</v>
      </c>
      <c r="AH56" s="119" t="n">
        <f aca="false">IF(OR(Calculator!$E$17&lt;&gt;"YES",Calculator!$B$32&lt;Calculator!$G$17),"—",ROUND(MAX((50*POWER(80,POWER(COS(PI()*MOD(Calculator!$B$32/Calculator!$F$17,1)),2)))/$C56,$C56/(50*POWER(80,POWER(COS(PI()*MOD(Calculator!$B$32/Calculator!$F$17,1)),2)))),2))</f>
        <v>14.89</v>
      </c>
      <c r="AI56" s="119" t="n">
        <f aca="false">IF(OR(Calculator!$E$18&lt;&gt;"YES",Calculator!$B$32&lt;Calculator!$G$18),"—",ROUND(MAX((50*POWER(80,POWER(COS(PI()*MOD(Calculator!$B$32/Calculator!$F$18,1)),2)))/$C56,$C56/(50*POWER(80,POWER(COS(PI()*MOD(Calculator!$B$32/Calculator!$F$18,1)),2)))),2))</f>
        <v>19.64</v>
      </c>
      <c r="AJ56" s="119" t="n">
        <f aca="false">IF(OR(Calculator!$E$19&lt;&gt;"YES",Calculator!$B$32&lt;Calculator!$G$19),"—",ROUND(MAX((50*POWER(80,POWER(COS(PI()*MOD(Calculator!$B$32/Calculator!$F$19,1)),2)))/$C56,$C56/(50*POWER(80,POWER(COS(PI()*MOD(Calculator!$B$32/Calculator!$F$19,1)),2)))),2))</f>
        <v>4.14</v>
      </c>
      <c r="AK56" s="119" t="n">
        <f aca="false">IF(OR(Calculator!$E$20&lt;&gt;"YES",Calculator!$B$32&lt;Calculator!$G$20),"—",ROUND(MAX((50*POWER(80,POWER(COS(PI()*MOD(Calculator!$B$32/Calculator!$F$20,1)),2)))/$C56,$C56/(50*POWER(80,POWER(COS(PI()*MOD(Calculator!$B$32/Calculator!$F$20,1)),2)))),2))</f>
        <v>2.68</v>
      </c>
      <c r="AL56" s="119" t="n">
        <f aca="false">IF(OR(Calculator!$E$21&lt;&gt;"YES",Calculator!$B$32&lt;Calculator!$G$21),"—",ROUND(MAX((50*POWER(80,POWER(COS(PI()*MOD(Calculator!$B$32/Calculator!$F$21,1)),2)))/$C56,$C56/(50*POWER(80,POWER(COS(PI()*MOD(Calculator!$B$32/Calculator!$F$21,1)),2)))),2))</f>
        <v>2.32</v>
      </c>
      <c r="AM56" s="115" t="n">
        <f aca="false">IFERROR(ROUND((IF(ISNUMBER(AB56),AB56,0)+IF(ISNUMBER(AC56),AC56,0)+IF(ISNUMBER(AD56),AD56,0)+IF(ISNUMBER(AE56),AE56,0)+IF(ISNUMBER(AF56),AF56,0)+IF(ISNUMBER(AG56),AG56,0)+IF(ISNUMBER(AH56),AH56,0)+IF(ISNUMBER(AI56),AI56,0)+IF(ISNUMBER(AJ56),AJ56,0)+IF(ISNUMBER(AK56),AK56,0)+IF(ISNUMBER(AL56),AL56,0))/(IF(ISNUMBER(AB56),1,0)+IF(ISNUMBER(AC56),1,0)+IF(ISNUMBER(AD56),1,0)+IF(ISNUMBER(AE56),1,0)+IF(ISNUMBER(AF56),1,0)+IF(ISNUMBER(AG56),1,0)+IF(ISNUMBER(AH56),1,0)+IF(ISNUMBER(AI56),1,0)+IF(ISNUMBER(AJ56),1,0)+IF(ISNUMBER(AK56),1,0)+IF(ISNUMBER(AL56),1,0)),2),"")</f>
        <v>8.08</v>
      </c>
      <c r="AN56" s="120" t="n">
        <f aca="false">IF(OR(Calculator!$E$11&lt;&gt;"YES",Calculator!$B$33&lt;Calculator!$G$11),"—",ROUND(MAX((50*POWER(80,POWER(COS(PI()*MOD(Calculator!$B$33/Calculator!$F$11,1)),2)))/$C56,$C56/(50*POWER(80,POWER(COS(PI()*MOD(Calculator!$B$33/Calculator!$F$11,1)),2)))),2))</f>
        <v>13.92</v>
      </c>
      <c r="AO56" s="120" t="n">
        <f aca="false">IF(OR(Calculator!$E$12&lt;&gt;"YES",Calculator!$B$33&lt;Calculator!$G$12),"—",ROUND(MAX((50*POWER(80,POWER(COS(PI()*MOD(Calculator!$B$33/Calculator!$F$12,1)),2)))/$C56,$C56/(50*POWER(80,POWER(COS(PI()*MOD(Calculator!$B$33/Calculator!$F$12,1)),2)))),2))</f>
        <v>1.07</v>
      </c>
      <c r="AP56" s="120" t="n">
        <f aca="false">IF(OR(Calculator!$E$13&lt;&gt;"YES",Calculator!$B$33&lt;Calculator!$G$13),"—",ROUND(MAX((50*POWER(80,POWER(COS(PI()*MOD(Calculator!$B$33/Calculator!$F$13,1)),2)))/$C56,$C56/(50*POWER(80,POWER(COS(PI()*MOD(Calculator!$B$33/Calculator!$F$13,1)),2)))),2))</f>
        <v>3.36</v>
      </c>
      <c r="AQ56" s="120" t="n">
        <f aca="false">IF(OR(Calculator!$E$14&lt;&gt;"YES",Calculator!$B$33&lt;Calculator!$G$14),"—",ROUND(MAX((50*POWER(80,POWER(COS(PI()*MOD(Calculator!$B$33/Calculator!$F$14,1)),2)))/$C56,$C56/(50*POWER(80,POWER(COS(PI()*MOD(Calculator!$B$33/Calculator!$F$14,1)),2)))),2))</f>
        <v>6.25</v>
      </c>
      <c r="AR56" s="120" t="n">
        <f aca="false">IF(OR(Calculator!$E$15&lt;&gt;"YES",Calculator!$B$33&lt;Calculator!$G$15),"—",ROUND(MAX((50*POWER(80,POWER(COS(PI()*MOD(Calculator!$B$33/Calculator!$F$15,1)),2)))/$C56,$C56/(50*POWER(80,POWER(COS(PI()*MOD(Calculator!$B$33/Calculator!$F$15,1)),2)))),2))</f>
        <v>3.81</v>
      </c>
      <c r="AS56" s="120" t="n">
        <f aca="false">IF(OR(Calculator!$E$16&lt;&gt;"YES",Calculator!$B$33&lt;Calculator!$G$16),"—",ROUND(MAX((50*POWER(80,POWER(COS(PI()*MOD(Calculator!$B$33/Calculator!$F$16,1)),2)))/$C56,$C56/(50*POWER(80,POWER(COS(PI()*MOD(Calculator!$B$33/Calculator!$F$16,1)),2)))),2))</f>
        <v>17.6</v>
      </c>
      <c r="AT56" s="120" t="n">
        <f aca="false">IF(OR(Calculator!$E$17&lt;&gt;"YES",Calculator!$B$33&lt;Calculator!$G$17),"—",ROUND(MAX((50*POWER(80,POWER(COS(PI()*MOD(Calculator!$B$33/Calculator!$F$17,1)),2)))/$C56,$C56/(50*POWER(80,POWER(COS(PI()*MOD(Calculator!$B$33/Calculator!$F$17,1)),2)))),2))</f>
        <v>1.53</v>
      </c>
      <c r="AU56" s="120" t="n">
        <f aca="false">IF(OR(Calculator!$E$18&lt;&gt;"YES",Calculator!$B$33&lt;Calculator!$G$18),"—",ROUND(MAX((50*POWER(80,POWER(COS(PI()*MOD(Calculator!$B$33/Calculator!$F$18,1)),2)))/$C56,$C56/(50*POWER(80,POWER(COS(PI()*MOD(Calculator!$B$33/Calculator!$F$18,1)),2)))),2))</f>
        <v>1.61</v>
      </c>
      <c r="AV56" s="120" t="n">
        <f aca="false">IF(OR(Calculator!$E$19&lt;&gt;"YES",Calculator!$B$33&lt;Calculator!$G$19),"—",ROUND(MAX((50*POWER(80,POWER(COS(PI()*MOD(Calculator!$B$33/Calculator!$F$19,1)),2)))/$C56,$C56/(50*POWER(80,POWER(COS(PI()*MOD(Calculator!$B$33/Calculator!$F$19,1)),2)))),2))</f>
        <v>2.73</v>
      </c>
      <c r="AW56" s="120" t="n">
        <f aca="false">IF(OR(Calculator!$E$20&lt;&gt;"YES",Calculator!$B$33&lt;Calculator!$G$20),"—",ROUND(MAX((50*POWER(80,POWER(COS(PI()*MOD(Calculator!$B$33/Calculator!$F$20,1)),2)))/$C56,$C56/(50*POWER(80,POWER(COS(PI()*MOD(Calculator!$B$33/Calculator!$F$20,1)),2)))),2))</f>
        <v>8.01</v>
      </c>
      <c r="AX56" s="120" t="n">
        <f aca="false">IF(OR(Calculator!$E$21&lt;&gt;"YES",Calculator!$B$33&lt;Calculator!$G$21),"—",ROUND(MAX((50*POWER(80,POWER(COS(PI()*MOD(Calculator!$B$33/Calculator!$F$21,1)),2)))/$C56,$C56/(50*POWER(80,POWER(COS(PI()*MOD(Calculator!$B$33/Calculator!$F$21,1)),2)))),2))</f>
        <v>1.02</v>
      </c>
      <c r="AY56" s="115" t="n">
        <f aca="false">IFERROR(ROUND((IF(ISNUMBER(AN56),AN56,0)+IF(ISNUMBER(AO56),AO56,0)+IF(ISNUMBER(AP56),AP56,0)+IF(ISNUMBER(AQ56),AQ56,0)+IF(ISNUMBER(AR56),AR56,0)+IF(ISNUMBER(AS56),AS56,0)+IF(ISNUMBER(AT56),AT56,0)+IF(ISNUMBER(AU56),AU56,0)+IF(ISNUMBER(AV56),AV56,0)+IF(ISNUMBER(AW56),AW56,0)+IF(ISNUMBER(AX56),AX56,0))/(IF(ISNUMBER(AN56),1,0)+IF(ISNUMBER(AO56),1,0)+IF(ISNUMBER(AP56),1,0)+IF(ISNUMBER(AQ56),1,0)+IF(ISNUMBER(AR56),1,0)+IF(ISNUMBER(AS56),1,0)+IF(ISNUMBER(AT56),1,0)+IF(ISNUMBER(AU56),1,0)+IF(ISNUMBER(AV56),1,0)+IF(ISNUMBER(AW56),1,0)+IF(ISNUMBER(AX56),1,0)),2),"")</f>
        <v>5.54</v>
      </c>
      <c r="AZ56" s="120" t="n">
        <f aca="false">IF(OR(Calculator!$E$11&lt;&gt;"YES",Calculator!$B$34&lt;Calculator!$G$11),"—",ROUND(MAX((50*POWER(80,POWER(COS(PI()*MOD(Calculator!$B$34/Calculator!$F$11,1)),2)))/$C56,$C56/(50*POWER(80,POWER(COS(PI()*MOD(Calculator!$B$34/Calculator!$F$11,1)),2)))),2))</f>
        <v>13.42</v>
      </c>
      <c r="BA56" s="120" t="n">
        <f aca="false">IF(OR(Calculator!$E$12&lt;&gt;"YES",Calculator!$B$34&lt;Calculator!$G$12),"—",ROUND(MAX((50*POWER(80,POWER(COS(PI()*MOD(Calculator!$B$34/Calculator!$F$12,1)),2)))/$C56,$C56/(50*POWER(80,POWER(COS(PI()*MOD(Calculator!$B$34/Calculator!$F$12,1)),2)))),2))</f>
        <v>1.17</v>
      </c>
      <c r="BB56" s="120" t="n">
        <f aca="false">IF(OR(Calculator!$E$13&lt;&gt;"YES",Calculator!$B$34&lt;Calculator!$G$13),"—",ROUND(MAX((50*POWER(80,POWER(COS(PI()*MOD(Calculator!$B$34/Calculator!$F$13,1)),2)))/$C56,$C56/(50*POWER(80,POWER(COS(PI()*MOD(Calculator!$B$34/Calculator!$F$13,1)),2)))),2))</f>
        <v>2.88</v>
      </c>
      <c r="BC56" s="120" t="n">
        <f aca="false">IF(OR(Calculator!$E$14&lt;&gt;"YES",Calculator!$B$34&lt;Calculator!$G$14),"—",ROUND(MAX((50*POWER(80,POWER(COS(PI()*MOD(Calculator!$B$34/Calculator!$F$14,1)),2)))/$C56,$C56/(50*POWER(80,POWER(COS(PI()*MOD(Calculator!$B$34/Calculator!$F$14,1)),2)))),2))</f>
        <v>7.54</v>
      </c>
      <c r="BD56" s="120" t="n">
        <f aca="false">IF(OR(Calculator!$E$15&lt;&gt;"YES",Calculator!$B$34&lt;Calculator!$G$15),"—",ROUND(MAX((50*POWER(80,POWER(COS(PI()*MOD(Calculator!$B$34/Calculator!$F$15,1)),2)))/$C56,$C56/(50*POWER(80,POWER(COS(PI()*MOD(Calculator!$B$34/Calculator!$F$15,1)),2)))),2))</f>
        <v>5.07</v>
      </c>
      <c r="BE56" s="120" t="n">
        <f aca="false">IF(OR(Calculator!$E$16&lt;&gt;"YES",Calculator!$B$34&lt;Calculator!$G$16),"—",ROUND(MAX((50*POWER(80,POWER(COS(PI()*MOD(Calculator!$B$34/Calculator!$F$16,1)),2)))/$C56,$C56/(50*POWER(80,POWER(COS(PI()*MOD(Calculator!$B$34/Calculator!$F$16,1)),2)))),2))</f>
        <v>13.81</v>
      </c>
      <c r="BF56" s="120" t="n">
        <f aca="false">IF(OR(Calculator!$E$17&lt;&gt;"YES",Calculator!$B$34&lt;Calculator!$G$17),"—",ROUND(MAX((50*POWER(80,POWER(COS(PI()*MOD(Calculator!$B$34/Calculator!$F$17,1)),2)))/$C56,$C56/(50*POWER(80,POWER(COS(PI()*MOD(Calculator!$B$34/Calculator!$F$17,1)),2)))),2))</f>
        <v>2.18</v>
      </c>
      <c r="BG56" s="120" t="n">
        <f aca="false">IF(OR(Calculator!$E$18&lt;&gt;"YES",Calculator!$B$34&lt;Calculator!$G$18),"—",ROUND(MAX((50*POWER(80,POWER(COS(PI()*MOD(Calculator!$B$34/Calculator!$F$18,1)),2)))/$C56,$C56/(50*POWER(80,POWER(COS(PI()*MOD(Calculator!$B$34/Calculator!$F$18,1)),2)))),2))</f>
        <v>2.39</v>
      </c>
      <c r="BH56" s="120" t="n">
        <f aca="false">IF(OR(Calculator!$E$19&lt;&gt;"YES",Calculator!$B$34&lt;Calculator!$G$19),"—",ROUND(MAX((50*POWER(80,POWER(COS(PI()*MOD(Calculator!$B$34/Calculator!$F$19,1)),2)))/$C56,$C56/(50*POWER(80,POWER(COS(PI()*MOD(Calculator!$B$34/Calculator!$F$19,1)),2)))),2))</f>
        <v>1.83</v>
      </c>
      <c r="BI56" s="120" t="n">
        <f aca="false">IF(OR(Calculator!$E$20&lt;&gt;"YES",Calculator!$B$34&lt;Calculator!$G$20),"—",ROUND(MAX((50*POWER(80,POWER(COS(PI()*MOD(Calculator!$B$34/Calculator!$F$20,1)),2)))/$C56,$C56/(50*POWER(80,POWER(COS(PI()*MOD(Calculator!$B$34/Calculator!$F$20,1)),2)))),2))</f>
        <v>15.02</v>
      </c>
      <c r="BJ56" s="120" t="n">
        <f aca="false">IF(OR(Calculator!$E$21&lt;&gt;"YES",Calculator!$B$34&lt;Calculator!$G$21),"—",ROUND(MAX((50*POWER(80,POWER(COS(PI()*MOD(Calculator!$B$34/Calculator!$F$21,1)),2)))/$C56,$C56/(50*POWER(80,POWER(COS(PI()*MOD(Calculator!$B$34/Calculator!$F$21,1)),2)))),2))</f>
        <v>2.74</v>
      </c>
      <c r="BK56" s="115" t="n">
        <f aca="false">IFERROR(ROUND((IF(ISNUMBER(AZ56),AZ56,0)+IF(ISNUMBER(BA56),BA56,0)+IF(ISNUMBER(BB56),BB56,0)+IF(ISNUMBER(BC56),BC56,0)+IF(ISNUMBER(BD56),BD56,0)+IF(ISNUMBER(BE56),BE56,0)+IF(ISNUMBER(BF56),BF56,0)+IF(ISNUMBER(BG56),BG56,0)+IF(ISNUMBER(BH56),BH56,0)+IF(ISNUMBER(BI56),BI56,0)+IF(ISNUMBER(BJ56),BJ56,0))/(IF(ISNUMBER(AZ56),1,0)+IF(ISNUMBER(BA56),1,0)+IF(ISNUMBER(BB56),1,0)+IF(ISNUMBER(BC56),1,0)+IF(ISNUMBER(BD56),1,0)+IF(ISNUMBER(BE56),1,0)+IF(ISNUMBER(BF56),1,0)+IF(ISNUMBER(BG56),1,0)+IF(ISNUMBER(BH56),1,0)+IF(ISNUMBER(BI56),1,0)+IF(ISNUMBER(BJ56),1,0)),2),"")</f>
        <v>6.19</v>
      </c>
    </row>
    <row r="57" customFormat="false" ht="15" hidden="false" customHeight="false" outlineLevel="0" collapsed="false">
      <c r="A57" s="107" t="s">
        <v>115</v>
      </c>
      <c r="B57" s="108" t="s">
        <v>92</v>
      </c>
      <c r="C57" s="109" t="n">
        <v>1250</v>
      </c>
      <c r="D57" s="110" t="n">
        <f aca="false">IF(OR(Calculator!$E$11&lt;&gt;"YES",Calculator!$B$30&lt;Calculator!$G$11),"—",ROUND(MAX((50*POWER(80,POWER(COS(PI()*MOD(Calculator!$B$30/Calculator!$F$11,1)),2)))/$C57,$C57/(50*POWER(80,POWER(COS(PI()*MOD(Calculator!$B$30/Calculator!$F$11,1)),2)))),2))</f>
        <v>14.15</v>
      </c>
      <c r="E57" s="110" t="n">
        <f aca="false">IF(OR(Calculator!$E$12&lt;&gt;"YES",Calculator!$B$30&lt;Calculator!$G$12),"—",ROUND(MAX((50*POWER(80,POWER(COS(PI()*MOD(Calculator!$B$30/Calculator!$F$12,1)),2)))/$C57,$C57/(50*POWER(80,POWER(COS(PI()*MOD(Calculator!$B$30/Calculator!$F$12,1)),2)))),2))</f>
        <v>1.18</v>
      </c>
      <c r="F57" s="110" t="n">
        <f aca="false">IF(OR(Calculator!$E$13&lt;&gt;"YES",Calculator!$B$30&lt;Calculator!$G$13),"—",ROUND(MAX((50*POWER(80,POWER(COS(PI()*MOD(Calculator!$B$30/Calculator!$F$13,1)),2)))/$C57,$C57/(50*POWER(80,POWER(COS(PI()*MOD(Calculator!$B$30/Calculator!$F$13,1)),2)))),2))</f>
        <v>3.15</v>
      </c>
      <c r="G57" s="110" t="n">
        <f aca="false">IF(OR(Calculator!$E$14&lt;&gt;"YES",Calculator!$B$30&lt;Calculator!$G$14),"—",ROUND(MAX((50*POWER(80,POWER(COS(PI()*MOD(Calculator!$B$30/Calculator!$F$14,1)),2)))/$C57,$C57/(50*POWER(80,POWER(COS(PI()*MOD(Calculator!$B$30/Calculator!$F$14,1)),2)))),2))</f>
        <v>7.39</v>
      </c>
      <c r="H57" s="110" t="n">
        <f aca="false">IF(OR(Calculator!$E$15&lt;&gt;"YES",Calculator!$B$30&lt;Calculator!$G$15),"—",ROUND(MAX((50*POWER(80,POWER(COS(PI()*MOD(Calculator!$B$30/Calculator!$F$15,1)),2)))/$C57,$C57/(50*POWER(80,POWER(COS(PI()*MOD(Calculator!$B$30/Calculator!$F$15,1)),2)))),2))</f>
        <v>4.8</v>
      </c>
      <c r="I57" s="110" t="n">
        <f aca="false">IF(OR(Calculator!$E$16&lt;&gt;"YES",Calculator!$B$30&lt;Calculator!$G$16),"—",ROUND(MAX((50*POWER(80,POWER(COS(PI()*MOD(Calculator!$B$30/Calculator!$F$16,1)),2)))/$C57,$C57/(50*POWER(80,POWER(COS(PI()*MOD(Calculator!$B$30/Calculator!$F$16,1)),2)))),2))</f>
        <v>15.7</v>
      </c>
      <c r="J57" s="110" t="n">
        <f aca="false">IF(OR(Calculator!$E$17&lt;&gt;"YES",Calculator!$B$30&lt;Calculator!$G$17),"—",ROUND(MAX((50*POWER(80,POWER(COS(PI()*MOD(Calculator!$B$30/Calculator!$F$17,1)),2)))/$C57,$C57/(50*POWER(80,POWER(COS(PI()*MOD(Calculator!$B$30/Calculator!$F$17,1)),2)))),2))</f>
        <v>1.88</v>
      </c>
      <c r="K57" s="110" t="n">
        <f aca="false">IF(OR(Calculator!$E$18&lt;&gt;"YES",Calculator!$B$30&lt;Calculator!$G$18),"—",ROUND(MAX((50*POWER(80,POWER(COS(PI()*MOD(Calculator!$B$30/Calculator!$F$18,1)),2)))/$C57,$C57/(50*POWER(80,POWER(COS(PI()*MOD(Calculator!$B$30/Calculator!$F$18,1)),2)))),2))</f>
        <v>2.04</v>
      </c>
      <c r="L57" s="110" t="n">
        <f aca="false">IF(OR(Calculator!$E$19&lt;&gt;"YES",Calculator!$B$30&lt;Calculator!$G$19),"—",ROUND(MAX((50*POWER(80,POWER(COS(PI()*MOD(Calculator!$B$30/Calculator!$F$19,1)),2)))/$C57,$C57/(50*POWER(80,POWER(COS(PI()*MOD(Calculator!$B$30/Calculator!$F$19,1)),2)))),2))</f>
        <v>2.05</v>
      </c>
      <c r="M57" s="110" t="n">
        <f aca="false">IF(OR(Calculator!$E$20&lt;&gt;"YES",Calculator!$B$30&lt;Calculator!$G$20),"—",ROUND(MAX((50*POWER(80,POWER(COS(PI()*MOD(Calculator!$B$30/Calculator!$F$20,1)),2)))/$C57,$C57/(50*POWER(80,POWER(COS(PI()*MOD(Calculator!$B$30/Calculator!$F$20,1)),2)))),2))</f>
        <v>13</v>
      </c>
      <c r="N57" s="110" t="n">
        <f aca="false">IF(OR(Calculator!$E$21&lt;&gt;"YES",Calculator!$B$30&lt;Calculator!$G$21),"—",ROUND(MAX((50*POWER(80,POWER(COS(PI()*MOD(Calculator!$B$30/Calculator!$F$21,1)),2)))/$C57,$C57/(50*POWER(80,POWER(COS(PI()*MOD(Calculator!$B$30/Calculator!$F$21,1)),2)))),2))</f>
        <v>2.03</v>
      </c>
      <c r="O57" s="111" t="n">
        <f aca="false">IFERROR(ROUND((IF(ISNUMBER(D57),D57,0)+IF(ISNUMBER(E57),E57,0)+IF(ISNUMBER(F57),F57,0)+IF(ISNUMBER(G57),G57,0)+IF(ISNUMBER(H57),H57,0)+IF(ISNUMBER(I57),I57,0)+IF(ISNUMBER(J57),J57,0)+IF(ISNUMBER(K57),K57,0)+IF(ISNUMBER(L57),L57,0)+IF(ISNUMBER(M57),M57,0)+IF(ISNUMBER(N57),N57,0))/(IF(ISNUMBER(D57),1,0)+IF(ISNUMBER(E57),1,0)+IF(ISNUMBER(F57),1,0)+IF(ISNUMBER(G57),1,0)+IF(ISNUMBER(H57),1,0)+IF(ISNUMBER(I57),1,0)+IF(ISNUMBER(J57),1,0)+IF(ISNUMBER(K57),1,0)+IF(ISNUMBER(L57),1,0)+IF(ISNUMBER(M57),1,0)+IF(ISNUMBER(N57),1,0)),2),"")</f>
        <v>6.12</v>
      </c>
      <c r="P57" s="110" t="n">
        <f aca="false">IF(OR(Calculator!$E$11&lt;&gt;"YES",Calculator!$B$31&lt;Calculator!$G$11),"—",ROUND(MAX((50*POWER(80,POWER(COS(PI()*MOD(Calculator!$B$31/Calculator!$F$11,1)),2)))/$C57,$C57/(50*POWER(80,POWER(COS(PI()*MOD(Calculator!$B$31/Calculator!$F$11,1)),2)))),2))</f>
        <v>14.33</v>
      </c>
      <c r="Q57" s="110" t="n">
        <f aca="false">IF(OR(Calculator!$E$12&lt;&gt;"YES",Calculator!$B$31&lt;Calculator!$G$12),"—",ROUND(MAX((50*POWER(80,POWER(COS(PI()*MOD(Calculator!$B$31/Calculator!$F$12,1)),2)))/$C57,$C57/(50*POWER(80,POWER(COS(PI()*MOD(Calculator!$B$31/Calculator!$F$12,1)),2)))),2))</f>
        <v>1.15</v>
      </c>
      <c r="R57" s="110" t="n">
        <f aca="false">IF(OR(Calculator!$E$13&lt;&gt;"YES",Calculator!$B$31&lt;Calculator!$G$13),"—",ROUND(MAX((50*POWER(80,POWER(COS(PI()*MOD(Calculator!$B$31/Calculator!$F$13,1)),2)))/$C57,$C57/(50*POWER(80,POWER(COS(PI()*MOD(Calculator!$B$31/Calculator!$F$13,1)),2)))),2))</f>
        <v>3.32</v>
      </c>
      <c r="S57" s="110" t="n">
        <f aca="false">IF(OR(Calculator!$E$14&lt;&gt;"YES",Calculator!$B$31&lt;Calculator!$G$14),"—",ROUND(MAX((50*POWER(80,POWER(COS(PI()*MOD(Calculator!$B$31/Calculator!$F$14,1)),2)))/$C57,$C57/(50*POWER(80,POWER(COS(PI()*MOD(Calculator!$B$31/Calculator!$F$14,1)),2)))),2))</f>
        <v>6.94</v>
      </c>
      <c r="T57" s="110" t="n">
        <f aca="false">IF(OR(Calculator!$E$15&lt;&gt;"YES",Calculator!$B$31&lt;Calculator!$G$15),"—",ROUND(MAX((50*POWER(80,POWER(COS(PI()*MOD(Calculator!$B$31/Calculator!$F$15,1)),2)))/$C57,$C57/(50*POWER(80,POWER(COS(PI()*MOD(Calculator!$B$31/Calculator!$F$15,1)),2)))),2))</f>
        <v>4.37</v>
      </c>
      <c r="U57" s="110" t="n">
        <f aca="false">IF(OR(Calculator!$E$16&lt;&gt;"YES",Calculator!$B$31&lt;Calculator!$G$16),"—",ROUND(MAX((50*POWER(80,POWER(COS(PI()*MOD(Calculator!$B$31/Calculator!$F$16,1)),2)))/$C57,$C57/(50*POWER(80,POWER(COS(PI()*MOD(Calculator!$B$31/Calculator!$F$16,1)),2)))),2))</f>
        <v>17.03</v>
      </c>
      <c r="V57" s="110" t="n">
        <f aca="false">IF(OR(Calculator!$E$17&lt;&gt;"YES",Calculator!$B$31&lt;Calculator!$G$17),"—",ROUND(MAX((50*POWER(80,POWER(COS(PI()*MOD(Calculator!$B$31/Calculator!$F$17,1)),2)))/$C57,$C57/(50*POWER(80,POWER(COS(PI()*MOD(Calculator!$B$31/Calculator!$F$17,1)),2)))),2))</f>
        <v>1.67</v>
      </c>
      <c r="W57" s="110" t="n">
        <f aca="false">IF(OR(Calculator!$E$18&lt;&gt;"YES",Calculator!$B$31&lt;Calculator!$G$18),"—",ROUND(MAX((50*POWER(80,POWER(COS(PI()*MOD(Calculator!$B$31/Calculator!$F$18,1)),2)))/$C57,$C57/(50*POWER(80,POWER(COS(PI()*MOD(Calculator!$B$31/Calculator!$F$18,1)),2)))),2))</f>
        <v>1.79</v>
      </c>
      <c r="X57" s="110" t="n">
        <f aca="false">IF(OR(Calculator!$E$19&lt;&gt;"YES",Calculator!$B$31&lt;Calculator!$G$19),"—",ROUND(MAX((50*POWER(80,POWER(COS(PI()*MOD(Calculator!$B$31/Calculator!$F$19,1)),2)))/$C57,$C57/(50*POWER(80,POWER(COS(PI()*MOD(Calculator!$B$31/Calculator!$F$19,1)),2)))),2))</f>
        <v>2.35</v>
      </c>
      <c r="Y57" s="110" t="n">
        <f aca="false">IF(OR(Calculator!$E$20&lt;&gt;"YES",Calculator!$B$31&lt;Calculator!$G$20),"—",ROUND(MAX((50*POWER(80,POWER(COS(PI()*MOD(Calculator!$B$31/Calculator!$F$20,1)),2)))/$C57,$C57/(50*POWER(80,POWER(COS(PI()*MOD(Calculator!$B$31/Calculator!$F$20,1)),2)))),2))</f>
        <v>10.53</v>
      </c>
      <c r="Z57" s="110" t="n">
        <f aca="false">IF(OR(Calculator!$E$21&lt;&gt;"YES",Calculator!$B$31&lt;Calculator!$G$21),"—",ROUND(MAX((50*POWER(80,POWER(COS(PI()*MOD(Calculator!$B$31/Calculator!$F$21,1)),2)))/$C57,$C57/(50*POWER(80,POWER(COS(PI()*MOD(Calculator!$B$31/Calculator!$F$21,1)),2)))),2))</f>
        <v>1.43</v>
      </c>
      <c r="AA57" s="111" t="n">
        <f aca="false">IFERROR(ROUND((IF(ISNUMBER(P57),P57,0)+IF(ISNUMBER(Q57),Q57,0)+IF(ISNUMBER(R57),R57,0)+IF(ISNUMBER(S57),S57,0)+IF(ISNUMBER(T57),T57,0)+IF(ISNUMBER(U57),U57,0)+IF(ISNUMBER(V57),V57,0)+IF(ISNUMBER(W57),W57,0)+IF(ISNUMBER(X57),X57,0)+IF(ISNUMBER(Y57),Y57,0)+IF(ISNUMBER(Z57),Z57,0))/(IF(ISNUMBER(P57),1,0)+IF(ISNUMBER(Q57),1,0)+IF(ISNUMBER(R57),1,0)+IF(ISNUMBER(S57),1,0)+IF(ISNUMBER(T57),1,0)+IF(ISNUMBER(U57),1,0)+IF(ISNUMBER(V57),1,0)+IF(ISNUMBER(W57),1,0)+IF(ISNUMBER(X57),1,0)+IF(ISNUMBER(Y57),1,0)+IF(ISNUMBER(Z57),1,0)),2),"")</f>
        <v>5.9</v>
      </c>
      <c r="AB57" s="110" t="n">
        <f aca="false">IF(OR(Calculator!$E$11&lt;&gt;"YES",Calculator!$B$32&lt;Calculator!$G$11),"—",ROUND(MAX((50*POWER(80,POWER(COS(PI()*MOD(Calculator!$B$32/Calculator!$F$11,1)),2)))/$C57,$C57/(50*POWER(80,POWER(COS(PI()*MOD(Calculator!$B$32/Calculator!$F$11,1)),2)))),2))</f>
        <v>18.04</v>
      </c>
      <c r="AC57" s="110" t="n">
        <f aca="false">IF(OR(Calculator!$E$12&lt;&gt;"YES",Calculator!$B$32&lt;Calculator!$G$12),"—",ROUND(MAX((50*POWER(80,POWER(COS(PI()*MOD(Calculator!$B$32/Calculator!$F$12,1)),2)))/$C57,$C57/(50*POWER(80,POWER(COS(PI()*MOD(Calculator!$B$32/Calculator!$F$12,1)),2)))),2))</f>
        <v>1.61</v>
      </c>
      <c r="AD57" s="110" t="n">
        <f aca="false">IF(OR(Calculator!$E$13&lt;&gt;"YES",Calculator!$B$32&lt;Calculator!$G$13),"—",ROUND(MAX((50*POWER(80,POWER(COS(PI()*MOD(Calculator!$B$32/Calculator!$F$13,1)),2)))/$C57,$C57/(50*POWER(80,POWER(COS(PI()*MOD(Calculator!$B$32/Calculator!$F$13,1)),2)))),2))</f>
        <v>9.2</v>
      </c>
      <c r="AE57" s="110" t="n">
        <f aca="false">IF(OR(Calculator!$E$14&lt;&gt;"YES",Calculator!$B$32&lt;Calculator!$G$14),"—",ROUND(MAX((50*POWER(80,POWER(COS(PI()*MOD(Calculator!$B$32/Calculator!$F$14,1)),2)))/$C57,$C57/(50*POWER(80,POWER(COS(PI()*MOD(Calculator!$B$32/Calculator!$F$14,1)),2)))),2))</f>
        <v>1.68</v>
      </c>
      <c r="AF57" s="110" t="n">
        <f aca="false">IF(OR(Calculator!$E$15&lt;&gt;"YES",Calculator!$B$32&lt;Calculator!$G$15),"—",ROUND(MAX((50*POWER(80,POWER(COS(PI()*MOD(Calculator!$B$32/Calculator!$F$15,1)),2)))/$C57,$C57/(50*POWER(80,POWER(COS(PI()*MOD(Calculator!$B$32/Calculator!$F$15,1)),2)))),2))</f>
        <v>1.55</v>
      </c>
      <c r="AG57" s="110" t="n">
        <f aca="false">IF(OR(Calculator!$E$16&lt;&gt;"YES",Calculator!$B$32&lt;Calculator!$G$16),"—",ROUND(MAX((50*POWER(80,POWER(COS(PI()*MOD(Calculator!$B$32/Calculator!$F$16,1)),2)))/$C57,$C57/(50*POWER(80,POWER(COS(PI()*MOD(Calculator!$B$32/Calculator!$F$16,1)),2)))),2))</f>
        <v>14.7</v>
      </c>
      <c r="AH57" s="110" t="n">
        <f aca="false">IF(OR(Calculator!$E$17&lt;&gt;"YES",Calculator!$B$32&lt;Calculator!$G$17),"—",ROUND(MAX((50*POWER(80,POWER(COS(PI()*MOD(Calculator!$B$32/Calculator!$F$17,1)),2)))/$C57,$C57/(50*POWER(80,POWER(COS(PI()*MOD(Calculator!$B$32/Calculator!$F$17,1)),2)))),2))</f>
        <v>15.51</v>
      </c>
      <c r="AI57" s="110" t="n">
        <f aca="false">IF(OR(Calculator!$E$18&lt;&gt;"YES",Calculator!$B$32&lt;Calculator!$G$18),"—",ROUND(MAX((50*POWER(80,POWER(COS(PI()*MOD(Calculator!$B$32/Calculator!$F$18,1)),2)))/$C57,$C57/(50*POWER(80,POWER(COS(PI()*MOD(Calculator!$B$32/Calculator!$F$18,1)),2)))),2))</f>
        <v>20.46</v>
      </c>
      <c r="AJ57" s="110" t="n">
        <f aca="false">IF(OR(Calculator!$E$19&lt;&gt;"YES",Calculator!$B$32&lt;Calculator!$G$19),"—",ROUND(MAX((50*POWER(80,POWER(COS(PI()*MOD(Calculator!$B$32/Calculator!$F$19,1)),2)))/$C57,$C57/(50*POWER(80,POWER(COS(PI()*MOD(Calculator!$B$32/Calculator!$F$19,1)),2)))),2))</f>
        <v>4.31</v>
      </c>
      <c r="AK57" s="110" t="n">
        <f aca="false">IF(OR(Calculator!$E$20&lt;&gt;"YES",Calculator!$B$32&lt;Calculator!$G$20),"—",ROUND(MAX((50*POWER(80,POWER(COS(PI()*MOD(Calculator!$B$32/Calculator!$F$20,1)),2)))/$C57,$C57/(50*POWER(80,POWER(COS(PI()*MOD(Calculator!$B$32/Calculator!$F$20,1)),2)))),2))</f>
        <v>2.57</v>
      </c>
      <c r="AL57" s="110" t="n">
        <f aca="false">IF(OR(Calculator!$E$21&lt;&gt;"YES",Calculator!$B$32&lt;Calculator!$G$21),"—",ROUND(MAX((50*POWER(80,POWER(COS(PI()*MOD(Calculator!$B$32/Calculator!$F$21,1)),2)))/$C57,$C57/(50*POWER(80,POWER(COS(PI()*MOD(Calculator!$B$32/Calculator!$F$21,1)),2)))),2))</f>
        <v>2.23</v>
      </c>
      <c r="AM57" s="112" t="n">
        <f aca="false">IFERROR(ROUND((IF(ISNUMBER(AB57),AB57,0)+IF(ISNUMBER(AC57),AC57,0)+IF(ISNUMBER(AD57),AD57,0)+IF(ISNUMBER(AE57),AE57,0)+IF(ISNUMBER(AF57),AF57,0)+IF(ISNUMBER(AG57),AG57,0)+IF(ISNUMBER(AH57),AH57,0)+IF(ISNUMBER(AI57),AI57,0)+IF(ISNUMBER(AJ57),AJ57,0)+IF(ISNUMBER(AK57),AK57,0)+IF(ISNUMBER(AL57),AL57,0))/(IF(ISNUMBER(AB57),1,0)+IF(ISNUMBER(AC57),1,0)+IF(ISNUMBER(AD57),1,0)+IF(ISNUMBER(AE57),1,0)+IF(ISNUMBER(AF57),1,0)+IF(ISNUMBER(AG57),1,0)+IF(ISNUMBER(AH57),1,0)+IF(ISNUMBER(AI57),1,0)+IF(ISNUMBER(AJ57),1,0)+IF(ISNUMBER(AK57),1,0)+IF(ISNUMBER(AL57),1,0)),2),"")</f>
        <v>8.35</v>
      </c>
      <c r="AN57" s="113" t="n">
        <f aca="false">IF(OR(Calculator!$E$11&lt;&gt;"YES",Calculator!$B$33&lt;Calculator!$G$11),"—",ROUND(MAX((50*POWER(80,POWER(COS(PI()*MOD(Calculator!$B$33/Calculator!$F$11,1)),2)))/$C57,$C57/(50*POWER(80,POWER(COS(PI()*MOD(Calculator!$B$33/Calculator!$F$11,1)),2)))),2))</f>
        <v>14.5</v>
      </c>
      <c r="AO57" s="113" t="n">
        <f aca="false">IF(OR(Calculator!$E$12&lt;&gt;"YES",Calculator!$B$33&lt;Calculator!$G$12),"—",ROUND(MAX((50*POWER(80,POWER(COS(PI()*MOD(Calculator!$B$33/Calculator!$F$12,1)),2)))/$C57,$C57/(50*POWER(80,POWER(COS(PI()*MOD(Calculator!$B$33/Calculator!$F$12,1)),2)))),2))</f>
        <v>1.11</v>
      </c>
      <c r="AP57" s="113" t="n">
        <f aca="false">IF(OR(Calculator!$E$13&lt;&gt;"YES",Calculator!$B$33&lt;Calculator!$G$13),"—",ROUND(MAX((50*POWER(80,POWER(COS(PI()*MOD(Calculator!$B$33/Calculator!$F$13,1)),2)))/$C57,$C57/(50*POWER(80,POWER(COS(PI()*MOD(Calculator!$B$33/Calculator!$F$13,1)),2)))),2))</f>
        <v>3.5</v>
      </c>
      <c r="AQ57" s="113" t="n">
        <f aca="false">IF(OR(Calculator!$E$14&lt;&gt;"YES",Calculator!$B$33&lt;Calculator!$G$14),"—",ROUND(MAX((50*POWER(80,POWER(COS(PI()*MOD(Calculator!$B$33/Calculator!$F$14,1)),2)))/$C57,$C57/(50*POWER(80,POWER(COS(PI()*MOD(Calculator!$B$33/Calculator!$F$14,1)),2)))),2))</f>
        <v>6.51</v>
      </c>
      <c r="AR57" s="113" t="n">
        <f aca="false">IF(OR(Calculator!$E$15&lt;&gt;"YES",Calculator!$B$33&lt;Calculator!$G$15),"—",ROUND(MAX((50*POWER(80,POWER(COS(PI()*MOD(Calculator!$B$33/Calculator!$F$15,1)),2)))/$C57,$C57/(50*POWER(80,POWER(COS(PI()*MOD(Calculator!$B$33/Calculator!$F$15,1)),2)))),2))</f>
        <v>3.97</v>
      </c>
      <c r="AS57" s="113" t="n">
        <f aca="false">IF(OR(Calculator!$E$16&lt;&gt;"YES",Calculator!$B$33&lt;Calculator!$G$16),"—",ROUND(MAX((50*POWER(80,POWER(COS(PI()*MOD(Calculator!$B$33/Calculator!$F$16,1)),2)))/$C57,$C57/(50*POWER(80,POWER(COS(PI()*MOD(Calculator!$B$33/Calculator!$F$16,1)),2)))),2))</f>
        <v>18.33</v>
      </c>
      <c r="AT57" s="113" t="n">
        <f aca="false">IF(OR(Calculator!$E$17&lt;&gt;"YES",Calculator!$B$33&lt;Calculator!$G$17),"—",ROUND(MAX((50*POWER(80,POWER(COS(PI()*MOD(Calculator!$B$33/Calculator!$F$17,1)),2)))/$C57,$C57/(50*POWER(80,POWER(COS(PI()*MOD(Calculator!$B$33/Calculator!$F$17,1)),2)))),2))</f>
        <v>1.47</v>
      </c>
      <c r="AU57" s="113" t="n">
        <f aca="false">IF(OR(Calculator!$E$18&lt;&gt;"YES",Calculator!$B$33&lt;Calculator!$G$18),"—",ROUND(MAX((50*POWER(80,POWER(COS(PI()*MOD(Calculator!$B$33/Calculator!$F$18,1)),2)))/$C57,$C57/(50*POWER(80,POWER(COS(PI()*MOD(Calculator!$B$33/Calculator!$F$18,1)),2)))),2))</f>
        <v>1.55</v>
      </c>
      <c r="AV57" s="113" t="n">
        <f aca="false">IF(OR(Calculator!$E$19&lt;&gt;"YES",Calculator!$B$33&lt;Calculator!$G$19),"—",ROUND(MAX((50*POWER(80,POWER(COS(PI()*MOD(Calculator!$B$33/Calculator!$F$19,1)),2)))/$C57,$C57/(50*POWER(80,POWER(COS(PI()*MOD(Calculator!$B$33/Calculator!$F$19,1)),2)))),2))</f>
        <v>2.62</v>
      </c>
      <c r="AW57" s="113" t="n">
        <f aca="false">IF(OR(Calculator!$E$20&lt;&gt;"YES",Calculator!$B$33&lt;Calculator!$G$20),"—",ROUND(MAX((50*POWER(80,POWER(COS(PI()*MOD(Calculator!$B$33/Calculator!$F$20,1)),2)))/$C57,$C57/(50*POWER(80,POWER(COS(PI()*MOD(Calculator!$B$33/Calculator!$F$20,1)),2)))),2))</f>
        <v>8.35</v>
      </c>
      <c r="AX57" s="113" t="n">
        <f aca="false">IF(OR(Calculator!$E$21&lt;&gt;"YES",Calculator!$B$33&lt;Calculator!$G$21),"—",ROUND(MAX((50*POWER(80,POWER(COS(PI()*MOD(Calculator!$B$33/Calculator!$F$21,1)),2)))/$C57,$C57/(50*POWER(80,POWER(COS(PI()*MOD(Calculator!$B$33/Calculator!$F$21,1)),2)))),2))</f>
        <v>1.07</v>
      </c>
      <c r="AY57" s="112" t="n">
        <f aca="false">IFERROR(ROUND((IF(ISNUMBER(AN57),AN57,0)+IF(ISNUMBER(AO57),AO57,0)+IF(ISNUMBER(AP57),AP57,0)+IF(ISNUMBER(AQ57),AQ57,0)+IF(ISNUMBER(AR57),AR57,0)+IF(ISNUMBER(AS57),AS57,0)+IF(ISNUMBER(AT57),AT57,0)+IF(ISNUMBER(AU57),AU57,0)+IF(ISNUMBER(AV57),AV57,0)+IF(ISNUMBER(AW57),AW57,0)+IF(ISNUMBER(AX57),AX57,0))/(IF(ISNUMBER(AN57),1,0)+IF(ISNUMBER(AO57),1,0)+IF(ISNUMBER(AP57),1,0)+IF(ISNUMBER(AQ57),1,0)+IF(ISNUMBER(AR57),1,0)+IF(ISNUMBER(AS57),1,0)+IF(ISNUMBER(AT57),1,0)+IF(ISNUMBER(AU57),1,0)+IF(ISNUMBER(AV57),1,0)+IF(ISNUMBER(AW57),1,0)+IF(ISNUMBER(AX57),1,0)),2),"")</f>
        <v>5.73</v>
      </c>
      <c r="AZ57" s="113" t="n">
        <f aca="false">IF(OR(Calculator!$E$11&lt;&gt;"YES",Calculator!$B$34&lt;Calculator!$G$11),"—",ROUND(MAX((50*POWER(80,POWER(COS(PI()*MOD(Calculator!$B$34/Calculator!$F$11,1)),2)))/$C57,$C57/(50*POWER(80,POWER(COS(PI()*MOD(Calculator!$B$34/Calculator!$F$11,1)),2)))),2))</f>
        <v>13.98</v>
      </c>
      <c r="BA57" s="113" t="n">
        <f aca="false">IF(OR(Calculator!$E$12&lt;&gt;"YES",Calculator!$B$34&lt;Calculator!$G$12),"—",ROUND(MAX((50*POWER(80,POWER(COS(PI()*MOD(Calculator!$B$34/Calculator!$F$12,1)),2)))/$C57,$C57/(50*POWER(80,POWER(COS(PI()*MOD(Calculator!$B$34/Calculator!$F$12,1)),2)))),2))</f>
        <v>1.22</v>
      </c>
      <c r="BB57" s="113" t="n">
        <f aca="false">IF(OR(Calculator!$E$13&lt;&gt;"YES",Calculator!$B$34&lt;Calculator!$G$13),"—",ROUND(MAX((50*POWER(80,POWER(COS(PI()*MOD(Calculator!$B$34/Calculator!$F$13,1)),2)))/$C57,$C57/(50*POWER(80,POWER(COS(PI()*MOD(Calculator!$B$34/Calculator!$F$13,1)),2)))),2))</f>
        <v>3</v>
      </c>
      <c r="BC57" s="113" t="n">
        <f aca="false">IF(OR(Calculator!$E$14&lt;&gt;"YES",Calculator!$B$34&lt;Calculator!$G$14),"—",ROUND(MAX((50*POWER(80,POWER(COS(PI()*MOD(Calculator!$B$34/Calculator!$F$14,1)),2)))/$C57,$C57/(50*POWER(80,POWER(COS(PI()*MOD(Calculator!$B$34/Calculator!$F$14,1)),2)))),2))</f>
        <v>7.85</v>
      </c>
      <c r="BD57" s="113" t="n">
        <f aca="false">IF(OR(Calculator!$E$15&lt;&gt;"YES",Calculator!$B$34&lt;Calculator!$G$15),"—",ROUND(MAX((50*POWER(80,POWER(COS(PI()*MOD(Calculator!$B$34/Calculator!$F$15,1)),2)))/$C57,$C57/(50*POWER(80,POWER(COS(PI()*MOD(Calculator!$B$34/Calculator!$F$15,1)),2)))),2))</f>
        <v>5.28</v>
      </c>
      <c r="BE57" s="113" t="n">
        <f aca="false">IF(OR(Calculator!$E$16&lt;&gt;"YES",Calculator!$B$34&lt;Calculator!$G$16),"—",ROUND(MAX((50*POWER(80,POWER(COS(PI()*MOD(Calculator!$B$34/Calculator!$F$16,1)),2)))/$C57,$C57/(50*POWER(80,POWER(COS(PI()*MOD(Calculator!$B$34/Calculator!$F$16,1)),2)))),2))</f>
        <v>14.38</v>
      </c>
      <c r="BF57" s="113" t="n">
        <f aca="false">IF(OR(Calculator!$E$17&lt;&gt;"YES",Calculator!$B$34&lt;Calculator!$G$17),"—",ROUND(MAX((50*POWER(80,POWER(COS(PI()*MOD(Calculator!$B$34/Calculator!$F$17,1)),2)))/$C57,$C57/(50*POWER(80,POWER(COS(PI()*MOD(Calculator!$B$34/Calculator!$F$17,1)),2)))),2))</f>
        <v>2.1</v>
      </c>
      <c r="BG57" s="113" t="n">
        <f aca="false">IF(OR(Calculator!$E$18&lt;&gt;"YES",Calculator!$B$34&lt;Calculator!$G$18),"—",ROUND(MAX((50*POWER(80,POWER(COS(PI()*MOD(Calculator!$B$34/Calculator!$F$18,1)),2)))/$C57,$C57/(50*POWER(80,POWER(COS(PI()*MOD(Calculator!$B$34/Calculator!$F$18,1)),2)))),2))</f>
        <v>2.29</v>
      </c>
      <c r="BH57" s="113" t="n">
        <f aca="false">IF(OR(Calculator!$E$19&lt;&gt;"YES",Calculator!$B$34&lt;Calculator!$G$19),"—",ROUND(MAX((50*POWER(80,POWER(COS(PI()*MOD(Calculator!$B$34/Calculator!$F$19,1)),2)))/$C57,$C57/(50*POWER(80,POWER(COS(PI()*MOD(Calculator!$B$34/Calculator!$F$19,1)),2)))),2))</f>
        <v>1.75</v>
      </c>
      <c r="BI57" s="113" t="n">
        <f aca="false">IF(OR(Calculator!$E$20&lt;&gt;"YES",Calculator!$B$34&lt;Calculator!$G$20),"—",ROUND(MAX((50*POWER(80,POWER(COS(PI()*MOD(Calculator!$B$34/Calculator!$F$20,1)),2)))/$C57,$C57/(50*POWER(80,POWER(COS(PI()*MOD(Calculator!$B$34/Calculator!$F$20,1)),2)))),2))</f>
        <v>15.65</v>
      </c>
      <c r="BJ57" s="113" t="n">
        <f aca="false">IF(OR(Calculator!$E$21&lt;&gt;"YES",Calculator!$B$34&lt;Calculator!$G$21),"—",ROUND(MAX((50*POWER(80,POWER(COS(PI()*MOD(Calculator!$B$34/Calculator!$F$21,1)),2)))/$C57,$C57/(50*POWER(80,POWER(COS(PI()*MOD(Calculator!$B$34/Calculator!$F$21,1)),2)))),2))</f>
        <v>2.63</v>
      </c>
      <c r="BK57" s="112" t="n">
        <f aca="false">IFERROR(ROUND((IF(ISNUMBER(AZ57),AZ57,0)+IF(ISNUMBER(BA57),BA57,0)+IF(ISNUMBER(BB57),BB57,0)+IF(ISNUMBER(BC57),BC57,0)+IF(ISNUMBER(BD57),BD57,0)+IF(ISNUMBER(BE57),BE57,0)+IF(ISNUMBER(BF57),BF57,0)+IF(ISNUMBER(BG57),BG57,0)+IF(ISNUMBER(BH57),BH57,0)+IF(ISNUMBER(BI57),BI57,0)+IF(ISNUMBER(BJ57),BJ57,0))/(IF(ISNUMBER(AZ57),1,0)+IF(ISNUMBER(BA57),1,0)+IF(ISNUMBER(BB57),1,0)+IF(ISNUMBER(BC57),1,0)+IF(ISNUMBER(BD57),1,0)+IF(ISNUMBER(BE57),1,0)+IF(ISNUMBER(BF57),1,0)+IF(ISNUMBER(BG57),1,0)+IF(ISNUMBER(BH57),1,0)+IF(ISNUMBER(BI57),1,0)+IF(ISNUMBER(BJ57),1,0)),2),"")</f>
        <v>6.38</v>
      </c>
    </row>
    <row r="58" customFormat="false" ht="15" hidden="false" customHeight="false" outlineLevel="0" collapsed="false">
      <c r="A58" s="117" t="s">
        <v>116</v>
      </c>
      <c r="B58" s="117" t="s">
        <v>93</v>
      </c>
      <c r="C58" s="118" t="n">
        <v>1300</v>
      </c>
      <c r="D58" s="119" t="n">
        <f aca="false">IF(OR(Calculator!$E$11&lt;&gt;"YES",Calculator!$B$30&lt;Calculator!$G$11),"—",ROUND(MAX((50*POWER(80,POWER(COS(PI()*MOD(Calculator!$B$30/Calculator!$F$11,1)),2)))/$C58,$C58/(50*POWER(80,POWER(COS(PI()*MOD(Calculator!$B$30/Calculator!$F$11,1)),2)))),2))</f>
        <v>14.72</v>
      </c>
      <c r="E58" s="119" t="n">
        <f aca="false">IF(OR(Calculator!$E$12&lt;&gt;"YES",Calculator!$B$30&lt;Calculator!$G$12),"—",ROUND(MAX((50*POWER(80,POWER(COS(PI()*MOD(Calculator!$B$30/Calculator!$F$12,1)),2)))/$C58,$C58/(50*POWER(80,POWER(COS(PI()*MOD(Calculator!$B$30/Calculator!$F$12,1)),2)))),2))</f>
        <v>1.23</v>
      </c>
      <c r="F58" s="119" t="n">
        <f aca="false">IF(OR(Calculator!$E$13&lt;&gt;"YES",Calculator!$B$30&lt;Calculator!$G$13),"—",ROUND(MAX((50*POWER(80,POWER(COS(PI()*MOD(Calculator!$B$30/Calculator!$F$13,1)),2)))/$C58,$C58/(50*POWER(80,POWER(COS(PI()*MOD(Calculator!$B$30/Calculator!$F$13,1)),2)))),2))</f>
        <v>3.28</v>
      </c>
      <c r="G58" s="119" t="n">
        <f aca="false">IF(OR(Calculator!$E$14&lt;&gt;"YES",Calculator!$B$30&lt;Calculator!$G$14),"—",ROUND(MAX((50*POWER(80,POWER(COS(PI()*MOD(Calculator!$B$30/Calculator!$F$14,1)),2)))/$C58,$C58/(50*POWER(80,POWER(COS(PI()*MOD(Calculator!$B$30/Calculator!$F$14,1)),2)))),2))</f>
        <v>7.68</v>
      </c>
      <c r="H58" s="119" t="n">
        <f aca="false">IF(OR(Calculator!$E$15&lt;&gt;"YES",Calculator!$B$30&lt;Calculator!$G$15),"—",ROUND(MAX((50*POWER(80,POWER(COS(PI()*MOD(Calculator!$B$30/Calculator!$F$15,1)),2)))/$C58,$C58/(50*POWER(80,POWER(COS(PI()*MOD(Calculator!$B$30/Calculator!$F$15,1)),2)))),2))</f>
        <v>5</v>
      </c>
      <c r="I58" s="119" t="n">
        <f aca="false">IF(OR(Calculator!$E$16&lt;&gt;"YES",Calculator!$B$30&lt;Calculator!$G$16),"—",ROUND(MAX((50*POWER(80,POWER(COS(PI()*MOD(Calculator!$B$30/Calculator!$F$16,1)),2)))/$C58,$C58/(50*POWER(80,POWER(COS(PI()*MOD(Calculator!$B$30/Calculator!$F$16,1)),2)))),2))</f>
        <v>16.33</v>
      </c>
      <c r="J58" s="119" t="n">
        <f aca="false">IF(OR(Calculator!$E$17&lt;&gt;"YES",Calculator!$B$30&lt;Calculator!$G$17),"—",ROUND(MAX((50*POWER(80,POWER(COS(PI()*MOD(Calculator!$B$30/Calculator!$F$17,1)),2)))/$C58,$C58/(50*POWER(80,POWER(COS(PI()*MOD(Calculator!$B$30/Calculator!$F$17,1)),2)))),2))</f>
        <v>1.81</v>
      </c>
      <c r="K58" s="119" t="n">
        <f aca="false">IF(OR(Calculator!$E$18&lt;&gt;"YES",Calculator!$B$30&lt;Calculator!$G$18),"—",ROUND(MAX((50*POWER(80,POWER(COS(PI()*MOD(Calculator!$B$30/Calculator!$F$18,1)),2)))/$C58,$C58/(50*POWER(80,POWER(COS(PI()*MOD(Calculator!$B$30/Calculator!$F$18,1)),2)))),2))</f>
        <v>1.96</v>
      </c>
      <c r="L58" s="119" t="n">
        <f aca="false">IF(OR(Calculator!$E$19&lt;&gt;"YES",Calculator!$B$30&lt;Calculator!$G$19),"—",ROUND(MAX((50*POWER(80,POWER(COS(PI()*MOD(Calculator!$B$30/Calculator!$F$19,1)),2)))/$C58,$C58/(50*POWER(80,POWER(COS(PI()*MOD(Calculator!$B$30/Calculator!$F$19,1)),2)))),2))</f>
        <v>1.97</v>
      </c>
      <c r="M58" s="119" t="n">
        <f aca="false">IF(OR(Calculator!$E$20&lt;&gt;"YES",Calculator!$B$30&lt;Calculator!$G$20),"—",ROUND(MAX((50*POWER(80,POWER(COS(PI()*MOD(Calculator!$B$30/Calculator!$F$20,1)),2)))/$C58,$C58/(50*POWER(80,POWER(COS(PI()*MOD(Calculator!$B$30/Calculator!$F$20,1)),2)))),2))</f>
        <v>13.52</v>
      </c>
      <c r="N58" s="119" t="n">
        <f aca="false">IF(OR(Calculator!$E$21&lt;&gt;"YES",Calculator!$B$30&lt;Calculator!$G$21),"—",ROUND(MAX((50*POWER(80,POWER(COS(PI()*MOD(Calculator!$B$30/Calculator!$F$21,1)),2)))/$C58,$C58/(50*POWER(80,POWER(COS(PI()*MOD(Calculator!$B$30/Calculator!$F$21,1)),2)))),2))</f>
        <v>1.95</v>
      </c>
      <c r="O58" s="114" t="n">
        <f aca="false">IFERROR(ROUND((IF(ISNUMBER(D58),D58,0)+IF(ISNUMBER(E58),E58,0)+IF(ISNUMBER(F58),F58,0)+IF(ISNUMBER(G58),G58,0)+IF(ISNUMBER(H58),H58,0)+IF(ISNUMBER(I58),I58,0)+IF(ISNUMBER(J58),J58,0)+IF(ISNUMBER(K58),K58,0)+IF(ISNUMBER(L58),L58,0)+IF(ISNUMBER(M58),M58,0)+IF(ISNUMBER(N58),N58,0))/(IF(ISNUMBER(D58),1,0)+IF(ISNUMBER(E58),1,0)+IF(ISNUMBER(F58),1,0)+IF(ISNUMBER(G58),1,0)+IF(ISNUMBER(H58),1,0)+IF(ISNUMBER(I58),1,0)+IF(ISNUMBER(J58),1,0)+IF(ISNUMBER(K58),1,0)+IF(ISNUMBER(L58),1,0)+IF(ISNUMBER(M58),1,0)+IF(ISNUMBER(N58),1,0)),2),"")</f>
        <v>6.31</v>
      </c>
      <c r="P58" s="119" t="n">
        <f aca="false">IF(OR(Calculator!$E$11&lt;&gt;"YES",Calculator!$B$31&lt;Calculator!$G$11),"—",ROUND(MAX((50*POWER(80,POWER(COS(PI()*MOD(Calculator!$B$31/Calculator!$F$11,1)),2)))/$C58,$C58/(50*POWER(80,POWER(COS(PI()*MOD(Calculator!$B$31/Calculator!$F$11,1)),2)))),2))</f>
        <v>14.9</v>
      </c>
      <c r="Q58" s="119" t="n">
        <f aca="false">IF(OR(Calculator!$E$12&lt;&gt;"YES",Calculator!$B$31&lt;Calculator!$G$12),"—",ROUND(MAX((50*POWER(80,POWER(COS(PI()*MOD(Calculator!$B$31/Calculator!$F$12,1)),2)))/$C58,$C58/(50*POWER(80,POWER(COS(PI()*MOD(Calculator!$B$31/Calculator!$F$12,1)),2)))),2))</f>
        <v>1.19</v>
      </c>
      <c r="R58" s="119" t="n">
        <f aca="false">IF(OR(Calculator!$E$13&lt;&gt;"YES",Calculator!$B$31&lt;Calculator!$G$13),"—",ROUND(MAX((50*POWER(80,POWER(COS(PI()*MOD(Calculator!$B$31/Calculator!$F$13,1)),2)))/$C58,$C58/(50*POWER(80,POWER(COS(PI()*MOD(Calculator!$B$31/Calculator!$F$13,1)),2)))),2))</f>
        <v>3.45</v>
      </c>
      <c r="S58" s="119" t="n">
        <f aca="false">IF(OR(Calculator!$E$14&lt;&gt;"YES",Calculator!$B$31&lt;Calculator!$G$14),"—",ROUND(MAX((50*POWER(80,POWER(COS(PI()*MOD(Calculator!$B$31/Calculator!$F$14,1)),2)))/$C58,$C58/(50*POWER(80,POWER(COS(PI()*MOD(Calculator!$B$31/Calculator!$F$14,1)),2)))),2))</f>
        <v>7.22</v>
      </c>
      <c r="T58" s="119" t="n">
        <f aca="false">IF(OR(Calculator!$E$15&lt;&gt;"YES",Calculator!$B$31&lt;Calculator!$G$15),"—",ROUND(MAX((50*POWER(80,POWER(COS(PI()*MOD(Calculator!$B$31/Calculator!$F$15,1)),2)))/$C58,$C58/(50*POWER(80,POWER(COS(PI()*MOD(Calculator!$B$31/Calculator!$F$15,1)),2)))),2))</f>
        <v>4.54</v>
      </c>
      <c r="U58" s="119" t="n">
        <f aca="false">IF(OR(Calculator!$E$16&lt;&gt;"YES",Calculator!$B$31&lt;Calculator!$G$16),"—",ROUND(MAX((50*POWER(80,POWER(COS(PI()*MOD(Calculator!$B$31/Calculator!$F$16,1)),2)))/$C58,$C58/(50*POWER(80,POWER(COS(PI()*MOD(Calculator!$B$31/Calculator!$F$16,1)),2)))),2))</f>
        <v>17.71</v>
      </c>
      <c r="V58" s="119" t="n">
        <f aca="false">IF(OR(Calculator!$E$17&lt;&gt;"YES",Calculator!$B$31&lt;Calculator!$G$17),"—",ROUND(MAX((50*POWER(80,POWER(COS(PI()*MOD(Calculator!$B$31/Calculator!$F$17,1)),2)))/$C58,$C58/(50*POWER(80,POWER(COS(PI()*MOD(Calculator!$B$31/Calculator!$F$17,1)),2)))),2))</f>
        <v>1.6</v>
      </c>
      <c r="W58" s="119" t="n">
        <f aca="false">IF(OR(Calculator!$E$18&lt;&gt;"YES",Calculator!$B$31&lt;Calculator!$G$18),"—",ROUND(MAX((50*POWER(80,POWER(COS(PI()*MOD(Calculator!$B$31/Calculator!$F$18,1)),2)))/$C58,$C58/(50*POWER(80,POWER(COS(PI()*MOD(Calculator!$B$31/Calculator!$F$18,1)),2)))),2))</f>
        <v>1.72</v>
      </c>
      <c r="X58" s="119" t="n">
        <f aca="false">IF(OR(Calculator!$E$19&lt;&gt;"YES",Calculator!$B$31&lt;Calculator!$G$19),"—",ROUND(MAX((50*POWER(80,POWER(COS(PI()*MOD(Calculator!$B$31/Calculator!$F$19,1)),2)))/$C58,$C58/(50*POWER(80,POWER(COS(PI()*MOD(Calculator!$B$31/Calculator!$F$19,1)),2)))),2))</f>
        <v>2.25</v>
      </c>
      <c r="Y58" s="119" t="n">
        <f aca="false">IF(OR(Calculator!$E$20&lt;&gt;"YES",Calculator!$B$31&lt;Calculator!$G$20),"—",ROUND(MAX((50*POWER(80,POWER(COS(PI()*MOD(Calculator!$B$31/Calculator!$F$20,1)),2)))/$C58,$C58/(50*POWER(80,POWER(COS(PI()*MOD(Calculator!$B$31/Calculator!$F$20,1)),2)))),2))</f>
        <v>10.95</v>
      </c>
      <c r="Z58" s="119" t="n">
        <f aca="false">IF(OR(Calculator!$E$21&lt;&gt;"YES",Calculator!$B$31&lt;Calculator!$G$21),"—",ROUND(MAX((50*POWER(80,POWER(COS(PI()*MOD(Calculator!$B$31/Calculator!$F$21,1)),2)))/$C58,$C58/(50*POWER(80,POWER(COS(PI()*MOD(Calculator!$B$31/Calculator!$F$21,1)),2)))),2))</f>
        <v>1.37</v>
      </c>
      <c r="AA58" s="114" t="n">
        <f aca="false">IFERROR(ROUND((IF(ISNUMBER(P58),P58,0)+IF(ISNUMBER(Q58),Q58,0)+IF(ISNUMBER(R58),R58,0)+IF(ISNUMBER(S58),S58,0)+IF(ISNUMBER(T58),T58,0)+IF(ISNUMBER(U58),U58,0)+IF(ISNUMBER(V58),V58,0)+IF(ISNUMBER(W58),W58,0)+IF(ISNUMBER(X58),X58,0)+IF(ISNUMBER(Y58),Y58,0)+IF(ISNUMBER(Z58),Z58,0))/(IF(ISNUMBER(P58),1,0)+IF(ISNUMBER(Q58),1,0)+IF(ISNUMBER(R58),1,0)+IF(ISNUMBER(S58),1,0)+IF(ISNUMBER(T58),1,0)+IF(ISNUMBER(U58),1,0)+IF(ISNUMBER(V58),1,0)+IF(ISNUMBER(W58),1,0)+IF(ISNUMBER(X58),1,0)+IF(ISNUMBER(Y58),1,0)+IF(ISNUMBER(Z58),1,0)),2),"")</f>
        <v>6.08</v>
      </c>
      <c r="AB58" s="119" t="n">
        <f aca="false">IF(OR(Calculator!$E$11&lt;&gt;"YES",Calculator!$B$32&lt;Calculator!$G$11),"—",ROUND(MAX((50*POWER(80,POWER(COS(PI()*MOD(Calculator!$B$32/Calculator!$F$11,1)),2)))/$C58,$C58/(50*POWER(80,POWER(COS(PI()*MOD(Calculator!$B$32/Calculator!$F$11,1)),2)))),2))</f>
        <v>18.76</v>
      </c>
      <c r="AC58" s="119" t="n">
        <f aca="false">IF(OR(Calculator!$E$12&lt;&gt;"YES",Calculator!$B$32&lt;Calculator!$G$12),"—",ROUND(MAX((50*POWER(80,POWER(COS(PI()*MOD(Calculator!$B$32/Calculator!$F$12,1)),2)))/$C58,$C58/(50*POWER(80,POWER(COS(PI()*MOD(Calculator!$B$32/Calculator!$F$12,1)),2)))),2))</f>
        <v>1.55</v>
      </c>
      <c r="AD58" s="119" t="n">
        <f aca="false">IF(OR(Calculator!$E$13&lt;&gt;"YES",Calculator!$B$32&lt;Calculator!$G$13),"—",ROUND(MAX((50*POWER(80,POWER(COS(PI()*MOD(Calculator!$B$32/Calculator!$F$13,1)),2)))/$C58,$C58/(50*POWER(80,POWER(COS(PI()*MOD(Calculator!$B$32/Calculator!$F$13,1)),2)))),2))</f>
        <v>9.57</v>
      </c>
      <c r="AE58" s="119" t="n">
        <f aca="false">IF(OR(Calculator!$E$14&lt;&gt;"YES",Calculator!$B$32&lt;Calculator!$G$14),"—",ROUND(MAX((50*POWER(80,POWER(COS(PI()*MOD(Calculator!$B$32/Calculator!$F$14,1)),2)))/$C58,$C58/(50*POWER(80,POWER(COS(PI()*MOD(Calculator!$B$32/Calculator!$F$14,1)),2)))),2))</f>
        <v>1.75</v>
      </c>
      <c r="AF58" s="119" t="n">
        <f aca="false">IF(OR(Calculator!$E$15&lt;&gt;"YES",Calculator!$B$32&lt;Calculator!$G$15),"—",ROUND(MAX((50*POWER(80,POWER(COS(PI()*MOD(Calculator!$B$32/Calculator!$F$15,1)),2)))/$C58,$C58/(50*POWER(80,POWER(COS(PI()*MOD(Calculator!$B$32/Calculator!$F$15,1)),2)))),2))</f>
        <v>1.49</v>
      </c>
      <c r="AG58" s="119" t="n">
        <f aca="false">IF(OR(Calculator!$E$16&lt;&gt;"YES",Calculator!$B$32&lt;Calculator!$G$16),"—",ROUND(MAX((50*POWER(80,POWER(COS(PI()*MOD(Calculator!$B$32/Calculator!$F$16,1)),2)))/$C58,$C58/(50*POWER(80,POWER(COS(PI()*MOD(Calculator!$B$32/Calculator!$F$16,1)),2)))),2))</f>
        <v>15.28</v>
      </c>
      <c r="AH58" s="119" t="n">
        <f aca="false">IF(OR(Calculator!$E$17&lt;&gt;"YES",Calculator!$B$32&lt;Calculator!$G$17),"—",ROUND(MAX((50*POWER(80,POWER(COS(PI()*MOD(Calculator!$B$32/Calculator!$F$17,1)),2)))/$C58,$C58/(50*POWER(80,POWER(COS(PI()*MOD(Calculator!$B$32/Calculator!$F$17,1)),2)))),2))</f>
        <v>16.13</v>
      </c>
      <c r="AI58" s="119" t="n">
        <f aca="false">IF(OR(Calculator!$E$18&lt;&gt;"YES",Calculator!$B$32&lt;Calculator!$G$18),"—",ROUND(MAX((50*POWER(80,POWER(COS(PI()*MOD(Calculator!$B$32/Calculator!$F$18,1)),2)))/$C58,$C58/(50*POWER(80,POWER(COS(PI()*MOD(Calculator!$B$32/Calculator!$F$18,1)),2)))),2))</f>
        <v>21.28</v>
      </c>
      <c r="AJ58" s="119" t="n">
        <f aca="false">IF(OR(Calculator!$E$19&lt;&gt;"YES",Calculator!$B$32&lt;Calculator!$G$19),"—",ROUND(MAX((50*POWER(80,POWER(COS(PI()*MOD(Calculator!$B$32/Calculator!$F$19,1)),2)))/$C58,$C58/(50*POWER(80,POWER(COS(PI()*MOD(Calculator!$B$32/Calculator!$F$19,1)),2)))),2))</f>
        <v>4.49</v>
      </c>
      <c r="AK58" s="119" t="n">
        <f aca="false">IF(OR(Calculator!$E$20&lt;&gt;"YES",Calculator!$B$32&lt;Calculator!$G$20),"—",ROUND(MAX((50*POWER(80,POWER(COS(PI()*MOD(Calculator!$B$32/Calculator!$F$20,1)),2)))/$C58,$C58/(50*POWER(80,POWER(COS(PI()*MOD(Calculator!$B$32/Calculator!$F$20,1)),2)))),2))</f>
        <v>2.47</v>
      </c>
      <c r="AL58" s="119" t="n">
        <f aca="false">IF(OR(Calculator!$E$21&lt;&gt;"YES",Calculator!$B$32&lt;Calculator!$G$21),"—",ROUND(MAX((50*POWER(80,POWER(COS(PI()*MOD(Calculator!$B$32/Calculator!$F$21,1)),2)))/$C58,$C58/(50*POWER(80,POWER(COS(PI()*MOD(Calculator!$B$32/Calculator!$F$21,1)),2)))),2))</f>
        <v>2.15</v>
      </c>
      <c r="AM58" s="115" t="n">
        <f aca="false">IFERROR(ROUND((IF(ISNUMBER(AB58),AB58,0)+IF(ISNUMBER(AC58),AC58,0)+IF(ISNUMBER(AD58),AD58,0)+IF(ISNUMBER(AE58),AE58,0)+IF(ISNUMBER(AF58),AF58,0)+IF(ISNUMBER(AG58),AG58,0)+IF(ISNUMBER(AH58),AH58,0)+IF(ISNUMBER(AI58),AI58,0)+IF(ISNUMBER(AJ58),AJ58,0)+IF(ISNUMBER(AK58),AK58,0)+IF(ISNUMBER(AL58),AL58,0))/(IF(ISNUMBER(AB58),1,0)+IF(ISNUMBER(AC58),1,0)+IF(ISNUMBER(AD58),1,0)+IF(ISNUMBER(AE58),1,0)+IF(ISNUMBER(AF58),1,0)+IF(ISNUMBER(AG58),1,0)+IF(ISNUMBER(AH58),1,0)+IF(ISNUMBER(AI58),1,0)+IF(ISNUMBER(AJ58),1,0)+IF(ISNUMBER(AK58),1,0)+IF(ISNUMBER(AL58),1,0)),2),"")</f>
        <v>8.63</v>
      </c>
      <c r="AN58" s="120" t="n">
        <f aca="false">IF(OR(Calculator!$E$11&lt;&gt;"YES",Calculator!$B$33&lt;Calculator!$G$11),"—",ROUND(MAX((50*POWER(80,POWER(COS(PI()*MOD(Calculator!$B$33/Calculator!$F$11,1)),2)))/$C58,$C58/(50*POWER(80,POWER(COS(PI()*MOD(Calculator!$B$33/Calculator!$F$11,1)),2)))),2))</f>
        <v>15.08</v>
      </c>
      <c r="AO58" s="120" t="n">
        <f aca="false">IF(OR(Calculator!$E$12&lt;&gt;"YES",Calculator!$B$33&lt;Calculator!$G$12),"—",ROUND(MAX((50*POWER(80,POWER(COS(PI()*MOD(Calculator!$B$33/Calculator!$F$12,1)),2)))/$C58,$C58/(50*POWER(80,POWER(COS(PI()*MOD(Calculator!$B$33/Calculator!$F$12,1)),2)))),2))</f>
        <v>1.16</v>
      </c>
      <c r="AP58" s="120" t="n">
        <f aca="false">IF(OR(Calculator!$E$13&lt;&gt;"YES",Calculator!$B$33&lt;Calculator!$G$13),"—",ROUND(MAX((50*POWER(80,POWER(COS(PI()*MOD(Calculator!$B$33/Calculator!$F$13,1)),2)))/$C58,$C58/(50*POWER(80,POWER(COS(PI()*MOD(Calculator!$B$33/Calculator!$F$13,1)),2)))),2))</f>
        <v>3.64</v>
      </c>
      <c r="AQ58" s="120" t="n">
        <f aca="false">IF(OR(Calculator!$E$14&lt;&gt;"YES",Calculator!$B$33&lt;Calculator!$G$14),"—",ROUND(MAX((50*POWER(80,POWER(COS(PI()*MOD(Calculator!$B$33/Calculator!$F$14,1)),2)))/$C58,$C58/(50*POWER(80,POWER(COS(PI()*MOD(Calculator!$B$33/Calculator!$F$14,1)),2)))),2))</f>
        <v>6.77</v>
      </c>
      <c r="AR58" s="120" t="n">
        <f aca="false">IF(OR(Calculator!$E$15&lt;&gt;"YES",Calculator!$B$33&lt;Calculator!$G$15),"—",ROUND(MAX((50*POWER(80,POWER(COS(PI()*MOD(Calculator!$B$33/Calculator!$F$15,1)),2)))/$C58,$C58/(50*POWER(80,POWER(COS(PI()*MOD(Calculator!$B$33/Calculator!$F$15,1)),2)))),2))</f>
        <v>4.12</v>
      </c>
      <c r="AS58" s="120" t="n">
        <f aca="false">IF(OR(Calculator!$E$16&lt;&gt;"YES",Calculator!$B$33&lt;Calculator!$G$16),"—",ROUND(MAX((50*POWER(80,POWER(COS(PI()*MOD(Calculator!$B$33/Calculator!$F$16,1)),2)))/$C58,$C58/(50*POWER(80,POWER(COS(PI()*MOD(Calculator!$B$33/Calculator!$F$16,1)),2)))),2))</f>
        <v>19.06</v>
      </c>
      <c r="AT58" s="120" t="n">
        <f aca="false">IF(OR(Calculator!$E$17&lt;&gt;"YES",Calculator!$B$33&lt;Calculator!$G$17),"—",ROUND(MAX((50*POWER(80,POWER(COS(PI()*MOD(Calculator!$B$33/Calculator!$F$17,1)),2)))/$C58,$C58/(50*POWER(80,POWER(COS(PI()*MOD(Calculator!$B$33/Calculator!$F$17,1)),2)))),2))</f>
        <v>1.41</v>
      </c>
      <c r="AU58" s="120" t="n">
        <f aca="false">IF(OR(Calculator!$E$18&lt;&gt;"YES",Calculator!$B$33&lt;Calculator!$G$18),"—",ROUND(MAX((50*POWER(80,POWER(COS(PI()*MOD(Calculator!$B$33/Calculator!$F$18,1)),2)))/$C58,$C58/(50*POWER(80,POWER(COS(PI()*MOD(Calculator!$B$33/Calculator!$F$18,1)),2)))),2))</f>
        <v>1.49</v>
      </c>
      <c r="AV58" s="120" t="n">
        <f aca="false">IF(OR(Calculator!$E$19&lt;&gt;"YES",Calculator!$B$33&lt;Calculator!$G$19),"—",ROUND(MAX((50*POWER(80,POWER(COS(PI()*MOD(Calculator!$B$33/Calculator!$F$19,1)),2)))/$C58,$C58/(50*POWER(80,POWER(COS(PI()*MOD(Calculator!$B$33/Calculator!$F$19,1)),2)))),2))</f>
        <v>2.52</v>
      </c>
      <c r="AW58" s="120" t="n">
        <f aca="false">IF(OR(Calculator!$E$20&lt;&gt;"YES",Calculator!$B$33&lt;Calculator!$G$20),"—",ROUND(MAX((50*POWER(80,POWER(COS(PI()*MOD(Calculator!$B$33/Calculator!$F$20,1)),2)))/$C58,$C58/(50*POWER(80,POWER(COS(PI()*MOD(Calculator!$B$33/Calculator!$F$20,1)),2)))),2))</f>
        <v>8.68</v>
      </c>
      <c r="AX58" s="120" t="n">
        <f aca="false">IF(OR(Calculator!$E$21&lt;&gt;"YES",Calculator!$B$33&lt;Calculator!$G$21),"—",ROUND(MAX((50*POWER(80,POWER(COS(PI()*MOD(Calculator!$B$33/Calculator!$F$21,1)),2)))/$C58,$C58/(50*POWER(80,POWER(COS(PI()*MOD(Calculator!$B$33/Calculator!$F$21,1)),2)))),2))</f>
        <v>1.11</v>
      </c>
      <c r="AY58" s="115" t="n">
        <f aca="false">IFERROR(ROUND((IF(ISNUMBER(AN58),AN58,0)+IF(ISNUMBER(AO58),AO58,0)+IF(ISNUMBER(AP58),AP58,0)+IF(ISNUMBER(AQ58),AQ58,0)+IF(ISNUMBER(AR58),AR58,0)+IF(ISNUMBER(AS58),AS58,0)+IF(ISNUMBER(AT58),AT58,0)+IF(ISNUMBER(AU58),AU58,0)+IF(ISNUMBER(AV58),AV58,0)+IF(ISNUMBER(AW58),AW58,0)+IF(ISNUMBER(AX58),AX58,0))/(IF(ISNUMBER(AN58),1,0)+IF(ISNUMBER(AO58),1,0)+IF(ISNUMBER(AP58),1,0)+IF(ISNUMBER(AQ58),1,0)+IF(ISNUMBER(AR58),1,0)+IF(ISNUMBER(AS58),1,0)+IF(ISNUMBER(AT58),1,0)+IF(ISNUMBER(AU58),1,0)+IF(ISNUMBER(AV58),1,0)+IF(ISNUMBER(AW58),1,0)+IF(ISNUMBER(AX58),1,0)),2),"")</f>
        <v>5.91</v>
      </c>
      <c r="AZ58" s="120" t="n">
        <f aca="false">IF(OR(Calculator!$E$11&lt;&gt;"YES",Calculator!$B$34&lt;Calculator!$G$11),"—",ROUND(MAX((50*POWER(80,POWER(COS(PI()*MOD(Calculator!$B$34/Calculator!$F$11,1)),2)))/$C58,$C58/(50*POWER(80,POWER(COS(PI()*MOD(Calculator!$B$34/Calculator!$F$11,1)),2)))),2))</f>
        <v>14.54</v>
      </c>
      <c r="BA58" s="120" t="n">
        <f aca="false">IF(OR(Calculator!$E$12&lt;&gt;"YES",Calculator!$B$34&lt;Calculator!$G$12),"—",ROUND(MAX((50*POWER(80,POWER(COS(PI()*MOD(Calculator!$B$34/Calculator!$F$12,1)),2)))/$C58,$C58/(50*POWER(80,POWER(COS(PI()*MOD(Calculator!$B$34/Calculator!$F$12,1)),2)))),2))</f>
        <v>1.27</v>
      </c>
      <c r="BB58" s="120" t="n">
        <f aca="false">IF(OR(Calculator!$E$13&lt;&gt;"YES",Calculator!$B$34&lt;Calculator!$G$13),"—",ROUND(MAX((50*POWER(80,POWER(COS(PI()*MOD(Calculator!$B$34/Calculator!$F$13,1)),2)))/$C58,$C58/(50*POWER(80,POWER(COS(PI()*MOD(Calculator!$B$34/Calculator!$F$13,1)),2)))),2))</f>
        <v>3.12</v>
      </c>
      <c r="BC58" s="120" t="n">
        <f aca="false">IF(OR(Calculator!$E$14&lt;&gt;"YES",Calculator!$B$34&lt;Calculator!$G$14),"—",ROUND(MAX((50*POWER(80,POWER(COS(PI()*MOD(Calculator!$B$34/Calculator!$F$14,1)),2)))/$C58,$C58/(50*POWER(80,POWER(COS(PI()*MOD(Calculator!$B$34/Calculator!$F$14,1)),2)))),2))</f>
        <v>8.17</v>
      </c>
      <c r="BD58" s="120" t="n">
        <f aca="false">IF(OR(Calculator!$E$15&lt;&gt;"YES",Calculator!$B$34&lt;Calculator!$G$15),"—",ROUND(MAX((50*POWER(80,POWER(COS(PI()*MOD(Calculator!$B$34/Calculator!$F$15,1)),2)))/$C58,$C58/(50*POWER(80,POWER(COS(PI()*MOD(Calculator!$B$34/Calculator!$F$15,1)),2)))),2))</f>
        <v>5.49</v>
      </c>
      <c r="BE58" s="120" t="n">
        <f aca="false">IF(OR(Calculator!$E$16&lt;&gt;"YES",Calculator!$B$34&lt;Calculator!$G$16),"—",ROUND(MAX((50*POWER(80,POWER(COS(PI()*MOD(Calculator!$B$34/Calculator!$F$16,1)),2)))/$C58,$C58/(50*POWER(80,POWER(COS(PI()*MOD(Calculator!$B$34/Calculator!$F$16,1)),2)))),2))</f>
        <v>14.96</v>
      </c>
      <c r="BF58" s="120" t="n">
        <f aca="false">IF(OR(Calculator!$E$17&lt;&gt;"YES",Calculator!$B$34&lt;Calculator!$G$17),"—",ROUND(MAX((50*POWER(80,POWER(COS(PI()*MOD(Calculator!$B$34/Calculator!$F$17,1)),2)))/$C58,$C58/(50*POWER(80,POWER(COS(PI()*MOD(Calculator!$B$34/Calculator!$F$17,1)),2)))),2))</f>
        <v>2.02</v>
      </c>
      <c r="BG58" s="120" t="n">
        <f aca="false">IF(OR(Calculator!$E$18&lt;&gt;"YES",Calculator!$B$34&lt;Calculator!$G$18),"—",ROUND(MAX((50*POWER(80,POWER(COS(PI()*MOD(Calculator!$B$34/Calculator!$F$18,1)),2)))/$C58,$C58/(50*POWER(80,POWER(COS(PI()*MOD(Calculator!$B$34/Calculator!$F$18,1)),2)))),2))</f>
        <v>2.21</v>
      </c>
      <c r="BH58" s="120" t="n">
        <f aca="false">IF(OR(Calculator!$E$19&lt;&gt;"YES",Calculator!$B$34&lt;Calculator!$G$19),"—",ROUND(MAX((50*POWER(80,POWER(COS(PI()*MOD(Calculator!$B$34/Calculator!$F$19,1)),2)))/$C58,$C58/(50*POWER(80,POWER(COS(PI()*MOD(Calculator!$B$34/Calculator!$F$19,1)),2)))),2))</f>
        <v>1.69</v>
      </c>
      <c r="BI58" s="120" t="n">
        <f aca="false">IF(OR(Calculator!$E$20&lt;&gt;"YES",Calculator!$B$34&lt;Calculator!$G$20),"—",ROUND(MAX((50*POWER(80,POWER(COS(PI()*MOD(Calculator!$B$34/Calculator!$F$20,1)),2)))/$C58,$C58/(50*POWER(80,POWER(COS(PI()*MOD(Calculator!$B$34/Calculator!$F$20,1)),2)))),2))</f>
        <v>16.27</v>
      </c>
      <c r="BJ58" s="120" t="n">
        <f aca="false">IF(OR(Calculator!$E$21&lt;&gt;"YES",Calculator!$B$34&lt;Calculator!$G$21),"—",ROUND(MAX((50*POWER(80,POWER(COS(PI()*MOD(Calculator!$B$34/Calculator!$F$21,1)),2)))/$C58,$C58/(50*POWER(80,POWER(COS(PI()*MOD(Calculator!$B$34/Calculator!$F$21,1)),2)))),2))</f>
        <v>2.53</v>
      </c>
      <c r="BK58" s="115" t="n">
        <f aca="false">IFERROR(ROUND((IF(ISNUMBER(AZ58),AZ58,0)+IF(ISNUMBER(BA58),BA58,0)+IF(ISNUMBER(BB58),BB58,0)+IF(ISNUMBER(BC58),BC58,0)+IF(ISNUMBER(BD58),BD58,0)+IF(ISNUMBER(BE58),BE58,0)+IF(ISNUMBER(BF58),BF58,0)+IF(ISNUMBER(BG58),BG58,0)+IF(ISNUMBER(BH58),BH58,0)+IF(ISNUMBER(BI58),BI58,0)+IF(ISNUMBER(BJ58),BJ58,0))/(IF(ISNUMBER(AZ58),1,0)+IF(ISNUMBER(BA58),1,0)+IF(ISNUMBER(BB58),1,0)+IF(ISNUMBER(BC58),1,0)+IF(ISNUMBER(BD58),1,0)+IF(ISNUMBER(BE58),1,0)+IF(ISNUMBER(BF58),1,0)+IF(ISNUMBER(BG58),1,0)+IF(ISNUMBER(BH58),1,0)+IF(ISNUMBER(BI58),1,0)+IF(ISNUMBER(BJ58),1,0)),2),"")</f>
        <v>6.57</v>
      </c>
    </row>
    <row r="59" customFormat="false" ht="15" hidden="false" customHeight="false" outlineLevel="0" collapsed="false">
      <c r="A59" s="87" t="s">
        <v>117</v>
      </c>
      <c r="B59" s="87" t="s">
        <v>93</v>
      </c>
      <c r="C59" s="90" t="n">
        <v>1350</v>
      </c>
      <c r="D59" s="91" t="n">
        <f aca="false">IF(OR(Calculator!$E$11&lt;&gt;"YES",Calculator!$B$30&lt;Calculator!$G$11),"—",ROUND(MAX((50*POWER(80,POWER(COS(PI()*MOD(Calculator!$B$30/Calculator!$F$11,1)),2)))/$C59,$C59/(50*POWER(80,POWER(COS(PI()*MOD(Calculator!$B$30/Calculator!$F$11,1)),2)))),2))</f>
        <v>15.29</v>
      </c>
      <c r="E59" s="91" t="n">
        <f aca="false">IF(OR(Calculator!$E$12&lt;&gt;"YES",Calculator!$B$30&lt;Calculator!$G$12),"—",ROUND(MAX((50*POWER(80,POWER(COS(PI()*MOD(Calculator!$B$30/Calculator!$F$12,1)),2)))/$C59,$C59/(50*POWER(80,POWER(COS(PI()*MOD(Calculator!$B$30/Calculator!$F$12,1)),2)))),2))</f>
        <v>1.28</v>
      </c>
      <c r="F59" s="91" t="n">
        <f aca="false">IF(OR(Calculator!$E$13&lt;&gt;"YES",Calculator!$B$30&lt;Calculator!$G$13),"—",ROUND(MAX((50*POWER(80,POWER(COS(PI()*MOD(Calculator!$B$30/Calculator!$F$13,1)),2)))/$C59,$C59/(50*POWER(80,POWER(COS(PI()*MOD(Calculator!$B$30/Calculator!$F$13,1)),2)))),2))</f>
        <v>3.41</v>
      </c>
      <c r="G59" s="91" t="n">
        <f aca="false">IF(OR(Calculator!$E$14&lt;&gt;"YES",Calculator!$B$30&lt;Calculator!$G$14),"—",ROUND(MAX((50*POWER(80,POWER(COS(PI()*MOD(Calculator!$B$30/Calculator!$F$14,1)),2)))/$C59,$C59/(50*POWER(80,POWER(COS(PI()*MOD(Calculator!$B$30/Calculator!$F$14,1)),2)))),2))</f>
        <v>7.98</v>
      </c>
      <c r="H59" s="91" t="n">
        <f aca="false">IF(OR(Calculator!$E$15&lt;&gt;"YES",Calculator!$B$30&lt;Calculator!$G$15),"—",ROUND(MAX((50*POWER(80,POWER(COS(PI()*MOD(Calculator!$B$30/Calculator!$F$15,1)),2)))/$C59,$C59/(50*POWER(80,POWER(COS(PI()*MOD(Calculator!$B$30/Calculator!$F$15,1)),2)))),2))</f>
        <v>5.19</v>
      </c>
      <c r="I59" s="91" t="n">
        <f aca="false">IF(OR(Calculator!$E$16&lt;&gt;"YES",Calculator!$B$30&lt;Calculator!$G$16),"—",ROUND(MAX((50*POWER(80,POWER(COS(PI()*MOD(Calculator!$B$30/Calculator!$F$16,1)),2)))/$C59,$C59/(50*POWER(80,POWER(COS(PI()*MOD(Calculator!$B$30/Calculator!$F$16,1)),2)))),2))</f>
        <v>16.96</v>
      </c>
      <c r="J59" s="91" t="n">
        <f aca="false">IF(OR(Calculator!$E$17&lt;&gt;"YES",Calculator!$B$30&lt;Calculator!$G$17),"—",ROUND(MAX((50*POWER(80,POWER(COS(PI()*MOD(Calculator!$B$30/Calculator!$F$17,1)),2)))/$C59,$C59/(50*POWER(80,POWER(COS(PI()*MOD(Calculator!$B$30/Calculator!$F$17,1)),2)))),2))</f>
        <v>1.74</v>
      </c>
      <c r="K59" s="91" t="n">
        <f aca="false">IF(OR(Calculator!$E$18&lt;&gt;"YES",Calculator!$B$30&lt;Calculator!$G$18),"—",ROUND(MAX((50*POWER(80,POWER(COS(PI()*MOD(Calculator!$B$30/Calculator!$F$18,1)),2)))/$C59,$C59/(50*POWER(80,POWER(COS(PI()*MOD(Calculator!$B$30/Calculator!$F$18,1)),2)))),2))</f>
        <v>1.89</v>
      </c>
      <c r="L59" s="91" t="n">
        <f aca="false">IF(OR(Calculator!$E$19&lt;&gt;"YES",Calculator!$B$30&lt;Calculator!$G$19),"—",ROUND(MAX((50*POWER(80,POWER(COS(PI()*MOD(Calculator!$B$30/Calculator!$F$19,1)),2)))/$C59,$C59/(50*POWER(80,POWER(COS(PI()*MOD(Calculator!$B$30/Calculator!$F$19,1)),2)))),2))</f>
        <v>1.9</v>
      </c>
      <c r="M59" s="91" t="n">
        <f aca="false">IF(OR(Calculator!$E$20&lt;&gt;"YES",Calculator!$B$30&lt;Calculator!$G$20),"—",ROUND(MAX((50*POWER(80,POWER(COS(PI()*MOD(Calculator!$B$30/Calculator!$F$20,1)),2)))/$C59,$C59/(50*POWER(80,POWER(COS(PI()*MOD(Calculator!$B$30/Calculator!$F$20,1)),2)))),2))</f>
        <v>14.04</v>
      </c>
      <c r="N59" s="91" t="n">
        <f aca="false">IF(OR(Calculator!$E$21&lt;&gt;"YES",Calculator!$B$30&lt;Calculator!$G$21),"—",ROUND(MAX((50*POWER(80,POWER(COS(PI()*MOD(Calculator!$B$30/Calculator!$F$21,1)),2)))/$C59,$C59/(50*POWER(80,POWER(COS(PI()*MOD(Calculator!$B$30/Calculator!$F$21,1)),2)))),2))</f>
        <v>1.88</v>
      </c>
      <c r="O59" s="114" t="n">
        <f aca="false">IFERROR(ROUND((IF(ISNUMBER(D59),D59,0)+IF(ISNUMBER(E59),E59,0)+IF(ISNUMBER(F59),F59,0)+IF(ISNUMBER(G59),G59,0)+IF(ISNUMBER(H59),H59,0)+IF(ISNUMBER(I59),I59,0)+IF(ISNUMBER(J59),J59,0)+IF(ISNUMBER(K59),K59,0)+IF(ISNUMBER(L59),L59,0)+IF(ISNUMBER(M59),M59,0)+IF(ISNUMBER(N59),N59,0))/(IF(ISNUMBER(D59),1,0)+IF(ISNUMBER(E59),1,0)+IF(ISNUMBER(F59),1,0)+IF(ISNUMBER(G59),1,0)+IF(ISNUMBER(H59),1,0)+IF(ISNUMBER(I59),1,0)+IF(ISNUMBER(J59),1,0)+IF(ISNUMBER(K59),1,0)+IF(ISNUMBER(L59),1,0)+IF(ISNUMBER(M59),1,0)+IF(ISNUMBER(N59),1,0)),2),"")</f>
        <v>6.51</v>
      </c>
      <c r="P59" s="91" t="n">
        <f aca="false">IF(OR(Calculator!$E$11&lt;&gt;"YES",Calculator!$B$31&lt;Calculator!$G$11),"—",ROUND(MAX((50*POWER(80,POWER(COS(PI()*MOD(Calculator!$B$31/Calculator!$F$11,1)),2)))/$C59,$C59/(50*POWER(80,POWER(COS(PI()*MOD(Calculator!$B$31/Calculator!$F$11,1)),2)))),2))</f>
        <v>15.47</v>
      </c>
      <c r="Q59" s="91" t="n">
        <f aca="false">IF(OR(Calculator!$E$12&lt;&gt;"YES",Calculator!$B$31&lt;Calculator!$G$12),"—",ROUND(MAX((50*POWER(80,POWER(COS(PI()*MOD(Calculator!$B$31/Calculator!$F$12,1)),2)))/$C59,$C59/(50*POWER(80,POWER(COS(PI()*MOD(Calculator!$B$31/Calculator!$F$12,1)),2)))),2))</f>
        <v>1.24</v>
      </c>
      <c r="R59" s="91" t="n">
        <f aca="false">IF(OR(Calculator!$E$13&lt;&gt;"YES",Calculator!$B$31&lt;Calculator!$G$13),"—",ROUND(MAX((50*POWER(80,POWER(COS(PI()*MOD(Calculator!$B$31/Calculator!$F$13,1)),2)))/$C59,$C59/(50*POWER(80,POWER(COS(PI()*MOD(Calculator!$B$31/Calculator!$F$13,1)),2)))),2))</f>
        <v>3.59</v>
      </c>
      <c r="S59" s="91" t="n">
        <f aca="false">IF(OR(Calculator!$E$14&lt;&gt;"YES",Calculator!$B$31&lt;Calculator!$G$14),"—",ROUND(MAX((50*POWER(80,POWER(COS(PI()*MOD(Calculator!$B$31/Calculator!$F$14,1)),2)))/$C59,$C59/(50*POWER(80,POWER(COS(PI()*MOD(Calculator!$B$31/Calculator!$F$14,1)),2)))),2))</f>
        <v>7.49</v>
      </c>
      <c r="T59" s="91" t="n">
        <f aca="false">IF(OR(Calculator!$E$15&lt;&gt;"YES",Calculator!$B$31&lt;Calculator!$G$15),"—",ROUND(MAX((50*POWER(80,POWER(COS(PI()*MOD(Calculator!$B$31/Calculator!$F$15,1)),2)))/$C59,$C59/(50*POWER(80,POWER(COS(PI()*MOD(Calculator!$B$31/Calculator!$F$15,1)),2)))),2))</f>
        <v>4.72</v>
      </c>
      <c r="U59" s="91" t="n">
        <f aca="false">IF(OR(Calculator!$E$16&lt;&gt;"YES",Calculator!$B$31&lt;Calculator!$G$16),"—",ROUND(MAX((50*POWER(80,POWER(COS(PI()*MOD(Calculator!$B$31/Calculator!$F$16,1)),2)))/$C59,$C59/(50*POWER(80,POWER(COS(PI()*MOD(Calculator!$B$31/Calculator!$F$16,1)),2)))),2))</f>
        <v>18.39</v>
      </c>
      <c r="V59" s="91" t="n">
        <f aca="false">IF(OR(Calculator!$E$17&lt;&gt;"YES",Calculator!$B$31&lt;Calculator!$G$17),"—",ROUND(MAX((50*POWER(80,POWER(COS(PI()*MOD(Calculator!$B$31/Calculator!$F$17,1)),2)))/$C59,$C59/(50*POWER(80,POWER(COS(PI()*MOD(Calculator!$B$31/Calculator!$F$17,1)),2)))),2))</f>
        <v>1.55</v>
      </c>
      <c r="W59" s="91" t="n">
        <f aca="false">IF(OR(Calculator!$E$18&lt;&gt;"YES",Calculator!$B$31&lt;Calculator!$G$18),"—",ROUND(MAX((50*POWER(80,POWER(COS(PI()*MOD(Calculator!$B$31/Calculator!$F$18,1)),2)))/$C59,$C59/(50*POWER(80,POWER(COS(PI()*MOD(Calculator!$B$31/Calculator!$F$18,1)),2)))),2))</f>
        <v>1.66</v>
      </c>
      <c r="X59" s="91" t="n">
        <f aca="false">IF(OR(Calculator!$E$19&lt;&gt;"YES",Calculator!$B$31&lt;Calculator!$G$19),"—",ROUND(MAX((50*POWER(80,POWER(COS(PI()*MOD(Calculator!$B$31/Calculator!$F$19,1)),2)))/$C59,$C59/(50*POWER(80,POWER(COS(PI()*MOD(Calculator!$B$31/Calculator!$F$19,1)),2)))),2))</f>
        <v>2.17</v>
      </c>
      <c r="Y59" s="91" t="n">
        <f aca="false">IF(OR(Calculator!$E$20&lt;&gt;"YES",Calculator!$B$31&lt;Calculator!$G$20),"—",ROUND(MAX((50*POWER(80,POWER(COS(PI()*MOD(Calculator!$B$31/Calculator!$F$20,1)),2)))/$C59,$C59/(50*POWER(80,POWER(COS(PI()*MOD(Calculator!$B$31/Calculator!$F$20,1)),2)))),2))</f>
        <v>11.37</v>
      </c>
      <c r="Z59" s="91" t="n">
        <f aca="false">IF(OR(Calculator!$E$21&lt;&gt;"YES",Calculator!$B$31&lt;Calculator!$G$21),"—",ROUND(MAX((50*POWER(80,POWER(COS(PI()*MOD(Calculator!$B$31/Calculator!$F$21,1)),2)))/$C59,$C59/(50*POWER(80,POWER(COS(PI()*MOD(Calculator!$B$31/Calculator!$F$21,1)),2)))),2))</f>
        <v>1.32</v>
      </c>
      <c r="AA59" s="114" t="n">
        <f aca="false">IFERROR(ROUND((IF(ISNUMBER(P59),P59,0)+IF(ISNUMBER(Q59),Q59,0)+IF(ISNUMBER(R59),R59,0)+IF(ISNUMBER(S59),S59,0)+IF(ISNUMBER(T59),T59,0)+IF(ISNUMBER(U59),U59,0)+IF(ISNUMBER(V59),V59,0)+IF(ISNUMBER(W59),W59,0)+IF(ISNUMBER(X59),X59,0)+IF(ISNUMBER(Y59),Y59,0)+IF(ISNUMBER(Z59),Z59,0))/(IF(ISNUMBER(P59),1,0)+IF(ISNUMBER(Q59),1,0)+IF(ISNUMBER(R59),1,0)+IF(ISNUMBER(S59),1,0)+IF(ISNUMBER(T59),1,0)+IF(ISNUMBER(U59),1,0)+IF(ISNUMBER(V59),1,0)+IF(ISNUMBER(W59),1,0)+IF(ISNUMBER(X59),1,0)+IF(ISNUMBER(Y59),1,0)+IF(ISNUMBER(Z59),1,0)),2),"")</f>
        <v>6.27</v>
      </c>
      <c r="AB59" s="91" t="n">
        <f aca="false">IF(OR(Calculator!$E$11&lt;&gt;"YES",Calculator!$B$32&lt;Calculator!$G$11),"—",ROUND(MAX((50*POWER(80,POWER(COS(PI()*MOD(Calculator!$B$32/Calculator!$F$11,1)),2)))/$C59,$C59/(50*POWER(80,POWER(COS(PI()*MOD(Calculator!$B$32/Calculator!$F$11,1)),2)))),2))</f>
        <v>19.48</v>
      </c>
      <c r="AC59" s="91" t="n">
        <f aca="false">IF(OR(Calculator!$E$12&lt;&gt;"YES",Calculator!$B$32&lt;Calculator!$G$12),"—",ROUND(MAX((50*POWER(80,POWER(COS(PI()*MOD(Calculator!$B$32/Calculator!$F$12,1)),2)))/$C59,$C59/(50*POWER(80,POWER(COS(PI()*MOD(Calculator!$B$32/Calculator!$F$12,1)),2)))),2))</f>
        <v>1.49</v>
      </c>
      <c r="AD59" s="91" t="n">
        <f aca="false">IF(OR(Calculator!$E$13&lt;&gt;"YES",Calculator!$B$32&lt;Calculator!$G$13),"—",ROUND(MAX((50*POWER(80,POWER(COS(PI()*MOD(Calculator!$B$32/Calculator!$F$13,1)),2)))/$C59,$C59/(50*POWER(80,POWER(COS(PI()*MOD(Calculator!$B$32/Calculator!$F$13,1)),2)))),2))</f>
        <v>9.94</v>
      </c>
      <c r="AE59" s="91" t="n">
        <f aca="false">IF(OR(Calculator!$E$14&lt;&gt;"YES",Calculator!$B$32&lt;Calculator!$G$14),"—",ROUND(MAX((50*POWER(80,POWER(COS(PI()*MOD(Calculator!$B$32/Calculator!$F$14,1)),2)))/$C59,$C59/(50*POWER(80,POWER(COS(PI()*MOD(Calculator!$B$32/Calculator!$F$14,1)),2)))),2))</f>
        <v>1.82</v>
      </c>
      <c r="AF59" s="91" t="n">
        <f aca="false">IF(OR(Calculator!$E$15&lt;&gt;"YES",Calculator!$B$32&lt;Calculator!$G$15),"—",ROUND(MAX((50*POWER(80,POWER(COS(PI()*MOD(Calculator!$B$32/Calculator!$F$15,1)),2)))/$C59,$C59/(50*POWER(80,POWER(COS(PI()*MOD(Calculator!$B$32/Calculator!$F$15,1)),2)))),2))</f>
        <v>1.43</v>
      </c>
      <c r="AG59" s="91" t="n">
        <f aca="false">IF(OR(Calculator!$E$16&lt;&gt;"YES",Calculator!$B$32&lt;Calculator!$G$16),"—",ROUND(MAX((50*POWER(80,POWER(COS(PI()*MOD(Calculator!$B$32/Calculator!$F$16,1)),2)))/$C59,$C59/(50*POWER(80,POWER(COS(PI()*MOD(Calculator!$B$32/Calculator!$F$16,1)),2)))),2))</f>
        <v>15.87</v>
      </c>
      <c r="AH59" s="91" t="n">
        <f aca="false">IF(OR(Calculator!$E$17&lt;&gt;"YES",Calculator!$B$32&lt;Calculator!$G$17),"—",ROUND(MAX((50*POWER(80,POWER(COS(PI()*MOD(Calculator!$B$32/Calculator!$F$17,1)),2)))/$C59,$C59/(50*POWER(80,POWER(COS(PI()*MOD(Calculator!$B$32/Calculator!$F$17,1)),2)))),2))</f>
        <v>16.75</v>
      </c>
      <c r="AI59" s="91" t="n">
        <f aca="false">IF(OR(Calculator!$E$18&lt;&gt;"YES",Calculator!$B$32&lt;Calculator!$G$18),"—",ROUND(MAX((50*POWER(80,POWER(COS(PI()*MOD(Calculator!$B$32/Calculator!$F$18,1)),2)))/$C59,$C59/(50*POWER(80,POWER(COS(PI()*MOD(Calculator!$B$32/Calculator!$F$18,1)),2)))),2))</f>
        <v>22.1</v>
      </c>
      <c r="AJ59" s="91" t="n">
        <f aca="false">IF(OR(Calculator!$E$19&lt;&gt;"YES",Calculator!$B$32&lt;Calculator!$G$19),"—",ROUND(MAX((50*POWER(80,POWER(COS(PI()*MOD(Calculator!$B$32/Calculator!$F$19,1)),2)))/$C59,$C59/(50*POWER(80,POWER(COS(PI()*MOD(Calculator!$B$32/Calculator!$F$19,1)),2)))),2))</f>
        <v>4.66</v>
      </c>
      <c r="AK59" s="91" t="n">
        <f aca="false">IF(OR(Calculator!$E$20&lt;&gt;"YES",Calculator!$B$32&lt;Calculator!$G$20),"—",ROUND(MAX((50*POWER(80,POWER(COS(PI()*MOD(Calculator!$B$32/Calculator!$F$20,1)),2)))/$C59,$C59/(50*POWER(80,POWER(COS(PI()*MOD(Calculator!$B$32/Calculator!$F$20,1)),2)))),2))</f>
        <v>2.38</v>
      </c>
      <c r="AL59" s="91" t="n">
        <f aca="false">IF(OR(Calculator!$E$21&lt;&gt;"YES",Calculator!$B$32&lt;Calculator!$G$21),"—",ROUND(MAX((50*POWER(80,POWER(COS(PI()*MOD(Calculator!$B$32/Calculator!$F$21,1)),2)))/$C59,$C59/(50*POWER(80,POWER(COS(PI()*MOD(Calculator!$B$32/Calculator!$F$21,1)),2)))),2))</f>
        <v>2.07</v>
      </c>
      <c r="AM59" s="115" t="n">
        <f aca="false">IFERROR(ROUND((IF(ISNUMBER(AB59),AB59,0)+IF(ISNUMBER(AC59),AC59,0)+IF(ISNUMBER(AD59),AD59,0)+IF(ISNUMBER(AE59),AE59,0)+IF(ISNUMBER(AF59),AF59,0)+IF(ISNUMBER(AG59),AG59,0)+IF(ISNUMBER(AH59),AH59,0)+IF(ISNUMBER(AI59),AI59,0)+IF(ISNUMBER(AJ59),AJ59,0)+IF(ISNUMBER(AK59),AK59,0)+IF(ISNUMBER(AL59),AL59,0))/(IF(ISNUMBER(AB59),1,0)+IF(ISNUMBER(AC59),1,0)+IF(ISNUMBER(AD59),1,0)+IF(ISNUMBER(AE59),1,0)+IF(ISNUMBER(AF59),1,0)+IF(ISNUMBER(AG59),1,0)+IF(ISNUMBER(AH59),1,0)+IF(ISNUMBER(AI59),1,0)+IF(ISNUMBER(AJ59),1,0)+IF(ISNUMBER(AK59),1,0)+IF(ISNUMBER(AL59),1,0)),2),"")</f>
        <v>8.91</v>
      </c>
      <c r="AN59" s="116" t="n">
        <f aca="false">IF(OR(Calculator!$E$11&lt;&gt;"YES",Calculator!$B$33&lt;Calculator!$G$11),"—",ROUND(MAX((50*POWER(80,POWER(COS(PI()*MOD(Calculator!$B$33/Calculator!$F$11,1)),2)))/$C59,$C59/(50*POWER(80,POWER(COS(PI()*MOD(Calculator!$B$33/Calculator!$F$11,1)),2)))),2))</f>
        <v>15.66</v>
      </c>
      <c r="AO59" s="116" t="n">
        <f aca="false">IF(OR(Calculator!$E$12&lt;&gt;"YES",Calculator!$B$33&lt;Calculator!$G$12),"—",ROUND(MAX((50*POWER(80,POWER(COS(PI()*MOD(Calculator!$B$33/Calculator!$F$12,1)),2)))/$C59,$C59/(50*POWER(80,POWER(COS(PI()*MOD(Calculator!$B$33/Calculator!$F$12,1)),2)))),2))</f>
        <v>1.2</v>
      </c>
      <c r="AP59" s="116" t="n">
        <f aca="false">IF(OR(Calculator!$E$13&lt;&gt;"YES",Calculator!$B$33&lt;Calculator!$G$13),"—",ROUND(MAX((50*POWER(80,POWER(COS(PI()*MOD(Calculator!$B$33/Calculator!$F$13,1)),2)))/$C59,$C59/(50*POWER(80,POWER(COS(PI()*MOD(Calculator!$B$33/Calculator!$F$13,1)),2)))),2))</f>
        <v>3.78</v>
      </c>
      <c r="AQ59" s="116" t="n">
        <f aca="false">IF(OR(Calculator!$E$14&lt;&gt;"YES",Calculator!$B$33&lt;Calculator!$G$14),"—",ROUND(MAX((50*POWER(80,POWER(COS(PI()*MOD(Calculator!$B$33/Calculator!$F$14,1)),2)))/$C59,$C59/(50*POWER(80,POWER(COS(PI()*MOD(Calculator!$B$33/Calculator!$F$14,1)),2)))),2))</f>
        <v>7.03</v>
      </c>
      <c r="AR59" s="116" t="n">
        <f aca="false">IF(OR(Calculator!$E$15&lt;&gt;"YES",Calculator!$B$33&lt;Calculator!$G$15),"—",ROUND(MAX((50*POWER(80,POWER(COS(PI()*MOD(Calculator!$B$33/Calculator!$F$15,1)),2)))/$C59,$C59/(50*POWER(80,POWER(COS(PI()*MOD(Calculator!$B$33/Calculator!$F$15,1)),2)))),2))</f>
        <v>4.28</v>
      </c>
      <c r="AS59" s="116" t="n">
        <f aca="false">IF(OR(Calculator!$E$16&lt;&gt;"YES",Calculator!$B$33&lt;Calculator!$G$16),"—",ROUND(MAX((50*POWER(80,POWER(COS(PI()*MOD(Calculator!$B$33/Calculator!$F$16,1)),2)))/$C59,$C59/(50*POWER(80,POWER(COS(PI()*MOD(Calculator!$B$33/Calculator!$F$16,1)),2)))),2))</f>
        <v>19.8</v>
      </c>
      <c r="AT59" s="116" t="n">
        <f aca="false">IF(OR(Calculator!$E$17&lt;&gt;"YES",Calculator!$B$33&lt;Calculator!$G$17),"—",ROUND(MAX((50*POWER(80,POWER(COS(PI()*MOD(Calculator!$B$33/Calculator!$F$17,1)),2)))/$C59,$C59/(50*POWER(80,POWER(COS(PI()*MOD(Calculator!$B$33/Calculator!$F$17,1)),2)))),2))</f>
        <v>1.36</v>
      </c>
      <c r="AU59" s="116" t="n">
        <f aca="false">IF(OR(Calculator!$E$18&lt;&gt;"YES",Calculator!$B$33&lt;Calculator!$G$18),"—",ROUND(MAX((50*POWER(80,POWER(COS(PI()*MOD(Calculator!$B$33/Calculator!$F$18,1)),2)))/$C59,$C59/(50*POWER(80,POWER(COS(PI()*MOD(Calculator!$B$33/Calculator!$F$18,1)),2)))),2))</f>
        <v>1.43</v>
      </c>
      <c r="AV59" s="116" t="n">
        <f aca="false">IF(OR(Calculator!$E$19&lt;&gt;"YES",Calculator!$B$33&lt;Calculator!$G$19),"—",ROUND(MAX((50*POWER(80,POWER(COS(PI()*MOD(Calculator!$B$33/Calculator!$F$19,1)),2)))/$C59,$C59/(50*POWER(80,POWER(COS(PI()*MOD(Calculator!$B$33/Calculator!$F$19,1)),2)))),2))</f>
        <v>2.43</v>
      </c>
      <c r="AW59" s="116" t="n">
        <f aca="false">IF(OR(Calculator!$E$20&lt;&gt;"YES",Calculator!$B$33&lt;Calculator!$G$20),"—",ROUND(MAX((50*POWER(80,POWER(COS(PI()*MOD(Calculator!$B$33/Calculator!$F$20,1)),2)))/$C59,$C59/(50*POWER(80,POWER(COS(PI()*MOD(Calculator!$B$33/Calculator!$F$20,1)),2)))),2))</f>
        <v>9.02</v>
      </c>
      <c r="AX59" s="116" t="n">
        <f aca="false">IF(OR(Calculator!$E$21&lt;&gt;"YES",Calculator!$B$33&lt;Calculator!$G$21),"—",ROUND(MAX((50*POWER(80,POWER(COS(PI()*MOD(Calculator!$B$33/Calculator!$F$21,1)),2)))/$C59,$C59/(50*POWER(80,POWER(COS(PI()*MOD(Calculator!$B$33/Calculator!$F$21,1)),2)))),2))</f>
        <v>1.15</v>
      </c>
      <c r="AY59" s="115" t="n">
        <f aca="false">IFERROR(ROUND((IF(ISNUMBER(AN59),AN59,0)+IF(ISNUMBER(AO59),AO59,0)+IF(ISNUMBER(AP59),AP59,0)+IF(ISNUMBER(AQ59),AQ59,0)+IF(ISNUMBER(AR59),AR59,0)+IF(ISNUMBER(AS59),AS59,0)+IF(ISNUMBER(AT59),AT59,0)+IF(ISNUMBER(AU59),AU59,0)+IF(ISNUMBER(AV59),AV59,0)+IF(ISNUMBER(AW59),AW59,0)+IF(ISNUMBER(AX59),AX59,0))/(IF(ISNUMBER(AN59),1,0)+IF(ISNUMBER(AO59),1,0)+IF(ISNUMBER(AP59),1,0)+IF(ISNUMBER(AQ59),1,0)+IF(ISNUMBER(AR59),1,0)+IF(ISNUMBER(AS59),1,0)+IF(ISNUMBER(AT59),1,0)+IF(ISNUMBER(AU59),1,0)+IF(ISNUMBER(AV59),1,0)+IF(ISNUMBER(AW59),1,0)+IF(ISNUMBER(AX59),1,0)),2),"")</f>
        <v>6.1</v>
      </c>
      <c r="AZ59" s="116" t="n">
        <f aca="false">IF(OR(Calculator!$E$11&lt;&gt;"YES",Calculator!$B$34&lt;Calculator!$G$11),"—",ROUND(MAX((50*POWER(80,POWER(COS(PI()*MOD(Calculator!$B$34/Calculator!$F$11,1)),2)))/$C59,$C59/(50*POWER(80,POWER(COS(PI()*MOD(Calculator!$B$34/Calculator!$F$11,1)),2)))),2))</f>
        <v>15.1</v>
      </c>
      <c r="BA59" s="116" t="n">
        <f aca="false">IF(OR(Calculator!$E$12&lt;&gt;"YES",Calculator!$B$34&lt;Calculator!$G$12),"—",ROUND(MAX((50*POWER(80,POWER(COS(PI()*MOD(Calculator!$B$34/Calculator!$F$12,1)),2)))/$C59,$C59/(50*POWER(80,POWER(COS(PI()*MOD(Calculator!$B$34/Calculator!$F$12,1)),2)))),2))</f>
        <v>1.32</v>
      </c>
      <c r="BB59" s="116" t="n">
        <f aca="false">IF(OR(Calculator!$E$13&lt;&gt;"YES",Calculator!$B$34&lt;Calculator!$G$13),"—",ROUND(MAX((50*POWER(80,POWER(COS(PI()*MOD(Calculator!$B$34/Calculator!$F$13,1)),2)))/$C59,$C59/(50*POWER(80,POWER(COS(PI()*MOD(Calculator!$B$34/Calculator!$F$13,1)),2)))),2))</f>
        <v>3.24</v>
      </c>
      <c r="BC59" s="116" t="n">
        <f aca="false">IF(OR(Calculator!$E$14&lt;&gt;"YES",Calculator!$B$34&lt;Calculator!$G$14),"—",ROUND(MAX((50*POWER(80,POWER(COS(PI()*MOD(Calculator!$B$34/Calculator!$F$14,1)),2)))/$C59,$C59/(50*POWER(80,POWER(COS(PI()*MOD(Calculator!$B$34/Calculator!$F$14,1)),2)))),2))</f>
        <v>8.48</v>
      </c>
      <c r="BD59" s="116" t="n">
        <f aca="false">IF(OR(Calculator!$E$15&lt;&gt;"YES",Calculator!$B$34&lt;Calculator!$G$15),"—",ROUND(MAX((50*POWER(80,POWER(COS(PI()*MOD(Calculator!$B$34/Calculator!$F$15,1)),2)))/$C59,$C59/(50*POWER(80,POWER(COS(PI()*MOD(Calculator!$B$34/Calculator!$F$15,1)),2)))),2))</f>
        <v>5.7</v>
      </c>
      <c r="BE59" s="116" t="n">
        <f aca="false">IF(OR(Calculator!$E$16&lt;&gt;"YES",Calculator!$B$34&lt;Calculator!$G$16),"—",ROUND(MAX((50*POWER(80,POWER(COS(PI()*MOD(Calculator!$B$34/Calculator!$F$16,1)),2)))/$C59,$C59/(50*POWER(80,POWER(COS(PI()*MOD(Calculator!$B$34/Calculator!$F$16,1)),2)))),2))</f>
        <v>15.53</v>
      </c>
      <c r="BF59" s="116" t="n">
        <f aca="false">IF(OR(Calculator!$E$17&lt;&gt;"YES",Calculator!$B$34&lt;Calculator!$G$17),"—",ROUND(MAX((50*POWER(80,POWER(COS(PI()*MOD(Calculator!$B$34/Calculator!$F$17,1)),2)))/$C59,$C59/(50*POWER(80,POWER(COS(PI()*MOD(Calculator!$B$34/Calculator!$F$17,1)),2)))),2))</f>
        <v>1.94</v>
      </c>
      <c r="BG59" s="116" t="n">
        <f aca="false">IF(OR(Calculator!$E$18&lt;&gt;"YES",Calculator!$B$34&lt;Calculator!$G$18),"—",ROUND(MAX((50*POWER(80,POWER(COS(PI()*MOD(Calculator!$B$34/Calculator!$F$18,1)),2)))/$C59,$C59/(50*POWER(80,POWER(COS(PI()*MOD(Calculator!$B$34/Calculator!$F$18,1)),2)))),2))</f>
        <v>2.12</v>
      </c>
      <c r="BH59" s="116" t="n">
        <f aca="false">IF(OR(Calculator!$E$19&lt;&gt;"YES",Calculator!$B$34&lt;Calculator!$G$19),"—",ROUND(MAX((50*POWER(80,POWER(COS(PI()*MOD(Calculator!$B$34/Calculator!$F$19,1)),2)))/$C59,$C59/(50*POWER(80,POWER(COS(PI()*MOD(Calculator!$B$34/Calculator!$F$19,1)),2)))),2))</f>
        <v>1.62</v>
      </c>
      <c r="BI59" s="116" t="n">
        <f aca="false">IF(OR(Calculator!$E$20&lt;&gt;"YES",Calculator!$B$34&lt;Calculator!$G$20),"—",ROUND(MAX((50*POWER(80,POWER(COS(PI()*MOD(Calculator!$B$34/Calculator!$F$20,1)),2)))/$C59,$C59/(50*POWER(80,POWER(COS(PI()*MOD(Calculator!$B$34/Calculator!$F$20,1)),2)))),2))</f>
        <v>16.9</v>
      </c>
      <c r="BJ59" s="116" t="n">
        <f aca="false">IF(OR(Calculator!$E$21&lt;&gt;"YES",Calculator!$B$34&lt;Calculator!$G$21),"—",ROUND(MAX((50*POWER(80,POWER(COS(PI()*MOD(Calculator!$B$34/Calculator!$F$21,1)),2)))/$C59,$C59/(50*POWER(80,POWER(COS(PI()*MOD(Calculator!$B$34/Calculator!$F$21,1)),2)))),2))</f>
        <v>2.43</v>
      </c>
      <c r="BK59" s="115" t="n">
        <f aca="false">IFERROR(ROUND((IF(ISNUMBER(AZ59),AZ59,0)+IF(ISNUMBER(BA59),BA59,0)+IF(ISNUMBER(BB59),BB59,0)+IF(ISNUMBER(BC59),BC59,0)+IF(ISNUMBER(BD59),BD59,0)+IF(ISNUMBER(BE59),BE59,0)+IF(ISNUMBER(BF59),BF59,0)+IF(ISNUMBER(BG59),BG59,0)+IF(ISNUMBER(BH59),BH59,0)+IF(ISNUMBER(BI59),BI59,0)+IF(ISNUMBER(BJ59),BJ59,0))/(IF(ISNUMBER(AZ59),1,0)+IF(ISNUMBER(BA59),1,0)+IF(ISNUMBER(BB59),1,0)+IF(ISNUMBER(BC59),1,0)+IF(ISNUMBER(BD59),1,0)+IF(ISNUMBER(BE59),1,0)+IF(ISNUMBER(BF59),1,0)+IF(ISNUMBER(BG59),1,0)+IF(ISNUMBER(BH59),1,0)+IF(ISNUMBER(BI59),1,0)+IF(ISNUMBER(BJ59),1,0)),2),"")</f>
        <v>6.76</v>
      </c>
    </row>
    <row r="60" customFormat="false" ht="15" hidden="false" customHeight="false" outlineLevel="0" collapsed="false">
      <c r="A60" s="117" t="s">
        <v>118</v>
      </c>
      <c r="B60" s="117" t="s">
        <v>93</v>
      </c>
      <c r="C60" s="118" t="n">
        <v>1400</v>
      </c>
      <c r="D60" s="119" t="n">
        <f aca="false">IF(OR(Calculator!$E$11&lt;&gt;"YES",Calculator!$B$30&lt;Calculator!$G$11),"—",ROUND(MAX((50*POWER(80,POWER(COS(PI()*MOD(Calculator!$B$30/Calculator!$F$11,1)),2)))/$C60,$C60/(50*POWER(80,POWER(COS(PI()*MOD(Calculator!$B$30/Calculator!$F$11,1)),2)))),2))</f>
        <v>15.85</v>
      </c>
      <c r="E60" s="119" t="n">
        <f aca="false">IF(OR(Calculator!$E$12&lt;&gt;"YES",Calculator!$B$30&lt;Calculator!$G$12),"—",ROUND(MAX((50*POWER(80,POWER(COS(PI()*MOD(Calculator!$B$30/Calculator!$F$12,1)),2)))/$C60,$C60/(50*POWER(80,POWER(COS(PI()*MOD(Calculator!$B$30/Calculator!$F$12,1)),2)))),2))</f>
        <v>1.33</v>
      </c>
      <c r="F60" s="119" t="n">
        <f aca="false">IF(OR(Calculator!$E$13&lt;&gt;"YES",Calculator!$B$30&lt;Calculator!$G$13),"—",ROUND(MAX((50*POWER(80,POWER(COS(PI()*MOD(Calculator!$B$30/Calculator!$F$13,1)),2)))/$C60,$C60/(50*POWER(80,POWER(COS(PI()*MOD(Calculator!$B$30/Calculator!$F$13,1)),2)))),2))</f>
        <v>3.53</v>
      </c>
      <c r="G60" s="119" t="n">
        <f aca="false">IF(OR(Calculator!$E$14&lt;&gt;"YES",Calculator!$B$30&lt;Calculator!$G$14),"—",ROUND(MAX((50*POWER(80,POWER(COS(PI()*MOD(Calculator!$B$30/Calculator!$F$14,1)),2)))/$C60,$C60/(50*POWER(80,POWER(COS(PI()*MOD(Calculator!$B$30/Calculator!$F$14,1)),2)))),2))</f>
        <v>8.27</v>
      </c>
      <c r="H60" s="119" t="n">
        <f aca="false">IF(OR(Calculator!$E$15&lt;&gt;"YES",Calculator!$B$30&lt;Calculator!$G$15),"—",ROUND(MAX((50*POWER(80,POWER(COS(PI()*MOD(Calculator!$B$30/Calculator!$F$15,1)),2)))/$C60,$C60/(50*POWER(80,POWER(COS(PI()*MOD(Calculator!$B$30/Calculator!$F$15,1)),2)))),2))</f>
        <v>5.38</v>
      </c>
      <c r="I60" s="119" t="n">
        <f aca="false">IF(OR(Calculator!$E$16&lt;&gt;"YES",Calculator!$B$30&lt;Calculator!$G$16),"—",ROUND(MAX((50*POWER(80,POWER(COS(PI()*MOD(Calculator!$B$30/Calculator!$F$16,1)),2)))/$C60,$C60/(50*POWER(80,POWER(COS(PI()*MOD(Calculator!$B$30/Calculator!$F$16,1)),2)))),2))</f>
        <v>17.59</v>
      </c>
      <c r="J60" s="119" t="n">
        <f aca="false">IF(OR(Calculator!$E$17&lt;&gt;"YES",Calculator!$B$30&lt;Calculator!$G$17),"—",ROUND(MAX((50*POWER(80,POWER(COS(PI()*MOD(Calculator!$B$30/Calculator!$F$17,1)),2)))/$C60,$C60/(50*POWER(80,POWER(COS(PI()*MOD(Calculator!$B$30/Calculator!$F$17,1)),2)))),2))</f>
        <v>1.68</v>
      </c>
      <c r="K60" s="119" t="n">
        <f aca="false">IF(OR(Calculator!$E$18&lt;&gt;"YES",Calculator!$B$30&lt;Calculator!$G$18),"—",ROUND(MAX((50*POWER(80,POWER(COS(PI()*MOD(Calculator!$B$30/Calculator!$F$18,1)),2)))/$C60,$C60/(50*POWER(80,POWER(COS(PI()*MOD(Calculator!$B$30/Calculator!$F$18,1)),2)))),2))</f>
        <v>1.82</v>
      </c>
      <c r="L60" s="119" t="n">
        <f aca="false">IF(OR(Calculator!$E$19&lt;&gt;"YES",Calculator!$B$30&lt;Calculator!$G$19),"—",ROUND(MAX((50*POWER(80,POWER(COS(PI()*MOD(Calculator!$B$30/Calculator!$F$19,1)),2)))/$C60,$C60/(50*POWER(80,POWER(COS(PI()*MOD(Calculator!$B$30/Calculator!$F$19,1)),2)))),2))</f>
        <v>1.83</v>
      </c>
      <c r="M60" s="119" t="n">
        <f aca="false">IF(OR(Calculator!$E$20&lt;&gt;"YES",Calculator!$B$30&lt;Calculator!$G$20),"—",ROUND(MAX((50*POWER(80,POWER(COS(PI()*MOD(Calculator!$B$30/Calculator!$F$20,1)),2)))/$C60,$C60/(50*POWER(80,POWER(COS(PI()*MOD(Calculator!$B$30/Calculator!$F$20,1)),2)))),2))</f>
        <v>14.56</v>
      </c>
      <c r="N60" s="119" t="n">
        <f aca="false">IF(OR(Calculator!$E$21&lt;&gt;"YES",Calculator!$B$30&lt;Calculator!$G$21),"—",ROUND(MAX((50*POWER(80,POWER(COS(PI()*MOD(Calculator!$B$30/Calculator!$F$21,1)),2)))/$C60,$C60/(50*POWER(80,POWER(COS(PI()*MOD(Calculator!$B$30/Calculator!$F$21,1)),2)))),2))</f>
        <v>1.81</v>
      </c>
      <c r="O60" s="114" t="n">
        <f aca="false">IFERROR(ROUND((IF(ISNUMBER(D60),D60,0)+IF(ISNUMBER(E60),E60,0)+IF(ISNUMBER(F60),F60,0)+IF(ISNUMBER(G60),G60,0)+IF(ISNUMBER(H60),H60,0)+IF(ISNUMBER(I60),I60,0)+IF(ISNUMBER(J60),J60,0)+IF(ISNUMBER(K60),K60,0)+IF(ISNUMBER(L60),L60,0)+IF(ISNUMBER(M60),M60,0)+IF(ISNUMBER(N60),N60,0))/(IF(ISNUMBER(D60),1,0)+IF(ISNUMBER(E60),1,0)+IF(ISNUMBER(F60),1,0)+IF(ISNUMBER(G60),1,0)+IF(ISNUMBER(H60),1,0)+IF(ISNUMBER(I60),1,0)+IF(ISNUMBER(J60),1,0)+IF(ISNUMBER(K60),1,0)+IF(ISNUMBER(L60),1,0)+IF(ISNUMBER(M60),1,0)+IF(ISNUMBER(N60),1,0)),2),"")</f>
        <v>6.7</v>
      </c>
      <c r="P60" s="119" t="n">
        <f aca="false">IF(OR(Calculator!$E$11&lt;&gt;"YES",Calculator!$B$31&lt;Calculator!$G$11),"—",ROUND(MAX((50*POWER(80,POWER(COS(PI()*MOD(Calculator!$B$31/Calculator!$F$11,1)),2)))/$C60,$C60/(50*POWER(80,POWER(COS(PI()*MOD(Calculator!$B$31/Calculator!$F$11,1)),2)))),2))</f>
        <v>16.05</v>
      </c>
      <c r="Q60" s="119" t="n">
        <f aca="false">IF(OR(Calculator!$E$12&lt;&gt;"YES",Calculator!$B$31&lt;Calculator!$G$12),"—",ROUND(MAX((50*POWER(80,POWER(COS(PI()*MOD(Calculator!$B$31/Calculator!$F$12,1)),2)))/$C60,$C60/(50*POWER(80,POWER(COS(PI()*MOD(Calculator!$B$31/Calculator!$F$12,1)),2)))),2))</f>
        <v>1.28</v>
      </c>
      <c r="R60" s="119" t="n">
        <f aca="false">IF(OR(Calculator!$E$13&lt;&gt;"YES",Calculator!$B$31&lt;Calculator!$G$13),"—",ROUND(MAX((50*POWER(80,POWER(COS(PI()*MOD(Calculator!$B$31/Calculator!$F$13,1)),2)))/$C60,$C60/(50*POWER(80,POWER(COS(PI()*MOD(Calculator!$B$31/Calculator!$F$13,1)),2)))),2))</f>
        <v>3.72</v>
      </c>
      <c r="S60" s="119" t="n">
        <f aca="false">IF(OR(Calculator!$E$14&lt;&gt;"YES",Calculator!$B$31&lt;Calculator!$G$14),"—",ROUND(MAX((50*POWER(80,POWER(COS(PI()*MOD(Calculator!$B$31/Calculator!$F$14,1)),2)))/$C60,$C60/(50*POWER(80,POWER(COS(PI()*MOD(Calculator!$B$31/Calculator!$F$14,1)),2)))),2))</f>
        <v>7.77</v>
      </c>
      <c r="T60" s="119" t="n">
        <f aca="false">IF(OR(Calculator!$E$15&lt;&gt;"YES",Calculator!$B$31&lt;Calculator!$G$15),"—",ROUND(MAX((50*POWER(80,POWER(COS(PI()*MOD(Calculator!$B$31/Calculator!$F$15,1)),2)))/$C60,$C60/(50*POWER(80,POWER(COS(PI()*MOD(Calculator!$B$31/Calculator!$F$15,1)),2)))),2))</f>
        <v>4.89</v>
      </c>
      <c r="U60" s="119" t="n">
        <f aca="false">IF(OR(Calculator!$E$16&lt;&gt;"YES",Calculator!$B$31&lt;Calculator!$G$16),"—",ROUND(MAX((50*POWER(80,POWER(COS(PI()*MOD(Calculator!$B$31/Calculator!$F$16,1)),2)))/$C60,$C60/(50*POWER(80,POWER(COS(PI()*MOD(Calculator!$B$31/Calculator!$F$16,1)),2)))),2))</f>
        <v>19.07</v>
      </c>
      <c r="V60" s="119" t="n">
        <f aca="false">IF(OR(Calculator!$E$17&lt;&gt;"YES",Calculator!$B$31&lt;Calculator!$G$17),"—",ROUND(MAX((50*POWER(80,POWER(COS(PI()*MOD(Calculator!$B$31/Calculator!$F$17,1)),2)))/$C60,$C60/(50*POWER(80,POWER(COS(PI()*MOD(Calculator!$B$31/Calculator!$F$17,1)),2)))),2))</f>
        <v>1.49</v>
      </c>
      <c r="W60" s="119" t="n">
        <f aca="false">IF(OR(Calculator!$E$18&lt;&gt;"YES",Calculator!$B$31&lt;Calculator!$G$18),"—",ROUND(MAX((50*POWER(80,POWER(COS(PI()*MOD(Calculator!$B$31/Calculator!$F$18,1)),2)))/$C60,$C60/(50*POWER(80,POWER(COS(PI()*MOD(Calculator!$B$31/Calculator!$F$18,1)),2)))),2))</f>
        <v>1.6</v>
      </c>
      <c r="X60" s="119" t="n">
        <f aca="false">IF(OR(Calculator!$E$19&lt;&gt;"YES",Calculator!$B$31&lt;Calculator!$G$19),"—",ROUND(MAX((50*POWER(80,POWER(COS(PI()*MOD(Calculator!$B$31/Calculator!$F$19,1)),2)))/$C60,$C60/(50*POWER(80,POWER(COS(PI()*MOD(Calculator!$B$31/Calculator!$F$19,1)),2)))),2))</f>
        <v>2.09</v>
      </c>
      <c r="Y60" s="119" t="n">
        <f aca="false">IF(OR(Calculator!$E$20&lt;&gt;"YES",Calculator!$B$31&lt;Calculator!$G$20),"—",ROUND(MAX((50*POWER(80,POWER(COS(PI()*MOD(Calculator!$B$31/Calculator!$F$20,1)),2)))/$C60,$C60/(50*POWER(80,POWER(COS(PI()*MOD(Calculator!$B$31/Calculator!$F$20,1)),2)))),2))</f>
        <v>11.79</v>
      </c>
      <c r="Z60" s="119" t="n">
        <f aca="false">IF(OR(Calculator!$E$21&lt;&gt;"YES",Calculator!$B$31&lt;Calculator!$G$21),"—",ROUND(MAX((50*POWER(80,POWER(COS(PI()*MOD(Calculator!$B$31/Calculator!$F$21,1)),2)))/$C60,$C60/(50*POWER(80,POWER(COS(PI()*MOD(Calculator!$B$31/Calculator!$F$21,1)),2)))),2))</f>
        <v>1.28</v>
      </c>
      <c r="AA60" s="114" t="n">
        <f aca="false">IFERROR(ROUND((IF(ISNUMBER(P60),P60,0)+IF(ISNUMBER(Q60),Q60,0)+IF(ISNUMBER(R60),R60,0)+IF(ISNUMBER(S60),S60,0)+IF(ISNUMBER(T60),T60,0)+IF(ISNUMBER(U60),U60,0)+IF(ISNUMBER(V60),V60,0)+IF(ISNUMBER(W60),W60,0)+IF(ISNUMBER(X60),X60,0)+IF(ISNUMBER(Y60),Y60,0)+IF(ISNUMBER(Z60),Z60,0))/(IF(ISNUMBER(P60),1,0)+IF(ISNUMBER(Q60),1,0)+IF(ISNUMBER(R60),1,0)+IF(ISNUMBER(S60),1,0)+IF(ISNUMBER(T60),1,0)+IF(ISNUMBER(U60),1,0)+IF(ISNUMBER(V60),1,0)+IF(ISNUMBER(W60),1,0)+IF(ISNUMBER(X60),1,0)+IF(ISNUMBER(Y60),1,0)+IF(ISNUMBER(Z60),1,0)),2),"")</f>
        <v>6.46</v>
      </c>
      <c r="AB60" s="119" t="n">
        <f aca="false">IF(OR(Calculator!$E$11&lt;&gt;"YES",Calculator!$B$32&lt;Calculator!$G$11),"—",ROUND(MAX((50*POWER(80,POWER(COS(PI()*MOD(Calculator!$B$32/Calculator!$F$11,1)),2)))/$C60,$C60/(50*POWER(80,POWER(COS(PI()*MOD(Calculator!$B$32/Calculator!$F$11,1)),2)))),2))</f>
        <v>20.2</v>
      </c>
      <c r="AC60" s="119" t="n">
        <f aca="false">IF(OR(Calculator!$E$12&lt;&gt;"YES",Calculator!$B$32&lt;Calculator!$G$12),"—",ROUND(MAX((50*POWER(80,POWER(COS(PI()*MOD(Calculator!$B$32/Calculator!$F$12,1)),2)))/$C60,$C60/(50*POWER(80,POWER(COS(PI()*MOD(Calculator!$B$32/Calculator!$F$12,1)),2)))),2))</f>
        <v>1.44</v>
      </c>
      <c r="AD60" s="119" t="n">
        <f aca="false">IF(OR(Calculator!$E$13&lt;&gt;"YES",Calculator!$B$32&lt;Calculator!$G$13),"—",ROUND(MAX((50*POWER(80,POWER(COS(PI()*MOD(Calculator!$B$32/Calculator!$F$13,1)),2)))/$C60,$C60/(50*POWER(80,POWER(COS(PI()*MOD(Calculator!$B$32/Calculator!$F$13,1)),2)))),2))</f>
        <v>10.31</v>
      </c>
      <c r="AE60" s="119" t="n">
        <f aca="false">IF(OR(Calculator!$E$14&lt;&gt;"YES",Calculator!$B$32&lt;Calculator!$G$14),"—",ROUND(MAX((50*POWER(80,POWER(COS(PI()*MOD(Calculator!$B$32/Calculator!$F$14,1)),2)))/$C60,$C60/(50*POWER(80,POWER(COS(PI()*MOD(Calculator!$B$32/Calculator!$F$14,1)),2)))),2))</f>
        <v>1.88</v>
      </c>
      <c r="AF60" s="119" t="n">
        <f aca="false">IF(OR(Calculator!$E$15&lt;&gt;"YES",Calculator!$B$32&lt;Calculator!$G$15),"—",ROUND(MAX((50*POWER(80,POWER(COS(PI()*MOD(Calculator!$B$32/Calculator!$F$15,1)),2)))/$C60,$C60/(50*POWER(80,POWER(COS(PI()*MOD(Calculator!$B$32/Calculator!$F$15,1)),2)))),2))</f>
        <v>1.38</v>
      </c>
      <c r="AG60" s="119" t="n">
        <f aca="false">IF(OR(Calculator!$E$16&lt;&gt;"YES",Calculator!$B$32&lt;Calculator!$G$16),"—",ROUND(MAX((50*POWER(80,POWER(COS(PI()*MOD(Calculator!$B$32/Calculator!$F$16,1)),2)))/$C60,$C60/(50*POWER(80,POWER(COS(PI()*MOD(Calculator!$B$32/Calculator!$F$16,1)),2)))),2))</f>
        <v>16.46</v>
      </c>
      <c r="AH60" s="119" t="n">
        <f aca="false">IF(OR(Calculator!$E$17&lt;&gt;"YES",Calculator!$B$32&lt;Calculator!$G$17),"—",ROUND(MAX((50*POWER(80,POWER(COS(PI()*MOD(Calculator!$B$32/Calculator!$F$17,1)),2)))/$C60,$C60/(50*POWER(80,POWER(COS(PI()*MOD(Calculator!$B$32/Calculator!$F$17,1)),2)))),2))</f>
        <v>17.38</v>
      </c>
      <c r="AI60" s="119" t="n">
        <f aca="false">IF(OR(Calculator!$E$18&lt;&gt;"YES",Calculator!$B$32&lt;Calculator!$G$18),"—",ROUND(MAX((50*POWER(80,POWER(COS(PI()*MOD(Calculator!$B$32/Calculator!$F$18,1)),2)))/$C60,$C60/(50*POWER(80,POWER(COS(PI()*MOD(Calculator!$B$32/Calculator!$F$18,1)),2)))),2))</f>
        <v>22.92</v>
      </c>
      <c r="AJ60" s="119" t="n">
        <f aca="false">IF(OR(Calculator!$E$19&lt;&gt;"YES",Calculator!$B$32&lt;Calculator!$G$19),"—",ROUND(MAX((50*POWER(80,POWER(COS(PI()*MOD(Calculator!$B$32/Calculator!$F$19,1)),2)))/$C60,$C60/(50*POWER(80,POWER(COS(PI()*MOD(Calculator!$B$32/Calculator!$F$19,1)),2)))),2))</f>
        <v>4.83</v>
      </c>
      <c r="AK60" s="119" t="n">
        <f aca="false">IF(OR(Calculator!$E$20&lt;&gt;"YES",Calculator!$B$32&lt;Calculator!$G$20),"—",ROUND(MAX((50*POWER(80,POWER(COS(PI()*MOD(Calculator!$B$32/Calculator!$F$20,1)),2)))/$C60,$C60/(50*POWER(80,POWER(COS(PI()*MOD(Calculator!$B$32/Calculator!$F$20,1)),2)))),2))</f>
        <v>2.3</v>
      </c>
      <c r="AL60" s="119" t="n">
        <f aca="false">IF(OR(Calculator!$E$21&lt;&gt;"YES",Calculator!$B$32&lt;Calculator!$G$21),"—",ROUND(MAX((50*POWER(80,POWER(COS(PI()*MOD(Calculator!$B$32/Calculator!$F$21,1)),2)))/$C60,$C60/(50*POWER(80,POWER(COS(PI()*MOD(Calculator!$B$32/Calculator!$F$21,1)),2)))),2))</f>
        <v>1.99</v>
      </c>
      <c r="AM60" s="115" t="n">
        <f aca="false">IFERROR(ROUND((IF(ISNUMBER(AB60),AB60,0)+IF(ISNUMBER(AC60),AC60,0)+IF(ISNUMBER(AD60),AD60,0)+IF(ISNUMBER(AE60),AE60,0)+IF(ISNUMBER(AF60),AF60,0)+IF(ISNUMBER(AG60),AG60,0)+IF(ISNUMBER(AH60),AH60,0)+IF(ISNUMBER(AI60),AI60,0)+IF(ISNUMBER(AJ60),AJ60,0)+IF(ISNUMBER(AK60),AK60,0)+IF(ISNUMBER(AL60),AL60,0))/(IF(ISNUMBER(AB60),1,0)+IF(ISNUMBER(AC60),1,0)+IF(ISNUMBER(AD60),1,0)+IF(ISNUMBER(AE60),1,0)+IF(ISNUMBER(AF60),1,0)+IF(ISNUMBER(AG60),1,0)+IF(ISNUMBER(AH60),1,0)+IF(ISNUMBER(AI60),1,0)+IF(ISNUMBER(AJ60),1,0)+IF(ISNUMBER(AK60),1,0)+IF(ISNUMBER(AL60),1,0)),2),"")</f>
        <v>9.19</v>
      </c>
      <c r="AN60" s="120" t="n">
        <f aca="false">IF(OR(Calculator!$E$11&lt;&gt;"YES",Calculator!$B$33&lt;Calculator!$G$11),"—",ROUND(MAX((50*POWER(80,POWER(COS(PI()*MOD(Calculator!$B$33/Calculator!$F$11,1)),2)))/$C60,$C60/(50*POWER(80,POWER(COS(PI()*MOD(Calculator!$B$33/Calculator!$F$11,1)),2)))),2))</f>
        <v>16.24</v>
      </c>
      <c r="AO60" s="120" t="n">
        <f aca="false">IF(OR(Calculator!$E$12&lt;&gt;"YES",Calculator!$B$33&lt;Calculator!$G$12),"—",ROUND(MAX((50*POWER(80,POWER(COS(PI()*MOD(Calculator!$B$33/Calculator!$F$12,1)),2)))/$C60,$C60/(50*POWER(80,POWER(COS(PI()*MOD(Calculator!$B$33/Calculator!$F$12,1)),2)))),2))</f>
        <v>1.24</v>
      </c>
      <c r="AP60" s="120" t="n">
        <f aca="false">IF(OR(Calculator!$E$13&lt;&gt;"YES",Calculator!$B$33&lt;Calculator!$G$13),"—",ROUND(MAX((50*POWER(80,POWER(COS(PI()*MOD(Calculator!$B$33/Calculator!$F$13,1)),2)))/$C60,$C60/(50*POWER(80,POWER(COS(PI()*MOD(Calculator!$B$33/Calculator!$F$13,1)),2)))),2))</f>
        <v>3.92</v>
      </c>
      <c r="AQ60" s="120" t="n">
        <f aca="false">IF(OR(Calculator!$E$14&lt;&gt;"YES",Calculator!$B$33&lt;Calculator!$G$14),"—",ROUND(MAX((50*POWER(80,POWER(COS(PI()*MOD(Calculator!$B$33/Calculator!$F$14,1)),2)))/$C60,$C60/(50*POWER(80,POWER(COS(PI()*MOD(Calculator!$B$33/Calculator!$F$14,1)),2)))),2))</f>
        <v>7.29</v>
      </c>
      <c r="AR60" s="120" t="n">
        <f aca="false">IF(OR(Calculator!$E$15&lt;&gt;"YES",Calculator!$B$33&lt;Calculator!$G$15),"—",ROUND(MAX((50*POWER(80,POWER(COS(PI()*MOD(Calculator!$B$33/Calculator!$F$15,1)),2)))/$C60,$C60/(50*POWER(80,POWER(COS(PI()*MOD(Calculator!$B$33/Calculator!$F$15,1)),2)))),2))</f>
        <v>4.44</v>
      </c>
      <c r="AS60" s="120" t="n">
        <f aca="false">IF(OR(Calculator!$E$16&lt;&gt;"YES",Calculator!$B$33&lt;Calculator!$G$16),"—",ROUND(MAX((50*POWER(80,POWER(COS(PI()*MOD(Calculator!$B$33/Calculator!$F$16,1)),2)))/$C60,$C60/(50*POWER(80,POWER(COS(PI()*MOD(Calculator!$B$33/Calculator!$F$16,1)),2)))),2))</f>
        <v>20.53</v>
      </c>
      <c r="AT60" s="120" t="n">
        <f aca="false">IF(OR(Calculator!$E$17&lt;&gt;"YES",Calculator!$B$33&lt;Calculator!$G$17),"—",ROUND(MAX((50*POWER(80,POWER(COS(PI()*MOD(Calculator!$B$33/Calculator!$F$17,1)),2)))/$C60,$C60/(50*POWER(80,POWER(COS(PI()*MOD(Calculator!$B$33/Calculator!$F$17,1)),2)))),2))</f>
        <v>1.31</v>
      </c>
      <c r="AU60" s="120" t="n">
        <f aca="false">IF(OR(Calculator!$E$18&lt;&gt;"YES",Calculator!$B$33&lt;Calculator!$G$18),"—",ROUND(MAX((50*POWER(80,POWER(COS(PI()*MOD(Calculator!$B$33/Calculator!$F$18,1)),2)))/$C60,$C60/(50*POWER(80,POWER(COS(PI()*MOD(Calculator!$B$33/Calculator!$F$18,1)),2)))),2))</f>
        <v>1.38</v>
      </c>
      <c r="AV60" s="120" t="n">
        <f aca="false">IF(OR(Calculator!$E$19&lt;&gt;"YES",Calculator!$B$33&lt;Calculator!$G$19),"—",ROUND(MAX((50*POWER(80,POWER(COS(PI()*MOD(Calculator!$B$33/Calculator!$F$19,1)),2)))/$C60,$C60/(50*POWER(80,POWER(COS(PI()*MOD(Calculator!$B$33/Calculator!$F$19,1)),2)))),2))</f>
        <v>2.34</v>
      </c>
      <c r="AW60" s="120" t="n">
        <f aca="false">IF(OR(Calculator!$E$20&lt;&gt;"YES",Calculator!$B$33&lt;Calculator!$G$20),"—",ROUND(MAX((50*POWER(80,POWER(COS(PI()*MOD(Calculator!$B$33/Calculator!$F$20,1)),2)))/$C60,$C60/(50*POWER(80,POWER(COS(PI()*MOD(Calculator!$B$33/Calculator!$F$20,1)),2)))),2))</f>
        <v>9.35</v>
      </c>
      <c r="AX60" s="120" t="n">
        <f aca="false">IF(OR(Calculator!$E$21&lt;&gt;"YES",Calculator!$B$33&lt;Calculator!$G$21),"—",ROUND(MAX((50*POWER(80,POWER(COS(PI()*MOD(Calculator!$B$33/Calculator!$F$21,1)),2)))/$C60,$C60/(50*POWER(80,POWER(COS(PI()*MOD(Calculator!$B$33/Calculator!$F$21,1)),2)))),2))</f>
        <v>1.19</v>
      </c>
      <c r="AY60" s="115" t="n">
        <f aca="false">IFERROR(ROUND((IF(ISNUMBER(AN60),AN60,0)+IF(ISNUMBER(AO60),AO60,0)+IF(ISNUMBER(AP60),AP60,0)+IF(ISNUMBER(AQ60),AQ60,0)+IF(ISNUMBER(AR60),AR60,0)+IF(ISNUMBER(AS60),AS60,0)+IF(ISNUMBER(AT60),AT60,0)+IF(ISNUMBER(AU60),AU60,0)+IF(ISNUMBER(AV60),AV60,0)+IF(ISNUMBER(AW60),AW60,0)+IF(ISNUMBER(AX60),AX60,0))/(IF(ISNUMBER(AN60),1,0)+IF(ISNUMBER(AO60),1,0)+IF(ISNUMBER(AP60),1,0)+IF(ISNUMBER(AQ60),1,0)+IF(ISNUMBER(AR60),1,0)+IF(ISNUMBER(AS60),1,0)+IF(ISNUMBER(AT60),1,0)+IF(ISNUMBER(AU60),1,0)+IF(ISNUMBER(AV60),1,0)+IF(ISNUMBER(AW60),1,0)+IF(ISNUMBER(AX60),1,0)),2),"")</f>
        <v>6.29</v>
      </c>
      <c r="AZ60" s="120" t="n">
        <f aca="false">IF(OR(Calculator!$E$11&lt;&gt;"YES",Calculator!$B$34&lt;Calculator!$G$11),"—",ROUND(MAX((50*POWER(80,POWER(COS(PI()*MOD(Calculator!$B$34/Calculator!$F$11,1)),2)))/$C60,$C60/(50*POWER(80,POWER(COS(PI()*MOD(Calculator!$B$34/Calculator!$F$11,1)),2)))),2))</f>
        <v>15.66</v>
      </c>
      <c r="BA60" s="120" t="n">
        <f aca="false">IF(OR(Calculator!$E$12&lt;&gt;"YES",Calculator!$B$34&lt;Calculator!$G$12),"—",ROUND(MAX((50*POWER(80,POWER(COS(PI()*MOD(Calculator!$B$34/Calculator!$F$12,1)),2)))/$C60,$C60/(50*POWER(80,POWER(COS(PI()*MOD(Calculator!$B$34/Calculator!$F$12,1)),2)))),2))</f>
        <v>1.37</v>
      </c>
      <c r="BB60" s="120" t="n">
        <f aca="false">IF(OR(Calculator!$E$13&lt;&gt;"YES",Calculator!$B$34&lt;Calculator!$G$13),"—",ROUND(MAX((50*POWER(80,POWER(COS(PI()*MOD(Calculator!$B$34/Calculator!$F$13,1)),2)))/$C60,$C60/(50*POWER(80,POWER(COS(PI()*MOD(Calculator!$B$34/Calculator!$F$13,1)),2)))),2))</f>
        <v>3.36</v>
      </c>
      <c r="BC60" s="120" t="n">
        <f aca="false">IF(OR(Calculator!$E$14&lt;&gt;"YES",Calculator!$B$34&lt;Calculator!$G$14),"—",ROUND(MAX((50*POWER(80,POWER(COS(PI()*MOD(Calculator!$B$34/Calculator!$F$14,1)),2)))/$C60,$C60/(50*POWER(80,POWER(COS(PI()*MOD(Calculator!$B$34/Calculator!$F$14,1)),2)))),2))</f>
        <v>8.8</v>
      </c>
      <c r="BD60" s="120" t="n">
        <f aca="false">IF(OR(Calculator!$E$15&lt;&gt;"YES",Calculator!$B$34&lt;Calculator!$G$15),"—",ROUND(MAX((50*POWER(80,POWER(COS(PI()*MOD(Calculator!$B$34/Calculator!$F$15,1)),2)))/$C60,$C60/(50*POWER(80,POWER(COS(PI()*MOD(Calculator!$B$34/Calculator!$F$15,1)),2)))),2))</f>
        <v>5.91</v>
      </c>
      <c r="BE60" s="120" t="n">
        <f aca="false">IF(OR(Calculator!$E$16&lt;&gt;"YES",Calculator!$B$34&lt;Calculator!$G$16),"—",ROUND(MAX((50*POWER(80,POWER(COS(PI()*MOD(Calculator!$B$34/Calculator!$F$16,1)),2)))/$C60,$C60/(50*POWER(80,POWER(COS(PI()*MOD(Calculator!$B$34/Calculator!$F$16,1)),2)))),2))</f>
        <v>16.11</v>
      </c>
      <c r="BF60" s="120" t="n">
        <f aca="false">IF(OR(Calculator!$E$17&lt;&gt;"YES",Calculator!$B$34&lt;Calculator!$G$17),"—",ROUND(MAX((50*POWER(80,POWER(COS(PI()*MOD(Calculator!$B$34/Calculator!$F$17,1)),2)))/$C60,$C60/(50*POWER(80,POWER(COS(PI()*MOD(Calculator!$B$34/Calculator!$F$17,1)),2)))),2))</f>
        <v>1.87</v>
      </c>
      <c r="BG60" s="120" t="n">
        <f aca="false">IF(OR(Calculator!$E$18&lt;&gt;"YES",Calculator!$B$34&lt;Calculator!$G$18),"—",ROUND(MAX((50*POWER(80,POWER(COS(PI()*MOD(Calculator!$B$34/Calculator!$F$18,1)),2)))/$C60,$C60/(50*POWER(80,POWER(COS(PI()*MOD(Calculator!$B$34/Calculator!$F$18,1)),2)))),2))</f>
        <v>2.05</v>
      </c>
      <c r="BH60" s="120" t="n">
        <f aca="false">IF(OR(Calculator!$E$19&lt;&gt;"YES",Calculator!$B$34&lt;Calculator!$G$19),"—",ROUND(MAX((50*POWER(80,POWER(COS(PI()*MOD(Calculator!$B$34/Calculator!$F$19,1)),2)))/$C60,$C60/(50*POWER(80,POWER(COS(PI()*MOD(Calculator!$B$34/Calculator!$F$19,1)),2)))),2))</f>
        <v>1.57</v>
      </c>
      <c r="BI60" s="120" t="n">
        <f aca="false">IF(OR(Calculator!$E$20&lt;&gt;"YES",Calculator!$B$34&lt;Calculator!$G$20),"—",ROUND(MAX((50*POWER(80,POWER(COS(PI()*MOD(Calculator!$B$34/Calculator!$F$20,1)),2)))/$C60,$C60/(50*POWER(80,POWER(COS(PI()*MOD(Calculator!$B$34/Calculator!$F$20,1)),2)))),2))</f>
        <v>17.53</v>
      </c>
      <c r="BJ60" s="120" t="n">
        <f aca="false">IF(OR(Calculator!$E$21&lt;&gt;"YES",Calculator!$B$34&lt;Calculator!$G$21),"—",ROUND(MAX((50*POWER(80,POWER(COS(PI()*MOD(Calculator!$B$34/Calculator!$F$21,1)),2)))/$C60,$C60/(50*POWER(80,POWER(COS(PI()*MOD(Calculator!$B$34/Calculator!$F$21,1)),2)))),2))</f>
        <v>2.35</v>
      </c>
      <c r="BK60" s="115" t="n">
        <f aca="false">IFERROR(ROUND((IF(ISNUMBER(AZ60),AZ60,0)+IF(ISNUMBER(BA60),BA60,0)+IF(ISNUMBER(BB60),BB60,0)+IF(ISNUMBER(BC60),BC60,0)+IF(ISNUMBER(BD60),BD60,0)+IF(ISNUMBER(BE60),BE60,0)+IF(ISNUMBER(BF60),BF60,0)+IF(ISNUMBER(BG60),BG60,0)+IF(ISNUMBER(BH60),BH60,0)+IF(ISNUMBER(BI60),BI60,0)+IF(ISNUMBER(BJ60),BJ60,0))/(IF(ISNUMBER(AZ60),1,0)+IF(ISNUMBER(BA60),1,0)+IF(ISNUMBER(BB60),1,0)+IF(ISNUMBER(BC60),1,0)+IF(ISNUMBER(BD60),1,0)+IF(ISNUMBER(BE60),1,0)+IF(ISNUMBER(BF60),1,0)+IF(ISNUMBER(BG60),1,0)+IF(ISNUMBER(BH60),1,0)+IF(ISNUMBER(BI60),1,0)+IF(ISNUMBER(BJ60),1,0)),2),"")</f>
        <v>6.96</v>
      </c>
    </row>
    <row r="61" customFormat="false" ht="15" hidden="false" customHeight="false" outlineLevel="0" collapsed="false">
      <c r="A61" s="87" t="s">
        <v>119</v>
      </c>
      <c r="B61" s="87" t="s">
        <v>93</v>
      </c>
      <c r="C61" s="90" t="n">
        <v>1450</v>
      </c>
      <c r="D61" s="91" t="n">
        <f aca="false">IF(OR(Calculator!$E$11&lt;&gt;"YES",Calculator!$B$30&lt;Calculator!$G$11),"—",ROUND(MAX((50*POWER(80,POWER(COS(PI()*MOD(Calculator!$B$30/Calculator!$F$11,1)),2)))/$C61,$C61/(50*POWER(80,POWER(COS(PI()*MOD(Calculator!$B$30/Calculator!$F$11,1)),2)))),2))</f>
        <v>16.42</v>
      </c>
      <c r="E61" s="91" t="n">
        <f aca="false">IF(OR(Calculator!$E$12&lt;&gt;"YES",Calculator!$B$30&lt;Calculator!$G$12),"—",ROUND(MAX((50*POWER(80,POWER(COS(PI()*MOD(Calculator!$B$30/Calculator!$F$12,1)),2)))/$C61,$C61/(50*POWER(80,POWER(COS(PI()*MOD(Calculator!$B$30/Calculator!$F$12,1)),2)))),2))</f>
        <v>1.37</v>
      </c>
      <c r="F61" s="91" t="n">
        <f aca="false">IF(OR(Calculator!$E$13&lt;&gt;"YES",Calculator!$B$30&lt;Calculator!$G$13),"—",ROUND(MAX((50*POWER(80,POWER(COS(PI()*MOD(Calculator!$B$30/Calculator!$F$13,1)),2)))/$C61,$C61/(50*POWER(80,POWER(COS(PI()*MOD(Calculator!$B$30/Calculator!$F$13,1)),2)))),2))</f>
        <v>3.66</v>
      </c>
      <c r="G61" s="91" t="n">
        <f aca="false">IF(OR(Calculator!$E$14&lt;&gt;"YES",Calculator!$B$30&lt;Calculator!$G$14),"—",ROUND(MAX((50*POWER(80,POWER(COS(PI()*MOD(Calculator!$B$30/Calculator!$F$14,1)),2)))/$C61,$C61/(50*POWER(80,POWER(COS(PI()*MOD(Calculator!$B$30/Calculator!$F$14,1)),2)))),2))</f>
        <v>8.57</v>
      </c>
      <c r="H61" s="91" t="n">
        <f aca="false">IF(OR(Calculator!$E$15&lt;&gt;"YES",Calculator!$B$30&lt;Calculator!$G$15),"—",ROUND(MAX((50*POWER(80,POWER(COS(PI()*MOD(Calculator!$B$30/Calculator!$F$15,1)),2)))/$C61,$C61/(50*POWER(80,POWER(COS(PI()*MOD(Calculator!$B$30/Calculator!$F$15,1)),2)))),2))</f>
        <v>5.57</v>
      </c>
      <c r="I61" s="91" t="n">
        <f aca="false">IF(OR(Calculator!$E$16&lt;&gt;"YES",Calculator!$B$30&lt;Calculator!$G$16),"—",ROUND(MAX((50*POWER(80,POWER(COS(PI()*MOD(Calculator!$B$30/Calculator!$F$16,1)),2)))/$C61,$C61/(50*POWER(80,POWER(COS(PI()*MOD(Calculator!$B$30/Calculator!$F$16,1)),2)))),2))</f>
        <v>18.21</v>
      </c>
      <c r="J61" s="91" t="n">
        <f aca="false">IF(OR(Calculator!$E$17&lt;&gt;"YES",Calculator!$B$30&lt;Calculator!$G$17),"—",ROUND(MAX((50*POWER(80,POWER(COS(PI()*MOD(Calculator!$B$30/Calculator!$F$17,1)),2)))/$C61,$C61/(50*POWER(80,POWER(COS(PI()*MOD(Calculator!$B$30/Calculator!$F$17,1)),2)))),2))</f>
        <v>1.62</v>
      </c>
      <c r="K61" s="91" t="n">
        <f aca="false">IF(OR(Calculator!$E$18&lt;&gt;"YES",Calculator!$B$30&lt;Calculator!$G$18),"—",ROUND(MAX((50*POWER(80,POWER(COS(PI()*MOD(Calculator!$B$30/Calculator!$F$18,1)),2)))/$C61,$C61/(50*POWER(80,POWER(COS(PI()*MOD(Calculator!$B$30/Calculator!$F$18,1)),2)))),2))</f>
        <v>1.76</v>
      </c>
      <c r="L61" s="91" t="n">
        <f aca="false">IF(OR(Calculator!$E$19&lt;&gt;"YES",Calculator!$B$30&lt;Calculator!$G$19),"—",ROUND(MAX((50*POWER(80,POWER(COS(PI()*MOD(Calculator!$B$30/Calculator!$F$19,1)),2)))/$C61,$C61/(50*POWER(80,POWER(COS(PI()*MOD(Calculator!$B$30/Calculator!$F$19,1)),2)))),2))</f>
        <v>1.77</v>
      </c>
      <c r="M61" s="91" t="n">
        <f aca="false">IF(OR(Calculator!$E$20&lt;&gt;"YES",Calculator!$B$30&lt;Calculator!$G$20),"—",ROUND(MAX((50*POWER(80,POWER(COS(PI()*MOD(Calculator!$B$30/Calculator!$F$20,1)),2)))/$C61,$C61/(50*POWER(80,POWER(COS(PI()*MOD(Calculator!$B$30/Calculator!$F$20,1)),2)))),2))</f>
        <v>15.08</v>
      </c>
      <c r="N61" s="91" t="n">
        <f aca="false">IF(OR(Calculator!$E$21&lt;&gt;"YES",Calculator!$B$30&lt;Calculator!$G$21),"—",ROUND(MAX((50*POWER(80,POWER(COS(PI()*MOD(Calculator!$B$30/Calculator!$F$21,1)),2)))/$C61,$C61/(50*POWER(80,POWER(COS(PI()*MOD(Calculator!$B$30/Calculator!$F$21,1)),2)))),2))</f>
        <v>1.75</v>
      </c>
      <c r="O61" s="114" t="n">
        <f aca="false">IFERROR(ROUND((IF(ISNUMBER(D61),D61,0)+IF(ISNUMBER(E61),E61,0)+IF(ISNUMBER(F61),F61,0)+IF(ISNUMBER(G61),G61,0)+IF(ISNUMBER(H61),H61,0)+IF(ISNUMBER(I61),I61,0)+IF(ISNUMBER(J61),J61,0)+IF(ISNUMBER(K61),K61,0)+IF(ISNUMBER(L61),L61,0)+IF(ISNUMBER(M61),M61,0)+IF(ISNUMBER(N61),N61,0))/(IF(ISNUMBER(D61),1,0)+IF(ISNUMBER(E61),1,0)+IF(ISNUMBER(F61),1,0)+IF(ISNUMBER(G61),1,0)+IF(ISNUMBER(H61),1,0)+IF(ISNUMBER(I61),1,0)+IF(ISNUMBER(J61),1,0)+IF(ISNUMBER(K61),1,0)+IF(ISNUMBER(L61),1,0)+IF(ISNUMBER(M61),1,0)+IF(ISNUMBER(N61),1,0)),2),"")</f>
        <v>6.89</v>
      </c>
      <c r="P61" s="91" t="n">
        <f aca="false">IF(OR(Calculator!$E$11&lt;&gt;"YES",Calculator!$B$31&lt;Calculator!$G$11),"—",ROUND(MAX((50*POWER(80,POWER(COS(PI()*MOD(Calculator!$B$31/Calculator!$F$11,1)),2)))/$C61,$C61/(50*POWER(80,POWER(COS(PI()*MOD(Calculator!$B$31/Calculator!$F$11,1)),2)))),2))</f>
        <v>16.62</v>
      </c>
      <c r="Q61" s="91" t="n">
        <f aca="false">IF(OR(Calculator!$E$12&lt;&gt;"YES",Calculator!$B$31&lt;Calculator!$G$12),"—",ROUND(MAX((50*POWER(80,POWER(COS(PI()*MOD(Calculator!$B$31/Calculator!$F$12,1)),2)))/$C61,$C61/(50*POWER(80,POWER(COS(PI()*MOD(Calculator!$B$31/Calculator!$F$12,1)),2)))),2))</f>
        <v>1.33</v>
      </c>
      <c r="R61" s="91" t="n">
        <f aca="false">IF(OR(Calculator!$E$13&lt;&gt;"YES",Calculator!$B$31&lt;Calculator!$G$13),"—",ROUND(MAX((50*POWER(80,POWER(COS(PI()*MOD(Calculator!$B$31/Calculator!$F$13,1)),2)))/$C61,$C61/(50*POWER(80,POWER(COS(PI()*MOD(Calculator!$B$31/Calculator!$F$13,1)),2)))),2))</f>
        <v>3.85</v>
      </c>
      <c r="S61" s="91" t="n">
        <f aca="false">IF(OR(Calculator!$E$14&lt;&gt;"YES",Calculator!$B$31&lt;Calculator!$G$14),"—",ROUND(MAX((50*POWER(80,POWER(COS(PI()*MOD(Calculator!$B$31/Calculator!$F$14,1)),2)))/$C61,$C61/(50*POWER(80,POWER(COS(PI()*MOD(Calculator!$B$31/Calculator!$F$14,1)),2)))),2))</f>
        <v>8.05</v>
      </c>
      <c r="T61" s="91" t="n">
        <f aca="false">IF(OR(Calculator!$E$15&lt;&gt;"YES",Calculator!$B$31&lt;Calculator!$G$15),"—",ROUND(MAX((50*POWER(80,POWER(COS(PI()*MOD(Calculator!$B$31/Calculator!$F$15,1)),2)))/$C61,$C61/(50*POWER(80,POWER(COS(PI()*MOD(Calculator!$B$31/Calculator!$F$15,1)),2)))),2))</f>
        <v>5.07</v>
      </c>
      <c r="U61" s="91" t="n">
        <f aca="false">IF(OR(Calculator!$E$16&lt;&gt;"YES",Calculator!$B$31&lt;Calculator!$G$16),"—",ROUND(MAX((50*POWER(80,POWER(COS(PI()*MOD(Calculator!$B$31/Calculator!$F$16,1)),2)))/$C61,$C61/(50*POWER(80,POWER(COS(PI()*MOD(Calculator!$B$31/Calculator!$F$16,1)),2)))),2))</f>
        <v>19.75</v>
      </c>
      <c r="V61" s="91" t="n">
        <f aca="false">IF(OR(Calculator!$E$17&lt;&gt;"YES",Calculator!$B$31&lt;Calculator!$G$17),"—",ROUND(MAX((50*POWER(80,POWER(COS(PI()*MOD(Calculator!$B$31/Calculator!$F$17,1)),2)))/$C61,$C61/(50*POWER(80,POWER(COS(PI()*MOD(Calculator!$B$31/Calculator!$F$17,1)),2)))),2))</f>
        <v>1.44</v>
      </c>
      <c r="W61" s="91" t="n">
        <f aca="false">IF(OR(Calculator!$E$18&lt;&gt;"YES",Calculator!$B$31&lt;Calculator!$G$18),"—",ROUND(MAX((50*POWER(80,POWER(COS(PI()*MOD(Calculator!$B$31/Calculator!$F$18,1)),2)))/$C61,$C61/(50*POWER(80,POWER(COS(PI()*MOD(Calculator!$B$31/Calculator!$F$18,1)),2)))),2))</f>
        <v>1.54</v>
      </c>
      <c r="X61" s="91" t="n">
        <f aca="false">IF(OR(Calculator!$E$19&lt;&gt;"YES",Calculator!$B$31&lt;Calculator!$G$19),"—",ROUND(MAX((50*POWER(80,POWER(COS(PI()*MOD(Calculator!$B$31/Calculator!$F$19,1)),2)))/$C61,$C61/(50*POWER(80,POWER(COS(PI()*MOD(Calculator!$B$31/Calculator!$F$19,1)),2)))),2))</f>
        <v>2.02</v>
      </c>
      <c r="Y61" s="91" t="n">
        <f aca="false">IF(OR(Calculator!$E$20&lt;&gt;"YES",Calculator!$B$31&lt;Calculator!$G$20),"—",ROUND(MAX((50*POWER(80,POWER(COS(PI()*MOD(Calculator!$B$31/Calculator!$F$20,1)),2)))/$C61,$C61/(50*POWER(80,POWER(COS(PI()*MOD(Calculator!$B$31/Calculator!$F$20,1)),2)))),2))</f>
        <v>12.21</v>
      </c>
      <c r="Z61" s="91" t="n">
        <f aca="false">IF(OR(Calculator!$E$21&lt;&gt;"YES",Calculator!$B$31&lt;Calculator!$G$21),"—",ROUND(MAX((50*POWER(80,POWER(COS(PI()*MOD(Calculator!$B$31/Calculator!$F$21,1)),2)))/$C61,$C61/(50*POWER(80,POWER(COS(PI()*MOD(Calculator!$B$31/Calculator!$F$21,1)),2)))),2))</f>
        <v>1.23</v>
      </c>
      <c r="AA61" s="114" t="n">
        <f aca="false">IFERROR(ROUND((IF(ISNUMBER(P61),P61,0)+IF(ISNUMBER(Q61),Q61,0)+IF(ISNUMBER(R61),R61,0)+IF(ISNUMBER(S61),S61,0)+IF(ISNUMBER(T61),T61,0)+IF(ISNUMBER(U61),U61,0)+IF(ISNUMBER(V61),V61,0)+IF(ISNUMBER(W61),W61,0)+IF(ISNUMBER(X61),X61,0)+IF(ISNUMBER(Y61),Y61,0)+IF(ISNUMBER(Z61),Z61,0))/(IF(ISNUMBER(P61),1,0)+IF(ISNUMBER(Q61),1,0)+IF(ISNUMBER(R61),1,0)+IF(ISNUMBER(S61),1,0)+IF(ISNUMBER(T61),1,0)+IF(ISNUMBER(U61),1,0)+IF(ISNUMBER(V61),1,0)+IF(ISNUMBER(W61),1,0)+IF(ISNUMBER(X61),1,0)+IF(ISNUMBER(Y61),1,0)+IF(ISNUMBER(Z61),1,0)),2),"")</f>
        <v>6.65</v>
      </c>
      <c r="AB61" s="91" t="n">
        <f aca="false">IF(OR(Calculator!$E$11&lt;&gt;"YES",Calculator!$B$32&lt;Calculator!$G$11),"—",ROUND(MAX((50*POWER(80,POWER(COS(PI()*MOD(Calculator!$B$32/Calculator!$F$11,1)),2)))/$C61,$C61/(50*POWER(80,POWER(COS(PI()*MOD(Calculator!$B$32/Calculator!$F$11,1)),2)))),2))</f>
        <v>20.92</v>
      </c>
      <c r="AC61" s="91" t="n">
        <f aca="false">IF(OR(Calculator!$E$12&lt;&gt;"YES",Calculator!$B$32&lt;Calculator!$G$12),"—",ROUND(MAX((50*POWER(80,POWER(COS(PI()*MOD(Calculator!$B$32/Calculator!$F$12,1)),2)))/$C61,$C61/(50*POWER(80,POWER(COS(PI()*MOD(Calculator!$B$32/Calculator!$F$12,1)),2)))),2))</f>
        <v>1.39</v>
      </c>
      <c r="AD61" s="91" t="n">
        <f aca="false">IF(OR(Calculator!$E$13&lt;&gt;"YES",Calculator!$B$32&lt;Calculator!$G$13),"—",ROUND(MAX((50*POWER(80,POWER(COS(PI()*MOD(Calculator!$B$32/Calculator!$F$13,1)),2)))/$C61,$C61/(50*POWER(80,POWER(COS(PI()*MOD(Calculator!$B$32/Calculator!$F$13,1)),2)))),2))</f>
        <v>10.68</v>
      </c>
      <c r="AE61" s="91" t="n">
        <f aca="false">IF(OR(Calculator!$E$14&lt;&gt;"YES",Calculator!$B$32&lt;Calculator!$G$14),"—",ROUND(MAX((50*POWER(80,POWER(COS(PI()*MOD(Calculator!$B$32/Calculator!$F$14,1)),2)))/$C61,$C61/(50*POWER(80,POWER(COS(PI()*MOD(Calculator!$B$32/Calculator!$F$14,1)),2)))),2))</f>
        <v>1.95</v>
      </c>
      <c r="AF61" s="91" t="n">
        <f aca="false">IF(OR(Calculator!$E$15&lt;&gt;"YES",Calculator!$B$32&lt;Calculator!$G$15),"—",ROUND(MAX((50*POWER(80,POWER(COS(PI()*MOD(Calculator!$B$32/Calculator!$F$15,1)),2)))/$C61,$C61/(50*POWER(80,POWER(COS(PI()*MOD(Calculator!$B$32/Calculator!$F$15,1)),2)))),2))</f>
        <v>1.33</v>
      </c>
      <c r="AG61" s="91" t="n">
        <f aca="false">IF(OR(Calculator!$E$16&lt;&gt;"YES",Calculator!$B$32&lt;Calculator!$G$16),"—",ROUND(MAX((50*POWER(80,POWER(COS(PI()*MOD(Calculator!$B$32/Calculator!$F$16,1)),2)))/$C61,$C61/(50*POWER(80,POWER(COS(PI()*MOD(Calculator!$B$32/Calculator!$F$16,1)),2)))),2))</f>
        <v>17.05</v>
      </c>
      <c r="AH61" s="91" t="n">
        <f aca="false">IF(OR(Calculator!$E$17&lt;&gt;"YES",Calculator!$B$32&lt;Calculator!$G$17),"—",ROUND(MAX((50*POWER(80,POWER(COS(PI()*MOD(Calculator!$B$32/Calculator!$F$17,1)),2)))/$C61,$C61/(50*POWER(80,POWER(COS(PI()*MOD(Calculator!$B$32/Calculator!$F$17,1)),2)))),2))</f>
        <v>18</v>
      </c>
      <c r="AI61" s="91" t="n">
        <f aca="false">IF(OR(Calculator!$E$18&lt;&gt;"YES",Calculator!$B$32&lt;Calculator!$G$18),"—",ROUND(MAX((50*POWER(80,POWER(COS(PI()*MOD(Calculator!$B$32/Calculator!$F$18,1)),2)))/$C61,$C61/(50*POWER(80,POWER(COS(PI()*MOD(Calculator!$B$32/Calculator!$F$18,1)),2)))),2))</f>
        <v>23.74</v>
      </c>
      <c r="AJ61" s="91" t="n">
        <f aca="false">IF(OR(Calculator!$E$19&lt;&gt;"YES",Calculator!$B$32&lt;Calculator!$G$19),"—",ROUND(MAX((50*POWER(80,POWER(COS(PI()*MOD(Calculator!$B$32/Calculator!$F$19,1)),2)))/$C61,$C61/(50*POWER(80,POWER(COS(PI()*MOD(Calculator!$B$32/Calculator!$F$19,1)),2)))),2))</f>
        <v>5</v>
      </c>
      <c r="AK61" s="91" t="n">
        <f aca="false">IF(OR(Calculator!$E$20&lt;&gt;"YES",Calculator!$B$32&lt;Calculator!$G$20),"—",ROUND(MAX((50*POWER(80,POWER(COS(PI()*MOD(Calculator!$B$32/Calculator!$F$20,1)),2)))/$C61,$C61/(50*POWER(80,POWER(COS(PI()*MOD(Calculator!$B$32/Calculator!$F$20,1)),2)))),2))</f>
        <v>2.22</v>
      </c>
      <c r="AL61" s="91" t="n">
        <f aca="false">IF(OR(Calculator!$E$21&lt;&gt;"YES",Calculator!$B$32&lt;Calculator!$G$21),"—",ROUND(MAX((50*POWER(80,POWER(COS(PI()*MOD(Calculator!$B$32/Calculator!$F$21,1)),2)))/$C61,$C61/(50*POWER(80,POWER(COS(PI()*MOD(Calculator!$B$32/Calculator!$F$21,1)),2)))),2))</f>
        <v>1.92</v>
      </c>
      <c r="AM61" s="115" t="n">
        <f aca="false">IFERROR(ROUND((IF(ISNUMBER(AB61),AB61,0)+IF(ISNUMBER(AC61),AC61,0)+IF(ISNUMBER(AD61),AD61,0)+IF(ISNUMBER(AE61),AE61,0)+IF(ISNUMBER(AF61),AF61,0)+IF(ISNUMBER(AG61),AG61,0)+IF(ISNUMBER(AH61),AH61,0)+IF(ISNUMBER(AI61),AI61,0)+IF(ISNUMBER(AJ61),AJ61,0)+IF(ISNUMBER(AK61),AK61,0)+IF(ISNUMBER(AL61),AL61,0))/(IF(ISNUMBER(AB61),1,0)+IF(ISNUMBER(AC61),1,0)+IF(ISNUMBER(AD61),1,0)+IF(ISNUMBER(AE61),1,0)+IF(ISNUMBER(AF61),1,0)+IF(ISNUMBER(AG61),1,0)+IF(ISNUMBER(AH61),1,0)+IF(ISNUMBER(AI61),1,0)+IF(ISNUMBER(AJ61),1,0)+IF(ISNUMBER(AK61),1,0)+IF(ISNUMBER(AL61),1,0)),2),"")</f>
        <v>9.47</v>
      </c>
      <c r="AN61" s="116" t="n">
        <f aca="false">IF(OR(Calculator!$E$11&lt;&gt;"YES",Calculator!$B$33&lt;Calculator!$G$11),"—",ROUND(MAX((50*POWER(80,POWER(COS(PI()*MOD(Calculator!$B$33/Calculator!$F$11,1)),2)))/$C61,$C61/(50*POWER(80,POWER(COS(PI()*MOD(Calculator!$B$33/Calculator!$F$11,1)),2)))),2))</f>
        <v>16.82</v>
      </c>
      <c r="AO61" s="116" t="n">
        <f aca="false">IF(OR(Calculator!$E$12&lt;&gt;"YES",Calculator!$B$33&lt;Calculator!$G$12),"—",ROUND(MAX((50*POWER(80,POWER(COS(PI()*MOD(Calculator!$B$33/Calculator!$F$12,1)),2)))/$C61,$C61/(50*POWER(80,POWER(COS(PI()*MOD(Calculator!$B$33/Calculator!$F$12,1)),2)))),2))</f>
        <v>1.29</v>
      </c>
      <c r="AP61" s="116" t="n">
        <f aca="false">IF(OR(Calculator!$E$13&lt;&gt;"YES",Calculator!$B$33&lt;Calculator!$G$13),"—",ROUND(MAX((50*POWER(80,POWER(COS(PI()*MOD(Calculator!$B$33/Calculator!$F$13,1)),2)))/$C61,$C61/(50*POWER(80,POWER(COS(PI()*MOD(Calculator!$B$33/Calculator!$F$13,1)),2)))),2))</f>
        <v>4.06</v>
      </c>
      <c r="AQ61" s="116" t="n">
        <f aca="false">IF(OR(Calculator!$E$14&lt;&gt;"YES",Calculator!$B$33&lt;Calculator!$G$14),"—",ROUND(MAX((50*POWER(80,POWER(COS(PI()*MOD(Calculator!$B$33/Calculator!$F$14,1)),2)))/$C61,$C61/(50*POWER(80,POWER(COS(PI()*MOD(Calculator!$B$33/Calculator!$F$14,1)),2)))),2))</f>
        <v>7.56</v>
      </c>
      <c r="AR61" s="116" t="n">
        <f aca="false">IF(OR(Calculator!$E$15&lt;&gt;"YES",Calculator!$B$33&lt;Calculator!$G$15),"—",ROUND(MAX((50*POWER(80,POWER(COS(PI()*MOD(Calculator!$B$33/Calculator!$F$15,1)),2)))/$C61,$C61/(50*POWER(80,POWER(COS(PI()*MOD(Calculator!$B$33/Calculator!$F$15,1)),2)))),2))</f>
        <v>4.6</v>
      </c>
      <c r="AS61" s="116" t="n">
        <f aca="false">IF(OR(Calculator!$E$16&lt;&gt;"YES",Calculator!$B$33&lt;Calculator!$G$16),"—",ROUND(MAX((50*POWER(80,POWER(COS(PI()*MOD(Calculator!$B$33/Calculator!$F$16,1)),2)))/$C61,$C61/(50*POWER(80,POWER(COS(PI()*MOD(Calculator!$B$33/Calculator!$F$16,1)),2)))),2))</f>
        <v>21.26</v>
      </c>
      <c r="AT61" s="116" t="n">
        <f aca="false">IF(OR(Calculator!$E$17&lt;&gt;"YES",Calculator!$B$33&lt;Calculator!$G$17),"—",ROUND(MAX((50*POWER(80,POWER(COS(PI()*MOD(Calculator!$B$33/Calculator!$F$17,1)),2)))/$C61,$C61/(50*POWER(80,POWER(COS(PI()*MOD(Calculator!$B$33/Calculator!$F$17,1)),2)))),2))</f>
        <v>1.26</v>
      </c>
      <c r="AU61" s="116" t="n">
        <f aca="false">IF(OR(Calculator!$E$18&lt;&gt;"YES",Calculator!$B$33&lt;Calculator!$G$18),"—",ROUND(MAX((50*POWER(80,POWER(COS(PI()*MOD(Calculator!$B$33/Calculator!$F$18,1)),2)))/$C61,$C61/(50*POWER(80,POWER(COS(PI()*MOD(Calculator!$B$33/Calculator!$F$18,1)),2)))),2))</f>
        <v>1.33</v>
      </c>
      <c r="AV61" s="116" t="n">
        <f aca="false">IF(OR(Calculator!$E$19&lt;&gt;"YES",Calculator!$B$33&lt;Calculator!$G$19),"—",ROUND(MAX((50*POWER(80,POWER(COS(PI()*MOD(Calculator!$B$33/Calculator!$F$19,1)),2)))/$C61,$C61/(50*POWER(80,POWER(COS(PI()*MOD(Calculator!$B$33/Calculator!$F$19,1)),2)))),2))</f>
        <v>2.26</v>
      </c>
      <c r="AW61" s="116" t="n">
        <f aca="false">IF(OR(Calculator!$E$20&lt;&gt;"YES",Calculator!$B$33&lt;Calculator!$G$20),"—",ROUND(MAX((50*POWER(80,POWER(COS(PI()*MOD(Calculator!$B$33/Calculator!$F$20,1)),2)))/$C61,$C61/(50*POWER(80,POWER(COS(PI()*MOD(Calculator!$B$33/Calculator!$F$20,1)),2)))),2))</f>
        <v>9.68</v>
      </c>
      <c r="AX61" s="116" t="n">
        <f aca="false">IF(OR(Calculator!$E$21&lt;&gt;"YES",Calculator!$B$33&lt;Calculator!$G$21),"—",ROUND(MAX((50*POWER(80,POWER(COS(PI()*MOD(Calculator!$B$33/Calculator!$F$21,1)),2)))/$C61,$C61/(50*POWER(80,POWER(COS(PI()*MOD(Calculator!$B$33/Calculator!$F$21,1)),2)))),2))</f>
        <v>1.24</v>
      </c>
      <c r="AY61" s="115" t="n">
        <f aca="false">IFERROR(ROUND((IF(ISNUMBER(AN61),AN61,0)+IF(ISNUMBER(AO61),AO61,0)+IF(ISNUMBER(AP61),AP61,0)+IF(ISNUMBER(AQ61),AQ61,0)+IF(ISNUMBER(AR61),AR61,0)+IF(ISNUMBER(AS61),AS61,0)+IF(ISNUMBER(AT61),AT61,0)+IF(ISNUMBER(AU61),AU61,0)+IF(ISNUMBER(AV61),AV61,0)+IF(ISNUMBER(AW61),AW61,0)+IF(ISNUMBER(AX61),AX61,0))/(IF(ISNUMBER(AN61),1,0)+IF(ISNUMBER(AO61),1,0)+IF(ISNUMBER(AP61),1,0)+IF(ISNUMBER(AQ61),1,0)+IF(ISNUMBER(AR61),1,0)+IF(ISNUMBER(AS61),1,0)+IF(ISNUMBER(AT61),1,0)+IF(ISNUMBER(AU61),1,0)+IF(ISNUMBER(AV61),1,0)+IF(ISNUMBER(AW61),1,0)+IF(ISNUMBER(AX61),1,0)),2),"")</f>
        <v>6.49</v>
      </c>
      <c r="AZ61" s="116" t="n">
        <f aca="false">IF(OR(Calculator!$E$11&lt;&gt;"YES",Calculator!$B$34&lt;Calculator!$G$11),"—",ROUND(MAX((50*POWER(80,POWER(COS(PI()*MOD(Calculator!$B$34/Calculator!$F$11,1)),2)))/$C61,$C61/(50*POWER(80,POWER(COS(PI()*MOD(Calculator!$B$34/Calculator!$F$11,1)),2)))),2))</f>
        <v>16.22</v>
      </c>
      <c r="BA61" s="116" t="n">
        <f aca="false">IF(OR(Calculator!$E$12&lt;&gt;"YES",Calculator!$B$34&lt;Calculator!$G$12),"—",ROUND(MAX((50*POWER(80,POWER(COS(PI()*MOD(Calculator!$B$34/Calculator!$F$12,1)),2)))/$C61,$C61/(50*POWER(80,POWER(COS(PI()*MOD(Calculator!$B$34/Calculator!$F$12,1)),2)))),2))</f>
        <v>1.42</v>
      </c>
      <c r="BB61" s="116" t="n">
        <f aca="false">IF(OR(Calculator!$E$13&lt;&gt;"YES",Calculator!$B$34&lt;Calculator!$G$13),"—",ROUND(MAX((50*POWER(80,POWER(COS(PI()*MOD(Calculator!$B$34/Calculator!$F$13,1)),2)))/$C61,$C61/(50*POWER(80,POWER(COS(PI()*MOD(Calculator!$B$34/Calculator!$F$13,1)),2)))),2))</f>
        <v>3.47</v>
      </c>
      <c r="BC61" s="116" t="n">
        <f aca="false">IF(OR(Calculator!$E$14&lt;&gt;"YES",Calculator!$B$34&lt;Calculator!$G$14),"—",ROUND(MAX((50*POWER(80,POWER(COS(PI()*MOD(Calculator!$B$34/Calculator!$F$14,1)),2)))/$C61,$C61/(50*POWER(80,POWER(COS(PI()*MOD(Calculator!$B$34/Calculator!$F$14,1)),2)))),2))</f>
        <v>9.11</v>
      </c>
      <c r="BD61" s="116" t="n">
        <f aca="false">IF(OR(Calculator!$E$15&lt;&gt;"YES",Calculator!$B$34&lt;Calculator!$G$15),"—",ROUND(MAX((50*POWER(80,POWER(COS(PI()*MOD(Calculator!$B$34/Calculator!$F$15,1)),2)))/$C61,$C61/(50*POWER(80,POWER(COS(PI()*MOD(Calculator!$B$34/Calculator!$F$15,1)),2)))),2))</f>
        <v>6.12</v>
      </c>
      <c r="BE61" s="116" t="n">
        <f aca="false">IF(OR(Calculator!$E$16&lt;&gt;"YES",Calculator!$B$34&lt;Calculator!$G$16),"—",ROUND(MAX((50*POWER(80,POWER(COS(PI()*MOD(Calculator!$B$34/Calculator!$F$16,1)),2)))/$C61,$C61/(50*POWER(80,POWER(COS(PI()*MOD(Calculator!$B$34/Calculator!$F$16,1)),2)))),2))</f>
        <v>16.68</v>
      </c>
      <c r="BF61" s="116" t="n">
        <f aca="false">IF(OR(Calculator!$E$17&lt;&gt;"YES",Calculator!$B$34&lt;Calculator!$G$17),"—",ROUND(MAX((50*POWER(80,POWER(COS(PI()*MOD(Calculator!$B$34/Calculator!$F$17,1)),2)))/$C61,$C61/(50*POWER(80,POWER(COS(PI()*MOD(Calculator!$B$34/Calculator!$F$17,1)),2)))),2))</f>
        <v>1.81</v>
      </c>
      <c r="BG61" s="116" t="n">
        <f aca="false">IF(OR(Calculator!$E$18&lt;&gt;"YES",Calculator!$B$34&lt;Calculator!$G$18),"—",ROUND(MAX((50*POWER(80,POWER(COS(PI()*MOD(Calculator!$B$34/Calculator!$F$18,1)),2)))/$C61,$C61/(50*POWER(80,POWER(COS(PI()*MOD(Calculator!$B$34/Calculator!$F$18,1)),2)))),2))</f>
        <v>1.98</v>
      </c>
      <c r="BH61" s="116" t="n">
        <f aca="false">IF(OR(Calculator!$E$19&lt;&gt;"YES",Calculator!$B$34&lt;Calculator!$G$19),"—",ROUND(MAX((50*POWER(80,POWER(COS(PI()*MOD(Calculator!$B$34/Calculator!$F$19,1)),2)))/$C61,$C61/(50*POWER(80,POWER(COS(PI()*MOD(Calculator!$B$34/Calculator!$F$19,1)),2)))),2))</f>
        <v>1.51</v>
      </c>
      <c r="BI61" s="116" t="n">
        <f aca="false">IF(OR(Calculator!$E$20&lt;&gt;"YES",Calculator!$B$34&lt;Calculator!$G$20),"—",ROUND(MAX((50*POWER(80,POWER(COS(PI()*MOD(Calculator!$B$34/Calculator!$F$20,1)),2)))/$C61,$C61/(50*POWER(80,POWER(COS(PI()*MOD(Calculator!$B$34/Calculator!$F$20,1)),2)))),2))</f>
        <v>18.15</v>
      </c>
      <c r="BJ61" s="116" t="n">
        <f aca="false">IF(OR(Calculator!$E$21&lt;&gt;"YES",Calculator!$B$34&lt;Calculator!$G$21),"—",ROUND(MAX((50*POWER(80,POWER(COS(PI()*MOD(Calculator!$B$34/Calculator!$F$21,1)),2)))/$C61,$C61/(50*POWER(80,POWER(COS(PI()*MOD(Calculator!$B$34/Calculator!$F$21,1)),2)))),2))</f>
        <v>2.26</v>
      </c>
      <c r="BK61" s="115" t="n">
        <f aca="false">IFERROR(ROUND((IF(ISNUMBER(AZ61),AZ61,0)+IF(ISNUMBER(BA61),BA61,0)+IF(ISNUMBER(BB61),BB61,0)+IF(ISNUMBER(BC61),BC61,0)+IF(ISNUMBER(BD61),BD61,0)+IF(ISNUMBER(BE61),BE61,0)+IF(ISNUMBER(BF61),BF61,0)+IF(ISNUMBER(BG61),BG61,0)+IF(ISNUMBER(BH61),BH61,0)+IF(ISNUMBER(BI61),BI61,0)+IF(ISNUMBER(BJ61),BJ61,0))/(IF(ISNUMBER(AZ61),1,0)+IF(ISNUMBER(BA61),1,0)+IF(ISNUMBER(BB61),1,0)+IF(ISNUMBER(BC61),1,0)+IF(ISNUMBER(BD61),1,0)+IF(ISNUMBER(BE61),1,0)+IF(ISNUMBER(BF61),1,0)+IF(ISNUMBER(BG61),1,0)+IF(ISNUMBER(BH61),1,0)+IF(ISNUMBER(BI61),1,0)+IF(ISNUMBER(BJ61),1,0)),2),"")</f>
        <v>7.16</v>
      </c>
    </row>
    <row r="62" customFormat="false" ht="15" hidden="false" customHeight="false" outlineLevel="0" collapsed="false">
      <c r="A62" s="117" t="s">
        <v>120</v>
      </c>
      <c r="B62" s="117" t="s">
        <v>93</v>
      </c>
      <c r="C62" s="118" t="n">
        <v>1500</v>
      </c>
      <c r="D62" s="119" t="n">
        <f aca="false">IF(OR(Calculator!$E$11&lt;&gt;"YES",Calculator!$B$30&lt;Calculator!$G$11),"—",ROUND(MAX((50*POWER(80,POWER(COS(PI()*MOD(Calculator!$B$30/Calculator!$F$11,1)),2)))/$C62,$C62/(50*POWER(80,POWER(COS(PI()*MOD(Calculator!$B$30/Calculator!$F$11,1)),2)))),2))</f>
        <v>16.98</v>
      </c>
      <c r="E62" s="119" t="n">
        <f aca="false">IF(OR(Calculator!$E$12&lt;&gt;"YES",Calculator!$B$30&lt;Calculator!$G$12),"—",ROUND(MAX((50*POWER(80,POWER(COS(PI()*MOD(Calculator!$B$30/Calculator!$F$12,1)),2)))/$C62,$C62/(50*POWER(80,POWER(COS(PI()*MOD(Calculator!$B$30/Calculator!$F$12,1)),2)))),2))</f>
        <v>1.42</v>
      </c>
      <c r="F62" s="119" t="n">
        <f aca="false">IF(OR(Calculator!$E$13&lt;&gt;"YES",Calculator!$B$30&lt;Calculator!$G$13),"—",ROUND(MAX((50*POWER(80,POWER(COS(PI()*MOD(Calculator!$B$30/Calculator!$F$13,1)),2)))/$C62,$C62/(50*POWER(80,POWER(COS(PI()*MOD(Calculator!$B$30/Calculator!$F$13,1)),2)))),2))</f>
        <v>3.79</v>
      </c>
      <c r="G62" s="119" t="n">
        <f aca="false">IF(OR(Calculator!$E$14&lt;&gt;"YES",Calculator!$B$30&lt;Calculator!$G$14),"—",ROUND(MAX((50*POWER(80,POWER(COS(PI()*MOD(Calculator!$B$30/Calculator!$F$14,1)),2)))/$C62,$C62/(50*POWER(80,POWER(COS(PI()*MOD(Calculator!$B$30/Calculator!$F$14,1)),2)))),2))</f>
        <v>8.86</v>
      </c>
      <c r="H62" s="119" t="n">
        <f aca="false">IF(OR(Calculator!$E$15&lt;&gt;"YES",Calculator!$B$30&lt;Calculator!$G$15),"—",ROUND(MAX((50*POWER(80,POWER(COS(PI()*MOD(Calculator!$B$30/Calculator!$F$15,1)),2)))/$C62,$C62/(50*POWER(80,POWER(COS(PI()*MOD(Calculator!$B$30/Calculator!$F$15,1)),2)))),2))</f>
        <v>5.76</v>
      </c>
      <c r="I62" s="119" t="n">
        <f aca="false">IF(OR(Calculator!$E$16&lt;&gt;"YES",Calculator!$B$30&lt;Calculator!$G$16),"—",ROUND(MAX((50*POWER(80,POWER(COS(PI()*MOD(Calculator!$B$30/Calculator!$F$16,1)),2)))/$C62,$C62/(50*POWER(80,POWER(COS(PI()*MOD(Calculator!$B$30/Calculator!$F$16,1)),2)))),2))</f>
        <v>18.84</v>
      </c>
      <c r="J62" s="119" t="n">
        <f aca="false">IF(OR(Calculator!$E$17&lt;&gt;"YES",Calculator!$B$30&lt;Calculator!$G$17),"—",ROUND(MAX((50*POWER(80,POWER(COS(PI()*MOD(Calculator!$B$30/Calculator!$F$17,1)),2)))/$C62,$C62/(50*POWER(80,POWER(COS(PI()*MOD(Calculator!$B$30/Calculator!$F$17,1)),2)))),2))</f>
        <v>1.57</v>
      </c>
      <c r="K62" s="119" t="n">
        <f aca="false">IF(OR(Calculator!$E$18&lt;&gt;"YES",Calculator!$B$30&lt;Calculator!$G$18),"—",ROUND(MAX((50*POWER(80,POWER(COS(PI()*MOD(Calculator!$B$30/Calculator!$F$18,1)),2)))/$C62,$C62/(50*POWER(80,POWER(COS(PI()*MOD(Calculator!$B$30/Calculator!$F$18,1)),2)))),2))</f>
        <v>1.7</v>
      </c>
      <c r="L62" s="119" t="n">
        <f aca="false">IF(OR(Calculator!$E$19&lt;&gt;"YES",Calculator!$B$30&lt;Calculator!$G$19),"—",ROUND(MAX((50*POWER(80,POWER(COS(PI()*MOD(Calculator!$B$30/Calculator!$F$19,1)),2)))/$C62,$C62/(50*POWER(80,POWER(COS(PI()*MOD(Calculator!$B$30/Calculator!$F$19,1)),2)))),2))</f>
        <v>1.71</v>
      </c>
      <c r="M62" s="119" t="n">
        <f aca="false">IF(OR(Calculator!$E$20&lt;&gt;"YES",Calculator!$B$30&lt;Calculator!$G$20),"—",ROUND(MAX((50*POWER(80,POWER(COS(PI()*MOD(Calculator!$B$30/Calculator!$F$20,1)),2)))/$C62,$C62/(50*POWER(80,POWER(COS(PI()*MOD(Calculator!$B$30/Calculator!$F$20,1)),2)))),2))</f>
        <v>15.59</v>
      </c>
      <c r="N62" s="119" t="n">
        <f aca="false">IF(OR(Calculator!$E$21&lt;&gt;"YES",Calculator!$B$30&lt;Calculator!$G$21),"—",ROUND(MAX((50*POWER(80,POWER(COS(PI()*MOD(Calculator!$B$30/Calculator!$F$21,1)),2)))/$C62,$C62/(50*POWER(80,POWER(COS(PI()*MOD(Calculator!$B$30/Calculator!$F$21,1)),2)))),2))</f>
        <v>1.69</v>
      </c>
      <c r="O62" s="114" t="n">
        <f aca="false">IFERROR(ROUND((IF(ISNUMBER(D62),D62,0)+IF(ISNUMBER(E62),E62,0)+IF(ISNUMBER(F62),F62,0)+IF(ISNUMBER(G62),G62,0)+IF(ISNUMBER(H62),H62,0)+IF(ISNUMBER(I62),I62,0)+IF(ISNUMBER(J62),J62,0)+IF(ISNUMBER(K62),K62,0)+IF(ISNUMBER(L62),L62,0)+IF(ISNUMBER(M62),M62,0)+IF(ISNUMBER(N62),N62,0))/(IF(ISNUMBER(D62),1,0)+IF(ISNUMBER(E62),1,0)+IF(ISNUMBER(F62),1,0)+IF(ISNUMBER(G62),1,0)+IF(ISNUMBER(H62),1,0)+IF(ISNUMBER(I62),1,0)+IF(ISNUMBER(J62),1,0)+IF(ISNUMBER(K62),1,0)+IF(ISNUMBER(L62),1,0)+IF(ISNUMBER(M62),1,0)+IF(ISNUMBER(N62),1,0)),2),"")</f>
        <v>7.08</v>
      </c>
      <c r="P62" s="119" t="n">
        <f aca="false">IF(OR(Calculator!$E$11&lt;&gt;"YES",Calculator!$B$31&lt;Calculator!$G$11),"—",ROUND(MAX((50*POWER(80,POWER(COS(PI()*MOD(Calculator!$B$31/Calculator!$F$11,1)),2)))/$C62,$C62/(50*POWER(80,POWER(COS(PI()*MOD(Calculator!$B$31/Calculator!$F$11,1)),2)))),2))</f>
        <v>17.19</v>
      </c>
      <c r="Q62" s="119" t="n">
        <f aca="false">IF(OR(Calculator!$E$12&lt;&gt;"YES",Calculator!$B$31&lt;Calculator!$G$12),"—",ROUND(MAX((50*POWER(80,POWER(COS(PI()*MOD(Calculator!$B$31/Calculator!$F$12,1)),2)))/$C62,$C62/(50*POWER(80,POWER(COS(PI()*MOD(Calculator!$B$31/Calculator!$F$12,1)),2)))),2))</f>
        <v>1.38</v>
      </c>
      <c r="R62" s="119" t="n">
        <f aca="false">IF(OR(Calculator!$E$13&lt;&gt;"YES",Calculator!$B$31&lt;Calculator!$G$13),"—",ROUND(MAX((50*POWER(80,POWER(COS(PI()*MOD(Calculator!$B$31/Calculator!$F$13,1)),2)))/$C62,$C62/(50*POWER(80,POWER(COS(PI()*MOD(Calculator!$B$31/Calculator!$F$13,1)),2)))),2))</f>
        <v>3.99</v>
      </c>
      <c r="S62" s="119" t="n">
        <f aca="false">IF(OR(Calculator!$E$14&lt;&gt;"YES",Calculator!$B$31&lt;Calculator!$G$14),"—",ROUND(MAX((50*POWER(80,POWER(COS(PI()*MOD(Calculator!$B$31/Calculator!$F$14,1)),2)))/$C62,$C62/(50*POWER(80,POWER(COS(PI()*MOD(Calculator!$B$31/Calculator!$F$14,1)),2)))),2))</f>
        <v>8.33</v>
      </c>
      <c r="T62" s="119" t="n">
        <f aca="false">IF(OR(Calculator!$E$15&lt;&gt;"YES",Calculator!$B$31&lt;Calculator!$G$15),"—",ROUND(MAX((50*POWER(80,POWER(COS(PI()*MOD(Calculator!$B$31/Calculator!$F$15,1)),2)))/$C62,$C62/(50*POWER(80,POWER(COS(PI()*MOD(Calculator!$B$31/Calculator!$F$15,1)),2)))),2))</f>
        <v>5.24</v>
      </c>
      <c r="U62" s="119" t="n">
        <f aca="false">IF(OR(Calculator!$E$16&lt;&gt;"YES",Calculator!$B$31&lt;Calculator!$G$16),"—",ROUND(MAX((50*POWER(80,POWER(COS(PI()*MOD(Calculator!$B$31/Calculator!$F$16,1)),2)))/$C62,$C62/(50*POWER(80,POWER(COS(PI()*MOD(Calculator!$B$31/Calculator!$F$16,1)),2)))),2))</f>
        <v>20.43</v>
      </c>
      <c r="V62" s="119" t="n">
        <f aca="false">IF(OR(Calculator!$E$17&lt;&gt;"YES",Calculator!$B$31&lt;Calculator!$G$17),"—",ROUND(MAX((50*POWER(80,POWER(COS(PI()*MOD(Calculator!$B$31/Calculator!$F$17,1)),2)))/$C62,$C62/(50*POWER(80,POWER(COS(PI()*MOD(Calculator!$B$31/Calculator!$F$17,1)),2)))),2))</f>
        <v>1.39</v>
      </c>
      <c r="W62" s="119" t="n">
        <f aca="false">IF(OR(Calculator!$E$18&lt;&gt;"YES",Calculator!$B$31&lt;Calculator!$G$18),"—",ROUND(MAX((50*POWER(80,POWER(COS(PI()*MOD(Calculator!$B$31/Calculator!$F$18,1)),2)))/$C62,$C62/(50*POWER(80,POWER(COS(PI()*MOD(Calculator!$B$31/Calculator!$F$18,1)),2)))),2))</f>
        <v>1.49</v>
      </c>
      <c r="X62" s="119" t="n">
        <f aca="false">IF(OR(Calculator!$E$19&lt;&gt;"YES",Calculator!$B$31&lt;Calculator!$G$19),"—",ROUND(MAX((50*POWER(80,POWER(COS(PI()*MOD(Calculator!$B$31/Calculator!$F$19,1)),2)))/$C62,$C62/(50*POWER(80,POWER(COS(PI()*MOD(Calculator!$B$31/Calculator!$F$19,1)),2)))),2))</f>
        <v>1.95</v>
      </c>
      <c r="Y62" s="119" t="n">
        <f aca="false">IF(OR(Calculator!$E$20&lt;&gt;"YES",Calculator!$B$31&lt;Calculator!$G$20),"—",ROUND(MAX((50*POWER(80,POWER(COS(PI()*MOD(Calculator!$B$31/Calculator!$F$20,1)),2)))/$C62,$C62/(50*POWER(80,POWER(COS(PI()*MOD(Calculator!$B$31/Calculator!$F$20,1)),2)))),2))</f>
        <v>12.63</v>
      </c>
      <c r="Z62" s="119" t="n">
        <f aca="false">IF(OR(Calculator!$E$21&lt;&gt;"YES",Calculator!$B$31&lt;Calculator!$G$21),"—",ROUND(MAX((50*POWER(80,POWER(COS(PI()*MOD(Calculator!$B$31/Calculator!$F$21,1)),2)))/$C62,$C62/(50*POWER(80,POWER(COS(PI()*MOD(Calculator!$B$31/Calculator!$F$21,1)),2)))),2))</f>
        <v>1.19</v>
      </c>
      <c r="AA62" s="114" t="n">
        <f aca="false">IFERROR(ROUND((IF(ISNUMBER(P62),P62,0)+IF(ISNUMBER(Q62),Q62,0)+IF(ISNUMBER(R62),R62,0)+IF(ISNUMBER(S62),S62,0)+IF(ISNUMBER(T62),T62,0)+IF(ISNUMBER(U62),U62,0)+IF(ISNUMBER(V62),V62,0)+IF(ISNUMBER(W62),W62,0)+IF(ISNUMBER(X62),X62,0)+IF(ISNUMBER(Y62),Y62,0)+IF(ISNUMBER(Z62),Z62,0))/(IF(ISNUMBER(P62),1,0)+IF(ISNUMBER(Q62),1,0)+IF(ISNUMBER(R62),1,0)+IF(ISNUMBER(S62),1,0)+IF(ISNUMBER(T62),1,0)+IF(ISNUMBER(U62),1,0)+IF(ISNUMBER(V62),1,0)+IF(ISNUMBER(W62),1,0)+IF(ISNUMBER(X62),1,0)+IF(ISNUMBER(Y62),1,0)+IF(ISNUMBER(Z62),1,0)),2),"")</f>
        <v>6.84</v>
      </c>
      <c r="AB62" s="119" t="n">
        <f aca="false">IF(OR(Calculator!$E$11&lt;&gt;"YES",Calculator!$B$32&lt;Calculator!$G$11),"—",ROUND(MAX((50*POWER(80,POWER(COS(PI()*MOD(Calculator!$B$32/Calculator!$F$11,1)),2)))/$C62,$C62/(50*POWER(80,POWER(COS(PI()*MOD(Calculator!$B$32/Calculator!$F$11,1)),2)))),2))</f>
        <v>21.64</v>
      </c>
      <c r="AC62" s="119" t="n">
        <f aca="false">IF(OR(Calculator!$E$12&lt;&gt;"YES",Calculator!$B$32&lt;Calculator!$G$12),"—",ROUND(MAX((50*POWER(80,POWER(COS(PI()*MOD(Calculator!$B$32/Calculator!$F$12,1)),2)))/$C62,$C62/(50*POWER(80,POWER(COS(PI()*MOD(Calculator!$B$32/Calculator!$F$12,1)),2)))),2))</f>
        <v>1.34</v>
      </c>
      <c r="AD62" s="119" t="n">
        <f aca="false">IF(OR(Calculator!$E$13&lt;&gt;"YES",Calculator!$B$32&lt;Calculator!$G$13),"—",ROUND(MAX((50*POWER(80,POWER(COS(PI()*MOD(Calculator!$B$32/Calculator!$F$13,1)),2)))/$C62,$C62/(50*POWER(80,POWER(COS(PI()*MOD(Calculator!$B$32/Calculator!$F$13,1)),2)))),2))</f>
        <v>11.04</v>
      </c>
      <c r="AE62" s="119" t="n">
        <f aca="false">IF(OR(Calculator!$E$14&lt;&gt;"YES",Calculator!$B$32&lt;Calculator!$G$14),"—",ROUND(MAX((50*POWER(80,POWER(COS(PI()*MOD(Calculator!$B$32/Calculator!$F$14,1)),2)))/$C62,$C62/(50*POWER(80,POWER(COS(PI()*MOD(Calculator!$B$32/Calculator!$F$14,1)),2)))),2))</f>
        <v>2.02</v>
      </c>
      <c r="AF62" s="119" t="n">
        <f aca="false">IF(OR(Calculator!$E$15&lt;&gt;"YES",Calculator!$B$32&lt;Calculator!$G$15),"—",ROUND(MAX((50*POWER(80,POWER(COS(PI()*MOD(Calculator!$B$32/Calculator!$F$15,1)),2)))/$C62,$C62/(50*POWER(80,POWER(COS(PI()*MOD(Calculator!$B$32/Calculator!$F$15,1)),2)))),2))</f>
        <v>1.29</v>
      </c>
      <c r="AG62" s="119" t="n">
        <f aca="false">IF(OR(Calculator!$E$16&lt;&gt;"YES",Calculator!$B$32&lt;Calculator!$G$16),"—",ROUND(MAX((50*POWER(80,POWER(COS(PI()*MOD(Calculator!$B$32/Calculator!$F$16,1)),2)))/$C62,$C62/(50*POWER(80,POWER(COS(PI()*MOD(Calculator!$B$32/Calculator!$F$16,1)),2)))),2))</f>
        <v>17.63</v>
      </c>
      <c r="AH62" s="119" t="n">
        <f aca="false">IF(OR(Calculator!$E$17&lt;&gt;"YES",Calculator!$B$32&lt;Calculator!$G$17),"—",ROUND(MAX((50*POWER(80,POWER(COS(PI()*MOD(Calculator!$B$32/Calculator!$F$17,1)),2)))/$C62,$C62/(50*POWER(80,POWER(COS(PI()*MOD(Calculator!$B$32/Calculator!$F$17,1)),2)))),2))</f>
        <v>18.62</v>
      </c>
      <c r="AI62" s="119" t="n">
        <f aca="false">IF(OR(Calculator!$E$18&lt;&gt;"YES",Calculator!$B$32&lt;Calculator!$G$18),"—",ROUND(MAX((50*POWER(80,POWER(COS(PI()*MOD(Calculator!$B$32/Calculator!$F$18,1)),2)))/$C62,$C62/(50*POWER(80,POWER(COS(PI()*MOD(Calculator!$B$32/Calculator!$F$18,1)),2)))),2))</f>
        <v>24.56</v>
      </c>
      <c r="AJ62" s="119" t="n">
        <f aca="false">IF(OR(Calculator!$E$19&lt;&gt;"YES",Calculator!$B$32&lt;Calculator!$G$19),"—",ROUND(MAX((50*POWER(80,POWER(COS(PI()*MOD(Calculator!$B$32/Calculator!$F$19,1)),2)))/$C62,$C62/(50*POWER(80,POWER(COS(PI()*MOD(Calculator!$B$32/Calculator!$F$19,1)),2)))),2))</f>
        <v>5.18</v>
      </c>
      <c r="AK62" s="119" t="n">
        <f aca="false">IF(OR(Calculator!$E$20&lt;&gt;"YES",Calculator!$B$32&lt;Calculator!$G$20),"—",ROUND(MAX((50*POWER(80,POWER(COS(PI()*MOD(Calculator!$B$32/Calculator!$F$20,1)),2)))/$C62,$C62/(50*POWER(80,POWER(COS(PI()*MOD(Calculator!$B$32/Calculator!$F$20,1)),2)))),2))</f>
        <v>2.14</v>
      </c>
      <c r="AL62" s="119" t="n">
        <f aca="false">IF(OR(Calculator!$E$21&lt;&gt;"YES",Calculator!$B$32&lt;Calculator!$G$21),"—",ROUND(MAX((50*POWER(80,POWER(COS(PI()*MOD(Calculator!$B$32/Calculator!$F$21,1)),2)))/$C62,$C62/(50*POWER(80,POWER(COS(PI()*MOD(Calculator!$B$32/Calculator!$F$21,1)),2)))),2))</f>
        <v>1.86</v>
      </c>
      <c r="AM62" s="115" t="n">
        <f aca="false">IFERROR(ROUND((IF(ISNUMBER(AB62),AB62,0)+IF(ISNUMBER(AC62),AC62,0)+IF(ISNUMBER(AD62),AD62,0)+IF(ISNUMBER(AE62),AE62,0)+IF(ISNUMBER(AF62),AF62,0)+IF(ISNUMBER(AG62),AG62,0)+IF(ISNUMBER(AH62),AH62,0)+IF(ISNUMBER(AI62),AI62,0)+IF(ISNUMBER(AJ62),AJ62,0)+IF(ISNUMBER(AK62),AK62,0)+IF(ISNUMBER(AL62),AL62,0))/(IF(ISNUMBER(AB62),1,0)+IF(ISNUMBER(AC62),1,0)+IF(ISNUMBER(AD62),1,0)+IF(ISNUMBER(AE62),1,0)+IF(ISNUMBER(AF62),1,0)+IF(ISNUMBER(AG62),1,0)+IF(ISNUMBER(AH62),1,0)+IF(ISNUMBER(AI62),1,0)+IF(ISNUMBER(AJ62),1,0)+IF(ISNUMBER(AK62),1,0)+IF(ISNUMBER(AL62),1,0)),2),"")</f>
        <v>9.76</v>
      </c>
      <c r="AN62" s="120" t="n">
        <f aca="false">IF(OR(Calculator!$E$11&lt;&gt;"YES",Calculator!$B$33&lt;Calculator!$G$11),"—",ROUND(MAX((50*POWER(80,POWER(COS(PI()*MOD(Calculator!$B$33/Calculator!$F$11,1)),2)))/$C62,$C62/(50*POWER(80,POWER(COS(PI()*MOD(Calculator!$B$33/Calculator!$F$11,1)),2)))),2))</f>
        <v>17.4</v>
      </c>
      <c r="AO62" s="120" t="n">
        <f aca="false">IF(OR(Calculator!$E$12&lt;&gt;"YES",Calculator!$B$33&lt;Calculator!$G$12),"—",ROUND(MAX((50*POWER(80,POWER(COS(PI()*MOD(Calculator!$B$33/Calculator!$F$12,1)),2)))/$C62,$C62/(50*POWER(80,POWER(COS(PI()*MOD(Calculator!$B$33/Calculator!$F$12,1)),2)))),2))</f>
        <v>1.33</v>
      </c>
      <c r="AP62" s="120" t="n">
        <f aca="false">IF(OR(Calculator!$E$13&lt;&gt;"YES",Calculator!$B$33&lt;Calculator!$G$13),"—",ROUND(MAX((50*POWER(80,POWER(COS(PI()*MOD(Calculator!$B$33/Calculator!$F$13,1)),2)))/$C62,$C62/(50*POWER(80,POWER(COS(PI()*MOD(Calculator!$B$33/Calculator!$F$13,1)),2)))),2))</f>
        <v>4.2</v>
      </c>
      <c r="AQ62" s="120" t="n">
        <f aca="false">IF(OR(Calculator!$E$14&lt;&gt;"YES",Calculator!$B$33&lt;Calculator!$G$14),"—",ROUND(MAX((50*POWER(80,POWER(COS(PI()*MOD(Calculator!$B$33/Calculator!$F$14,1)),2)))/$C62,$C62/(50*POWER(80,POWER(COS(PI()*MOD(Calculator!$B$33/Calculator!$F$14,1)),2)))),2))</f>
        <v>7.82</v>
      </c>
      <c r="AR62" s="120" t="n">
        <f aca="false">IF(OR(Calculator!$E$15&lt;&gt;"YES",Calculator!$B$33&lt;Calculator!$G$15),"—",ROUND(MAX((50*POWER(80,POWER(COS(PI()*MOD(Calculator!$B$33/Calculator!$F$15,1)),2)))/$C62,$C62/(50*POWER(80,POWER(COS(PI()*MOD(Calculator!$B$33/Calculator!$F$15,1)),2)))),2))</f>
        <v>4.76</v>
      </c>
      <c r="AS62" s="120" t="n">
        <f aca="false">IF(OR(Calculator!$E$16&lt;&gt;"YES",Calculator!$B$33&lt;Calculator!$G$16),"—",ROUND(MAX((50*POWER(80,POWER(COS(PI()*MOD(Calculator!$B$33/Calculator!$F$16,1)),2)))/$C62,$C62/(50*POWER(80,POWER(COS(PI()*MOD(Calculator!$B$33/Calculator!$F$16,1)),2)))),2))</f>
        <v>22</v>
      </c>
      <c r="AT62" s="120" t="n">
        <f aca="false">IF(OR(Calculator!$E$17&lt;&gt;"YES",Calculator!$B$33&lt;Calculator!$G$17),"—",ROUND(MAX((50*POWER(80,POWER(COS(PI()*MOD(Calculator!$B$33/Calculator!$F$17,1)),2)))/$C62,$C62/(50*POWER(80,POWER(COS(PI()*MOD(Calculator!$B$33/Calculator!$F$17,1)),2)))),2))</f>
        <v>1.22</v>
      </c>
      <c r="AU62" s="120" t="n">
        <f aca="false">IF(OR(Calculator!$E$18&lt;&gt;"YES",Calculator!$B$33&lt;Calculator!$G$18),"—",ROUND(MAX((50*POWER(80,POWER(COS(PI()*MOD(Calculator!$B$33/Calculator!$F$18,1)),2)))/$C62,$C62/(50*POWER(80,POWER(COS(PI()*MOD(Calculator!$B$33/Calculator!$F$18,1)),2)))),2))</f>
        <v>1.29</v>
      </c>
      <c r="AV62" s="120" t="n">
        <f aca="false">IF(OR(Calculator!$E$19&lt;&gt;"YES",Calculator!$B$33&lt;Calculator!$G$19),"—",ROUND(MAX((50*POWER(80,POWER(COS(PI()*MOD(Calculator!$B$33/Calculator!$F$19,1)),2)))/$C62,$C62/(50*POWER(80,POWER(COS(PI()*MOD(Calculator!$B$33/Calculator!$F$19,1)),2)))),2))</f>
        <v>2.19</v>
      </c>
      <c r="AW62" s="120" t="n">
        <f aca="false">IF(OR(Calculator!$E$20&lt;&gt;"YES",Calculator!$B$33&lt;Calculator!$G$20),"—",ROUND(MAX((50*POWER(80,POWER(COS(PI()*MOD(Calculator!$B$33/Calculator!$F$20,1)),2)))/$C62,$C62/(50*POWER(80,POWER(COS(PI()*MOD(Calculator!$B$33/Calculator!$F$20,1)),2)))),2))</f>
        <v>10.02</v>
      </c>
      <c r="AX62" s="120" t="n">
        <f aca="false">IF(OR(Calculator!$E$21&lt;&gt;"YES",Calculator!$B$33&lt;Calculator!$G$21),"—",ROUND(MAX((50*POWER(80,POWER(COS(PI()*MOD(Calculator!$B$33/Calculator!$F$21,1)),2)))/$C62,$C62/(50*POWER(80,POWER(COS(PI()*MOD(Calculator!$B$33/Calculator!$F$21,1)),2)))),2))</f>
        <v>1.28</v>
      </c>
      <c r="AY62" s="115" t="n">
        <f aca="false">IFERROR(ROUND((IF(ISNUMBER(AN62),AN62,0)+IF(ISNUMBER(AO62),AO62,0)+IF(ISNUMBER(AP62),AP62,0)+IF(ISNUMBER(AQ62),AQ62,0)+IF(ISNUMBER(AR62),AR62,0)+IF(ISNUMBER(AS62),AS62,0)+IF(ISNUMBER(AT62),AT62,0)+IF(ISNUMBER(AU62),AU62,0)+IF(ISNUMBER(AV62),AV62,0)+IF(ISNUMBER(AW62),AW62,0)+IF(ISNUMBER(AX62),AX62,0))/(IF(ISNUMBER(AN62),1,0)+IF(ISNUMBER(AO62),1,0)+IF(ISNUMBER(AP62),1,0)+IF(ISNUMBER(AQ62),1,0)+IF(ISNUMBER(AR62),1,0)+IF(ISNUMBER(AS62),1,0)+IF(ISNUMBER(AT62),1,0)+IF(ISNUMBER(AU62),1,0)+IF(ISNUMBER(AV62),1,0)+IF(ISNUMBER(AW62),1,0)+IF(ISNUMBER(AX62),1,0)),2),"")</f>
        <v>6.68</v>
      </c>
      <c r="AZ62" s="120" t="n">
        <f aca="false">IF(OR(Calculator!$E$11&lt;&gt;"YES",Calculator!$B$34&lt;Calculator!$G$11),"—",ROUND(MAX((50*POWER(80,POWER(COS(PI()*MOD(Calculator!$B$34/Calculator!$F$11,1)),2)))/$C62,$C62/(50*POWER(80,POWER(COS(PI()*MOD(Calculator!$B$34/Calculator!$F$11,1)),2)))),2))</f>
        <v>16.77</v>
      </c>
      <c r="BA62" s="120" t="n">
        <f aca="false">IF(OR(Calculator!$E$12&lt;&gt;"YES",Calculator!$B$34&lt;Calculator!$G$12),"—",ROUND(MAX((50*POWER(80,POWER(COS(PI()*MOD(Calculator!$B$34/Calculator!$F$12,1)),2)))/$C62,$C62/(50*POWER(80,POWER(COS(PI()*MOD(Calculator!$B$34/Calculator!$F$12,1)),2)))),2))</f>
        <v>1.47</v>
      </c>
      <c r="BB62" s="120" t="n">
        <f aca="false">IF(OR(Calculator!$E$13&lt;&gt;"YES",Calculator!$B$34&lt;Calculator!$G$13),"—",ROUND(MAX((50*POWER(80,POWER(COS(PI()*MOD(Calculator!$B$34/Calculator!$F$13,1)),2)))/$C62,$C62/(50*POWER(80,POWER(COS(PI()*MOD(Calculator!$B$34/Calculator!$F$13,1)),2)))),2))</f>
        <v>3.59</v>
      </c>
      <c r="BC62" s="120" t="n">
        <f aca="false">IF(OR(Calculator!$E$14&lt;&gt;"YES",Calculator!$B$34&lt;Calculator!$G$14),"—",ROUND(MAX((50*POWER(80,POWER(COS(PI()*MOD(Calculator!$B$34/Calculator!$F$14,1)),2)))/$C62,$C62/(50*POWER(80,POWER(COS(PI()*MOD(Calculator!$B$34/Calculator!$F$14,1)),2)))),2))</f>
        <v>9.42</v>
      </c>
      <c r="BD62" s="120" t="n">
        <f aca="false">IF(OR(Calculator!$E$15&lt;&gt;"YES",Calculator!$B$34&lt;Calculator!$G$15),"—",ROUND(MAX((50*POWER(80,POWER(COS(PI()*MOD(Calculator!$B$34/Calculator!$F$15,1)),2)))/$C62,$C62/(50*POWER(80,POWER(COS(PI()*MOD(Calculator!$B$34/Calculator!$F$15,1)),2)))),2))</f>
        <v>6.33</v>
      </c>
      <c r="BE62" s="120" t="n">
        <f aca="false">IF(OR(Calculator!$E$16&lt;&gt;"YES",Calculator!$B$34&lt;Calculator!$G$16),"—",ROUND(MAX((50*POWER(80,POWER(COS(PI()*MOD(Calculator!$B$34/Calculator!$F$16,1)),2)))/$C62,$C62/(50*POWER(80,POWER(COS(PI()*MOD(Calculator!$B$34/Calculator!$F$16,1)),2)))),2))</f>
        <v>17.26</v>
      </c>
      <c r="BF62" s="120" t="n">
        <f aca="false">IF(OR(Calculator!$E$17&lt;&gt;"YES",Calculator!$B$34&lt;Calculator!$G$17),"—",ROUND(MAX((50*POWER(80,POWER(COS(PI()*MOD(Calculator!$B$34/Calculator!$F$17,1)),2)))/$C62,$C62/(50*POWER(80,POWER(COS(PI()*MOD(Calculator!$B$34/Calculator!$F$17,1)),2)))),2))</f>
        <v>1.75</v>
      </c>
      <c r="BG62" s="120" t="n">
        <f aca="false">IF(OR(Calculator!$E$18&lt;&gt;"YES",Calculator!$B$34&lt;Calculator!$G$18),"—",ROUND(MAX((50*POWER(80,POWER(COS(PI()*MOD(Calculator!$B$34/Calculator!$F$18,1)),2)))/$C62,$C62/(50*POWER(80,POWER(COS(PI()*MOD(Calculator!$B$34/Calculator!$F$18,1)),2)))),2))</f>
        <v>1.91</v>
      </c>
      <c r="BH62" s="120" t="n">
        <f aca="false">IF(OR(Calculator!$E$19&lt;&gt;"YES",Calculator!$B$34&lt;Calculator!$G$19),"—",ROUND(MAX((50*POWER(80,POWER(COS(PI()*MOD(Calculator!$B$34/Calculator!$F$19,1)),2)))/$C62,$C62/(50*POWER(80,POWER(COS(PI()*MOD(Calculator!$B$34/Calculator!$F$19,1)),2)))),2))</f>
        <v>1.46</v>
      </c>
      <c r="BI62" s="120" t="n">
        <f aca="false">IF(OR(Calculator!$E$20&lt;&gt;"YES",Calculator!$B$34&lt;Calculator!$G$20),"—",ROUND(MAX((50*POWER(80,POWER(COS(PI()*MOD(Calculator!$B$34/Calculator!$F$20,1)),2)))/$C62,$C62/(50*POWER(80,POWER(COS(PI()*MOD(Calculator!$B$34/Calculator!$F$20,1)),2)))),2))</f>
        <v>18.78</v>
      </c>
      <c r="BJ62" s="120" t="n">
        <f aca="false">IF(OR(Calculator!$E$21&lt;&gt;"YES",Calculator!$B$34&lt;Calculator!$G$21),"—",ROUND(MAX((50*POWER(80,POWER(COS(PI()*MOD(Calculator!$B$34/Calculator!$F$21,1)),2)))/$C62,$C62/(50*POWER(80,POWER(COS(PI()*MOD(Calculator!$B$34/Calculator!$F$21,1)),2)))),2))</f>
        <v>2.19</v>
      </c>
      <c r="BK62" s="115" t="n">
        <f aca="false">IFERROR(ROUND((IF(ISNUMBER(AZ62),AZ62,0)+IF(ISNUMBER(BA62),BA62,0)+IF(ISNUMBER(BB62),BB62,0)+IF(ISNUMBER(BC62),BC62,0)+IF(ISNUMBER(BD62),BD62,0)+IF(ISNUMBER(BE62),BE62,0)+IF(ISNUMBER(BF62),BF62,0)+IF(ISNUMBER(BG62),BG62,0)+IF(ISNUMBER(BH62),BH62,0)+IF(ISNUMBER(BI62),BI62,0)+IF(ISNUMBER(BJ62),BJ62,0))/(IF(ISNUMBER(AZ62),1,0)+IF(ISNUMBER(BA62),1,0)+IF(ISNUMBER(BB62),1,0)+IF(ISNUMBER(BC62),1,0)+IF(ISNUMBER(BD62),1,0)+IF(ISNUMBER(BE62),1,0)+IF(ISNUMBER(BF62),1,0)+IF(ISNUMBER(BG62),1,0)+IF(ISNUMBER(BH62),1,0)+IF(ISNUMBER(BI62),1,0)+IF(ISNUMBER(BJ62),1,0)),2),"")</f>
        <v>7.36</v>
      </c>
    </row>
    <row r="63" customFormat="false" ht="15" hidden="false" customHeight="false" outlineLevel="0" collapsed="false">
      <c r="A63" s="87" t="s">
        <v>121</v>
      </c>
      <c r="B63" s="87" t="s">
        <v>93</v>
      </c>
      <c r="C63" s="90" t="n">
        <v>1550</v>
      </c>
      <c r="D63" s="91" t="n">
        <f aca="false">IF(OR(Calculator!$E$11&lt;&gt;"YES",Calculator!$B$30&lt;Calculator!$G$11),"—",ROUND(MAX((50*POWER(80,POWER(COS(PI()*MOD(Calculator!$B$30/Calculator!$F$11,1)),2)))/$C63,$C63/(50*POWER(80,POWER(COS(PI()*MOD(Calculator!$B$30/Calculator!$F$11,1)),2)))),2))</f>
        <v>17.55</v>
      </c>
      <c r="E63" s="91" t="n">
        <f aca="false">IF(OR(Calculator!$E$12&lt;&gt;"YES",Calculator!$B$30&lt;Calculator!$G$12),"—",ROUND(MAX((50*POWER(80,POWER(COS(PI()*MOD(Calculator!$B$30/Calculator!$F$12,1)),2)))/$C63,$C63/(50*POWER(80,POWER(COS(PI()*MOD(Calculator!$B$30/Calculator!$F$12,1)),2)))),2))</f>
        <v>1.47</v>
      </c>
      <c r="F63" s="91" t="n">
        <f aca="false">IF(OR(Calculator!$E$13&lt;&gt;"YES",Calculator!$B$30&lt;Calculator!$G$13),"—",ROUND(MAX((50*POWER(80,POWER(COS(PI()*MOD(Calculator!$B$30/Calculator!$F$13,1)),2)))/$C63,$C63/(50*POWER(80,POWER(COS(PI()*MOD(Calculator!$B$30/Calculator!$F$13,1)),2)))),2))</f>
        <v>3.91</v>
      </c>
      <c r="G63" s="91" t="n">
        <f aca="false">IF(OR(Calculator!$E$14&lt;&gt;"YES",Calculator!$B$30&lt;Calculator!$G$14),"—",ROUND(MAX((50*POWER(80,POWER(COS(PI()*MOD(Calculator!$B$30/Calculator!$F$14,1)),2)))/$C63,$C63/(50*POWER(80,POWER(COS(PI()*MOD(Calculator!$B$30/Calculator!$F$14,1)),2)))),2))</f>
        <v>9.16</v>
      </c>
      <c r="H63" s="91" t="n">
        <f aca="false">IF(OR(Calculator!$E$15&lt;&gt;"YES",Calculator!$B$30&lt;Calculator!$G$15),"—",ROUND(MAX((50*POWER(80,POWER(COS(PI()*MOD(Calculator!$B$30/Calculator!$F$15,1)),2)))/$C63,$C63/(50*POWER(80,POWER(COS(PI()*MOD(Calculator!$B$30/Calculator!$F$15,1)),2)))),2))</f>
        <v>5.96</v>
      </c>
      <c r="I63" s="91" t="n">
        <f aca="false">IF(OR(Calculator!$E$16&lt;&gt;"YES",Calculator!$B$30&lt;Calculator!$G$16),"—",ROUND(MAX((50*POWER(80,POWER(COS(PI()*MOD(Calculator!$B$30/Calculator!$F$16,1)),2)))/$C63,$C63/(50*POWER(80,POWER(COS(PI()*MOD(Calculator!$B$30/Calculator!$F$16,1)),2)))),2))</f>
        <v>19.47</v>
      </c>
      <c r="J63" s="91" t="n">
        <f aca="false">IF(OR(Calculator!$E$17&lt;&gt;"YES",Calculator!$B$30&lt;Calculator!$G$17),"—",ROUND(MAX((50*POWER(80,POWER(COS(PI()*MOD(Calculator!$B$30/Calculator!$F$17,1)),2)))/$C63,$C63/(50*POWER(80,POWER(COS(PI()*MOD(Calculator!$B$30/Calculator!$F$17,1)),2)))),2))</f>
        <v>1.52</v>
      </c>
      <c r="K63" s="91" t="n">
        <f aca="false">IF(OR(Calculator!$E$18&lt;&gt;"YES",Calculator!$B$30&lt;Calculator!$G$18),"—",ROUND(MAX((50*POWER(80,POWER(COS(PI()*MOD(Calculator!$B$30/Calculator!$F$18,1)),2)))/$C63,$C63/(50*POWER(80,POWER(COS(PI()*MOD(Calculator!$B$30/Calculator!$F$18,1)),2)))),2))</f>
        <v>1.65</v>
      </c>
      <c r="L63" s="91" t="n">
        <f aca="false">IF(OR(Calculator!$E$19&lt;&gt;"YES",Calculator!$B$30&lt;Calculator!$G$19),"—",ROUND(MAX((50*POWER(80,POWER(COS(PI()*MOD(Calculator!$B$30/Calculator!$F$19,1)),2)))/$C63,$C63/(50*POWER(80,POWER(COS(PI()*MOD(Calculator!$B$30/Calculator!$F$19,1)),2)))),2))</f>
        <v>1.65</v>
      </c>
      <c r="M63" s="91" t="n">
        <f aca="false">IF(OR(Calculator!$E$20&lt;&gt;"YES",Calculator!$B$30&lt;Calculator!$G$20),"—",ROUND(MAX((50*POWER(80,POWER(COS(PI()*MOD(Calculator!$B$30/Calculator!$F$20,1)),2)))/$C63,$C63/(50*POWER(80,POWER(COS(PI()*MOD(Calculator!$B$30/Calculator!$F$20,1)),2)))),2))</f>
        <v>16.11</v>
      </c>
      <c r="N63" s="91" t="n">
        <f aca="false">IF(OR(Calculator!$E$21&lt;&gt;"YES",Calculator!$B$30&lt;Calculator!$G$21),"—",ROUND(MAX((50*POWER(80,POWER(COS(PI()*MOD(Calculator!$B$30/Calculator!$F$21,1)),2)))/$C63,$C63/(50*POWER(80,POWER(COS(PI()*MOD(Calculator!$B$30/Calculator!$F$21,1)),2)))),2))</f>
        <v>1.64</v>
      </c>
      <c r="O63" s="114" t="n">
        <f aca="false">IFERROR(ROUND((IF(ISNUMBER(D63),D63,0)+IF(ISNUMBER(E63),E63,0)+IF(ISNUMBER(F63),F63,0)+IF(ISNUMBER(G63),G63,0)+IF(ISNUMBER(H63),H63,0)+IF(ISNUMBER(I63),I63,0)+IF(ISNUMBER(J63),J63,0)+IF(ISNUMBER(K63),K63,0)+IF(ISNUMBER(L63),L63,0)+IF(ISNUMBER(M63),M63,0)+IF(ISNUMBER(N63),N63,0))/(IF(ISNUMBER(D63),1,0)+IF(ISNUMBER(E63),1,0)+IF(ISNUMBER(F63),1,0)+IF(ISNUMBER(G63),1,0)+IF(ISNUMBER(H63),1,0)+IF(ISNUMBER(I63),1,0)+IF(ISNUMBER(J63),1,0)+IF(ISNUMBER(K63),1,0)+IF(ISNUMBER(L63),1,0)+IF(ISNUMBER(M63),1,0)+IF(ISNUMBER(N63),1,0)),2),"")</f>
        <v>7.28</v>
      </c>
      <c r="P63" s="91" t="n">
        <f aca="false">IF(OR(Calculator!$E$11&lt;&gt;"YES",Calculator!$B$31&lt;Calculator!$G$11),"—",ROUND(MAX((50*POWER(80,POWER(COS(PI()*MOD(Calculator!$B$31/Calculator!$F$11,1)),2)))/$C63,$C63/(50*POWER(80,POWER(COS(PI()*MOD(Calculator!$B$31/Calculator!$F$11,1)),2)))),2))</f>
        <v>17.77</v>
      </c>
      <c r="Q63" s="91" t="n">
        <f aca="false">IF(OR(Calculator!$E$12&lt;&gt;"YES",Calculator!$B$31&lt;Calculator!$G$12),"—",ROUND(MAX((50*POWER(80,POWER(COS(PI()*MOD(Calculator!$B$31/Calculator!$F$12,1)),2)))/$C63,$C63/(50*POWER(80,POWER(COS(PI()*MOD(Calculator!$B$31/Calculator!$F$12,1)),2)))),2))</f>
        <v>1.42</v>
      </c>
      <c r="R63" s="91" t="n">
        <f aca="false">IF(OR(Calculator!$E$13&lt;&gt;"YES",Calculator!$B$31&lt;Calculator!$G$13),"—",ROUND(MAX((50*POWER(80,POWER(COS(PI()*MOD(Calculator!$B$31/Calculator!$F$13,1)),2)))/$C63,$C63/(50*POWER(80,POWER(COS(PI()*MOD(Calculator!$B$31/Calculator!$F$13,1)),2)))),2))</f>
        <v>4.12</v>
      </c>
      <c r="S63" s="91" t="n">
        <f aca="false">IF(OR(Calculator!$E$14&lt;&gt;"YES",Calculator!$B$31&lt;Calculator!$G$14),"—",ROUND(MAX((50*POWER(80,POWER(COS(PI()*MOD(Calculator!$B$31/Calculator!$F$14,1)),2)))/$C63,$C63/(50*POWER(80,POWER(COS(PI()*MOD(Calculator!$B$31/Calculator!$F$14,1)),2)))),2))</f>
        <v>8.6</v>
      </c>
      <c r="T63" s="91" t="n">
        <f aca="false">IF(OR(Calculator!$E$15&lt;&gt;"YES",Calculator!$B$31&lt;Calculator!$G$15),"—",ROUND(MAX((50*POWER(80,POWER(COS(PI()*MOD(Calculator!$B$31/Calculator!$F$15,1)),2)))/$C63,$C63/(50*POWER(80,POWER(COS(PI()*MOD(Calculator!$B$31/Calculator!$F$15,1)),2)))),2))</f>
        <v>5.41</v>
      </c>
      <c r="U63" s="91" t="n">
        <f aca="false">IF(OR(Calculator!$E$16&lt;&gt;"YES",Calculator!$B$31&lt;Calculator!$G$16),"—",ROUND(MAX((50*POWER(80,POWER(COS(PI()*MOD(Calculator!$B$31/Calculator!$F$16,1)),2)))/$C63,$C63/(50*POWER(80,POWER(COS(PI()*MOD(Calculator!$B$31/Calculator!$F$16,1)),2)))),2))</f>
        <v>21.11</v>
      </c>
      <c r="V63" s="91" t="n">
        <f aca="false">IF(OR(Calculator!$E$17&lt;&gt;"YES",Calculator!$B$31&lt;Calculator!$G$17),"—",ROUND(MAX((50*POWER(80,POWER(COS(PI()*MOD(Calculator!$B$31/Calculator!$F$17,1)),2)))/$C63,$C63/(50*POWER(80,POWER(COS(PI()*MOD(Calculator!$B$31/Calculator!$F$17,1)),2)))),2))</f>
        <v>1.35</v>
      </c>
      <c r="W63" s="91" t="n">
        <f aca="false">IF(OR(Calculator!$E$18&lt;&gt;"YES",Calculator!$B$31&lt;Calculator!$G$18),"—",ROUND(MAX((50*POWER(80,POWER(COS(PI()*MOD(Calculator!$B$31/Calculator!$F$18,1)),2)))/$C63,$C63/(50*POWER(80,POWER(COS(PI()*MOD(Calculator!$B$31/Calculator!$F$18,1)),2)))),2))</f>
        <v>1.44</v>
      </c>
      <c r="X63" s="91" t="n">
        <f aca="false">IF(OR(Calculator!$E$19&lt;&gt;"YES",Calculator!$B$31&lt;Calculator!$G$19),"—",ROUND(MAX((50*POWER(80,POWER(COS(PI()*MOD(Calculator!$B$31/Calculator!$F$19,1)),2)))/$C63,$C63/(50*POWER(80,POWER(COS(PI()*MOD(Calculator!$B$31/Calculator!$F$19,1)),2)))),2))</f>
        <v>1.89</v>
      </c>
      <c r="Y63" s="91" t="n">
        <f aca="false">IF(OR(Calculator!$E$20&lt;&gt;"YES",Calculator!$B$31&lt;Calculator!$G$20),"—",ROUND(MAX((50*POWER(80,POWER(COS(PI()*MOD(Calculator!$B$31/Calculator!$F$20,1)),2)))/$C63,$C63/(50*POWER(80,POWER(COS(PI()*MOD(Calculator!$B$31/Calculator!$F$20,1)),2)))),2))</f>
        <v>13.06</v>
      </c>
      <c r="Z63" s="91" t="n">
        <f aca="false">IF(OR(Calculator!$E$21&lt;&gt;"YES",Calculator!$B$31&lt;Calculator!$G$21),"—",ROUND(MAX((50*POWER(80,POWER(COS(PI()*MOD(Calculator!$B$31/Calculator!$F$21,1)),2)))/$C63,$C63/(50*POWER(80,POWER(COS(PI()*MOD(Calculator!$B$31/Calculator!$F$21,1)),2)))),2))</f>
        <v>1.15</v>
      </c>
      <c r="AA63" s="114" t="n">
        <f aca="false">IFERROR(ROUND((IF(ISNUMBER(P63),P63,0)+IF(ISNUMBER(Q63),Q63,0)+IF(ISNUMBER(R63),R63,0)+IF(ISNUMBER(S63),S63,0)+IF(ISNUMBER(T63),T63,0)+IF(ISNUMBER(U63),U63,0)+IF(ISNUMBER(V63),V63,0)+IF(ISNUMBER(W63),W63,0)+IF(ISNUMBER(X63),X63,0)+IF(ISNUMBER(Y63),Y63,0)+IF(ISNUMBER(Z63),Z63,0))/(IF(ISNUMBER(P63),1,0)+IF(ISNUMBER(Q63),1,0)+IF(ISNUMBER(R63),1,0)+IF(ISNUMBER(S63),1,0)+IF(ISNUMBER(T63),1,0)+IF(ISNUMBER(U63),1,0)+IF(ISNUMBER(V63),1,0)+IF(ISNUMBER(W63),1,0)+IF(ISNUMBER(X63),1,0)+IF(ISNUMBER(Y63),1,0)+IF(ISNUMBER(Z63),1,0)),2),"")</f>
        <v>7.03</v>
      </c>
      <c r="AB63" s="91" t="n">
        <f aca="false">IF(OR(Calculator!$E$11&lt;&gt;"YES",Calculator!$B$32&lt;Calculator!$G$11),"—",ROUND(MAX((50*POWER(80,POWER(COS(PI()*MOD(Calculator!$B$32/Calculator!$F$11,1)),2)))/$C63,$C63/(50*POWER(80,POWER(COS(PI()*MOD(Calculator!$B$32/Calculator!$F$11,1)),2)))),2))</f>
        <v>22.37</v>
      </c>
      <c r="AC63" s="91" t="n">
        <f aca="false">IF(OR(Calculator!$E$12&lt;&gt;"YES",Calculator!$B$32&lt;Calculator!$G$12),"—",ROUND(MAX((50*POWER(80,POWER(COS(PI()*MOD(Calculator!$B$32/Calculator!$F$12,1)),2)))/$C63,$C63/(50*POWER(80,POWER(COS(PI()*MOD(Calculator!$B$32/Calculator!$F$12,1)),2)))),2))</f>
        <v>1.3</v>
      </c>
      <c r="AD63" s="91" t="n">
        <f aca="false">IF(OR(Calculator!$E$13&lt;&gt;"YES",Calculator!$B$32&lt;Calculator!$G$13),"—",ROUND(MAX((50*POWER(80,POWER(COS(PI()*MOD(Calculator!$B$32/Calculator!$F$13,1)),2)))/$C63,$C63/(50*POWER(80,POWER(COS(PI()*MOD(Calculator!$B$32/Calculator!$F$13,1)),2)))),2))</f>
        <v>11.41</v>
      </c>
      <c r="AE63" s="91" t="n">
        <f aca="false">IF(OR(Calculator!$E$14&lt;&gt;"YES",Calculator!$B$32&lt;Calculator!$G$14),"—",ROUND(MAX((50*POWER(80,POWER(COS(PI()*MOD(Calculator!$B$32/Calculator!$F$14,1)),2)))/$C63,$C63/(50*POWER(80,POWER(COS(PI()*MOD(Calculator!$B$32/Calculator!$F$14,1)),2)))),2))</f>
        <v>2.08</v>
      </c>
      <c r="AF63" s="91" t="n">
        <f aca="false">IF(OR(Calculator!$E$15&lt;&gt;"YES",Calculator!$B$32&lt;Calculator!$G$15),"—",ROUND(MAX((50*POWER(80,POWER(COS(PI()*MOD(Calculator!$B$32/Calculator!$F$15,1)),2)))/$C63,$C63/(50*POWER(80,POWER(COS(PI()*MOD(Calculator!$B$32/Calculator!$F$15,1)),2)))),2))</f>
        <v>1.25</v>
      </c>
      <c r="AG63" s="91" t="n">
        <f aca="false">IF(OR(Calculator!$E$16&lt;&gt;"YES",Calculator!$B$32&lt;Calculator!$G$16),"—",ROUND(MAX((50*POWER(80,POWER(COS(PI()*MOD(Calculator!$B$32/Calculator!$F$16,1)),2)))/$C63,$C63/(50*POWER(80,POWER(COS(PI()*MOD(Calculator!$B$32/Calculator!$F$16,1)),2)))),2))</f>
        <v>18.22</v>
      </c>
      <c r="AH63" s="91" t="n">
        <f aca="false">IF(OR(Calculator!$E$17&lt;&gt;"YES",Calculator!$B$32&lt;Calculator!$G$17),"—",ROUND(MAX((50*POWER(80,POWER(COS(PI()*MOD(Calculator!$B$32/Calculator!$F$17,1)),2)))/$C63,$C63/(50*POWER(80,POWER(COS(PI()*MOD(Calculator!$B$32/Calculator!$F$17,1)),2)))),2))</f>
        <v>19.24</v>
      </c>
      <c r="AI63" s="91" t="n">
        <f aca="false">IF(OR(Calculator!$E$18&lt;&gt;"YES",Calculator!$B$32&lt;Calculator!$G$18),"—",ROUND(MAX((50*POWER(80,POWER(COS(PI()*MOD(Calculator!$B$32/Calculator!$F$18,1)),2)))/$C63,$C63/(50*POWER(80,POWER(COS(PI()*MOD(Calculator!$B$32/Calculator!$F$18,1)),2)))),2))</f>
        <v>25.37</v>
      </c>
      <c r="AJ63" s="91" t="n">
        <f aca="false">IF(OR(Calculator!$E$19&lt;&gt;"YES",Calculator!$B$32&lt;Calculator!$G$19),"—",ROUND(MAX((50*POWER(80,POWER(COS(PI()*MOD(Calculator!$B$32/Calculator!$F$19,1)),2)))/$C63,$C63/(50*POWER(80,POWER(COS(PI()*MOD(Calculator!$B$32/Calculator!$F$19,1)),2)))),2))</f>
        <v>5.35</v>
      </c>
      <c r="AK63" s="91" t="n">
        <f aca="false">IF(OR(Calculator!$E$20&lt;&gt;"YES",Calculator!$B$32&lt;Calculator!$G$20),"—",ROUND(MAX((50*POWER(80,POWER(COS(PI()*MOD(Calculator!$B$32/Calculator!$F$20,1)),2)))/$C63,$C63/(50*POWER(80,POWER(COS(PI()*MOD(Calculator!$B$32/Calculator!$F$20,1)),2)))),2))</f>
        <v>2.07</v>
      </c>
      <c r="AL63" s="91" t="n">
        <f aca="false">IF(OR(Calculator!$E$21&lt;&gt;"YES",Calculator!$B$32&lt;Calculator!$G$21),"—",ROUND(MAX((50*POWER(80,POWER(COS(PI()*MOD(Calculator!$B$32/Calculator!$F$21,1)),2)))/$C63,$C63/(50*POWER(80,POWER(COS(PI()*MOD(Calculator!$B$32/Calculator!$F$21,1)),2)))),2))</f>
        <v>1.8</v>
      </c>
      <c r="AM63" s="115" t="n">
        <f aca="false">IFERROR(ROUND((IF(ISNUMBER(AB63),AB63,0)+IF(ISNUMBER(AC63),AC63,0)+IF(ISNUMBER(AD63),AD63,0)+IF(ISNUMBER(AE63),AE63,0)+IF(ISNUMBER(AF63),AF63,0)+IF(ISNUMBER(AG63),AG63,0)+IF(ISNUMBER(AH63),AH63,0)+IF(ISNUMBER(AI63),AI63,0)+IF(ISNUMBER(AJ63),AJ63,0)+IF(ISNUMBER(AK63),AK63,0)+IF(ISNUMBER(AL63),AL63,0))/(IF(ISNUMBER(AB63),1,0)+IF(ISNUMBER(AC63),1,0)+IF(ISNUMBER(AD63),1,0)+IF(ISNUMBER(AE63),1,0)+IF(ISNUMBER(AF63),1,0)+IF(ISNUMBER(AG63),1,0)+IF(ISNUMBER(AH63),1,0)+IF(ISNUMBER(AI63),1,0)+IF(ISNUMBER(AJ63),1,0)+IF(ISNUMBER(AK63),1,0)+IF(ISNUMBER(AL63),1,0)),2),"")</f>
        <v>10.04</v>
      </c>
      <c r="AN63" s="116" t="n">
        <f aca="false">IF(OR(Calculator!$E$11&lt;&gt;"YES",Calculator!$B$33&lt;Calculator!$G$11),"—",ROUND(MAX((50*POWER(80,POWER(COS(PI()*MOD(Calculator!$B$33/Calculator!$F$11,1)),2)))/$C63,$C63/(50*POWER(80,POWER(COS(PI()*MOD(Calculator!$B$33/Calculator!$F$11,1)),2)))),2))</f>
        <v>17.98</v>
      </c>
      <c r="AO63" s="116" t="n">
        <f aca="false">IF(OR(Calculator!$E$12&lt;&gt;"YES",Calculator!$B$33&lt;Calculator!$G$12),"—",ROUND(MAX((50*POWER(80,POWER(COS(PI()*MOD(Calculator!$B$33/Calculator!$F$12,1)),2)))/$C63,$C63/(50*POWER(80,POWER(COS(PI()*MOD(Calculator!$B$33/Calculator!$F$12,1)),2)))),2))</f>
        <v>1.38</v>
      </c>
      <c r="AP63" s="116" t="n">
        <f aca="false">IF(OR(Calculator!$E$13&lt;&gt;"YES",Calculator!$B$33&lt;Calculator!$G$13),"—",ROUND(MAX((50*POWER(80,POWER(COS(PI()*MOD(Calculator!$B$33/Calculator!$F$13,1)),2)))/$C63,$C63/(50*POWER(80,POWER(COS(PI()*MOD(Calculator!$B$33/Calculator!$F$13,1)),2)))),2))</f>
        <v>4.34</v>
      </c>
      <c r="AQ63" s="116" t="n">
        <f aca="false">IF(OR(Calculator!$E$14&lt;&gt;"YES",Calculator!$B$33&lt;Calculator!$G$14),"—",ROUND(MAX((50*POWER(80,POWER(COS(PI()*MOD(Calculator!$B$33/Calculator!$F$14,1)),2)))/$C63,$C63/(50*POWER(80,POWER(COS(PI()*MOD(Calculator!$B$33/Calculator!$F$14,1)),2)))),2))</f>
        <v>8.08</v>
      </c>
      <c r="AR63" s="116" t="n">
        <f aca="false">IF(OR(Calculator!$E$15&lt;&gt;"YES",Calculator!$B$33&lt;Calculator!$G$15),"—",ROUND(MAX((50*POWER(80,POWER(COS(PI()*MOD(Calculator!$B$33/Calculator!$F$15,1)),2)))/$C63,$C63/(50*POWER(80,POWER(COS(PI()*MOD(Calculator!$B$33/Calculator!$F$15,1)),2)))),2))</f>
        <v>4.92</v>
      </c>
      <c r="AS63" s="116" t="n">
        <f aca="false">IF(OR(Calculator!$E$16&lt;&gt;"YES",Calculator!$B$33&lt;Calculator!$G$16),"—",ROUND(MAX((50*POWER(80,POWER(COS(PI()*MOD(Calculator!$B$33/Calculator!$F$16,1)),2)))/$C63,$C63/(50*POWER(80,POWER(COS(PI()*MOD(Calculator!$B$33/Calculator!$F$16,1)),2)))),2))</f>
        <v>22.73</v>
      </c>
      <c r="AT63" s="116" t="n">
        <f aca="false">IF(OR(Calculator!$E$17&lt;&gt;"YES",Calculator!$B$33&lt;Calculator!$G$17),"—",ROUND(MAX((50*POWER(80,POWER(COS(PI()*MOD(Calculator!$B$33/Calculator!$F$17,1)),2)))/$C63,$C63/(50*POWER(80,POWER(COS(PI()*MOD(Calculator!$B$33/Calculator!$F$17,1)),2)))),2))</f>
        <v>1.18</v>
      </c>
      <c r="AU63" s="116" t="n">
        <f aca="false">IF(OR(Calculator!$E$18&lt;&gt;"YES",Calculator!$B$33&lt;Calculator!$G$18),"—",ROUND(MAX((50*POWER(80,POWER(COS(PI()*MOD(Calculator!$B$33/Calculator!$F$18,1)),2)))/$C63,$C63/(50*POWER(80,POWER(COS(PI()*MOD(Calculator!$B$33/Calculator!$F$18,1)),2)))),2))</f>
        <v>1.25</v>
      </c>
      <c r="AV63" s="116" t="n">
        <f aca="false">IF(OR(Calculator!$E$19&lt;&gt;"YES",Calculator!$B$33&lt;Calculator!$G$19),"—",ROUND(MAX((50*POWER(80,POWER(COS(PI()*MOD(Calculator!$B$33/Calculator!$F$19,1)),2)))/$C63,$C63/(50*POWER(80,POWER(COS(PI()*MOD(Calculator!$B$33/Calculator!$F$19,1)),2)))),2))</f>
        <v>2.12</v>
      </c>
      <c r="AW63" s="116" t="n">
        <f aca="false">IF(OR(Calculator!$E$20&lt;&gt;"YES",Calculator!$B$33&lt;Calculator!$G$20),"—",ROUND(MAX((50*POWER(80,POWER(COS(PI()*MOD(Calculator!$B$33/Calculator!$F$20,1)),2)))/$C63,$C63/(50*POWER(80,POWER(COS(PI()*MOD(Calculator!$B$33/Calculator!$F$20,1)),2)))),2))</f>
        <v>10.35</v>
      </c>
      <c r="AX63" s="116" t="n">
        <f aca="false">IF(OR(Calculator!$E$21&lt;&gt;"YES",Calculator!$B$33&lt;Calculator!$G$21),"—",ROUND(MAX((50*POWER(80,POWER(COS(PI()*MOD(Calculator!$B$33/Calculator!$F$21,1)),2)))/$C63,$C63/(50*POWER(80,POWER(COS(PI()*MOD(Calculator!$B$33/Calculator!$F$21,1)),2)))),2))</f>
        <v>1.32</v>
      </c>
      <c r="AY63" s="115" t="n">
        <f aca="false">IFERROR(ROUND((IF(ISNUMBER(AN63),AN63,0)+IF(ISNUMBER(AO63),AO63,0)+IF(ISNUMBER(AP63),AP63,0)+IF(ISNUMBER(AQ63),AQ63,0)+IF(ISNUMBER(AR63),AR63,0)+IF(ISNUMBER(AS63),AS63,0)+IF(ISNUMBER(AT63),AT63,0)+IF(ISNUMBER(AU63),AU63,0)+IF(ISNUMBER(AV63),AV63,0)+IF(ISNUMBER(AW63),AW63,0)+IF(ISNUMBER(AX63),AX63,0))/(IF(ISNUMBER(AN63),1,0)+IF(ISNUMBER(AO63),1,0)+IF(ISNUMBER(AP63),1,0)+IF(ISNUMBER(AQ63),1,0)+IF(ISNUMBER(AR63),1,0)+IF(ISNUMBER(AS63),1,0)+IF(ISNUMBER(AT63),1,0)+IF(ISNUMBER(AU63),1,0)+IF(ISNUMBER(AV63),1,0)+IF(ISNUMBER(AW63),1,0)+IF(ISNUMBER(AX63),1,0)),2),"")</f>
        <v>6.88</v>
      </c>
      <c r="AZ63" s="116" t="n">
        <f aca="false">IF(OR(Calculator!$E$11&lt;&gt;"YES",Calculator!$B$34&lt;Calculator!$G$11),"—",ROUND(MAX((50*POWER(80,POWER(COS(PI()*MOD(Calculator!$B$34/Calculator!$F$11,1)),2)))/$C63,$C63/(50*POWER(80,POWER(COS(PI()*MOD(Calculator!$B$34/Calculator!$F$11,1)),2)))),2))</f>
        <v>17.33</v>
      </c>
      <c r="BA63" s="116" t="n">
        <f aca="false">IF(OR(Calculator!$E$12&lt;&gt;"YES",Calculator!$B$34&lt;Calculator!$G$12),"—",ROUND(MAX((50*POWER(80,POWER(COS(PI()*MOD(Calculator!$B$34/Calculator!$F$12,1)),2)))/$C63,$C63/(50*POWER(80,POWER(COS(PI()*MOD(Calculator!$B$34/Calculator!$F$12,1)),2)))),2))</f>
        <v>1.52</v>
      </c>
      <c r="BB63" s="116" t="n">
        <f aca="false">IF(OR(Calculator!$E$13&lt;&gt;"YES",Calculator!$B$34&lt;Calculator!$G$13),"—",ROUND(MAX((50*POWER(80,POWER(COS(PI()*MOD(Calculator!$B$34/Calculator!$F$13,1)),2)))/$C63,$C63/(50*POWER(80,POWER(COS(PI()*MOD(Calculator!$B$34/Calculator!$F$13,1)),2)))),2))</f>
        <v>3.71</v>
      </c>
      <c r="BC63" s="116" t="n">
        <f aca="false">IF(OR(Calculator!$E$14&lt;&gt;"YES",Calculator!$B$34&lt;Calculator!$G$14),"—",ROUND(MAX((50*POWER(80,POWER(COS(PI()*MOD(Calculator!$B$34/Calculator!$F$14,1)),2)))/$C63,$C63/(50*POWER(80,POWER(COS(PI()*MOD(Calculator!$B$34/Calculator!$F$14,1)),2)))),2))</f>
        <v>9.74</v>
      </c>
      <c r="BD63" s="116" t="n">
        <f aca="false">IF(OR(Calculator!$E$15&lt;&gt;"YES",Calculator!$B$34&lt;Calculator!$G$15),"—",ROUND(MAX((50*POWER(80,POWER(COS(PI()*MOD(Calculator!$B$34/Calculator!$F$15,1)),2)))/$C63,$C63/(50*POWER(80,POWER(COS(PI()*MOD(Calculator!$B$34/Calculator!$F$15,1)),2)))),2))</f>
        <v>6.54</v>
      </c>
      <c r="BE63" s="116" t="n">
        <f aca="false">IF(OR(Calculator!$E$16&lt;&gt;"YES",Calculator!$B$34&lt;Calculator!$G$16),"—",ROUND(MAX((50*POWER(80,POWER(COS(PI()*MOD(Calculator!$B$34/Calculator!$F$16,1)),2)))/$C63,$C63/(50*POWER(80,POWER(COS(PI()*MOD(Calculator!$B$34/Calculator!$F$16,1)),2)))),2))</f>
        <v>17.84</v>
      </c>
      <c r="BF63" s="116" t="n">
        <f aca="false">IF(OR(Calculator!$E$17&lt;&gt;"YES",Calculator!$B$34&lt;Calculator!$G$17),"—",ROUND(MAX((50*POWER(80,POWER(COS(PI()*MOD(Calculator!$B$34/Calculator!$F$17,1)),2)))/$C63,$C63/(50*POWER(80,POWER(COS(PI()*MOD(Calculator!$B$34/Calculator!$F$17,1)),2)))),2))</f>
        <v>1.69</v>
      </c>
      <c r="BG63" s="116" t="n">
        <f aca="false">IF(OR(Calculator!$E$18&lt;&gt;"YES",Calculator!$B$34&lt;Calculator!$G$18),"—",ROUND(MAX((50*POWER(80,POWER(COS(PI()*MOD(Calculator!$B$34/Calculator!$F$18,1)),2)))/$C63,$C63/(50*POWER(80,POWER(COS(PI()*MOD(Calculator!$B$34/Calculator!$F$18,1)),2)))),2))</f>
        <v>1.85</v>
      </c>
      <c r="BH63" s="116" t="n">
        <f aca="false">IF(OR(Calculator!$E$19&lt;&gt;"YES",Calculator!$B$34&lt;Calculator!$G$19),"—",ROUND(MAX((50*POWER(80,POWER(COS(PI()*MOD(Calculator!$B$34/Calculator!$F$19,1)),2)))/$C63,$C63/(50*POWER(80,POWER(COS(PI()*MOD(Calculator!$B$34/Calculator!$F$19,1)),2)))),2))</f>
        <v>1.41</v>
      </c>
      <c r="BI63" s="116" t="n">
        <f aca="false">IF(OR(Calculator!$E$20&lt;&gt;"YES",Calculator!$B$34&lt;Calculator!$G$20),"—",ROUND(MAX((50*POWER(80,POWER(COS(PI()*MOD(Calculator!$B$34/Calculator!$F$20,1)),2)))/$C63,$C63/(50*POWER(80,POWER(COS(PI()*MOD(Calculator!$B$34/Calculator!$F$20,1)),2)))),2))</f>
        <v>19.4</v>
      </c>
      <c r="BJ63" s="116" t="n">
        <f aca="false">IF(OR(Calculator!$E$21&lt;&gt;"YES",Calculator!$B$34&lt;Calculator!$G$21),"—",ROUND(MAX((50*POWER(80,POWER(COS(PI()*MOD(Calculator!$B$34/Calculator!$F$21,1)),2)))/$C63,$C63/(50*POWER(80,POWER(COS(PI()*MOD(Calculator!$B$34/Calculator!$F$21,1)),2)))),2))</f>
        <v>2.12</v>
      </c>
      <c r="BK63" s="115" t="n">
        <f aca="false">IFERROR(ROUND((IF(ISNUMBER(AZ63),AZ63,0)+IF(ISNUMBER(BA63),BA63,0)+IF(ISNUMBER(BB63),BB63,0)+IF(ISNUMBER(BC63),BC63,0)+IF(ISNUMBER(BD63),BD63,0)+IF(ISNUMBER(BE63),BE63,0)+IF(ISNUMBER(BF63),BF63,0)+IF(ISNUMBER(BG63),BG63,0)+IF(ISNUMBER(BH63),BH63,0)+IF(ISNUMBER(BI63),BI63,0)+IF(ISNUMBER(BJ63),BJ63,0))/(IF(ISNUMBER(AZ63),1,0)+IF(ISNUMBER(BA63),1,0)+IF(ISNUMBER(BB63),1,0)+IF(ISNUMBER(BC63),1,0)+IF(ISNUMBER(BD63),1,0)+IF(ISNUMBER(BE63),1,0)+IF(ISNUMBER(BF63),1,0)+IF(ISNUMBER(BG63),1,0)+IF(ISNUMBER(BH63),1,0)+IF(ISNUMBER(BI63),1,0)+IF(ISNUMBER(BJ63),1,0)),2),"")</f>
        <v>7.56</v>
      </c>
    </row>
    <row r="64" customFormat="false" ht="15" hidden="false" customHeight="false" outlineLevel="0" collapsed="false">
      <c r="A64" s="117" t="s">
        <v>122</v>
      </c>
      <c r="B64" s="117" t="s">
        <v>93</v>
      </c>
      <c r="C64" s="118" t="n">
        <v>1600</v>
      </c>
      <c r="D64" s="119" t="n">
        <f aca="false">IF(OR(Calculator!$E$11&lt;&gt;"YES",Calculator!$B$30&lt;Calculator!$G$11),"—",ROUND(MAX((50*POWER(80,POWER(COS(PI()*MOD(Calculator!$B$30/Calculator!$F$11,1)),2)))/$C64,$C64/(50*POWER(80,POWER(COS(PI()*MOD(Calculator!$B$30/Calculator!$F$11,1)),2)))),2))</f>
        <v>18.12</v>
      </c>
      <c r="E64" s="119" t="n">
        <f aca="false">IF(OR(Calculator!$E$12&lt;&gt;"YES",Calculator!$B$30&lt;Calculator!$G$12),"—",ROUND(MAX((50*POWER(80,POWER(COS(PI()*MOD(Calculator!$B$30/Calculator!$F$12,1)),2)))/$C64,$C64/(50*POWER(80,POWER(COS(PI()*MOD(Calculator!$B$30/Calculator!$F$12,1)),2)))),2))</f>
        <v>1.52</v>
      </c>
      <c r="F64" s="119" t="n">
        <f aca="false">IF(OR(Calculator!$E$13&lt;&gt;"YES",Calculator!$B$30&lt;Calculator!$G$13),"—",ROUND(MAX((50*POWER(80,POWER(COS(PI()*MOD(Calculator!$B$30/Calculator!$F$13,1)),2)))/$C64,$C64/(50*POWER(80,POWER(COS(PI()*MOD(Calculator!$B$30/Calculator!$F$13,1)),2)))),2))</f>
        <v>4.04</v>
      </c>
      <c r="G64" s="119" t="n">
        <f aca="false">IF(OR(Calculator!$E$14&lt;&gt;"YES",Calculator!$B$30&lt;Calculator!$G$14),"—",ROUND(MAX((50*POWER(80,POWER(COS(PI()*MOD(Calculator!$B$30/Calculator!$F$14,1)),2)))/$C64,$C64/(50*POWER(80,POWER(COS(PI()*MOD(Calculator!$B$30/Calculator!$F$14,1)),2)))),2))</f>
        <v>9.45</v>
      </c>
      <c r="H64" s="119" t="n">
        <f aca="false">IF(OR(Calculator!$E$15&lt;&gt;"YES",Calculator!$B$30&lt;Calculator!$G$15),"—",ROUND(MAX((50*POWER(80,POWER(COS(PI()*MOD(Calculator!$B$30/Calculator!$F$15,1)),2)))/$C64,$C64/(50*POWER(80,POWER(COS(PI()*MOD(Calculator!$B$30/Calculator!$F$15,1)),2)))),2))</f>
        <v>6.15</v>
      </c>
      <c r="I64" s="119" t="n">
        <f aca="false">IF(OR(Calculator!$E$16&lt;&gt;"YES",Calculator!$B$30&lt;Calculator!$G$16),"—",ROUND(MAX((50*POWER(80,POWER(COS(PI()*MOD(Calculator!$B$30/Calculator!$F$16,1)),2)))/$C64,$C64/(50*POWER(80,POWER(COS(PI()*MOD(Calculator!$B$30/Calculator!$F$16,1)),2)))),2))</f>
        <v>20.1</v>
      </c>
      <c r="J64" s="119" t="n">
        <f aca="false">IF(OR(Calculator!$E$17&lt;&gt;"YES",Calculator!$B$30&lt;Calculator!$G$17),"—",ROUND(MAX((50*POWER(80,POWER(COS(PI()*MOD(Calculator!$B$30/Calculator!$F$17,1)),2)))/$C64,$C64/(50*POWER(80,POWER(COS(PI()*MOD(Calculator!$B$30/Calculator!$F$17,1)),2)))),2))</f>
        <v>1.47</v>
      </c>
      <c r="K64" s="119" t="n">
        <f aca="false">IF(OR(Calculator!$E$18&lt;&gt;"YES",Calculator!$B$30&lt;Calculator!$G$18),"—",ROUND(MAX((50*POWER(80,POWER(COS(PI()*MOD(Calculator!$B$30/Calculator!$F$18,1)),2)))/$C64,$C64/(50*POWER(80,POWER(COS(PI()*MOD(Calculator!$B$30/Calculator!$F$18,1)),2)))),2))</f>
        <v>1.6</v>
      </c>
      <c r="L64" s="119" t="n">
        <f aca="false">IF(OR(Calculator!$E$19&lt;&gt;"YES",Calculator!$B$30&lt;Calculator!$G$19),"—",ROUND(MAX((50*POWER(80,POWER(COS(PI()*MOD(Calculator!$B$30/Calculator!$F$19,1)),2)))/$C64,$C64/(50*POWER(80,POWER(COS(PI()*MOD(Calculator!$B$30/Calculator!$F$19,1)),2)))),2))</f>
        <v>1.6</v>
      </c>
      <c r="M64" s="119" t="n">
        <f aca="false">IF(OR(Calculator!$E$20&lt;&gt;"YES",Calculator!$B$30&lt;Calculator!$G$20),"—",ROUND(MAX((50*POWER(80,POWER(COS(PI()*MOD(Calculator!$B$30/Calculator!$F$20,1)),2)))/$C64,$C64/(50*POWER(80,POWER(COS(PI()*MOD(Calculator!$B$30/Calculator!$F$20,1)),2)))),2))</f>
        <v>16.63</v>
      </c>
      <c r="N64" s="119" t="n">
        <f aca="false">IF(OR(Calculator!$E$21&lt;&gt;"YES",Calculator!$B$30&lt;Calculator!$G$21),"—",ROUND(MAX((50*POWER(80,POWER(COS(PI()*MOD(Calculator!$B$30/Calculator!$F$21,1)),2)))/$C64,$C64/(50*POWER(80,POWER(COS(PI()*MOD(Calculator!$B$30/Calculator!$F$21,1)),2)))),2))</f>
        <v>1.58</v>
      </c>
      <c r="O64" s="114" t="n">
        <f aca="false">IFERROR(ROUND((IF(ISNUMBER(D64),D64,0)+IF(ISNUMBER(E64),E64,0)+IF(ISNUMBER(F64),F64,0)+IF(ISNUMBER(G64),G64,0)+IF(ISNUMBER(H64),H64,0)+IF(ISNUMBER(I64),I64,0)+IF(ISNUMBER(J64),J64,0)+IF(ISNUMBER(K64),K64,0)+IF(ISNUMBER(L64),L64,0)+IF(ISNUMBER(M64),M64,0)+IF(ISNUMBER(N64),N64,0))/(IF(ISNUMBER(D64),1,0)+IF(ISNUMBER(E64),1,0)+IF(ISNUMBER(F64),1,0)+IF(ISNUMBER(G64),1,0)+IF(ISNUMBER(H64),1,0)+IF(ISNUMBER(I64),1,0)+IF(ISNUMBER(J64),1,0)+IF(ISNUMBER(K64),1,0)+IF(ISNUMBER(L64),1,0)+IF(ISNUMBER(M64),1,0)+IF(ISNUMBER(N64),1,0)),2),"")</f>
        <v>7.48</v>
      </c>
      <c r="P64" s="119" t="n">
        <f aca="false">IF(OR(Calculator!$E$11&lt;&gt;"YES",Calculator!$B$31&lt;Calculator!$G$11),"—",ROUND(MAX((50*POWER(80,POWER(COS(PI()*MOD(Calculator!$B$31/Calculator!$F$11,1)),2)))/$C64,$C64/(50*POWER(80,POWER(COS(PI()*MOD(Calculator!$B$31/Calculator!$F$11,1)),2)))),2))</f>
        <v>18.34</v>
      </c>
      <c r="Q64" s="119" t="n">
        <f aca="false">IF(OR(Calculator!$E$12&lt;&gt;"YES",Calculator!$B$31&lt;Calculator!$G$12),"—",ROUND(MAX((50*POWER(80,POWER(COS(PI()*MOD(Calculator!$B$31/Calculator!$F$12,1)),2)))/$C64,$C64/(50*POWER(80,POWER(COS(PI()*MOD(Calculator!$B$31/Calculator!$F$12,1)),2)))),2))</f>
        <v>1.47</v>
      </c>
      <c r="R64" s="119" t="n">
        <f aca="false">IF(OR(Calculator!$E$13&lt;&gt;"YES",Calculator!$B$31&lt;Calculator!$G$13),"—",ROUND(MAX((50*POWER(80,POWER(COS(PI()*MOD(Calculator!$B$31/Calculator!$F$13,1)),2)))/$C64,$C64/(50*POWER(80,POWER(COS(PI()*MOD(Calculator!$B$31/Calculator!$F$13,1)),2)))),2))</f>
        <v>4.25</v>
      </c>
      <c r="S64" s="119" t="n">
        <f aca="false">IF(OR(Calculator!$E$14&lt;&gt;"YES",Calculator!$B$31&lt;Calculator!$G$14),"—",ROUND(MAX((50*POWER(80,POWER(COS(PI()*MOD(Calculator!$B$31/Calculator!$F$14,1)),2)))/$C64,$C64/(50*POWER(80,POWER(COS(PI()*MOD(Calculator!$B$31/Calculator!$F$14,1)),2)))),2))</f>
        <v>8.88</v>
      </c>
      <c r="T64" s="119" t="n">
        <f aca="false">IF(OR(Calculator!$E$15&lt;&gt;"YES",Calculator!$B$31&lt;Calculator!$G$15),"—",ROUND(MAX((50*POWER(80,POWER(COS(PI()*MOD(Calculator!$B$31/Calculator!$F$15,1)),2)))/$C64,$C64/(50*POWER(80,POWER(COS(PI()*MOD(Calculator!$B$31/Calculator!$F$15,1)),2)))),2))</f>
        <v>5.59</v>
      </c>
      <c r="U64" s="119" t="n">
        <f aca="false">IF(OR(Calculator!$E$16&lt;&gt;"YES",Calculator!$B$31&lt;Calculator!$G$16),"—",ROUND(MAX((50*POWER(80,POWER(COS(PI()*MOD(Calculator!$B$31/Calculator!$F$16,1)),2)))/$C64,$C64/(50*POWER(80,POWER(COS(PI()*MOD(Calculator!$B$31/Calculator!$F$16,1)),2)))),2))</f>
        <v>21.79</v>
      </c>
      <c r="V64" s="119" t="n">
        <f aca="false">IF(OR(Calculator!$E$17&lt;&gt;"YES",Calculator!$B$31&lt;Calculator!$G$17),"—",ROUND(MAX((50*POWER(80,POWER(COS(PI()*MOD(Calculator!$B$31/Calculator!$F$17,1)),2)))/$C64,$C64/(50*POWER(80,POWER(COS(PI()*MOD(Calculator!$B$31/Calculator!$F$17,1)),2)))),2))</f>
        <v>1.3</v>
      </c>
      <c r="W64" s="119" t="n">
        <f aca="false">IF(OR(Calculator!$E$18&lt;&gt;"YES",Calculator!$B$31&lt;Calculator!$G$18),"—",ROUND(MAX((50*POWER(80,POWER(COS(PI()*MOD(Calculator!$B$31/Calculator!$F$18,1)),2)))/$C64,$C64/(50*POWER(80,POWER(COS(PI()*MOD(Calculator!$B$31/Calculator!$F$18,1)),2)))),2))</f>
        <v>1.4</v>
      </c>
      <c r="X64" s="119" t="n">
        <f aca="false">IF(OR(Calculator!$E$19&lt;&gt;"YES",Calculator!$B$31&lt;Calculator!$G$19),"—",ROUND(MAX((50*POWER(80,POWER(COS(PI()*MOD(Calculator!$B$31/Calculator!$F$19,1)),2)))/$C64,$C64/(50*POWER(80,POWER(COS(PI()*MOD(Calculator!$B$31/Calculator!$F$19,1)),2)))),2))</f>
        <v>1.83</v>
      </c>
      <c r="Y64" s="119" t="n">
        <f aca="false">IF(OR(Calculator!$E$20&lt;&gt;"YES",Calculator!$B$31&lt;Calculator!$G$20),"—",ROUND(MAX((50*POWER(80,POWER(COS(PI()*MOD(Calculator!$B$31/Calculator!$F$20,1)),2)))/$C64,$C64/(50*POWER(80,POWER(COS(PI()*MOD(Calculator!$B$31/Calculator!$F$20,1)),2)))),2))</f>
        <v>13.48</v>
      </c>
      <c r="Z64" s="119" t="n">
        <f aca="false">IF(OR(Calculator!$E$21&lt;&gt;"YES",Calculator!$B$31&lt;Calculator!$G$21),"—",ROUND(MAX((50*POWER(80,POWER(COS(PI()*MOD(Calculator!$B$31/Calculator!$F$21,1)),2)))/$C64,$C64/(50*POWER(80,POWER(COS(PI()*MOD(Calculator!$B$31/Calculator!$F$21,1)),2)))),2))</f>
        <v>1.12</v>
      </c>
      <c r="AA64" s="114" t="n">
        <f aca="false">IFERROR(ROUND((IF(ISNUMBER(P64),P64,0)+IF(ISNUMBER(Q64),Q64,0)+IF(ISNUMBER(R64),R64,0)+IF(ISNUMBER(S64),S64,0)+IF(ISNUMBER(T64),T64,0)+IF(ISNUMBER(U64),U64,0)+IF(ISNUMBER(V64),V64,0)+IF(ISNUMBER(W64),W64,0)+IF(ISNUMBER(X64),X64,0)+IF(ISNUMBER(Y64),Y64,0)+IF(ISNUMBER(Z64),Z64,0))/(IF(ISNUMBER(P64),1,0)+IF(ISNUMBER(Q64),1,0)+IF(ISNUMBER(R64),1,0)+IF(ISNUMBER(S64),1,0)+IF(ISNUMBER(T64),1,0)+IF(ISNUMBER(U64),1,0)+IF(ISNUMBER(V64),1,0)+IF(ISNUMBER(W64),1,0)+IF(ISNUMBER(X64),1,0)+IF(ISNUMBER(Y64),1,0)+IF(ISNUMBER(Z64),1,0)),2),"")</f>
        <v>7.22</v>
      </c>
      <c r="AB64" s="119" t="n">
        <f aca="false">IF(OR(Calculator!$E$11&lt;&gt;"YES",Calculator!$B$32&lt;Calculator!$G$11),"—",ROUND(MAX((50*POWER(80,POWER(COS(PI()*MOD(Calculator!$B$32/Calculator!$F$11,1)),2)))/$C64,$C64/(50*POWER(80,POWER(COS(PI()*MOD(Calculator!$B$32/Calculator!$F$11,1)),2)))),2))</f>
        <v>23.09</v>
      </c>
      <c r="AC64" s="119" t="n">
        <f aca="false">IF(OR(Calculator!$E$12&lt;&gt;"YES",Calculator!$B$32&lt;Calculator!$G$12),"—",ROUND(MAX((50*POWER(80,POWER(COS(PI()*MOD(Calculator!$B$32/Calculator!$F$12,1)),2)))/$C64,$C64/(50*POWER(80,POWER(COS(PI()*MOD(Calculator!$B$32/Calculator!$F$12,1)),2)))),2))</f>
        <v>1.26</v>
      </c>
      <c r="AD64" s="119" t="n">
        <f aca="false">IF(OR(Calculator!$E$13&lt;&gt;"YES",Calculator!$B$32&lt;Calculator!$G$13),"—",ROUND(MAX((50*POWER(80,POWER(COS(PI()*MOD(Calculator!$B$32/Calculator!$F$13,1)),2)))/$C64,$C64/(50*POWER(80,POWER(COS(PI()*MOD(Calculator!$B$32/Calculator!$F$13,1)),2)))),2))</f>
        <v>11.78</v>
      </c>
      <c r="AE64" s="119" t="n">
        <f aca="false">IF(OR(Calculator!$E$14&lt;&gt;"YES",Calculator!$B$32&lt;Calculator!$G$14),"—",ROUND(MAX((50*POWER(80,POWER(COS(PI()*MOD(Calculator!$B$32/Calculator!$F$14,1)),2)))/$C64,$C64/(50*POWER(80,POWER(COS(PI()*MOD(Calculator!$B$32/Calculator!$F$14,1)),2)))),2))</f>
        <v>2.15</v>
      </c>
      <c r="AF64" s="119" t="n">
        <f aca="false">IF(OR(Calculator!$E$15&lt;&gt;"YES",Calculator!$B$32&lt;Calculator!$G$15),"—",ROUND(MAX((50*POWER(80,POWER(COS(PI()*MOD(Calculator!$B$32/Calculator!$F$15,1)),2)))/$C64,$C64/(50*POWER(80,POWER(COS(PI()*MOD(Calculator!$B$32/Calculator!$F$15,1)),2)))),2))</f>
        <v>1.21</v>
      </c>
      <c r="AG64" s="119" t="n">
        <f aca="false">IF(OR(Calculator!$E$16&lt;&gt;"YES",Calculator!$B$32&lt;Calculator!$G$16),"—",ROUND(MAX((50*POWER(80,POWER(COS(PI()*MOD(Calculator!$B$32/Calculator!$F$16,1)),2)))/$C64,$C64/(50*POWER(80,POWER(COS(PI()*MOD(Calculator!$B$32/Calculator!$F$16,1)),2)))),2))</f>
        <v>18.81</v>
      </c>
      <c r="AH64" s="119" t="n">
        <f aca="false">IF(OR(Calculator!$E$17&lt;&gt;"YES",Calculator!$B$32&lt;Calculator!$G$17),"—",ROUND(MAX((50*POWER(80,POWER(COS(PI()*MOD(Calculator!$B$32/Calculator!$F$17,1)),2)))/$C64,$C64/(50*POWER(80,POWER(COS(PI()*MOD(Calculator!$B$32/Calculator!$F$17,1)),2)))),2))</f>
        <v>19.86</v>
      </c>
      <c r="AI64" s="119" t="n">
        <f aca="false">IF(OR(Calculator!$E$18&lt;&gt;"YES",Calculator!$B$32&lt;Calculator!$G$18),"—",ROUND(MAX((50*POWER(80,POWER(COS(PI()*MOD(Calculator!$B$32/Calculator!$F$18,1)),2)))/$C64,$C64/(50*POWER(80,POWER(COS(PI()*MOD(Calculator!$B$32/Calculator!$F$18,1)),2)))),2))</f>
        <v>26.19</v>
      </c>
      <c r="AJ64" s="119" t="n">
        <f aca="false">IF(OR(Calculator!$E$19&lt;&gt;"YES",Calculator!$B$32&lt;Calculator!$G$19),"—",ROUND(MAX((50*POWER(80,POWER(COS(PI()*MOD(Calculator!$B$32/Calculator!$F$19,1)),2)))/$C64,$C64/(50*POWER(80,POWER(COS(PI()*MOD(Calculator!$B$32/Calculator!$F$19,1)),2)))),2))</f>
        <v>5.52</v>
      </c>
      <c r="AK64" s="119" t="n">
        <f aca="false">IF(OR(Calculator!$E$20&lt;&gt;"YES",Calculator!$B$32&lt;Calculator!$G$20),"—",ROUND(MAX((50*POWER(80,POWER(COS(PI()*MOD(Calculator!$B$32/Calculator!$F$20,1)),2)))/$C64,$C64/(50*POWER(80,POWER(COS(PI()*MOD(Calculator!$B$32/Calculator!$F$20,1)),2)))),2))</f>
        <v>2.01</v>
      </c>
      <c r="AL64" s="119" t="n">
        <f aca="false">IF(OR(Calculator!$E$21&lt;&gt;"YES",Calculator!$B$32&lt;Calculator!$G$21),"—",ROUND(MAX((50*POWER(80,POWER(COS(PI()*MOD(Calculator!$B$32/Calculator!$F$21,1)),2)))/$C64,$C64/(50*POWER(80,POWER(COS(PI()*MOD(Calculator!$B$32/Calculator!$F$21,1)),2)))),2))</f>
        <v>1.74</v>
      </c>
      <c r="AM64" s="115" t="n">
        <f aca="false">IFERROR(ROUND((IF(ISNUMBER(AB64),AB64,0)+IF(ISNUMBER(AC64),AC64,0)+IF(ISNUMBER(AD64),AD64,0)+IF(ISNUMBER(AE64),AE64,0)+IF(ISNUMBER(AF64),AF64,0)+IF(ISNUMBER(AG64),AG64,0)+IF(ISNUMBER(AH64),AH64,0)+IF(ISNUMBER(AI64),AI64,0)+IF(ISNUMBER(AJ64),AJ64,0)+IF(ISNUMBER(AK64),AK64,0)+IF(ISNUMBER(AL64),AL64,0))/(IF(ISNUMBER(AB64),1,0)+IF(ISNUMBER(AC64),1,0)+IF(ISNUMBER(AD64),1,0)+IF(ISNUMBER(AE64),1,0)+IF(ISNUMBER(AF64),1,0)+IF(ISNUMBER(AG64),1,0)+IF(ISNUMBER(AH64),1,0)+IF(ISNUMBER(AI64),1,0)+IF(ISNUMBER(AJ64),1,0)+IF(ISNUMBER(AK64),1,0)+IF(ISNUMBER(AL64),1,0)),2),"")</f>
        <v>10.33</v>
      </c>
      <c r="AN64" s="120" t="n">
        <f aca="false">IF(OR(Calculator!$E$11&lt;&gt;"YES",Calculator!$B$33&lt;Calculator!$G$11),"—",ROUND(MAX((50*POWER(80,POWER(COS(PI()*MOD(Calculator!$B$33/Calculator!$F$11,1)),2)))/$C64,$C64/(50*POWER(80,POWER(COS(PI()*MOD(Calculator!$B$33/Calculator!$F$11,1)),2)))),2))</f>
        <v>18.56</v>
      </c>
      <c r="AO64" s="120" t="n">
        <f aca="false">IF(OR(Calculator!$E$12&lt;&gt;"YES",Calculator!$B$33&lt;Calculator!$G$12),"—",ROUND(MAX((50*POWER(80,POWER(COS(PI()*MOD(Calculator!$B$33/Calculator!$F$12,1)),2)))/$C64,$C64/(50*POWER(80,POWER(COS(PI()*MOD(Calculator!$B$33/Calculator!$F$12,1)),2)))),2))</f>
        <v>1.42</v>
      </c>
      <c r="AP64" s="120" t="n">
        <f aca="false">IF(OR(Calculator!$E$13&lt;&gt;"YES",Calculator!$B$33&lt;Calculator!$G$13),"—",ROUND(MAX((50*POWER(80,POWER(COS(PI()*MOD(Calculator!$B$33/Calculator!$F$13,1)),2)))/$C64,$C64/(50*POWER(80,POWER(COS(PI()*MOD(Calculator!$B$33/Calculator!$F$13,1)),2)))),2))</f>
        <v>4.48</v>
      </c>
      <c r="AQ64" s="120" t="n">
        <f aca="false">IF(OR(Calculator!$E$14&lt;&gt;"YES",Calculator!$B$33&lt;Calculator!$G$14),"—",ROUND(MAX((50*POWER(80,POWER(COS(PI()*MOD(Calculator!$B$33/Calculator!$F$14,1)),2)))/$C64,$C64/(50*POWER(80,POWER(COS(PI()*MOD(Calculator!$B$33/Calculator!$F$14,1)),2)))),2))</f>
        <v>8.34</v>
      </c>
      <c r="AR64" s="120" t="n">
        <f aca="false">IF(OR(Calculator!$E$15&lt;&gt;"YES",Calculator!$B$33&lt;Calculator!$G$15),"—",ROUND(MAX((50*POWER(80,POWER(COS(PI()*MOD(Calculator!$B$33/Calculator!$F$15,1)),2)))/$C64,$C64/(50*POWER(80,POWER(COS(PI()*MOD(Calculator!$B$33/Calculator!$F$15,1)),2)))),2))</f>
        <v>5.08</v>
      </c>
      <c r="AS64" s="120" t="n">
        <f aca="false">IF(OR(Calculator!$E$16&lt;&gt;"YES",Calculator!$B$33&lt;Calculator!$G$16),"—",ROUND(MAX((50*POWER(80,POWER(COS(PI()*MOD(Calculator!$B$33/Calculator!$F$16,1)),2)))/$C64,$C64/(50*POWER(80,POWER(COS(PI()*MOD(Calculator!$B$33/Calculator!$F$16,1)),2)))),2))</f>
        <v>23.46</v>
      </c>
      <c r="AT64" s="120" t="n">
        <f aca="false">IF(OR(Calculator!$E$17&lt;&gt;"YES",Calculator!$B$33&lt;Calculator!$G$17),"—",ROUND(MAX((50*POWER(80,POWER(COS(PI()*MOD(Calculator!$B$33/Calculator!$F$17,1)),2)))/$C64,$C64/(50*POWER(80,POWER(COS(PI()*MOD(Calculator!$B$33/Calculator!$F$17,1)),2)))),2))</f>
        <v>1.15</v>
      </c>
      <c r="AU64" s="120" t="n">
        <f aca="false">IF(OR(Calculator!$E$18&lt;&gt;"YES",Calculator!$B$33&lt;Calculator!$G$18),"—",ROUND(MAX((50*POWER(80,POWER(COS(PI()*MOD(Calculator!$B$33/Calculator!$F$18,1)),2)))/$C64,$C64/(50*POWER(80,POWER(COS(PI()*MOD(Calculator!$B$33/Calculator!$F$18,1)),2)))),2))</f>
        <v>1.21</v>
      </c>
      <c r="AV64" s="120" t="n">
        <f aca="false">IF(OR(Calculator!$E$19&lt;&gt;"YES",Calculator!$B$33&lt;Calculator!$G$19),"—",ROUND(MAX((50*POWER(80,POWER(COS(PI()*MOD(Calculator!$B$33/Calculator!$F$19,1)),2)))/$C64,$C64/(50*POWER(80,POWER(COS(PI()*MOD(Calculator!$B$33/Calculator!$F$19,1)),2)))),2))</f>
        <v>2.05</v>
      </c>
      <c r="AW64" s="120" t="n">
        <f aca="false">IF(OR(Calculator!$E$20&lt;&gt;"YES",Calculator!$B$33&lt;Calculator!$G$20),"—",ROUND(MAX((50*POWER(80,POWER(COS(PI()*MOD(Calculator!$B$33/Calculator!$F$20,1)),2)))/$C64,$C64/(50*POWER(80,POWER(COS(PI()*MOD(Calculator!$B$33/Calculator!$F$20,1)),2)))),2))</f>
        <v>10.69</v>
      </c>
      <c r="AX64" s="120" t="n">
        <f aca="false">IF(OR(Calculator!$E$21&lt;&gt;"YES",Calculator!$B$33&lt;Calculator!$G$21),"—",ROUND(MAX((50*POWER(80,POWER(COS(PI()*MOD(Calculator!$B$33/Calculator!$F$21,1)),2)))/$C64,$C64/(50*POWER(80,POWER(COS(PI()*MOD(Calculator!$B$33/Calculator!$F$21,1)),2)))),2))</f>
        <v>1.37</v>
      </c>
      <c r="AY64" s="115" t="n">
        <f aca="false">IFERROR(ROUND((IF(ISNUMBER(AN64),AN64,0)+IF(ISNUMBER(AO64),AO64,0)+IF(ISNUMBER(AP64),AP64,0)+IF(ISNUMBER(AQ64),AQ64,0)+IF(ISNUMBER(AR64),AR64,0)+IF(ISNUMBER(AS64),AS64,0)+IF(ISNUMBER(AT64),AT64,0)+IF(ISNUMBER(AU64),AU64,0)+IF(ISNUMBER(AV64),AV64,0)+IF(ISNUMBER(AW64),AW64,0)+IF(ISNUMBER(AX64),AX64,0))/(IF(ISNUMBER(AN64),1,0)+IF(ISNUMBER(AO64),1,0)+IF(ISNUMBER(AP64),1,0)+IF(ISNUMBER(AQ64),1,0)+IF(ISNUMBER(AR64),1,0)+IF(ISNUMBER(AS64),1,0)+IF(ISNUMBER(AT64),1,0)+IF(ISNUMBER(AU64),1,0)+IF(ISNUMBER(AV64),1,0)+IF(ISNUMBER(AW64),1,0)+IF(ISNUMBER(AX64),1,0)),2),"")</f>
        <v>7.07</v>
      </c>
      <c r="AZ64" s="120" t="n">
        <f aca="false">IF(OR(Calculator!$E$11&lt;&gt;"YES",Calculator!$B$34&lt;Calculator!$G$11),"—",ROUND(MAX((50*POWER(80,POWER(COS(PI()*MOD(Calculator!$B$34/Calculator!$F$11,1)),2)))/$C64,$C64/(50*POWER(80,POWER(COS(PI()*MOD(Calculator!$B$34/Calculator!$F$11,1)),2)))),2))</f>
        <v>17.89</v>
      </c>
      <c r="BA64" s="120" t="n">
        <f aca="false">IF(OR(Calculator!$E$12&lt;&gt;"YES",Calculator!$B$34&lt;Calculator!$G$12),"—",ROUND(MAX((50*POWER(80,POWER(COS(PI()*MOD(Calculator!$B$34/Calculator!$F$12,1)),2)))/$C64,$C64/(50*POWER(80,POWER(COS(PI()*MOD(Calculator!$B$34/Calculator!$F$12,1)),2)))),2))</f>
        <v>1.57</v>
      </c>
      <c r="BB64" s="120" t="n">
        <f aca="false">IF(OR(Calculator!$E$13&lt;&gt;"YES",Calculator!$B$34&lt;Calculator!$G$13),"—",ROUND(MAX((50*POWER(80,POWER(COS(PI()*MOD(Calculator!$B$34/Calculator!$F$13,1)),2)))/$C64,$C64/(50*POWER(80,POWER(COS(PI()*MOD(Calculator!$B$34/Calculator!$F$13,1)),2)))),2))</f>
        <v>3.83</v>
      </c>
      <c r="BC64" s="120" t="n">
        <f aca="false">IF(OR(Calculator!$E$14&lt;&gt;"YES",Calculator!$B$34&lt;Calculator!$G$14),"—",ROUND(MAX((50*POWER(80,POWER(COS(PI()*MOD(Calculator!$B$34/Calculator!$F$14,1)),2)))/$C64,$C64/(50*POWER(80,POWER(COS(PI()*MOD(Calculator!$B$34/Calculator!$F$14,1)),2)))),2))</f>
        <v>10.05</v>
      </c>
      <c r="BD64" s="120" t="n">
        <f aca="false">IF(OR(Calculator!$E$15&lt;&gt;"YES",Calculator!$B$34&lt;Calculator!$G$15),"—",ROUND(MAX((50*POWER(80,POWER(COS(PI()*MOD(Calculator!$B$34/Calculator!$F$15,1)),2)))/$C64,$C64/(50*POWER(80,POWER(COS(PI()*MOD(Calculator!$B$34/Calculator!$F$15,1)),2)))),2))</f>
        <v>6.76</v>
      </c>
      <c r="BE64" s="120" t="n">
        <f aca="false">IF(OR(Calculator!$E$16&lt;&gt;"YES",Calculator!$B$34&lt;Calculator!$G$16),"—",ROUND(MAX((50*POWER(80,POWER(COS(PI()*MOD(Calculator!$B$34/Calculator!$F$16,1)),2)))/$C64,$C64/(50*POWER(80,POWER(COS(PI()*MOD(Calculator!$B$34/Calculator!$F$16,1)),2)))),2))</f>
        <v>18.41</v>
      </c>
      <c r="BF64" s="120" t="n">
        <f aca="false">IF(OR(Calculator!$E$17&lt;&gt;"YES",Calculator!$B$34&lt;Calculator!$G$17),"—",ROUND(MAX((50*POWER(80,POWER(COS(PI()*MOD(Calculator!$B$34/Calculator!$F$17,1)),2)))/$C64,$C64/(50*POWER(80,POWER(COS(PI()*MOD(Calculator!$B$34/Calculator!$F$17,1)),2)))),2))</f>
        <v>1.64</v>
      </c>
      <c r="BG64" s="120" t="n">
        <f aca="false">IF(OR(Calculator!$E$18&lt;&gt;"YES",Calculator!$B$34&lt;Calculator!$G$18),"—",ROUND(MAX((50*POWER(80,POWER(COS(PI()*MOD(Calculator!$B$34/Calculator!$F$18,1)),2)))/$C64,$C64/(50*POWER(80,POWER(COS(PI()*MOD(Calculator!$B$34/Calculator!$F$18,1)),2)))),2))</f>
        <v>1.79</v>
      </c>
      <c r="BH64" s="120" t="n">
        <f aca="false">IF(OR(Calculator!$E$19&lt;&gt;"YES",Calculator!$B$34&lt;Calculator!$G$19),"—",ROUND(MAX((50*POWER(80,POWER(COS(PI()*MOD(Calculator!$B$34/Calculator!$F$19,1)),2)))/$C64,$C64/(50*POWER(80,POWER(COS(PI()*MOD(Calculator!$B$34/Calculator!$F$19,1)),2)))),2))</f>
        <v>1.37</v>
      </c>
      <c r="BI64" s="120" t="n">
        <f aca="false">IF(OR(Calculator!$E$20&lt;&gt;"YES",Calculator!$B$34&lt;Calculator!$G$20),"—",ROUND(MAX((50*POWER(80,POWER(COS(PI()*MOD(Calculator!$B$34/Calculator!$F$20,1)),2)))/$C64,$C64/(50*POWER(80,POWER(COS(PI()*MOD(Calculator!$B$34/Calculator!$F$20,1)),2)))),2))</f>
        <v>20.03</v>
      </c>
      <c r="BJ64" s="120" t="n">
        <f aca="false">IF(OR(Calculator!$E$21&lt;&gt;"YES",Calculator!$B$34&lt;Calculator!$G$21),"—",ROUND(MAX((50*POWER(80,POWER(COS(PI()*MOD(Calculator!$B$34/Calculator!$F$21,1)),2)))/$C64,$C64/(50*POWER(80,POWER(COS(PI()*MOD(Calculator!$B$34/Calculator!$F$21,1)),2)))),2))</f>
        <v>2.05</v>
      </c>
      <c r="BK64" s="115" t="n">
        <f aca="false">IFERROR(ROUND((IF(ISNUMBER(AZ64),AZ64,0)+IF(ISNUMBER(BA64),BA64,0)+IF(ISNUMBER(BB64),BB64,0)+IF(ISNUMBER(BC64),BC64,0)+IF(ISNUMBER(BD64),BD64,0)+IF(ISNUMBER(BE64),BE64,0)+IF(ISNUMBER(BF64),BF64,0)+IF(ISNUMBER(BG64),BG64,0)+IF(ISNUMBER(BH64),BH64,0)+IF(ISNUMBER(BI64),BI64,0)+IF(ISNUMBER(BJ64),BJ64,0))/(IF(ISNUMBER(AZ64),1,0)+IF(ISNUMBER(BA64),1,0)+IF(ISNUMBER(BB64),1,0)+IF(ISNUMBER(BC64),1,0)+IF(ISNUMBER(BD64),1,0)+IF(ISNUMBER(BE64),1,0)+IF(ISNUMBER(BF64),1,0)+IF(ISNUMBER(BG64),1,0)+IF(ISNUMBER(BH64),1,0)+IF(ISNUMBER(BI64),1,0)+IF(ISNUMBER(BJ64),1,0)),2),"")</f>
        <v>7.76</v>
      </c>
    </row>
    <row r="65" customFormat="false" ht="15" hidden="false" customHeight="false" outlineLevel="0" collapsed="false">
      <c r="A65" s="87" t="s">
        <v>123</v>
      </c>
      <c r="B65" s="87" t="s">
        <v>93</v>
      </c>
      <c r="C65" s="90" t="n">
        <v>1650</v>
      </c>
      <c r="D65" s="91" t="n">
        <f aca="false">IF(OR(Calculator!$E$11&lt;&gt;"YES",Calculator!$B$30&lt;Calculator!$G$11),"—",ROUND(MAX((50*POWER(80,POWER(COS(PI()*MOD(Calculator!$B$30/Calculator!$F$11,1)),2)))/$C65,$C65/(50*POWER(80,POWER(COS(PI()*MOD(Calculator!$B$30/Calculator!$F$11,1)),2)))),2))</f>
        <v>18.68</v>
      </c>
      <c r="E65" s="91" t="n">
        <f aca="false">IF(OR(Calculator!$E$12&lt;&gt;"YES",Calculator!$B$30&lt;Calculator!$G$12),"—",ROUND(MAX((50*POWER(80,POWER(COS(PI()*MOD(Calculator!$B$30/Calculator!$F$12,1)),2)))/$C65,$C65/(50*POWER(80,POWER(COS(PI()*MOD(Calculator!$B$30/Calculator!$F$12,1)),2)))),2))</f>
        <v>1.56</v>
      </c>
      <c r="F65" s="91" t="n">
        <f aca="false">IF(OR(Calculator!$E$13&lt;&gt;"YES",Calculator!$B$30&lt;Calculator!$G$13),"—",ROUND(MAX((50*POWER(80,POWER(COS(PI()*MOD(Calculator!$B$30/Calculator!$F$13,1)),2)))/$C65,$C65/(50*POWER(80,POWER(COS(PI()*MOD(Calculator!$B$30/Calculator!$F$13,1)),2)))),2))</f>
        <v>4.16</v>
      </c>
      <c r="G65" s="91" t="n">
        <f aca="false">IF(OR(Calculator!$E$14&lt;&gt;"YES",Calculator!$B$30&lt;Calculator!$G$14),"—",ROUND(MAX((50*POWER(80,POWER(COS(PI()*MOD(Calculator!$B$30/Calculator!$F$14,1)),2)))/$C65,$C65/(50*POWER(80,POWER(COS(PI()*MOD(Calculator!$B$30/Calculator!$F$14,1)),2)))),2))</f>
        <v>9.75</v>
      </c>
      <c r="H65" s="91" t="n">
        <f aca="false">IF(OR(Calculator!$E$15&lt;&gt;"YES",Calculator!$B$30&lt;Calculator!$G$15),"—",ROUND(MAX((50*POWER(80,POWER(COS(PI()*MOD(Calculator!$B$30/Calculator!$F$15,1)),2)))/$C65,$C65/(50*POWER(80,POWER(COS(PI()*MOD(Calculator!$B$30/Calculator!$F$15,1)),2)))),2))</f>
        <v>6.34</v>
      </c>
      <c r="I65" s="91" t="n">
        <f aca="false">IF(OR(Calculator!$E$16&lt;&gt;"YES",Calculator!$B$30&lt;Calculator!$G$16),"—",ROUND(MAX((50*POWER(80,POWER(COS(PI()*MOD(Calculator!$B$30/Calculator!$F$16,1)),2)))/$C65,$C65/(50*POWER(80,POWER(COS(PI()*MOD(Calculator!$B$30/Calculator!$F$16,1)),2)))),2))</f>
        <v>20.73</v>
      </c>
      <c r="J65" s="91" t="n">
        <f aca="false">IF(OR(Calculator!$E$17&lt;&gt;"YES",Calculator!$B$30&lt;Calculator!$G$17),"—",ROUND(MAX((50*POWER(80,POWER(COS(PI()*MOD(Calculator!$B$30/Calculator!$F$17,1)),2)))/$C65,$C65/(50*POWER(80,POWER(COS(PI()*MOD(Calculator!$B$30/Calculator!$F$17,1)),2)))),2))</f>
        <v>1.42</v>
      </c>
      <c r="K65" s="91" t="n">
        <f aca="false">IF(OR(Calculator!$E$18&lt;&gt;"YES",Calculator!$B$30&lt;Calculator!$G$18),"—",ROUND(MAX((50*POWER(80,POWER(COS(PI()*MOD(Calculator!$B$30/Calculator!$F$18,1)),2)))/$C65,$C65/(50*POWER(80,POWER(COS(PI()*MOD(Calculator!$B$30/Calculator!$F$18,1)),2)))),2))</f>
        <v>1.55</v>
      </c>
      <c r="L65" s="91" t="n">
        <f aca="false">IF(OR(Calculator!$E$19&lt;&gt;"YES",Calculator!$B$30&lt;Calculator!$G$19),"—",ROUND(MAX((50*POWER(80,POWER(COS(PI()*MOD(Calculator!$B$30/Calculator!$F$19,1)),2)))/$C65,$C65/(50*POWER(80,POWER(COS(PI()*MOD(Calculator!$B$30/Calculator!$F$19,1)),2)))),2))</f>
        <v>1.55</v>
      </c>
      <c r="M65" s="91" t="n">
        <f aca="false">IF(OR(Calculator!$E$20&lt;&gt;"YES",Calculator!$B$30&lt;Calculator!$G$20),"—",ROUND(MAX((50*POWER(80,POWER(COS(PI()*MOD(Calculator!$B$30/Calculator!$F$20,1)),2)))/$C65,$C65/(50*POWER(80,POWER(COS(PI()*MOD(Calculator!$B$30/Calculator!$F$20,1)),2)))),2))</f>
        <v>17.15</v>
      </c>
      <c r="N65" s="91" t="n">
        <f aca="false">IF(OR(Calculator!$E$21&lt;&gt;"YES",Calculator!$B$30&lt;Calculator!$G$21),"—",ROUND(MAX((50*POWER(80,POWER(COS(PI()*MOD(Calculator!$B$30/Calculator!$F$21,1)),2)))/$C65,$C65/(50*POWER(80,POWER(COS(PI()*MOD(Calculator!$B$30/Calculator!$F$21,1)),2)))),2))</f>
        <v>1.54</v>
      </c>
      <c r="O65" s="114" t="n">
        <f aca="false">IFERROR(ROUND((IF(ISNUMBER(D65),D65,0)+IF(ISNUMBER(E65),E65,0)+IF(ISNUMBER(F65),F65,0)+IF(ISNUMBER(G65),G65,0)+IF(ISNUMBER(H65),H65,0)+IF(ISNUMBER(I65),I65,0)+IF(ISNUMBER(J65),J65,0)+IF(ISNUMBER(K65),K65,0)+IF(ISNUMBER(L65),L65,0)+IF(ISNUMBER(M65),M65,0)+IF(ISNUMBER(N65),N65,0))/(IF(ISNUMBER(D65),1,0)+IF(ISNUMBER(E65),1,0)+IF(ISNUMBER(F65),1,0)+IF(ISNUMBER(G65),1,0)+IF(ISNUMBER(H65),1,0)+IF(ISNUMBER(I65),1,0)+IF(ISNUMBER(J65),1,0)+IF(ISNUMBER(K65),1,0)+IF(ISNUMBER(L65),1,0)+IF(ISNUMBER(M65),1,0)+IF(ISNUMBER(N65),1,0)),2),"")</f>
        <v>7.68</v>
      </c>
      <c r="P65" s="91" t="n">
        <f aca="false">IF(OR(Calculator!$E$11&lt;&gt;"YES",Calculator!$B$31&lt;Calculator!$G$11),"—",ROUND(MAX((50*POWER(80,POWER(COS(PI()*MOD(Calculator!$B$31/Calculator!$F$11,1)),2)))/$C65,$C65/(50*POWER(80,POWER(COS(PI()*MOD(Calculator!$B$31/Calculator!$F$11,1)),2)))),2))</f>
        <v>18.91</v>
      </c>
      <c r="Q65" s="91" t="n">
        <f aca="false">IF(OR(Calculator!$E$12&lt;&gt;"YES",Calculator!$B$31&lt;Calculator!$G$12),"—",ROUND(MAX((50*POWER(80,POWER(COS(PI()*MOD(Calculator!$B$31/Calculator!$F$12,1)),2)))/$C65,$C65/(50*POWER(80,POWER(COS(PI()*MOD(Calculator!$B$31/Calculator!$F$12,1)),2)))),2))</f>
        <v>1.51</v>
      </c>
      <c r="R65" s="91" t="n">
        <f aca="false">IF(OR(Calculator!$E$13&lt;&gt;"YES",Calculator!$B$31&lt;Calculator!$G$13),"—",ROUND(MAX((50*POWER(80,POWER(COS(PI()*MOD(Calculator!$B$31/Calculator!$F$13,1)),2)))/$C65,$C65/(50*POWER(80,POWER(COS(PI()*MOD(Calculator!$B$31/Calculator!$F$13,1)),2)))),2))</f>
        <v>4.38</v>
      </c>
      <c r="S65" s="91" t="n">
        <f aca="false">IF(OR(Calculator!$E$14&lt;&gt;"YES",Calculator!$B$31&lt;Calculator!$G$14),"—",ROUND(MAX((50*POWER(80,POWER(COS(PI()*MOD(Calculator!$B$31/Calculator!$F$14,1)),2)))/$C65,$C65/(50*POWER(80,POWER(COS(PI()*MOD(Calculator!$B$31/Calculator!$F$14,1)),2)))),2))</f>
        <v>9.16</v>
      </c>
      <c r="T65" s="91" t="n">
        <f aca="false">IF(OR(Calculator!$E$15&lt;&gt;"YES",Calculator!$B$31&lt;Calculator!$G$15),"—",ROUND(MAX((50*POWER(80,POWER(COS(PI()*MOD(Calculator!$B$31/Calculator!$F$15,1)),2)))/$C65,$C65/(50*POWER(80,POWER(COS(PI()*MOD(Calculator!$B$31/Calculator!$F$15,1)),2)))),2))</f>
        <v>5.76</v>
      </c>
      <c r="U65" s="91" t="n">
        <f aca="false">IF(OR(Calculator!$E$16&lt;&gt;"YES",Calculator!$B$31&lt;Calculator!$G$16),"—",ROUND(MAX((50*POWER(80,POWER(COS(PI()*MOD(Calculator!$B$31/Calculator!$F$16,1)),2)))/$C65,$C65/(50*POWER(80,POWER(COS(PI()*MOD(Calculator!$B$31/Calculator!$F$16,1)),2)))),2))</f>
        <v>22.47</v>
      </c>
      <c r="V65" s="91" t="n">
        <f aca="false">IF(OR(Calculator!$E$17&lt;&gt;"YES",Calculator!$B$31&lt;Calculator!$G$17),"—",ROUND(MAX((50*POWER(80,POWER(COS(PI()*MOD(Calculator!$B$31/Calculator!$F$17,1)),2)))/$C65,$C65/(50*POWER(80,POWER(COS(PI()*MOD(Calculator!$B$31/Calculator!$F$17,1)),2)))),2))</f>
        <v>1.26</v>
      </c>
      <c r="W65" s="91" t="n">
        <f aca="false">IF(OR(Calculator!$E$18&lt;&gt;"YES",Calculator!$B$31&lt;Calculator!$G$18),"—",ROUND(MAX((50*POWER(80,POWER(COS(PI()*MOD(Calculator!$B$31/Calculator!$F$18,1)),2)))/$C65,$C65/(50*POWER(80,POWER(COS(PI()*MOD(Calculator!$B$31/Calculator!$F$18,1)),2)))),2))</f>
        <v>1.36</v>
      </c>
      <c r="X65" s="91" t="n">
        <f aca="false">IF(OR(Calculator!$E$19&lt;&gt;"YES",Calculator!$B$31&lt;Calculator!$G$19),"—",ROUND(MAX((50*POWER(80,POWER(COS(PI()*MOD(Calculator!$B$31/Calculator!$F$19,1)),2)))/$C65,$C65/(50*POWER(80,POWER(COS(PI()*MOD(Calculator!$B$31/Calculator!$F$19,1)),2)))),2))</f>
        <v>1.78</v>
      </c>
      <c r="Y65" s="91" t="n">
        <f aca="false">IF(OR(Calculator!$E$20&lt;&gt;"YES",Calculator!$B$31&lt;Calculator!$G$20),"—",ROUND(MAX((50*POWER(80,POWER(COS(PI()*MOD(Calculator!$B$31/Calculator!$F$20,1)),2)))/$C65,$C65/(50*POWER(80,POWER(COS(PI()*MOD(Calculator!$B$31/Calculator!$F$20,1)),2)))),2))</f>
        <v>13.9</v>
      </c>
      <c r="Z65" s="91" t="n">
        <f aca="false">IF(OR(Calculator!$E$21&lt;&gt;"YES",Calculator!$B$31&lt;Calculator!$G$21),"—",ROUND(MAX((50*POWER(80,POWER(COS(PI()*MOD(Calculator!$B$31/Calculator!$F$21,1)),2)))/$C65,$C65/(50*POWER(80,POWER(COS(PI()*MOD(Calculator!$B$31/Calculator!$F$21,1)),2)))),2))</f>
        <v>1.08</v>
      </c>
      <c r="AA65" s="114" t="n">
        <f aca="false">IFERROR(ROUND((IF(ISNUMBER(P65),P65,0)+IF(ISNUMBER(Q65),Q65,0)+IF(ISNUMBER(R65),R65,0)+IF(ISNUMBER(S65),S65,0)+IF(ISNUMBER(T65),T65,0)+IF(ISNUMBER(U65),U65,0)+IF(ISNUMBER(V65),V65,0)+IF(ISNUMBER(W65),W65,0)+IF(ISNUMBER(X65),X65,0)+IF(ISNUMBER(Y65),Y65,0)+IF(ISNUMBER(Z65),Z65,0))/(IF(ISNUMBER(P65),1,0)+IF(ISNUMBER(Q65),1,0)+IF(ISNUMBER(R65),1,0)+IF(ISNUMBER(S65),1,0)+IF(ISNUMBER(T65),1,0)+IF(ISNUMBER(U65),1,0)+IF(ISNUMBER(V65),1,0)+IF(ISNUMBER(W65),1,0)+IF(ISNUMBER(X65),1,0)+IF(ISNUMBER(Y65),1,0)+IF(ISNUMBER(Z65),1,0)),2),"")</f>
        <v>7.42</v>
      </c>
      <c r="AB65" s="91" t="n">
        <f aca="false">IF(OR(Calculator!$E$11&lt;&gt;"YES",Calculator!$B$32&lt;Calculator!$G$11),"—",ROUND(MAX((50*POWER(80,POWER(COS(PI()*MOD(Calculator!$B$32/Calculator!$F$11,1)),2)))/$C65,$C65/(50*POWER(80,POWER(COS(PI()*MOD(Calculator!$B$32/Calculator!$F$11,1)),2)))),2))</f>
        <v>23.81</v>
      </c>
      <c r="AC65" s="91" t="n">
        <f aca="false">IF(OR(Calculator!$E$12&lt;&gt;"YES",Calculator!$B$32&lt;Calculator!$G$12),"—",ROUND(MAX((50*POWER(80,POWER(COS(PI()*MOD(Calculator!$B$32/Calculator!$F$12,1)),2)))/$C65,$C65/(50*POWER(80,POWER(COS(PI()*MOD(Calculator!$B$32/Calculator!$F$12,1)),2)))),2))</f>
        <v>1.22</v>
      </c>
      <c r="AD65" s="91" t="n">
        <f aca="false">IF(OR(Calculator!$E$13&lt;&gt;"YES",Calculator!$B$32&lt;Calculator!$G$13),"—",ROUND(MAX((50*POWER(80,POWER(COS(PI()*MOD(Calculator!$B$32/Calculator!$F$13,1)),2)))/$C65,$C65/(50*POWER(80,POWER(COS(PI()*MOD(Calculator!$B$32/Calculator!$F$13,1)),2)))),2))</f>
        <v>12.15</v>
      </c>
      <c r="AE65" s="91" t="n">
        <f aca="false">IF(OR(Calculator!$E$14&lt;&gt;"YES",Calculator!$B$32&lt;Calculator!$G$14),"—",ROUND(MAX((50*POWER(80,POWER(COS(PI()*MOD(Calculator!$B$32/Calculator!$F$14,1)),2)))/$C65,$C65/(50*POWER(80,POWER(COS(PI()*MOD(Calculator!$B$32/Calculator!$F$14,1)),2)))),2))</f>
        <v>2.22</v>
      </c>
      <c r="AF65" s="91" t="n">
        <f aca="false">IF(OR(Calculator!$E$15&lt;&gt;"YES",Calculator!$B$32&lt;Calculator!$G$15),"—",ROUND(MAX((50*POWER(80,POWER(COS(PI()*MOD(Calculator!$B$32/Calculator!$F$15,1)),2)))/$C65,$C65/(50*POWER(80,POWER(COS(PI()*MOD(Calculator!$B$32/Calculator!$F$15,1)),2)))),2))</f>
        <v>1.17</v>
      </c>
      <c r="AG65" s="91" t="n">
        <f aca="false">IF(OR(Calculator!$E$16&lt;&gt;"YES",Calculator!$B$32&lt;Calculator!$G$16),"—",ROUND(MAX((50*POWER(80,POWER(COS(PI()*MOD(Calculator!$B$32/Calculator!$F$16,1)),2)))/$C65,$C65/(50*POWER(80,POWER(COS(PI()*MOD(Calculator!$B$32/Calculator!$F$16,1)),2)))),2))</f>
        <v>19.4</v>
      </c>
      <c r="AH65" s="91" t="n">
        <f aca="false">IF(OR(Calculator!$E$17&lt;&gt;"YES",Calculator!$B$32&lt;Calculator!$G$17),"—",ROUND(MAX((50*POWER(80,POWER(COS(PI()*MOD(Calculator!$B$32/Calculator!$F$17,1)),2)))/$C65,$C65/(50*POWER(80,POWER(COS(PI()*MOD(Calculator!$B$32/Calculator!$F$17,1)),2)))),2))</f>
        <v>20.48</v>
      </c>
      <c r="AI65" s="91" t="n">
        <f aca="false">IF(OR(Calculator!$E$18&lt;&gt;"YES",Calculator!$B$32&lt;Calculator!$G$18),"—",ROUND(MAX((50*POWER(80,POWER(COS(PI()*MOD(Calculator!$B$32/Calculator!$F$18,1)),2)))/$C65,$C65/(50*POWER(80,POWER(COS(PI()*MOD(Calculator!$B$32/Calculator!$F$18,1)),2)))),2))</f>
        <v>27.01</v>
      </c>
      <c r="AJ65" s="91" t="n">
        <f aca="false">IF(OR(Calculator!$E$19&lt;&gt;"YES",Calculator!$B$32&lt;Calculator!$G$19),"—",ROUND(MAX((50*POWER(80,POWER(COS(PI()*MOD(Calculator!$B$32/Calculator!$F$19,1)),2)))/$C65,$C65/(50*POWER(80,POWER(COS(PI()*MOD(Calculator!$B$32/Calculator!$F$19,1)),2)))),2))</f>
        <v>5.69</v>
      </c>
      <c r="AK65" s="91" t="n">
        <f aca="false">IF(OR(Calculator!$E$20&lt;&gt;"YES",Calculator!$B$32&lt;Calculator!$G$20),"—",ROUND(MAX((50*POWER(80,POWER(COS(PI()*MOD(Calculator!$B$32/Calculator!$F$20,1)),2)))/$C65,$C65/(50*POWER(80,POWER(COS(PI()*MOD(Calculator!$B$32/Calculator!$F$20,1)),2)))),2))</f>
        <v>1.95</v>
      </c>
      <c r="AL65" s="91" t="n">
        <f aca="false">IF(OR(Calculator!$E$21&lt;&gt;"YES",Calculator!$B$32&lt;Calculator!$G$21),"—",ROUND(MAX((50*POWER(80,POWER(COS(PI()*MOD(Calculator!$B$32/Calculator!$F$21,1)),2)))/$C65,$C65/(50*POWER(80,POWER(COS(PI()*MOD(Calculator!$B$32/Calculator!$F$21,1)),2)))),2))</f>
        <v>1.69</v>
      </c>
      <c r="AM65" s="115" t="n">
        <f aca="false">IFERROR(ROUND((IF(ISNUMBER(AB65),AB65,0)+IF(ISNUMBER(AC65),AC65,0)+IF(ISNUMBER(AD65),AD65,0)+IF(ISNUMBER(AE65),AE65,0)+IF(ISNUMBER(AF65),AF65,0)+IF(ISNUMBER(AG65),AG65,0)+IF(ISNUMBER(AH65),AH65,0)+IF(ISNUMBER(AI65),AI65,0)+IF(ISNUMBER(AJ65),AJ65,0)+IF(ISNUMBER(AK65),AK65,0)+IF(ISNUMBER(AL65),AL65,0))/(IF(ISNUMBER(AB65),1,0)+IF(ISNUMBER(AC65),1,0)+IF(ISNUMBER(AD65),1,0)+IF(ISNUMBER(AE65),1,0)+IF(ISNUMBER(AF65),1,0)+IF(ISNUMBER(AG65),1,0)+IF(ISNUMBER(AH65),1,0)+IF(ISNUMBER(AI65),1,0)+IF(ISNUMBER(AJ65),1,0)+IF(ISNUMBER(AK65),1,0)+IF(ISNUMBER(AL65),1,0)),2),"")</f>
        <v>10.62</v>
      </c>
      <c r="AN65" s="116" t="n">
        <f aca="false">IF(OR(Calculator!$E$11&lt;&gt;"YES",Calculator!$B$33&lt;Calculator!$G$11),"—",ROUND(MAX((50*POWER(80,POWER(COS(PI()*MOD(Calculator!$B$33/Calculator!$F$11,1)),2)))/$C65,$C65/(50*POWER(80,POWER(COS(PI()*MOD(Calculator!$B$33/Calculator!$F$11,1)),2)))),2))</f>
        <v>19.14</v>
      </c>
      <c r="AO65" s="116" t="n">
        <f aca="false">IF(OR(Calculator!$E$12&lt;&gt;"YES",Calculator!$B$33&lt;Calculator!$G$12),"—",ROUND(MAX((50*POWER(80,POWER(COS(PI()*MOD(Calculator!$B$33/Calculator!$F$12,1)),2)))/$C65,$C65/(50*POWER(80,POWER(COS(PI()*MOD(Calculator!$B$33/Calculator!$F$12,1)),2)))),2))</f>
        <v>1.47</v>
      </c>
      <c r="AP65" s="116" t="n">
        <f aca="false">IF(OR(Calculator!$E$13&lt;&gt;"YES",Calculator!$B$33&lt;Calculator!$G$13),"—",ROUND(MAX((50*POWER(80,POWER(COS(PI()*MOD(Calculator!$B$33/Calculator!$F$13,1)),2)))/$C65,$C65/(50*POWER(80,POWER(COS(PI()*MOD(Calculator!$B$33/Calculator!$F$13,1)),2)))),2))</f>
        <v>4.62</v>
      </c>
      <c r="AQ65" s="116" t="n">
        <f aca="false">IF(OR(Calculator!$E$14&lt;&gt;"YES",Calculator!$B$33&lt;Calculator!$G$14),"—",ROUND(MAX((50*POWER(80,POWER(COS(PI()*MOD(Calculator!$B$33/Calculator!$F$14,1)),2)))/$C65,$C65/(50*POWER(80,POWER(COS(PI()*MOD(Calculator!$B$33/Calculator!$F$14,1)),2)))),2))</f>
        <v>8.6</v>
      </c>
      <c r="AR65" s="116" t="n">
        <f aca="false">IF(OR(Calculator!$E$15&lt;&gt;"YES",Calculator!$B$33&lt;Calculator!$G$15),"—",ROUND(MAX((50*POWER(80,POWER(COS(PI()*MOD(Calculator!$B$33/Calculator!$F$15,1)),2)))/$C65,$C65/(50*POWER(80,POWER(COS(PI()*MOD(Calculator!$B$33/Calculator!$F$15,1)),2)))),2))</f>
        <v>5.24</v>
      </c>
      <c r="AS65" s="116" t="n">
        <f aca="false">IF(OR(Calculator!$E$16&lt;&gt;"YES",Calculator!$B$33&lt;Calculator!$G$16),"—",ROUND(MAX((50*POWER(80,POWER(COS(PI()*MOD(Calculator!$B$33/Calculator!$F$16,1)),2)))/$C65,$C65/(50*POWER(80,POWER(COS(PI()*MOD(Calculator!$B$33/Calculator!$F$16,1)),2)))),2))</f>
        <v>24.2</v>
      </c>
      <c r="AT65" s="116" t="n">
        <f aca="false">IF(OR(Calculator!$E$17&lt;&gt;"YES",Calculator!$B$33&lt;Calculator!$G$17),"—",ROUND(MAX((50*POWER(80,POWER(COS(PI()*MOD(Calculator!$B$33/Calculator!$F$17,1)),2)))/$C65,$C65/(50*POWER(80,POWER(COS(PI()*MOD(Calculator!$B$33/Calculator!$F$17,1)),2)))),2))</f>
        <v>1.11</v>
      </c>
      <c r="AU65" s="116" t="n">
        <f aca="false">IF(OR(Calculator!$E$18&lt;&gt;"YES",Calculator!$B$33&lt;Calculator!$G$18),"—",ROUND(MAX((50*POWER(80,POWER(COS(PI()*MOD(Calculator!$B$33/Calculator!$F$18,1)),2)))/$C65,$C65/(50*POWER(80,POWER(COS(PI()*MOD(Calculator!$B$33/Calculator!$F$18,1)),2)))),2))</f>
        <v>1.17</v>
      </c>
      <c r="AV65" s="116" t="n">
        <f aca="false">IF(OR(Calculator!$E$19&lt;&gt;"YES",Calculator!$B$33&lt;Calculator!$G$19),"—",ROUND(MAX((50*POWER(80,POWER(COS(PI()*MOD(Calculator!$B$33/Calculator!$F$19,1)),2)))/$C65,$C65/(50*POWER(80,POWER(COS(PI()*MOD(Calculator!$B$33/Calculator!$F$19,1)),2)))),2))</f>
        <v>1.99</v>
      </c>
      <c r="AW65" s="116" t="n">
        <f aca="false">IF(OR(Calculator!$E$20&lt;&gt;"YES",Calculator!$B$33&lt;Calculator!$G$20),"—",ROUND(MAX((50*POWER(80,POWER(COS(PI()*MOD(Calculator!$B$33/Calculator!$F$20,1)),2)))/$C65,$C65/(50*POWER(80,POWER(COS(PI()*MOD(Calculator!$B$33/Calculator!$F$20,1)),2)))),2))</f>
        <v>11.02</v>
      </c>
      <c r="AX65" s="116" t="n">
        <f aca="false">IF(OR(Calculator!$E$21&lt;&gt;"YES",Calculator!$B$33&lt;Calculator!$G$21),"—",ROUND(MAX((50*POWER(80,POWER(COS(PI()*MOD(Calculator!$B$33/Calculator!$F$21,1)),2)))/$C65,$C65/(50*POWER(80,POWER(COS(PI()*MOD(Calculator!$B$33/Calculator!$F$21,1)),2)))),2))</f>
        <v>1.41</v>
      </c>
      <c r="AY65" s="115" t="n">
        <f aca="false">IFERROR(ROUND((IF(ISNUMBER(AN65),AN65,0)+IF(ISNUMBER(AO65),AO65,0)+IF(ISNUMBER(AP65),AP65,0)+IF(ISNUMBER(AQ65),AQ65,0)+IF(ISNUMBER(AR65),AR65,0)+IF(ISNUMBER(AS65),AS65,0)+IF(ISNUMBER(AT65),AT65,0)+IF(ISNUMBER(AU65),AU65,0)+IF(ISNUMBER(AV65),AV65,0)+IF(ISNUMBER(AW65),AW65,0)+IF(ISNUMBER(AX65),AX65,0))/(IF(ISNUMBER(AN65),1,0)+IF(ISNUMBER(AO65),1,0)+IF(ISNUMBER(AP65),1,0)+IF(ISNUMBER(AQ65),1,0)+IF(ISNUMBER(AR65),1,0)+IF(ISNUMBER(AS65),1,0)+IF(ISNUMBER(AT65),1,0)+IF(ISNUMBER(AU65),1,0)+IF(ISNUMBER(AV65),1,0)+IF(ISNUMBER(AW65),1,0)+IF(ISNUMBER(AX65),1,0)),2),"")</f>
        <v>7.27</v>
      </c>
      <c r="AZ65" s="116" t="n">
        <f aca="false">IF(OR(Calculator!$E$11&lt;&gt;"YES",Calculator!$B$34&lt;Calculator!$G$11),"—",ROUND(MAX((50*POWER(80,POWER(COS(PI()*MOD(Calculator!$B$34/Calculator!$F$11,1)),2)))/$C65,$C65/(50*POWER(80,POWER(COS(PI()*MOD(Calculator!$B$34/Calculator!$F$11,1)),2)))),2))</f>
        <v>18.45</v>
      </c>
      <c r="BA65" s="116" t="n">
        <f aca="false">IF(OR(Calculator!$E$12&lt;&gt;"YES",Calculator!$B$34&lt;Calculator!$G$12),"—",ROUND(MAX((50*POWER(80,POWER(COS(PI()*MOD(Calculator!$B$34/Calculator!$F$12,1)),2)))/$C65,$C65/(50*POWER(80,POWER(COS(PI()*MOD(Calculator!$B$34/Calculator!$F$12,1)),2)))),2))</f>
        <v>1.62</v>
      </c>
      <c r="BB65" s="116" t="n">
        <f aca="false">IF(OR(Calculator!$E$13&lt;&gt;"YES",Calculator!$B$34&lt;Calculator!$G$13),"—",ROUND(MAX((50*POWER(80,POWER(COS(PI()*MOD(Calculator!$B$34/Calculator!$F$13,1)),2)))/$C65,$C65/(50*POWER(80,POWER(COS(PI()*MOD(Calculator!$B$34/Calculator!$F$13,1)),2)))),2))</f>
        <v>3.95</v>
      </c>
      <c r="BC65" s="116" t="n">
        <f aca="false">IF(OR(Calculator!$E$14&lt;&gt;"YES",Calculator!$B$34&lt;Calculator!$G$14),"—",ROUND(MAX((50*POWER(80,POWER(COS(PI()*MOD(Calculator!$B$34/Calculator!$F$14,1)),2)))/$C65,$C65/(50*POWER(80,POWER(COS(PI()*MOD(Calculator!$B$34/Calculator!$F$14,1)),2)))),2))</f>
        <v>10.37</v>
      </c>
      <c r="BD65" s="116" t="n">
        <f aca="false">IF(OR(Calculator!$E$15&lt;&gt;"YES",Calculator!$B$34&lt;Calculator!$G$15),"—",ROUND(MAX((50*POWER(80,POWER(COS(PI()*MOD(Calculator!$B$34/Calculator!$F$15,1)),2)))/$C65,$C65/(50*POWER(80,POWER(COS(PI()*MOD(Calculator!$B$34/Calculator!$F$15,1)),2)))),2))</f>
        <v>6.97</v>
      </c>
      <c r="BE65" s="116" t="n">
        <f aca="false">IF(OR(Calculator!$E$16&lt;&gt;"YES",Calculator!$B$34&lt;Calculator!$G$16),"—",ROUND(MAX((50*POWER(80,POWER(COS(PI()*MOD(Calculator!$B$34/Calculator!$F$16,1)),2)))/$C65,$C65/(50*POWER(80,POWER(COS(PI()*MOD(Calculator!$B$34/Calculator!$F$16,1)),2)))),2))</f>
        <v>18.99</v>
      </c>
      <c r="BF65" s="116" t="n">
        <f aca="false">IF(OR(Calculator!$E$17&lt;&gt;"YES",Calculator!$B$34&lt;Calculator!$G$17),"—",ROUND(MAX((50*POWER(80,POWER(COS(PI()*MOD(Calculator!$B$34/Calculator!$F$17,1)),2)))/$C65,$C65/(50*POWER(80,POWER(COS(PI()*MOD(Calculator!$B$34/Calculator!$F$17,1)),2)))),2))</f>
        <v>1.59</v>
      </c>
      <c r="BG65" s="116" t="n">
        <f aca="false">IF(OR(Calculator!$E$18&lt;&gt;"YES",Calculator!$B$34&lt;Calculator!$G$18),"—",ROUND(MAX((50*POWER(80,POWER(COS(PI()*MOD(Calculator!$B$34/Calculator!$F$18,1)),2)))/$C65,$C65/(50*POWER(80,POWER(COS(PI()*MOD(Calculator!$B$34/Calculator!$F$18,1)),2)))),2))</f>
        <v>1.74</v>
      </c>
      <c r="BH65" s="116" t="n">
        <f aca="false">IF(OR(Calculator!$E$19&lt;&gt;"YES",Calculator!$B$34&lt;Calculator!$G$19),"—",ROUND(MAX((50*POWER(80,POWER(COS(PI()*MOD(Calculator!$B$34/Calculator!$F$19,1)),2)))/$C65,$C65/(50*POWER(80,POWER(COS(PI()*MOD(Calculator!$B$34/Calculator!$F$19,1)),2)))),2))</f>
        <v>1.33</v>
      </c>
      <c r="BI65" s="116" t="n">
        <f aca="false">IF(OR(Calculator!$E$20&lt;&gt;"YES",Calculator!$B$34&lt;Calculator!$G$20),"—",ROUND(MAX((50*POWER(80,POWER(COS(PI()*MOD(Calculator!$B$34/Calculator!$F$20,1)),2)))/$C65,$C65/(50*POWER(80,POWER(COS(PI()*MOD(Calculator!$B$34/Calculator!$F$20,1)),2)))),2))</f>
        <v>20.66</v>
      </c>
      <c r="BJ65" s="116" t="n">
        <f aca="false">IF(OR(Calculator!$E$21&lt;&gt;"YES",Calculator!$B$34&lt;Calculator!$G$21),"—",ROUND(MAX((50*POWER(80,POWER(COS(PI()*MOD(Calculator!$B$34/Calculator!$F$21,1)),2)))/$C65,$C65/(50*POWER(80,POWER(COS(PI()*MOD(Calculator!$B$34/Calculator!$F$21,1)),2)))),2))</f>
        <v>1.99</v>
      </c>
      <c r="BK65" s="115" t="n">
        <f aca="false">IFERROR(ROUND((IF(ISNUMBER(AZ65),AZ65,0)+IF(ISNUMBER(BA65),BA65,0)+IF(ISNUMBER(BB65),BB65,0)+IF(ISNUMBER(BC65),BC65,0)+IF(ISNUMBER(BD65),BD65,0)+IF(ISNUMBER(BE65),BE65,0)+IF(ISNUMBER(BF65),BF65,0)+IF(ISNUMBER(BG65),BG65,0)+IF(ISNUMBER(BH65),BH65,0)+IF(ISNUMBER(BI65),BI65,0)+IF(ISNUMBER(BJ65),BJ65,0))/(IF(ISNUMBER(AZ65),1,0)+IF(ISNUMBER(BA65),1,0)+IF(ISNUMBER(BB65),1,0)+IF(ISNUMBER(BC65),1,0)+IF(ISNUMBER(BD65),1,0)+IF(ISNUMBER(BE65),1,0)+IF(ISNUMBER(BF65),1,0)+IF(ISNUMBER(BG65),1,0)+IF(ISNUMBER(BH65),1,0)+IF(ISNUMBER(BI65),1,0)+IF(ISNUMBER(BJ65),1,0)),2),"")</f>
        <v>7.97</v>
      </c>
    </row>
    <row r="66" customFormat="false" ht="15" hidden="false" customHeight="false" outlineLevel="0" collapsed="false">
      <c r="A66" s="117" t="s">
        <v>124</v>
      </c>
      <c r="B66" s="117" t="s">
        <v>93</v>
      </c>
      <c r="C66" s="118" t="n">
        <v>1700</v>
      </c>
      <c r="D66" s="119" t="n">
        <f aca="false">IF(OR(Calculator!$E$11&lt;&gt;"YES",Calculator!$B$30&lt;Calculator!$G$11),"—",ROUND(MAX((50*POWER(80,POWER(COS(PI()*MOD(Calculator!$B$30/Calculator!$F$11,1)),2)))/$C66,$C66/(50*POWER(80,POWER(COS(PI()*MOD(Calculator!$B$30/Calculator!$F$11,1)),2)))),2))</f>
        <v>19.25</v>
      </c>
      <c r="E66" s="119" t="n">
        <f aca="false">IF(OR(Calculator!$E$12&lt;&gt;"YES",Calculator!$B$30&lt;Calculator!$G$12),"—",ROUND(MAX((50*POWER(80,POWER(COS(PI()*MOD(Calculator!$B$30/Calculator!$F$12,1)),2)))/$C66,$C66/(50*POWER(80,POWER(COS(PI()*MOD(Calculator!$B$30/Calculator!$F$12,1)),2)))),2))</f>
        <v>1.61</v>
      </c>
      <c r="F66" s="119" t="n">
        <f aca="false">IF(OR(Calculator!$E$13&lt;&gt;"YES",Calculator!$B$30&lt;Calculator!$G$13),"—",ROUND(MAX((50*POWER(80,POWER(COS(PI()*MOD(Calculator!$B$30/Calculator!$F$13,1)),2)))/$C66,$C66/(50*POWER(80,POWER(COS(PI()*MOD(Calculator!$B$30/Calculator!$F$13,1)),2)))),2))</f>
        <v>4.29</v>
      </c>
      <c r="G66" s="119" t="n">
        <f aca="false">IF(OR(Calculator!$E$14&lt;&gt;"YES",Calculator!$B$30&lt;Calculator!$G$14),"—",ROUND(MAX((50*POWER(80,POWER(COS(PI()*MOD(Calculator!$B$30/Calculator!$F$14,1)),2)))/$C66,$C66/(50*POWER(80,POWER(COS(PI()*MOD(Calculator!$B$30/Calculator!$F$14,1)),2)))),2))</f>
        <v>10.04</v>
      </c>
      <c r="H66" s="119" t="n">
        <f aca="false">IF(OR(Calculator!$E$15&lt;&gt;"YES",Calculator!$B$30&lt;Calculator!$G$15),"—",ROUND(MAX((50*POWER(80,POWER(COS(PI()*MOD(Calculator!$B$30/Calculator!$F$15,1)),2)))/$C66,$C66/(50*POWER(80,POWER(COS(PI()*MOD(Calculator!$B$30/Calculator!$F$15,1)),2)))),2))</f>
        <v>6.53</v>
      </c>
      <c r="I66" s="119" t="n">
        <f aca="false">IF(OR(Calculator!$E$16&lt;&gt;"YES",Calculator!$B$30&lt;Calculator!$G$16),"—",ROUND(MAX((50*POWER(80,POWER(COS(PI()*MOD(Calculator!$B$30/Calculator!$F$16,1)),2)))/$C66,$C66/(50*POWER(80,POWER(COS(PI()*MOD(Calculator!$B$30/Calculator!$F$16,1)),2)))),2))</f>
        <v>21.35</v>
      </c>
      <c r="J66" s="119" t="n">
        <f aca="false">IF(OR(Calculator!$E$17&lt;&gt;"YES",Calculator!$B$30&lt;Calculator!$G$17),"—",ROUND(MAX((50*POWER(80,POWER(COS(PI()*MOD(Calculator!$B$30/Calculator!$F$17,1)),2)))/$C66,$C66/(50*POWER(80,POWER(COS(PI()*MOD(Calculator!$B$30/Calculator!$F$17,1)),2)))),2))</f>
        <v>1.38</v>
      </c>
      <c r="K66" s="119" t="n">
        <f aca="false">IF(OR(Calculator!$E$18&lt;&gt;"YES",Calculator!$B$30&lt;Calculator!$G$18),"—",ROUND(MAX((50*POWER(80,POWER(COS(PI()*MOD(Calculator!$B$30/Calculator!$F$18,1)),2)))/$C66,$C66/(50*POWER(80,POWER(COS(PI()*MOD(Calculator!$B$30/Calculator!$F$18,1)),2)))),2))</f>
        <v>1.5</v>
      </c>
      <c r="L66" s="119" t="n">
        <f aca="false">IF(OR(Calculator!$E$19&lt;&gt;"YES",Calculator!$B$30&lt;Calculator!$G$19),"—",ROUND(MAX((50*POWER(80,POWER(COS(PI()*MOD(Calculator!$B$30/Calculator!$F$19,1)),2)))/$C66,$C66/(50*POWER(80,POWER(COS(PI()*MOD(Calculator!$B$30/Calculator!$F$19,1)),2)))),2))</f>
        <v>1.51</v>
      </c>
      <c r="M66" s="119" t="n">
        <f aca="false">IF(OR(Calculator!$E$20&lt;&gt;"YES",Calculator!$B$30&lt;Calculator!$G$20),"—",ROUND(MAX((50*POWER(80,POWER(COS(PI()*MOD(Calculator!$B$30/Calculator!$F$20,1)),2)))/$C66,$C66/(50*POWER(80,POWER(COS(PI()*MOD(Calculator!$B$30/Calculator!$F$20,1)),2)))),2))</f>
        <v>17.67</v>
      </c>
      <c r="N66" s="119" t="n">
        <f aca="false">IF(OR(Calculator!$E$21&lt;&gt;"YES",Calculator!$B$30&lt;Calculator!$G$21),"—",ROUND(MAX((50*POWER(80,POWER(COS(PI()*MOD(Calculator!$B$30/Calculator!$F$21,1)),2)))/$C66,$C66/(50*POWER(80,POWER(COS(PI()*MOD(Calculator!$B$30/Calculator!$F$21,1)),2)))),2))</f>
        <v>1.49</v>
      </c>
      <c r="O66" s="114" t="n">
        <f aca="false">IFERROR(ROUND((IF(ISNUMBER(D66),D66,0)+IF(ISNUMBER(E66),E66,0)+IF(ISNUMBER(F66),F66,0)+IF(ISNUMBER(G66),G66,0)+IF(ISNUMBER(H66),H66,0)+IF(ISNUMBER(I66),I66,0)+IF(ISNUMBER(J66),J66,0)+IF(ISNUMBER(K66),K66,0)+IF(ISNUMBER(L66),L66,0)+IF(ISNUMBER(M66),M66,0)+IF(ISNUMBER(N66),N66,0))/(IF(ISNUMBER(D66),1,0)+IF(ISNUMBER(E66),1,0)+IF(ISNUMBER(F66),1,0)+IF(ISNUMBER(G66),1,0)+IF(ISNUMBER(H66),1,0)+IF(ISNUMBER(I66),1,0)+IF(ISNUMBER(J66),1,0)+IF(ISNUMBER(K66),1,0)+IF(ISNUMBER(L66),1,0)+IF(ISNUMBER(M66),1,0)+IF(ISNUMBER(N66),1,0)),2),"")</f>
        <v>7.87</v>
      </c>
      <c r="P66" s="119" t="n">
        <f aca="false">IF(OR(Calculator!$E$11&lt;&gt;"YES",Calculator!$B$31&lt;Calculator!$G$11),"—",ROUND(MAX((50*POWER(80,POWER(COS(PI()*MOD(Calculator!$B$31/Calculator!$F$11,1)),2)))/$C66,$C66/(50*POWER(80,POWER(COS(PI()*MOD(Calculator!$B$31/Calculator!$F$11,1)),2)))),2))</f>
        <v>19.49</v>
      </c>
      <c r="Q66" s="119" t="n">
        <f aca="false">IF(OR(Calculator!$E$12&lt;&gt;"YES",Calculator!$B$31&lt;Calculator!$G$12),"—",ROUND(MAX((50*POWER(80,POWER(COS(PI()*MOD(Calculator!$B$31/Calculator!$F$12,1)),2)))/$C66,$C66/(50*POWER(80,POWER(COS(PI()*MOD(Calculator!$B$31/Calculator!$F$12,1)),2)))),2))</f>
        <v>1.56</v>
      </c>
      <c r="R66" s="119" t="n">
        <f aca="false">IF(OR(Calculator!$E$13&lt;&gt;"YES",Calculator!$B$31&lt;Calculator!$G$13),"—",ROUND(MAX((50*POWER(80,POWER(COS(PI()*MOD(Calculator!$B$31/Calculator!$F$13,1)),2)))/$C66,$C66/(50*POWER(80,POWER(COS(PI()*MOD(Calculator!$B$31/Calculator!$F$13,1)),2)))),2))</f>
        <v>4.52</v>
      </c>
      <c r="S66" s="119" t="n">
        <f aca="false">IF(OR(Calculator!$E$14&lt;&gt;"YES",Calculator!$B$31&lt;Calculator!$G$14),"—",ROUND(MAX((50*POWER(80,POWER(COS(PI()*MOD(Calculator!$B$31/Calculator!$F$14,1)),2)))/$C66,$C66/(50*POWER(80,POWER(COS(PI()*MOD(Calculator!$B$31/Calculator!$F$14,1)),2)))),2))</f>
        <v>9.44</v>
      </c>
      <c r="T66" s="119" t="n">
        <f aca="false">IF(OR(Calculator!$E$15&lt;&gt;"YES",Calculator!$B$31&lt;Calculator!$G$15),"—",ROUND(MAX((50*POWER(80,POWER(COS(PI()*MOD(Calculator!$B$31/Calculator!$F$15,1)),2)))/$C66,$C66/(50*POWER(80,POWER(COS(PI()*MOD(Calculator!$B$31/Calculator!$F$15,1)),2)))),2))</f>
        <v>5.94</v>
      </c>
      <c r="U66" s="119" t="n">
        <f aca="false">IF(OR(Calculator!$E$16&lt;&gt;"YES",Calculator!$B$31&lt;Calculator!$G$16),"—",ROUND(MAX((50*POWER(80,POWER(COS(PI()*MOD(Calculator!$B$31/Calculator!$F$16,1)),2)))/$C66,$C66/(50*POWER(80,POWER(COS(PI()*MOD(Calculator!$B$31/Calculator!$F$16,1)),2)))),2))</f>
        <v>23.15</v>
      </c>
      <c r="V66" s="119" t="n">
        <f aca="false">IF(OR(Calculator!$E$17&lt;&gt;"YES",Calculator!$B$31&lt;Calculator!$G$17),"—",ROUND(MAX((50*POWER(80,POWER(COS(PI()*MOD(Calculator!$B$31/Calculator!$F$17,1)),2)))/$C66,$C66/(50*POWER(80,POWER(COS(PI()*MOD(Calculator!$B$31/Calculator!$F$17,1)),2)))),2))</f>
        <v>1.23</v>
      </c>
      <c r="W66" s="119" t="n">
        <f aca="false">IF(OR(Calculator!$E$18&lt;&gt;"YES",Calculator!$B$31&lt;Calculator!$G$18),"—",ROUND(MAX((50*POWER(80,POWER(COS(PI()*MOD(Calculator!$B$31/Calculator!$F$18,1)),2)))/$C66,$C66/(50*POWER(80,POWER(COS(PI()*MOD(Calculator!$B$31/Calculator!$F$18,1)),2)))),2))</f>
        <v>1.32</v>
      </c>
      <c r="X66" s="119" t="n">
        <f aca="false">IF(OR(Calculator!$E$19&lt;&gt;"YES",Calculator!$B$31&lt;Calculator!$G$19),"—",ROUND(MAX((50*POWER(80,POWER(COS(PI()*MOD(Calculator!$B$31/Calculator!$F$19,1)),2)))/$C66,$C66/(50*POWER(80,POWER(COS(PI()*MOD(Calculator!$B$31/Calculator!$F$19,1)),2)))),2))</f>
        <v>1.72</v>
      </c>
      <c r="Y66" s="119" t="n">
        <f aca="false">IF(OR(Calculator!$E$20&lt;&gt;"YES",Calculator!$B$31&lt;Calculator!$G$20),"—",ROUND(MAX((50*POWER(80,POWER(COS(PI()*MOD(Calculator!$B$31/Calculator!$F$20,1)),2)))/$C66,$C66/(50*POWER(80,POWER(COS(PI()*MOD(Calculator!$B$31/Calculator!$F$20,1)),2)))),2))</f>
        <v>14.32</v>
      </c>
      <c r="Z66" s="119" t="n">
        <f aca="false">IF(OR(Calculator!$E$21&lt;&gt;"YES",Calculator!$B$31&lt;Calculator!$G$21),"—",ROUND(MAX((50*POWER(80,POWER(COS(PI()*MOD(Calculator!$B$31/Calculator!$F$21,1)),2)))/$C66,$C66/(50*POWER(80,POWER(COS(PI()*MOD(Calculator!$B$31/Calculator!$F$21,1)),2)))),2))</f>
        <v>1.05</v>
      </c>
      <c r="AA66" s="114" t="n">
        <f aca="false">IFERROR(ROUND((IF(ISNUMBER(P66),P66,0)+IF(ISNUMBER(Q66),Q66,0)+IF(ISNUMBER(R66),R66,0)+IF(ISNUMBER(S66),S66,0)+IF(ISNUMBER(T66),T66,0)+IF(ISNUMBER(U66),U66,0)+IF(ISNUMBER(V66),V66,0)+IF(ISNUMBER(W66),W66,0)+IF(ISNUMBER(X66),X66,0)+IF(ISNUMBER(Y66),Y66,0)+IF(ISNUMBER(Z66),Z66,0))/(IF(ISNUMBER(P66),1,0)+IF(ISNUMBER(Q66),1,0)+IF(ISNUMBER(R66),1,0)+IF(ISNUMBER(S66),1,0)+IF(ISNUMBER(T66),1,0)+IF(ISNUMBER(U66),1,0)+IF(ISNUMBER(V66),1,0)+IF(ISNUMBER(W66),1,0)+IF(ISNUMBER(X66),1,0)+IF(ISNUMBER(Y66),1,0)+IF(ISNUMBER(Z66),1,0)),2),"")</f>
        <v>7.61</v>
      </c>
      <c r="AB66" s="119" t="n">
        <f aca="false">IF(OR(Calculator!$E$11&lt;&gt;"YES",Calculator!$B$32&lt;Calculator!$G$11),"—",ROUND(MAX((50*POWER(80,POWER(COS(PI()*MOD(Calculator!$B$32/Calculator!$F$11,1)),2)))/$C66,$C66/(50*POWER(80,POWER(COS(PI()*MOD(Calculator!$B$32/Calculator!$F$11,1)),2)))),2))</f>
        <v>24.53</v>
      </c>
      <c r="AC66" s="119" t="n">
        <f aca="false">IF(OR(Calculator!$E$12&lt;&gt;"YES",Calculator!$B$32&lt;Calculator!$G$12),"—",ROUND(MAX((50*POWER(80,POWER(COS(PI()*MOD(Calculator!$B$32/Calculator!$F$12,1)),2)))/$C66,$C66/(50*POWER(80,POWER(COS(PI()*MOD(Calculator!$B$32/Calculator!$F$12,1)),2)))),2))</f>
        <v>1.18</v>
      </c>
      <c r="AD66" s="119" t="n">
        <f aca="false">IF(OR(Calculator!$E$13&lt;&gt;"YES",Calculator!$B$32&lt;Calculator!$G$13),"—",ROUND(MAX((50*POWER(80,POWER(COS(PI()*MOD(Calculator!$B$32/Calculator!$F$13,1)),2)))/$C66,$C66/(50*POWER(80,POWER(COS(PI()*MOD(Calculator!$B$32/Calculator!$F$13,1)),2)))),2))</f>
        <v>12.52</v>
      </c>
      <c r="AE66" s="119" t="n">
        <f aca="false">IF(OR(Calculator!$E$14&lt;&gt;"YES",Calculator!$B$32&lt;Calculator!$G$14),"—",ROUND(MAX((50*POWER(80,POWER(COS(PI()*MOD(Calculator!$B$32/Calculator!$F$14,1)),2)))/$C66,$C66/(50*POWER(80,POWER(COS(PI()*MOD(Calculator!$B$32/Calculator!$F$14,1)),2)))),2))</f>
        <v>2.29</v>
      </c>
      <c r="AF66" s="119" t="n">
        <f aca="false">IF(OR(Calculator!$E$15&lt;&gt;"YES",Calculator!$B$32&lt;Calculator!$G$15),"—",ROUND(MAX((50*POWER(80,POWER(COS(PI()*MOD(Calculator!$B$32/Calculator!$F$15,1)),2)))/$C66,$C66/(50*POWER(80,POWER(COS(PI()*MOD(Calculator!$B$32/Calculator!$F$15,1)),2)))),2))</f>
        <v>1.14</v>
      </c>
      <c r="AG66" s="119" t="n">
        <f aca="false">IF(OR(Calculator!$E$16&lt;&gt;"YES",Calculator!$B$32&lt;Calculator!$G$16),"—",ROUND(MAX((50*POWER(80,POWER(COS(PI()*MOD(Calculator!$B$32/Calculator!$F$16,1)),2)))/$C66,$C66/(50*POWER(80,POWER(COS(PI()*MOD(Calculator!$B$32/Calculator!$F$16,1)),2)))),2))</f>
        <v>19.99</v>
      </c>
      <c r="AH66" s="119" t="n">
        <f aca="false">IF(OR(Calculator!$E$17&lt;&gt;"YES",Calculator!$B$32&lt;Calculator!$G$17),"—",ROUND(MAX((50*POWER(80,POWER(COS(PI()*MOD(Calculator!$B$32/Calculator!$F$17,1)),2)))/$C66,$C66/(50*POWER(80,POWER(COS(PI()*MOD(Calculator!$B$32/Calculator!$F$17,1)),2)))),2))</f>
        <v>21.1</v>
      </c>
      <c r="AI66" s="119" t="n">
        <f aca="false">IF(OR(Calculator!$E$18&lt;&gt;"YES",Calculator!$B$32&lt;Calculator!$G$18),"—",ROUND(MAX((50*POWER(80,POWER(COS(PI()*MOD(Calculator!$B$32/Calculator!$F$18,1)),2)))/$C66,$C66/(50*POWER(80,POWER(COS(PI()*MOD(Calculator!$B$32/Calculator!$F$18,1)),2)))),2))</f>
        <v>27.83</v>
      </c>
      <c r="AJ66" s="119" t="n">
        <f aca="false">IF(OR(Calculator!$E$19&lt;&gt;"YES",Calculator!$B$32&lt;Calculator!$G$19),"—",ROUND(MAX((50*POWER(80,POWER(COS(PI()*MOD(Calculator!$B$32/Calculator!$F$19,1)),2)))/$C66,$C66/(50*POWER(80,POWER(COS(PI()*MOD(Calculator!$B$32/Calculator!$F$19,1)),2)))),2))</f>
        <v>5.87</v>
      </c>
      <c r="AK66" s="119" t="n">
        <f aca="false">IF(OR(Calculator!$E$20&lt;&gt;"YES",Calculator!$B$32&lt;Calculator!$G$20),"—",ROUND(MAX((50*POWER(80,POWER(COS(PI()*MOD(Calculator!$B$32/Calculator!$F$20,1)),2)))/$C66,$C66/(50*POWER(80,POWER(COS(PI()*MOD(Calculator!$B$32/Calculator!$F$20,1)),2)))),2))</f>
        <v>1.89</v>
      </c>
      <c r="AL66" s="119" t="n">
        <f aca="false">IF(OR(Calculator!$E$21&lt;&gt;"YES",Calculator!$B$32&lt;Calculator!$G$21),"—",ROUND(MAX((50*POWER(80,POWER(COS(PI()*MOD(Calculator!$B$32/Calculator!$F$21,1)),2)))/$C66,$C66/(50*POWER(80,POWER(COS(PI()*MOD(Calculator!$B$32/Calculator!$F$21,1)),2)))),2))</f>
        <v>1.64</v>
      </c>
      <c r="AM66" s="115" t="n">
        <f aca="false">IFERROR(ROUND((IF(ISNUMBER(AB66),AB66,0)+IF(ISNUMBER(AC66),AC66,0)+IF(ISNUMBER(AD66),AD66,0)+IF(ISNUMBER(AE66),AE66,0)+IF(ISNUMBER(AF66),AF66,0)+IF(ISNUMBER(AG66),AG66,0)+IF(ISNUMBER(AH66),AH66,0)+IF(ISNUMBER(AI66),AI66,0)+IF(ISNUMBER(AJ66),AJ66,0)+IF(ISNUMBER(AK66),AK66,0)+IF(ISNUMBER(AL66),AL66,0))/(IF(ISNUMBER(AB66),1,0)+IF(ISNUMBER(AC66),1,0)+IF(ISNUMBER(AD66),1,0)+IF(ISNUMBER(AE66),1,0)+IF(ISNUMBER(AF66),1,0)+IF(ISNUMBER(AG66),1,0)+IF(ISNUMBER(AH66),1,0)+IF(ISNUMBER(AI66),1,0)+IF(ISNUMBER(AJ66),1,0)+IF(ISNUMBER(AK66),1,0)+IF(ISNUMBER(AL66),1,0)),2),"")</f>
        <v>10.91</v>
      </c>
      <c r="AN66" s="120" t="n">
        <f aca="false">IF(OR(Calculator!$E$11&lt;&gt;"YES",Calculator!$B$33&lt;Calculator!$G$11),"—",ROUND(MAX((50*POWER(80,POWER(COS(PI()*MOD(Calculator!$B$33/Calculator!$F$11,1)),2)))/$C66,$C66/(50*POWER(80,POWER(COS(PI()*MOD(Calculator!$B$33/Calculator!$F$11,1)),2)))),2))</f>
        <v>19.72</v>
      </c>
      <c r="AO66" s="120" t="n">
        <f aca="false">IF(OR(Calculator!$E$12&lt;&gt;"YES",Calculator!$B$33&lt;Calculator!$G$12),"—",ROUND(MAX((50*POWER(80,POWER(COS(PI()*MOD(Calculator!$B$33/Calculator!$F$12,1)),2)))/$C66,$C66/(50*POWER(80,POWER(COS(PI()*MOD(Calculator!$B$33/Calculator!$F$12,1)),2)))),2))</f>
        <v>1.51</v>
      </c>
      <c r="AP66" s="120" t="n">
        <f aca="false">IF(OR(Calculator!$E$13&lt;&gt;"YES",Calculator!$B$33&lt;Calculator!$G$13),"—",ROUND(MAX((50*POWER(80,POWER(COS(PI()*MOD(Calculator!$B$33/Calculator!$F$13,1)),2)))/$C66,$C66/(50*POWER(80,POWER(COS(PI()*MOD(Calculator!$B$33/Calculator!$F$13,1)),2)))),2))</f>
        <v>4.76</v>
      </c>
      <c r="AQ66" s="120" t="n">
        <f aca="false">IF(OR(Calculator!$E$14&lt;&gt;"YES",Calculator!$B$33&lt;Calculator!$G$14),"—",ROUND(MAX((50*POWER(80,POWER(COS(PI()*MOD(Calculator!$B$33/Calculator!$F$14,1)),2)))/$C66,$C66/(50*POWER(80,POWER(COS(PI()*MOD(Calculator!$B$33/Calculator!$F$14,1)),2)))),2))</f>
        <v>8.86</v>
      </c>
      <c r="AR66" s="120" t="n">
        <f aca="false">IF(OR(Calculator!$E$15&lt;&gt;"YES",Calculator!$B$33&lt;Calculator!$G$15),"—",ROUND(MAX((50*POWER(80,POWER(COS(PI()*MOD(Calculator!$B$33/Calculator!$F$15,1)),2)))/$C66,$C66/(50*POWER(80,POWER(COS(PI()*MOD(Calculator!$B$33/Calculator!$F$15,1)),2)))),2))</f>
        <v>5.39</v>
      </c>
      <c r="AS66" s="120" t="n">
        <f aca="false">IF(OR(Calculator!$E$16&lt;&gt;"YES",Calculator!$B$33&lt;Calculator!$G$16),"—",ROUND(MAX((50*POWER(80,POWER(COS(PI()*MOD(Calculator!$B$33/Calculator!$F$16,1)),2)))/$C66,$C66/(50*POWER(80,POWER(COS(PI()*MOD(Calculator!$B$33/Calculator!$F$16,1)),2)))),2))</f>
        <v>24.93</v>
      </c>
      <c r="AT66" s="120" t="n">
        <f aca="false">IF(OR(Calculator!$E$17&lt;&gt;"YES",Calculator!$B$33&lt;Calculator!$G$17),"—",ROUND(MAX((50*POWER(80,POWER(COS(PI()*MOD(Calculator!$B$33/Calculator!$F$17,1)),2)))/$C66,$C66/(50*POWER(80,POWER(COS(PI()*MOD(Calculator!$B$33/Calculator!$F$17,1)),2)))),2))</f>
        <v>1.08</v>
      </c>
      <c r="AU66" s="120" t="n">
        <f aca="false">IF(OR(Calculator!$E$18&lt;&gt;"YES",Calculator!$B$33&lt;Calculator!$G$18),"—",ROUND(MAX((50*POWER(80,POWER(COS(PI()*MOD(Calculator!$B$33/Calculator!$F$18,1)),2)))/$C66,$C66/(50*POWER(80,POWER(COS(PI()*MOD(Calculator!$B$33/Calculator!$F$18,1)),2)))),2))</f>
        <v>1.14</v>
      </c>
      <c r="AV66" s="120" t="n">
        <f aca="false">IF(OR(Calculator!$E$19&lt;&gt;"YES",Calculator!$B$33&lt;Calculator!$G$19),"—",ROUND(MAX((50*POWER(80,POWER(COS(PI()*MOD(Calculator!$B$33/Calculator!$F$19,1)),2)))/$C66,$C66/(50*POWER(80,POWER(COS(PI()*MOD(Calculator!$B$33/Calculator!$F$19,1)),2)))),2))</f>
        <v>1.93</v>
      </c>
      <c r="AW66" s="120" t="n">
        <f aca="false">IF(OR(Calculator!$E$20&lt;&gt;"YES",Calculator!$B$33&lt;Calculator!$G$20),"—",ROUND(MAX((50*POWER(80,POWER(COS(PI()*MOD(Calculator!$B$33/Calculator!$F$20,1)),2)))/$C66,$C66/(50*POWER(80,POWER(COS(PI()*MOD(Calculator!$B$33/Calculator!$F$20,1)),2)))),2))</f>
        <v>11.35</v>
      </c>
      <c r="AX66" s="120" t="n">
        <f aca="false">IF(OR(Calculator!$E$21&lt;&gt;"YES",Calculator!$B$33&lt;Calculator!$G$21),"—",ROUND(MAX((50*POWER(80,POWER(COS(PI()*MOD(Calculator!$B$33/Calculator!$F$21,1)),2)))/$C66,$C66/(50*POWER(80,POWER(COS(PI()*MOD(Calculator!$B$33/Calculator!$F$21,1)),2)))),2))</f>
        <v>1.45</v>
      </c>
      <c r="AY66" s="115" t="n">
        <f aca="false">IFERROR(ROUND((IF(ISNUMBER(AN66),AN66,0)+IF(ISNUMBER(AO66),AO66,0)+IF(ISNUMBER(AP66),AP66,0)+IF(ISNUMBER(AQ66),AQ66,0)+IF(ISNUMBER(AR66),AR66,0)+IF(ISNUMBER(AS66),AS66,0)+IF(ISNUMBER(AT66),AT66,0)+IF(ISNUMBER(AU66),AU66,0)+IF(ISNUMBER(AV66),AV66,0)+IF(ISNUMBER(AW66),AW66,0)+IF(ISNUMBER(AX66),AX66,0))/(IF(ISNUMBER(AN66),1,0)+IF(ISNUMBER(AO66),1,0)+IF(ISNUMBER(AP66),1,0)+IF(ISNUMBER(AQ66),1,0)+IF(ISNUMBER(AR66),1,0)+IF(ISNUMBER(AS66),1,0)+IF(ISNUMBER(AT66),1,0)+IF(ISNUMBER(AU66),1,0)+IF(ISNUMBER(AV66),1,0)+IF(ISNUMBER(AW66),1,0)+IF(ISNUMBER(AX66),1,0)),2),"")</f>
        <v>7.47</v>
      </c>
      <c r="AZ66" s="120" t="n">
        <f aca="false">IF(OR(Calculator!$E$11&lt;&gt;"YES",Calculator!$B$34&lt;Calculator!$G$11),"—",ROUND(MAX((50*POWER(80,POWER(COS(PI()*MOD(Calculator!$B$34/Calculator!$F$11,1)),2)))/$C66,$C66/(50*POWER(80,POWER(COS(PI()*MOD(Calculator!$B$34/Calculator!$F$11,1)),2)))),2))</f>
        <v>19.01</v>
      </c>
      <c r="BA66" s="120" t="n">
        <f aca="false">IF(OR(Calculator!$E$12&lt;&gt;"YES",Calculator!$B$34&lt;Calculator!$G$12),"—",ROUND(MAX((50*POWER(80,POWER(COS(PI()*MOD(Calculator!$B$34/Calculator!$F$12,1)),2)))/$C66,$C66/(50*POWER(80,POWER(COS(PI()*MOD(Calculator!$B$34/Calculator!$F$12,1)),2)))),2))</f>
        <v>1.66</v>
      </c>
      <c r="BB66" s="120" t="n">
        <f aca="false">IF(OR(Calculator!$E$13&lt;&gt;"YES",Calculator!$B$34&lt;Calculator!$G$13),"—",ROUND(MAX((50*POWER(80,POWER(COS(PI()*MOD(Calculator!$B$34/Calculator!$F$13,1)),2)))/$C66,$C66/(50*POWER(80,POWER(COS(PI()*MOD(Calculator!$B$34/Calculator!$F$13,1)),2)))),2))</f>
        <v>4.07</v>
      </c>
      <c r="BC66" s="120" t="n">
        <f aca="false">IF(OR(Calculator!$E$14&lt;&gt;"YES",Calculator!$B$34&lt;Calculator!$G$14),"—",ROUND(MAX((50*POWER(80,POWER(COS(PI()*MOD(Calculator!$B$34/Calculator!$F$14,1)),2)))/$C66,$C66/(50*POWER(80,POWER(COS(PI()*MOD(Calculator!$B$34/Calculator!$F$14,1)),2)))),2))</f>
        <v>10.68</v>
      </c>
      <c r="BD66" s="120" t="n">
        <f aca="false">IF(OR(Calculator!$E$15&lt;&gt;"YES",Calculator!$B$34&lt;Calculator!$G$15),"—",ROUND(MAX((50*POWER(80,POWER(COS(PI()*MOD(Calculator!$B$34/Calculator!$F$15,1)),2)))/$C66,$C66/(50*POWER(80,POWER(COS(PI()*MOD(Calculator!$B$34/Calculator!$F$15,1)),2)))),2))</f>
        <v>7.18</v>
      </c>
      <c r="BE66" s="120" t="n">
        <f aca="false">IF(OR(Calculator!$E$16&lt;&gt;"YES",Calculator!$B$34&lt;Calculator!$G$16),"—",ROUND(MAX((50*POWER(80,POWER(COS(PI()*MOD(Calculator!$B$34/Calculator!$F$16,1)),2)))/$C66,$C66/(50*POWER(80,POWER(COS(PI()*MOD(Calculator!$B$34/Calculator!$F$16,1)),2)))),2))</f>
        <v>19.56</v>
      </c>
      <c r="BF66" s="120" t="n">
        <f aca="false">IF(OR(Calculator!$E$17&lt;&gt;"YES",Calculator!$B$34&lt;Calculator!$G$17),"—",ROUND(MAX((50*POWER(80,POWER(COS(PI()*MOD(Calculator!$B$34/Calculator!$F$17,1)),2)))/$C66,$C66/(50*POWER(80,POWER(COS(PI()*MOD(Calculator!$B$34/Calculator!$F$17,1)),2)))),2))</f>
        <v>1.54</v>
      </c>
      <c r="BG66" s="120" t="n">
        <f aca="false">IF(OR(Calculator!$E$18&lt;&gt;"YES",Calculator!$B$34&lt;Calculator!$G$18),"—",ROUND(MAX((50*POWER(80,POWER(COS(PI()*MOD(Calculator!$B$34/Calculator!$F$18,1)),2)))/$C66,$C66/(50*POWER(80,POWER(COS(PI()*MOD(Calculator!$B$34/Calculator!$F$18,1)),2)))),2))</f>
        <v>1.69</v>
      </c>
      <c r="BH66" s="120" t="n">
        <f aca="false">IF(OR(Calculator!$E$19&lt;&gt;"YES",Calculator!$B$34&lt;Calculator!$G$19),"—",ROUND(MAX((50*POWER(80,POWER(COS(PI()*MOD(Calculator!$B$34/Calculator!$F$19,1)),2)))/$C66,$C66/(50*POWER(80,POWER(COS(PI()*MOD(Calculator!$B$34/Calculator!$F$19,1)),2)))),2))</f>
        <v>1.29</v>
      </c>
      <c r="BI66" s="120" t="n">
        <f aca="false">IF(OR(Calculator!$E$20&lt;&gt;"YES",Calculator!$B$34&lt;Calculator!$G$20),"—",ROUND(MAX((50*POWER(80,POWER(COS(PI()*MOD(Calculator!$B$34/Calculator!$F$20,1)),2)))/$C66,$C66/(50*POWER(80,POWER(COS(PI()*MOD(Calculator!$B$34/Calculator!$F$20,1)),2)))),2))</f>
        <v>21.28</v>
      </c>
      <c r="BJ66" s="120" t="n">
        <f aca="false">IF(OR(Calculator!$E$21&lt;&gt;"YES",Calculator!$B$34&lt;Calculator!$G$21),"—",ROUND(MAX((50*POWER(80,POWER(COS(PI()*MOD(Calculator!$B$34/Calculator!$F$21,1)),2)))/$C66,$C66/(50*POWER(80,POWER(COS(PI()*MOD(Calculator!$B$34/Calculator!$F$21,1)),2)))),2))</f>
        <v>1.93</v>
      </c>
      <c r="BK66" s="115" t="n">
        <f aca="false">IFERROR(ROUND((IF(ISNUMBER(AZ66),AZ66,0)+IF(ISNUMBER(BA66),BA66,0)+IF(ISNUMBER(BB66),BB66,0)+IF(ISNUMBER(BC66),BC66,0)+IF(ISNUMBER(BD66),BD66,0)+IF(ISNUMBER(BE66),BE66,0)+IF(ISNUMBER(BF66),BF66,0)+IF(ISNUMBER(BG66),BG66,0)+IF(ISNUMBER(BH66),BH66,0)+IF(ISNUMBER(BI66),BI66,0)+IF(ISNUMBER(BJ66),BJ66,0))/(IF(ISNUMBER(AZ66),1,0)+IF(ISNUMBER(BA66),1,0)+IF(ISNUMBER(BB66),1,0)+IF(ISNUMBER(BC66),1,0)+IF(ISNUMBER(BD66),1,0)+IF(ISNUMBER(BE66),1,0)+IF(ISNUMBER(BF66),1,0)+IF(ISNUMBER(BG66),1,0)+IF(ISNUMBER(BH66),1,0)+IF(ISNUMBER(BI66),1,0)+IF(ISNUMBER(BJ66),1,0)),2),"")</f>
        <v>8.17</v>
      </c>
    </row>
    <row r="67" customFormat="false" ht="15" hidden="false" customHeight="false" outlineLevel="0" collapsed="false">
      <c r="A67" s="87" t="s">
        <v>125</v>
      </c>
      <c r="B67" s="87" t="s">
        <v>93</v>
      </c>
      <c r="C67" s="90" t="n">
        <v>1750</v>
      </c>
      <c r="D67" s="91" t="n">
        <f aca="false">IF(OR(Calculator!$E$11&lt;&gt;"YES",Calculator!$B$30&lt;Calculator!$G$11),"—",ROUND(MAX((50*POWER(80,POWER(COS(PI()*MOD(Calculator!$B$30/Calculator!$F$11,1)),2)))/$C67,$C67/(50*POWER(80,POWER(COS(PI()*MOD(Calculator!$B$30/Calculator!$F$11,1)),2)))),2))</f>
        <v>19.81</v>
      </c>
      <c r="E67" s="91" t="n">
        <f aca="false">IF(OR(Calculator!$E$12&lt;&gt;"YES",Calculator!$B$30&lt;Calculator!$G$12),"—",ROUND(MAX((50*POWER(80,POWER(COS(PI()*MOD(Calculator!$B$30/Calculator!$F$12,1)),2)))/$C67,$C67/(50*POWER(80,POWER(COS(PI()*MOD(Calculator!$B$30/Calculator!$F$12,1)),2)))),2))</f>
        <v>1.66</v>
      </c>
      <c r="F67" s="91" t="n">
        <f aca="false">IF(OR(Calculator!$E$13&lt;&gt;"YES",Calculator!$B$30&lt;Calculator!$G$13),"—",ROUND(MAX((50*POWER(80,POWER(COS(PI()*MOD(Calculator!$B$30/Calculator!$F$13,1)),2)))/$C67,$C67/(50*POWER(80,POWER(COS(PI()*MOD(Calculator!$B$30/Calculator!$F$13,1)),2)))),2))</f>
        <v>4.42</v>
      </c>
      <c r="G67" s="91" t="n">
        <f aca="false">IF(OR(Calculator!$E$14&lt;&gt;"YES",Calculator!$B$30&lt;Calculator!$G$14),"—",ROUND(MAX((50*POWER(80,POWER(COS(PI()*MOD(Calculator!$B$30/Calculator!$F$14,1)),2)))/$C67,$C67/(50*POWER(80,POWER(COS(PI()*MOD(Calculator!$B$30/Calculator!$F$14,1)),2)))),2))</f>
        <v>10.34</v>
      </c>
      <c r="H67" s="91" t="n">
        <f aca="false">IF(OR(Calculator!$E$15&lt;&gt;"YES",Calculator!$B$30&lt;Calculator!$G$15),"—",ROUND(MAX((50*POWER(80,POWER(COS(PI()*MOD(Calculator!$B$30/Calculator!$F$15,1)),2)))/$C67,$C67/(50*POWER(80,POWER(COS(PI()*MOD(Calculator!$B$30/Calculator!$F$15,1)),2)))),2))</f>
        <v>6.72</v>
      </c>
      <c r="I67" s="91" t="n">
        <f aca="false">IF(OR(Calculator!$E$16&lt;&gt;"YES",Calculator!$B$30&lt;Calculator!$G$16),"—",ROUND(MAX((50*POWER(80,POWER(COS(PI()*MOD(Calculator!$B$30/Calculator!$F$16,1)),2)))/$C67,$C67/(50*POWER(80,POWER(COS(PI()*MOD(Calculator!$B$30/Calculator!$F$16,1)),2)))),2))</f>
        <v>21.98</v>
      </c>
      <c r="J67" s="91" t="n">
        <f aca="false">IF(OR(Calculator!$E$17&lt;&gt;"YES",Calculator!$B$30&lt;Calculator!$G$17),"—",ROUND(MAX((50*POWER(80,POWER(COS(PI()*MOD(Calculator!$B$30/Calculator!$F$17,1)),2)))/$C67,$C67/(50*POWER(80,POWER(COS(PI()*MOD(Calculator!$B$30/Calculator!$F$17,1)),2)))),2))</f>
        <v>1.34</v>
      </c>
      <c r="K67" s="91" t="n">
        <f aca="false">IF(OR(Calculator!$E$18&lt;&gt;"YES",Calculator!$B$30&lt;Calculator!$G$18),"—",ROUND(MAX((50*POWER(80,POWER(COS(PI()*MOD(Calculator!$B$30/Calculator!$F$18,1)),2)))/$C67,$C67/(50*POWER(80,POWER(COS(PI()*MOD(Calculator!$B$30/Calculator!$F$18,1)),2)))),2))</f>
        <v>1.46</v>
      </c>
      <c r="L67" s="91" t="n">
        <f aca="false">IF(OR(Calculator!$E$19&lt;&gt;"YES",Calculator!$B$30&lt;Calculator!$G$19),"—",ROUND(MAX((50*POWER(80,POWER(COS(PI()*MOD(Calculator!$B$30/Calculator!$F$19,1)),2)))/$C67,$C67/(50*POWER(80,POWER(COS(PI()*MOD(Calculator!$B$30/Calculator!$F$19,1)),2)))),2))</f>
        <v>1.46</v>
      </c>
      <c r="M67" s="91" t="n">
        <f aca="false">IF(OR(Calculator!$E$20&lt;&gt;"YES",Calculator!$B$30&lt;Calculator!$G$20),"—",ROUND(MAX((50*POWER(80,POWER(COS(PI()*MOD(Calculator!$B$30/Calculator!$F$20,1)),2)))/$C67,$C67/(50*POWER(80,POWER(COS(PI()*MOD(Calculator!$B$30/Calculator!$F$20,1)),2)))),2))</f>
        <v>18.19</v>
      </c>
      <c r="N67" s="91" t="n">
        <f aca="false">IF(OR(Calculator!$E$21&lt;&gt;"YES",Calculator!$B$30&lt;Calculator!$G$21),"—",ROUND(MAX((50*POWER(80,POWER(COS(PI()*MOD(Calculator!$B$30/Calculator!$F$21,1)),2)))/$C67,$C67/(50*POWER(80,POWER(COS(PI()*MOD(Calculator!$B$30/Calculator!$F$21,1)),2)))),2))</f>
        <v>1.45</v>
      </c>
      <c r="O67" s="114" t="n">
        <f aca="false">IFERROR(ROUND((IF(ISNUMBER(D67),D67,0)+IF(ISNUMBER(E67),E67,0)+IF(ISNUMBER(F67),F67,0)+IF(ISNUMBER(G67),G67,0)+IF(ISNUMBER(H67),H67,0)+IF(ISNUMBER(I67),I67,0)+IF(ISNUMBER(J67),J67,0)+IF(ISNUMBER(K67),K67,0)+IF(ISNUMBER(L67),L67,0)+IF(ISNUMBER(M67),M67,0)+IF(ISNUMBER(N67),N67,0))/(IF(ISNUMBER(D67),1,0)+IF(ISNUMBER(E67),1,0)+IF(ISNUMBER(F67),1,0)+IF(ISNUMBER(G67),1,0)+IF(ISNUMBER(H67),1,0)+IF(ISNUMBER(I67),1,0)+IF(ISNUMBER(J67),1,0)+IF(ISNUMBER(K67),1,0)+IF(ISNUMBER(L67),1,0)+IF(ISNUMBER(M67),1,0)+IF(ISNUMBER(N67),1,0)),2),"")</f>
        <v>8.08</v>
      </c>
      <c r="P67" s="91" t="n">
        <f aca="false">IF(OR(Calculator!$E$11&lt;&gt;"YES",Calculator!$B$31&lt;Calculator!$G$11),"—",ROUND(MAX((50*POWER(80,POWER(COS(PI()*MOD(Calculator!$B$31/Calculator!$F$11,1)),2)))/$C67,$C67/(50*POWER(80,POWER(COS(PI()*MOD(Calculator!$B$31/Calculator!$F$11,1)),2)))),2))</f>
        <v>20.06</v>
      </c>
      <c r="Q67" s="91" t="n">
        <f aca="false">IF(OR(Calculator!$E$12&lt;&gt;"YES",Calculator!$B$31&lt;Calculator!$G$12),"—",ROUND(MAX((50*POWER(80,POWER(COS(PI()*MOD(Calculator!$B$31/Calculator!$F$12,1)),2)))/$C67,$C67/(50*POWER(80,POWER(COS(PI()*MOD(Calculator!$B$31/Calculator!$F$12,1)),2)))),2))</f>
        <v>1.61</v>
      </c>
      <c r="R67" s="91" t="n">
        <f aca="false">IF(OR(Calculator!$E$13&lt;&gt;"YES",Calculator!$B$31&lt;Calculator!$G$13),"—",ROUND(MAX((50*POWER(80,POWER(COS(PI()*MOD(Calculator!$B$31/Calculator!$F$13,1)),2)))/$C67,$C67/(50*POWER(80,POWER(COS(PI()*MOD(Calculator!$B$31/Calculator!$F$13,1)),2)))),2))</f>
        <v>4.65</v>
      </c>
      <c r="S67" s="91" t="n">
        <f aca="false">IF(OR(Calculator!$E$14&lt;&gt;"YES",Calculator!$B$31&lt;Calculator!$G$14),"—",ROUND(MAX((50*POWER(80,POWER(COS(PI()*MOD(Calculator!$B$31/Calculator!$F$14,1)),2)))/$C67,$C67/(50*POWER(80,POWER(COS(PI()*MOD(Calculator!$B$31/Calculator!$F$14,1)),2)))),2))</f>
        <v>9.71</v>
      </c>
      <c r="T67" s="91" t="n">
        <f aca="false">IF(OR(Calculator!$E$15&lt;&gt;"YES",Calculator!$B$31&lt;Calculator!$G$15),"—",ROUND(MAX((50*POWER(80,POWER(COS(PI()*MOD(Calculator!$B$31/Calculator!$F$15,1)),2)))/$C67,$C67/(50*POWER(80,POWER(COS(PI()*MOD(Calculator!$B$31/Calculator!$F$15,1)),2)))),2))</f>
        <v>6.11</v>
      </c>
      <c r="U67" s="91" t="n">
        <f aca="false">IF(OR(Calculator!$E$16&lt;&gt;"YES",Calculator!$B$31&lt;Calculator!$G$16),"—",ROUND(MAX((50*POWER(80,POWER(COS(PI()*MOD(Calculator!$B$31/Calculator!$F$16,1)),2)))/$C67,$C67/(50*POWER(80,POWER(COS(PI()*MOD(Calculator!$B$31/Calculator!$F$16,1)),2)))),2))</f>
        <v>23.84</v>
      </c>
      <c r="V67" s="91" t="n">
        <f aca="false">IF(OR(Calculator!$E$17&lt;&gt;"YES",Calculator!$B$31&lt;Calculator!$G$17),"—",ROUND(MAX((50*POWER(80,POWER(COS(PI()*MOD(Calculator!$B$31/Calculator!$F$17,1)),2)))/$C67,$C67/(50*POWER(80,POWER(COS(PI()*MOD(Calculator!$B$31/Calculator!$F$17,1)),2)))),2))</f>
        <v>1.19</v>
      </c>
      <c r="W67" s="91" t="n">
        <f aca="false">IF(OR(Calculator!$E$18&lt;&gt;"YES",Calculator!$B$31&lt;Calculator!$G$18),"—",ROUND(MAX((50*POWER(80,POWER(COS(PI()*MOD(Calculator!$B$31/Calculator!$F$18,1)),2)))/$C67,$C67/(50*POWER(80,POWER(COS(PI()*MOD(Calculator!$B$31/Calculator!$F$18,1)),2)))),2))</f>
        <v>1.28</v>
      </c>
      <c r="X67" s="91" t="n">
        <f aca="false">IF(OR(Calculator!$E$19&lt;&gt;"YES",Calculator!$B$31&lt;Calculator!$G$19),"—",ROUND(MAX((50*POWER(80,POWER(COS(PI()*MOD(Calculator!$B$31/Calculator!$F$19,1)),2)))/$C67,$C67/(50*POWER(80,POWER(COS(PI()*MOD(Calculator!$B$31/Calculator!$F$19,1)),2)))),2))</f>
        <v>1.68</v>
      </c>
      <c r="Y67" s="91" t="n">
        <f aca="false">IF(OR(Calculator!$E$20&lt;&gt;"YES",Calculator!$B$31&lt;Calculator!$G$20),"—",ROUND(MAX((50*POWER(80,POWER(COS(PI()*MOD(Calculator!$B$31/Calculator!$F$20,1)),2)))/$C67,$C67/(50*POWER(80,POWER(COS(PI()*MOD(Calculator!$B$31/Calculator!$F$20,1)),2)))),2))</f>
        <v>14.74</v>
      </c>
      <c r="Z67" s="91" t="n">
        <f aca="false">IF(OR(Calculator!$E$21&lt;&gt;"YES",Calculator!$B$31&lt;Calculator!$G$21),"—",ROUND(MAX((50*POWER(80,POWER(COS(PI()*MOD(Calculator!$B$31/Calculator!$F$21,1)),2)))/$C67,$C67/(50*POWER(80,POWER(COS(PI()*MOD(Calculator!$B$31/Calculator!$F$21,1)),2)))),2))</f>
        <v>1.02</v>
      </c>
      <c r="AA67" s="114" t="n">
        <f aca="false">IFERROR(ROUND((IF(ISNUMBER(P67),P67,0)+IF(ISNUMBER(Q67),Q67,0)+IF(ISNUMBER(R67),R67,0)+IF(ISNUMBER(S67),S67,0)+IF(ISNUMBER(T67),T67,0)+IF(ISNUMBER(U67),U67,0)+IF(ISNUMBER(V67),V67,0)+IF(ISNUMBER(W67),W67,0)+IF(ISNUMBER(X67),X67,0)+IF(ISNUMBER(Y67),Y67,0)+IF(ISNUMBER(Z67),Z67,0))/(IF(ISNUMBER(P67),1,0)+IF(ISNUMBER(Q67),1,0)+IF(ISNUMBER(R67),1,0)+IF(ISNUMBER(S67),1,0)+IF(ISNUMBER(T67),1,0)+IF(ISNUMBER(U67),1,0)+IF(ISNUMBER(V67),1,0)+IF(ISNUMBER(W67),1,0)+IF(ISNUMBER(X67),1,0)+IF(ISNUMBER(Y67),1,0)+IF(ISNUMBER(Z67),1,0)),2),"")</f>
        <v>7.81</v>
      </c>
      <c r="AB67" s="91" t="n">
        <f aca="false">IF(OR(Calculator!$E$11&lt;&gt;"YES",Calculator!$B$32&lt;Calculator!$G$11),"—",ROUND(MAX((50*POWER(80,POWER(COS(PI()*MOD(Calculator!$B$32/Calculator!$F$11,1)),2)))/$C67,$C67/(50*POWER(80,POWER(COS(PI()*MOD(Calculator!$B$32/Calculator!$F$11,1)),2)))),2))</f>
        <v>25.25</v>
      </c>
      <c r="AC67" s="91" t="n">
        <f aca="false">IF(OR(Calculator!$E$12&lt;&gt;"YES",Calculator!$B$32&lt;Calculator!$G$12),"—",ROUND(MAX((50*POWER(80,POWER(COS(PI()*MOD(Calculator!$B$32/Calculator!$F$12,1)),2)))/$C67,$C67/(50*POWER(80,POWER(COS(PI()*MOD(Calculator!$B$32/Calculator!$F$12,1)),2)))),2))</f>
        <v>1.15</v>
      </c>
      <c r="AD67" s="91" t="n">
        <f aca="false">IF(OR(Calculator!$E$13&lt;&gt;"YES",Calculator!$B$32&lt;Calculator!$G$13),"—",ROUND(MAX((50*POWER(80,POWER(COS(PI()*MOD(Calculator!$B$32/Calculator!$F$13,1)),2)))/$C67,$C67/(50*POWER(80,POWER(COS(PI()*MOD(Calculator!$B$32/Calculator!$F$13,1)),2)))),2))</f>
        <v>12.89</v>
      </c>
      <c r="AE67" s="91" t="n">
        <f aca="false">IF(OR(Calculator!$E$14&lt;&gt;"YES",Calculator!$B$32&lt;Calculator!$G$14),"—",ROUND(MAX((50*POWER(80,POWER(COS(PI()*MOD(Calculator!$B$32/Calculator!$F$14,1)),2)))/$C67,$C67/(50*POWER(80,POWER(COS(PI()*MOD(Calculator!$B$32/Calculator!$F$14,1)),2)))),2))</f>
        <v>2.35</v>
      </c>
      <c r="AF67" s="91" t="n">
        <f aca="false">IF(OR(Calculator!$E$15&lt;&gt;"YES",Calculator!$B$32&lt;Calculator!$G$15),"—",ROUND(MAX((50*POWER(80,POWER(COS(PI()*MOD(Calculator!$B$32/Calculator!$F$15,1)),2)))/$C67,$C67/(50*POWER(80,POWER(COS(PI()*MOD(Calculator!$B$32/Calculator!$F$15,1)),2)))),2))</f>
        <v>1.11</v>
      </c>
      <c r="AG67" s="91" t="n">
        <f aca="false">IF(OR(Calculator!$E$16&lt;&gt;"YES",Calculator!$B$32&lt;Calculator!$G$16),"—",ROUND(MAX((50*POWER(80,POWER(COS(PI()*MOD(Calculator!$B$32/Calculator!$F$16,1)),2)))/$C67,$C67/(50*POWER(80,POWER(COS(PI()*MOD(Calculator!$B$32/Calculator!$F$16,1)),2)))),2))</f>
        <v>20.57</v>
      </c>
      <c r="AH67" s="91" t="n">
        <f aca="false">IF(OR(Calculator!$E$17&lt;&gt;"YES",Calculator!$B$32&lt;Calculator!$G$17),"—",ROUND(MAX((50*POWER(80,POWER(COS(PI()*MOD(Calculator!$B$32/Calculator!$F$17,1)),2)))/$C67,$C67/(50*POWER(80,POWER(COS(PI()*MOD(Calculator!$B$32/Calculator!$F$17,1)),2)))),2))</f>
        <v>21.72</v>
      </c>
      <c r="AI67" s="91" t="n">
        <f aca="false">IF(OR(Calculator!$E$18&lt;&gt;"YES",Calculator!$B$32&lt;Calculator!$G$18),"—",ROUND(MAX((50*POWER(80,POWER(COS(PI()*MOD(Calculator!$B$32/Calculator!$F$18,1)),2)))/$C67,$C67/(50*POWER(80,POWER(COS(PI()*MOD(Calculator!$B$32/Calculator!$F$18,1)),2)))),2))</f>
        <v>28.65</v>
      </c>
      <c r="AJ67" s="91" t="n">
        <f aca="false">IF(OR(Calculator!$E$19&lt;&gt;"YES",Calculator!$B$32&lt;Calculator!$G$19),"—",ROUND(MAX((50*POWER(80,POWER(COS(PI()*MOD(Calculator!$B$32/Calculator!$F$19,1)),2)))/$C67,$C67/(50*POWER(80,POWER(COS(PI()*MOD(Calculator!$B$32/Calculator!$F$19,1)),2)))),2))</f>
        <v>6.04</v>
      </c>
      <c r="AK67" s="91" t="n">
        <f aca="false">IF(OR(Calculator!$E$20&lt;&gt;"YES",Calculator!$B$32&lt;Calculator!$G$20),"—",ROUND(MAX((50*POWER(80,POWER(COS(PI()*MOD(Calculator!$B$32/Calculator!$F$20,1)),2)))/$C67,$C67/(50*POWER(80,POWER(COS(PI()*MOD(Calculator!$B$32/Calculator!$F$20,1)),2)))),2))</f>
        <v>1.84</v>
      </c>
      <c r="AL67" s="91" t="n">
        <f aca="false">IF(OR(Calculator!$E$21&lt;&gt;"YES",Calculator!$B$32&lt;Calculator!$G$21),"—",ROUND(MAX((50*POWER(80,POWER(COS(PI()*MOD(Calculator!$B$32/Calculator!$F$21,1)),2)))/$C67,$C67/(50*POWER(80,POWER(COS(PI()*MOD(Calculator!$B$32/Calculator!$F$21,1)),2)))),2))</f>
        <v>1.59</v>
      </c>
      <c r="AM67" s="115" t="n">
        <f aca="false">IFERROR(ROUND((IF(ISNUMBER(AB67),AB67,0)+IF(ISNUMBER(AC67),AC67,0)+IF(ISNUMBER(AD67),AD67,0)+IF(ISNUMBER(AE67),AE67,0)+IF(ISNUMBER(AF67),AF67,0)+IF(ISNUMBER(AG67),AG67,0)+IF(ISNUMBER(AH67),AH67,0)+IF(ISNUMBER(AI67),AI67,0)+IF(ISNUMBER(AJ67),AJ67,0)+IF(ISNUMBER(AK67),AK67,0)+IF(ISNUMBER(AL67),AL67,0))/(IF(ISNUMBER(AB67),1,0)+IF(ISNUMBER(AC67),1,0)+IF(ISNUMBER(AD67),1,0)+IF(ISNUMBER(AE67),1,0)+IF(ISNUMBER(AF67),1,0)+IF(ISNUMBER(AG67),1,0)+IF(ISNUMBER(AH67),1,0)+IF(ISNUMBER(AI67),1,0)+IF(ISNUMBER(AJ67),1,0)+IF(ISNUMBER(AK67),1,0)+IF(ISNUMBER(AL67),1,0)),2),"")</f>
        <v>11.2</v>
      </c>
      <c r="AN67" s="116" t="n">
        <f aca="false">IF(OR(Calculator!$E$11&lt;&gt;"YES",Calculator!$B$33&lt;Calculator!$G$11),"—",ROUND(MAX((50*POWER(80,POWER(COS(PI()*MOD(Calculator!$B$33/Calculator!$F$11,1)),2)))/$C67,$C67/(50*POWER(80,POWER(COS(PI()*MOD(Calculator!$B$33/Calculator!$F$11,1)),2)))),2))</f>
        <v>20.31</v>
      </c>
      <c r="AO67" s="116" t="n">
        <f aca="false">IF(OR(Calculator!$E$12&lt;&gt;"YES",Calculator!$B$33&lt;Calculator!$G$12),"—",ROUND(MAX((50*POWER(80,POWER(COS(PI()*MOD(Calculator!$B$33/Calculator!$F$12,1)),2)))/$C67,$C67/(50*POWER(80,POWER(COS(PI()*MOD(Calculator!$B$33/Calculator!$F$12,1)),2)))),2))</f>
        <v>1.56</v>
      </c>
      <c r="AP67" s="116" t="n">
        <f aca="false">IF(OR(Calculator!$E$13&lt;&gt;"YES",Calculator!$B$33&lt;Calculator!$G$13),"—",ROUND(MAX((50*POWER(80,POWER(COS(PI()*MOD(Calculator!$B$33/Calculator!$F$13,1)),2)))/$C67,$C67/(50*POWER(80,POWER(COS(PI()*MOD(Calculator!$B$33/Calculator!$F$13,1)),2)))),2))</f>
        <v>4.9</v>
      </c>
      <c r="AQ67" s="116" t="n">
        <f aca="false">IF(OR(Calculator!$E$14&lt;&gt;"YES",Calculator!$B$33&lt;Calculator!$G$14),"—",ROUND(MAX((50*POWER(80,POWER(COS(PI()*MOD(Calculator!$B$33/Calculator!$F$14,1)),2)))/$C67,$C67/(50*POWER(80,POWER(COS(PI()*MOD(Calculator!$B$33/Calculator!$F$14,1)),2)))),2))</f>
        <v>9.12</v>
      </c>
      <c r="AR67" s="116" t="n">
        <f aca="false">IF(OR(Calculator!$E$15&lt;&gt;"YES",Calculator!$B$33&lt;Calculator!$G$15),"—",ROUND(MAX((50*POWER(80,POWER(COS(PI()*MOD(Calculator!$B$33/Calculator!$F$15,1)),2)))/$C67,$C67/(50*POWER(80,POWER(COS(PI()*MOD(Calculator!$B$33/Calculator!$F$15,1)),2)))),2))</f>
        <v>5.55</v>
      </c>
      <c r="AS67" s="116" t="n">
        <f aca="false">IF(OR(Calculator!$E$16&lt;&gt;"YES",Calculator!$B$33&lt;Calculator!$G$16),"—",ROUND(MAX((50*POWER(80,POWER(COS(PI()*MOD(Calculator!$B$33/Calculator!$F$16,1)),2)))/$C67,$C67/(50*POWER(80,POWER(COS(PI()*MOD(Calculator!$B$33/Calculator!$F$16,1)),2)))),2))</f>
        <v>25.66</v>
      </c>
      <c r="AT67" s="116" t="n">
        <f aca="false">IF(OR(Calculator!$E$17&lt;&gt;"YES",Calculator!$B$33&lt;Calculator!$G$17),"—",ROUND(MAX((50*POWER(80,POWER(COS(PI()*MOD(Calculator!$B$33/Calculator!$F$17,1)),2)))/$C67,$C67/(50*POWER(80,POWER(COS(PI()*MOD(Calculator!$B$33/Calculator!$F$17,1)),2)))),2))</f>
        <v>1.05</v>
      </c>
      <c r="AU67" s="116" t="n">
        <f aca="false">IF(OR(Calculator!$E$18&lt;&gt;"YES",Calculator!$B$33&lt;Calculator!$G$18),"—",ROUND(MAX((50*POWER(80,POWER(COS(PI()*MOD(Calculator!$B$33/Calculator!$F$18,1)),2)))/$C67,$C67/(50*POWER(80,POWER(COS(PI()*MOD(Calculator!$B$33/Calculator!$F$18,1)),2)))),2))</f>
        <v>1.1</v>
      </c>
      <c r="AV67" s="116" t="n">
        <f aca="false">IF(OR(Calculator!$E$19&lt;&gt;"YES",Calculator!$B$33&lt;Calculator!$G$19),"—",ROUND(MAX((50*POWER(80,POWER(COS(PI()*MOD(Calculator!$B$33/Calculator!$F$19,1)),2)))/$C67,$C67/(50*POWER(80,POWER(COS(PI()*MOD(Calculator!$B$33/Calculator!$F$19,1)),2)))),2))</f>
        <v>1.87</v>
      </c>
      <c r="AW67" s="116" t="n">
        <f aca="false">IF(OR(Calculator!$E$20&lt;&gt;"YES",Calculator!$B$33&lt;Calculator!$G$20),"—",ROUND(MAX((50*POWER(80,POWER(COS(PI()*MOD(Calculator!$B$33/Calculator!$F$20,1)),2)))/$C67,$C67/(50*POWER(80,POWER(COS(PI()*MOD(Calculator!$B$33/Calculator!$F$20,1)),2)))),2))</f>
        <v>11.69</v>
      </c>
      <c r="AX67" s="116" t="n">
        <f aca="false">IF(OR(Calculator!$E$21&lt;&gt;"YES",Calculator!$B$33&lt;Calculator!$G$21),"—",ROUND(MAX((50*POWER(80,POWER(COS(PI()*MOD(Calculator!$B$33/Calculator!$F$21,1)),2)))/$C67,$C67/(50*POWER(80,POWER(COS(PI()*MOD(Calculator!$B$33/Calculator!$F$21,1)),2)))),2))</f>
        <v>1.49</v>
      </c>
      <c r="AY67" s="115" t="n">
        <f aca="false">IFERROR(ROUND((IF(ISNUMBER(AN67),AN67,0)+IF(ISNUMBER(AO67),AO67,0)+IF(ISNUMBER(AP67),AP67,0)+IF(ISNUMBER(AQ67),AQ67,0)+IF(ISNUMBER(AR67),AR67,0)+IF(ISNUMBER(AS67),AS67,0)+IF(ISNUMBER(AT67),AT67,0)+IF(ISNUMBER(AU67),AU67,0)+IF(ISNUMBER(AV67),AV67,0)+IF(ISNUMBER(AW67),AW67,0)+IF(ISNUMBER(AX67),AX67,0))/(IF(ISNUMBER(AN67),1,0)+IF(ISNUMBER(AO67),1,0)+IF(ISNUMBER(AP67),1,0)+IF(ISNUMBER(AQ67),1,0)+IF(ISNUMBER(AR67),1,0)+IF(ISNUMBER(AS67),1,0)+IF(ISNUMBER(AT67),1,0)+IF(ISNUMBER(AU67),1,0)+IF(ISNUMBER(AV67),1,0)+IF(ISNUMBER(AW67),1,0)+IF(ISNUMBER(AX67),1,0)),2),"")</f>
        <v>7.66</v>
      </c>
      <c r="AZ67" s="116" t="n">
        <f aca="false">IF(OR(Calculator!$E$11&lt;&gt;"YES",Calculator!$B$34&lt;Calculator!$G$11),"—",ROUND(MAX((50*POWER(80,POWER(COS(PI()*MOD(Calculator!$B$34/Calculator!$F$11,1)),2)))/$C67,$C67/(50*POWER(80,POWER(COS(PI()*MOD(Calculator!$B$34/Calculator!$F$11,1)),2)))),2))</f>
        <v>19.57</v>
      </c>
      <c r="BA67" s="116" t="n">
        <f aca="false">IF(OR(Calculator!$E$12&lt;&gt;"YES",Calculator!$B$34&lt;Calculator!$G$12),"—",ROUND(MAX((50*POWER(80,POWER(COS(PI()*MOD(Calculator!$B$34/Calculator!$F$12,1)),2)))/$C67,$C67/(50*POWER(80,POWER(COS(PI()*MOD(Calculator!$B$34/Calculator!$F$12,1)),2)))),2))</f>
        <v>1.71</v>
      </c>
      <c r="BB67" s="116" t="n">
        <f aca="false">IF(OR(Calculator!$E$13&lt;&gt;"YES",Calculator!$B$34&lt;Calculator!$G$13),"—",ROUND(MAX((50*POWER(80,POWER(COS(PI()*MOD(Calculator!$B$34/Calculator!$F$13,1)),2)))/$C67,$C67/(50*POWER(80,POWER(COS(PI()*MOD(Calculator!$B$34/Calculator!$F$13,1)),2)))),2))</f>
        <v>4.19</v>
      </c>
      <c r="BC67" s="116" t="n">
        <f aca="false">IF(OR(Calculator!$E$14&lt;&gt;"YES",Calculator!$B$34&lt;Calculator!$G$14),"—",ROUND(MAX((50*POWER(80,POWER(COS(PI()*MOD(Calculator!$B$34/Calculator!$F$14,1)),2)))/$C67,$C67/(50*POWER(80,POWER(COS(PI()*MOD(Calculator!$B$34/Calculator!$F$14,1)),2)))),2))</f>
        <v>10.99</v>
      </c>
      <c r="BD67" s="116" t="n">
        <f aca="false">IF(OR(Calculator!$E$15&lt;&gt;"YES",Calculator!$B$34&lt;Calculator!$G$15),"—",ROUND(MAX((50*POWER(80,POWER(COS(PI()*MOD(Calculator!$B$34/Calculator!$F$15,1)),2)))/$C67,$C67/(50*POWER(80,POWER(COS(PI()*MOD(Calculator!$B$34/Calculator!$F$15,1)),2)))),2))</f>
        <v>7.39</v>
      </c>
      <c r="BE67" s="116" t="n">
        <f aca="false">IF(OR(Calculator!$E$16&lt;&gt;"YES",Calculator!$B$34&lt;Calculator!$G$16),"—",ROUND(MAX((50*POWER(80,POWER(COS(PI()*MOD(Calculator!$B$34/Calculator!$F$16,1)),2)))/$C67,$C67/(50*POWER(80,POWER(COS(PI()*MOD(Calculator!$B$34/Calculator!$F$16,1)),2)))),2))</f>
        <v>20.14</v>
      </c>
      <c r="BF67" s="116" t="n">
        <f aca="false">IF(OR(Calculator!$E$17&lt;&gt;"YES",Calculator!$B$34&lt;Calculator!$G$17),"—",ROUND(MAX((50*POWER(80,POWER(COS(PI()*MOD(Calculator!$B$34/Calculator!$F$17,1)),2)))/$C67,$C67/(50*POWER(80,POWER(COS(PI()*MOD(Calculator!$B$34/Calculator!$F$17,1)),2)))),2))</f>
        <v>1.5</v>
      </c>
      <c r="BG67" s="116" t="n">
        <f aca="false">IF(OR(Calculator!$E$18&lt;&gt;"YES",Calculator!$B$34&lt;Calculator!$G$18),"—",ROUND(MAX((50*POWER(80,POWER(COS(PI()*MOD(Calculator!$B$34/Calculator!$F$18,1)),2)))/$C67,$C67/(50*POWER(80,POWER(COS(PI()*MOD(Calculator!$B$34/Calculator!$F$18,1)),2)))),2))</f>
        <v>1.64</v>
      </c>
      <c r="BH67" s="116" t="n">
        <f aca="false">IF(OR(Calculator!$E$19&lt;&gt;"YES",Calculator!$B$34&lt;Calculator!$G$19),"—",ROUND(MAX((50*POWER(80,POWER(COS(PI()*MOD(Calculator!$B$34/Calculator!$F$19,1)),2)))/$C67,$C67/(50*POWER(80,POWER(COS(PI()*MOD(Calculator!$B$34/Calculator!$F$19,1)),2)))),2))</f>
        <v>1.25</v>
      </c>
      <c r="BI67" s="116" t="n">
        <f aca="false">IF(OR(Calculator!$E$20&lt;&gt;"YES",Calculator!$B$34&lt;Calculator!$G$20),"—",ROUND(MAX((50*POWER(80,POWER(COS(PI()*MOD(Calculator!$B$34/Calculator!$F$20,1)),2)))/$C67,$C67/(50*POWER(80,POWER(COS(PI()*MOD(Calculator!$B$34/Calculator!$F$20,1)),2)))),2))</f>
        <v>21.91</v>
      </c>
      <c r="BJ67" s="116" t="n">
        <f aca="false">IF(OR(Calculator!$E$21&lt;&gt;"YES",Calculator!$B$34&lt;Calculator!$G$21),"—",ROUND(MAX((50*POWER(80,POWER(COS(PI()*MOD(Calculator!$B$34/Calculator!$F$21,1)),2)))/$C67,$C67/(50*POWER(80,POWER(COS(PI()*MOD(Calculator!$B$34/Calculator!$F$21,1)),2)))),2))</f>
        <v>1.88</v>
      </c>
      <c r="BK67" s="115" t="n">
        <f aca="false">IFERROR(ROUND((IF(ISNUMBER(AZ67),AZ67,0)+IF(ISNUMBER(BA67),BA67,0)+IF(ISNUMBER(BB67),BB67,0)+IF(ISNUMBER(BC67),BC67,0)+IF(ISNUMBER(BD67),BD67,0)+IF(ISNUMBER(BE67),BE67,0)+IF(ISNUMBER(BF67),BF67,0)+IF(ISNUMBER(BG67),BG67,0)+IF(ISNUMBER(BH67),BH67,0)+IF(ISNUMBER(BI67),BI67,0)+IF(ISNUMBER(BJ67),BJ67,0))/(IF(ISNUMBER(AZ67),1,0)+IF(ISNUMBER(BA67),1,0)+IF(ISNUMBER(BB67),1,0)+IF(ISNUMBER(BC67),1,0)+IF(ISNUMBER(BD67),1,0)+IF(ISNUMBER(BE67),1,0)+IF(ISNUMBER(BF67),1,0)+IF(ISNUMBER(BG67),1,0)+IF(ISNUMBER(BH67),1,0)+IF(ISNUMBER(BI67),1,0)+IF(ISNUMBER(BJ67),1,0)),2),"")</f>
        <v>8.38</v>
      </c>
    </row>
    <row r="68" customFormat="false" ht="15" hidden="false" customHeight="false" outlineLevel="0" collapsed="false">
      <c r="A68" s="107" t="s">
        <v>126</v>
      </c>
      <c r="B68" s="108" t="s">
        <v>94</v>
      </c>
      <c r="C68" s="109" t="n">
        <v>1800</v>
      </c>
      <c r="D68" s="110" t="n">
        <f aca="false">IF(OR(Calculator!$E$11&lt;&gt;"YES",Calculator!$B$30&lt;Calculator!$G$11),"—",ROUND(MAX((50*POWER(80,POWER(COS(PI()*MOD(Calculator!$B$30/Calculator!$F$11,1)),2)))/$C68,$C68/(50*POWER(80,POWER(COS(PI()*MOD(Calculator!$B$30/Calculator!$F$11,1)),2)))),2))</f>
        <v>20.38</v>
      </c>
      <c r="E68" s="110" t="n">
        <f aca="false">IF(OR(Calculator!$E$12&lt;&gt;"YES",Calculator!$B$30&lt;Calculator!$G$12),"—",ROUND(MAX((50*POWER(80,POWER(COS(PI()*MOD(Calculator!$B$30/Calculator!$F$12,1)),2)))/$C68,$C68/(50*POWER(80,POWER(COS(PI()*MOD(Calculator!$B$30/Calculator!$F$12,1)),2)))),2))</f>
        <v>1.71</v>
      </c>
      <c r="F68" s="110" t="n">
        <f aca="false">IF(OR(Calculator!$E$13&lt;&gt;"YES",Calculator!$B$30&lt;Calculator!$G$13),"—",ROUND(MAX((50*POWER(80,POWER(COS(PI()*MOD(Calculator!$B$30/Calculator!$F$13,1)),2)))/$C68,$C68/(50*POWER(80,POWER(COS(PI()*MOD(Calculator!$B$30/Calculator!$F$13,1)),2)))),2))</f>
        <v>4.54</v>
      </c>
      <c r="G68" s="110" t="n">
        <f aca="false">IF(OR(Calculator!$E$14&lt;&gt;"YES",Calculator!$B$30&lt;Calculator!$G$14),"—",ROUND(MAX((50*POWER(80,POWER(COS(PI()*MOD(Calculator!$B$30/Calculator!$F$14,1)),2)))/$C68,$C68/(50*POWER(80,POWER(COS(PI()*MOD(Calculator!$B$30/Calculator!$F$14,1)),2)))),2))</f>
        <v>10.63</v>
      </c>
      <c r="H68" s="110" t="n">
        <f aca="false">IF(OR(Calculator!$E$15&lt;&gt;"YES",Calculator!$B$30&lt;Calculator!$G$15),"—",ROUND(MAX((50*POWER(80,POWER(COS(PI()*MOD(Calculator!$B$30/Calculator!$F$15,1)),2)))/$C68,$C68/(50*POWER(80,POWER(COS(PI()*MOD(Calculator!$B$30/Calculator!$F$15,1)),2)))),2))</f>
        <v>6.92</v>
      </c>
      <c r="I68" s="110" t="n">
        <f aca="false">IF(OR(Calculator!$E$16&lt;&gt;"YES",Calculator!$B$30&lt;Calculator!$G$16),"—",ROUND(MAX((50*POWER(80,POWER(COS(PI()*MOD(Calculator!$B$30/Calculator!$F$16,1)),2)))/$C68,$C68/(50*POWER(80,POWER(COS(PI()*MOD(Calculator!$B$30/Calculator!$F$16,1)),2)))),2))</f>
        <v>22.61</v>
      </c>
      <c r="J68" s="110" t="n">
        <f aca="false">IF(OR(Calculator!$E$17&lt;&gt;"YES",Calculator!$B$30&lt;Calculator!$G$17),"—",ROUND(MAX((50*POWER(80,POWER(COS(PI()*MOD(Calculator!$B$30/Calculator!$F$17,1)),2)))/$C68,$C68/(50*POWER(80,POWER(COS(PI()*MOD(Calculator!$B$30/Calculator!$F$17,1)),2)))),2))</f>
        <v>1.31</v>
      </c>
      <c r="K68" s="110" t="n">
        <f aca="false">IF(OR(Calculator!$E$18&lt;&gt;"YES",Calculator!$B$30&lt;Calculator!$G$18),"—",ROUND(MAX((50*POWER(80,POWER(COS(PI()*MOD(Calculator!$B$30/Calculator!$F$18,1)),2)))/$C68,$C68/(50*POWER(80,POWER(COS(PI()*MOD(Calculator!$B$30/Calculator!$F$18,1)),2)))),2))</f>
        <v>1.42</v>
      </c>
      <c r="L68" s="110" t="n">
        <f aca="false">IF(OR(Calculator!$E$19&lt;&gt;"YES",Calculator!$B$30&lt;Calculator!$G$19),"—",ROUND(MAX((50*POWER(80,POWER(COS(PI()*MOD(Calculator!$B$30/Calculator!$F$19,1)),2)))/$C68,$C68/(50*POWER(80,POWER(COS(PI()*MOD(Calculator!$B$30/Calculator!$F$19,1)),2)))),2))</f>
        <v>1.42</v>
      </c>
      <c r="M68" s="110" t="n">
        <f aca="false">IF(OR(Calculator!$E$20&lt;&gt;"YES",Calculator!$B$30&lt;Calculator!$G$20),"—",ROUND(MAX((50*POWER(80,POWER(COS(PI()*MOD(Calculator!$B$30/Calculator!$F$20,1)),2)))/$C68,$C68/(50*POWER(80,POWER(COS(PI()*MOD(Calculator!$B$30/Calculator!$F$20,1)),2)))),2))</f>
        <v>18.71</v>
      </c>
      <c r="N68" s="110" t="n">
        <f aca="false">IF(OR(Calculator!$E$21&lt;&gt;"YES",Calculator!$B$30&lt;Calculator!$G$21),"—",ROUND(MAX((50*POWER(80,POWER(COS(PI()*MOD(Calculator!$B$30/Calculator!$F$21,1)),2)))/$C68,$C68/(50*POWER(80,POWER(COS(PI()*MOD(Calculator!$B$30/Calculator!$F$21,1)),2)))),2))</f>
        <v>1.41</v>
      </c>
      <c r="O68" s="111" t="n">
        <f aca="false">IFERROR(ROUND((IF(ISNUMBER(D68),D68,0)+IF(ISNUMBER(E68),E68,0)+IF(ISNUMBER(F68),F68,0)+IF(ISNUMBER(G68),G68,0)+IF(ISNUMBER(H68),H68,0)+IF(ISNUMBER(I68),I68,0)+IF(ISNUMBER(J68),J68,0)+IF(ISNUMBER(K68),K68,0)+IF(ISNUMBER(L68),L68,0)+IF(ISNUMBER(M68),M68,0)+IF(ISNUMBER(N68),N68,0))/(IF(ISNUMBER(D68),1,0)+IF(ISNUMBER(E68),1,0)+IF(ISNUMBER(F68),1,0)+IF(ISNUMBER(G68),1,0)+IF(ISNUMBER(H68),1,0)+IF(ISNUMBER(I68),1,0)+IF(ISNUMBER(J68),1,0)+IF(ISNUMBER(K68),1,0)+IF(ISNUMBER(L68),1,0)+IF(ISNUMBER(M68),1,0)+IF(ISNUMBER(N68),1,0)),2),"")</f>
        <v>8.28</v>
      </c>
      <c r="P68" s="110" t="n">
        <f aca="false">IF(OR(Calculator!$E$11&lt;&gt;"YES",Calculator!$B$31&lt;Calculator!$G$11),"—",ROUND(MAX((50*POWER(80,POWER(COS(PI()*MOD(Calculator!$B$31/Calculator!$F$11,1)),2)))/$C68,$C68/(50*POWER(80,POWER(COS(PI()*MOD(Calculator!$B$31/Calculator!$F$11,1)),2)))),2))</f>
        <v>20.63</v>
      </c>
      <c r="Q68" s="110" t="n">
        <f aca="false">IF(OR(Calculator!$E$12&lt;&gt;"YES",Calculator!$B$31&lt;Calculator!$G$12),"—",ROUND(MAX((50*POWER(80,POWER(COS(PI()*MOD(Calculator!$B$31/Calculator!$F$12,1)),2)))/$C68,$C68/(50*POWER(80,POWER(COS(PI()*MOD(Calculator!$B$31/Calculator!$F$12,1)),2)))),2))</f>
        <v>1.65</v>
      </c>
      <c r="R68" s="110" t="n">
        <f aca="false">IF(OR(Calculator!$E$13&lt;&gt;"YES",Calculator!$B$31&lt;Calculator!$G$13),"—",ROUND(MAX((50*POWER(80,POWER(COS(PI()*MOD(Calculator!$B$31/Calculator!$F$13,1)),2)))/$C68,$C68/(50*POWER(80,POWER(COS(PI()*MOD(Calculator!$B$31/Calculator!$F$13,1)),2)))),2))</f>
        <v>4.78</v>
      </c>
      <c r="S68" s="110" t="n">
        <f aca="false">IF(OR(Calculator!$E$14&lt;&gt;"YES",Calculator!$B$31&lt;Calculator!$G$14),"—",ROUND(MAX((50*POWER(80,POWER(COS(PI()*MOD(Calculator!$B$31/Calculator!$F$14,1)),2)))/$C68,$C68/(50*POWER(80,POWER(COS(PI()*MOD(Calculator!$B$31/Calculator!$F$14,1)),2)))),2))</f>
        <v>9.99</v>
      </c>
      <c r="T68" s="110" t="n">
        <f aca="false">IF(OR(Calculator!$E$15&lt;&gt;"YES",Calculator!$B$31&lt;Calculator!$G$15),"—",ROUND(MAX((50*POWER(80,POWER(COS(PI()*MOD(Calculator!$B$31/Calculator!$F$15,1)),2)))/$C68,$C68/(50*POWER(80,POWER(COS(PI()*MOD(Calculator!$B$31/Calculator!$F$15,1)),2)))),2))</f>
        <v>6.29</v>
      </c>
      <c r="U68" s="110" t="n">
        <f aca="false">IF(OR(Calculator!$E$16&lt;&gt;"YES",Calculator!$B$31&lt;Calculator!$G$16),"—",ROUND(MAX((50*POWER(80,POWER(COS(PI()*MOD(Calculator!$B$31/Calculator!$F$16,1)),2)))/$C68,$C68/(50*POWER(80,POWER(COS(PI()*MOD(Calculator!$B$31/Calculator!$F$16,1)),2)))),2))</f>
        <v>24.52</v>
      </c>
      <c r="V68" s="110" t="n">
        <f aca="false">IF(OR(Calculator!$E$17&lt;&gt;"YES",Calculator!$B$31&lt;Calculator!$G$17),"—",ROUND(MAX((50*POWER(80,POWER(COS(PI()*MOD(Calculator!$B$31/Calculator!$F$17,1)),2)))/$C68,$C68/(50*POWER(80,POWER(COS(PI()*MOD(Calculator!$B$31/Calculator!$F$17,1)),2)))),2))</f>
        <v>1.16</v>
      </c>
      <c r="W68" s="110" t="n">
        <f aca="false">IF(OR(Calculator!$E$18&lt;&gt;"YES",Calculator!$B$31&lt;Calculator!$G$18),"—",ROUND(MAX((50*POWER(80,POWER(COS(PI()*MOD(Calculator!$B$31/Calculator!$F$18,1)),2)))/$C68,$C68/(50*POWER(80,POWER(COS(PI()*MOD(Calculator!$B$31/Calculator!$F$18,1)),2)))),2))</f>
        <v>1.24</v>
      </c>
      <c r="X68" s="110" t="n">
        <f aca="false">IF(OR(Calculator!$E$19&lt;&gt;"YES",Calculator!$B$31&lt;Calculator!$G$19),"—",ROUND(MAX((50*POWER(80,POWER(COS(PI()*MOD(Calculator!$B$31/Calculator!$F$19,1)),2)))/$C68,$C68/(50*POWER(80,POWER(COS(PI()*MOD(Calculator!$B$31/Calculator!$F$19,1)),2)))),2))</f>
        <v>1.63</v>
      </c>
      <c r="Y68" s="110" t="n">
        <f aca="false">IF(OR(Calculator!$E$20&lt;&gt;"YES",Calculator!$B$31&lt;Calculator!$G$20),"—",ROUND(MAX((50*POWER(80,POWER(COS(PI()*MOD(Calculator!$B$31/Calculator!$F$20,1)),2)))/$C68,$C68/(50*POWER(80,POWER(COS(PI()*MOD(Calculator!$B$31/Calculator!$F$20,1)),2)))),2))</f>
        <v>15.16</v>
      </c>
      <c r="Z68" s="110" t="n">
        <f aca="false">IF(OR(Calculator!$E$21&lt;&gt;"YES",Calculator!$B$31&lt;Calculator!$G$21),"—",ROUND(MAX((50*POWER(80,POWER(COS(PI()*MOD(Calculator!$B$31/Calculator!$F$21,1)),2)))/$C68,$C68/(50*POWER(80,POWER(COS(PI()*MOD(Calculator!$B$31/Calculator!$F$21,1)),2)))),2))</f>
        <v>1.01</v>
      </c>
      <c r="AA68" s="111" t="n">
        <f aca="false">IFERROR(ROUND((IF(ISNUMBER(P68),P68,0)+IF(ISNUMBER(Q68),Q68,0)+IF(ISNUMBER(R68),R68,0)+IF(ISNUMBER(S68),S68,0)+IF(ISNUMBER(T68),T68,0)+IF(ISNUMBER(U68),U68,0)+IF(ISNUMBER(V68),V68,0)+IF(ISNUMBER(W68),W68,0)+IF(ISNUMBER(X68),X68,0)+IF(ISNUMBER(Y68),Y68,0)+IF(ISNUMBER(Z68),Z68,0))/(IF(ISNUMBER(P68),1,0)+IF(ISNUMBER(Q68),1,0)+IF(ISNUMBER(R68),1,0)+IF(ISNUMBER(S68),1,0)+IF(ISNUMBER(T68),1,0)+IF(ISNUMBER(U68),1,0)+IF(ISNUMBER(V68),1,0)+IF(ISNUMBER(W68),1,0)+IF(ISNUMBER(X68),1,0)+IF(ISNUMBER(Y68),1,0)+IF(ISNUMBER(Z68),1,0)),2),"")</f>
        <v>8.01</v>
      </c>
      <c r="AB68" s="110" t="n">
        <f aca="false">IF(OR(Calculator!$E$11&lt;&gt;"YES",Calculator!$B$32&lt;Calculator!$G$11),"—",ROUND(MAX((50*POWER(80,POWER(COS(PI()*MOD(Calculator!$B$32/Calculator!$F$11,1)),2)))/$C68,$C68/(50*POWER(80,POWER(COS(PI()*MOD(Calculator!$B$32/Calculator!$F$11,1)),2)))),2))</f>
        <v>25.97</v>
      </c>
      <c r="AC68" s="110" t="n">
        <f aca="false">IF(OR(Calculator!$E$12&lt;&gt;"YES",Calculator!$B$32&lt;Calculator!$G$12),"—",ROUND(MAX((50*POWER(80,POWER(COS(PI()*MOD(Calculator!$B$32/Calculator!$F$12,1)),2)))/$C68,$C68/(50*POWER(80,POWER(COS(PI()*MOD(Calculator!$B$32/Calculator!$F$12,1)),2)))),2))</f>
        <v>1.12</v>
      </c>
      <c r="AD68" s="110" t="n">
        <f aca="false">IF(OR(Calculator!$E$13&lt;&gt;"YES",Calculator!$B$32&lt;Calculator!$G$13),"—",ROUND(MAX((50*POWER(80,POWER(COS(PI()*MOD(Calculator!$B$32/Calculator!$F$13,1)),2)))/$C68,$C68/(50*POWER(80,POWER(COS(PI()*MOD(Calculator!$B$32/Calculator!$F$13,1)),2)))),2))</f>
        <v>13.25</v>
      </c>
      <c r="AE68" s="110" t="n">
        <f aca="false">IF(OR(Calculator!$E$14&lt;&gt;"YES",Calculator!$B$32&lt;Calculator!$G$14),"—",ROUND(MAX((50*POWER(80,POWER(COS(PI()*MOD(Calculator!$B$32/Calculator!$F$14,1)),2)))/$C68,$C68/(50*POWER(80,POWER(COS(PI()*MOD(Calculator!$B$32/Calculator!$F$14,1)),2)))),2))</f>
        <v>2.42</v>
      </c>
      <c r="AF68" s="110" t="n">
        <f aca="false">IF(OR(Calculator!$E$15&lt;&gt;"YES",Calculator!$B$32&lt;Calculator!$G$15),"—",ROUND(MAX((50*POWER(80,POWER(COS(PI()*MOD(Calculator!$B$32/Calculator!$F$15,1)),2)))/$C68,$C68/(50*POWER(80,POWER(COS(PI()*MOD(Calculator!$B$32/Calculator!$F$15,1)),2)))),2))</f>
        <v>1.08</v>
      </c>
      <c r="AG68" s="110" t="n">
        <f aca="false">IF(OR(Calculator!$E$16&lt;&gt;"YES",Calculator!$B$32&lt;Calculator!$G$16),"—",ROUND(MAX((50*POWER(80,POWER(COS(PI()*MOD(Calculator!$B$32/Calculator!$F$16,1)),2)))/$C68,$C68/(50*POWER(80,POWER(COS(PI()*MOD(Calculator!$B$32/Calculator!$F$16,1)),2)))),2))</f>
        <v>21.16</v>
      </c>
      <c r="AH68" s="110" t="n">
        <f aca="false">IF(OR(Calculator!$E$17&lt;&gt;"YES",Calculator!$B$32&lt;Calculator!$G$17),"—",ROUND(MAX((50*POWER(80,POWER(COS(PI()*MOD(Calculator!$B$32/Calculator!$F$17,1)),2)))/$C68,$C68/(50*POWER(80,POWER(COS(PI()*MOD(Calculator!$B$32/Calculator!$F$17,1)),2)))),2))</f>
        <v>22.34</v>
      </c>
      <c r="AI68" s="110" t="n">
        <f aca="false">IF(OR(Calculator!$E$18&lt;&gt;"YES",Calculator!$B$32&lt;Calculator!$G$18),"—",ROUND(MAX((50*POWER(80,POWER(COS(PI()*MOD(Calculator!$B$32/Calculator!$F$18,1)),2)))/$C68,$C68/(50*POWER(80,POWER(COS(PI()*MOD(Calculator!$B$32/Calculator!$F$18,1)),2)))),2))</f>
        <v>29.47</v>
      </c>
      <c r="AJ68" s="110" t="n">
        <f aca="false">IF(OR(Calculator!$E$19&lt;&gt;"YES",Calculator!$B$32&lt;Calculator!$G$19),"—",ROUND(MAX((50*POWER(80,POWER(COS(PI()*MOD(Calculator!$B$32/Calculator!$F$19,1)),2)))/$C68,$C68/(50*POWER(80,POWER(COS(PI()*MOD(Calculator!$B$32/Calculator!$F$19,1)),2)))),2))</f>
        <v>6.21</v>
      </c>
      <c r="AK68" s="110" t="n">
        <f aca="false">IF(OR(Calculator!$E$20&lt;&gt;"YES",Calculator!$B$32&lt;Calculator!$G$20),"—",ROUND(MAX((50*POWER(80,POWER(COS(PI()*MOD(Calculator!$B$32/Calculator!$F$20,1)),2)))/$C68,$C68/(50*POWER(80,POWER(COS(PI()*MOD(Calculator!$B$32/Calculator!$F$20,1)),2)))),2))</f>
        <v>1.79</v>
      </c>
      <c r="AL68" s="110" t="n">
        <f aca="false">IF(OR(Calculator!$E$21&lt;&gt;"YES",Calculator!$B$32&lt;Calculator!$G$21),"—",ROUND(MAX((50*POWER(80,POWER(COS(PI()*MOD(Calculator!$B$32/Calculator!$F$21,1)),2)))/$C68,$C68/(50*POWER(80,POWER(COS(PI()*MOD(Calculator!$B$32/Calculator!$F$21,1)),2)))),2))</f>
        <v>1.55</v>
      </c>
      <c r="AM68" s="112" t="n">
        <f aca="false">IFERROR(ROUND((IF(ISNUMBER(AB68),AB68,0)+IF(ISNUMBER(AC68),AC68,0)+IF(ISNUMBER(AD68),AD68,0)+IF(ISNUMBER(AE68),AE68,0)+IF(ISNUMBER(AF68),AF68,0)+IF(ISNUMBER(AG68),AG68,0)+IF(ISNUMBER(AH68),AH68,0)+IF(ISNUMBER(AI68),AI68,0)+IF(ISNUMBER(AJ68),AJ68,0)+IF(ISNUMBER(AK68),AK68,0)+IF(ISNUMBER(AL68),AL68,0))/(IF(ISNUMBER(AB68),1,0)+IF(ISNUMBER(AC68),1,0)+IF(ISNUMBER(AD68),1,0)+IF(ISNUMBER(AE68),1,0)+IF(ISNUMBER(AF68),1,0)+IF(ISNUMBER(AG68),1,0)+IF(ISNUMBER(AH68),1,0)+IF(ISNUMBER(AI68),1,0)+IF(ISNUMBER(AJ68),1,0)+IF(ISNUMBER(AK68),1,0)+IF(ISNUMBER(AL68),1,0)),2),"")</f>
        <v>11.49</v>
      </c>
      <c r="AN68" s="113" t="n">
        <f aca="false">IF(OR(Calculator!$E$11&lt;&gt;"YES",Calculator!$B$33&lt;Calculator!$G$11),"—",ROUND(MAX((50*POWER(80,POWER(COS(PI()*MOD(Calculator!$B$33/Calculator!$F$11,1)),2)))/$C68,$C68/(50*POWER(80,POWER(COS(PI()*MOD(Calculator!$B$33/Calculator!$F$11,1)),2)))),2))</f>
        <v>20.89</v>
      </c>
      <c r="AO68" s="113" t="n">
        <f aca="false">IF(OR(Calculator!$E$12&lt;&gt;"YES",Calculator!$B$33&lt;Calculator!$G$12),"—",ROUND(MAX((50*POWER(80,POWER(COS(PI()*MOD(Calculator!$B$33/Calculator!$F$12,1)),2)))/$C68,$C68/(50*POWER(80,POWER(COS(PI()*MOD(Calculator!$B$33/Calculator!$F$12,1)),2)))),2))</f>
        <v>1.6</v>
      </c>
      <c r="AP68" s="113" t="n">
        <f aca="false">IF(OR(Calculator!$E$13&lt;&gt;"YES",Calculator!$B$33&lt;Calculator!$G$13),"—",ROUND(MAX((50*POWER(80,POWER(COS(PI()*MOD(Calculator!$B$33/Calculator!$F$13,1)),2)))/$C68,$C68/(50*POWER(80,POWER(COS(PI()*MOD(Calculator!$B$33/Calculator!$F$13,1)),2)))),2))</f>
        <v>5.04</v>
      </c>
      <c r="AQ68" s="113" t="n">
        <f aca="false">IF(OR(Calculator!$E$14&lt;&gt;"YES",Calculator!$B$33&lt;Calculator!$G$14),"—",ROUND(MAX((50*POWER(80,POWER(COS(PI()*MOD(Calculator!$B$33/Calculator!$F$14,1)),2)))/$C68,$C68/(50*POWER(80,POWER(COS(PI()*MOD(Calculator!$B$33/Calculator!$F$14,1)),2)))),2))</f>
        <v>9.38</v>
      </c>
      <c r="AR68" s="113" t="n">
        <f aca="false">IF(OR(Calculator!$E$15&lt;&gt;"YES",Calculator!$B$33&lt;Calculator!$G$15),"—",ROUND(MAX((50*POWER(80,POWER(COS(PI()*MOD(Calculator!$B$33/Calculator!$F$15,1)),2)))/$C68,$C68/(50*POWER(80,POWER(COS(PI()*MOD(Calculator!$B$33/Calculator!$F$15,1)),2)))),2))</f>
        <v>5.71</v>
      </c>
      <c r="AS68" s="113" t="n">
        <f aca="false">IF(OR(Calculator!$E$16&lt;&gt;"YES",Calculator!$B$33&lt;Calculator!$G$16),"—",ROUND(MAX((50*POWER(80,POWER(COS(PI()*MOD(Calculator!$B$33/Calculator!$F$16,1)),2)))/$C68,$C68/(50*POWER(80,POWER(COS(PI()*MOD(Calculator!$B$33/Calculator!$F$16,1)),2)))),2))</f>
        <v>26.4</v>
      </c>
      <c r="AT68" s="113" t="n">
        <f aca="false">IF(OR(Calculator!$E$17&lt;&gt;"YES",Calculator!$B$33&lt;Calculator!$G$17),"—",ROUND(MAX((50*POWER(80,POWER(COS(PI()*MOD(Calculator!$B$33/Calculator!$F$17,1)),2)))/$C68,$C68/(50*POWER(80,POWER(COS(PI()*MOD(Calculator!$B$33/Calculator!$F$17,1)),2)))),2))</f>
        <v>1.02</v>
      </c>
      <c r="AU68" s="113" t="n">
        <f aca="false">IF(OR(Calculator!$E$18&lt;&gt;"YES",Calculator!$B$33&lt;Calculator!$G$18),"—",ROUND(MAX((50*POWER(80,POWER(COS(PI()*MOD(Calculator!$B$33/Calculator!$F$18,1)),2)))/$C68,$C68/(50*POWER(80,POWER(COS(PI()*MOD(Calculator!$B$33/Calculator!$F$18,1)),2)))),2))</f>
        <v>1.07</v>
      </c>
      <c r="AV68" s="113" t="n">
        <f aca="false">IF(OR(Calculator!$E$19&lt;&gt;"YES",Calculator!$B$33&lt;Calculator!$G$19),"—",ROUND(MAX((50*POWER(80,POWER(COS(PI()*MOD(Calculator!$B$33/Calculator!$F$19,1)),2)))/$C68,$C68/(50*POWER(80,POWER(COS(PI()*MOD(Calculator!$B$33/Calculator!$F$19,1)),2)))),2))</f>
        <v>1.82</v>
      </c>
      <c r="AW68" s="113" t="n">
        <f aca="false">IF(OR(Calculator!$E$20&lt;&gt;"YES",Calculator!$B$33&lt;Calculator!$G$20),"—",ROUND(MAX((50*POWER(80,POWER(COS(PI()*MOD(Calculator!$B$33/Calculator!$F$20,1)),2)))/$C68,$C68/(50*POWER(80,POWER(COS(PI()*MOD(Calculator!$B$33/Calculator!$F$20,1)),2)))),2))</f>
        <v>12.02</v>
      </c>
      <c r="AX68" s="113" t="n">
        <f aca="false">IF(OR(Calculator!$E$21&lt;&gt;"YES",Calculator!$B$33&lt;Calculator!$G$21),"—",ROUND(MAX((50*POWER(80,POWER(COS(PI()*MOD(Calculator!$B$33/Calculator!$F$21,1)),2)))/$C68,$C68/(50*POWER(80,POWER(COS(PI()*MOD(Calculator!$B$33/Calculator!$F$21,1)),2)))),2))</f>
        <v>1.54</v>
      </c>
      <c r="AY68" s="112" t="n">
        <f aca="false">IFERROR(ROUND((IF(ISNUMBER(AN68),AN68,0)+IF(ISNUMBER(AO68),AO68,0)+IF(ISNUMBER(AP68),AP68,0)+IF(ISNUMBER(AQ68),AQ68,0)+IF(ISNUMBER(AR68),AR68,0)+IF(ISNUMBER(AS68),AS68,0)+IF(ISNUMBER(AT68),AT68,0)+IF(ISNUMBER(AU68),AU68,0)+IF(ISNUMBER(AV68),AV68,0)+IF(ISNUMBER(AW68),AW68,0)+IF(ISNUMBER(AX68),AX68,0))/(IF(ISNUMBER(AN68),1,0)+IF(ISNUMBER(AO68),1,0)+IF(ISNUMBER(AP68),1,0)+IF(ISNUMBER(AQ68),1,0)+IF(ISNUMBER(AR68),1,0)+IF(ISNUMBER(AS68),1,0)+IF(ISNUMBER(AT68),1,0)+IF(ISNUMBER(AU68),1,0)+IF(ISNUMBER(AV68),1,0)+IF(ISNUMBER(AW68),1,0)+IF(ISNUMBER(AX68),1,0)),2),"")</f>
        <v>7.86</v>
      </c>
      <c r="AZ68" s="113" t="n">
        <f aca="false">IF(OR(Calculator!$E$11&lt;&gt;"YES",Calculator!$B$34&lt;Calculator!$G$11),"—",ROUND(MAX((50*POWER(80,POWER(COS(PI()*MOD(Calculator!$B$34/Calculator!$F$11,1)),2)))/$C68,$C68/(50*POWER(80,POWER(COS(PI()*MOD(Calculator!$B$34/Calculator!$F$11,1)),2)))),2))</f>
        <v>20.13</v>
      </c>
      <c r="BA68" s="113" t="n">
        <f aca="false">IF(OR(Calculator!$E$12&lt;&gt;"YES",Calculator!$B$34&lt;Calculator!$G$12),"—",ROUND(MAX((50*POWER(80,POWER(COS(PI()*MOD(Calculator!$B$34/Calculator!$F$12,1)),2)))/$C68,$C68/(50*POWER(80,POWER(COS(PI()*MOD(Calculator!$B$34/Calculator!$F$12,1)),2)))),2))</f>
        <v>1.76</v>
      </c>
      <c r="BB68" s="113" t="n">
        <f aca="false">IF(OR(Calculator!$E$13&lt;&gt;"YES",Calculator!$B$34&lt;Calculator!$G$13),"—",ROUND(MAX((50*POWER(80,POWER(COS(PI()*MOD(Calculator!$B$34/Calculator!$F$13,1)),2)))/$C68,$C68/(50*POWER(80,POWER(COS(PI()*MOD(Calculator!$B$34/Calculator!$F$13,1)),2)))),2))</f>
        <v>4.31</v>
      </c>
      <c r="BC68" s="113" t="n">
        <f aca="false">IF(OR(Calculator!$E$14&lt;&gt;"YES",Calculator!$B$34&lt;Calculator!$G$14),"—",ROUND(MAX((50*POWER(80,POWER(COS(PI()*MOD(Calculator!$B$34/Calculator!$F$14,1)),2)))/$C68,$C68/(50*POWER(80,POWER(COS(PI()*MOD(Calculator!$B$34/Calculator!$F$14,1)),2)))),2))</f>
        <v>11.31</v>
      </c>
      <c r="BD68" s="113" t="n">
        <f aca="false">IF(OR(Calculator!$E$15&lt;&gt;"YES",Calculator!$B$34&lt;Calculator!$G$15),"—",ROUND(MAX((50*POWER(80,POWER(COS(PI()*MOD(Calculator!$B$34/Calculator!$F$15,1)),2)))/$C68,$C68/(50*POWER(80,POWER(COS(PI()*MOD(Calculator!$B$34/Calculator!$F$15,1)),2)))),2))</f>
        <v>7.6</v>
      </c>
      <c r="BE68" s="113" t="n">
        <f aca="false">IF(OR(Calculator!$E$16&lt;&gt;"YES",Calculator!$B$34&lt;Calculator!$G$16),"—",ROUND(MAX((50*POWER(80,POWER(COS(PI()*MOD(Calculator!$B$34/Calculator!$F$16,1)),2)))/$C68,$C68/(50*POWER(80,POWER(COS(PI()*MOD(Calculator!$B$34/Calculator!$F$16,1)),2)))),2))</f>
        <v>20.71</v>
      </c>
      <c r="BF68" s="113" t="n">
        <f aca="false">IF(OR(Calculator!$E$17&lt;&gt;"YES",Calculator!$B$34&lt;Calculator!$G$17),"—",ROUND(MAX((50*POWER(80,POWER(COS(PI()*MOD(Calculator!$B$34/Calculator!$F$17,1)),2)))/$C68,$C68/(50*POWER(80,POWER(COS(PI()*MOD(Calculator!$B$34/Calculator!$F$17,1)),2)))),2))</f>
        <v>1.46</v>
      </c>
      <c r="BG68" s="113" t="n">
        <f aca="false">IF(OR(Calculator!$E$18&lt;&gt;"YES",Calculator!$B$34&lt;Calculator!$G$18),"—",ROUND(MAX((50*POWER(80,POWER(COS(PI()*MOD(Calculator!$B$34/Calculator!$F$18,1)),2)))/$C68,$C68/(50*POWER(80,POWER(COS(PI()*MOD(Calculator!$B$34/Calculator!$F$18,1)),2)))),2))</f>
        <v>1.59</v>
      </c>
      <c r="BH68" s="113" t="n">
        <f aca="false">IF(OR(Calculator!$E$19&lt;&gt;"YES",Calculator!$B$34&lt;Calculator!$G$19),"—",ROUND(MAX((50*POWER(80,POWER(COS(PI()*MOD(Calculator!$B$34/Calculator!$F$19,1)),2)))/$C68,$C68/(50*POWER(80,POWER(COS(PI()*MOD(Calculator!$B$34/Calculator!$F$19,1)),2)))),2))</f>
        <v>1.22</v>
      </c>
      <c r="BI68" s="113" t="n">
        <f aca="false">IF(OR(Calculator!$E$20&lt;&gt;"YES",Calculator!$B$34&lt;Calculator!$G$20),"—",ROUND(MAX((50*POWER(80,POWER(COS(PI()*MOD(Calculator!$B$34/Calculator!$F$20,1)),2)))/$C68,$C68/(50*POWER(80,POWER(COS(PI()*MOD(Calculator!$B$34/Calculator!$F$20,1)),2)))),2))</f>
        <v>22.53</v>
      </c>
      <c r="BJ68" s="113" t="n">
        <f aca="false">IF(OR(Calculator!$E$21&lt;&gt;"YES",Calculator!$B$34&lt;Calculator!$G$21),"—",ROUND(MAX((50*POWER(80,POWER(COS(PI()*MOD(Calculator!$B$34/Calculator!$F$21,1)),2)))/$C68,$C68/(50*POWER(80,POWER(COS(PI()*MOD(Calculator!$B$34/Calculator!$F$21,1)),2)))),2))</f>
        <v>1.82</v>
      </c>
      <c r="BK68" s="112" t="n">
        <f aca="false">IFERROR(ROUND((IF(ISNUMBER(AZ68),AZ68,0)+IF(ISNUMBER(BA68),BA68,0)+IF(ISNUMBER(BB68),BB68,0)+IF(ISNUMBER(BC68),BC68,0)+IF(ISNUMBER(BD68),BD68,0)+IF(ISNUMBER(BE68),BE68,0)+IF(ISNUMBER(BF68),BF68,0)+IF(ISNUMBER(BG68),BG68,0)+IF(ISNUMBER(BH68),BH68,0)+IF(ISNUMBER(BI68),BI68,0)+IF(ISNUMBER(BJ68),BJ68,0))/(IF(ISNUMBER(AZ68),1,0)+IF(ISNUMBER(BA68),1,0)+IF(ISNUMBER(BB68),1,0)+IF(ISNUMBER(BC68),1,0)+IF(ISNUMBER(BD68),1,0)+IF(ISNUMBER(BE68),1,0)+IF(ISNUMBER(BF68),1,0)+IF(ISNUMBER(BG68),1,0)+IF(ISNUMBER(BH68),1,0)+IF(ISNUMBER(BI68),1,0)+IF(ISNUMBER(BJ68),1,0)),2),"")</f>
        <v>8.59</v>
      </c>
    </row>
    <row r="69" customFormat="false" ht="15" hidden="false" customHeight="false" outlineLevel="0" collapsed="false">
      <c r="A69" s="87" t="s">
        <v>127</v>
      </c>
      <c r="B69" s="87" t="s">
        <v>93</v>
      </c>
      <c r="C69" s="90" t="n">
        <v>1850</v>
      </c>
      <c r="D69" s="91" t="n">
        <f aca="false">IF(OR(Calculator!$E$11&lt;&gt;"YES",Calculator!$B$30&lt;Calculator!$G$11),"—",ROUND(MAX((50*POWER(80,POWER(COS(PI()*MOD(Calculator!$B$30/Calculator!$F$11,1)),2)))/$C69,$C69/(50*POWER(80,POWER(COS(PI()*MOD(Calculator!$B$30/Calculator!$F$11,1)),2)))),2))</f>
        <v>20.95</v>
      </c>
      <c r="E69" s="91" t="n">
        <f aca="false">IF(OR(Calculator!$E$12&lt;&gt;"YES",Calculator!$B$30&lt;Calculator!$G$12),"—",ROUND(MAX((50*POWER(80,POWER(COS(PI()*MOD(Calculator!$B$30/Calculator!$F$12,1)),2)))/$C69,$C69/(50*POWER(80,POWER(COS(PI()*MOD(Calculator!$B$30/Calculator!$F$12,1)),2)))),2))</f>
        <v>1.75</v>
      </c>
      <c r="F69" s="91" t="n">
        <f aca="false">IF(OR(Calculator!$E$13&lt;&gt;"YES",Calculator!$B$30&lt;Calculator!$G$13),"—",ROUND(MAX((50*POWER(80,POWER(COS(PI()*MOD(Calculator!$B$30/Calculator!$F$13,1)),2)))/$C69,$C69/(50*POWER(80,POWER(COS(PI()*MOD(Calculator!$B$30/Calculator!$F$13,1)),2)))),2))</f>
        <v>4.67</v>
      </c>
      <c r="G69" s="91" t="n">
        <f aca="false">IF(OR(Calculator!$E$14&lt;&gt;"YES",Calculator!$B$30&lt;Calculator!$G$14),"—",ROUND(MAX((50*POWER(80,POWER(COS(PI()*MOD(Calculator!$B$30/Calculator!$F$14,1)),2)))/$C69,$C69/(50*POWER(80,POWER(COS(PI()*MOD(Calculator!$B$30/Calculator!$F$14,1)),2)))),2))</f>
        <v>10.93</v>
      </c>
      <c r="H69" s="91" t="n">
        <f aca="false">IF(OR(Calculator!$E$15&lt;&gt;"YES",Calculator!$B$30&lt;Calculator!$G$15),"—",ROUND(MAX((50*POWER(80,POWER(COS(PI()*MOD(Calculator!$B$30/Calculator!$F$15,1)),2)))/$C69,$C69/(50*POWER(80,POWER(COS(PI()*MOD(Calculator!$B$30/Calculator!$F$15,1)),2)))),2))</f>
        <v>7.11</v>
      </c>
      <c r="I69" s="91" t="n">
        <f aca="false">IF(OR(Calculator!$E$16&lt;&gt;"YES",Calculator!$B$30&lt;Calculator!$G$16),"—",ROUND(MAX((50*POWER(80,POWER(COS(PI()*MOD(Calculator!$B$30/Calculator!$F$16,1)),2)))/$C69,$C69/(50*POWER(80,POWER(COS(PI()*MOD(Calculator!$B$30/Calculator!$F$16,1)),2)))),2))</f>
        <v>23.24</v>
      </c>
      <c r="J69" s="91" t="n">
        <f aca="false">IF(OR(Calculator!$E$17&lt;&gt;"YES",Calculator!$B$30&lt;Calculator!$G$17),"—",ROUND(MAX((50*POWER(80,POWER(COS(PI()*MOD(Calculator!$B$30/Calculator!$F$17,1)),2)))/$C69,$C69/(50*POWER(80,POWER(COS(PI()*MOD(Calculator!$B$30/Calculator!$F$17,1)),2)))),2))</f>
        <v>1.27</v>
      </c>
      <c r="K69" s="91" t="n">
        <f aca="false">IF(OR(Calculator!$E$18&lt;&gt;"YES",Calculator!$B$30&lt;Calculator!$G$18),"—",ROUND(MAX((50*POWER(80,POWER(COS(PI()*MOD(Calculator!$B$30/Calculator!$F$18,1)),2)))/$C69,$C69/(50*POWER(80,POWER(COS(PI()*MOD(Calculator!$B$30/Calculator!$F$18,1)),2)))),2))</f>
        <v>1.38</v>
      </c>
      <c r="L69" s="91" t="n">
        <f aca="false">IF(OR(Calculator!$E$19&lt;&gt;"YES",Calculator!$B$30&lt;Calculator!$G$19),"—",ROUND(MAX((50*POWER(80,POWER(COS(PI()*MOD(Calculator!$B$30/Calculator!$F$19,1)),2)))/$C69,$C69/(50*POWER(80,POWER(COS(PI()*MOD(Calculator!$B$30/Calculator!$F$19,1)),2)))),2))</f>
        <v>1.38</v>
      </c>
      <c r="M69" s="91" t="n">
        <f aca="false">IF(OR(Calculator!$E$20&lt;&gt;"YES",Calculator!$B$30&lt;Calculator!$G$20),"—",ROUND(MAX((50*POWER(80,POWER(COS(PI()*MOD(Calculator!$B$30/Calculator!$F$20,1)),2)))/$C69,$C69/(50*POWER(80,POWER(COS(PI()*MOD(Calculator!$B$30/Calculator!$F$20,1)),2)))),2))</f>
        <v>19.23</v>
      </c>
      <c r="N69" s="91" t="n">
        <f aca="false">IF(OR(Calculator!$E$21&lt;&gt;"YES",Calculator!$B$30&lt;Calculator!$G$21),"—",ROUND(MAX((50*POWER(80,POWER(COS(PI()*MOD(Calculator!$B$30/Calculator!$F$21,1)),2)))/$C69,$C69/(50*POWER(80,POWER(COS(PI()*MOD(Calculator!$B$30/Calculator!$F$21,1)),2)))),2))</f>
        <v>1.37</v>
      </c>
      <c r="O69" s="114" t="n">
        <f aca="false">IFERROR(ROUND((IF(ISNUMBER(D69),D69,0)+IF(ISNUMBER(E69),E69,0)+IF(ISNUMBER(F69),F69,0)+IF(ISNUMBER(G69),G69,0)+IF(ISNUMBER(H69),H69,0)+IF(ISNUMBER(I69),I69,0)+IF(ISNUMBER(J69),J69,0)+IF(ISNUMBER(K69),K69,0)+IF(ISNUMBER(L69),L69,0)+IF(ISNUMBER(M69),M69,0)+IF(ISNUMBER(N69),N69,0))/(IF(ISNUMBER(D69),1,0)+IF(ISNUMBER(E69),1,0)+IF(ISNUMBER(F69),1,0)+IF(ISNUMBER(G69),1,0)+IF(ISNUMBER(H69),1,0)+IF(ISNUMBER(I69),1,0)+IF(ISNUMBER(J69),1,0)+IF(ISNUMBER(K69),1,0)+IF(ISNUMBER(L69),1,0)+IF(ISNUMBER(M69),1,0)+IF(ISNUMBER(N69),1,0)),2),"")</f>
        <v>8.48</v>
      </c>
      <c r="P69" s="91" t="n">
        <f aca="false">IF(OR(Calculator!$E$11&lt;&gt;"YES",Calculator!$B$31&lt;Calculator!$G$11),"—",ROUND(MAX((50*POWER(80,POWER(COS(PI()*MOD(Calculator!$B$31/Calculator!$F$11,1)),2)))/$C69,$C69/(50*POWER(80,POWER(COS(PI()*MOD(Calculator!$B$31/Calculator!$F$11,1)),2)))),2))</f>
        <v>21.21</v>
      </c>
      <c r="Q69" s="91" t="n">
        <f aca="false">IF(OR(Calculator!$E$12&lt;&gt;"YES",Calculator!$B$31&lt;Calculator!$G$12),"—",ROUND(MAX((50*POWER(80,POWER(COS(PI()*MOD(Calculator!$B$31/Calculator!$F$12,1)),2)))/$C69,$C69/(50*POWER(80,POWER(COS(PI()*MOD(Calculator!$B$31/Calculator!$F$12,1)),2)))),2))</f>
        <v>1.7</v>
      </c>
      <c r="R69" s="91" t="n">
        <f aca="false">IF(OR(Calculator!$E$13&lt;&gt;"YES",Calculator!$B$31&lt;Calculator!$G$13),"—",ROUND(MAX((50*POWER(80,POWER(COS(PI()*MOD(Calculator!$B$31/Calculator!$F$13,1)),2)))/$C69,$C69/(50*POWER(80,POWER(COS(PI()*MOD(Calculator!$B$31/Calculator!$F$13,1)),2)))),2))</f>
        <v>4.92</v>
      </c>
      <c r="S69" s="91" t="n">
        <f aca="false">IF(OR(Calculator!$E$14&lt;&gt;"YES",Calculator!$B$31&lt;Calculator!$G$14),"—",ROUND(MAX((50*POWER(80,POWER(COS(PI()*MOD(Calculator!$B$31/Calculator!$F$14,1)),2)))/$C69,$C69/(50*POWER(80,POWER(COS(PI()*MOD(Calculator!$B$31/Calculator!$F$14,1)),2)))),2))</f>
        <v>10.27</v>
      </c>
      <c r="T69" s="91" t="n">
        <f aca="false">IF(OR(Calculator!$E$15&lt;&gt;"YES",Calculator!$B$31&lt;Calculator!$G$15),"—",ROUND(MAX((50*POWER(80,POWER(COS(PI()*MOD(Calculator!$B$31/Calculator!$F$15,1)),2)))/$C69,$C69/(50*POWER(80,POWER(COS(PI()*MOD(Calculator!$B$31/Calculator!$F$15,1)),2)))),2))</f>
        <v>6.46</v>
      </c>
      <c r="U69" s="91" t="n">
        <f aca="false">IF(OR(Calculator!$E$16&lt;&gt;"YES",Calculator!$B$31&lt;Calculator!$G$16),"—",ROUND(MAX((50*POWER(80,POWER(COS(PI()*MOD(Calculator!$B$31/Calculator!$F$16,1)),2)))/$C69,$C69/(50*POWER(80,POWER(COS(PI()*MOD(Calculator!$B$31/Calculator!$F$16,1)),2)))),2))</f>
        <v>25.2</v>
      </c>
      <c r="V69" s="91" t="n">
        <f aca="false">IF(OR(Calculator!$E$17&lt;&gt;"YES",Calculator!$B$31&lt;Calculator!$G$17),"—",ROUND(MAX((50*POWER(80,POWER(COS(PI()*MOD(Calculator!$B$31/Calculator!$F$17,1)),2)))/$C69,$C69/(50*POWER(80,POWER(COS(PI()*MOD(Calculator!$B$31/Calculator!$F$17,1)),2)))),2))</f>
        <v>1.13</v>
      </c>
      <c r="W69" s="91" t="n">
        <f aca="false">IF(OR(Calculator!$E$18&lt;&gt;"YES",Calculator!$B$31&lt;Calculator!$G$18),"—",ROUND(MAX((50*POWER(80,POWER(COS(PI()*MOD(Calculator!$B$31/Calculator!$F$18,1)),2)))/$C69,$C69/(50*POWER(80,POWER(COS(PI()*MOD(Calculator!$B$31/Calculator!$F$18,1)),2)))),2))</f>
        <v>1.21</v>
      </c>
      <c r="X69" s="91" t="n">
        <f aca="false">IF(OR(Calculator!$E$19&lt;&gt;"YES",Calculator!$B$31&lt;Calculator!$G$19),"—",ROUND(MAX((50*POWER(80,POWER(COS(PI()*MOD(Calculator!$B$31/Calculator!$F$19,1)),2)))/$C69,$C69/(50*POWER(80,POWER(COS(PI()*MOD(Calculator!$B$31/Calculator!$F$19,1)),2)))),2))</f>
        <v>1.58</v>
      </c>
      <c r="Y69" s="91" t="n">
        <f aca="false">IF(OR(Calculator!$E$20&lt;&gt;"YES",Calculator!$B$31&lt;Calculator!$G$20),"—",ROUND(MAX((50*POWER(80,POWER(COS(PI()*MOD(Calculator!$B$31/Calculator!$F$20,1)),2)))/$C69,$C69/(50*POWER(80,POWER(COS(PI()*MOD(Calculator!$B$31/Calculator!$F$20,1)),2)))),2))</f>
        <v>15.58</v>
      </c>
      <c r="Z69" s="91" t="n">
        <f aca="false">IF(OR(Calculator!$E$21&lt;&gt;"YES",Calculator!$B$31&lt;Calculator!$G$21),"—",ROUND(MAX((50*POWER(80,POWER(COS(PI()*MOD(Calculator!$B$31/Calculator!$F$21,1)),2)))/$C69,$C69/(50*POWER(80,POWER(COS(PI()*MOD(Calculator!$B$31/Calculator!$F$21,1)),2)))),2))</f>
        <v>1.04</v>
      </c>
      <c r="AA69" s="114" t="n">
        <f aca="false">IFERROR(ROUND((IF(ISNUMBER(P69),P69,0)+IF(ISNUMBER(Q69),Q69,0)+IF(ISNUMBER(R69),R69,0)+IF(ISNUMBER(S69),S69,0)+IF(ISNUMBER(T69),T69,0)+IF(ISNUMBER(U69),U69,0)+IF(ISNUMBER(V69),V69,0)+IF(ISNUMBER(W69),W69,0)+IF(ISNUMBER(X69),X69,0)+IF(ISNUMBER(Y69),Y69,0)+IF(ISNUMBER(Z69),Z69,0))/(IF(ISNUMBER(P69),1,0)+IF(ISNUMBER(Q69),1,0)+IF(ISNUMBER(R69),1,0)+IF(ISNUMBER(S69),1,0)+IF(ISNUMBER(T69),1,0)+IF(ISNUMBER(U69),1,0)+IF(ISNUMBER(V69),1,0)+IF(ISNUMBER(W69),1,0)+IF(ISNUMBER(X69),1,0)+IF(ISNUMBER(Y69),1,0)+IF(ISNUMBER(Z69),1,0)),2),"")</f>
        <v>8.21</v>
      </c>
      <c r="AB69" s="91" t="n">
        <f aca="false">IF(OR(Calculator!$E$11&lt;&gt;"YES",Calculator!$B$32&lt;Calculator!$G$11),"—",ROUND(MAX((50*POWER(80,POWER(COS(PI()*MOD(Calculator!$B$32/Calculator!$F$11,1)),2)))/$C69,$C69/(50*POWER(80,POWER(COS(PI()*MOD(Calculator!$B$32/Calculator!$F$11,1)),2)))),2))</f>
        <v>26.69</v>
      </c>
      <c r="AC69" s="91" t="n">
        <f aca="false">IF(OR(Calculator!$E$12&lt;&gt;"YES",Calculator!$B$32&lt;Calculator!$G$12),"—",ROUND(MAX((50*POWER(80,POWER(COS(PI()*MOD(Calculator!$B$32/Calculator!$F$12,1)),2)))/$C69,$C69/(50*POWER(80,POWER(COS(PI()*MOD(Calculator!$B$32/Calculator!$F$12,1)),2)))),2))</f>
        <v>1.09</v>
      </c>
      <c r="AD69" s="91" t="n">
        <f aca="false">IF(OR(Calculator!$E$13&lt;&gt;"YES",Calculator!$B$32&lt;Calculator!$G$13),"—",ROUND(MAX((50*POWER(80,POWER(COS(PI()*MOD(Calculator!$B$32/Calculator!$F$13,1)),2)))/$C69,$C69/(50*POWER(80,POWER(COS(PI()*MOD(Calculator!$B$32/Calculator!$F$13,1)),2)))),2))</f>
        <v>13.62</v>
      </c>
      <c r="AE69" s="91" t="n">
        <f aca="false">IF(OR(Calculator!$E$14&lt;&gt;"YES",Calculator!$B$32&lt;Calculator!$G$14),"—",ROUND(MAX((50*POWER(80,POWER(COS(PI()*MOD(Calculator!$B$32/Calculator!$F$14,1)),2)))/$C69,$C69/(50*POWER(80,POWER(COS(PI()*MOD(Calculator!$B$32/Calculator!$F$14,1)),2)))),2))</f>
        <v>2.49</v>
      </c>
      <c r="AF69" s="91" t="n">
        <f aca="false">IF(OR(Calculator!$E$15&lt;&gt;"YES",Calculator!$B$32&lt;Calculator!$G$15),"—",ROUND(MAX((50*POWER(80,POWER(COS(PI()*MOD(Calculator!$B$32/Calculator!$F$15,1)),2)))/$C69,$C69/(50*POWER(80,POWER(COS(PI()*MOD(Calculator!$B$32/Calculator!$F$15,1)),2)))),2))</f>
        <v>1.05</v>
      </c>
      <c r="AG69" s="91" t="n">
        <f aca="false">IF(OR(Calculator!$E$16&lt;&gt;"YES",Calculator!$B$32&lt;Calculator!$G$16),"—",ROUND(MAX((50*POWER(80,POWER(COS(PI()*MOD(Calculator!$B$32/Calculator!$F$16,1)),2)))/$C69,$C69/(50*POWER(80,POWER(COS(PI()*MOD(Calculator!$B$32/Calculator!$F$16,1)),2)))),2))</f>
        <v>21.75</v>
      </c>
      <c r="AH69" s="91" t="n">
        <f aca="false">IF(OR(Calculator!$E$17&lt;&gt;"YES",Calculator!$B$32&lt;Calculator!$G$17),"—",ROUND(MAX((50*POWER(80,POWER(COS(PI()*MOD(Calculator!$B$32/Calculator!$F$17,1)),2)))/$C69,$C69/(50*POWER(80,POWER(COS(PI()*MOD(Calculator!$B$32/Calculator!$F$17,1)),2)))),2))</f>
        <v>22.96</v>
      </c>
      <c r="AI69" s="91" t="n">
        <f aca="false">IF(OR(Calculator!$E$18&lt;&gt;"YES",Calculator!$B$32&lt;Calculator!$G$18),"—",ROUND(MAX((50*POWER(80,POWER(COS(PI()*MOD(Calculator!$B$32/Calculator!$F$18,1)),2)))/$C69,$C69/(50*POWER(80,POWER(COS(PI()*MOD(Calculator!$B$32/Calculator!$F$18,1)),2)))),2))</f>
        <v>30.28</v>
      </c>
      <c r="AJ69" s="91" t="n">
        <f aca="false">IF(OR(Calculator!$E$19&lt;&gt;"YES",Calculator!$B$32&lt;Calculator!$G$19),"—",ROUND(MAX((50*POWER(80,POWER(COS(PI()*MOD(Calculator!$B$32/Calculator!$F$19,1)),2)))/$C69,$C69/(50*POWER(80,POWER(COS(PI()*MOD(Calculator!$B$32/Calculator!$F$19,1)),2)))),2))</f>
        <v>6.38</v>
      </c>
      <c r="AK69" s="91" t="n">
        <f aca="false">IF(OR(Calculator!$E$20&lt;&gt;"YES",Calculator!$B$32&lt;Calculator!$G$20),"—",ROUND(MAX((50*POWER(80,POWER(COS(PI()*MOD(Calculator!$B$32/Calculator!$F$20,1)),2)))/$C69,$C69/(50*POWER(80,POWER(COS(PI()*MOD(Calculator!$B$32/Calculator!$F$20,1)),2)))),2))</f>
        <v>1.74</v>
      </c>
      <c r="AL69" s="91" t="n">
        <f aca="false">IF(OR(Calculator!$E$21&lt;&gt;"YES",Calculator!$B$32&lt;Calculator!$G$21),"—",ROUND(MAX((50*POWER(80,POWER(COS(PI()*MOD(Calculator!$B$32/Calculator!$F$21,1)),2)))/$C69,$C69/(50*POWER(80,POWER(COS(PI()*MOD(Calculator!$B$32/Calculator!$F$21,1)),2)))),2))</f>
        <v>1.51</v>
      </c>
      <c r="AM69" s="115" t="n">
        <f aca="false">IFERROR(ROUND((IF(ISNUMBER(AB69),AB69,0)+IF(ISNUMBER(AC69),AC69,0)+IF(ISNUMBER(AD69),AD69,0)+IF(ISNUMBER(AE69),AE69,0)+IF(ISNUMBER(AF69),AF69,0)+IF(ISNUMBER(AG69),AG69,0)+IF(ISNUMBER(AH69),AH69,0)+IF(ISNUMBER(AI69),AI69,0)+IF(ISNUMBER(AJ69),AJ69,0)+IF(ISNUMBER(AK69),AK69,0)+IF(ISNUMBER(AL69),AL69,0))/(IF(ISNUMBER(AB69),1,0)+IF(ISNUMBER(AC69),1,0)+IF(ISNUMBER(AD69),1,0)+IF(ISNUMBER(AE69),1,0)+IF(ISNUMBER(AF69),1,0)+IF(ISNUMBER(AG69),1,0)+IF(ISNUMBER(AH69),1,0)+IF(ISNUMBER(AI69),1,0)+IF(ISNUMBER(AJ69),1,0)+IF(ISNUMBER(AK69),1,0)+IF(ISNUMBER(AL69),1,0)),2),"")</f>
        <v>11.78</v>
      </c>
      <c r="AN69" s="116" t="n">
        <f aca="false">IF(OR(Calculator!$E$11&lt;&gt;"YES",Calculator!$B$33&lt;Calculator!$G$11),"—",ROUND(MAX((50*POWER(80,POWER(COS(PI()*MOD(Calculator!$B$33/Calculator!$F$11,1)),2)))/$C69,$C69/(50*POWER(80,POWER(COS(PI()*MOD(Calculator!$B$33/Calculator!$F$11,1)),2)))),2))</f>
        <v>21.47</v>
      </c>
      <c r="AO69" s="116" t="n">
        <f aca="false">IF(OR(Calculator!$E$12&lt;&gt;"YES",Calculator!$B$33&lt;Calculator!$G$12),"—",ROUND(MAX((50*POWER(80,POWER(COS(PI()*MOD(Calculator!$B$33/Calculator!$F$12,1)),2)))/$C69,$C69/(50*POWER(80,POWER(COS(PI()*MOD(Calculator!$B$33/Calculator!$F$12,1)),2)))),2))</f>
        <v>1.64</v>
      </c>
      <c r="AP69" s="116" t="n">
        <f aca="false">IF(OR(Calculator!$E$13&lt;&gt;"YES",Calculator!$B$33&lt;Calculator!$G$13),"—",ROUND(MAX((50*POWER(80,POWER(COS(PI()*MOD(Calculator!$B$33/Calculator!$F$13,1)),2)))/$C69,$C69/(50*POWER(80,POWER(COS(PI()*MOD(Calculator!$B$33/Calculator!$F$13,1)),2)))),2))</f>
        <v>5.18</v>
      </c>
      <c r="AQ69" s="116" t="n">
        <f aca="false">IF(OR(Calculator!$E$14&lt;&gt;"YES",Calculator!$B$33&lt;Calculator!$G$14),"—",ROUND(MAX((50*POWER(80,POWER(COS(PI()*MOD(Calculator!$B$33/Calculator!$F$14,1)),2)))/$C69,$C69/(50*POWER(80,POWER(COS(PI()*MOD(Calculator!$B$33/Calculator!$F$14,1)),2)))),2))</f>
        <v>9.64</v>
      </c>
      <c r="AR69" s="116" t="n">
        <f aca="false">IF(OR(Calculator!$E$15&lt;&gt;"YES",Calculator!$B$33&lt;Calculator!$G$15),"—",ROUND(MAX((50*POWER(80,POWER(COS(PI()*MOD(Calculator!$B$33/Calculator!$F$15,1)),2)))/$C69,$C69/(50*POWER(80,POWER(COS(PI()*MOD(Calculator!$B$33/Calculator!$F$15,1)),2)))),2))</f>
        <v>5.87</v>
      </c>
      <c r="AS69" s="116" t="n">
        <f aca="false">IF(OR(Calculator!$E$16&lt;&gt;"YES",Calculator!$B$33&lt;Calculator!$G$16),"—",ROUND(MAX((50*POWER(80,POWER(COS(PI()*MOD(Calculator!$B$33/Calculator!$F$16,1)),2)))/$C69,$C69/(50*POWER(80,POWER(COS(PI()*MOD(Calculator!$B$33/Calculator!$F$16,1)),2)))),2))</f>
        <v>27.13</v>
      </c>
      <c r="AT69" s="116" t="n">
        <f aca="false">IF(OR(Calculator!$E$17&lt;&gt;"YES",Calculator!$B$33&lt;Calculator!$G$17),"—",ROUND(MAX((50*POWER(80,POWER(COS(PI()*MOD(Calculator!$B$33/Calculator!$F$17,1)),2)))/$C69,$C69/(50*POWER(80,POWER(COS(PI()*MOD(Calculator!$B$33/Calculator!$F$17,1)),2)))),2))</f>
        <v>1.01</v>
      </c>
      <c r="AU69" s="116" t="n">
        <f aca="false">IF(OR(Calculator!$E$18&lt;&gt;"YES",Calculator!$B$33&lt;Calculator!$G$18),"—",ROUND(MAX((50*POWER(80,POWER(COS(PI()*MOD(Calculator!$B$33/Calculator!$F$18,1)),2)))/$C69,$C69/(50*POWER(80,POWER(COS(PI()*MOD(Calculator!$B$33/Calculator!$F$18,1)),2)))),2))</f>
        <v>1.05</v>
      </c>
      <c r="AV69" s="116" t="n">
        <f aca="false">IF(OR(Calculator!$E$19&lt;&gt;"YES",Calculator!$B$33&lt;Calculator!$G$19),"—",ROUND(MAX((50*POWER(80,POWER(COS(PI()*MOD(Calculator!$B$33/Calculator!$F$19,1)),2)))/$C69,$C69/(50*POWER(80,POWER(COS(PI()*MOD(Calculator!$B$33/Calculator!$F$19,1)),2)))),2))</f>
        <v>1.77</v>
      </c>
      <c r="AW69" s="116" t="n">
        <f aca="false">IF(OR(Calculator!$E$20&lt;&gt;"YES",Calculator!$B$33&lt;Calculator!$G$20),"—",ROUND(MAX((50*POWER(80,POWER(COS(PI()*MOD(Calculator!$B$33/Calculator!$F$20,1)),2)))/$C69,$C69/(50*POWER(80,POWER(COS(PI()*MOD(Calculator!$B$33/Calculator!$F$20,1)),2)))),2))</f>
        <v>12.36</v>
      </c>
      <c r="AX69" s="116" t="n">
        <f aca="false">IF(OR(Calculator!$E$21&lt;&gt;"YES",Calculator!$B$33&lt;Calculator!$G$21),"—",ROUND(MAX((50*POWER(80,POWER(COS(PI()*MOD(Calculator!$B$33/Calculator!$F$21,1)),2)))/$C69,$C69/(50*POWER(80,POWER(COS(PI()*MOD(Calculator!$B$33/Calculator!$F$21,1)),2)))),2))</f>
        <v>1.58</v>
      </c>
      <c r="AY69" s="115" t="n">
        <f aca="false">IFERROR(ROUND((IF(ISNUMBER(AN69),AN69,0)+IF(ISNUMBER(AO69),AO69,0)+IF(ISNUMBER(AP69),AP69,0)+IF(ISNUMBER(AQ69),AQ69,0)+IF(ISNUMBER(AR69),AR69,0)+IF(ISNUMBER(AS69),AS69,0)+IF(ISNUMBER(AT69),AT69,0)+IF(ISNUMBER(AU69),AU69,0)+IF(ISNUMBER(AV69),AV69,0)+IF(ISNUMBER(AW69),AW69,0)+IF(ISNUMBER(AX69),AX69,0))/(IF(ISNUMBER(AN69),1,0)+IF(ISNUMBER(AO69),1,0)+IF(ISNUMBER(AP69),1,0)+IF(ISNUMBER(AQ69),1,0)+IF(ISNUMBER(AR69),1,0)+IF(ISNUMBER(AS69),1,0)+IF(ISNUMBER(AT69),1,0)+IF(ISNUMBER(AU69),1,0)+IF(ISNUMBER(AV69),1,0)+IF(ISNUMBER(AW69),1,0)+IF(ISNUMBER(AX69),1,0)),2),"")</f>
        <v>8.06</v>
      </c>
      <c r="AZ69" s="116" t="n">
        <f aca="false">IF(OR(Calculator!$E$11&lt;&gt;"YES",Calculator!$B$34&lt;Calculator!$G$11),"—",ROUND(MAX((50*POWER(80,POWER(COS(PI()*MOD(Calculator!$B$34/Calculator!$F$11,1)),2)))/$C69,$C69/(50*POWER(80,POWER(COS(PI()*MOD(Calculator!$B$34/Calculator!$F$11,1)),2)))),2))</f>
        <v>20.69</v>
      </c>
      <c r="BA69" s="116" t="n">
        <f aca="false">IF(OR(Calculator!$E$12&lt;&gt;"YES",Calculator!$B$34&lt;Calculator!$G$12),"—",ROUND(MAX((50*POWER(80,POWER(COS(PI()*MOD(Calculator!$B$34/Calculator!$F$12,1)),2)))/$C69,$C69/(50*POWER(80,POWER(COS(PI()*MOD(Calculator!$B$34/Calculator!$F$12,1)),2)))),2))</f>
        <v>1.81</v>
      </c>
      <c r="BB69" s="116" t="n">
        <f aca="false">IF(OR(Calculator!$E$13&lt;&gt;"YES",Calculator!$B$34&lt;Calculator!$G$13),"—",ROUND(MAX((50*POWER(80,POWER(COS(PI()*MOD(Calculator!$B$34/Calculator!$F$13,1)),2)))/$C69,$C69/(50*POWER(80,POWER(COS(PI()*MOD(Calculator!$B$34/Calculator!$F$13,1)),2)))),2))</f>
        <v>4.43</v>
      </c>
      <c r="BC69" s="116" t="n">
        <f aca="false">IF(OR(Calculator!$E$14&lt;&gt;"YES",Calculator!$B$34&lt;Calculator!$G$14),"—",ROUND(MAX((50*POWER(80,POWER(COS(PI()*MOD(Calculator!$B$34/Calculator!$F$14,1)),2)))/$C69,$C69/(50*POWER(80,POWER(COS(PI()*MOD(Calculator!$B$34/Calculator!$F$14,1)),2)))),2))</f>
        <v>11.62</v>
      </c>
      <c r="BD69" s="116" t="n">
        <f aca="false">IF(OR(Calculator!$E$15&lt;&gt;"YES",Calculator!$B$34&lt;Calculator!$G$15),"—",ROUND(MAX((50*POWER(80,POWER(COS(PI()*MOD(Calculator!$B$34/Calculator!$F$15,1)),2)))/$C69,$C69/(50*POWER(80,POWER(COS(PI()*MOD(Calculator!$B$34/Calculator!$F$15,1)),2)))),2))</f>
        <v>7.81</v>
      </c>
      <c r="BE69" s="116" t="n">
        <f aca="false">IF(OR(Calculator!$E$16&lt;&gt;"YES",Calculator!$B$34&lt;Calculator!$G$16),"—",ROUND(MAX((50*POWER(80,POWER(COS(PI()*MOD(Calculator!$B$34/Calculator!$F$16,1)),2)))/$C69,$C69/(50*POWER(80,POWER(COS(PI()*MOD(Calculator!$B$34/Calculator!$F$16,1)),2)))),2))</f>
        <v>21.29</v>
      </c>
      <c r="BF69" s="116" t="n">
        <f aca="false">IF(OR(Calculator!$E$17&lt;&gt;"YES",Calculator!$B$34&lt;Calculator!$G$17),"—",ROUND(MAX((50*POWER(80,POWER(COS(PI()*MOD(Calculator!$B$34/Calculator!$F$17,1)),2)))/$C69,$C69/(50*POWER(80,POWER(COS(PI()*MOD(Calculator!$B$34/Calculator!$F$17,1)),2)))),2))</f>
        <v>1.42</v>
      </c>
      <c r="BG69" s="116" t="n">
        <f aca="false">IF(OR(Calculator!$E$18&lt;&gt;"YES",Calculator!$B$34&lt;Calculator!$G$18),"—",ROUND(MAX((50*POWER(80,POWER(COS(PI()*MOD(Calculator!$B$34/Calculator!$F$18,1)),2)))/$C69,$C69/(50*POWER(80,POWER(COS(PI()*MOD(Calculator!$B$34/Calculator!$F$18,1)),2)))),2))</f>
        <v>1.55</v>
      </c>
      <c r="BH69" s="116" t="n">
        <f aca="false">IF(OR(Calculator!$E$19&lt;&gt;"YES",Calculator!$B$34&lt;Calculator!$G$19),"—",ROUND(MAX((50*POWER(80,POWER(COS(PI()*MOD(Calculator!$B$34/Calculator!$F$19,1)),2)))/$C69,$C69/(50*POWER(80,POWER(COS(PI()*MOD(Calculator!$B$34/Calculator!$F$19,1)),2)))),2))</f>
        <v>1.18</v>
      </c>
      <c r="BI69" s="116" t="n">
        <f aca="false">IF(OR(Calculator!$E$20&lt;&gt;"YES",Calculator!$B$34&lt;Calculator!$G$20),"—",ROUND(MAX((50*POWER(80,POWER(COS(PI()*MOD(Calculator!$B$34/Calculator!$F$20,1)),2)))/$C69,$C69/(50*POWER(80,POWER(COS(PI()*MOD(Calculator!$B$34/Calculator!$F$20,1)),2)))),2))</f>
        <v>23.16</v>
      </c>
      <c r="BJ69" s="116" t="n">
        <f aca="false">IF(OR(Calculator!$E$21&lt;&gt;"YES",Calculator!$B$34&lt;Calculator!$G$21),"—",ROUND(MAX((50*POWER(80,POWER(COS(PI()*MOD(Calculator!$B$34/Calculator!$F$21,1)),2)))/$C69,$C69/(50*POWER(80,POWER(COS(PI()*MOD(Calculator!$B$34/Calculator!$F$21,1)),2)))),2))</f>
        <v>1.77</v>
      </c>
      <c r="BK69" s="115" t="n">
        <f aca="false">IFERROR(ROUND((IF(ISNUMBER(AZ69),AZ69,0)+IF(ISNUMBER(BA69),BA69,0)+IF(ISNUMBER(BB69),BB69,0)+IF(ISNUMBER(BC69),BC69,0)+IF(ISNUMBER(BD69),BD69,0)+IF(ISNUMBER(BE69),BE69,0)+IF(ISNUMBER(BF69),BF69,0)+IF(ISNUMBER(BG69),BG69,0)+IF(ISNUMBER(BH69),BH69,0)+IF(ISNUMBER(BI69),BI69,0)+IF(ISNUMBER(BJ69),BJ69,0))/(IF(ISNUMBER(AZ69),1,0)+IF(ISNUMBER(BA69),1,0)+IF(ISNUMBER(BB69),1,0)+IF(ISNUMBER(BC69),1,0)+IF(ISNUMBER(BD69),1,0)+IF(ISNUMBER(BE69),1,0)+IF(ISNUMBER(BF69),1,0)+IF(ISNUMBER(BG69),1,0)+IF(ISNUMBER(BH69),1,0)+IF(ISNUMBER(BI69),1,0)+IF(ISNUMBER(BJ69),1,0)),2),"")</f>
        <v>8.79</v>
      </c>
    </row>
    <row r="70" customFormat="false" ht="15" hidden="false" customHeight="false" outlineLevel="0" collapsed="false">
      <c r="A70" s="117" t="s">
        <v>128</v>
      </c>
      <c r="B70" s="117" t="s">
        <v>93</v>
      </c>
      <c r="C70" s="118" t="n">
        <v>1900</v>
      </c>
      <c r="D70" s="119" t="n">
        <f aca="false">IF(OR(Calculator!$E$11&lt;&gt;"YES",Calculator!$B$30&lt;Calculator!$G$11),"—",ROUND(MAX((50*POWER(80,POWER(COS(PI()*MOD(Calculator!$B$30/Calculator!$F$11,1)),2)))/$C70,$C70/(50*POWER(80,POWER(COS(PI()*MOD(Calculator!$B$30/Calculator!$F$11,1)),2)))),2))</f>
        <v>21.51</v>
      </c>
      <c r="E70" s="119" t="n">
        <f aca="false">IF(OR(Calculator!$E$12&lt;&gt;"YES",Calculator!$B$30&lt;Calculator!$G$12),"—",ROUND(MAX((50*POWER(80,POWER(COS(PI()*MOD(Calculator!$B$30/Calculator!$F$12,1)),2)))/$C70,$C70/(50*POWER(80,POWER(COS(PI()*MOD(Calculator!$B$30/Calculator!$F$12,1)),2)))),2))</f>
        <v>1.8</v>
      </c>
      <c r="F70" s="119" t="n">
        <f aca="false">IF(OR(Calculator!$E$13&lt;&gt;"YES",Calculator!$B$30&lt;Calculator!$G$13),"—",ROUND(MAX((50*POWER(80,POWER(COS(PI()*MOD(Calculator!$B$30/Calculator!$F$13,1)),2)))/$C70,$C70/(50*POWER(80,POWER(COS(PI()*MOD(Calculator!$B$30/Calculator!$F$13,1)),2)))),2))</f>
        <v>4.8</v>
      </c>
      <c r="G70" s="119" t="n">
        <f aca="false">IF(OR(Calculator!$E$14&lt;&gt;"YES",Calculator!$B$30&lt;Calculator!$G$14),"—",ROUND(MAX((50*POWER(80,POWER(COS(PI()*MOD(Calculator!$B$30/Calculator!$F$14,1)),2)))/$C70,$C70/(50*POWER(80,POWER(COS(PI()*MOD(Calculator!$B$30/Calculator!$F$14,1)),2)))),2))</f>
        <v>11.23</v>
      </c>
      <c r="H70" s="119" t="n">
        <f aca="false">IF(OR(Calculator!$E$15&lt;&gt;"YES",Calculator!$B$30&lt;Calculator!$G$15),"—",ROUND(MAX((50*POWER(80,POWER(COS(PI()*MOD(Calculator!$B$30/Calculator!$F$15,1)),2)))/$C70,$C70/(50*POWER(80,POWER(COS(PI()*MOD(Calculator!$B$30/Calculator!$F$15,1)),2)))),2))</f>
        <v>7.3</v>
      </c>
      <c r="I70" s="119" t="n">
        <f aca="false">IF(OR(Calculator!$E$16&lt;&gt;"YES",Calculator!$B$30&lt;Calculator!$G$16),"—",ROUND(MAX((50*POWER(80,POWER(COS(PI()*MOD(Calculator!$B$30/Calculator!$F$16,1)),2)))/$C70,$C70/(50*POWER(80,POWER(COS(PI()*MOD(Calculator!$B$30/Calculator!$F$16,1)),2)))),2))</f>
        <v>23.87</v>
      </c>
      <c r="J70" s="119" t="n">
        <f aca="false">IF(OR(Calculator!$E$17&lt;&gt;"YES",Calculator!$B$30&lt;Calculator!$G$17),"—",ROUND(MAX((50*POWER(80,POWER(COS(PI()*MOD(Calculator!$B$30/Calculator!$F$17,1)),2)))/$C70,$C70/(50*POWER(80,POWER(COS(PI()*MOD(Calculator!$B$30/Calculator!$F$17,1)),2)))),2))</f>
        <v>1.24</v>
      </c>
      <c r="K70" s="119" t="n">
        <f aca="false">IF(OR(Calculator!$E$18&lt;&gt;"YES",Calculator!$B$30&lt;Calculator!$G$18),"—",ROUND(MAX((50*POWER(80,POWER(COS(PI()*MOD(Calculator!$B$30/Calculator!$F$18,1)),2)))/$C70,$C70/(50*POWER(80,POWER(COS(PI()*MOD(Calculator!$B$30/Calculator!$F$18,1)),2)))),2))</f>
        <v>1.34</v>
      </c>
      <c r="L70" s="119" t="n">
        <f aca="false">IF(OR(Calculator!$E$19&lt;&gt;"YES",Calculator!$B$30&lt;Calculator!$G$19),"—",ROUND(MAX((50*POWER(80,POWER(COS(PI()*MOD(Calculator!$B$30/Calculator!$F$19,1)),2)))/$C70,$C70/(50*POWER(80,POWER(COS(PI()*MOD(Calculator!$B$30/Calculator!$F$19,1)),2)))),2))</f>
        <v>1.35</v>
      </c>
      <c r="M70" s="119" t="n">
        <f aca="false">IF(OR(Calculator!$E$20&lt;&gt;"YES",Calculator!$B$30&lt;Calculator!$G$20),"—",ROUND(MAX((50*POWER(80,POWER(COS(PI()*MOD(Calculator!$B$30/Calculator!$F$20,1)),2)))/$C70,$C70/(50*POWER(80,POWER(COS(PI()*MOD(Calculator!$B$30/Calculator!$F$20,1)),2)))),2))</f>
        <v>19.75</v>
      </c>
      <c r="N70" s="119" t="n">
        <f aca="false">IF(OR(Calculator!$E$21&lt;&gt;"YES",Calculator!$B$30&lt;Calculator!$G$21),"—",ROUND(MAX((50*POWER(80,POWER(COS(PI()*MOD(Calculator!$B$30/Calculator!$F$21,1)),2)))/$C70,$C70/(50*POWER(80,POWER(COS(PI()*MOD(Calculator!$B$30/Calculator!$F$21,1)),2)))),2))</f>
        <v>1.33</v>
      </c>
      <c r="O70" s="114" t="n">
        <f aca="false">IFERROR(ROUND((IF(ISNUMBER(D70),D70,0)+IF(ISNUMBER(E70),E70,0)+IF(ISNUMBER(F70),F70,0)+IF(ISNUMBER(G70),G70,0)+IF(ISNUMBER(H70),H70,0)+IF(ISNUMBER(I70),I70,0)+IF(ISNUMBER(J70),J70,0)+IF(ISNUMBER(K70),K70,0)+IF(ISNUMBER(L70),L70,0)+IF(ISNUMBER(M70),M70,0)+IF(ISNUMBER(N70),N70,0))/(IF(ISNUMBER(D70),1,0)+IF(ISNUMBER(E70),1,0)+IF(ISNUMBER(F70),1,0)+IF(ISNUMBER(G70),1,0)+IF(ISNUMBER(H70),1,0)+IF(ISNUMBER(I70),1,0)+IF(ISNUMBER(J70),1,0)+IF(ISNUMBER(K70),1,0)+IF(ISNUMBER(L70),1,0)+IF(ISNUMBER(M70),1,0)+IF(ISNUMBER(N70),1,0)),2),"")</f>
        <v>8.68</v>
      </c>
      <c r="P70" s="119" t="n">
        <f aca="false">IF(OR(Calculator!$E$11&lt;&gt;"YES",Calculator!$B$31&lt;Calculator!$G$11),"—",ROUND(MAX((50*POWER(80,POWER(COS(PI()*MOD(Calculator!$B$31/Calculator!$F$11,1)),2)))/$C70,$C70/(50*POWER(80,POWER(COS(PI()*MOD(Calculator!$B$31/Calculator!$F$11,1)),2)))),2))</f>
        <v>21.78</v>
      </c>
      <c r="Q70" s="119" t="n">
        <f aca="false">IF(OR(Calculator!$E$12&lt;&gt;"YES",Calculator!$B$31&lt;Calculator!$G$12),"—",ROUND(MAX((50*POWER(80,POWER(COS(PI()*MOD(Calculator!$B$31/Calculator!$F$12,1)),2)))/$C70,$C70/(50*POWER(80,POWER(COS(PI()*MOD(Calculator!$B$31/Calculator!$F$12,1)),2)))),2))</f>
        <v>1.74</v>
      </c>
      <c r="R70" s="119" t="n">
        <f aca="false">IF(OR(Calculator!$E$13&lt;&gt;"YES",Calculator!$B$31&lt;Calculator!$G$13),"—",ROUND(MAX((50*POWER(80,POWER(COS(PI()*MOD(Calculator!$B$31/Calculator!$F$13,1)),2)))/$C70,$C70/(50*POWER(80,POWER(COS(PI()*MOD(Calculator!$B$31/Calculator!$F$13,1)),2)))),2))</f>
        <v>5.05</v>
      </c>
      <c r="S70" s="119" t="n">
        <f aca="false">IF(OR(Calculator!$E$14&lt;&gt;"YES",Calculator!$B$31&lt;Calculator!$G$14),"—",ROUND(MAX((50*POWER(80,POWER(COS(PI()*MOD(Calculator!$B$31/Calculator!$F$14,1)),2)))/$C70,$C70/(50*POWER(80,POWER(COS(PI()*MOD(Calculator!$B$31/Calculator!$F$14,1)),2)))),2))</f>
        <v>10.55</v>
      </c>
      <c r="T70" s="119" t="n">
        <f aca="false">IF(OR(Calculator!$E$15&lt;&gt;"YES",Calculator!$B$31&lt;Calculator!$G$15),"—",ROUND(MAX((50*POWER(80,POWER(COS(PI()*MOD(Calculator!$B$31/Calculator!$F$15,1)),2)))/$C70,$C70/(50*POWER(80,POWER(COS(PI()*MOD(Calculator!$B$31/Calculator!$F$15,1)),2)))),2))</f>
        <v>6.64</v>
      </c>
      <c r="U70" s="119" t="n">
        <f aca="false">IF(OR(Calculator!$E$16&lt;&gt;"YES",Calculator!$B$31&lt;Calculator!$G$16),"—",ROUND(MAX((50*POWER(80,POWER(COS(PI()*MOD(Calculator!$B$31/Calculator!$F$16,1)),2)))/$C70,$C70/(50*POWER(80,POWER(COS(PI()*MOD(Calculator!$B$31/Calculator!$F$16,1)),2)))),2))</f>
        <v>25.88</v>
      </c>
      <c r="V70" s="119" t="n">
        <f aca="false">IF(OR(Calculator!$E$17&lt;&gt;"YES",Calculator!$B$31&lt;Calculator!$G$17),"—",ROUND(MAX((50*POWER(80,POWER(COS(PI()*MOD(Calculator!$B$31/Calculator!$F$17,1)),2)))/$C70,$C70/(50*POWER(80,POWER(COS(PI()*MOD(Calculator!$B$31/Calculator!$F$17,1)),2)))),2))</f>
        <v>1.1</v>
      </c>
      <c r="W70" s="119" t="n">
        <f aca="false">IF(OR(Calculator!$E$18&lt;&gt;"YES",Calculator!$B$31&lt;Calculator!$G$18),"—",ROUND(MAX((50*POWER(80,POWER(COS(PI()*MOD(Calculator!$B$31/Calculator!$F$18,1)),2)))/$C70,$C70/(50*POWER(80,POWER(COS(PI()*MOD(Calculator!$B$31/Calculator!$F$18,1)),2)))),2))</f>
        <v>1.18</v>
      </c>
      <c r="X70" s="119" t="n">
        <f aca="false">IF(OR(Calculator!$E$19&lt;&gt;"YES",Calculator!$B$31&lt;Calculator!$G$19),"—",ROUND(MAX((50*POWER(80,POWER(COS(PI()*MOD(Calculator!$B$31/Calculator!$F$19,1)),2)))/$C70,$C70/(50*POWER(80,POWER(COS(PI()*MOD(Calculator!$B$31/Calculator!$F$19,1)),2)))),2))</f>
        <v>1.54</v>
      </c>
      <c r="Y70" s="119" t="n">
        <f aca="false">IF(OR(Calculator!$E$20&lt;&gt;"YES",Calculator!$B$31&lt;Calculator!$G$20),"—",ROUND(MAX((50*POWER(80,POWER(COS(PI()*MOD(Calculator!$B$31/Calculator!$F$20,1)),2)))/$C70,$C70/(50*POWER(80,POWER(COS(PI()*MOD(Calculator!$B$31/Calculator!$F$20,1)),2)))),2))</f>
        <v>16</v>
      </c>
      <c r="Z70" s="119" t="n">
        <f aca="false">IF(OR(Calculator!$E$21&lt;&gt;"YES",Calculator!$B$31&lt;Calculator!$G$21),"—",ROUND(MAX((50*POWER(80,POWER(COS(PI()*MOD(Calculator!$B$31/Calculator!$F$21,1)),2)))/$C70,$C70/(50*POWER(80,POWER(COS(PI()*MOD(Calculator!$B$31/Calculator!$F$21,1)),2)))),2))</f>
        <v>1.06</v>
      </c>
      <c r="AA70" s="114" t="n">
        <f aca="false">IFERROR(ROUND((IF(ISNUMBER(P70),P70,0)+IF(ISNUMBER(Q70),Q70,0)+IF(ISNUMBER(R70),R70,0)+IF(ISNUMBER(S70),S70,0)+IF(ISNUMBER(T70),T70,0)+IF(ISNUMBER(U70),U70,0)+IF(ISNUMBER(V70),V70,0)+IF(ISNUMBER(W70),W70,0)+IF(ISNUMBER(X70),X70,0)+IF(ISNUMBER(Y70),Y70,0)+IF(ISNUMBER(Z70),Z70,0))/(IF(ISNUMBER(P70),1,0)+IF(ISNUMBER(Q70),1,0)+IF(ISNUMBER(R70),1,0)+IF(ISNUMBER(S70),1,0)+IF(ISNUMBER(T70),1,0)+IF(ISNUMBER(U70),1,0)+IF(ISNUMBER(V70),1,0)+IF(ISNUMBER(W70),1,0)+IF(ISNUMBER(X70),1,0)+IF(ISNUMBER(Y70),1,0)+IF(ISNUMBER(Z70),1,0)),2),"")</f>
        <v>8.41</v>
      </c>
      <c r="AB70" s="119" t="n">
        <f aca="false">IF(OR(Calculator!$E$11&lt;&gt;"YES",Calculator!$B$32&lt;Calculator!$G$11),"—",ROUND(MAX((50*POWER(80,POWER(COS(PI()*MOD(Calculator!$B$32/Calculator!$F$11,1)),2)))/$C70,$C70/(50*POWER(80,POWER(COS(PI()*MOD(Calculator!$B$32/Calculator!$F$11,1)),2)))),2))</f>
        <v>27.42</v>
      </c>
      <c r="AC70" s="119" t="n">
        <f aca="false">IF(OR(Calculator!$E$12&lt;&gt;"YES",Calculator!$B$32&lt;Calculator!$G$12),"—",ROUND(MAX((50*POWER(80,POWER(COS(PI()*MOD(Calculator!$B$32/Calculator!$F$12,1)),2)))/$C70,$C70/(50*POWER(80,POWER(COS(PI()*MOD(Calculator!$B$32/Calculator!$F$12,1)),2)))),2))</f>
        <v>1.06</v>
      </c>
      <c r="AD70" s="119" t="n">
        <f aca="false">IF(OR(Calculator!$E$13&lt;&gt;"YES",Calculator!$B$32&lt;Calculator!$G$13),"—",ROUND(MAX((50*POWER(80,POWER(COS(PI()*MOD(Calculator!$B$32/Calculator!$F$13,1)),2)))/$C70,$C70/(50*POWER(80,POWER(COS(PI()*MOD(Calculator!$B$32/Calculator!$F$13,1)),2)))),2))</f>
        <v>13.99</v>
      </c>
      <c r="AE70" s="119" t="n">
        <f aca="false">IF(OR(Calculator!$E$14&lt;&gt;"YES",Calculator!$B$32&lt;Calculator!$G$14),"—",ROUND(MAX((50*POWER(80,POWER(COS(PI()*MOD(Calculator!$B$32/Calculator!$F$14,1)),2)))/$C70,$C70/(50*POWER(80,POWER(COS(PI()*MOD(Calculator!$B$32/Calculator!$F$14,1)),2)))),2))</f>
        <v>2.56</v>
      </c>
      <c r="AF70" s="119" t="n">
        <f aca="false">IF(OR(Calculator!$E$15&lt;&gt;"YES",Calculator!$B$32&lt;Calculator!$G$15),"—",ROUND(MAX((50*POWER(80,POWER(COS(PI()*MOD(Calculator!$B$32/Calculator!$F$15,1)),2)))/$C70,$C70/(50*POWER(80,POWER(COS(PI()*MOD(Calculator!$B$32/Calculator!$F$15,1)),2)))),2))</f>
        <v>1.02</v>
      </c>
      <c r="AG70" s="119" t="n">
        <f aca="false">IF(OR(Calculator!$E$16&lt;&gt;"YES",Calculator!$B$32&lt;Calculator!$G$16),"—",ROUND(MAX((50*POWER(80,POWER(COS(PI()*MOD(Calculator!$B$32/Calculator!$F$16,1)),2)))/$C70,$C70/(50*POWER(80,POWER(COS(PI()*MOD(Calculator!$B$32/Calculator!$F$16,1)),2)))),2))</f>
        <v>22.34</v>
      </c>
      <c r="AH70" s="119" t="n">
        <f aca="false">IF(OR(Calculator!$E$17&lt;&gt;"YES",Calculator!$B$32&lt;Calculator!$G$17),"—",ROUND(MAX((50*POWER(80,POWER(COS(PI()*MOD(Calculator!$B$32/Calculator!$F$17,1)),2)))/$C70,$C70/(50*POWER(80,POWER(COS(PI()*MOD(Calculator!$B$32/Calculator!$F$17,1)),2)))),2))</f>
        <v>23.58</v>
      </c>
      <c r="AI70" s="119" t="n">
        <f aca="false">IF(OR(Calculator!$E$18&lt;&gt;"YES",Calculator!$B$32&lt;Calculator!$G$18),"—",ROUND(MAX((50*POWER(80,POWER(COS(PI()*MOD(Calculator!$B$32/Calculator!$F$18,1)),2)))/$C70,$C70/(50*POWER(80,POWER(COS(PI()*MOD(Calculator!$B$32/Calculator!$F$18,1)),2)))),2))</f>
        <v>31.1</v>
      </c>
      <c r="AJ70" s="119" t="n">
        <f aca="false">IF(OR(Calculator!$E$19&lt;&gt;"YES",Calculator!$B$32&lt;Calculator!$G$19),"—",ROUND(MAX((50*POWER(80,POWER(COS(PI()*MOD(Calculator!$B$32/Calculator!$F$19,1)),2)))/$C70,$C70/(50*POWER(80,POWER(COS(PI()*MOD(Calculator!$B$32/Calculator!$F$19,1)),2)))),2))</f>
        <v>6.56</v>
      </c>
      <c r="AK70" s="119" t="n">
        <f aca="false">IF(OR(Calculator!$E$20&lt;&gt;"YES",Calculator!$B$32&lt;Calculator!$G$20),"—",ROUND(MAX((50*POWER(80,POWER(COS(PI()*MOD(Calculator!$B$32/Calculator!$F$20,1)),2)))/$C70,$C70/(50*POWER(80,POWER(COS(PI()*MOD(Calculator!$B$32/Calculator!$F$20,1)),2)))),2))</f>
        <v>1.69</v>
      </c>
      <c r="AL70" s="119" t="n">
        <f aca="false">IF(OR(Calculator!$E$21&lt;&gt;"YES",Calculator!$B$32&lt;Calculator!$G$21),"—",ROUND(MAX((50*POWER(80,POWER(COS(PI()*MOD(Calculator!$B$32/Calculator!$F$21,1)),2)))/$C70,$C70/(50*POWER(80,POWER(COS(PI()*MOD(Calculator!$B$32/Calculator!$F$21,1)),2)))),2))</f>
        <v>1.47</v>
      </c>
      <c r="AM70" s="115" t="n">
        <f aca="false">IFERROR(ROUND((IF(ISNUMBER(AB70),AB70,0)+IF(ISNUMBER(AC70),AC70,0)+IF(ISNUMBER(AD70),AD70,0)+IF(ISNUMBER(AE70),AE70,0)+IF(ISNUMBER(AF70),AF70,0)+IF(ISNUMBER(AG70),AG70,0)+IF(ISNUMBER(AH70),AH70,0)+IF(ISNUMBER(AI70),AI70,0)+IF(ISNUMBER(AJ70),AJ70,0)+IF(ISNUMBER(AK70),AK70,0)+IF(ISNUMBER(AL70),AL70,0))/(IF(ISNUMBER(AB70),1,0)+IF(ISNUMBER(AC70),1,0)+IF(ISNUMBER(AD70),1,0)+IF(ISNUMBER(AE70),1,0)+IF(ISNUMBER(AF70),1,0)+IF(ISNUMBER(AG70),1,0)+IF(ISNUMBER(AH70),1,0)+IF(ISNUMBER(AI70),1,0)+IF(ISNUMBER(AJ70),1,0)+IF(ISNUMBER(AK70),1,0)+IF(ISNUMBER(AL70),1,0)),2),"")</f>
        <v>12.07</v>
      </c>
      <c r="AN70" s="120" t="n">
        <f aca="false">IF(OR(Calculator!$E$11&lt;&gt;"YES",Calculator!$B$33&lt;Calculator!$G$11),"—",ROUND(MAX((50*POWER(80,POWER(COS(PI()*MOD(Calculator!$B$33/Calculator!$F$11,1)),2)))/$C70,$C70/(50*POWER(80,POWER(COS(PI()*MOD(Calculator!$B$33/Calculator!$F$11,1)),2)))),2))</f>
        <v>22.05</v>
      </c>
      <c r="AO70" s="120" t="n">
        <f aca="false">IF(OR(Calculator!$E$12&lt;&gt;"YES",Calculator!$B$33&lt;Calculator!$G$12),"—",ROUND(MAX((50*POWER(80,POWER(COS(PI()*MOD(Calculator!$B$33/Calculator!$F$12,1)),2)))/$C70,$C70/(50*POWER(80,POWER(COS(PI()*MOD(Calculator!$B$33/Calculator!$F$12,1)),2)))),2))</f>
        <v>1.69</v>
      </c>
      <c r="AP70" s="120" t="n">
        <f aca="false">IF(OR(Calculator!$E$13&lt;&gt;"YES",Calculator!$B$33&lt;Calculator!$G$13),"—",ROUND(MAX((50*POWER(80,POWER(COS(PI()*MOD(Calculator!$B$33/Calculator!$F$13,1)),2)))/$C70,$C70/(50*POWER(80,POWER(COS(PI()*MOD(Calculator!$B$33/Calculator!$F$13,1)),2)))),2))</f>
        <v>5.32</v>
      </c>
      <c r="AQ70" s="120" t="n">
        <f aca="false">IF(OR(Calculator!$E$14&lt;&gt;"YES",Calculator!$B$33&lt;Calculator!$G$14),"—",ROUND(MAX((50*POWER(80,POWER(COS(PI()*MOD(Calculator!$B$33/Calculator!$F$14,1)),2)))/$C70,$C70/(50*POWER(80,POWER(COS(PI()*MOD(Calculator!$B$33/Calculator!$F$14,1)),2)))),2))</f>
        <v>9.9</v>
      </c>
      <c r="AR70" s="120" t="n">
        <f aca="false">IF(OR(Calculator!$E$15&lt;&gt;"YES",Calculator!$B$33&lt;Calculator!$G$15),"—",ROUND(MAX((50*POWER(80,POWER(COS(PI()*MOD(Calculator!$B$33/Calculator!$F$15,1)),2)))/$C70,$C70/(50*POWER(80,POWER(COS(PI()*MOD(Calculator!$B$33/Calculator!$F$15,1)),2)))),2))</f>
        <v>6.03</v>
      </c>
      <c r="AS70" s="120" t="n">
        <f aca="false">IF(OR(Calculator!$E$16&lt;&gt;"YES",Calculator!$B$33&lt;Calculator!$G$16),"—",ROUND(MAX((50*POWER(80,POWER(COS(PI()*MOD(Calculator!$B$33/Calculator!$F$16,1)),2)))/$C70,$C70/(50*POWER(80,POWER(COS(PI()*MOD(Calculator!$B$33/Calculator!$F$16,1)),2)))),2))</f>
        <v>27.86</v>
      </c>
      <c r="AT70" s="120" t="n">
        <f aca="false">IF(OR(Calculator!$E$17&lt;&gt;"YES",Calculator!$B$33&lt;Calculator!$G$17),"—",ROUND(MAX((50*POWER(80,POWER(COS(PI()*MOD(Calculator!$B$33/Calculator!$F$17,1)),2)))/$C70,$C70/(50*POWER(80,POWER(COS(PI()*MOD(Calculator!$B$33/Calculator!$F$17,1)),2)))),2))</f>
        <v>1.04</v>
      </c>
      <c r="AU70" s="120" t="n">
        <f aca="false">IF(OR(Calculator!$E$18&lt;&gt;"YES",Calculator!$B$33&lt;Calculator!$G$18),"—",ROUND(MAX((50*POWER(80,POWER(COS(PI()*MOD(Calculator!$B$33/Calculator!$F$18,1)),2)))/$C70,$C70/(50*POWER(80,POWER(COS(PI()*MOD(Calculator!$B$33/Calculator!$F$18,1)),2)))),2))</f>
        <v>1.02</v>
      </c>
      <c r="AV70" s="120" t="n">
        <f aca="false">IF(OR(Calculator!$E$19&lt;&gt;"YES",Calculator!$B$33&lt;Calculator!$G$19),"—",ROUND(MAX((50*POWER(80,POWER(COS(PI()*MOD(Calculator!$B$33/Calculator!$F$19,1)),2)))/$C70,$C70/(50*POWER(80,POWER(COS(PI()*MOD(Calculator!$B$33/Calculator!$F$19,1)),2)))),2))</f>
        <v>1.73</v>
      </c>
      <c r="AW70" s="120" t="n">
        <f aca="false">IF(OR(Calculator!$E$20&lt;&gt;"YES",Calculator!$B$33&lt;Calculator!$G$20),"—",ROUND(MAX((50*POWER(80,POWER(COS(PI()*MOD(Calculator!$B$33/Calculator!$F$20,1)),2)))/$C70,$C70/(50*POWER(80,POWER(COS(PI()*MOD(Calculator!$B$33/Calculator!$F$20,1)),2)))),2))</f>
        <v>12.69</v>
      </c>
      <c r="AX70" s="120" t="n">
        <f aca="false">IF(OR(Calculator!$E$21&lt;&gt;"YES",Calculator!$B$33&lt;Calculator!$G$21),"—",ROUND(MAX((50*POWER(80,POWER(COS(PI()*MOD(Calculator!$B$33/Calculator!$F$21,1)),2)))/$C70,$C70/(50*POWER(80,POWER(COS(PI()*MOD(Calculator!$B$33/Calculator!$F$21,1)),2)))),2))</f>
        <v>1.62</v>
      </c>
      <c r="AY70" s="115" t="n">
        <f aca="false">IFERROR(ROUND((IF(ISNUMBER(AN70),AN70,0)+IF(ISNUMBER(AO70),AO70,0)+IF(ISNUMBER(AP70),AP70,0)+IF(ISNUMBER(AQ70),AQ70,0)+IF(ISNUMBER(AR70),AR70,0)+IF(ISNUMBER(AS70),AS70,0)+IF(ISNUMBER(AT70),AT70,0)+IF(ISNUMBER(AU70),AU70,0)+IF(ISNUMBER(AV70),AV70,0)+IF(ISNUMBER(AW70),AW70,0)+IF(ISNUMBER(AX70),AX70,0))/(IF(ISNUMBER(AN70),1,0)+IF(ISNUMBER(AO70),1,0)+IF(ISNUMBER(AP70),1,0)+IF(ISNUMBER(AQ70),1,0)+IF(ISNUMBER(AR70),1,0)+IF(ISNUMBER(AS70),1,0)+IF(ISNUMBER(AT70),1,0)+IF(ISNUMBER(AU70),1,0)+IF(ISNUMBER(AV70),1,0)+IF(ISNUMBER(AW70),1,0)+IF(ISNUMBER(AX70),1,0)),2),"")</f>
        <v>8.27</v>
      </c>
      <c r="AZ70" s="120" t="n">
        <f aca="false">IF(OR(Calculator!$E$11&lt;&gt;"YES",Calculator!$B$34&lt;Calculator!$G$11),"—",ROUND(MAX((50*POWER(80,POWER(COS(PI()*MOD(Calculator!$B$34/Calculator!$F$11,1)),2)))/$C70,$C70/(50*POWER(80,POWER(COS(PI()*MOD(Calculator!$B$34/Calculator!$F$11,1)),2)))),2))</f>
        <v>21.25</v>
      </c>
      <c r="BA70" s="120" t="n">
        <f aca="false">IF(OR(Calculator!$E$12&lt;&gt;"YES",Calculator!$B$34&lt;Calculator!$G$12),"—",ROUND(MAX((50*POWER(80,POWER(COS(PI()*MOD(Calculator!$B$34/Calculator!$F$12,1)),2)))/$C70,$C70/(50*POWER(80,POWER(COS(PI()*MOD(Calculator!$B$34/Calculator!$F$12,1)),2)))),2))</f>
        <v>1.86</v>
      </c>
      <c r="BB70" s="120" t="n">
        <f aca="false">IF(OR(Calculator!$E$13&lt;&gt;"YES",Calculator!$B$34&lt;Calculator!$G$13),"—",ROUND(MAX((50*POWER(80,POWER(COS(PI()*MOD(Calculator!$B$34/Calculator!$F$13,1)),2)))/$C70,$C70/(50*POWER(80,POWER(COS(PI()*MOD(Calculator!$B$34/Calculator!$F$13,1)),2)))),2))</f>
        <v>4.55</v>
      </c>
      <c r="BC70" s="120" t="n">
        <f aca="false">IF(OR(Calculator!$E$14&lt;&gt;"YES",Calculator!$B$34&lt;Calculator!$G$14),"—",ROUND(MAX((50*POWER(80,POWER(COS(PI()*MOD(Calculator!$B$34/Calculator!$F$14,1)),2)))/$C70,$C70/(50*POWER(80,POWER(COS(PI()*MOD(Calculator!$B$34/Calculator!$F$14,1)),2)))),2))</f>
        <v>11.94</v>
      </c>
      <c r="BD70" s="120" t="n">
        <f aca="false">IF(OR(Calculator!$E$15&lt;&gt;"YES",Calculator!$B$34&lt;Calculator!$G$15),"—",ROUND(MAX((50*POWER(80,POWER(COS(PI()*MOD(Calculator!$B$34/Calculator!$F$15,1)),2)))/$C70,$C70/(50*POWER(80,POWER(COS(PI()*MOD(Calculator!$B$34/Calculator!$F$15,1)),2)))),2))</f>
        <v>8.02</v>
      </c>
      <c r="BE70" s="120" t="n">
        <f aca="false">IF(OR(Calculator!$E$16&lt;&gt;"YES",Calculator!$B$34&lt;Calculator!$G$16),"—",ROUND(MAX((50*POWER(80,POWER(COS(PI()*MOD(Calculator!$B$34/Calculator!$F$16,1)),2)))/$C70,$C70/(50*POWER(80,POWER(COS(PI()*MOD(Calculator!$B$34/Calculator!$F$16,1)),2)))),2))</f>
        <v>21.86</v>
      </c>
      <c r="BF70" s="120" t="n">
        <f aca="false">IF(OR(Calculator!$E$17&lt;&gt;"YES",Calculator!$B$34&lt;Calculator!$G$17),"—",ROUND(MAX((50*POWER(80,POWER(COS(PI()*MOD(Calculator!$B$34/Calculator!$F$17,1)),2)))/$C70,$C70/(50*POWER(80,POWER(COS(PI()*MOD(Calculator!$B$34/Calculator!$F$17,1)),2)))),2))</f>
        <v>1.38</v>
      </c>
      <c r="BG70" s="120" t="n">
        <f aca="false">IF(OR(Calculator!$E$18&lt;&gt;"YES",Calculator!$B$34&lt;Calculator!$G$18),"—",ROUND(MAX((50*POWER(80,POWER(COS(PI()*MOD(Calculator!$B$34/Calculator!$F$18,1)),2)))/$C70,$C70/(50*POWER(80,POWER(COS(PI()*MOD(Calculator!$B$34/Calculator!$F$18,1)),2)))),2))</f>
        <v>1.51</v>
      </c>
      <c r="BH70" s="120" t="n">
        <f aca="false">IF(OR(Calculator!$E$19&lt;&gt;"YES",Calculator!$B$34&lt;Calculator!$G$19),"—",ROUND(MAX((50*POWER(80,POWER(COS(PI()*MOD(Calculator!$B$34/Calculator!$F$19,1)),2)))/$C70,$C70/(50*POWER(80,POWER(COS(PI()*MOD(Calculator!$B$34/Calculator!$F$19,1)),2)))),2))</f>
        <v>1.15</v>
      </c>
      <c r="BI70" s="120" t="n">
        <f aca="false">IF(OR(Calculator!$E$20&lt;&gt;"YES",Calculator!$B$34&lt;Calculator!$G$20),"—",ROUND(MAX((50*POWER(80,POWER(COS(PI()*MOD(Calculator!$B$34/Calculator!$F$20,1)),2)))/$C70,$C70/(50*POWER(80,POWER(COS(PI()*MOD(Calculator!$B$34/Calculator!$F$20,1)),2)))),2))</f>
        <v>23.78</v>
      </c>
      <c r="BJ70" s="120" t="n">
        <f aca="false">IF(OR(Calculator!$E$21&lt;&gt;"YES",Calculator!$B$34&lt;Calculator!$G$21),"—",ROUND(MAX((50*POWER(80,POWER(COS(PI()*MOD(Calculator!$B$34/Calculator!$F$21,1)),2)))/$C70,$C70/(50*POWER(80,POWER(COS(PI()*MOD(Calculator!$B$34/Calculator!$F$21,1)),2)))),2))</f>
        <v>1.73</v>
      </c>
      <c r="BK70" s="115" t="n">
        <f aca="false">IFERROR(ROUND((IF(ISNUMBER(AZ70),AZ70,0)+IF(ISNUMBER(BA70),BA70,0)+IF(ISNUMBER(BB70),BB70,0)+IF(ISNUMBER(BC70),BC70,0)+IF(ISNUMBER(BD70),BD70,0)+IF(ISNUMBER(BE70),BE70,0)+IF(ISNUMBER(BF70),BF70,0)+IF(ISNUMBER(BG70),BG70,0)+IF(ISNUMBER(BH70),BH70,0)+IF(ISNUMBER(BI70),BI70,0)+IF(ISNUMBER(BJ70),BJ70,0))/(IF(ISNUMBER(AZ70),1,0)+IF(ISNUMBER(BA70),1,0)+IF(ISNUMBER(BB70),1,0)+IF(ISNUMBER(BC70),1,0)+IF(ISNUMBER(BD70),1,0)+IF(ISNUMBER(BE70),1,0)+IF(ISNUMBER(BF70),1,0)+IF(ISNUMBER(BG70),1,0)+IF(ISNUMBER(BH70),1,0)+IF(ISNUMBER(BI70),1,0)+IF(ISNUMBER(BJ70),1,0)),2),"")</f>
        <v>9</v>
      </c>
    </row>
    <row r="71" customFormat="false" ht="15" hidden="false" customHeight="false" outlineLevel="0" collapsed="false">
      <c r="A71" s="87" t="s">
        <v>129</v>
      </c>
      <c r="B71" s="87" t="s">
        <v>93</v>
      </c>
      <c r="C71" s="90" t="n">
        <v>1950</v>
      </c>
      <c r="D71" s="91" t="n">
        <f aca="false">IF(OR(Calculator!$E$11&lt;&gt;"YES",Calculator!$B$30&lt;Calculator!$G$11),"—",ROUND(MAX((50*POWER(80,POWER(COS(PI()*MOD(Calculator!$B$30/Calculator!$F$11,1)),2)))/$C71,$C71/(50*POWER(80,POWER(COS(PI()*MOD(Calculator!$B$30/Calculator!$F$11,1)),2)))),2))</f>
        <v>22.08</v>
      </c>
      <c r="E71" s="91" t="n">
        <f aca="false">IF(OR(Calculator!$E$12&lt;&gt;"YES",Calculator!$B$30&lt;Calculator!$G$12),"—",ROUND(MAX((50*POWER(80,POWER(COS(PI()*MOD(Calculator!$B$30/Calculator!$F$12,1)),2)))/$C71,$C71/(50*POWER(80,POWER(COS(PI()*MOD(Calculator!$B$30/Calculator!$F$12,1)),2)))),2))</f>
        <v>1.85</v>
      </c>
      <c r="F71" s="91" t="n">
        <f aca="false">IF(OR(Calculator!$E$13&lt;&gt;"YES",Calculator!$B$30&lt;Calculator!$G$13),"—",ROUND(MAX((50*POWER(80,POWER(COS(PI()*MOD(Calculator!$B$30/Calculator!$F$13,1)),2)))/$C71,$C71/(50*POWER(80,POWER(COS(PI()*MOD(Calculator!$B$30/Calculator!$F$13,1)),2)))),2))</f>
        <v>4.92</v>
      </c>
      <c r="G71" s="91" t="n">
        <f aca="false">IF(OR(Calculator!$E$14&lt;&gt;"YES",Calculator!$B$30&lt;Calculator!$G$14),"—",ROUND(MAX((50*POWER(80,POWER(COS(PI()*MOD(Calculator!$B$30/Calculator!$F$14,1)),2)))/$C71,$C71/(50*POWER(80,POWER(COS(PI()*MOD(Calculator!$B$30/Calculator!$F$14,1)),2)))),2))</f>
        <v>11.52</v>
      </c>
      <c r="H71" s="91" t="n">
        <f aca="false">IF(OR(Calculator!$E$15&lt;&gt;"YES",Calculator!$B$30&lt;Calculator!$G$15),"—",ROUND(MAX((50*POWER(80,POWER(COS(PI()*MOD(Calculator!$B$30/Calculator!$F$15,1)),2)))/$C71,$C71/(50*POWER(80,POWER(COS(PI()*MOD(Calculator!$B$30/Calculator!$F$15,1)),2)))),2))</f>
        <v>7.49</v>
      </c>
      <c r="I71" s="91" t="n">
        <f aca="false">IF(OR(Calculator!$E$16&lt;&gt;"YES",Calculator!$B$30&lt;Calculator!$G$16),"—",ROUND(MAX((50*POWER(80,POWER(COS(PI()*MOD(Calculator!$B$30/Calculator!$F$16,1)),2)))/$C71,$C71/(50*POWER(80,POWER(COS(PI()*MOD(Calculator!$B$30/Calculator!$F$16,1)),2)))),2))</f>
        <v>24.49</v>
      </c>
      <c r="J71" s="91" t="n">
        <f aca="false">IF(OR(Calculator!$E$17&lt;&gt;"YES",Calculator!$B$30&lt;Calculator!$G$17),"—",ROUND(MAX((50*POWER(80,POWER(COS(PI()*MOD(Calculator!$B$30/Calculator!$F$17,1)),2)))/$C71,$C71/(50*POWER(80,POWER(COS(PI()*MOD(Calculator!$B$30/Calculator!$F$17,1)),2)))),2))</f>
        <v>1.21</v>
      </c>
      <c r="K71" s="91" t="n">
        <f aca="false">IF(OR(Calculator!$E$18&lt;&gt;"YES",Calculator!$B$30&lt;Calculator!$G$18),"—",ROUND(MAX((50*POWER(80,POWER(COS(PI()*MOD(Calculator!$B$30/Calculator!$F$18,1)),2)))/$C71,$C71/(50*POWER(80,POWER(COS(PI()*MOD(Calculator!$B$30/Calculator!$F$18,1)),2)))),2))</f>
        <v>1.31</v>
      </c>
      <c r="L71" s="91" t="n">
        <f aca="false">IF(OR(Calculator!$E$19&lt;&gt;"YES",Calculator!$B$30&lt;Calculator!$G$19),"—",ROUND(MAX((50*POWER(80,POWER(COS(PI()*MOD(Calculator!$B$30/Calculator!$F$19,1)),2)))/$C71,$C71/(50*POWER(80,POWER(COS(PI()*MOD(Calculator!$B$30/Calculator!$F$19,1)),2)))),2))</f>
        <v>1.31</v>
      </c>
      <c r="M71" s="91" t="n">
        <f aca="false">IF(OR(Calculator!$E$20&lt;&gt;"YES",Calculator!$B$30&lt;Calculator!$G$20),"—",ROUND(MAX((50*POWER(80,POWER(COS(PI()*MOD(Calculator!$B$30/Calculator!$F$20,1)),2)))/$C71,$C71/(50*POWER(80,POWER(COS(PI()*MOD(Calculator!$B$30/Calculator!$F$20,1)),2)))),2))</f>
        <v>20.27</v>
      </c>
      <c r="N71" s="91" t="n">
        <f aca="false">IF(OR(Calculator!$E$21&lt;&gt;"YES",Calculator!$B$30&lt;Calculator!$G$21),"—",ROUND(MAX((50*POWER(80,POWER(COS(PI()*MOD(Calculator!$B$30/Calculator!$F$21,1)),2)))/$C71,$C71/(50*POWER(80,POWER(COS(PI()*MOD(Calculator!$B$30/Calculator!$F$21,1)),2)))),2))</f>
        <v>1.3</v>
      </c>
      <c r="O71" s="114" t="n">
        <f aca="false">IFERROR(ROUND((IF(ISNUMBER(D71),D71,0)+IF(ISNUMBER(E71),E71,0)+IF(ISNUMBER(F71),F71,0)+IF(ISNUMBER(G71),G71,0)+IF(ISNUMBER(H71),H71,0)+IF(ISNUMBER(I71),I71,0)+IF(ISNUMBER(J71),J71,0)+IF(ISNUMBER(K71),K71,0)+IF(ISNUMBER(L71),L71,0)+IF(ISNUMBER(M71),M71,0)+IF(ISNUMBER(N71),N71,0))/(IF(ISNUMBER(D71),1,0)+IF(ISNUMBER(E71),1,0)+IF(ISNUMBER(F71),1,0)+IF(ISNUMBER(G71),1,0)+IF(ISNUMBER(H71),1,0)+IF(ISNUMBER(I71),1,0)+IF(ISNUMBER(J71),1,0)+IF(ISNUMBER(K71),1,0)+IF(ISNUMBER(L71),1,0)+IF(ISNUMBER(M71),1,0)+IF(ISNUMBER(N71),1,0)),2),"")</f>
        <v>8.89</v>
      </c>
      <c r="P71" s="91" t="n">
        <f aca="false">IF(OR(Calculator!$E$11&lt;&gt;"YES",Calculator!$B$31&lt;Calculator!$G$11),"—",ROUND(MAX((50*POWER(80,POWER(COS(PI()*MOD(Calculator!$B$31/Calculator!$F$11,1)),2)))/$C71,$C71/(50*POWER(80,POWER(COS(PI()*MOD(Calculator!$B$31/Calculator!$F$11,1)),2)))),2))</f>
        <v>22.35</v>
      </c>
      <c r="Q71" s="91" t="n">
        <f aca="false">IF(OR(Calculator!$E$12&lt;&gt;"YES",Calculator!$B$31&lt;Calculator!$G$12),"—",ROUND(MAX((50*POWER(80,POWER(COS(PI()*MOD(Calculator!$B$31/Calculator!$F$12,1)),2)))/$C71,$C71/(50*POWER(80,POWER(COS(PI()*MOD(Calculator!$B$31/Calculator!$F$12,1)),2)))),2))</f>
        <v>1.79</v>
      </c>
      <c r="R71" s="91" t="n">
        <f aca="false">IF(OR(Calculator!$E$13&lt;&gt;"YES",Calculator!$B$31&lt;Calculator!$G$13),"—",ROUND(MAX((50*POWER(80,POWER(COS(PI()*MOD(Calculator!$B$31/Calculator!$F$13,1)),2)))/$C71,$C71/(50*POWER(80,POWER(COS(PI()*MOD(Calculator!$B$31/Calculator!$F$13,1)),2)))),2))</f>
        <v>5.18</v>
      </c>
      <c r="S71" s="91" t="n">
        <f aca="false">IF(OR(Calculator!$E$14&lt;&gt;"YES",Calculator!$B$31&lt;Calculator!$G$14),"—",ROUND(MAX((50*POWER(80,POWER(COS(PI()*MOD(Calculator!$B$31/Calculator!$F$14,1)),2)))/$C71,$C71/(50*POWER(80,POWER(COS(PI()*MOD(Calculator!$B$31/Calculator!$F$14,1)),2)))),2))</f>
        <v>10.82</v>
      </c>
      <c r="T71" s="91" t="n">
        <f aca="false">IF(OR(Calculator!$E$15&lt;&gt;"YES",Calculator!$B$31&lt;Calculator!$G$15),"—",ROUND(MAX((50*POWER(80,POWER(COS(PI()*MOD(Calculator!$B$31/Calculator!$F$15,1)),2)))/$C71,$C71/(50*POWER(80,POWER(COS(PI()*MOD(Calculator!$B$31/Calculator!$F$15,1)),2)))),2))</f>
        <v>6.81</v>
      </c>
      <c r="U71" s="91" t="n">
        <f aca="false">IF(OR(Calculator!$E$16&lt;&gt;"YES",Calculator!$B$31&lt;Calculator!$G$16),"—",ROUND(MAX((50*POWER(80,POWER(COS(PI()*MOD(Calculator!$B$31/Calculator!$F$16,1)),2)))/$C71,$C71/(50*POWER(80,POWER(COS(PI()*MOD(Calculator!$B$31/Calculator!$F$16,1)),2)))),2))</f>
        <v>26.56</v>
      </c>
      <c r="V71" s="91" t="n">
        <f aca="false">IF(OR(Calculator!$E$17&lt;&gt;"YES",Calculator!$B$31&lt;Calculator!$G$17),"—",ROUND(MAX((50*POWER(80,POWER(COS(PI()*MOD(Calculator!$B$31/Calculator!$F$17,1)),2)))/$C71,$C71/(50*POWER(80,POWER(COS(PI()*MOD(Calculator!$B$31/Calculator!$F$17,1)),2)))),2))</f>
        <v>1.07</v>
      </c>
      <c r="W71" s="91" t="n">
        <f aca="false">IF(OR(Calculator!$E$18&lt;&gt;"YES",Calculator!$B$31&lt;Calculator!$G$18),"—",ROUND(MAX((50*POWER(80,POWER(COS(PI()*MOD(Calculator!$B$31/Calculator!$F$18,1)),2)))/$C71,$C71/(50*POWER(80,POWER(COS(PI()*MOD(Calculator!$B$31/Calculator!$F$18,1)),2)))),2))</f>
        <v>1.15</v>
      </c>
      <c r="X71" s="91" t="n">
        <f aca="false">IF(OR(Calculator!$E$19&lt;&gt;"YES",Calculator!$B$31&lt;Calculator!$G$19),"—",ROUND(MAX((50*POWER(80,POWER(COS(PI()*MOD(Calculator!$B$31/Calculator!$F$19,1)),2)))/$C71,$C71/(50*POWER(80,POWER(COS(PI()*MOD(Calculator!$B$31/Calculator!$F$19,1)),2)))),2))</f>
        <v>1.5</v>
      </c>
      <c r="Y71" s="91" t="n">
        <f aca="false">IF(OR(Calculator!$E$20&lt;&gt;"YES",Calculator!$B$31&lt;Calculator!$G$20),"—",ROUND(MAX((50*POWER(80,POWER(COS(PI()*MOD(Calculator!$B$31/Calculator!$F$20,1)),2)))/$C71,$C71/(50*POWER(80,POWER(COS(PI()*MOD(Calculator!$B$31/Calculator!$F$20,1)),2)))),2))</f>
        <v>16.42</v>
      </c>
      <c r="Z71" s="91" t="n">
        <f aca="false">IF(OR(Calculator!$E$21&lt;&gt;"YES",Calculator!$B$31&lt;Calculator!$G$21),"—",ROUND(MAX((50*POWER(80,POWER(COS(PI()*MOD(Calculator!$B$31/Calculator!$F$21,1)),2)))/$C71,$C71/(50*POWER(80,POWER(COS(PI()*MOD(Calculator!$B$31/Calculator!$F$21,1)),2)))),2))</f>
        <v>1.09</v>
      </c>
      <c r="AA71" s="114" t="n">
        <f aca="false">IFERROR(ROUND((IF(ISNUMBER(P71),P71,0)+IF(ISNUMBER(Q71),Q71,0)+IF(ISNUMBER(R71),R71,0)+IF(ISNUMBER(S71),S71,0)+IF(ISNUMBER(T71),T71,0)+IF(ISNUMBER(U71),U71,0)+IF(ISNUMBER(V71),V71,0)+IF(ISNUMBER(W71),W71,0)+IF(ISNUMBER(X71),X71,0)+IF(ISNUMBER(Y71),Y71,0)+IF(ISNUMBER(Z71),Z71,0))/(IF(ISNUMBER(P71),1,0)+IF(ISNUMBER(Q71),1,0)+IF(ISNUMBER(R71),1,0)+IF(ISNUMBER(S71),1,0)+IF(ISNUMBER(T71),1,0)+IF(ISNUMBER(U71),1,0)+IF(ISNUMBER(V71),1,0)+IF(ISNUMBER(W71),1,0)+IF(ISNUMBER(X71),1,0)+IF(ISNUMBER(Y71),1,0)+IF(ISNUMBER(Z71),1,0)),2),"")</f>
        <v>8.61</v>
      </c>
      <c r="AB71" s="91" t="n">
        <f aca="false">IF(OR(Calculator!$E$11&lt;&gt;"YES",Calculator!$B$32&lt;Calculator!$G$11),"—",ROUND(MAX((50*POWER(80,POWER(COS(PI()*MOD(Calculator!$B$32/Calculator!$F$11,1)),2)))/$C71,$C71/(50*POWER(80,POWER(COS(PI()*MOD(Calculator!$B$32/Calculator!$F$11,1)),2)))),2))</f>
        <v>28.14</v>
      </c>
      <c r="AC71" s="91" t="n">
        <f aca="false">IF(OR(Calculator!$E$12&lt;&gt;"YES",Calculator!$B$32&lt;Calculator!$G$12),"—",ROUND(MAX((50*POWER(80,POWER(COS(PI()*MOD(Calculator!$B$32/Calculator!$F$12,1)),2)))/$C71,$C71/(50*POWER(80,POWER(COS(PI()*MOD(Calculator!$B$32/Calculator!$F$12,1)),2)))),2))</f>
        <v>1.03</v>
      </c>
      <c r="AD71" s="91" t="n">
        <f aca="false">IF(OR(Calculator!$E$13&lt;&gt;"YES",Calculator!$B$32&lt;Calculator!$G$13),"—",ROUND(MAX((50*POWER(80,POWER(COS(PI()*MOD(Calculator!$B$32/Calculator!$F$13,1)),2)))/$C71,$C71/(50*POWER(80,POWER(COS(PI()*MOD(Calculator!$B$32/Calculator!$F$13,1)),2)))),2))</f>
        <v>14.36</v>
      </c>
      <c r="AE71" s="91" t="n">
        <f aca="false">IF(OR(Calculator!$E$14&lt;&gt;"YES",Calculator!$B$32&lt;Calculator!$G$14),"—",ROUND(MAX((50*POWER(80,POWER(COS(PI()*MOD(Calculator!$B$32/Calculator!$F$14,1)),2)))/$C71,$C71/(50*POWER(80,POWER(COS(PI()*MOD(Calculator!$B$32/Calculator!$F$14,1)),2)))),2))</f>
        <v>2.62</v>
      </c>
      <c r="AF71" s="91" t="n">
        <f aca="false">IF(OR(Calculator!$E$15&lt;&gt;"YES",Calculator!$B$32&lt;Calculator!$G$15),"—",ROUND(MAX((50*POWER(80,POWER(COS(PI()*MOD(Calculator!$B$32/Calculator!$F$15,1)),2)))/$C71,$C71/(50*POWER(80,POWER(COS(PI()*MOD(Calculator!$B$32/Calculator!$F$15,1)),2)))),2))</f>
        <v>1.01</v>
      </c>
      <c r="AG71" s="91" t="n">
        <f aca="false">IF(OR(Calculator!$E$16&lt;&gt;"YES",Calculator!$B$32&lt;Calculator!$G$16),"—",ROUND(MAX((50*POWER(80,POWER(COS(PI()*MOD(Calculator!$B$32/Calculator!$F$16,1)),2)))/$C71,$C71/(50*POWER(80,POWER(COS(PI()*MOD(Calculator!$B$32/Calculator!$F$16,1)),2)))),2))</f>
        <v>22.93</v>
      </c>
      <c r="AH71" s="91" t="n">
        <f aca="false">IF(OR(Calculator!$E$17&lt;&gt;"YES",Calculator!$B$32&lt;Calculator!$G$17),"—",ROUND(MAX((50*POWER(80,POWER(COS(PI()*MOD(Calculator!$B$32/Calculator!$F$17,1)),2)))/$C71,$C71/(50*POWER(80,POWER(COS(PI()*MOD(Calculator!$B$32/Calculator!$F$17,1)),2)))),2))</f>
        <v>24.2</v>
      </c>
      <c r="AI71" s="91" t="n">
        <f aca="false">IF(OR(Calculator!$E$18&lt;&gt;"YES",Calculator!$B$32&lt;Calculator!$G$18),"—",ROUND(MAX((50*POWER(80,POWER(COS(PI()*MOD(Calculator!$B$32/Calculator!$F$18,1)),2)))/$C71,$C71/(50*POWER(80,POWER(COS(PI()*MOD(Calculator!$B$32/Calculator!$F$18,1)),2)))),2))</f>
        <v>31.92</v>
      </c>
      <c r="AJ71" s="91" t="n">
        <f aca="false">IF(OR(Calculator!$E$19&lt;&gt;"YES",Calculator!$B$32&lt;Calculator!$G$19),"—",ROUND(MAX((50*POWER(80,POWER(COS(PI()*MOD(Calculator!$B$32/Calculator!$F$19,1)),2)))/$C71,$C71/(50*POWER(80,POWER(COS(PI()*MOD(Calculator!$B$32/Calculator!$F$19,1)),2)))),2))</f>
        <v>6.73</v>
      </c>
      <c r="AK71" s="91" t="n">
        <f aca="false">IF(OR(Calculator!$E$20&lt;&gt;"YES",Calculator!$B$32&lt;Calculator!$G$20),"—",ROUND(MAX((50*POWER(80,POWER(COS(PI()*MOD(Calculator!$B$32/Calculator!$F$20,1)),2)))/$C71,$C71/(50*POWER(80,POWER(COS(PI()*MOD(Calculator!$B$32/Calculator!$F$20,1)),2)))),2))</f>
        <v>1.65</v>
      </c>
      <c r="AL71" s="91" t="n">
        <f aca="false">IF(OR(Calculator!$E$21&lt;&gt;"YES",Calculator!$B$32&lt;Calculator!$G$21),"—",ROUND(MAX((50*POWER(80,POWER(COS(PI()*MOD(Calculator!$B$32/Calculator!$F$21,1)),2)))/$C71,$C71/(50*POWER(80,POWER(COS(PI()*MOD(Calculator!$B$32/Calculator!$F$21,1)),2)))),2))</f>
        <v>1.43</v>
      </c>
      <c r="AM71" s="115" t="n">
        <f aca="false">IFERROR(ROUND((IF(ISNUMBER(AB71),AB71,0)+IF(ISNUMBER(AC71),AC71,0)+IF(ISNUMBER(AD71),AD71,0)+IF(ISNUMBER(AE71),AE71,0)+IF(ISNUMBER(AF71),AF71,0)+IF(ISNUMBER(AG71),AG71,0)+IF(ISNUMBER(AH71),AH71,0)+IF(ISNUMBER(AI71),AI71,0)+IF(ISNUMBER(AJ71),AJ71,0)+IF(ISNUMBER(AK71),AK71,0)+IF(ISNUMBER(AL71),AL71,0))/(IF(ISNUMBER(AB71),1,0)+IF(ISNUMBER(AC71),1,0)+IF(ISNUMBER(AD71),1,0)+IF(ISNUMBER(AE71),1,0)+IF(ISNUMBER(AF71),1,0)+IF(ISNUMBER(AG71),1,0)+IF(ISNUMBER(AH71),1,0)+IF(ISNUMBER(AI71),1,0)+IF(ISNUMBER(AJ71),1,0)+IF(ISNUMBER(AK71),1,0)+IF(ISNUMBER(AL71),1,0)),2),"")</f>
        <v>12.37</v>
      </c>
      <c r="AN71" s="116" t="n">
        <f aca="false">IF(OR(Calculator!$E$11&lt;&gt;"YES",Calculator!$B$33&lt;Calculator!$G$11),"—",ROUND(MAX((50*POWER(80,POWER(COS(PI()*MOD(Calculator!$B$33/Calculator!$F$11,1)),2)))/$C71,$C71/(50*POWER(80,POWER(COS(PI()*MOD(Calculator!$B$33/Calculator!$F$11,1)),2)))),2))</f>
        <v>22.63</v>
      </c>
      <c r="AO71" s="116" t="n">
        <f aca="false">IF(OR(Calculator!$E$12&lt;&gt;"YES",Calculator!$B$33&lt;Calculator!$G$12),"—",ROUND(MAX((50*POWER(80,POWER(COS(PI()*MOD(Calculator!$B$33/Calculator!$F$12,1)),2)))/$C71,$C71/(50*POWER(80,POWER(COS(PI()*MOD(Calculator!$B$33/Calculator!$F$12,1)),2)))),2))</f>
        <v>1.73</v>
      </c>
      <c r="AP71" s="116" t="n">
        <f aca="false">IF(OR(Calculator!$E$13&lt;&gt;"YES",Calculator!$B$33&lt;Calculator!$G$13),"—",ROUND(MAX((50*POWER(80,POWER(COS(PI()*MOD(Calculator!$B$33/Calculator!$F$13,1)),2)))/$C71,$C71/(50*POWER(80,POWER(COS(PI()*MOD(Calculator!$B$33/Calculator!$F$13,1)),2)))),2))</f>
        <v>5.46</v>
      </c>
      <c r="AQ71" s="116" t="n">
        <f aca="false">IF(OR(Calculator!$E$14&lt;&gt;"YES",Calculator!$B$33&lt;Calculator!$G$14),"—",ROUND(MAX((50*POWER(80,POWER(COS(PI()*MOD(Calculator!$B$33/Calculator!$F$14,1)),2)))/$C71,$C71/(50*POWER(80,POWER(COS(PI()*MOD(Calculator!$B$33/Calculator!$F$14,1)),2)))),2))</f>
        <v>10.16</v>
      </c>
      <c r="AR71" s="116" t="n">
        <f aca="false">IF(OR(Calculator!$E$15&lt;&gt;"YES",Calculator!$B$33&lt;Calculator!$G$15),"—",ROUND(MAX((50*POWER(80,POWER(COS(PI()*MOD(Calculator!$B$33/Calculator!$F$15,1)),2)))/$C71,$C71/(50*POWER(80,POWER(COS(PI()*MOD(Calculator!$B$33/Calculator!$F$15,1)),2)))),2))</f>
        <v>6.19</v>
      </c>
      <c r="AS71" s="116" t="n">
        <f aca="false">IF(OR(Calculator!$E$16&lt;&gt;"YES",Calculator!$B$33&lt;Calculator!$G$16),"—",ROUND(MAX((50*POWER(80,POWER(COS(PI()*MOD(Calculator!$B$33/Calculator!$F$16,1)),2)))/$C71,$C71/(50*POWER(80,POWER(COS(PI()*MOD(Calculator!$B$33/Calculator!$F$16,1)),2)))),2))</f>
        <v>28.6</v>
      </c>
      <c r="AT71" s="116" t="n">
        <f aca="false">IF(OR(Calculator!$E$17&lt;&gt;"YES",Calculator!$B$33&lt;Calculator!$G$17),"—",ROUND(MAX((50*POWER(80,POWER(COS(PI()*MOD(Calculator!$B$33/Calculator!$F$17,1)),2)))/$C71,$C71/(50*POWER(80,POWER(COS(PI()*MOD(Calculator!$B$33/Calculator!$F$17,1)),2)))),2))</f>
        <v>1.06</v>
      </c>
      <c r="AU71" s="116" t="n">
        <f aca="false">IF(OR(Calculator!$E$18&lt;&gt;"YES",Calculator!$B$33&lt;Calculator!$G$18),"—",ROUND(MAX((50*POWER(80,POWER(COS(PI()*MOD(Calculator!$B$33/Calculator!$F$18,1)),2)))/$C71,$C71/(50*POWER(80,POWER(COS(PI()*MOD(Calculator!$B$33/Calculator!$F$18,1)),2)))),2))</f>
        <v>1.01</v>
      </c>
      <c r="AV71" s="116" t="n">
        <f aca="false">IF(OR(Calculator!$E$19&lt;&gt;"YES",Calculator!$B$33&lt;Calculator!$G$19),"—",ROUND(MAX((50*POWER(80,POWER(COS(PI()*MOD(Calculator!$B$33/Calculator!$F$19,1)),2)))/$C71,$C71/(50*POWER(80,POWER(COS(PI()*MOD(Calculator!$B$33/Calculator!$F$19,1)),2)))),2))</f>
        <v>1.68</v>
      </c>
      <c r="AW71" s="116" t="n">
        <f aca="false">IF(OR(Calculator!$E$20&lt;&gt;"YES",Calculator!$B$33&lt;Calculator!$G$20),"—",ROUND(MAX((50*POWER(80,POWER(COS(PI()*MOD(Calculator!$B$33/Calculator!$F$20,1)),2)))/$C71,$C71/(50*POWER(80,POWER(COS(PI()*MOD(Calculator!$B$33/Calculator!$F$20,1)),2)))),2))</f>
        <v>13.02</v>
      </c>
      <c r="AX71" s="116" t="n">
        <f aca="false">IF(OR(Calculator!$E$21&lt;&gt;"YES",Calculator!$B$33&lt;Calculator!$G$21),"—",ROUND(MAX((50*POWER(80,POWER(COS(PI()*MOD(Calculator!$B$33/Calculator!$F$21,1)),2)))/$C71,$C71/(50*POWER(80,POWER(COS(PI()*MOD(Calculator!$B$33/Calculator!$F$21,1)),2)))),2))</f>
        <v>1.66</v>
      </c>
      <c r="AY71" s="115" t="n">
        <f aca="false">IFERROR(ROUND((IF(ISNUMBER(AN71),AN71,0)+IF(ISNUMBER(AO71),AO71,0)+IF(ISNUMBER(AP71),AP71,0)+IF(ISNUMBER(AQ71),AQ71,0)+IF(ISNUMBER(AR71),AR71,0)+IF(ISNUMBER(AS71),AS71,0)+IF(ISNUMBER(AT71),AT71,0)+IF(ISNUMBER(AU71),AU71,0)+IF(ISNUMBER(AV71),AV71,0)+IF(ISNUMBER(AW71),AW71,0)+IF(ISNUMBER(AX71),AX71,0))/(IF(ISNUMBER(AN71),1,0)+IF(ISNUMBER(AO71),1,0)+IF(ISNUMBER(AP71),1,0)+IF(ISNUMBER(AQ71),1,0)+IF(ISNUMBER(AR71),1,0)+IF(ISNUMBER(AS71),1,0)+IF(ISNUMBER(AT71),1,0)+IF(ISNUMBER(AU71),1,0)+IF(ISNUMBER(AV71),1,0)+IF(ISNUMBER(AW71),1,0)+IF(ISNUMBER(AX71),1,0)),2),"")</f>
        <v>8.47</v>
      </c>
      <c r="AZ71" s="116" t="n">
        <f aca="false">IF(OR(Calculator!$E$11&lt;&gt;"YES",Calculator!$B$34&lt;Calculator!$G$11),"—",ROUND(MAX((50*POWER(80,POWER(COS(PI()*MOD(Calculator!$B$34/Calculator!$F$11,1)),2)))/$C71,$C71/(50*POWER(80,POWER(COS(PI()*MOD(Calculator!$B$34/Calculator!$F$11,1)),2)))),2))</f>
        <v>21.81</v>
      </c>
      <c r="BA71" s="116" t="n">
        <f aca="false">IF(OR(Calculator!$E$12&lt;&gt;"YES",Calculator!$B$34&lt;Calculator!$G$12),"—",ROUND(MAX((50*POWER(80,POWER(COS(PI()*MOD(Calculator!$B$34/Calculator!$F$12,1)),2)))/$C71,$C71/(50*POWER(80,POWER(COS(PI()*MOD(Calculator!$B$34/Calculator!$F$12,1)),2)))),2))</f>
        <v>1.91</v>
      </c>
      <c r="BB71" s="116" t="n">
        <f aca="false">IF(OR(Calculator!$E$13&lt;&gt;"YES",Calculator!$B$34&lt;Calculator!$G$13),"—",ROUND(MAX((50*POWER(80,POWER(COS(PI()*MOD(Calculator!$B$34/Calculator!$F$13,1)),2)))/$C71,$C71/(50*POWER(80,POWER(COS(PI()*MOD(Calculator!$B$34/Calculator!$F$13,1)),2)))),2))</f>
        <v>4.67</v>
      </c>
      <c r="BC71" s="116" t="n">
        <f aca="false">IF(OR(Calculator!$E$14&lt;&gt;"YES",Calculator!$B$34&lt;Calculator!$G$14),"—",ROUND(MAX((50*POWER(80,POWER(COS(PI()*MOD(Calculator!$B$34/Calculator!$F$14,1)),2)))/$C71,$C71/(50*POWER(80,POWER(COS(PI()*MOD(Calculator!$B$34/Calculator!$F$14,1)),2)))),2))</f>
        <v>12.25</v>
      </c>
      <c r="BD71" s="116" t="n">
        <f aca="false">IF(OR(Calculator!$E$15&lt;&gt;"YES",Calculator!$B$34&lt;Calculator!$G$15),"—",ROUND(MAX((50*POWER(80,POWER(COS(PI()*MOD(Calculator!$B$34/Calculator!$F$15,1)),2)))/$C71,$C71/(50*POWER(80,POWER(COS(PI()*MOD(Calculator!$B$34/Calculator!$F$15,1)),2)))),2))</f>
        <v>8.23</v>
      </c>
      <c r="BE71" s="116" t="n">
        <f aca="false">IF(OR(Calculator!$E$16&lt;&gt;"YES",Calculator!$B$34&lt;Calculator!$G$16),"—",ROUND(MAX((50*POWER(80,POWER(COS(PI()*MOD(Calculator!$B$34/Calculator!$F$16,1)),2)))/$C71,$C71/(50*POWER(80,POWER(COS(PI()*MOD(Calculator!$B$34/Calculator!$F$16,1)),2)))),2))</f>
        <v>22.44</v>
      </c>
      <c r="BF71" s="116" t="n">
        <f aca="false">IF(OR(Calculator!$E$17&lt;&gt;"YES",Calculator!$B$34&lt;Calculator!$G$17),"—",ROUND(MAX((50*POWER(80,POWER(COS(PI()*MOD(Calculator!$B$34/Calculator!$F$17,1)),2)))/$C71,$C71/(50*POWER(80,POWER(COS(PI()*MOD(Calculator!$B$34/Calculator!$F$17,1)),2)))),2))</f>
        <v>1.34</v>
      </c>
      <c r="BG71" s="116" t="n">
        <f aca="false">IF(OR(Calculator!$E$18&lt;&gt;"YES",Calculator!$B$34&lt;Calculator!$G$18),"—",ROUND(MAX((50*POWER(80,POWER(COS(PI()*MOD(Calculator!$B$34/Calculator!$F$18,1)),2)))/$C71,$C71/(50*POWER(80,POWER(COS(PI()*MOD(Calculator!$B$34/Calculator!$F$18,1)),2)))),2))</f>
        <v>1.47</v>
      </c>
      <c r="BH71" s="116" t="n">
        <f aca="false">IF(OR(Calculator!$E$19&lt;&gt;"YES",Calculator!$B$34&lt;Calculator!$G$19),"—",ROUND(MAX((50*POWER(80,POWER(COS(PI()*MOD(Calculator!$B$34/Calculator!$F$19,1)),2)))/$C71,$C71/(50*POWER(80,POWER(COS(PI()*MOD(Calculator!$B$34/Calculator!$F$19,1)),2)))),2))</f>
        <v>1.12</v>
      </c>
      <c r="BI71" s="116" t="n">
        <f aca="false">IF(OR(Calculator!$E$20&lt;&gt;"YES",Calculator!$B$34&lt;Calculator!$G$20),"—",ROUND(MAX((50*POWER(80,POWER(COS(PI()*MOD(Calculator!$B$34/Calculator!$F$20,1)),2)))/$C71,$C71/(50*POWER(80,POWER(COS(PI()*MOD(Calculator!$B$34/Calculator!$F$20,1)),2)))),2))</f>
        <v>24.41</v>
      </c>
      <c r="BJ71" s="116" t="n">
        <f aca="false">IF(OR(Calculator!$E$21&lt;&gt;"YES",Calculator!$B$34&lt;Calculator!$G$21),"—",ROUND(MAX((50*POWER(80,POWER(COS(PI()*MOD(Calculator!$B$34/Calculator!$F$21,1)),2)))/$C71,$C71/(50*POWER(80,POWER(COS(PI()*MOD(Calculator!$B$34/Calculator!$F$21,1)),2)))),2))</f>
        <v>1.68</v>
      </c>
      <c r="BK71" s="115" t="n">
        <f aca="false">IFERROR(ROUND((IF(ISNUMBER(AZ71),AZ71,0)+IF(ISNUMBER(BA71),BA71,0)+IF(ISNUMBER(BB71),BB71,0)+IF(ISNUMBER(BC71),BC71,0)+IF(ISNUMBER(BD71),BD71,0)+IF(ISNUMBER(BE71),BE71,0)+IF(ISNUMBER(BF71),BF71,0)+IF(ISNUMBER(BG71),BG71,0)+IF(ISNUMBER(BH71),BH71,0)+IF(ISNUMBER(BI71),BI71,0)+IF(ISNUMBER(BJ71),BJ71,0))/(IF(ISNUMBER(AZ71),1,0)+IF(ISNUMBER(BA71),1,0)+IF(ISNUMBER(BB71),1,0)+IF(ISNUMBER(BC71),1,0)+IF(ISNUMBER(BD71),1,0)+IF(ISNUMBER(BE71),1,0)+IF(ISNUMBER(BF71),1,0)+IF(ISNUMBER(BG71),1,0)+IF(ISNUMBER(BH71),1,0)+IF(ISNUMBER(BI71),1,0)+IF(ISNUMBER(BJ71),1,0)),2),"")</f>
        <v>9.21</v>
      </c>
    </row>
    <row r="72" customFormat="false" ht="15" hidden="false" customHeight="false" outlineLevel="0" collapsed="false">
      <c r="A72" s="117" t="s">
        <v>130</v>
      </c>
      <c r="B72" s="117" t="s">
        <v>93</v>
      </c>
      <c r="C72" s="118" t="n">
        <v>2000</v>
      </c>
      <c r="D72" s="119" t="n">
        <f aca="false">IF(OR(Calculator!$E$11&lt;&gt;"YES",Calculator!$B$30&lt;Calculator!$G$11),"—",ROUND(MAX((50*POWER(80,POWER(COS(PI()*MOD(Calculator!$B$30/Calculator!$F$11,1)),2)))/$C72,$C72/(50*POWER(80,POWER(COS(PI()*MOD(Calculator!$B$30/Calculator!$F$11,1)),2)))),2))</f>
        <v>22.65</v>
      </c>
      <c r="E72" s="119" t="n">
        <f aca="false">IF(OR(Calculator!$E$12&lt;&gt;"YES",Calculator!$B$30&lt;Calculator!$G$12),"—",ROUND(MAX((50*POWER(80,POWER(COS(PI()*MOD(Calculator!$B$30/Calculator!$F$12,1)),2)))/$C72,$C72/(50*POWER(80,POWER(COS(PI()*MOD(Calculator!$B$30/Calculator!$F$12,1)),2)))),2))</f>
        <v>1.9</v>
      </c>
      <c r="F72" s="119" t="n">
        <f aca="false">IF(OR(Calculator!$E$13&lt;&gt;"YES",Calculator!$B$30&lt;Calculator!$G$13),"—",ROUND(MAX((50*POWER(80,POWER(COS(PI()*MOD(Calculator!$B$30/Calculator!$F$13,1)),2)))/$C72,$C72/(50*POWER(80,POWER(COS(PI()*MOD(Calculator!$B$30/Calculator!$F$13,1)),2)))),2))</f>
        <v>5.05</v>
      </c>
      <c r="G72" s="119" t="n">
        <f aca="false">IF(OR(Calculator!$E$14&lt;&gt;"YES",Calculator!$B$30&lt;Calculator!$G$14),"—",ROUND(MAX((50*POWER(80,POWER(COS(PI()*MOD(Calculator!$B$30/Calculator!$F$14,1)),2)))/$C72,$C72/(50*POWER(80,POWER(COS(PI()*MOD(Calculator!$B$30/Calculator!$F$14,1)),2)))),2))</f>
        <v>11.82</v>
      </c>
      <c r="H72" s="119" t="n">
        <f aca="false">IF(OR(Calculator!$E$15&lt;&gt;"YES",Calculator!$B$30&lt;Calculator!$G$15),"—",ROUND(MAX((50*POWER(80,POWER(COS(PI()*MOD(Calculator!$B$30/Calculator!$F$15,1)),2)))/$C72,$C72/(50*POWER(80,POWER(COS(PI()*MOD(Calculator!$B$30/Calculator!$F$15,1)),2)))),2))</f>
        <v>7.68</v>
      </c>
      <c r="I72" s="119" t="n">
        <f aca="false">IF(OR(Calculator!$E$16&lt;&gt;"YES",Calculator!$B$30&lt;Calculator!$G$16),"—",ROUND(MAX((50*POWER(80,POWER(COS(PI()*MOD(Calculator!$B$30/Calculator!$F$16,1)),2)))/$C72,$C72/(50*POWER(80,POWER(COS(PI()*MOD(Calculator!$B$30/Calculator!$F$16,1)),2)))),2))</f>
        <v>25.12</v>
      </c>
      <c r="J72" s="119" t="n">
        <f aca="false">IF(OR(Calculator!$E$17&lt;&gt;"YES",Calculator!$B$30&lt;Calculator!$G$17),"—",ROUND(MAX((50*POWER(80,POWER(COS(PI()*MOD(Calculator!$B$30/Calculator!$F$17,1)),2)))/$C72,$C72/(50*POWER(80,POWER(COS(PI()*MOD(Calculator!$B$30/Calculator!$F$17,1)),2)))),2))</f>
        <v>1.18</v>
      </c>
      <c r="K72" s="119" t="n">
        <f aca="false">IF(OR(Calculator!$E$18&lt;&gt;"YES",Calculator!$B$30&lt;Calculator!$G$18),"—",ROUND(MAX((50*POWER(80,POWER(COS(PI()*MOD(Calculator!$B$30/Calculator!$F$18,1)),2)))/$C72,$C72/(50*POWER(80,POWER(COS(PI()*MOD(Calculator!$B$30/Calculator!$F$18,1)),2)))),2))</f>
        <v>1.28</v>
      </c>
      <c r="L72" s="119" t="n">
        <f aca="false">IF(OR(Calculator!$E$19&lt;&gt;"YES",Calculator!$B$30&lt;Calculator!$G$19),"—",ROUND(MAX((50*POWER(80,POWER(COS(PI()*MOD(Calculator!$B$30/Calculator!$F$19,1)),2)))/$C72,$C72/(50*POWER(80,POWER(COS(PI()*MOD(Calculator!$B$30/Calculator!$F$19,1)),2)))),2))</f>
        <v>1.28</v>
      </c>
      <c r="M72" s="119" t="n">
        <f aca="false">IF(OR(Calculator!$E$20&lt;&gt;"YES",Calculator!$B$30&lt;Calculator!$G$20),"—",ROUND(MAX((50*POWER(80,POWER(COS(PI()*MOD(Calculator!$B$30/Calculator!$F$20,1)),2)))/$C72,$C72/(50*POWER(80,POWER(COS(PI()*MOD(Calculator!$B$30/Calculator!$F$20,1)),2)))),2))</f>
        <v>20.79</v>
      </c>
      <c r="N72" s="119" t="n">
        <f aca="false">IF(OR(Calculator!$E$21&lt;&gt;"YES",Calculator!$B$30&lt;Calculator!$G$21),"—",ROUND(MAX((50*POWER(80,POWER(COS(PI()*MOD(Calculator!$B$30/Calculator!$F$21,1)),2)))/$C72,$C72/(50*POWER(80,POWER(COS(PI()*MOD(Calculator!$B$30/Calculator!$F$21,1)),2)))),2))</f>
        <v>1.27</v>
      </c>
      <c r="O72" s="114" t="n">
        <f aca="false">IFERROR(ROUND((IF(ISNUMBER(D72),D72,0)+IF(ISNUMBER(E72),E72,0)+IF(ISNUMBER(F72),F72,0)+IF(ISNUMBER(G72),G72,0)+IF(ISNUMBER(H72),H72,0)+IF(ISNUMBER(I72),I72,0)+IF(ISNUMBER(J72),J72,0)+IF(ISNUMBER(K72),K72,0)+IF(ISNUMBER(L72),L72,0)+IF(ISNUMBER(M72),M72,0)+IF(ISNUMBER(N72),N72,0))/(IF(ISNUMBER(D72),1,0)+IF(ISNUMBER(E72),1,0)+IF(ISNUMBER(F72),1,0)+IF(ISNUMBER(G72),1,0)+IF(ISNUMBER(H72),1,0)+IF(ISNUMBER(I72),1,0)+IF(ISNUMBER(J72),1,0)+IF(ISNUMBER(K72),1,0)+IF(ISNUMBER(L72),1,0)+IF(ISNUMBER(M72),1,0)+IF(ISNUMBER(N72),1,0)),2),"")</f>
        <v>9.09</v>
      </c>
      <c r="P72" s="119" t="n">
        <f aca="false">IF(OR(Calculator!$E$11&lt;&gt;"YES",Calculator!$B$31&lt;Calculator!$G$11),"—",ROUND(MAX((50*POWER(80,POWER(COS(PI()*MOD(Calculator!$B$31/Calculator!$F$11,1)),2)))/$C72,$C72/(50*POWER(80,POWER(COS(PI()*MOD(Calculator!$B$31/Calculator!$F$11,1)),2)))),2))</f>
        <v>22.93</v>
      </c>
      <c r="Q72" s="119" t="n">
        <f aca="false">IF(OR(Calculator!$E$12&lt;&gt;"YES",Calculator!$B$31&lt;Calculator!$G$12),"—",ROUND(MAX((50*POWER(80,POWER(COS(PI()*MOD(Calculator!$B$31/Calculator!$F$12,1)),2)))/$C72,$C72/(50*POWER(80,POWER(COS(PI()*MOD(Calculator!$B$31/Calculator!$F$12,1)),2)))),2))</f>
        <v>1.84</v>
      </c>
      <c r="R72" s="119" t="n">
        <f aca="false">IF(OR(Calculator!$E$13&lt;&gt;"YES",Calculator!$B$31&lt;Calculator!$G$13),"—",ROUND(MAX((50*POWER(80,POWER(COS(PI()*MOD(Calculator!$B$31/Calculator!$F$13,1)),2)))/$C72,$C72/(50*POWER(80,POWER(COS(PI()*MOD(Calculator!$B$31/Calculator!$F$13,1)),2)))),2))</f>
        <v>5.32</v>
      </c>
      <c r="S72" s="119" t="n">
        <f aca="false">IF(OR(Calculator!$E$14&lt;&gt;"YES",Calculator!$B$31&lt;Calculator!$G$14),"—",ROUND(MAX((50*POWER(80,POWER(COS(PI()*MOD(Calculator!$B$31/Calculator!$F$14,1)),2)))/$C72,$C72/(50*POWER(80,POWER(COS(PI()*MOD(Calculator!$B$31/Calculator!$F$14,1)),2)))),2))</f>
        <v>11.1</v>
      </c>
      <c r="T72" s="119" t="n">
        <f aca="false">IF(OR(Calculator!$E$15&lt;&gt;"YES",Calculator!$B$31&lt;Calculator!$G$15),"—",ROUND(MAX((50*POWER(80,POWER(COS(PI()*MOD(Calculator!$B$31/Calculator!$F$15,1)),2)))/$C72,$C72/(50*POWER(80,POWER(COS(PI()*MOD(Calculator!$B$31/Calculator!$F$15,1)),2)))),2))</f>
        <v>6.99</v>
      </c>
      <c r="U72" s="119" t="n">
        <f aca="false">IF(OR(Calculator!$E$16&lt;&gt;"YES",Calculator!$B$31&lt;Calculator!$G$16),"—",ROUND(MAX((50*POWER(80,POWER(COS(PI()*MOD(Calculator!$B$31/Calculator!$F$16,1)),2)))/$C72,$C72/(50*POWER(80,POWER(COS(PI()*MOD(Calculator!$B$31/Calculator!$F$16,1)),2)))),2))</f>
        <v>27.24</v>
      </c>
      <c r="V72" s="119" t="n">
        <f aca="false">IF(OR(Calculator!$E$17&lt;&gt;"YES",Calculator!$B$31&lt;Calculator!$G$17),"—",ROUND(MAX((50*POWER(80,POWER(COS(PI()*MOD(Calculator!$B$31/Calculator!$F$17,1)),2)))/$C72,$C72/(50*POWER(80,POWER(COS(PI()*MOD(Calculator!$B$31/Calculator!$F$17,1)),2)))),2))</f>
        <v>1.04</v>
      </c>
      <c r="W72" s="119" t="n">
        <f aca="false">IF(OR(Calculator!$E$18&lt;&gt;"YES",Calculator!$B$31&lt;Calculator!$G$18),"—",ROUND(MAX((50*POWER(80,POWER(COS(PI()*MOD(Calculator!$B$31/Calculator!$F$18,1)),2)))/$C72,$C72/(50*POWER(80,POWER(COS(PI()*MOD(Calculator!$B$31/Calculator!$F$18,1)),2)))),2))</f>
        <v>1.12</v>
      </c>
      <c r="X72" s="119" t="n">
        <f aca="false">IF(OR(Calculator!$E$19&lt;&gt;"YES",Calculator!$B$31&lt;Calculator!$G$19),"—",ROUND(MAX((50*POWER(80,POWER(COS(PI()*MOD(Calculator!$B$31/Calculator!$F$19,1)),2)))/$C72,$C72/(50*POWER(80,POWER(COS(PI()*MOD(Calculator!$B$31/Calculator!$F$19,1)),2)))),2))</f>
        <v>1.47</v>
      </c>
      <c r="Y72" s="119" t="n">
        <f aca="false">IF(OR(Calculator!$E$20&lt;&gt;"YES",Calculator!$B$31&lt;Calculator!$G$20),"—",ROUND(MAX((50*POWER(80,POWER(COS(PI()*MOD(Calculator!$B$31/Calculator!$F$20,1)),2)))/$C72,$C72/(50*POWER(80,POWER(COS(PI()*MOD(Calculator!$B$31/Calculator!$F$20,1)),2)))),2))</f>
        <v>16.85</v>
      </c>
      <c r="Z72" s="119" t="n">
        <f aca="false">IF(OR(Calculator!$E$21&lt;&gt;"YES",Calculator!$B$31&lt;Calculator!$G$21),"—",ROUND(MAX((50*POWER(80,POWER(COS(PI()*MOD(Calculator!$B$31/Calculator!$F$21,1)),2)))/$C72,$C72/(50*POWER(80,POWER(COS(PI()*MOD(Calculator!$B$31/Calculator!$F$21,1)),2)))),2))</f>
        <v>1.12</v>
      </c>
      <c r="AA72" s="114" t="n">
        <f aca="false">IFERROR(ROUND((IF(ISNUMBER(P72),P72,0)+IF(ISNUMBER(Q72),Q72,0)+IF(ISNUMBER(R72),R72,0)+IF(ISNUMBER(S72),S72,0)+IF(ISNUMBER(T72),T72,0)+IF(ISNUMBER(U72),U72,0)+IF(ISNUMBER(V72),V72,0)+IF(ISNUMBER(W72),W72,0)+IF(ISNUMBER(X72),X72,0)+IF(ISNUMBER(Y72),Y72,0)+IF(ISNUMBER(Z72),Z72,0))/(IF(ISNUMBER(P72),1,0)+IF(ISNUMBER(Q72),1,0)+IF(ISNUMBER(R72),1,0)+IF(ISNUMBER(S72),1,0)+IF(ISNUMBER(T72),1,0)+IF(ISNUMBER(U72),1,0)+IF(ISNUMBER(V72),1,0)+IF(ISNUMBER(W72),1,0)+IF(ISNUMBER(X72),1,0)+IF(ISNUMBER(Y72),1,0)+IF(ISNUMBER(Z72),1,0)),2),"")</f>
        <v>8.82</v>
      </c>
      <c r="AB72" s="119" t="n">
        <f aca="false">IF(OR(Calculator!$E$11&lt;&gt;"YES",Calculator!$B$32&lt;Calculator!$G$11),"—",ROUND(MAX((50*POWER(80,POWER(COS(PI()*MOD(Calculator!$B$32/Calculator!$F$11,1)),2)))/$C72,$C72/(50*POWER(80,POWER(COS(PI()*MOD(Calculator!$B$32/Calculator!$F$11,1)),2)))),2))</f>
        <v>28.86</v>
      </c>
      <c r="AC72" s="119" t="n">
        <f aca="false">IF(OR(Calculator!$E$12&lt;&gt;"YES",Calculator!$B$32&lt;Calculator!$G$12),"—",ROUND(MAX((50*POWER(80,POWER(COS(PI()*MOD(Calculator!$B$32/Calculator!$F$12,1)),2)))/$C72,$C72/(50*POWER(80,POWER(COS(PI()*MOD(Calculator!$B$32/Calculator!$F$12,1)),2)))),2))</f>
        <v>1.01</v>
      </c>
      <c r="AD72" s="119" t="n">
        <f aca="false">IF(OR(Calculator!$E$13&lt;&gt;"YES",Calculator!$B$32&lt;Calculator!$G$13),"—",ROUND(MAX((50*POWER(80,POWER(COS(PI()*MOD(Calculator!$B$32/Calculator!$F$13,1)),2)))/$C72,$C72/(50*POWER(80,POWER(COS(PI()*MOD(Calculator!$B$32/Calculator!$F$13,1)),2)))),2))</f>
        <v>14.73</v>
      </c>
      <c r="AE72" s="119" t="n">
        <f aca="false">IF(OR(Calculator!$E$14&lt;&gt;"YES",Calculator!$B$32&lt;Calculator!$G$14),"—",ROUND(MAX((50*POWER(80,POWER(COS(PI()*MOD(Calculator!$B$32/Calculator!$F$14,1)),2)))/$C72,$C72/(50*POWER(80,POWER(COS(PI()*MOD(Calculator!$B$32/Calculator!$F$14,1)),2)))),2))</f>
        <v>2.69</v>
      </c>
      <c r="AF72" s="119" t="n">
        <f aca="false">IF(OR(Calculator!$E$15&lt;&gt;"YES",Calculator!$B$32&lt;Calculator!$G$15),"—",ROUND(MAX((50*POWER(80,POWER(COS(PI()*MOD(Calculator!$B$32/Calculator!$F$15,1)),2)))/$C72,$C72/(50*POWER(80,POWER(COS(PI()*MOD(Calculator!$B$32/Calculator!$F$15,1)),2)))),2))</f>
        <v>1.03</v>
      </c>
      <c r="AG72" s="119" t="n">
        <f aca="false">IF(OR(Calculator!$E$16&lt;&gt;"YES",Calculator!$B$32&lt;Calculator!$G$16),"—",ROUND(MAX((50*POWER(80,POWER(COS(PI()*MOD(Calculator!$B$32/Calculator!$F$16,1)),2)))/$C72,$C72/(50*POWER(80,POWER(COS(PI()*MOD(Calculator!$B$32/Calculator!$F$16,1)),2)))),2))</f>
        <v>23.51</v>
      </c>
      <c r="AH72" s="119" t="n">
        <f aca="false">IF(OR(Calculator!$E$17&lt;&gt;"YES",Calculator!$B$32&lt;Calculator!$G$17),"—",ROUND(MAX((50*POWER(80,POWER(COS(PI()*MOD(Calculator!$B$32/Calculator!$F$17,1)),2)))/$C72,$C72/(50*POWER(80,POWER(COS(PI()*MOD(Calculator!$B$32/Calculator!$F$17,1)),2)))),2))</f>
        <v>24.82</v>
      </c>
      <c r="AI72" s="119" t="n">
        <f aca="false">IF(OR(Calculator!$E$18&lt;&gt;"YES",Calculator!$B$32&lt;Calculator!$G$18),"—",ROUND(MAX((50*POWER(80,POWER(COS(PI()*MOD(Calculator!$B$32/Calculator!$F$18,1)),2)))/$C72,$C72/(50*POWER(80,POWER(COS(PI()*MOD(Calculator!$B$32/Calculator!$F$18,1)),2)))),2))</f>
        <v>32.74</v>
      </c>
      <c r="AJ72" s="119" t="n">
        <f aca="false">IF(OR(Calculator!$E$19&lt;&gt;"YES",Calculator!$B$32&lt;Calculator!$G$19),"—",ROUND(MAX((50*POWER(80,POWER(COS(PI()*MOD(Calculator!$B$32/Calculator!$F$19,1)),2)))/$C72,$C72/(50*POWER(80,POWER(COS(PI()*MOD(Calculator!$B$32/Calculator!$F$19,1)),2)))),2))</f>
        <v>6.9</v>
      </c>
      <c r="AK72" s="119" t="n">
        <f aca="false">IF(OR(Calculator!$E$20&lt;&gt;"YES",Calculator!$B$32&lt;Calculator!$G$20),"—",ROUND(MAX((50*POWER(80,POWER(COS(PI()*MOD(Calculator!$B$32/Calculator!$F$20,1)),2)))/$C72,$C72/(50*POWER(80,POWER(COS(PI()*MOD(Calculator!$B$32/Calculator!$F$20,1)),2)))),2))</f>
        <v>1.61</v>
      </c>
      <c r="AL72" s="119" t="n">
        <f aca="false">IF(OR(Calculator!$E$21&lt;&gt;"YES",Calculator!$B$32&lt;Calculator!$G$21),"—",ROUND(MAX((50*POWER(80,POWER(COS(PI()*MOD(Calculator!$B$32/Calculator!$F$21,1)),2)))/$C72,$C72/(50*POWER(80,POWER(COS(PI()*MOD(Calculator!$B$32/Calculator!$F$21,1)),2)))),2))</f>
        <v>1.39</v>
      </c>
      <c r="AM72" s="115" t="n">
        <f aca="false">IFERROR(ROUND((IF(ISNUMBER(AB72),AB72,0)+IF(ISNUMBER(AC72),AC72,0)+IF(ISNUMBER(AD72),AD72,0)+IF(ISNUMBER(AE72),AE72,0)+IF(ISNUMBER(AF72),AF72,0)+IF(ISNUMBER(AG72),AG72,0)+IF(ISNUMBER(AH72),AH72,0)+IF(ISNUMBER(AI72),AI72,0)+IF(ISNUMBER(AJ72),AJ72,0)+IF(ISNUMBER(AK72),AK72,0)+IF(ISNUMBER(AL72),AL72,0))/(IF(ISNUMBER(AB72),1,0)+IF(ISNUMBER(AC72),1,0)+IF(ISNUMBER(AD72),1,0)+IF(ISNUMBER(AE72),1,0)+IF(ISNUMBER(AF72),1,0)+IF(ISNUMBER(AG72),1,0)+IF(ISNUMBER(AH72),1,0)+IF(ISNUMBER(AI72),1,0)+IF(ISNUMBER(AJ72),1,0)+IF(ISNUMBER(AK72),1,0)+IF(ISNUMBER(AL72),1,0)),2),"")</f>
        <v>12.66</v>
      </c>
      <c r="AN72" s="120" t="n">
        <f aca="false">IF(OR(Calculator!$E$11&lt;&gt;"YES",Calculator!$B$33&lt;Calculator!$G$11),"—",ROUND(MAX((50*POWER(80,POWER(COS(PI()*MOD(Calculator!$B$33/Calculator!$F$11,1)),2)))/$C72,$C72/(50*POWER(80,POWER(COS(PI()*MOD(Calculator!$B$33/Calculator!$F$11,1)),2)))),2))</f>
        <v>23.21</v>
      </c>
      <c r="AO72" s="120" t="n">
        <f aca="false">IF(OR(Calculator!$E$12&lt;&gt;"YES",Calculator!$B$33&lt;Calculator!$G$12),"—",ROUND(MAX((50*POWER(80,POWER(COS(PI()*MOD(Calculator!$B$33/Calculator!$F$12,1)),2)))/$C72,$C72/(50*POWER(80,POWER(COS(PI()*MOD(Calculator!$B$33/Calculator!$F$12,1)),2)))),2))</f>
        <v>1.78</v>
      </c>
      <c r="AP72" s="120" t="n">
        <f aca="false">IF(OR(Calculator!$E$13&lt;&gt;"YES",Calculator!$B$33&lt;Calculator!$G$13),"—",ROUND(MAX((50*POWER(80,POWER(COS(PI()*MOD(Calculator!$B$33/Calculator!$F$13,1)),2)))/$C72,$C72/(50*POWER(80,POWER(COS(PI()*MOD(Calculator!$B$33/Calculator!$F$13,1)),2)))),2))</f>
        <v>5.6</v>
      </c>
      <c r="AQ72" s="120" t="n">
        <f aca="false">IF(OR(Calculator!$E$14&lt;&gt;"YES",Calculator!$B$33&lt;Calculator!$G$14),"—",ROUND(MAX((50*POWER(80,POWER(COS(PI()*MOD(Calculator!$B$33/Calculator!$F$14,1)),2)))/$C72,$C72/(50*POWER(80,POWER(COS(PI()*MOD(Calculator!$B$33/Calculator!$F$14,1)),2)))),2))</f>
        <v>10.42</v>
      </c>
      <c r="AR72" s="120" t="n">
        <f aca="false">IF(OR(Calculator!$E$15&lt;&gt;"YES",Calculator!$B$33&lt;Calculator!$G$15),"—",ROUND(MAX((50*POWER(80,POWER(COS(PI()*MOD(Calculator!$B$33/Calculator!$F$15,1)),2)))/$C72,$C72/(50*POWER(80,POWER(COS(PI()*MOD(Calculator!$B$33/Calculator!$F$15,1)),2)))),2))</f>
        <v>6.35</v>
      </c>
      <c r="AS72" s="120" t="n">
        <f aca="false">IF(OR(Calculator!$E$16&lt;&gt;"YES",Calculator!$B$33&lt;Calculator!$G$16),"—",ROUND(MAX((50*POWER(80,POWER(COS(PI()*MOD(Calculator!$B$33/Calculator!$F$16,1)),2)))/$C72,$C72/(50*POWER(80,POWER(COS(PI()*MOD(Calculator!$B$33/Calculator!$F$16,1)),2)))),2))</f>
        <v>29.33</v>
      </c>
      <c r="AT72" s="120" t="n">
        <f aca="false">IF(OR(Calculator!$E$17&lt;&gt;"YES",Calculator!$B$33&lt;Calculator!$G$17),"—",ROUND(MAX((50*POWER(80,POWER(COS(PI()*MOD(Calculator!$B$33/Calculator!$F$17,1)),2)))/$C72,$C72/(50*POWER(80,POWER(COS(PI()*MOD(Calculator!$B$33/Calculator!$F$17,1)),2)))),2))</f>
        <v>1.09</v>
      </c>
      <c r="AU72" s="120" t="n">
        <f aca="false">IF(OR(Calculator!$E$18&lt;&gt;"YES",Calculator!$B$33&lt;Calculator!$G$18),"—",ROUND(MAX((50*POWER(80,POWER(COS(PI()*MOD(Calculator!$B$33/Calculator!$F$18,1)),2)))/$C72,$C72/(50*POWER(80,POWER(COS(PI()*MOD(Calculator!$B$33/Calculator!$F$18,1)),2)))),2))</f>
        <v>1.03</v>
      </c>
      <c r="AV72" s="120" t="n">
        <f aca="false">IF(OR(Calculator!$E$19&lt;&gt;"YES",Calculator!$B$33&lt;Calculator!$G$19),"—",ROUND(MAX((50*POWER(80,POWER(COS(PI()*MOD(Calculator!$B$33/Calculator!$F$19,1)),2)))/$C72,$C72/(50*POWER(80,POWER(COS(PI()*MOD(Calculator!$B$33/Calculator!$F$19,1)),2)))),2))</f>
        <v>1.64</v>
      </c>
      <c r="AW72" s="120" t="n">
        <f aca="false">IF(OR(Calculator!$E$20&lt;&gt;"YES",Calculator!$B$33&lt;Calculator!$G$20),"—",ROUND(MAX((50*POWER(80,POWER(COS(PI()*MOD(Calculator!$B$33/Calculator!$F$20,1)),2)))/$C72,$C72/(50*POWER(80,POWER(COS(PI()*MOD(Calculator!$B$33/Calculator!$F$20,1)),2)))),2))</f>
        <v>13.36</v>
      </c>
      <c r="AX72" s="120" t="n">
        <f aca="false">IF(OR(Calculator!$E$21&lt;&gt;"YES",Calculator!$B$33&lt;Calculator!$G$21),"—",ROUND(MAX((50*POWER(80,POWER(COS(PI()*MOD(Calculator!$B$33/Calculator!$F$21,1)),2)))/$C72,$C72/(50*POWER(80,POWER(COS(PI()*MOD(Calculator!$B$33/Calculator!$F$21,1)),2)))),2))</f>
        <v>1.71</v>
      </c>
      <c r="AY72" s="115" t="n">
        <f aca="false">IFERROR(ROUND((IF(ISNUMBER(AN72),AN72,0)+IF(ISNUMBER(AO72),AO72,0)+IF(ISNUMBER(AP72),AP72,0)+IF(ISNUMBER(AQ72),AQ72,0)+IF(ISNUMBER(AR72),AR72,0)+IF(ISNUMBER(AS72),AS72,0)+IF(ISNUMBER(AT72),AT72,0)+IF(ISNUMBER(AU72),AU72,0)+IF(ISNUMBER(AV72),AV72,0)+IF(ISNUMBER(AW72),AW72,0)+IF(ISNUMBER(AX72),AX72,0))/(IF(ISNUMBER(AN72),1,0)+IF(ISNUMBER(AO72),1,0)+IF(ISNUMBER(AP72),1,0)+IF(ISNUMBER(AQ72),1,0)+IF(ISNUMBER(AR72),1,0)+IF(ISNUMBER(AS72),1,0)+IF(ISNUMBER(AT72),1,0)+IF(ISNUMBER(AU72),1,0)+IF(ISNUMBER(AV72),1,0)+IF(ISNUMBER(AW72),1,0)+IF(ISNUMBER(AX72),1,0)),2),"")</f>
        <v>8.68</v>
      </c>
      <c r="AZ72" s="120" t="n">
        <f aca="false">IF(OR(Calculator!$E$11&lt;&gt;"YES",Calculator!$B$34&lt;Calculator!$G$11),"—",ROUND(MAX((50*POWER(80,POWER(COS(PI()*MOD(Calculator!$B$34/Calculator!$F$11,1)),2)))/$C72,$C72/(50*POWER(80,POWER(COS(PI()*MOD(Calculator!$B$34/Calculator!$F$11,1)),2)))),2))</f>
        <v>22.37</v>
      </c>
      <c r="BA72" s="120" t="n">
        <f aca="false">IF(OR(Calculator!$E$12&lt;&gt;"YES",Calculator!$B$34&lt;Calculator!$G$12),"—",ROUND(MAX((50*POWER(80,POWER(COS(PI()*MOD(Calculator!$B$34/Calculator!$F$12,1)),2)))/$C72,$C72/(50*POWER(80,POWER(COS(PI()*MOD(Calculator!$B$34/Calculator!$F$12,1)),2)))),2))</f>
        <v>1.96</v>
      </c>
      <c r="BB72" s="120" t="n">
        <f aca="false">IF(OR(Calculator!$E$13&lt;&gt;"YES",Calculator!$B$34&lt;Calculator!$G$13),"—",ROUND(MAX((50*POWER(80,POWER(COS(PI()*MOD(Calculator!$B$34/Calculator!$F$13,1)),2)))/$C72,$C72/(50*POWER(80,POWER(COS(PI()*MOD(Calculator!$B$34/Calculator!$F$13,1)),2)))),2))</f>
        <v>4.79</v>
      </c>
      <c r="BC72" s="120" t="n">
        <f aca="false">IF(OR(Calculator!$E$14&lt;&gt;"YES",Calculator!$B$34&lt;Calculator!$G$14),"—",ROUND(MAX((50*POWER(80,POWER(COS(PI()*MOD(Calculator!$B$34/Calculator!$F$14,1)),2)))/$C72,$C72/(50*POWER(80,POWER(COS(PI()*MOD(Calculator!$B$34/Calculator!$F$14,1)),2)))),2))</f>
        <v>12.56</v>
      </c>
      <c r="BD72" s="120" t="n">
        <f aca="false">IF(OR(Calculator!$E$15&lt;&gt;"YES",Calculator!$B$34&lt;Calculator!$G$15),"—",ROUND(MAX((50*POWER(80,POWER(COS(PI()*MOD(Calculator!$B$34/Calculator!$F$15,1)),2)))/$C72,$C72/(50*POWER(80,POWER(COS(PI()*MOD(Calculator!$B$34/Calculator!$F$15,1)),2)))),2))</f>
        <v>8.44</v>
      </c>
      <c r="BE72" s="120" t="n">
        <f aca="false">IF(OR(Calculator!$E$16&lt;&gt;"YES",Calculator!$B$34&lt;Calculator!$G$16),"—",ROUND(MAX((50*POWER(80,POWER(COS(PI()*MOD(Calculator!$B$34/Calculator!$F$16,1)),2)))/$C72,$C72/(50*POWER(80,POWER(COS(PI()*MOD(Calculator!$B$34/Calculator!$F$16,1)),2)))),2))</f>
        <v>23.01</v>
      </c>
      <c r="BF72" s="120" t="n">
        <f aca="false">IF(OR(Calculator!$E$17&lt;&gt;"YES",Calculator!$B$34&lt;Calculator!$G$17),"—",ROUND(MAX((50*POWER(80,POWER(COS(PI()*MOD(Calculator!$B$34/Calculator!$F$17,1)),2)))/$C72,$C72/(50*POWER(80,POWER(COS(PI()*MOD(Calculator!$B$34/Calculator!$F$17,1)),2)))),2))</f>
        <v>1.31</v>
      </c>
      <c r="BG72" s="120" t="n">
        <f aca="false">IF(OR(Calculator!$E$18&lt;&gt;"YES",Calculator!$B$34&lt;Calculator!$G$18),"—",ROUND(MAX((50*POWER(80,POWER(COS(PI()*MOD(Calculator!$B$34/Calculator!$F$18,1)),2)))/$C72,$C72/(50*POWER(80,POWER(COS(PI()*MOD(Calculator!$B$34/Calculator!$F$18,1)),2)))),2))</f>
        <v>1.43</v>
      </c>
      <c r="BH72" s="120" t="n">
        <f aca="false">IF(OR(Calculator!$E$19&lt;&gt;"YES",Calculator!$B$34&lt;Calculator!$G$19),"—",ROUND(MAX((50*POWER(80,POWER(COS(PI()*MOD(Calculator!$B$34/Calculator!$F$19,1)),2)))/$C72,$C72/(50*POWER(80,POWER(COS(PI()*MOD(Calculator!$B$34/Calculator!$F$19,1)),2)))),2))</f>
        <v>1.1</v>
      </c>
      <c r="BI72" s="120" t="n">
        <f aca="false">IF(OR(Calculator!$E$20&lt;&gt;"YES",Calculator!$B$34&lt;Calculator!$G$20),"—",ROUND(MAX((50*POWER(80,POWER(COS(PI()*MOD(Calculator!$B$34/Calculator!$F$20,1)),2)))/$C72,$C72/(50*POWER(80,POWER(COS(PI()*MOD(Calculator!$B$34/Calculator!$F$20,1)),2)))),2))</f>
        <v>25.04</v>
      </c>
      <c r="BJ72" s="120" t="n">
        <f aca="false">IF(OR(Calculator!$E$21&lt;&gt;"YES",Calculator!$B$34&lt;Calculator!$G$21),"—",ROUND(MAX((50*POWER(80,POWER(COS(PI()*MOD(Calculator!$B$34/Calculator!$F$21,1)),2)))/$C72,$C72/(50*POWER(80,POWER(COS(PI()*MOD(Calculator!$B$34/Calculator!$F$21,1)),2)))),2))</f>
        <v>1.64</v>
      </c>
      <c r="BK72" s="115" t="n">
        <f aca="false">IFERROR(ROUND((IF(ISNUMBER(AZ72),AZ72,0)+IF(ISNUMBER(BA72),BA72,0)+IF(ISNUMBER(BB72),BB72,0)+IF(ISNUMBER(BC72),BC72,0)+IF(ISNUMBER(BD72),BD72,0)+IF(ISNUMBER(BE72),BE72,0)+IF(ISNUMBER(BF72),BF72,0)+IF(ISNUMBER(BG72),BG72,0)+IF(ISNUMBER(BH72),BH72,0)+IF(ISNUMBER(BI72),BI72,0)+IF(ISNUMBER(BJ72),BJ72,0))/(IF(ISNUMBER(AZ72),1,0)+IF(ISNUMBER(BA72),1,0)+IF(ISNUMBER(BB72),1,0)+IF(ISNUMBER(BC72),1,0)+IF(ISNUMBER(BD72),1,0)+IF(ISNUMBER(BE72),1,0)+IF(ISNUMBER(BF72),1,0)+IF(ISNUMBER(BG72),1,0)+IF(ISNUMBER(BH72),1,0)+IF(ISNUMBER(BI72),1,0)+IF(ISNUMBER(BJ72),1,0)),2),"")</f>
        <v>9.42</v>
      </c>
    </row>
    <row r="73" customFormat="false" ht="15" hidden="false" customHeight="false" outlineLevel="0" collapsed="false">
      <c r="A73" s="87" t="s">
        <v>131</v>
      </c>
      <c r="B73" s="87" t="s">
        <v>93</v>
      </c>
      <c r="C73" s="90" t="n">
        <v>2050</v>
      </c>
      <c r="D73" s="91" t="n">
        <f aca="false">IF(OR(Calculator!$E$11&lt;&gt;"YES",Calculator!$B$30&lt;Calculator!$G$11),"—",ROUND(MAX((50*POWER(80,POWER(COS(PI()*MOD(Calculator!$B$30/Calculator!$F$11,1)),2)))/$C73,$C73/(50*POWER(80,POWER(COS(PI()*MOD(Calculator!$B$30/Calculator!$F$11,1)),2)))),2))</f>
        <v>23.21</v>
      </c>
      <c r="E73" s="91" t="n">
        <f aca="false">IF(OR(Calculator!$E$12&lt;&gt;"YES",Calculator!$B$30&lt;Calculator!$G$12),"—",ROUND(MAX((50*POWER(80,POWER(COS(PI()*MOD(Calculator!$B$30/Calculator!$F$12,1)),2)))/$C73,$C73/(50*POWER(80,POWER(COS(PI()*MOD(Calculator!$B$30/Calculator!$F$12,1)),2)))),2))</f>
        <v>1.94</v>
      </c>
      <c r="F73" s="91" t="n">
        <f aca="false">IF(OR(Calculator!$E$13&lt;&gt;"YES",Calculator!$B$30&lt;Calculator!$G$13),"—",ROUND(MAX((50*POWER(80,POWER(COS(PI()*MOD(Calculator!$B$30/Calculator!$F$13,1)),2)))/$C73,$C73/(50*POWER(80,POWER(COS(PI()*MOD(Calculator!$B$30/Calculator!$F$13,1)),2)))),2))</f>
        <v>5.17</v>
      </c>
      <c r="G73" s="91" t="n">
        <f aca="false">IF(OR(Calculator!$E$14&lt;&gt;"YES",Calculator!$B$30&lt;Calculator!$G$14),"—",ROUND(MAX((50*POWER(80,POWER(COS(PI()*MOD(Calculator!$B$30/Calculator!$F$14,1)),2)))/$C73,$C73/(50*POWER(80,POWER(COS(PI()*MOD(Calculator!$B$30/Calculator!$F$14,1)),2)))),2))</f>
        <v>12.11</v>
      </c>
      <c r="H73" s="91" t="n">
        <f aca="false">IF(OR(Calculator!$E$15&lt;&gt;"YES",Calculator!$B$30&lt;Calculator!$G$15),"—",ROUND(MAX((50*POWER(80,POWER(COS(PI()*MOD(Calculator!$B$30/Calculator!$F$15,1)),2)))/$C73,$C73/(50*POWER(80,POWER(COS(PI()*MOD(Calculator!$B$30/Calculator!$F$15,1)),2)))),2))</f>
        <v>7.88</v>
      </c>
      <c r="I73" s="91" t="n">
        <f aca="false">IF(OR(Calculator!$E$16&lt;&gt;"YES",Calculator!$B$30&lt;Calculator!$G$16),"—",ROUND(MAX((50*POWER(80,POWER(COS(PI()*MOD(Calculator!$B$30/Calculator!$F$16,1)),2)))/$C73,$C73/(50*POWER(80,POWER(COS(PI()*MOD(Calculator!$B$30/Calculator!$F$16,1)),2)))),2))</f>
        <v>25.75</v>
      </c>
      <c r="J73" s="91" t="n">
        <f aca="false">IF(OR(Calculator!$E$17&lt;&gt;"YES",Calculator!$B$30&lt;Calculator!$G$17),"—",ROUND(MAX((50*POWER(80,POWER(COS(PI()*MOD(Calculator!$B$30/Calculator!$F$17,1)),2)))/$C73,$C73/(50*POWER(80,POWER(COS(PI()*MOD(Calculator!$B$30/Calculator!$F$17,1)),2)))),2))</f>
        <v>1.15</v>
      </c>
      <c r="K73" s="91" t="n">
        <f aca="false">IF(OR(Calculator!$E$18&lt;&gt;"YES",Calculator!$B$30&lt;Calculator!$G$18),"—",ROUND(MAX((50*POWER(80,POWER(COS(PI()*MOD(Calculator!$B$30/Calculator!$F$18,1)),2)))/$C73,$C73/(50*POWER(80,POWER(COS(PI()*MOD(Calculator!$B$30/Calculator!$F$18,1)),2)))),2))</f>
        <v>1.25</v>
      </c>
      <c r="L73" s="91" t="n">
        <f aca="false">IF(OR(Calculator!$E$19&lt;&gt;"YES",Calculator!$B$30&lt;Calculator!$G$19),"—",ROUND(MAX((50*POWER(80,POWER(COS(PI()*MOD(Calculator!$B$30/Calculator!$F$19,1)),2)))/$C73,$C73/(50*POWER(80,POWER(COS(PI()*MOD(Calculator!$B$30/Calculator!$F$19,1)),2)))),2))</f>
        <v>1.25</v>
      </c>
      <c r="M73" s="91" t="n">
        <f aca="false">IF(OR(Calculator!$E$20&lt;&gt;"YES",Calculator!$B$30&lt;Calculator!$G$20),"—",ROUND(MAX((50*POWER(80,POWER(COS(PI()*MOD(Calculator!$B$30/Calculator!$F$20,1)),2)))/$C73,$C73/(50*POWER(80,POWER(COS(PI()*MOD(Calculator!$B$30/Calculator!$F$20,1)),2)))),2))</f>
        <v>21.31</v>
      </c>
      <c r="N73" s="91" t="n">
        <f aca="false">IF(OR(Calculator!$E$21&lt;&gt;"YES",Calculator!$B$30&lt;Calculator!$G$21),"—",ROUND(MAX((50*POWER(80,POWER(COS(PI()*MOD(Calculator!$B$30/Calculator!$F$21,1)),2)))/$C73,$C73/(50*POWER(80,POWER(COS(PI()*MOD(Calculator!$B$30/Calculator!$F$21,1)),2)))),2))</f>
        <v>1.24</v>
      </c>
      <c r="O73" s="114" t="n">
        <f aca="false">IFERROR(ROUND((IF(ISNUMBER(D73),D73,0)+IF(ISNUMBER(E73),E73,0)+IF(ISNUMBER(F73),F73,0)+IF(ISNUMBER(G73),G73,0)+IF(ISNUMBER(H73),H73,0)+IF(ISNUMBER(I73),I73,0)+IF(ISNUMBER(J73),J73,0)+IF(ISNUMBER(K73),K73,0)+IF(ISNUMBER(L73),L73,0)+IF(ISNUMBER(M73),M73,0)+IF(ISNUMBER(N73),N73,0))/(IF(ISNUMBER(D73),1,0)+IF(ISNUMBER(E73),1,0)+IF(ISNUMBER(F73),1,0)+IF(ISNUMBER(G73),1,0)+IF(ISNUMBER(H73),1,0)+IF(ISNUMBER(I73),1,0)+IF(ISNUMBER(J73),1,0)+IF(ISNUMBER(K73),1,0)+IF(ISNUMBER(L73),1,0)+IF(ISNUMBER(M73),1,0)+IF(ISNUMBER(N73),1,0)),2),"")</f>
        <v>9.3</v>
      </c>
      <c r="P73" s="91" t="n">
        <f aca="false">IF(OR(Calculator!$E$11&lt;&gt;"YES",Calculator!$B$31&lt;Calculator!$G$11),"—",ROUND(MAX((50*POWER(80,POWER(COS(PI()*MOD(Calculator!$B$31/Calculator!$F$11,1)),2)))/$C73,$C73/(50*POWER(80,POWER(COS(PI()*MOD(Calculator!$B$31/Calculator!$F$11,1)),2)))),2))</f>
        <v>23.5</v>
      </c>
      <c r="Q73" s="91" t="n">
        <f aca="false">IF(OR(Calculator!$E$12&lt;&gt;"YES",Calculator!$B$31&lt;Calculator!$G$12),"—",ROUND(MAX((50*POWER(80,POWER(COS(PI()*MOD(Calculator!$B$31/Calculator!$F$12,1)),2)))/$C73,$C73/(50*POWER(80,POWER(COS(PI()*MOD(Calculator!$B$31/Calculator!$F$12,1)),2)))),2))</f>
        <v>1.88</v>
      </c>
      <c r="R73" s="91" t="n">
        <f aca="false">IF(OR(Calculator!$E$13&lt;&gt;"YES",Calculator!$B$31&lt;Calculator!$G$13),"—",ROUND(MAX((50*POWER(80,POWER(COS(PI()*MOD(Calculator!$B$31/Calculator!$F$13,1)),2)))/$C73,$C73/(50*POWER(80,POWER(COS(PI()*MOD(Calculator!$B$31/Calculator!$F$13,1)),2)))),2))</f>
        <v>5.45</v>
      </c>
      <c r="S73" s="91" t="n">
        <f aca="false">IF(OR(Calculator!$E$14&lt;&gt;"YES",Calculator!$B$31&lt;Calculator!$G$14),"—",ROUND(MAX((50*POWER(80,POWER(COS(PI()*MOD(Calculator!$B$31/Calculator!$F$14,1)),2)))/$C73,$C73/(50*POWER(80,POWER(COS(PI()*MOD(Calculator!$B$31/Calculator!$F$14,1)),2)))),2))</f>
        <v>11.38</v>
      </c>
      <c r="T73" s="91" t="n">
        <f aca="false">IF(OR(Calculator!$E$15&lt;&gt;"YES",Calculator!$B$31&lt;Calculator!$G$15),"—",ROUND(MAX((50*POWER(80,POWER(COS(PI()*MOD(Calculator!$B$31/Calculator!$F$15,1)),2)))/$C73,$C73/(50*POWER(80,POWER(COS(PI()*MOD(Calculator!$B$31/Calculator!$F$15,1)),2)))),2))</f>
        <v>7.16</v>
      </c>
      <c r="U73" s="91" t="n">
        <f aca="false">IF(OR(Calculator!$E$16&lt;&gt;"YES",Calculator!$B$31&lt;Calculator!$G$16),"—",ROUND(MAX((50*POWER(80,POWER(COS(PI()*MOD(Calculator!$B$31/Calculator!$F$16,1)),2)))/$C73,$C73/(50*POWER(80,POWER(COS(PI()*MOD(Calculator!$B$31/Calculator!$F$16,1)),2)))),2))</f>
        <v>27.92</v>
      </c>
      <c r="V73" s="91" t="n">
        <f aca="false">IF(OR(Calculator!$E$17&lt;&gt;"YES",Calculator!$B$31&lt;Calculator!$G$17),"—",ROUND(MAX((50*POWER(80,POWER(COS(PI()*MOD(Calculator!$B$31/Calculator!$F$17,1)),2)))/$C73,$C73/(50*POWER(80,POWER(COS(PI()*MOD(Calculator!$B$31/Calculator!$F$17,1)),2)))),2))</f>
        <v>1.02</v>
      </c>
      <c r="W73" s="91" t="n">
        <f aca="false">IF(OR(Calculator!$E$18&lt;&gt;"YES",Calculator!$B$31&lt;Calculator!$G$18),"—",ROUND(MAX((50*POWER(80,POWER(COS(PI()*MOD(Calculator!$B$31/Calculator!$F$18,1)),2)))/$C73,$C73/(50*POWER(80,POWER(COS(PI()*MOD(Calculator!$B$31/Calculator!$F$18,1)),2)))),2))</f>
        <v>1.09</v>
      </c>
      <c r="X73" s="91" t="n">
        <f aca="false">IF(OR(Calculator!$E$19&lt;&gt;"YES",Calculator!$B$31&lt;Calculator!$G$19),"—",ROUND(MAX((50*POWER(80,POWER(COS(PI()*MOD(Calculator!$B$31/Calculator!$F$19,1)),2)))/$C73,$C73/(50*POWER(80,POWER(COS(PI()*MOD(Calculator!$B$31/Calculator!$F$19,1)),2)))),2))</f>
        <v>1.43</v>
      </c>
      <c r="Y73" s="91" t="n">
        <f aca="false">IF(OR(Calculator!$E$20&lt;&gt;"YES",Calculator!$B$31&lt;Calculator!$G$20),"—",ROUND(MAX((50*POWER(80,POWER(COS(PI()*MOD(Calculator!$B$31/Calculator!$F$20,1)),2)))/$C73,$C73/(50*POWER(80,POWER(COS(PI()*MOD(Calculator!$B$31/Calculator!$F$20,1)),2)))),2))</f>
        <v>17.27</v>
      </c>
      <c r="Z73" s="91" t="n">
        <f aca="false">IF(OR(Calculator!$E$21&lt;&gt;"YES",Calculator!$B$31&lt;Calculator!$G$21),"—",ROUND(MAX((50*POWER(80,POWER(COS(PI()*MOD(Calculator!$B$31/Calculator!$F$21,1)),2)))/$C73,$C73/(50*POWER(80,POWER(COS(PI()*MOD(Calculator!$B$31/Calculator!$F$21,1)),2)))),2))</f>
        <v>1.15</v>
      </c>
      <c r="AA73" s="114" t="n">
        <f aca="false">IFERROR(ROUND((IF(ISNUMBER(P73),P73,0)+IF(ISNUMBER(Q73),Q73,0)+IF(ISNUMBER(R73),R73,0)+IF(ISNUMBER(S73),S73,0)+IF(ISNUMBER(T73),T73,0)+IF(ISNUMBER(U73),U73,0)+IF(ISNUMBER(V73),V73,0)+IF(ISNUMBER(W73),W73,0)+IF(ISNUMBER(X73),X73,0)+IF(ISNUMBER(Y73),Y73,0)+IF(ISNUMBER(Z73),Z73,0))/(IF(ISNUMBER(P73),1,0)+IF(ISNUMBER(Q73),1,0)+IF(ISNUMBER(R73),1,0)+IF(ISNUMBER(S73),1,0)+IF(ISNUMBER(T73),1,0)+IF(ISNUMBER(U73),1,0)+IF(ISNUMBER(V73),1,0)+IF(ISNUMBER(W73),1,0)+IF(ISNUMBER(X73),1,0)+IF(ISNUMBER(Y73),1,0)+IF(ISNUMBER(Z73),1,0)),2),"")</f>
        <v>9.02</v>
      </c>
      <c r="AB73" s="91" t="n">
        <f aca="false">IF(OR(Calculator!$E$11&lt;&gt;"YES",Calculator!$B$32&lt;Calculator!$G$11),"—",ROUND(MAX((50*POWER(80,POWER(COS(PI()*MOD(Calculator!$B$32/Calculator!$F$11,1)),2)))/$C73,$C73/(50*POWER(80,POWER(COS(PI()*MOD(Calculator!$B$32/Calculator!$F$11,1)),2)))),2))</f>
        <v>29.58</v>
      </c>
      <c r="AC73" s="91" t="n">
        <f aca="false">IF(OR(Calculator!$E$12&lt;&gt;"YES",Calculator!$B$32&lt;Calculator!$G$12),"—",ROUND(MAX((50*POWER(80,POWER(COS(PI()*MOD(Calculator!$B$32/Calculator!$F$12,1)),2)))/$C73,$C73/(50*POWER(80,POWER(COS(PI()*MOD(Calculator!$B$32/Calculator!$F$12,1)),2)))),2))</f>
        <v>1.02</v>
      </c>
      <c r="AD73" s="91" t="n">
        <f aca="false">IF(OR(Calculator!$E$13&lt;&gt;"YES",Calculator!$B$32&lt;Calculator!$G$13),"—",ROUND(MAX((50*POWER(80,POWER(COS(PI()*MOD(Calculator!$B$32/Calculator!$F$13,1)),2)))/$C73,$C73/(50*POWER(80,POWER(COS(PI()*MOD(Calculator!$B$32/Calculator!$F$13,1)),2)))),2))</f>
        <v>15.09</v>
      </c>
      <c r="AE73" s="91" t="n">
        <f aca="false">IF(OR(Calculator!$E$14&lt;&gt;"YES",Calculator!$B$32&lt;Calculator!$G$14),"—",ROUND(MAX((50*POWER(80,POWER(COS(PI()*MOD(Calculator!$B$32/Calculator!$F$14,1)),2)))/$C73,$C73/(50*POWER(80,POWER(COS(PI()*MOD(Calculator!$B$32/Calculator!$F$14,1)),2)))),2))</f>
        <v>2.76</v>
      </c>
      <c r="AF73" s="91" t="n">
        <f aca="false">IF(OR(Calculator!$E$15&lt;&gt;"YES",Calculator!$B$32&lt;Calculator!$G$15),"—",ROUND(MAX((50*POWER(80,POWER(COS(PI()*MOD(Calculator!$B$32/Calculator!$F$15,1)),2)))/$C73,$C73/(50*POWER(80,POWER(COS(PI()*MOD(Calculator!$B$32/Calculator!$F$15,1)),2)))),2))</f>
        <v>1.06</v>
      </c>
      <c r="AG73" s="91" t="n">
        <f aca="false">IF(OR(Calculator!$E$16&lt;&gt;"YES",Calculator!$B$32&lt;Calculator!$G$16),"—",ROUND(MAX((50*POWER(80,POWER(COS(PI()*MOD(Calculator!$B$32/Calculator!$F$16,1)),2)))/$C73,$C73/(50*POWER(80,POWER(COS(PI()*MOD(Calculator!$B$32/Calculator!$F$16,1)),2)))),2))</f>
        <v>24.1</v>
      </c>
      <c r="AH73" s="91" t="n">
        <f aca="false">IF(OR(Calculator!$E$17&lt;&gt;"YES",Calculator!$B$32&lt;Calculator!$G$17),"—",ROUND(MAX((50*POWER(80,POWER(COS(PI()*MOD(Calculator!$B$32/Calculator!$F$17,1)),2)))/$C73,$C73/(50*POWER(80,POWER(COS(PI()*MOD(Calculator!$B$32/Calculator!$F$17,1)),2)))),2))</f>
        <v>25.44</v>
      </c>
      <c r="AI73" s="91" t="n">
        <f aca="false">IF(OR(Calculator!$E$18&lt;&gt;"YES",Calculator!$B$32&lt;Calculator!$G$18),"—",ROUND(MAX((50*POWER(80,POWER(COS(PI()*MOD(Calculator!$B$32/Calculator!$F$18,1)),2)))/$C73,$C73/(50*POWER(80,POWER(COS(PI()*MOD(Calculator!$B$32/Calculator!$F$18,1)),2)))),2))</f>
        <v>33.56</v>
      </c>
      <c r="AJ73" s="91" t="n">
        <f aca="false">IF(OR(Calculator!$E$19&lt;&gt;"YES",Calculator!$B$32&lt;Calculator!$G$19),"—",ROUND(MAX((50*POWER(80,POWER(COS(PI()*MOD(Calculator!$B$32/Calculator!$F$19,1)),2)))/$C73,$C73/(50*POWER(80,POWER(COS(PI()*MOD(Calculator!$B$32/Calculator!$F$19,1)),2)))),2))</f>
        <v>7.07</v>
      </c>
      <c r="AK73" s="91" t="n">
        <f aca="false">IF(OR(Calculator!$E$20&lt;&gt;"YES",Calculator!$B$32&lt;Calculator!$G$20),"—",ROUND(MAX((50*POWER(80,POWER(COS(PI()*MOD(Calculator!$B$32/Calculator!$F$20,1)),2)))/$C73,$C73/(50*POWER(80,POWER(COS(PI()*MOD(Calculator!$B$32/Calculator!$F$20,1)),2)))),2))</f>
        <v>1.57</v>
      </c>
      <c r="AL73" s="91" t="n">
        <f aca="false">IF(OR(Calculator!$E$21&lt;&gt;"YES",Calculator!$B$32&lt;Calculator!$G$21),"—",ROUND(MAX((50*POWER(80,POWER(COS(PI()*MOD(Calculator!$B$32/Calculator!$F$21,1)),2)))/$C73,$C73/(50*POWER(80,POWER(COS(PI()*MOD(Calculator!$B$32/Calculator!$F$21,1)),2)))),2))</f>
        <v>1.36</v>
      </c>
      <c r="AM73" s="115" t="n">
        <f aca="false">IFERROR(ROUND((IF(ISNUMBER(AB73),AB73,0)+IF(ISNUMBER(AC73),AC73,0)+IF(ISNUMBER(AD73),AD73,0)+IF(ISNUMBER(AE73),AE73,0)+IF(ISNUMBER(AF73),AF73,0)+IF(ISNUMBER(AG73),AG73,0)+IF(ISNUMBER(AH73),AH73,0)+IF(ISNUMBER(AI73),AI73,0)+IF(ISNUMBER(AJ73),AJ73,0)+IF(ISNUMBER(AK73),AK73,0)+IF(ISNUMBER(AL73),AL73,0))/(IF(ISNUMBER(AB73),1,0)+IF(ISNUMBER(AC73),1,0)+IF(ISNUMBER(AD73),1,0)+IF(ISNUMBER(AE73),1,0)+IF(ISNUMBER(AF73),1,0)+IF(ISNUMBER(AG73),1,0)+IF(ISNUMBER(AH73),1,0)+IF(ISNUMBER(AI73),1,0)+IF(ISNUMBER(AJ73),1,0)+IF(ISNUMBER(AK73),1,0)+IF(ISNUMBER(AL73),1,0)),2),"")</f>
        <v>12.96</v>
      </c>
      <c r="AN73" s="116" t="n">
        <f aca="false">IF(OR(Calculator!$E$11&lt;&gt;"YES",Calculator!$B$33&lt;Calculator!$G$11),"—",ROUND(MAX((50*POWER(80,POWER(COS(PI()*MOD(Calculator!$B$33/Calculator!$F$11,1)),2)))/$C73,$C73/(50*POWER(80,POWER(COS(PI()*MOD(Calculator!$B$33/Calculator!$F$11,1)),2)))),2))</f>
        <v>23.79</v>
      </c>
      <c r="AO73" s="116" t="n">
        <f aca="false">IF(OR(Calculator!$E$12&lt;&gt;"YES",Calculator!$B$33&lt;Calculator!$G$12),"—",ROUND(MAX((50*POWER(80,POWER(COS(PI()*MOD(Calculator!$B$33/Calculator!$F$12,1)),2)))/$C73,$C73/(50*POWER(80,POWER(COS(PI()*MOD(Calculator!$B$33/Calculator!$F$12,1)),2)))),2))</f>
        <v>1.82</v>
      </c>
      <c r="AP73" s="116" t="n">
        <f aca="false">IF(OR(Calculator!$E$13&lt;&gt;"YES",Calculator!$B$33&lt;Calculator!$G$13),"—",ROUND(MAX((50*POWER(80,POWER(COS(PI()*MOD(Calculator!$B$33/Calculator!$F$13,1)),2)))/$C73,$C73/(50*POWER(80,POWER(COS(PI()*MOD(Calculator!$B$33/Calculator!$F$13,1)),2)))),2))</f>
        <v>5.74</v>
      </c>
      <c r="AQ73" s="116" t="n">
        <f aca="false">IF(OR(Calculator!$E$14&lt;&gt;"YES",Calculator!$B$33&lt;Calculator!$G$14),"—",ROUND(MAX((50*POWER(80,POWER(COS(PI()*MOD(Calculator!$B$33/Calculator!$F$14,1)),2)))/$C73,$C73/(50*POWER(80,POWER(COS(PI()*MOD(Calculator!$B$33/Calculator!$F$14,1)),2)))),2))</f>
        <v>10.68</v>
      </c>
      <c r="AR73" s="116" t="n">
        <f aca="false">IF(OR(Calculator!$E$15&lt;&gt;"YES",Calculator!$B$33&lt;Calculator!$G$15),"—",ROUND(MAX((50*POWER(80,POWER(COS(PI()*MOD(Calculator!$B$33/Calculator!$F$15,1)),2)))/$C73,$C73/(50*POWER(80,POWER(COS(PI()*MOD(Calculator!$B$33/Calculator!$F$15,1)),2)))),2))</f>
        <v>6.5</v>
      </c>
      <c r="AS73" s="116" t="n">
        <f aca="false">IF(OR(Calculator!$E$16&lt;&gt;"YES",Calculator!$B$33&lt;Calculator!$G$16),"—",ROUND(MAX((50*POWER(80,POWER(COS(PI()*MOD(Calculator!$B$33/Calculator!$F$16,1)),2)))/$C73,$C73/(50*POWER(80,POWER(COS(PI()*MOD(Calculator!$B$33/Calculator!$F$16,1)),2)))),2))</f>
        <v>30.06</v>
      </c>
      <c r="AT73" s="116" t="n">
        <f aca="false">IF(OR(Calculator!$E$17&lt;&gt;"YES",Calculator!$B$33&lt;Calculator!$G$17),"—",ROUND(MAX((50*POWER(80,POWER(COS(PI()*MOD(Calculator!$B$33/Calculator!$F$17,1)),2)))/$C73,$C73/(50*POWER(80,POWER(COS(PI()*MOD(Calculator!$B$33/Calculator!$F$17,1)),2)))),2))</f>
        <v>1.12</v>
      </c>
      <c r="AU73" s="116" t="n">
        <f aca="false">IF(OR(Calculator!$E$18&lt;&gt;"YES",Calculator!$B$33&lt;Calculator!$G$18),"—",ROUND(MAX((50*POWER(80,POWER(COS(PI()*MOD(Calculator!$B$33/Calculator!$F$18,1)),2)))/$C73,$C73/(50*POWER(80,POWER(COS(PI()*MOD(Calculator!$B$33/Calculator!$F$18,1)),2)))),2))</f>
        <v>1.06</v>
      </c>
      <c r="AV73" s="116" t="n">
        <f aca="false">IF(OR(Calculator!$E$19&lt;&gt;"YES",Calculator!$B$33&lt;Calculator!$G$19),"—",ROUND(MAX((50*POWER(80,POWER(COS(PI()*MOD(Calculator!$B$33/Calculator!$F$19,1)),2)))/$C73,$C73/(50*POWER(80,POWER(COS(PI()*MOD(Calculator!$B$33/Calculator!$F$19,1)),2)))),2))</f>
        <v>1.6</v>
      </c>
      <c r="AW73" s="116" t="n">
        <f aca="false">IF(OR(Calculator!$E$20&lt;&gt;"YES",Calculator!$B$33&lt;Calculator!$G$20),"—",ROUND(MAX((50*POWER(80,POWER(COS(PI()*MOD(Calculator!$B$33/Calculator!$F$20,1)),2)))/$C73,$C73/(50*POWER(80,POWER(COS(PI()*MOD(Calculator!$B$33/Calculator!$F$20,1)),2)))),2))</f>
        <v>13.69</v>
      </c>
      <c r="AX73" s="116" t="n">
        <f aca="false">IF(OR(Calculator!$E$21&lt;&gt;"YES",Calculator!$B$33&lt;Calculator!$G$21),"—",ROUND(MAX((50*POWER(80,POWER(COS(PI()*MOD(Calculator!$B$33/Calculator!$F$21,1)),2)))/$C73,$C73/(50*POWER(80,POWER(COS(PI()*MOD(Calculator!$B$33/Calculator!$F$21,1)),2)))),2))</f>
        <v>1.75</v>
      </c>
      <c r="AY73" s="115" t="n">
        <f aca="false">IFERROR(ROUND((IF(ISNUMBER(AN73),AN73,0)+IF(ISNUMBER(AO73),AO73,0)+IF(ISNUMBER(AP73),AP73,0)+IF(ISNUMBER(AQ73),AQ73,0)+IF(ISNUMBER(AR73),AR73,0)+IF(ISNUMBER(AS73),AS73,0)+IF(ISNUMBER(AT73),AT73,0)+IF(ISNUMBER(AU73),AU73,0)+IF(ISNUMBER(AV73),AV73,0)+IF(ISNUMBER(AW73),AW73,0)+IF(ISNUMBER(AX73),AX73,0))/(IF(ISNUMBER(AN73),1,0)+IF(ISNUMBER(AO73),1,0)+IF(ISNUMBER(AP73),1,0)+IF(ISNUMBER(AQ73),1,0)+IF(ISNUMBER(AR73),1,0)+IF(ISNUMBER(AS73),1,0)+IF(ISNUMBER(AT73),1,0)+IF(ISNUMBER(AU73),1,0)+IF(ISNUMBER(AV73),1,0)+IF(ISNUMBER(AW73),1,0)+IF(ISNUMBER(AX73),1,0)),2),"")</f>
        <v>8.89</v>
      </c>
      <c r="AZ73" s="116" t="n">
        <f aca="false">IF(OR(Calculator!$E$11&lt;&gt;"YES",Calculator!$B$34&lt;Calculator!$G$11),"—",ROUND(MAX((50*POWER(80,POWER(COS(PI()*MOD(Calculator!$B$34/Calculator!$F$11,1)),2)))/$C73,$C73/(50*POWER(80,POWER(COS(PI()*MOD(Calculator!$B$34/Calculator!$F$11,1)),2)))),2))</f>
        <v>22.93</v>
      </c>
      <c r="BA73" s="116" t="n">
        <f aca="false">IF(OR(Calculator!$E$12&lt;&gt;"YES",Calculator!$B$34&lt;Calculator!$G$12),"—",ROUND(MAX((50*POWER(80,POWER(COS(PI()*MOD(Calculator!$B$34/Calculator!$F$12,1)),2)))/$C73,$C73/(50*POWER(80,POWER(COS(PI()*MOD(Calculator!$B$34/Calculator!$F$12,1)),2)))),2))</f>
        <v>2.01</v>
      </c>
      <c r="BB73" s="116" t="n">
        <f aca="false">IF(OR(Calculator!$E$13&lt;&gt;"YES",Calculator!$B$34&lt;Calculator!$G$13),"—",ROUND(MAX((50*POWER(80,POWER(COS(PI()*MOD(Calculator!$B$34/Calculator!$F$13,1)),2)))/$C73,$C73/(50*POWER(80,POWER(COS(PI()*MOD(Calculator!$B$34/Calculator!$F$13,1)),2)))),2))</f>
        <v>4.91</v>
      </c>
      <c r="BC73" s="116" t="n">
        <f aca="false">IF(OR(Calculator!$E$14&lt;&gt;"YES",Calculator!$B$34&lt;Calculator!$G$14),"—",ROUND(MAX((50*POWER(80,POWER(COS(PI()*MOD(Calculator!$B$34/Calculator!$F$14,1)),2)))/$C73,$C73/(50*POWER(80,POWER(COS(PI()*MOD(Calculator!$B$34/Calculator!$F$14,1)),2)))),2))</f>
        <v>12.88</v>
      </c>
      <c r="BD73" s="116" t="n">
        <f aca="false">IF(OR(Calculator!$E$15&lt;&gt;"YES",Calculator!$B$34&lt;Calculator!$G$15),"—",ROUND(MAX((50*POWER(80,POWER(COS(PI()*MOD(Calculator!$B$34/Calculator!$F$15,1)),2)))/$C73,$C73/(50*POWER(80,POWER(COS(PI()*MOD(Calculator!$B$34/Calculator!$F$15,1)),2)))),2))</f>
        <v>8.66</v>
      </c>
      <c r="BE73" s="116" t="n">
        <f aca="false">IF(OR(Calculator!$E$16&lt;&gt;"YES",Calculator!$B$34&lt;Calculator!$G$16),"—",ROUND(MAX((50*POWER(80,POWER(COS(PI()*MOD(Calculator!$B$34/Calculator!$F$16,1)),2)))/$C73,$C73/(50*POWER(80,POWER(COS(PI()*MOD(Calculator!$B$34/Calculator!$F$16,1)),2)))),2))</f>
        <v>23.59</v>
      </c>
      <c r="BF73" s="116" t="n">
        <f aca="false">IF(OR(Calculator!$E$17&lt;&gt;"YES",Calculator!$B$34&lt;Calculator!$G$17),"—",ROUND(MAX((50*POWER(80,POWER(COS(PI()*MOD(Calculator!$B$34/Calculator!$F$17,1)),2)))/$C73,$C73/(50*POWER(80,POWER(COS(PI()*MOD(Calculator!$B$34/Calculator!$F$17,1)),2)))),2))</f>
        <v>1.28</v>
      </c>
      <c r="BG73" s="116" t="n">
        <f aca="false">IF(OR(Calculator!$E$18&lt;&gt;"YES",Calculator!$B$34&lt;Calculator!$G$18),"—",ROUND(MAX((50*POWER(80,POWER(COS(PI()*MOD(Calculator!$B$34/Calculator!$F$18,1)),2)))/$C73,$C73/(50*POWER(80,POWER(COS(PI()*MOD(Calculator!$B$34/Calculator!$F$18,1)),2)))),2))</f>
        <v>1.4</v>
      </c>
      <c r="BH73" s="116" t="n">
        <f aca="false">IF(OR(Calculator!$E$19&lt;&gt;"YES",Calculator!$B$34&lt;Calculator!$G$19),"—",ROUND(MAX((50*POWER(80,POWER(COS(PI()*MOD(Calculator!$B$34/Calculator!$F$19,1)),2)))/$C73,$C73/(50*POWER(80,POWER(COS(PI()*MOD(Calculator!$B$34/Calculator!$F$19,1)),2)))),2))</f>
        <v>1.07</v>
      </c>
      <c r="BI73" s="116" t="n">
        <f aca="false">IF(OR(Calculator!$E$20&lt;&gt;"YES",Calculator!$B$34&lt;Calculator!$G$20),"—",ROUND(MAX((50*POWER(80,POWER(COS(PI()*MOD(Calculator!$B$34/Calculator!$F$20,1)),2)))/$C73,$C73/(50*POWER(80,POWER(COS(PI()*MOD(Calculator!$B$34/Calculator!$F$20,1)),2)))),2))</f>
        <v>25.66</v>
      </c>
      <c r="BJ73" s="116" t="n">
        <f aca="false">IF(OR(Calculator!$E$21&lt;&gt;"YES",Calculator!$B$34&lt;Calculator!$G$21),"—",ROUND(MAX((50*POWER(80,POWER(COS(PI()*MOD(Calculator!$B$34/Calculator!$F$21,1)),2)))/$C73,$C73/(50*POWER(80,POWER(COS(PI()*MOD(Calculator!$B$34/Calculator!$F$21,1)),2)))),2))</f>
        <v>1.6</v>
      </c>
      <c r="BK73" s="115" t="n">
        <f aca="false">IFERROR(ROUND((IF(ISNUMBER(AZ73),AZ73,0)+IF(ISNUMBER(BA73),BA73,0)+IF(ISNUMBER(BB73),BB73,0)+IF(ISNUMBER(BC73),BC73,0)+IF(ISNUMBER(BD73),BD73,0)+IF(ISNUMBER(BE73),BE73,0)+IF(ISNUMBER(BF73),BF73,0)+IF(ISNUMBER(BG73),BG73,0)+IF(ISNUMBER(BH73),BH73,0)+IF(ISNUMBER(BI73),BI73,0)+IF(ISNUMBER(BJ73),BJ73,0))/(IF(ISNUMBER(AZ73),1,0)+IF(ISNUMBER(BA73),1,0)+IF(ISNUMBER(BB73),1,0)+IF(ISNUMBER(BC73),1,0)+IF(ISNUMBER(BD73),1,0)+IF(ISNUMBER(BE73),1,0)+IF(ISNUMBER(BF73),1,0)+IF(ISNUMBER(BG73),1,0)+IF(ISNUMBER(BH73),1,0)+IF(ISNUMBER(BI73),1,0)+IF(ISNUMBER(BJ73),1,0)),2),"")</f>
        <v>9.64</v>
      </c>
    </row>
    <row r="74" customFormat="false" ht="15" hidden="false" customHeight="false" outlineLevel="0" collapsed="false">
      <c r="A74" s="117" t="s">
        <v>132</v>
      </c>
      <c r="B74" s="117" t="s">
        <v>93</v>
      </c>
      <c r="C74" s="118" t="n">
        <v>2100</v>
      </c>
      <c r="D74" s="119" t="n">
        <f aca="false">IF(OR(Calculator!$E$11&lt;&gt;"YES",Calculator!$B$30&lt;Calculator!$G$11),"—",ROUND(MAX((50*POWER(80,POWER(COS(PI()*MOD(Calculator!$B$30/Calculator!$F$11,1)),2)))/$C74,$C74/(50*POWER(80,POWER(COS(PI()*MOD(Calculator!$B$30/Calculator!$F$11,1)),2)))),2))</f>
        <v>23.78</v>
      </c>
      <c r="E74" s="119" t="n">
        <f aca="false">IF(OR(Calculator!$E$12&lt;&gt;"YES",Calculator!$B$30&lt;Calculator!$G$12),"—",ROUND(MAX((50*POWER(80,POWER(COS(PI()*MOD(Calculator!$B$30/Calculator!$F$12,1)),2)))/$C74,$C74/(50*POWER(80,POWER(COS(PI()*MOD(Calculator!$B$30/Calculator!$F$12,1)),2)))),2))</f>
        <v>1.99</v>
      </c>
      <c r="F74" s="119" t="n">
        <f aca="false">IF(OR(Calculator!$E$13&lt;&gt;"YES",Calculator!$B$30&lt;Calculator!$G$13),"—",ROUND(MAX((50*POWER(80,POWER(COS(PI()*MOD(Calculator!$B$30/Calculator!$F$13,1)),2)))/$C74,$C74/(50*POWER(80,POWER(COS(PI()*MOD(Calculator!$B$30/Calculator!$F$13,1)),2)))),2))</f>
        <v>5.3</v>
      </c>
      <c r="G74" s="119" t="n">
        <f aca="false">IF(OR(Calculator!$E$14&lt;&gt;"YES",Calculator!$B$30&lt;Calculator!$G$14),"—",ROUND(MAX((50*POWER(80,POWER(COS(PI()*MOD(Calculator!$B$30/Calculator!$F$14,1)),2)))/$C74,$C74/(50*POWER(80,POWER(COS(PI()*MOD(Calculator!$B$30/Calculator!$F$14,1)),2)))),2))</f>
        <v>12.41</v>
      </c>
      <c r="H74" s="119" t="n">
        <f aca="false">IF(OR(Calculator!$E$15&lt;&gt;"YES",Calculator!$B$30&lt;Calculator!$G$15),"—",ROUND(MAX((50*POWER(80,POWER(COS(PI()*MOD(Calculator!$B$30/Calculator!$F$15,1)),2)))/$C74,$C74/(50*POWER(80,POWER(COS(PI()*MOD(Calculator!$B$30/Calculator!$F$15,1)),2)))),2))</f>
        <v>8.07</v>
      </c>
      <c r="I74" s="119" t="n">
        <f aca="false">IF(OR(Calculator!$E$16&lt;&gt;"YES",Calculator!$B$30&lt;Calculator!$G$16),"—",ROUND(MAX((50*POWER(80,POWER(COS(PI()*MOD(Calculator!$B$30/Calculator!$F$16,1)),2)))/$C74,$C74/(50*POWER(80,POWER(COS(PI()*MOD(Calculator!$B$30/Calculator!$F$16,1)),2)))),2))</f>
        <v>26.38</v>
      </c>
      <c r="J74" s="119" t="n">
        <f aca="false">IF(OR(Calculator!$E$17&lt;&gt;"YES",Calculator!$B$30&lt;Calculator!$G$17),"—",ROUND(MAX((50*POWER(80,POWER(COS(PI()*MOD(Calculator!$B$30/Calculator!$F$17,1)),2)))/$C74,$C74/(50*POWER(80,POWER(COS(PI()*MOD(Calculator!$B$30/Calculator!$F$17,1)),2)))),2))</f>
        <v>1.12</v>
      </c>
      <c r="K74" s="119" t="n">
        <f aca="false">IF(OR(Calculator!$E$18&lt;&gt;"YES",Calculator!$B$30&lt;Calculator!$G$18),"—",ROUND(MAX((50*POWER(80,POWER(COS(PI()*MOD(Calculator!$B$30/Calculator!$F$18,1)),2)))/$C74,$C74/(50*POWER(80,POWER(COS(PI()*MOD(Calculator!$B$30/Calculator!$F$18,1)),2)))),2))</f>
        <v>1.22</v>
      </c>
      <c r="L74" s="119" t="n">
        <f aca="false">IF(OR(Calculator!$E$19&lt;&gt;"YES",Calculator!$B$30&lt;Calculator!$G$19),"—",ROUND(MAX((50*POWER(80,POWER(COS(PI()*MOD(Calculator!$B$30/Calculator!$F$19,1)),2)))/$C74,$C74/(50*POWER(80,POWER(COS(PI()*MOD(Calculator!$B$30/Calculator!$F$19,1)),2)))),2))</f>
        <v>1.22</v>
      </c>
      <c r="M74" s="119" t="n">
        <f aca="false">IF(OR(Calculator!$E$20&lt;&gt;"YES",Calculator!$B$30&lt;Calculator!$G$20),"—",ROUND(MAX((50*POWER(80,POWER(COS(PI()*MOD(Calculator!$B$30/Calculator!$F$20,1)),2)))/$C74,$C74/(50*POWER(80,POWER(COS(PI()*MOD(Calculator!$B$30/Calculator!$F$20,1)),2)))),2))</f>
        <v>21.83</v>
      </c>
      <c r="N74" s="119" t="n">
        <f aca="false">IF(OR(Calculator!$E$21&lt;&gt;"YES",Calculator!$B$30&lt;Calculator!$G$21),"—",ROUND(MAX((50*POWER(80,POWER(COS(PI()*MOD(Calculator!$B$30/Calculator!$F$21,1)),2)))/$C74,$C74/(50*POWER(80,POWER(COS(PI()*MOD(Calculator!$B$30/Calculator!$F$21,1)),2)))),2))</f>
        <v>1.21</v>
      </c>
      <c r="O74" s="114" t="n">
        <f aca="false">IFERROR(ROUND((IF(ISNUMBER(D74),D74,0)+IF(ISNUMBER(E74),E74,0)+IF(ISNUMBER(F74),F74,0)+IF(ISNUMBER(G74),G74,0)+IF(ISNUMBER(H74),H74,0)+IF(ISNUMBER(I74),I74,0)+IF(ISNUMBER(J74),J74,0)+IF(ISNUMBER(K74),K74,0)+IF(ISNUMBER(L74),L74,0)+IF(ISNUMBER(M74),M74,0)+IF(ISNUMBER(N74),N74,0))/(IF(ISNUMBER(D74),1,0)+IF(ISNUMBER(E74),1,0)+IF(ISNUMBER(F74),1,0)+IF(ISNUMBER(G74),1,0)+IF(ISNUMBER(H74),1,0)+IF(ISNUMBER(I74),1,0)+IF(ISNUMBER(J74),1,0)+IF(ISNUMBER(K74),1,0)+IF(ISNUMBER(L74),1,0)+IF(ISNUMBER(M74),1,0)+IF(ISNUMBER(N74),1,0)),2),"")</f>
        <v>9.5</v>
      </c>
      <c r="P74" s="119" t="n">
        <f aca="false">IF(OR(Calculator!$E$11&lt;&gt;"YES",Calculator!$B$31&lt;Calculator!$G$11),"—",ROUND(MAX((50*POWER(80,POWER(COS(PI()*MOD(Calculator!$B$31/Calculator!$F$11,1)),2)))/$C74,$C74/(50*POWER(80,POWER(COS(PI()*MOD(Calculator!$B$31/Calculator!$F$11,1)),2)))),2))</f>
        <v>24.07</v>
      </c>
      <c r="Q74" s="119" t="n">
        <f aca="false">IF(OR(Calculator!$E$12&lt;&gt;"YES",Calculator!$B$31&lt;Calculator!$G$12),"—",ROUND(MAX((50*POWER(80,POWER(COS(PI()*MOD(Calculator!$B$31/Calculator!$F$12,1)),2)))/$C74,$C74/(50*POWER(80,POWER(COS(PI()*MOD(Calculator!$B$31/Calculator!$F$12,1)),2)))),2))</f>
        <v>1.93</v>
      </c>
      <c r="R74" s="119" t="n">
        <f aca="false">IF(OR(Calculator!$E$13&lt;&gt;"YES",Calculator!$B$31&lt;Calculator!$G$13),"—",ROUND(MAX((50*POWER(80,POWER(COS(PI()*MOD(Calculator!$B$31/Calculator!$F$13,1)),2)))/$C74,$C74/(50*POWER(80,POWER(COS(PI()*MOD(Calculator!$B$31/Calculator!$F$13,1)),2)))),2))</f>
        <v>5.58</v>
      </c>
      <c r="S74" s="119" t="n">
        <f aca="false">IF(OR(Calculator!$E$14&lt;&gt;"YES",Calculator!$B$31&lt;Calculator!$G$14),"—",ROUND(MAX((50*POWER(80,POWER(COS(PI()*MOD(Calculator!$B$31/Calculator!$F$14,1)),2)))/$C74,$C74/(50*POWER(80,POWER(COS(PI()*MOD(Calculator!$B$31/Calculator!$F$14,1)),2)))),2))</f>
        <v>11.66</v>
      </c>
      <c r="T74" s="119" t="n">
        <f aca="false">IF(OR(Calculator!$E$15&lt;&gt;"YES",Calculator!$B$31&lt;Calculator!$G$15),"—",ROUND(MAX((50*POWER(80,POWER(COS(PI()*MOD(Calculator!$B$31/Calculator!$F$15,1)),2)))/$C74,$C74/(50*POWER(80,POWER(COS(PI()*MOD(Calculator!$B$31/Calculator!$F$15,1)),2)))),2))</f>
        <v>7.34</v>
      </c>
      <c r="U74" s="119" t="n">
        <f aca="false">IF(OR(Calculator!$E$16&lt;&gt;"YES",Calculator!$B$31&lt;Calculator!$G$16),"—",ROUND(MAX((50*POWER(80,POWER(COS(PI()*MOD(Calculator!$B$31/Calculator!$F$16,1)),2)))/$C74,$C74/(50*POWER(80,POWER(COS(PI()*MOD(Calculator!$B$31/Calculator!$F$16,1)),2)))),2))</f>
        <v>28.6</v>
      </c>
      <c r="V74" s="119" t="n">
        <f aca="false">IF(OR(Calculator!$E$17&lt;&gt;"YES",Calculator!$B$31&lt;Calculator!$G$17),"—",ROUND(MAX((50*POWER(80,POWER(COS(PI()*MOD(Calculator!$B$31/Calculator!$F$17,1)),2)))/$C74,$C74/(50*POWER(80,POWER(COS(PI()*MOD(Calculator!$B$31/Calculator!$F$17,1)),2)))),2))</f>
        <v>1.01</v>
      </c>
      <c r="W74" s="119" t="n">
        <f aca="false">IF(OR(Calculator!$E$18&lt;&gt;"YES",Calculator!$B$31&lt;Calculator!$G$18),"—",ROUND(MAX((50*POWER(80,POWER(COS(PI()*MOD(Calculator!$B$31/Calculator!$F$18,1)),2)))/$C74,$C74/(50*POWER(80,POWER(COS(PI()*MOD(Calculator!$B$31/Calculator!$F$18,1)),2)))),2))</f>
        <v>1.07</v>
      </c>
      <c r="X74" s="119" t="n">
        <f aca="false">IF(OR(Calculator!$E$19&lt;&gt;"YES",Calculator!$B$31&lt;Calculator!$G$19),"—",ROUND(MAX((50*POWER(80,POWER(COS(PI()*MOD(Calculator!$B$31/Calculator!$F$19,1)),2)))/$C74,$C74/(50*POWER(80,POWER(COS(PI()*MOD(Calculator!$B$31/Calculator!$F$19,1)),2)))),2))</f>
        <v>1.4</v>
      </c>
      <c r="Y74" s="119" t="n">
        <f aca="false">IF(OR(Calculator!$E$20&lt;&gt;"YES",Calculator!$B$31&lt;Calculator!$G$20),"—",ROUND(MAX((50*POWER(80,POWER(COS(PI()*MOD(Calculator!$B$31/Calculator!$F$20,1)),2)))/$C74,$C74/(50*POWER(80,POWER(COS(PI()*MOD(Calculator!$B$31/Calculator!$F$20,1)),2)))),2))</f>
        <v>17.69</v>
      </c>
      <c r="Z74" s="119" t="n">
        <f aca="false">IF(OR(Calculator!$E$21&lt;&gt;"YES",Calculator!$B$31&lt;Calculator!$G$21),"—",ROUND(MAX((50*POWER(80,POWER(COS(PI()*MOD(Calculator!$B$31/Calculator!$F$21,1)),2)))/$C74,$C74/(50*POWER(80,POWER(COS(PI()*MOD(Calculator!$B$31/Calculator!$F$21,1)),2)))),2))</f>
        <v>1.17</v>
      </c>
      <c r="AA74" s="114" t="n">
        <f aca="false">IFERROR(ROUND((IF(ISNUMBER(P74),P74,0)+IF(ISNUMBER(Q74),Q74,0)+IF(ISNUMBER(R74),R74,0)+IF(ISNUMBER(S74),S74,0)+IF(ISNUMBER(T74),T74,0)+IF(ISNUMBER(U74),U74,0)+IF(ISNUMBER(V74),V74,0)+IF(ISNUMBER(W74),W74,0)+IF(ISNUMBER(X74),X74,0)+IF(ISNUMBER(Y74),Y74,0)+IF(ISNUMBER(Z74),Z74,0))/(IF(ISNUMBER(P74),1,0)+IF(ISNUMBER(Q74),1,0)+IF(ISNUMBER(R74),1,0)+IF(ISNUMBER(S74),1,0)+IF(ISNUMBER(T74),1,0)+IF(ISNUMBER(U74),1,0)+IF(ISNUMBER(V74),1,0)+IF(ISNUMBER(W74),1,0)+IF(ISNUMBER(X74),1,0)+IF(ISNUMBER(Y74),1,0)+IF(ISNUMBER(Z74),1,0)),2),"")</f>
        <v>9.23</v>
      </c>
      <c r="AB74" s="119" t="n">
        <f aca="false">IF(OR(Calculator!$E$11&lt;&gt;"YES",Calculator!$B$32&lt;Calculator!$G$11),"—",ROUND(MAX((50*POWER(80,POWER(COS(PI()*MOD(Calculator!$B$32/Calculator!$F$11,1)),2)))/$C74,$C74/(50*POWER(80,POWER(COS(PI()*MOD(Calculator!$B$32/Calculator!$F$11,1)),2)))),2))</f>
        <v>30.3</v>
      </c>
      <c r="AC74" s="119" t="n">
        <f aca="false">IF(OR(Calculator!$E$12&lt;&gt;"YES",Calculator!$B$32&lt;Calculator!$G$12),"—",ROUND(MAX((50*POWER(80,POWER(COS(PI()*MOD(Calculator!$B$32/Calculator!$F$12,1)),2)))/$C74,$C74/(50*POWER(80,POWER(COS(PI()*MOD(Calculator!$B$32/Calculator!$F$12,1)),2)))),2))</f>
        <v>1.04</v>
      </c>
      <c r="AD74" s="119" t="n">
        <f aca="false">IF(OR(Calculator!$E$13&lt;&gt;"YES",Calculator!$B$32&lt;Calculator!$G$13),"—",ROUND(MAX((50*POWER(80,POWER(COS(PI()*MOD(Calculator!$B$32/Calculator!$F$13,1)),2)))/$C74,$C74/(50*POWER(80,POWER(COS(PI()*MOD(Calculator!$B$32/Calculator!$F$13,1)),2)))),2))</f>
        <v>15.46</v>
      </c>
      <c r="AE74" s="119" t="n">
        <f aca="false">IF(OR(Calculator!$E$14&lt;&gt;"YES",Calculator!$B$32&lt;Calculator!$G$14),"—",ROUND(MAX((50*POWER(80,POWER(COS(PI()*MOD(Calculator!$B$32/Calculator!$F$14,1)),2)))/$C74,$C74/(50*POWER(80,POWER(COS(PI()*MOD(Calculator!$B$32/Calculator!$F$14,1)),2)))),2))</f>
        <v>2.82</v>
      </c>
      <c r="AF74" s="119" t="n">
        <f aca="false">IF(OR(Calculator!$E$15&lt;&gt;"YES",Calculator!$B$32&lt;Calculator!$G$15),"—",ROUND(MAX((50*POWER(80,POWER(COS(PI()*MOD(Calculator!$B$32/Calculator!$F$15,1)),2)))/$C74,$C74/(50*POWER(80,POWER(COS(PI()*MOD(Calculator!$B$32/Calculator!$F$15,1)),2)))),2))</f>
        <v>1.08</v>
      </c>
      <c r="AG74" s="119" t="n">
        <f aca="false">IF(OR(Calculator!$E$16&lt;&gt;"YES",Calculator!$B$32&lt;Calculator!$G$16),"—",ROUND(MAX((50*POWER(80,POWER(COS(PI()*MOD(Calculator!$B$32/Calculator!$F$16,1)),2)))/$C74,$C74/(50*POWER(80,POWER(COS(PI()*MOD(Calculator!$B$32/Calculator!$F$16,1)),2)))),2))</f>
        <v>24.69</v>
      </c>
      <c r="AH74" s="119" t="n">
        <f aca="false">IF(OR(Calculator!$E$17&lt;&gt;"YES",Calculator!$B$32&lt;Calculator!$G$17),"—",ROUND(MAX((50*POWER(80,POWER(COS(PI()*MOD(Calculator!$B$32/Calculator!$F$17,1)),2)))/$C74,$C74/(50*POWER(80,POWER(COS(PI()*MOD(Calculator!$B$32/Calculator!$F$17,1)),2)))),2))</f>
        <v>26.06</v>
      </c>
      <c r="AI74" s="119" t="n">
        <f aca="false">IF(OR(Calculator!$E$18&lt;&gt;"YES",Calculator!$B$32&lt;Calculator!$G$18),"—",ROUND(MAX((50*POWER(80,POWER(COS(PI()*MOD(Calculator!$B$32/Calculator!$F$18,1)),2)))/$C74,$C74/(50*POWER(80,POWER(COS(PI()*MOD(Calculator!$B$32/Calculator!$F$18,1)),2)))),2))</f>
        <v>34.38</v>
      </c>
      <c r="AJ74" s="119" t="n">
        <f aca="false">IF(OR(Calculator!$E$19&lt;&gt;"YES",Calculator!$B$32&lt;Calculator!$G$19),"—",ROUND(MAX((50*POWER(80,POWER(COS(PI()*MOD(Calculator!$B$32/Calculator!$F$19,1)),2)))/$C74,$C74/(50*POWER(80,POWER(COS(PI()*MOD(Calculator!$B$32/Calculator!$F$19,1)),2)))),2))</f>
        <v>7.25</v>
      </c>
      <c r="AK74" s="119" t="n">
        <f aca="false">IF(OR(Calculator!$E$20&lt;&gt;"YES",Calculator!$B$32&lt;Calculator!$G$20),"—",ROUND(MAX((50*POWER(80,POWER(COS(PI()*MOD(Calculator!$B$32/Calculator!$F$20,1)),2)))/$C74,$C74/(50*POWER(80,POWER(COS(PI()*MOD(Calculator!$B$32/Calculator!$F$20,1)),2)))),2))</f>
        <v>1.53</v>
      </c>
      <c r="AL74" s="119" t="n">
        <f aca="false">IF(OR(Calculator!$E$21&lt;&gt;"YES",Calculator!$B$32&lt;Calculator!$G$21),"—",ROUND(MAX((50*POWER(80,POWER(COS(PI()*MOD(Calculator!$B$32/Calculator!$F$21,1)),2)))/$C74,$C74/(50*POWER(80,POWER(COS(PI()*MOD(Calculator!$B$32/Calculator!$F$21,1)),2)))),2))</f>
        <v>1.33</v>
      </c>
      <c r="AM74" s="115" t="n">
        <f aca="false">IFERROR(ROUND((IF(ISNUMBER(AB74),AB74,0)+IF(ISNUMBER(AC74),AC74,0)+IF(ISNUMBER(AD74),AD74,0)+IF(ISNUMBER(AE74),AE74,0)+IF(ISNUMBER(AF74),AF74,0)+IF(ISNUMBER(AG74),AG74,0)+IF(ISNUMBER(AH74),AH74,0)+IF(ISNUMBER(AI74),AI74,0)+IF(ISNUMBER(AJ74),AJ74,0)+IF(ISNUMBER(AK74),AK74,0)+IF(ISNUMBER(AL74),AL74,0))/(IF(ISNUMBER(AB74),1,0)+IF(ISNUMBER(AC74),1,0)+IF(ISNUMBER(AD74),1,0)+IF(ISNUMBER(AE74),1,0)+IF(ISNUMBER(AF74),1,0)+IF(ISNUMBER(AG74),1,0)+IF(ISNUMBER(AH74),1,0)+IF(ISNUMBER(AI74),1,0)+IF(ISNUMBER(AJ74),1,0)+IF(ISNUMBER(AK74),1,0)+IF(ISNUMBER(AL74),1,0)),2),"")</f>
        <v>13.27</v>
      </c>
      <c r="AN74" s="120" t="n">
        <f aca="false">IF(OR(Calculator!$E$11&lt;&gt;"YES",Calculator!$B$33&lt;Calculator!$G$11),"—",ROUND(MAX((50*POWER(80,POWER(COS(PI()*MOD(Calculator!$B$33/Calculator!$F$11,1)),2)))/$C74,$C74/(50*POWER(80,POWER(COS(PI()*MOD(Calculator!$B$33/Calculator!$F$11,1)),2)))),2))</f>
        <v>24.37</v>
      </c>
      <c r="AO74" s="120" t="n">
        <f aca="false">IF(OR(Calculator!$E$12&lt;&gt;"YES",Calculator!$B$33&lt;Calculator!$G$12),"—",ROUND(MAX((50*POWER(80,POWER(COS(PI()*MOD(Calculator!$B$33/Calculator!$F$12,1)),2)))/$C74,$C74/(50*POWER(80,POWER(COS(PI()*MOD(Calculator!$B$33/Calculator!$F$12,1)),2)))),2))</f>
        <v>1.87</v>
      </c>
      <c r="AP74" s="120" t="n">
        <f aca="false">IF(OR(Calculator!$E$13&lt;&gt;"YES",Calculator!$B$33&lt;Calculator!$G$13),"—",ROUND(MAX((50*POWER(80,POWER(COS(PI()*MOD(Calculator!$B$33/Calculator!$F$13,1)),2)))/$C74,$C74/(50*POWER(80,POWER(COS(PI()*MOD(Calculator!$B$33/Calculator!$F$13,1)),2)))),2))</f>
        <v>5.88</v>
      </c>
      <c r="AQ74" s="120" t="n">
        <f aca="false">IF(OR(Calculator!$E$14&lt;&gt;"YES",Calculator!$B$33&lt;Calculator!$G$14),"—",ROUND(MAX((50*POWER(80,POWER(COS(PI()*MOD(Calculator!$B$33/Calculator!$F$14,1)),2)))/$C74,$C74/(50*POWER(80,POWER(COS(PI()*MOD(Calculator!$B$33/Calculator!$F$14,1)),2)))),2))</f>
        <v>10.94</v>
      </c>
      <c r="AR74" s="120" t="n">
        <f aca="false">IF(OR(Calculator!$E$15&lt;&gt;"YES",Calculator!$B$33&lt;Calculator!$G$15),"—",ROUND(MAX((50*POWER(80,POWER(COS(PI()*MOD(Calculator!$B$33/Calculator!$F$15,1)),2)))/$C74,$C74/(50*POWER(80,POWER(COS(PI()*MOD(Calculator!$B$33/Calculator!$F$15,1)),2)))),2))</f>
        <v>6.66</v>
      </c>
      <c r="AS74" s="120" t="n">
        <f aca="false">IF(OR(Calculator!$E$16&lt;&gt;"YES",Calculator!$B$33&lt;Calculator!$G$16),"—",ROUND(MAX((50*POWER(80,POWER(COS(PI()*MOD(Calculator!$B$33/Calculator!$F$16,1)),2)))/$C74,$C74/(50*POWER(80,POWER(COS(PI()*MOD(Calculator!$B$33/Calculator!$F$16,1)),2)))),2))</f>
        <v>30.8</v>
      </c>
      <c r="AT74" s="120" t="n">
        <f aca="false">IF(OR(Calculator!$E$17&lt;&gt;"YES",Calculator!$B$33&lt;Calculator!$G$17),"—",ROUND(MAX((50*POWER(80,POWER(COS(PI()*MOD(Calculator!$B$33/Calculator!$F$17,1)),2)))/$C74,$C74/(50*POWER(80,POWER(COS(PI()*MOD(Calculator!$B$33/Calculator!$F$17,1)),2)))),2))</f>
        <v>1.15</v>
      </c>
      <c r="AU74" s="120" t="n">
        <f aca="false">IF(OR(Calculator!$E$18&lt;&gt;"YES",Calculator!$B$33&lt;Calculator!$G$18),"—",ROUND(MAX((50*POWER(80,POWER(COS(PI()*MOD(Calculator!$B$33/Calculator!$F$18,1)),2)))/$C74,$C74/(50*POWER(80,POWER(COS(PI()*MOD(Calculator!$B$33/Calculator!$F$18,1)),2)))),2))</f>
        <v>1.09</v>
      </c>
      <c r="AV74" s="120" t="n">
        <f aca="false">IF(OR(Calculator!$E$19&lt;&gt;"YES",Calculator!$B$33&lt;Calculator!$G$19),"—",ROUND(MAX((50*POWER(80,POWER(COS(PI()*MOD(Calculator!$B$33/Calculator!$F$19,1)),2)))/$C74,$C74/(50*POWER(80,POWER(COS(PI()*MOD(Calculator!$B$33/Calculator!$F$19,1)),2)))),2))</f>
        <v>1.56</v>
      </c>
      <c r="AW74" s="120" t="n">
        <f aca="false">IF(OR(Calculator!$E$20&lt;&gt;"YES",Calculator!$B$33&lt;Calculator!$G$20),"—",ROUND(MAX((50*POWER(80,POWER(COS(PI()*MOD(Calculator!$B$33/Calculator!$F$20,1)),2)))/$C74,$C74/(50*POWER(80,POWER(COS(PI()*MOD(Calculator!$B$33/Calculator!$F$20,1)),2)))),2))</f>
        <v>14.03</v>
      </c>
      <c r="AX74" s="120" t="n">
        <f aca="false">IF(OR(Calculator!$E$21&lt;&gt;"YES",Calculator!$B$33&lt;Calculator!$G$21),"—",ROUND(MAX((50*POWER(80,POWER(COS(PI()*MOD(Calculator!$B$33/Calculator!$F$21,1)),2)))/$C74,$C74/(50*POWER(80,POWER(COS(PI()*MOD(Calculator!$B$33/Calculator!$F$21,1)),2)))),2))</f>
        <v>1.79</v>
      </c>
      <c r="AY74" s="115" t="n">
        <f aca="false">IFERROR(ROUND((IF(ISNUMBER(AN74),AN74,0)+IF(ISNUMBER(AO74),AO74,0)+IF(ISNUMBER(AP74),AP74,0)+IF(ISNUMBER(AQ74),AQ74,0)+IF(ISNUMBER(AR74),AR74,0)+IF(ISNUMBER(AS74),AS74,0)+IF(ISNUMBER(AT74),AT74,0)+IF(ISNUMBER(AU74),AU74,0)+IF(ISNUMBER(AV74),AV74,0)+IF(ISNUMBER(AW74),AW74,0)+IF(ISNUMBER(AX74),AX74,0))/(IF(ISNUMBER(AN74),1,0)+IF(ISNUMBER(AO74),1,0)+IF(ISNUMBER(AP74),1,0)+IF(ISNUMBER(AQ74),1,0)+IF(ISNUMBER(AR74),1,0)+IF(ISNUMBER(AS74),1,0)+IF(ISNUMBER(AT74),1,0)+IF(ISNUMBER(AU74),1,0)+IF(ISNUMBER(AV74),1,0)+IF(ISNUMBER(AW74),1,0)+IF(ISNUMBER(AX74),1,0)),2),"")</f>
        <v>9.1</v>
      </c>
      <c r="AZ74" s="120" t="n">
        <f aca="false">IF(OR(Calculator!$E$11&lt;&gt;"YES",Calculator!$B$34&lt;Calculator!$G$11),"—",ROUND(MAX((50*POWER(80,POWER(COS(PI()*MOD(Calculator!$B$34/Calculator!$F$11,1)),2)))/$C74,$C74/(50*POWER(80,POWER(COS(PI()*MOD(Calculator!$B$34/Calculator!$F$11,1)),2)))),2))</f>
        <v>23.48</v>
      </c>
      <c r="BA74" s="120" t="n">
        <f aca="false">IF(OR(Calculator!$E$12&lt;&gt;"YES",Calculator!$B$34&lt;Calculator!$G$12),"—",ROUND(MAX((50*POWER(80,POWER(COS(PI()*MOD(Calculator!$B$34/Calculator!$F$12,1)),2)))/$C74,$C74/(50*POWER(80,POWER(COS(PI()*MOD(Calculator!$B$34/Calculator!$F$12,1)),2)))),2))</f>
        <v>2.06</v>
      </c>
      <c r="BB74" s="120" t="n">
        <f aca="false">IF(OR(Calculator!$E$13&lt;&gt;"YES",Calculator!$B$34&lt;Calculator!$G$13),"—",ROUND(MAX((50*POWER(80,POWER(COS(PI()*MOD(Calculator!$B$34/Calculator!$F$13,1)),2)))/$C74,$C74/(50*POWER(80,POWER(COS(PI()*MOD(Calculator!$B$34/Calculator!$F$13,1)),2)))),2))</f>
        <v>5.03</v>
      </c>
      <c r="BC74" s="120" t="n">
        <f aca="false">IF(OR(Calculator!$E$14&lt;&gt;"YES",Calculator!$B$34&lt;Calculator!$G$14),"—",ROUND(MAX((50*POWER(80,POWER(COS(PI()*MOD(Calculator!$B$34/Calculator!$F$14,1)),2)))/$C74,$C74/(50*POWER(80,POWER(COS(PI()*MOD(Calculator!$B$34/Calculator!$F$14,1)),2)))),2))</f>
        <v>13.19</v>
      </c>
      <c r="BD74" s="120" t="n">
        <f aca="false">IF(OR(Calculator!$E$15&lt;&gt;"YES",Calculator!$B$34&lt;Calculator!$G$15),"—",ROUND(MAX((50*POWER(80,POWER(COS(PI()*MOD(Calculator!$B$34/Calculator!$F$15,1)),2)))/$C74,$C74/(50*POWER(80,POWER(COS(PI()*MOD(Calculator!$B$34/Calculator!$F$15,1)),2)))),2))</f>
        <v>8.87</v>
      </c>
      <c r="BE74" s="120" t="n">
        <f aca="false">IF(OR(Calculator!$E$16&lt;&gt;"YES",Calculator!$B$34&lt;Calculator!$G$16),"—",ROUND(MAX((50*POWER(80,POWER(COS(PI()*MOD(Calculator!$B$34/Calculator!$F$16,1)),2)))/$C74,$C74/(50*POWER(80,POWER(COS(PI()*MOD(Calculator!$B$34/Calculator!$F$16,1)),2)))),2))</f>
        <v>24.16</v>
      </c>
      <c r="BF74" s="120" t="n">
        <f aca="false">IF(OR(Calculator!$E$17&lt;&gt;"YES",Calculator!$B$34&lt;Calculator!$G$17),"—",ROUND(MAX((50*POWER(80,POWER(COS(PI()*MOD(Calculator!$B$34/Calculator!$F$17,1)),2)))/$C74,$C74/(50*POWER(80,POWER(COS(PI()*MOD(Calculator!$B$34/Calculator!$F$17,1)),2)))),2))</f>
        <v>1.25</v>
      </c>
      <c r="BG74" s="120" t="n">
        <f aca="false">IF(OR(Calculator!$E$18&lt;&gt;"YES",Calculator!$B$34&lt;Calculator!$G$18),"—",ROUND(MAX((50*POWER(80,POWER(COS(PI()*MOD(Calculator!$B$34/Calculator!$F$18,1)),2)))/$C74,$C74/(50*POWER(80,POWER(COS(PI()*MOD(Calculator!$B$34/Calculator!$F$18,1)),2)))),2))</f>
        <v>1.37</v>
      </c>
      <c r="BH74" s="120" t="n">
        <f aca="false">IF(OR(Calculator!$E$19&lt;&gt;"YES",Calculator!$B$34&lt;Calculator!$G$19),"—",ROUND(MAX((50*POWER(80,POWER(COS(PI()*MOD(Calculator!$B$34/Calculator!$F$19,1)),2)))/$C74,$C74/(50*POWER(80,POWER(COS(PI()*MOD(Calculator!$B$34/Calculator!$F$19,1)),2)))),2))</f>
        <v>1.04</v>
      </c>
      <c r="BI74" s="120" t="n">
        <f aca="false">IF(OR(Calculator!$E$20&lt;&gt;"YES",Calculator!$B$34&lt;Calculator!$G$20),"—",ROUND(MAX((50*POWER(80,POWER(COS(PI()*MOD(Calculator!$B$34/Calculator!$F$20,1)),2)))/$C74,$C74/(50*POWER(80,POWER(COS(PI()*MOD(Calculator!$B$34/Calculator!$F$20,1)),2)))),2))</f>
        <v>26.29</v>
      </c>
      <c r="BJ74" s="120" t="n">
        <f aca="false">IF(OR(Calculator!$E$21&lt;&gt;"YES",Calculator!$B$34&lt;Calculator!$G$21),"—",ROUND(MAX((50*POWER(80,POWER(COS(PI()*MOD(Calculator!$B$34/Calculator!$F$21,1)),2)))/$C74,$C74/(50*POWER(80,POWER(COS(PI()*MOD(Calculator!$B$34/Calculator!$F$21,1)),2)))),2))</f>
        <v>1.56</v>
      </c>
      <c r="BK74" s="115" t="n">
        <f aca="false">IFERROR(ROUND((IF(ISNUMBER(AZ74),AZ74,0)+IF(ISNUMBER(BA74),BA74,0)+IF(ISNUMBER(BB74),BB74,0)+IF(ISNUMBER(BC74),BC74,0)+IF(ISNUMBER(BD74),BD74,0)+IF(ISNUMBER(BE74),BE74,0)+IF(ISNUMBER(BF74),BF74,0)+IF(ISNUMBER(BG74),BG74,0)+IF(ISNUMBER(BH74),BH74,0)+IF(ISNUMBER(BI74),BI74,0)+IF(ISNUMBER(BJ74),BJ74,0))/(IF(ISNUMBER(AZ74),1,0)+IF(ISNUMBER(BA74),1,0)+IF(ISNUMBER(BB74),1,0)+IF(ISNUMBER(BC74),1,0)+IF(ISNUMBER(BD74),1,0)+IF(ISNUMBER(BE74),1,0)+IF(ISNUMBER(BF74),1,0)+IF(ISNUMBER(BG74),1,0)+IF(ISNUMBER(BH74),1,0)+IF(ISNUMBER(BI74),1,0)+IF(ISNUMBER(BJ74),1,0)),2),"")</f>
        <v>9.85</v>
      </c>
    </row>
    <row r="75" customFormat="false" ht="15" hidden="false" customHeight="false" outlineLevel="0" collapsed="false">
      <c r="A75" s="87" t="s">
        <v>133</v>
      </c>
      <c r="B75" s="87" t="s">
        <v>93</v>
      </c>
      <c r="C75" s="90" t="n">
        <v>2150</v>
      </c>
      <c r="D75" s="91" t="n">
        <f aca="false">IF(OR(Calculator!$E$11&lt;&gt;"YES",Calculator!$B$30&lt;Calculator!$G$11),"—",ROUND(MAX((50*POWER(80,POWER(COS(PI()*MOD(Calculator!$B$30/Calculator!$F$11,1)),2)))/$C75,$C75/(50*POWER(80,POWER(COS(PI()*MOD(Calculator!$B$30/Calculator!$F$11,1)),2)))),2))</f>
        <v>24.34</v>
      </c>
      <c r="E75" s="91" t="n">
        <f aca="false">IF(OR(Calculator!$E$12&lt;&gt;"YES",Calculator!$B$30&lt;Calculator!$G$12),"—",ROUND(MAX((50*POWER(80,POWER(COS(PI()*MOD(Calculator!$B$30/Calculator!$F$12,1)),2)))/$C75,$C75/(50*POWER(80,POWER(COS(PI()*MOD(Calculator!$B$30/Calculator!$F$12,1)),2)))),2))</f>
        <v>2.04</v>
      </c>
      <c r="F75" s="91" t="n">
        <f aca="false">IF(OR(Calculator!$E$13&lt;&gt;"YES",Calculator!$B$30&lt;Calculator!$G$13),"—",ROUND(MAX((50*POWER(80,POWER(COS(PI()*MOD(Calculator!$B$30/Calculator!$F$13,1)),2)))/$C75,$C75/(50*POWER(80,POWER(COS(PI()*MOD(Calculator!$B$30/Calculator!$F$13,1)),2)))),2))</f>
        <v>5.43</v>
      </c>
      <c r="G75" s="91" t="n">
        <f aca="false">IF(OR(Calculator!$E$14&lt;&gt;"YES",Calculator!$B$30&lt;Calculator!$G$14),"—",ROUND(MAX((50*POWER(80,POWER(COS(PI()*MOD(Calculator!$B$30/Calculator!$F$14,1)),2)))/$C75,$C75/(50*POWER(80,POWER(COS(PI()*MOD(Calculator!$B$30/Calculator!$F$14,1)),2)))),2))</f>
        <v>12.7</v>
      </c>
      <c r="H75" s="91" t="n">
        <f aca="false">IF(OR(Calculator!$E$15&lt;&gt;"YES",Calculator!$B$30&lt;Calculator!$G$15),"—",ROUND(MAX((50*POWER(80,POWER(COS(PI()*MOD(Calculator!$B$30/Calculator!$F$15,1)),2)))/$C75,$C75/(50*POWER(80,POWER(COS(PI()*MOD(Calculator!$B$30/Calculator!$F$15,1)),2)))),2))</f>
        <v>8.26</v>
      </c>
      <c r="I75" s="91" t="n">
        <f aca="false">IF(OR(Calculator!$E$16&lt;&gt;"YES",Calculator!$B$30&lt;Calculator!$G$16),"—",ROUND(MAX((50*POWER(80,POWER(COS(PI()*MOD(Calculator!$B$30/Calculator!$F$16,1)),2)))/$C75,$C75/(50*POWER(80,POWER(COS(PI()*MOD(Calculator!$B$30/Calculator!$F$16,1)),2)))),2))</f>
        <v>27.01</v>
      </c>
      <c r="J75" s="91" t="n">
        <f aca="false">IF(OR(Calculator!$E$17&lt;&gt;"YES",Calculator!$B$30&lt;Calculator!$G$17),"—",ROUND(MAX((50*POWER(80,POWER(COS(PI()*MOD(Calculator!$B$30/Calculator!$F$17,1)),2)))/$C75,$C75/(50*POWER(80,POWER(COS(PI()*MOD(Calculator!$B$30/Calculator!$F$17,1)),2)))),2))</f>
        <v>1.09</v>
      </c>
      <c r="K75" s="91" t="n">
        <f aca="false">IF(OR(Calculator!$E$18&lt;&gt;"YES",Calculator!$B$30&lt;Calculator!$G$18),"—",ROUND(MAX((50*POWER(80,POWER(COS(PI()*MOD(Calculator!$B$30/Calculator!$F$18,1)),2)))/$C75,$C75/(50*POWER(80,POWER(COS(PI()*MOD(Calculator!$B$30/Calculator!$F$18,1)),2)))),2))</f>
        <v>1.19</v>
      </c>
      <c r="L75" s="91" t="n">
        <f aca="false">IF(OR(Calculator!$E$19&lt;&gt;"YES",Calculator!$B$30&lt;Calculator!$G$19),"—",ROUND(MAX((50*POWER(80,POWER(COS(PI()*MOD(Calculator!$B$30/Calculator!$F$19,1)),2)))/$C75,$C75/(50*POWER(80,POWER(COS(PI()*MOD(Calculator!$B$30/Calculator!$F$19,1)),2)))),2))</f>
        <v>1.19</v>
      </c>
      <c r="M75" s="91" t="n">
        <f aca="false">IF(OR(Calculator!$E$20&lt;&gt;"YES",Calculator!$B$30&lt;Calculator!$G$20),"—",ROUND(MAX((50*POWER(80,POWER(COS(PI()*MOD(Calculator!$B$30/Calculator!$F$20,1)),2)))/$C75,$C75/(50*POWER(80,POWER(COS(PI()*MOD(Calculator!$B$30/Calculator!$F$20,1)),2)))),2))</f>
        <v>22.35</v>
      </c>
      <c r="N75" s="91" t="n">
        <f aca="false">IF(OR(Calculator!$E$21&lt;&gt;"YES",Calculator!$B$30&lt;Calculator!$G$21),"—",ROUND(MAX((50*POWER(80,POWER(COS(PI()*MOD(Calculator!$B$30/Calculator!$F$21,1)),2)))/$C75,$C75/(50*POWER(80,POWER(COS(PI()*MOD(Calculator!$B$30/Calculator!$F$21,1)),2)))),2))</f>
        <v>1.18</v>
      </c>
      <c r="O75" s="114" t="n">
        <f aca="false">IFERROR(ROUND((IF(ISNUMBER(D75),D75,0)+IF(ISNUMBER(E75),E75,0)+IF(ISNUMBER(F75),F75,0)+IF(ISNUMBER(G75),G75,0)+IF(ISNUMBER(H75),H75,0)+IF(ISNUMBER(I75),I75,0)+IF(ISNUMBER(J75),J75,0)+IF(ISNUMBER(K75),K75,0)+IF(ISNUMBER(L75),L75,0)+IF(ISNUMBER(M75),M75,0)+IF(ISNUMBER(N75),N75,0))/(IF(ISNUMBER(D75),1,0)+IF(ISNUMBER(E75),1,0)+IF(ISNUMBER(F75),1,0)+IF(ISNUMBER(G75),1,0)+IF(ISNUMBER(H75),1,0)+IF(ISNUMBER(I75),1,0)+IF(ISNUMBER(J75),1,0)+IF(ISNUMBER(K75),1,0)+IF(ISNUMBER(L75),1,0)+IF(ISNUMBER(M75),1,0)+IF(ISNUMBER(N75),1,0)),2),"")</f>
        <v>9.71</v>
      </c>
      <c r="P75" s="91" t="n">
        <f aca="false">IF(OR(Calculator!$E$11&lt;&gt;"YES",Calculator!$B$31&lt;Calculator!$G$11),"—",ROUND(MAX((50*POWER(80,POWER(COS(PI()*MOD(Calculator!$B$31/Calculator!$F$11,1)),2)))/$C75,$C75/(50*POWER(80,POWER(COS(PI()*MOD(Calculator!$B$31/Calculator!$F$11,1)),2)))),2))</f>
        <v>24.64</v>
      </c>
      <c r="Q75" s="91" t="n">
        <f aca="false">IF(OR(Calculator!$E$12&lt;&gt;"YES",Calculator!$B$31&lt;Calculator!$G$12),"—",ROUND(MAX((50*POWER(80,POWER(COS(PI()*MOD(Calculator!$B$31/Calculator!$F$12,1)),2)))/$C75,$C75/(50*POWER(80,POWER(COS(PI()*MOD(Calculator!$B$31/Calculator!$F$12,1)),2)))),2))</f>
        <v>1.97</v>
      </c>
      <c r="R75" s="91" t="n">
        <f aca="false">IF(OR(Calculator!$E$13&lt;&gt;"YES",Calculator!$B$31&lt;Calculator!$G$13),"—",ROUND(MAX((50*POWER(80,POWER(COS(PI()*MOD(Calculator!$B$31/Calculator!$F$13,1)),2)))/$C75,$C75/(50*POWER(80,POWER(COS(PI()*MOD(Calculator!$B$31/Calculator!$F$13,1)),2)))),2))</f>
        <v>5.71</v>
      </c>
      <c r="S75" s="91" t="n">
        <f aca="false">IF(OR(Calculator!$E$14&lt;&gt;"YES",Calculator!$B$31&lt;Calculator!$G$14),"—",ROUND(MAX((50*POWER(80,POWER(COS(PI()*MOD(Calculator!$B$31/Calculator!$F$14,1)),2)))/$C75,$C75/(50*POWER(80,POWER(COS(PI()*MOD(Calculator!$B$31/Calculator!$F$14,1)),2)))),2))</f>
        <v>11.93</v>
      </c>
      <c r="T75" s="91" t="n">
        <f aca="false">IF(OR(Calculator!$E$15&lt;&gt;"YES",Calculator!$B$31&lt;Calculator!$G$15),"—",ROUND(MAX((50*POWER(80,POWER(COS(PI()*MOD(Calculator!$B$31/Calculator!$F$15,1)),2)))/$C75,$C75/(50*POWER(80,POWER(COS(PI()*MOD(Calculator!$B$31/Calculator!$F$15,1)),2)))),2))</f>
        <v>7.51</v>
      </c>
      <c r="U75" s="91" t="n">
        <f aca="false">IF(OR(Calculator!$E$16&lt;&gt;"YES",Calculator!$B$31&lt;Calculator!$G$16),"—",ROUND(MAX((50*POWER(80,POWER(COS(PI()*MOD(Calculator!$B$31/Calculator!$F$16,1)),2)))/$C75,$C75/(50*POWER(80,POWER(COS(PI()*MOD(Calculator!$B$31/Calculator!$F$16,1)),2)))),2))</f>
        <v>29.28</v>
      </c>
      <c r="V75" s="91" t="n">
        <f aca="false">IF(OR(Calculator!$E$17&lt;&gt;"YES",Calculator!$B$31&lt;Calculator!$G$17),"—",ROUND(MAX((50*POWER(80,POWER(COS(PI()*MOD(Calculator!$B$31/Calculator!$F$17,1)),2)))/$C75,$C75/(50*POWER(80,POWER(COS(PI()*MOD(Calculator!$B$31/Calculator!$F$17,1)),2)))),2))</f>
        <v>1.03</v>
      </c>
      <c r="W75" s="91" t="n">
        <f aca="false">IF(OR(Calculator!$E$18&lt;&gt;"YES",Calculator!$B$31&lt;Calculator!$G$18),"—",ROUND(MAX((50*POWER(80,POWER(COS(PI()*MOD(Calculator!$B$31/Calculator!$F$18,1)),2)))/$C75,$C75/(50*POWER(80,POWER(COS(PI()*MOD(Calculator!$B$31/Calculator!$F$18,1)),2)))),2))</f>
        <v>1.04</v>
      </c>
      <c r="X75" s="91" t="n">
        <f aca="false">IF(OR(Calculator!$E$19&lt;&gt;"YES",Calculator!$B$31&lt;Calculator!$G$19),"—",ROUND(MAX((50*POWER(80,POWER(COS(PI()*MOD(Calculator!$B$31/Calculator!$F$19,1)),2)))/$C75,$C75/(50*POWER(80,POWER(COS(PI()*MOD(Calculator!$B$31/Calculator!$F$19,1)),2)))),2))</f>
        <v>1.36</v>
      </c>
      <c r="Y75" s="91" t="n">
        <f aca="false">IF(OR(Calculator!$E$20&lt;&gt;"YES",Calculator!$B$31&lt;Calculator!$G$20),"—",ROUND(MAX((50*POWER(80,POWER(COS(PI()*MOD(Calculator!$B$31/Calculator!$F$20,1)),2)))/$C75,$C75/(50*POWER(80,POWER(COS(PI()*MOD(Calculator!$B$31/Calculator!$F$20,1)),2)))),2))</f>
        <v>18.11</v>
      </c>
      <c r="Z75" s="91" t="n">
        <f aca="false">IF(OR(Calculator!$E$21&lt;&gt;"YES",Calculator!$B$31&lt;Calculator!$G$21),"—",ROUND(MAX((50*POWER(80,POWER(COS(PI()*MOD(Calculator!$B$31/Calculator!$F$21,1)),2)))/$C75,$C75/(50*POWER(80,POWER(COS(PI()*MOD(Calculator!$B$31/Calculator!$F$21,1)),2)))),2))</f>
        <v>1.2</v>
      </c>
      <c r="AA75" s="114" t="n">
        <f aca="false">IFERROR(ROUND((IF(ISNUMBER(P75),P75,0)+IF(ISNUMBER(Q75),Q75,0)+IF(ISNUMBER(R75),R75,0)+IF(ISNUMBER(S75),S75,0)+IF(ISNUMBER(T75),T75,0)+IF(ISNUMBER(U75),U75,0)+IF(ISNUMBER(V75),V75,0)+IF(ISNUMBER(W75),W75,0)+IF(ISNUMBER(X75),X75,0)+IF(ISNUMBER(Y75),Y75,0)+IF(ISNUMBER(Z75),Z75,0))/(IF(ISNUMBER(P75),1,0)+IF(ISNUMBER(Q75),1,0)+IF(ISNUMBER(R75),1,0)+IF(ISNUMBER(S75),1,0)+IF(ISNUMBER(T75),1,0)+IF(ISNUMBER(U75),1,0)+IF(ISNUMBER(V75),1,0)+IF(ISNUMBER(W75),1,0)+IF(ISNUMBER(X75),1,0)+IF(ISNUMBER(Y75),1,0)+IF(ISNUMBER(Z75),1,0)),2),"")</f>
        <v>9.43</v>
      </c>
      <c r="AB75" s="91" t="n">
        <f aca="false">IF(OR(Calculator!$E$11&lt;&gt;"YES",Calculator!$B$32&lt;Calculator!$G$11),"—",ROUND(MAX((50*POWER(80,POWER(COS(PI()*MOD(Calculator!$B$32/Calculator!$F$11,1)),2)))/$C75,$C75/(50*POWER(80,POWER(COS(PI()*MOD(Calculator!$B$32/Calculator!$F$11,1)),2)))),2))</f>
        <v>31.02</v>
      </c>
      <c r="AC75" s="91" t="n">
        <f aca="false">IF(OR(Calculator!$E$12&lt;&gt;"YES",Calculator!$B$32&lt;Calculator!$G$12),"—",ROUND(MAX((50*POWER(80,POWER(COS(PI()*MOD(Calculator!$B$32/Calculator!$F$12,1)),2)))/$C75,$C75/(50*POWER(80,POWER(COS(PI()*MOD(Calculator!$B$32/Calculator!$F$12,1)),2)))),2))</f>
        <v>1.07</v>
      </c>
      <c r="AD75" s="91" t="n">
        <f aca="false">IF(OR(Calculator!$E$13&lt;&gt;"YES",Calculator!$B$32&lt;Calculator!$G$13),"—",ROUND(MAX((50*POWER(80,POWER(COS(PI()*MOD(Calculator!$B$32/Calculator!$F$13,1)),2)))/$C75,$C75/(50*POWER(80,POWER(COS(PI()*MOD(Calculator!$B$32/Calculator!$F$13,1)),2)))),2))</f>
        <v>15.83</v>
      </c>
      <c r="AE75" s="91" t="n">
        <f aca="false">IF(OR(Calculator!$E$14&lt;&gt;"YES",Calculator!$B$32&lt;Calculator!$G$14),"—",ROUND(MAX((50*POWER(80,POWER(COS(PI()*MOD(Calculator!$B$32/Calculator!$F$14,1)),2)))/$C75,$C75/(50*POWER(80,POWER(COS(PI()*MOD(Calculator!$B$32/Calculator!$F$14,1)),2)))),2))</f>
        <v>2.89</v>
      </c>
      <c r="AF75" s="91" t="n">
        <f aca="false">IF(OR(Calculator!$E$15&lt;&gt;"YES",Calculator!$B$32&lt;Calculator!$G$15),"—",ROUND(MAX((50*POWER(80,POWER(COS(PI()*MOD(Calculator!$B$32/Calculator!$F$15,1)),2)))/$C75,$C75/(50*POWER(80,POWER(COS(PI()*MOD(Calculator!$B$32/Calculator!$F$15,1)),2)))),2))</f>
        <v>1.11</v>
      </c>
      <c r="AG75" s="91" t="n">
        <f aca="false">IF(OR(Calculator!$E$16&lt;&gt;"YES",Calculator!$B$32&lt;Calculator!$G$16),"—",ROUND(MAX((50*POWER(80,POWER(COS(PI()*MOD(Calculator!$B$32/Calculator!$F$16,1)),2)))/$C75,$C75/(50*POWER(80,POWER(COS(PI()*MOD(Calculator!$B$32/Calculator!$F$16,1)),2)))),2))</f>
        <v>25.28</v>
      </c>
      <c r="AH75" s="91" t="n">
        <f aca="false">IF(OR(Calculator!$E$17&lt;&gt;"YES",Calculator!$B$32&lt;Calculator!$G$17),"—",ROUND(MAX((50*POWER(80,POWER(COS(PI()*MOD(Calculator!$B$32/Calculator!$F$17,1)),2)))/$C75,$C75/(50*POWER(80,POWER(COS(PI()*MOD(Calculator!$B$32/Calculator!$F$17,1)),2)))),2))</f>
        <v>26.68</v>
      </c>
      <c r="AI75" s="91" t="n">
        <f aca="false">IF(OR(Calculator!$E$18&lt;&gt;"YES",Calculator!$B$32&lt;Calculator!$G$18),"—",ROUND(MAX((50*POWER(80,POWER(COS(PI()*MOD(Calculator!$B$32/Calculator!$F$18,1)),2)))/$C75,$C75/(50*POWER(80,POWER(COS(PI()*MOD(Calculator!$B$32/Calculator!$F$18,1)),2)))),2))</f>
        <v>35.2</v>
      </c>
      <c r="AJ75" s="91" t="n">
        <f aca="false">IF(OR(Calculator!$E$19&lt;&gt;"YES",Calculator!$B$32&lt;Calculator!$G$19),"—",ROUND(MAX((50*POWER(80,POWER(COS(PI()*MOD(Calculator!$B$32/Calculator!$F$19,1)),2)))/$C75,$C75/(50*POWER(80,POWER(COS(PI()*MOD(Calculator!$B$32/Calculator!$F$19,1)),2)))),2))</f>
        <v>7.42</v>
      </c>
      <c r="AK75" s="91" t="n">
        <f aca="false">IF(OR(Calculator!$E$20&lt;&gt;"YES",Calculator!$B$32&lt;Calculator!$G$20),"—",ROUND(MAX((50*POWER(80,POWER(COS(PI()*MOD(Calculator!$B$32/Calculator!$F$20,1)),2)))/$C75,$C75/(50*POWER(80,POWER(COS(PI()*MOD(Calculator!$B$32/Calculator!$F$20,1)),2)))),2))</f>
        <v>1.5</v>
      </c>
      <c r="AL75" s="91" t="n">
        <f aca="false">IF(OR(Calculator!$E$21&lt;&gt;"YES",Calculator!$B$32&lt;Calculator!$G$21),"—",ROUND(MAX((50*POWER(80,POWER(COS(PI()*MOD(Calculator!$B$32/Calculator!$F$21,1)),2)))/$C75,$C75/(50*POWER(80,POWER(COS(PI()*MOD(Calculator!$B$32/Calculator!$F$21,1)),2)))),2))</f>
        <v>1.3</v>
      </c>
      <c r="AM75" s="115" t="n">
        <f aca="false">IFERROR(ROUND((IF(ISNUMBER(AB75),AB75,0)+IF(ISNUMBER(AC75),AC75,0)+IF(ISNUMBER(AD75),AD75,0)+IF(ISNUMBER(AE75),AE75,0)+IF(ISNUMBER(AF75),AF75,0)+IF(ISNUMBER(AG75),AG75,0)+IF(ISNUMBER(AH75),AH75,0)+IF(ISNUMBER(AI75),AI75,0)+IF(ISNUMBER(AJ75),AJ75,0)+IF(ISNUMBER(AK75),AK75,0)+IF(ISNUMBER(AL75),AL75,0))/(IF(ISNUMBER(AB75),1,0)+IF(ISNUMBER(AC75),1,0)+IF(ISNUMBER(AD75),1,0)+IF(ISNUMBER(AE75),1,0)+IF(ISNUMBER(AF75),1,0)+IF(ISNUMBER(AG75),1,0)+IF(ISNUMBER(AH75),1,0)+IF(ISNUMBER(AI75),1,0)+IF(ISNUMBER(AJ75),1,0)+IF(ISNUMBER(AK75),1,0)+IF(ISNUMBER(AL75),1,0)),2),"")</f>
        <v>13.57</v>
      </c>
      <c r="AN75" s="116" t="n">
        <f aca="false">IF(OR(Calculator!$E$11&lt;&gt;"YES",Calculator!$B$33&lt;Calculator!$G$11),"—",ROUND(MAX((50*POWER(80,POWER(COS(PI()*MOD(Calculator!$B$33/Calculator!$F$11,1)),2)))/$C75,$C75/(50*POWER(80,POWER(COS(PI()*MOD(Calculator!$B$33/Calculator!$F$11,1)),2)))),2))</f>
        <v>24.95</v>
      </c>
      <c r="AO75" s="116" t="n">
        <f aca="false">IF(OR(Calculator!$E$12&lt;&gt;"YES",Calculator!$B$33&lt;Calculator!$G$12),"—",ROUND(MAX((50*POWER(80,POWER(COS(PI()*MOD(Calculator!$B$33/Calculator!$F$12,1)),2)))/$C75,$C75/(50*POWER(80,POWER(COS(PI()*MOD(Calculator!$B$33/Calculator!$F$12,1)),2)))),2))</f>
        <v>1.91</v>
      </c>
      <c r="AP75" s="116" t="n">
        <f aca="false">IF(OR(Calculator!$E$13&lt;&gt;"YES",Calculator!$B$33&lt;Calculator!$G$13),"—",ROUND(MAX((50*POWER(80,POWER(COS(PI()*MOD(Calculator!$B$33/Calculator!$F$13,1)),2)))/$C75,$C75/(50*POWER(80,POWER(COS(PI()*MOD(Calculator!$B$33/Calculator!$F$13,1)),2)))),2))</f>
        <v>6.02</v>
      </c>
      <c r="AQ75" s="116" t="n">
        <f aca="false">IF(OR(Calculator!$E$14&lt;&gt;"YES",Calculator!$B$33&lt;Calculator!$G$14),"—",ROUND(MAX((50*POWER(80,POWER(COS(PI()*MOD(Calculator!$B$33/Calculator!$F$14,1)),2)))/$C75,$C75/(50*POWER(80,POWER(COS(PI()*MOD(Calculator!$B$33/Calculator!$F$14,1)),2)))),2))</f>
        <v>11.2</v>
      </c>
      <c r="AR75" s="116" t="n">
        <f aca="false">IF(OR(Calculator!$E$15&lt;&gt;"YES",Calculator!$B$33&lt;Calculator!$G$15),"—",ROUND(MAX((50*POWER(80,POWER(COS(PI()*MOD(Calculator!$B$33/Calculator!$F$15,1)),2)))/$C75,$C75/(50*POWER(80,POWER(COS(PI()*MOD(Calculator!$B$33/Calculator!$F$15,1)),2)))),2))</f>
        <v>6.82</v>
      </c>
      <c r="AS75" s="116" t="n">
        <f aca="false">IF(OR(Calculator!$E$16&lt;&gt;"YES",Calculator!$B$33&lt;Calculator!$G$16),"—",ROUND(MAX((50*POWER(80,POWER(COS(PI()*MOD(Calculator!$B$33/Calculator!$F$16,1)),2)))/$C75,$C75/(50*POWER(80,POWER(COS(PI()*MOD(Calculator!$B$33/Calculator!$F$16,1)),2)))),2))</f>
        <v>31.53</v>
      </c>
      <c r="AT75" s="116" t="n">
        <f aca="false">IF(OR(Calculator!$E$17&lt;&gt;"YES",Calculator!$B$33&lt;Calculator!$G$17),"—",ROUND(MAX((50*POWER(80,POWER(COS(PI()*MOD(Calculator!$B$33/Calculator!$F$17,1)),2)))/$C75,$C75/(50*POWER(80,POWER(COS(PI()*MOD(Calculator!$B$33/Calculator!$F$17,1)),2)))),2))</f>
        <v>1.17</v>
      </c>
      <c r="AU75" s="116" t="n">
        <f aca="false">IF(OR(Calculator!$E$18&lt;&gt;"YES",Calculator!$B$33&lt;Calculator!$G$18),"—",ROUND(MAX((50*POWER(80,POWER(COS(PI()*MOD(Calculator!$B$33/Calculator!$F$18,1)),2)))/$C75,$C75/(50*POWER(80,POWER(COS(PI()*MOD(Calculator!$B$33/Calculator!$F$18,1)),2)))),2))</f>
        <v>1.11</v>
      </c>
      <c r="AV75" s="116" t="n">
        <f aca="false">IF(OR(Calculator!$E$19&lt;&gt;"YES",Calculator!$B$33&lt;Calculator!$G$19),"—",ROUND(MAX((50*POWER(80,POWER(COS(PI()*MOD(Calculator!$B$33/Calculator!$F$19,1)),2)))/$C75,$C75/(50*POWER(80,POWER(COS(PI()*MOD(Calculator!$B$33/Calculator!$F$19,1)),2)))),2))</f>
        <v>1.53</v>
      </c>
      <c r="AW75" s="116" t="n">
        <f aca="false">IF(OR(Calculator!$E$20&lt;&gt;"YES",Calculator!$B$33&lt;Calculator!$G$20),"—",ROUND(MAX((50*POWER(80,POWER(COS(PI()*MOD(Calculator!$B$33/Calculator!$F$20,1)),2)))/$C75,$C75/(50*POWER(80,POWER(COS(PI()*MOD(Calculator!$B$33/Calculator!$F$20,1)),2)))),2))</f>
        <v>14.36</v>
      </c>
      <c r="AX75" s="116" t="n">
        <f aca="false">IF(OR(Calculator!$E$21&lt;&gt;"YES",Calculator!$B$33&lt;Calculator!$G$21),"—",ROUND(MAX((50*POWER(80,POWER(COS(PI()*MOD(Calculator!$B$33/Calculator!$F$21,1)),2)))/$C75,$C75/(50*POWER(80,POWER(COS(PI()*MOD(Calculator!$B$33/Calculator!$F$21,1)),2)))),2))</f>
        <v>1.83</v>
      </c>
      <c r="AY75" s="115" t="n">
        <f aca="false">IFERROR(ROUND((IF(ISNUMBER(AN75),AN75,0)+IF(ISNUMBER(AO75),AO75,0)+IF(ISNUMBER(AP75),AP75,0)+IF(ISNUMBER(AQ75),AQ75,0)+IF(ISNUMBER(AR75),AR75,0)+IF(ISNUMBER(AS75),AS75,0)+IF(ISNUMBER(AT75),AT75,0)+IF(ISNUMBER(AU75),AU75,0)+IF(ISNUMBER(AV75),AV75,0)+IF(ISNUMBER(AW75),AW75,0)+IF(ISNUMBER(AX75),AX75,0))/(IF(ISNUMBER(AN75),1,0)+IF(ISNUMBER(AO75),1,0)+IF(ISNUMBER(AP75),1,0)+IF(ISNUMBER(AQ75),1,0)+IF(ISNUMBER(AR75),1,0)+IF(ISNUMBER(AS75),1,0)+IF(ISNUMBER(AT75),1,0)+IF(ISNUMBER(AU75),1,0)+IF(ISNUMBER(AV75),1,0)+IF(ISNUMBER(AW75),1,0)+IF(ISNUMBER(AX75),1,0)),2),"")</f>
        <v>9.31</v>
      </c>
      <c r="AZ75" s="116" t="n">
        <f aca="false">IF(OR(Calculator!$E$11&lt;&gt;"YES",Calculator!$B$34&lt;Calculator!$G$11),"—",ROUND(MAX((50*POWER(80,POWER(COS(PI()*MOD(Calculator!$B$34/Calculator!$F$11,1)),2)))/$C75,$C75/(50*POWER(80,POWER(COS(PI()*MOD(Calculator!$B$34/Calculator!$F$11,1)),2)))),2))</f>
        <v>24.04</v>
      </c>
      <c r="BA75" s="116" t="n">
        <f aca="false">IF(OR(Calculator!$E$12&lt;&gt;"YES",Calculator!$B$34&lt;Calculator!$G$12),"—",ROUND(MAX((50*POWER(80,POWER(COS(PI()*MOD(Calculator!$B$34/Calculator!$F$12,1)),2)))/$C75,$C75/(50*POWER(80,POWER(COS(PI()*MOD(Calculator!$B$34/Calculator!$F$12,1)),2)))),2))</f>
        <v>2.11</v>
      </c>
      <c r="BB75" s="116" t="n">
        <f aca="false">IF(OR(Calculator!$E$13&lt;&gt;"YES",Calculator!$B$34&lt;Calculator!$G$13),"—",ROUND(MAX((50*POWER(80,POWER(COS(PI()*MOD(Calculator!$B$34/Calculator!$F$13,1)),2)))/$C75,$C75/(50*POWER(80,POWER(COS(PI()*MOD(Calculator!$B$34/Calculator!$F$13,1)),2)))),2))</f>
        <v>5.15</v>
      </c>
      <c r="BC75" s="116" t="n">
        <f aca="false">IF(OR(Calculator!$E$14&lt;&gt;"YES",Calculator!$B$34&lt;Calculator!$G$14),"—",ROUND(MAX((50*POWER(80,POWER(COS(PI()*MOD(Calculator!$B$34/Calculator!$F$14,1)),2)))/$C75,$C75/(50*POWER(80,POWER(COS(PI()*MOD(Calculator!$B$34/Calculator!$F$14,1)),2)))),2))</f>
        <v>13.51</v>
      </c>
      <c r="BD75" s="116" t="n">
        <f aca="false">IF(OR(Calculator!$E$15&lt;&gt;"YES",Calculator!$B$34&lt;Calculator!$G$15),"—",ROUND(MAX((50*POWER(80,POWER(COS(PI()*MOD(Calculator!$B$34/Calculator!$F$15,1)),2)))/$C75,$C75/(50*POWER(80,POWER(COS(PI()*MOD(Calculator!$B$34/Calculator!$F$15,1)),2)))),2))</f>
        <v>9.08</v>
      </c>
      <c r="BE75" s="116" t="n">
        <f aca="false">IF(OR(Calculator!$E$16&lt;&gt;"YES",Calculator!$B$34&lt;Calculator!$G$16),"—",ROUND(MAX((50*POWER(80,POWER(COS(PI()*MOD(Calculator!$B$34/Calculator!$F$16,1)),2)))/$C75,$C75/(50*POWER(80,POWER(COS(PI()*MOD(Calculator!$B$34/Calculator!$F$16,1)),2)))),2))</f>
        <v>24.74</v>
      </c>
      <c r="BF75" s="116" t="n">
        <f aca="false">IF(OR(Calculator!$E$17&lt;&gt;"YES",Calculator!$B$34&lt;Calculator!$G$17),"—",ROUND(MAX((50*POWER(80,POWER(COS(PI()*MOD(Calculator!$B$34/Calculator!$F$17,1)),2)))/$C75,$C75/(50*POWER(80,POWER(COS(PI()*MOD(Calculator!$B$34/Calculator!$F$17,1)),2)))),2))</f>
        <v>1.22</v>
      </c>
      <c r="BG75" s="116" t="n">
        <f aca="false">IF(OR(Calculator!$E$18&lt;&gt;"YES",Calculator!$B$34&lt;Calculator!$G$18),"—",ROUND(MAX((50*POWER(80,POWER(COS(PI()*MOD(Calculator!$B$34/Calculator!$F$18,1)),2)))/$C75,$C75/(50*POWER(80,POWER(COS(PI()*MOD(Calculator!$B$34/Calculator!$F$18,1)),2)))),2))</f>
        <v>1.33</v>
      </c>
      <c r="BH75" s="116" t="n">
        <f aca="false">IF(OR(Calculator!$E$19&lt;&gt;"YES",Calculator!$B$34&lt;Calculator!$G$19),"—",ROUND(MAX((50*POWER(80,POWER(COS(PI()*MOD(Calculator!$B$34/Calculator!$F$19,1)),2)))/$C75,$C75/(50*POWER(80,POWER(COS(PI()*MOD(Calculator!$B$34/Calculator!$F$19,1)),2)))),2))</f>
        <v>1.02</v>
      </c>
      <c r="BI75" s="116" t="n">
        <f aca="false">IF(OR(Calculator!$E$20&lt;&gt;"YES",Calculator!$B$34&lt;Calculator!$G$20),"—",ROUND(MAX((50*POWER(80,POWER(COS(PI()*MOD(Calculator!$B$34/Calculator!$F$20,1)),2)))/$C75,$C75/(50*POWER(80,POWER(COS(PI()*MOD(Calculator!$B$34/Calculator!$F$20,1)),2)))),2))</f>
        <v>26.91</v>
      </c>
      <c r="BJ75" s="116" t="n">
        <f aca="false">IF(OR(Calculator!$E$21&lt;&gt;"YES",Calculator!$B$34&lt;Calculator!$G$21),"—",ROUND(MAX((50*POWER(80,POWER(COS(PI()*MOD(Calculator!$B$34/Calculator!$F$21,1)),2)))/$C75,$C75/(50*POWER(80,POWER(COS(PI()*MOD(Calculator!$B$34/Calculator!$F$21,1)),2)))),2))</f>
        <v>1.53</v>
      </c>
      <c r="BK75" s="115" t="n">
        <f aca="false">IFERROR(ROUND((IF(ISNUMBER(AZ75),AZ75,0)+IF(ISNUMBER(BA75),BA75,0)+IF(ISNUMBER(BB75),BB75,0)+IF(ISNUMBER(BC75),BC75,0)+IF(ISNUMBER(BD75),BD75,0)+IF(ISNUMBER(BE75),BE75,0)+IF(ISNUMBER(BF75),BF75,0)+IF(ISNUMBER(BG75),BG75,0)+IF(ISNUMBER(BH75),BH75,0)+IF(ISNUMBER(BI75),BI75,0)+IF(ISNUMBER(BJ75),BJ75,0))/(IF(ISNUMBER(AZ75),1,0)+IF(ISNUMBER(BA75),1,0)+IF(ISNUMBER(BB75),1,0)+IF(ISNUMBER(BC75),1,0)+IF(ISNUMBER(BD75),1,0)+IF(ISNUMBER(BE75),1,0)+IF(ISNUMBER(BF75),1,0)+IF(ISNUMBER(BG75),1,0)+IF(ISNUMBER(BH75),1,0)+IF(ISNUMBER(BI75),1,0)+IF(ISNUMBER(BJ75),1,0)),2),"")</f>
        <v>10.06</v>
      </c>
    </row>
    <row r="76" customFormat="false" ht="15" hidden="false" customHeight="false" outlineLevel="0" collapsed="false">
      <c r="A76" s="117" t="s">
        <v>134</v>
      </c>
      <c r="B76" s="117" t="s">
        <v>93</v>
      </c>
      <c r="C76" s="118" t="n">
        <v>2200</v>
      </c>
      <c r="D76" s="119" t="n">
        <f aca="false">IF(OR(Calculator!$E$11&lt;&gt;"YES",Calculator!$B$30&lt;Calculator!$G$11),"—",ROUND(MAX((50*POWER(80,POWER(COS(PI()*MOD(Calculator!$B$30/Calculator!$F$11,1)),2)))/$C76,$C76/(50*POWER(80,POWER(COS(PI()*MOD(Calculator!$B$30/Calculator!$F$11,1)),2)))),2))</f>
        <v>24.91</v>
      </c>
      <c r="E76" s="119" t="n">
        <f aca="false">IF(OR(Calculator!$E$12&lt;&gt;"YES",Calculator!$B$30&lt;Calculator!$G$12),"—",ROUND(MAX((50*POWER(80,POWER(COS(PI()*MOD(Calculator!$B$30/Calculator!$F$12,1)),2)))/$C76,$C76/(50*POWER(80,POWER(COS(PI()*MOD(Calculator!$B$30/Calculator!$F$12,1)),2)))),2))</f>
        <v>2.09</v>
      </c>
      <c r="F76" s="119" t="n">
        <f aca="false">IF(OR(Calculator!$E$13&lt;&gt;"YES",Calculator!$B$30&lt;Calculator!$G$13),"—",ROUND(MAX((50*POWER(80,POWER(COS(PI()*MOD(Calculator!$B$30/Calculator!$F$13,1)),2)))/$C76,$C76/(50*POWER(80,POWER(COS(PI()*MOD(Calculator!$B$30/Calculator!$F$13,1)),2)))),2))</f>
        <v>5.55</v>
      </c>
      <c r="G76" s="119" t="n">
        <f aca="false">IF(OR(Calculator!$E$14&lt;&gt;"YES",Calculator!$B$30&lt;Calculator!$G$14),"—",ROUND(MAX((50*POWER(80,POWER(COS(PI()*MOD(Calculator!$B$30/Calculator!$F$14,1)),2)))/$C76,$C76/(50*POWER(80,POWER(COS(PI()*MOD(Calculator!$B$30/Calculator!$F$14,1)),2)))),2))</f>
        <v>13</v>
      </c>
      <c r="H76" s="119" t="n">
        <f aca="false">IF(OR(Calculator!$E$15&lt;&gt;"YES",Calculator!$B$30&lt;Calculator!$G$15),"—",ROUND(MAX((50*POWER(80,POWER(COS(PI()*MOD(Calculator!$B$30/Calculator!$F$15,1)),2)))/$C76,$C76/(50*POWER(80,POWER(COS(PI()*MOD(Calculator!$B$30/Calculator!$F$15,1)),2)))),2))</f>
        <v>8.45</v>
      </c>
      <c r="I76" s="119" t="n">
        <f aca="false">IF(OR(Calculator!$E$16&lt;&gt;"YES",Calculator!$B$30&lt;Calculator!$G$16),"—",ROUND(MAX((50*POWER(80,POWER(COS(PI()*MOD(Calculator!$B$30/Calculator!$F$16,1)),2)))/$C76,$C76/(50*POWER(80,POWER(COS(PI()*MOD(Calculator!$B$30/Calculator!$F$16,1)),2)))),2))</f>
        <v>27.63</v>
      </c>
      <c r="J76" s="119" t="n">
        <f aca="false">IF(OR(Calculator!$E$17&lt;&gt;"YES",Calculator!$B$30&lt;Calculator!$G$17),"—",ROUND(MAX((50*POWER(80,POWER(COS(PI()*MOD(Calculator!$B$30/Calculator!$F$17,1)),2)))/$C76,$C76/(50*POWER(80,POWER(COS(PI()*MOD(Calculator!$B$30/Calculator!$F$17,1)),2)))),2))</f>
        <v>1.07</v>
      </c>
      <c r="K76" s="119" t="n">
        <f aca="false">IF(OR(Calculator!$E$18&lt;&gt;"YES",Calculator!$B$30&lt;Calculator!$G$18),"—",ROUND(MAX((50*POWER(80,POWER(COS(PI()*MOD(Calculator!$B$30/Calculator!$F$18,1)),2)))/$C76,$C76/(50*POWER(80,POWER(COS(PI()*MOD(Calculator!$B$30/Calculator!$F$18,1)),2)))),2))</f>
        <v>1.16</v>
      </c>
      <c r="L76" s="119" t="n">
        <f aca="false">IF(OR(Calculator!$E$19&lt;&gt;"YES",Calculator!$B$30&lt;Calculator!$G$19),"—",ROUND(MAX((50*POWER(80,POWER(COS(PI()*MOD(Calculator!$B$30/Calculator!$F$19,1)),2)))/$C76,$C76/(50*POWER(80,POWER(COS(PI()*MOD(Calculator!$B$30/Calculator!$F$19,1)),2)))),2))</f>
        <v>1.16</v>
      </c>
      <c r="M76" s="119" t="n">
        <f aca="false">IF(OR(Calculator!$E$20&lt;&gt;"YES",Calculator!$B$30&lt;Calculator!$G$20),"—",ROUND(MAX((50*POWER(80,POWER(COS(PI()*MOD(Calculator!$B$30/Calculator!$F$20,1)),2)))/$C76,$C76/(50*POWER(80,POWER(COS(PI()*MOD(Calculator!$B$30/Calculator!$F$20,1)),2)))),2))</f>
        <v>22.87</v>
      </c>
      <c r="N76" s="119" t="n">
        <f aca="false">IF(OR(Calculator!$E$21&lt;&gt;"YES",Calculator!$B$30&lt;Calculator!$G$21),"—",ROUND(MAX((50*POWER(80,POWER(COS(PI()*MOD(Calculator!$B$30/Calculator!$F$21,1)),2)))/$C76,$C76/(50*POWER(80,POWER(COS(PI()*MOD(Calculator!$B$30/Calculator!$F$21,1)),2)))),2))</f>
        <v>1.15</v>
      </c>
      <c r="O76" s="114" t="n">
        <f aca="false">IFERROR(ROUND((IF(ISNUMBER(D76),D76,0)+IF(ISNUMBER(E76),E76,0)+IF(ISNUMBER(F76),F76,0)+IF(ISNUMBER(G76),G76,0)+IF(ISNUMBER(H76),H76,0)+IF(ISNUMBER(I76),I76,0)+IF(ISNUMBER(J76),J76,0)+IF(ISNUMBER(K76),K76,0)+IF(ISNUMBER(L76),L76,0)+IF(ISNUMBER(M76),M76,0)+IF(ISNUMBER(N76),N76,0))/(IF(ISNUMBER(D76),1,0)+IF(ISNUMBER(E76),1,0)+IF(ISNUMBER(F76),1,0)+IF(ISNUMBER(G76),1,0)+IF(ISNUMBER(H76),1,0)+IF(ISNUMBER(I76),1,0)+IF(ISNUMBER(J76),1,0)+IF(ISNUMBER(K76),1,0)+IF(ISNUMBER(L76),1,0)+IF(ISNUMBER(M76),1,0)+IF(ISNUMBER(N76),1,0)),2),"")</f>
        <v>9.91</v>
      </c>
      <c r="P76" s="119" t="n">
        <f aca="false">IF(OR(Calculator!$E$11&lt;&gt;"YES",Calculator!$B$31&lt;Calculator!$G$11),"—",ROUND(MAX((50*POWER(80,POWER(COS(PI()*MOD(Calculator!$B$31/Calculator!$F$11,1)),2)))/$C76,$C76/(50*POWER(80,POWER(COS(PI()*MOD(Calculator!$B$31/Calculator!$F$11,1)),2)))),2))</f>
        <v>25.22</v>
      </c>
      <c r="Q76" s="119" t="n">
        <f aca="false">IF(OR(Calculator!$E$12&lt;&gt;"YES",Calculator!$B$31&lt;Calculator!$G$12),"—",ROUND(MAX((50*POWER(80,POWER(COS(PI()*MOD(Calculator!$B$31/Calculator!$F$12,1)),2)))/$C76,$C76/(50*POWER(80,POWER(COS(PI()*MOD(Calculator!$B$31/Calculator!$F$12,1)),2)))),2))</f>
        <v>2.02</v>
      </c>
      <c r="R76" s="119" t="n">
        <f aca="false">IF(OR(Calculator!$E$13&lt;&gt;"YES",Calculator!$B$31&lt;Calculator!$G$13),"—",ROUND(MAX((50*POWER(80,POWER(COS(PI()*MOD(Calculator!$B$31/Calculator!$F$13,1)),2)))/$C76,$C76/(50*POWER(80,POWER(COS(PI()*MOD(Calculator!$B$31/Calculator!$F$13,1)),2)))),2))</f>
        <v>5.85</v>
      </c>
      <c r="S76" s="119" t="n">
        <f aca="false">IF(OR(Calculator!$E$14&lt;&gt;"YES",Calculator!$B$31&lt;Calculator!$G$14),"—",ROUND(MAX((50*POWER(80,POWER(COS(PI()*MOD(Calculator!$B$31/Calculator!$F$14,1)),2)))/$C76,$C76/(50*POWER(80,POWER(COS(PI()*MOD(Calculator!$B$31/Calculator!$F$14,1)),2)))),2))</f>
        <v>12.21</v>
      </c>
      <c r="T76" s="119" t="n">
        <f aca="false">IF(OR(Calculator!$E$15&lt;&gt;"YES",Calculator!$B$31&lt;Calculator!$G$15),"—",ROUND(MAX((50*POWER(80,POWER(COS(PI()*MOD(Calculator!$B$31/Calculator!$F$15,1)),2)))/$C76,$C76/(50*POWER(80,POWER(COS(PI()*MOD(Calculator!$B$31/Calculator!$F$15,1)),2)))),2))</f>
        <v>7.68</v>
      </c>
      <c r="U76" s="119" t="n">
        <f aca="false">IF(OR(Calculator!$E$16&lt;&gt;"YES",Calculator!$B$31&lt;Calculator!$G$16),"—",ROUND(MAX((50*POWER(80,POWER(COS(PI()*MOD(Calculator!$B$31/Calculator!$F$16,1)),2)))/$C76,$C76/(50*POWER(80,POWER(COS(PI()*MOD(Calculator!$B$31/Calculator!$F$16,1)),2)))),2))</f>
        <v>29.96</v>
      </c>
      <c r="V76" s="119" t="n">
        <f aca="false">IF(OR(Calculator!$E$17&lt;&gt;"YES",Calculator!$B$31&lt;Calculator!$G$17),"—",ROUND(MAX((50*POWER(80,POWER(COS(PI()*MOD(Calculator!$B$31/Calculator!$F$17,1)),2)))/$C76,$C76/(50*POWER(80,POWER(COS(PI()*MOD(Calculator!$B$31/Calculator!$F$17,1)),2)))),2))</f>
        <v>1.05</v>
      </c>
      <c r="W76" s="119" t="n">
        <f aca="false">IF(OR(Calculator!$E$18&lt;&gt;"YES",Calculator!$B$31&lt;Calculator!$G$18),"—",ROUND(MAX((50*POWER(80,POWER(COS(PI()*MOD(Calculator!$B$31/Calculator!$F$18,1)),2)))/$C76,$C76/(50*POWER(80,POWER(COS(PI()*MOD(Calculator!$B$31/Calculator!$F$18,1)),2)))),2))</f>
        <v>1.02</v>
      </c>
      <c r="X76" s="119" t="n">
        <f aca="false">IF(OR(Calculator!$E$19&lt;&gt;"YES",Calculator!$B$31&lt;Calculator!$G$19),"—",ROUND(MAX((50*POWER(80,POWER(COS(PI()*MOD(Calculator!$B$31/Calculator!$F$19,1)),2)))/$C76,$C76/(50*POWER(80,POWER(COS(PI()*MOD(Calculator!$B$31/Calculator!$F$19,1)),2)))),2))</f>
        <v>1.33</v>
      </c>
      <c r="Y76" s="119" t="n">
        <f aca="false">IF(OR(Calculator!$E$20&lt;&gt;"YES",Calculator!$B$31&lt;Calculator!$G$20),"—",ROUND(MAX((50*POWER(80,POWER(COS(PI()*MOD(Calculator!$B$31/Calculator!$F$20,1)),2)))/$C76,$C76/(50*POWER(80,POWER(COS(PI()*MOD(Calculator!$B$31/Calculator!$F$20,1)),2)))),2))</f>
        <v>18.53</v>
      </c>
      <c r="Z76" s="119" t="n">
        <f aca="false">IF(OR(Calculator!$E$21&lt;&gt;"YES",Calculator!$B$31&lt;Calculator!$G$21),"—",ROUND(MAX((50*POWER(80,POWER(COS(PI()*MOD(Calculator!$B$31/Calculator!$F$21,1)),2)))/$C76,$C76/(50*POWER(80,POWER(COS(PI()*MOD(Calculator!$B$31/Calculator!$F$21,1)),2)))),2))</f>
        <v>1.23</v>
      </c>
      <c r="AA76" s="114" t="n">
        <f aca="false">IFERROR(ROUND((IF(ISNUMBER(P76),P76,0)+IF(ISNUMBER(Q76),Q76,0)+IF(ISNUMBER(R76),R76,0)+IF(ISNUMBER(S76),S76,0)+IF(ISNUMBER(T76),T76,0)+IF(ISNUMBER(U76),U76,0)+IF(ISNUMBER(V76),V76,0)+IF(ISNUMBER(W76),W76,0)+IF(ISNUMBER(X76),X76,0)+IF(ISNUMBER(Y76),Y76,0)+IF(ISNUMBER(Z76),Z76,0))/(IF(ISNUMBER(P76),1,0)+IF(ISNUMBER(Q76),1,0)+IF(ISNUMBER(R76),1,0)+IF(ISNUMBER(S76),1,0)+IF(ISNUMBER(T76),1,0)+IF(ISNUMBER(U76),1,0)+IF(ISNUMBER(V76),1,0)+IF(ISNUMBER(W76),1,0)+IF(ISNUMBER(X76),1,0)+IF(ISNUMBER(Y76),1,0)+IF(ISNUMBER(Z76),1,0)),2),"")</f>
        <v>9.65</v>
      </c>
      <c r="AB76" s="119" t="n">
        <f aca="false">IF(OR(Calculator!$E$11&lt;&gt;"YES",Calculator!$B$32&lt;Calculator!$G$11),"—",ROUND(MAX((50*POWER(80,POWER(COS(PI()*MOD(Calculator!$B$32/Calculator!$F$11,1)),2)))/$C76,$C76/(50*POWER(80,POWER(COS(PI()*MOD(Calculator!$B$32/Calculator!$F$11,1)),2)))),2))</f>
        <v>31.74</v>
      </c>
      <c r="AC76" s="119" t="n">
        <f aca="false">IF(OR(Calculator!$E$12&lt;&gt;"YES",Calculator!$B$32&lt;Calculator!$G$12),"—",ROUND(MAX((50*POWER(80,POWER(COS(PI()*MOD(Calculator!$B$32/Calculator!$F$12,1)),2)))/$C76,$C76/(50*POWER(80,POWER(COS(PI()*MOD(Calculator!$B$32/Calculator!$F$12,1)),2)))),2))</f>
        <v>1.09</v>
      </c>
      <c r="AD76" s="119" t="n">
        <f aca="false">IF(OR(Calculator!$E$13&lt;&gt;"YES",Calculator!$B$32&lt;Calculator!$G$13),"—",ROUND(MAX((50*POWER(80,POWER(COS(PI()*MOD(Calculator!$B$32/Calculator!$F$13,1)),2)))/$C76,$C76/(50*POWER(80,POWER(COS(PI()*MOD(Calculator!$B$32/Calculator!$F$13,1)),2)))),2))</f>
        <v>16.2</v>
      </c>
      <c r="AE76" s="119" t="n">
        <f aca="false">IF(OR(Calculator!$E$14&lt;&gt;"YES",Calculator!$B$32&lt;Calculator!$G$14),"—",ROUND(MAX((50*POWER(80,POWER(COS(PI()*MOD(Calculator!$B$32/Calculator!$F$14,1)),2)))/$C76,$C76/(50*POWER(80,POWER(COS(PI()*MOD(Calculator!$B$32/Calculator!$F$14,1)),2)))),2))</f>
        <v>2.96</v>
      </c>
      <c r="AF76" s="119" t="n">
        <f aca="false">IF(OR(Calculator!$E$15&lt;&gt;"YES",Calculator!$B$32&lt;Calculator!$G$15),"—",ROUND(MAX((50*POWER(80,POWER(COS(PI()*MOD(Calculator!$B$32/Calculator!$F$15,1)),2)))/$C76,$C76/(50*POWER(80,POWER(COS(PI()*MOD(Calculator!$B$32/Calculator!$F$15,1)),2)))),2))</f>
        <v>1.14</v>
      </c>
      <c r="AG76" s="119" t="n">
        <f aca="false">IF(OR(Calculator!$E$16&lt;&gt;"YES",Calculator!$B$32&lt;Calculator!$G$16),"—",ROUND(MAX((50*POWER(80,POWER(COS(PI()*MOD(Calculator!$B$32/Calculator!$F$16,1)),2)))/$C76,$C76/(50*POWER(80,POWER(COS(PI()*MOD(Calculator!$B$32/Calculator!$F$16,1)),2)))),2))</f>
        <v>25.86</v>
      </c>
      <c r="AH76" s="119" t="n">
        <f aca="false">IF(OR(Calculator!$E$17&lt;&gt;"YES",Calculator!$B$32&lt;Calculator!$G$17),"—",ROUND(MAX((50*POWER(80,POWER(COS(PI()*MOD(Calculator!$B$32/Calculator!$F$17,1)),2)))/$C76,$C76/(50*POWER(80,POWER(COS(PI()*MOD(Calculator!$B$32/Calculator!$F$17,1)),2)))),2))</f>
        <v>27.3</v>
      </c>
      <c r="AI76" s="119" t="n">
        <f aca="false">IF(OR(Calculator!$E$18&lt;&gt;"YES",Calculator!$B$32&lt;Calculator!$G$18),"—",ROUND(MAX((50*POWER(80,POWER(COS(PI()*MOD(Calculator!$B$32/Calculator!$F$18,1)),2)))/$C76,$C76/(50*POWER(80,POWER(COS(PI()*MOD(Calculator!$B$32/Calculator!$F$18,1)),2)))),2))</f>
        <v>36.01</v>
      </c>
      <c r="AJ76" s="119" t="n">
        <f aca="false">IF(OR(Calculator!$E$19&lt;&gt;"YES",Calculator!$B$32&lt;Calculator!$G$19),"—",ROUND(MAX((50*POWER(80,POWER(COS(PI()*MOD(Calculator!$B$32/Calculator!$F$19,1)),2)))/$C76,$C76/(50*POWER(80,POWER(COS(PI()*MOD(Calculator!$B$32/Calculator!$F$19,1)),2)))),2))</f>
        <v>7.59</v>
      </c>
      <c r="AK76" s="119" t="n">
        <f aca="false">IF(OR(Calculator!$E$20&lt;&gt;"YES",Calculator!$B$32&lt;Calculator!$G$20),"—",ROUND(MAX((50*POWER(80,POWER(COS(PI()*MOD(Calculator!$B$32/Calculator!$F$20,1)),2)))/$C76,$C76/(50*POWER(80,POWER(COS(PI()*MOD(Calculator!$B$32/Calculator!$F$20,1)),2)))),2))</f>
        <v>1.46</v>
      </c>
      <c r="AL76" s="119" t="n">
        <f aca="false">IF(OR(Calculator!$E$21&lt;&gt;"YES",Calculator!$B$32&lt;Calculator!$G$21),"—",ROUND(MAX((50*POWER(80,POWER(COS(PI()*MOD(Calculator!$B$32/Calculator!$F$21,1)),2)))/$C76,$C76/(50*POWER(80,POWER(COS(PI()*MOD(Calculator!$B$32/Calculator!$F$21,1)),2)))),2))</f>
        <v>1.27</v>
      </c>
      <c r="AM76" s="115" t="n">
        <f aca="false">IFERROR(ROUND((IF(ISNUMBER(AB76),AB76,0)+IF(ISNUMBER(AC76),AC76,0)+IF(ISNUMBER(AD76),AD76,0)+IF(ISNUMBER(AE76),AE76,0)+IF(ISNUMBER(AF76),AF76,0)+IF(ISNUMBER(AG76),AG76,0)+IF(ISNUMBER(AH76),AH76,0)+IF(ISNUMBER(AI76),AI76,0)+IF(ISNUMBER(AJ76),AJ76,0)+IF(ISNUMBER(AK76),AK76,0)+IF(ISNUMBER(AL76),AL76,0))/(IF(ISNUMBER(AB76),1,0)+IF(ISNUMBER(AC76),1,0)+IF(ISNUMBER(AD76),1,0)+IF(ISNUMBER(AE76),1,0)+IF(ISNUMBER(AF76),1,0)+IF(ISNUMBER(AG76),1,0)+IF(ISNUMBER(AH76),1,0)+IF(ISNUMBER(AI76),1,0)+IF(ISNUMBER(AJ76),1,0)+IF(ISNUMBER(AK76),1,0)+IF(ISNUMBER(AL76),1,0)),2),"")</f>
        <v>13.87</v>
      </c>
      <c r="AN76" s="120" t="n">
        <f aca="false">IF(OR(Calculator!$E$11&lt;&gt;"YES",Calculator!$B$33&lt;Calculator!$G$11),"—",ROUND(MAX((50*POWER(80,POWER(COS(PI()*MOD(Calculator!$B$33/Calculator!$F$11,1)),2)))/$C76,$C76/(50*POWER(80,POWER(COS(PI()*MOD(Calculator!$B$33/Calculator!$F$11,1)),2)))),2))</f>
        <v>25.53</v>
      </c>
      <c r="AO76" s="120" t="n">
        <f aca="false">IF(OR(Calculator!$E$12&lt;&gt;"YES",Calculator!$B$33&lt;Calculator!$G$12),"—",ROUND(MAX((50*POWER(80,POWER(COS(PI()*MOD(Calculator!$B$33/Calculator!$F$12,1)),2)))/$C76,$C76/(50*POWER(80,POWER(COS(PI()*MOD(Calculator!$B$33/Calculator!$F$12,1)),2)))),2))</f>
        <v>1.95</v>
      </c>
      <c r="AP76" s="120" t="n">
        <f aca="false">IF(OR(Calculator!$E$13&lt;&gt;"YES",Calculator!$B$33&lt;Calculator!$G$13),"—",ROUND(MAX((50*POWER(80,POWER(COS(PI()*MOD(Calculator!$B$33/Calculator!$F$13,1)),2)))/$C76,$C76/(50*POWER(80,POWER(COS(PI()*MOD(Calculator!$B$33/Calculator!$F$13,1)),2)))),2))</f>
        <v>6.16</v>
      </c>
      <c r="AQ76" s="120" t="n">
        <f aca="false">IF(OR(Calculator!$E$14&lt;&gt;"YES",Calculator!$B$33&lt;Calculator!$G$14),"—",ROUND(MAX((50*POWER(80,POWER(COS(PI()*MOD(Calculator!$B$33/Calculator!$F$14,1)),2)))/$C76,$C76/(50*POWER(80,POWER(COS(PI()*MOD(Calculator!$B$33/Calculator!$F$14,1)),2)))),2))</f>
        <v>11.46</v>
      </c>
      <c r="AR76" s="120" t="n">
        <f aca="false">IF(OR(Calculator!$E$15&lt;&gt;"YES",Calculator!$B$33&lt;Calculator!$G$15),"—",ROUND(MAX((50*POWER(80,POWER(COS(PI()*MOD(Calculator!$B$33/Calculator!$F$15,1)),2)))/$C76,$C76/(50*POWER(80,POWER(COS(PI()*MOD(Calculator!$B$33/Calculator!$F$15,1)),2)))),2))</f>
        <v>6.98</v>
      </c>
      <c r="AS76" s="120" t="n">
        <f aca="false">IF(OR(Calculator!$E$16&lt;&gt;"YES",Calculator!$B$33&lt;Calculator!$G$16),"—",ROUND(MAX((50*POWER(80,POWER(COS(PI()*MOD(Calculator!$B$33/Calculator!$F$16,1)),2)))/$C76,$C76/(50*POWER(80,POWER(COS(PI()*MOD(Calculator!$B$33/Calculator!$F$16,1)),2)))),2))</f>
        <v>32.26</v>
      </c>
      <c r="AT76" s="120" t="n">
        <f aca="false">IF(OR(Calculator!$E$17&lt;&gt;"YES",Calculator!$B$33&lt;Calculator!$G$17),"—",ROUND(MAX((50*POWER(80,POWER(COS(PI()*MOD(Calculator!$B$33/Calculator!$F$17,1)),2)))/$C76,$C76/(50*POWER(80,POWER(COS(PI()*MOD(Calculator!$B$33/Calculator!$F$17,1)),2)))),2))</f>
        <v>1.2</v>
      </c>
      <c r="AU76" s="120" t="n">
        <f aca="false">IF(OR(Calculator!$E$18&lt;&gt;"YES",Calculator!$B$33&lt;Calculator!$G$18),"—",ROUND(MAX((50*POWER(80,POWER(COS(PI()*MOD(Calculator!$B$33/Calculator!$F$18,1)),2)))/$C76,$C76/(50*POWER(80,POWER(COS(PI()*MOD(Calculator!$B$33/Calculator!$F$18,1)),2)))),2))</f>
        <v>1.14</v>
      </c>
      <c r="AV76" s="120" t="n">
        <f aca="false">IF(OR(Calculator!$E$19&lt;&gt;"YES",Calculator!$B$33&lt;Calculator!$G$19),"—",ROUND(MAX((50*POWER(80,POWER(COS(PI()*MOD(Calculator!$B$33/Calculator!$F$19,1)),2)))/$C76,$C76/(50*POWER(80,POWER(COS(PI()*MOD(Calculator!$B$33/Calculator!$F$19,1)),2)))),2))</f>
        <v>1.49</v>
      </c>
      <c r="AW76" s="120" t="n">
        <f aca="false">IF(OR(Calculator!$E$20&lt;&gt;"YES",Calculator!$B$33&lt;Calculator!$G$20),"—",ROUND(MAX((50*POWER(80,POWER(COS(PI()*MOD(Calculator!$B$33/Calculator!$F$20,1)),2)))/$C76,$C76/(50*POWER(80,POWER(COS(PI()*MOD(Calculator!$B$33/Calculator!$F$20,1)),2)))),2))</f>
        <v>14.69</v>
      </c>
      <c r="AX76" s="120" t="n">
        <f aca="false">IF(OR(Calculator!$E$21&lt;&gt;"YES",Calculator!$B$33&lt;Calculator!$G$21),"—",ROUND(MAX((50*POWER(80,POWER(COS(PI()*MOD(Calculator!$B$33/Calculator!$F$21,1)),2)))/$C76,$C76/(50*POWER(80,POWER(COS(PI()*MOD(Calculator!$B$33/Calculator!$F$21,1)),2)))),2))</f>
        <v>1.88</v>
      </c>
      <c r="AY76" s="115" t="n">
        <f aca="false">IFERROR(ROUND((IF(ISNUMBER(AN76),AN76,0)+IF(ISNUMBER(AO76),AO76,0)+IF(ISNUMBER(AP76),AP76,0)+IF(ISNUMBER(AQ76),AQ76,0)+IF(ISNUMBER(AR76),AR76,0)+IF(ISNUMBER(AS76),AS76,0)+IF(ISNUMBER(AT76),AT76,0)+IF(ISNUMBER(AU76),AU76,0)+IF(ISNUMBER(AV76),AV76,0)+IF(ISNUMBER(AW76),AW76,0)+IF(ISNUMBER(AX76),AX76,0))/(IF(ISNUMBER(AN76),1,0)+IF(ISNUMBER(AO76),1,0)+IF(ISNUMBER(AP76),1,0)+IF(ISNUMBER(AQ76),1,0)+IF(ISNUMBER(AR76),1,0)+IF(ISNUMBER(AS76),1,0)+IF(ISNUMBER(AT76),1,0)+IF(ISNUMBER(AU76),1,0)+IF(ISNUMBER(AV76),1,0)+IF(ISNUMBER(AW76),1,0)+IF(ISNUMBER(AX76),1,0)),2),"")</f>
        <v>9.52</v>
      </c>
      <c r="AZ76" s="120" t="n">
        <f aca="false">IF(OR(Calculator!$E$11&lt;&gt;"YES",Calculator!$B$34&lt;Calculator!$G$11),"—",ROUND(MAX((50*POWER(80,POWER(COS(PI()*MOD(Calculator!$B$34/Calculator!$F$11,1)),2)))/$C76,$C76/(50*POWER(80,POWER(COS(PI()*MOD(Calculator!$B$34/Calculator!$F$11,1)),2)))),2))</f>
        <v>24.6</v>
      </c>
      <c r="BA76" s="120" t="n">
        <f aca="false">IF(OR(Calculator!$E$12&lt;&gt;"YES",Calculator!$B$34&lt;Calculator!$G$12),"—",ROUND(MAX((50*POWER(80,POWER(COS(PI()*MOD(Calculator!$B$34/Calculator!$F$12,1)),2)))/$C76,$C76/(50*POWER(80,POWER(COS(PI()*MOD(Calculator!$B$34/Calculator!$F$12,1)),2)))),2))</f>
        <v>2.15</v>
      </c>
      <c r="BB76" s="120" t="n">
        <f aca="false">IF(OR(Calculator!$E$13&lt;&gt;"YES",Calculator!$B$34&lt;Calculator!$G$13),"—",ROUND(MAX((50*POWER(80,POWER(COS(PI()*MOD(Calculator!$B$34/Calculator!$F$13,1)),2)))/$C76,$C76/(50*POWER(80,POWER(COS(PI()*MOD(Calculator!$B$34/Calculator!$F$13,1)),2)))),2))</f>
        <v>5.27</v>
      </c>
      <c r="BC76" s="120" t="n">
        <f aca="false">IF(OR(Calculator!$E$14&lt;&gt;"YES",Calculator!$B$34&lt;Calculator!$G$14),"—",ROUND(MAX((50*POWER(80,POWER(COS(PI()*MOD(Calculator!$B$34/Calculator!$F$14,1)),2)))/$C76,$C76/(50*POWER(80,POWER(COS(PI()*MOD(Calculator!$B$34/Calculator!$F$14,1)),2)))),2))</f>
        <v>13.82</v>
      </c>
      <c r="BD76" s="120" t="n">
        <f aca="false">IF(OR(Calculator!$E$15&lt;&gt;"YES",Calculator!$B$34&lt;Calculator!$G$15),"—",ROUND(MAX((50*POWER(80,POWER(COS(PI()*MOD(Calculator!$B$34/Calculator!$F$15,1)),2)))/$C76,$C76/(50*POWER(80,POWER(COS(PI()*MOD(Calculator!$B$34/Calculator!$F$15,1)),2)))),2))</f>
        <v>9.29</v>
      </c>
      <c r="BE76" s="120" t="n">
        <f aca="false">IF(OR(Calculator!$E$16&lt;&gt;"YES",Calculator!$B$34&lt;Calculator!$G$16),"—",ROUND(MAX((50*POWER(80,POWER(COS(PI()*MOD(Calculator!$B$34/Calculator!$F$16,1)),2)))/$C76,$C76/(50*POWER(80,POWER(COS(PI()*MOD(Calculator!$B$34/Calculator!$F$16,1)),2)))),2))</f>
        <v>25.32</v>
      </c>
      <c r="BF76" s="120" t="n">
        <f aca="false">IF(OR(Calculator!$E$17&lt;&gt;"YES",Calculator!$B$34&lt;Calculator!$G$17),"—",ROUND(MAX((50*POWER(80,POWER(COS(PI()*MOD(Calculator!$B$34/Calculator!$F$17,1)),2)))/$C76,$C76/(50*POWER(80,POWER(COS(PI()*MOD(Calculator!$B$34/Calculator!$F$17,1)),2)))),2))</f>
        <v>1.19</v>
      </c>
      <c r="BG76" s="120" t="n">
        <f aca="false">IF(OR(Calculator!$E$18&lt;&gt;"YES",Calculator!$B$34&lt;Calculator!$G$18),"—",ROUND(MAX((50*POWER(80,POWER(COS(PI()*MOD(Calculator!$B$34/Calculator!$F$18,1)),2)))/$C76,$C76/(50*POWER(80,POWER(COS(PI()*MOD(Calculator!$B$34/Calculator!$F$18,1)),2)))),2))</f>
        <v>1.3</v>
      </c>
      <c r="BH76" s="120" t="n">
        <f aca="false">IF(OR(Calculator!$E$19&lt;&gt;"YES",Calculator!$B$34&lt;Calculator!$G$19),"—",ROUND(MAX((50*POWER(80,POWER(COS(PI()*MOD(Calculator!$B$34/Calculator!$F$19,1)),2)))/$C76,$C76/(50*POWER(80,POWER(COS(PI()*MOD(Calculator!$B$34/Calculator!$F$19,1)),2)))),2))</f>
        <v>1</v>
      </c>
      <c r="BI76" s="120" t="n">
        <f aca="false">IF(OR(Calculator!$E$20&lt;&gt;"YES",Calculator!$B$34&lt;Calculator!$G$20),"—",ROUND(MAX((50*POWER(80,POWER(COS(PI()*MOD(Calculator!$B$34/Calculator!$F$20,1)),2)))/$C76,$C76/(50*POWER(80,POWER(COS(PI()*MOD(Calculator!$B$34/Calculator!$F$20,1)),2)))),2))</f>
        <v>27.54</v>
      </c>
      <c r="BJ76" s="120" t="n">
        <f aca="false">IF(OR(Calculator!$E$21&lt;&gt;"YES",Calculator!$B$34&lt;Calculator!$G$21),"—",ROUND(MAX((50*POWER(80,POWER(COS(PI()*MOD(Calculator!$B$34/Calculator!$F$21,1)),2)))/$C76,$C76/(50*POWER(80,POWER(COS(PI()*MOD(Calculator!$B$34/Calculator!$F$21,1)),2)))),2))</f>
        <v>1.49</v>
      </c>
      <c r="BK76" s="115" t="n">
        <f aca="false">IFERROR(ROUND((IF(ISNUMBER(AZ76),AZ76,0)+IF(ISNUMBER(BA76),BA76,0)+IF(ISNUMBER(BB76),BB76,0)+IF(ISNUMBER(BC76),BC76,0)+IF(ISNUMBER(BD76),BD76,0)+IF(ISNUMBER(BE76),BE76,0)+IF(ISNUMBER(BF76),BF76,0)+IF(ISNUMBER(BG76),BG76,0)+IF(ISNUMBER(BH76),BH76,0)+IF(ISNUMBER(BI76),BI76,0)+IF(ISNUMBER(BJ76),BJ76,0))/(IF(ISNUMBER(AZ76),1,0)+IF(ISNUMBER(BA76),1,0)+IF(ISNUMBER(BB76),1,0)+IF(ISNUMBER(BC76),1,0)+IF(ISNUMBER(BD76),1,0)+IF(ISNUMBER(BE76),1,0)+IF(ISNUMBER(BF76),1,0)+IF(ISNUMBER(BG76),1,0)+IF(ISNUMBER(BH76),1,0)+IF(ISNUMBER(BI76),1,0)+IF(ISNUMBER(BJ76),1,0)),2),"")</f>
        <v>10.27</v>
      </c>
    </row>
    <row r="77" customFormat="false" ht="15" hidden="false" customHeight="false" outlineLevel="0" collapsed="false">
      <c r="A77" s="87" t="s">
        <v>135</v>
      </c>
      <c r="B77" s="87" t="s">
        <v>93</v>
      </c>
      <c r="C77" s="90" t="n">
        <v>2250</v>
      </c>
      <c r="D77" s="91" t="n">
        <f aca="false">IF(OR(Calculator!$E$11&lt;&gt;"YES",Calculator!$B$30&lt;Calculator!$G$11),"—",ROUND(MAX((50*POWER(80,POWER(COS(PI()*MOD(Calculator!$B$30/Calculator!$F$11,1)),2)))/$C77,$C77/(50*POWER(80,POWER(COS(PI()*MOD(Calculator!$B$30/Calculator!$F$11,1)),2)))),2))</f>
        <v>25.48</v>
      </c>
      <c r="E77" s="91" t="n">
        <f aca="false">IF(OR(Calculator!$E$12&lt;&gt;"YES",Calculator!$B$30&lt;Calculator!$G$12),"—",ROUND(MAX((50*POWER(80,POWER(COS(PI()*MOD(Calculator!$B$30/Calculator!$F$12,1)),2)))/$C77,$C77/(50*POWER(80,POWER(COS(PI()*MOD(Calculator!$B$30/Calculator!$F$12,1)),2)))),2))</f>
        <v>2.13</v>
      </c>
      <c r="F77" s="91" t="n">
        <f aca="false">IF(OR(Calculator!$E$13&lt;&gt;"YES",Calculator!$B$30&lt;Calculator!$G$13),"—",ROUND(MAX((50*POWER(80,POWER(COS(PI()*MOD(Calculator!$B$30/Calculator!$F$13,1)),2)))/$C77,$C77/(50*POWER(80,POWER(COS(PI()*MOD(Calculator!$B$30/Calculator!$F$13,1)),2)))),2))</f>
        <v>5.68</v>
      </c>
      <c r="G77" s="91" t="n">
        <f aca="false">IF(OR(Calculator!$E$14&lt;&gt;"YES",Calculator!$B$30&lt;Calculator!$G$14),"—",ROUND(MAX((50*POWER(80,POWER(COS(PI()*MOD(Calculator!$B$30/Calculator!$F$14,1)),2)))/$C77,$C77/(50*POWER(80,POWER(COS(PI()*MOD(Calculator!$B$30/Calculator!$F$14,1)),2)))),2))</f>
        <v>13.29</v>
      </c>
      <c r="H77" s="91" t="n">
        <f aca="false">IF(OR(Calculator!$E$15&lt;&gt;"YES",Calculator!$B$30&lt;Calculator!$G$15),"—",ROUND(MAX((50*POWER(80,POWER(COS(PI()*MOD(Calculator!$B$30/Calculator!$F$15,1)),2)))/$C77,$C77/(50*POWER(80,POWER(COS(PI()*MOD(Calculator!$B$30/Calculator!$F$15,1)),2)))),2))</f>
        <v>8.65</v>
      </c>
      <c r="I77" s="91" t="n">
        <f aca="false">IF(OR(Calculator!$E$16&lt;&gt;"YES",Calculator!$B$30&lt;Calculator!$G$16),"—",ROUND(MAX((50*POWER(80,POWER(COS(PI()*MOD(Calculator!$B$30/Calculator!$F$16,1)),2)))/$C77,$C77/(50*POWER(80,POWER(COS(PI()*MOD(Calculator!$B$30/Calculator!$F$16,1)),2)))),2))</f>
        <v>28.26</v>
      </c>
      <c r="J77" s="91" t="n">
        <f aca="false">IF(OR(Calculator!$E$17&lt;&gt;"YES",Calculator!$B$30&lt;Calculator!$G$17),"—",ROUND(MAX((50*POWER(80,POWER(COS(PI()*MOD(Calculator!$B$30/Calculator!$F$17,1)),2)))/$C77,$C77/(50*POWER(80,POWER(COS(PI()*MOD(Calculator!$B$30/Calculator!$F$17,1)),2)))),2))</f>
        <v>1.04</v>
      </c>
      <c r="K77" s="91" t="n">
        <f aca="false">IF(OR(Calculator!$E$18&lt;&gt;"YES",Calculator!$B$30&lt;Calculator!$G$18),"—",ROUND(MAX((50*POWER(80,POWER(COS(PI()*MOD(Calculator!$B$30/Calculator!$F$18,1)),2)))/$C77,$C77/(50*POWER(80,POWER(COS(PI()*MOD(Calculator!$B$30/Calculator!$F$18,1)),2)))),2))</f>
        <v>1.13</v>
      </c>
      <c r="L77" s="91" t="n">
        <f aca="false">IF(OR(Calculator!$E$19&lt;&gt;"YES",Calculator!$B$30&lt;Calculator!$G$19),"—",ROUND(MAX((50*POWER(80,POWER(COS(PI()*MOD(Calculator!$B$30/Calculator!$F$19,1)),2)))/$C77,$C77/(50*POWER(80,POWER(COS(PI()*MOD(Calculator!$B$30/Calculator!$F$19,1)),2)))),2))</f>
        <v>1.14</v>
      </c>
      <c r="M77" s="91" t="n">
        <f aca="false">IF(OR(Calculator!$E$20&lt;&gt;"YES",Calculator!$B$30&lt;Calculator!$G$20),"—",ROUND(MAX((50*POWER(80,POWER(COS(PI()*MOD(Calculator!$B$30/Calculator!$F$20,1)),2)))/$C77,$C77/(50*POWER(80,POWER(COS(PI()*MOD(Calculator!$B$30/Calculator!$F$20,1)),2)))),2))</f>
        <v>23.39</v>
      </c>
      <c r="N77" s="91" t="n">
        <f aca="false">IF(OR(Calculator!$E$21&lt;&gt;"YES",Calculator!$B$30&lt;Calculator!$G$21),"—",ROUND(MAX((50*POWER(80,POWER(COS(PI()*MOD(Calculator!$B$30/Calculator!$F$21,1)),2)))/$C77,$C77/(50*POWER(80,POWER(COS(PI()*MOD(Calculator!$B$30/Calculator!$F$21,1)),2)))),2))</f>
        <v>1.13</v>
      </c>
      <c r="O77" s="114" t="n">
        <f aca="false">IFERROR(ROUND((IF(ISNUMBER(D77),D77,0)+IF(ISNUMBER(E77),E77,0)+IF(ISNUMBER(F77),F77,0)+IF(ISNUMBER(G77),G77,0)+IF(ISNUMBER(H77),H77,0)+IF(ISNUMBER(I77),I77,0)+IF(ISNUMBER(J77),J77,0)+IF(ISNUMBER(K77),K77,0)+IF(ISNUMBER(L77),L77,0)+IF(ISNUMBER(M77),M77,0)+IF(ISNUMBER(N77),N77,0))/(IF(ISNUMBER(D77),1,0)+IF(ISNUMBER(E77),1,0)+IF(ISNUMBER(F77),1,0)+IF(ISNUMBER(G77),1,0)+IF(ISNUMBER(H77),1,0)+IF(ISNUMBER(I77),1,0)+IF(ISNUMBER(J77),1,0)+IF(ISNUMBER(K77),1,0)+IF(ISNUMBER(L77),1,0)+IF(ISNUMBER(M77),1,0)+IF(ISNUMBER(N77),1,0)),2),"")</f>
        <v>10.12</v>
      </c>
      <c r="P77" s="91" t="n">
        <f aca="false">IF(OR(Calculator!$E$11&lt;&gt;"YES",Calculator!$B$31&lt;Calculator!$G$11),"—",ROUND(MAX((50*POWER(80,POWER(COS(PI()*MOD(Calculator!$B$31/Calculator!$F$11,1)),2)))/$C77,$C77/(50*POWER(80,POWER(COS(PI()*MOD(Calculator!$B$31/Calculator!$F$11,1)),2)))),2))</f>
        <v>25.79</v>
      </c>
      <c r="Q77" s="91" t="n">
        <f aca="false">IF(OR(Calculator!$E$12&lt;&gt;"YES",Calculator!$B$31&lt;Calculator!$G$12),"—",ROUND(MAX((50*POWER(80,POWER(COS(PI()*MOD(Calculator!$B$31/Calculator!$F$12,1)),2)))/$C77,$C77/(50*POWER(80,POWER(COS(PI()*MOD(Calculator!$B$31/Calculator!$F$12,1)),2)))),2))</f>
        <v>2.06</v>
      </c>
      <c r="R77" s="91" t="n">
        <f aca="false">IF(OR(Calculator!$E$13&lt;&gt;"YES",Calculator!$B$31&lt;Calculator!$G$13),"—",ROUND(MAX((50*POWER(80,POWER(COS(PI()*MOD(Calculator!$B$31/Calculator!$F$13,1)),2)))/$C77,$C77/(50*POWER(80,POWER(COS(PI()*MOD(Calculator!$B$31/Calculator!$F$13,1)),2)))),2))</f>
        <v>5.98</v>
      </c>
      <c r="S77" s="91" t="n">
        <f aca="false">IF(OR(Calculator!$E$14&lt;&gt;"YES",Calculator!$B$31&lt;Calculator!$G$14),"—",ROUND(MAX((50*POWER(80,POWER(COS(PI()*MOD(Calculator!$B$31/Calculator!$F$14,1)),2)))/$C77,$C77/(50*POWER(80,POWER(COS(PI()*MOD(Calculator!$B$31/Calculator!$F$14,1)),2)))),2))</f>
        <v>12.49</v>
      </c>
      <c r="T77" s="91" t="n">
        <f aca="false">IF(OR(Calculator!$E$15&lt;&gt;"YES",Calculator!$B$31&lt;Calculator!$G$15),"—",ROUND(MAX((50*POWER(80,POWER(COS(PI()*MOD(Calculator!$B$31/Calculator!$F$15,1)),2)))/$C77,$C77/(50*POWER(80,POWER(COS(PI()*MOD(Calculator!$B$31/Calculator!$F$15,1)),2)))),2))</f>
        <v>7.86</v>
      </c>
      <c r="U77" s="91" t="n">
        <f aca="false">IF(OR(Calculator!$E$16&lt;&gt;"YES",Calculator!$B$31&lt;Calculator!$G$16),"—",ROUND(MAX((50*POWER(80,POWER(COS(PI()*MOD(Calculator!$B$31/Calculator!$F$16,1)),2)))/$C77,$C77/(50*POWER(80,POWER(COS(PI()*MOD(Calculator!$B$31/Calculator!$F$16,1)),2)))),2))</f>
        <v>30.65</v>
      </c>
      <c r="V77" s="91" t="n">
        <f aca="false">IF(OR(Calculator!$E$17&lt;&gt;"YES",Calculator!$B$31&lt;Calculator!$G$17),"—",ROUND(MAX((50*POWER(80,POWER(COS(PI()*MOD(Calculator!$B$31/Calculator!$F$17,1)),2)))/$C77,$C77/(50*POWER(80,POWER(COS(PI()*MOD(Calculator!$B$31/Calculator!$F$17,1)),2)))),2))</f>
        <v>1.08</v>
      </c>
      <c r="W77" s="91" t="n">
        <f aca="false">IF(OR(Calculator!$E$18&lt;&gt;"YES",Calculator!$B$31&lt;Calculator!$G$18),"—",ROUND(MAX((50*POWER(80,POWER(COS(PI()*MOD(Calculator!$B$31/Calculator!$F$18,1)),2)))/$C77,$C77/(50*POWER(80,POWER(COS(PI()*MOD(Calculator!$B$31/Calculator!$F$18,1)),2)))),2))</f>
        <v>1.01</v>
      </c>
      <c r="X77" s="91" t="n">
        <f aca="false">IF(OR(Calculator!$E$19&lt;&gt;"YES",Calculator!$B$31&lt;Calculator!$G$19),"—",ROUND(MAX((50*POWER(80,POWER(COS(PI()*MOD(Calculator!$B$31/Calculator!$F$19,1)),2)))/$C77,$C77/(50*POWER(80,POWER(COS(PI()*MOD(Calculator!$B$31/Calculator!$F$19,1)),2)))),2))</f>
        <v>1.3</v>
      </c>
      <c r="Y77" s="91" t="n">
        <f aca="false">IF(OR(Calculator!$E$20&lt;&gt;"YES",Calculator!$B$31&lt;Calculator!$G$20),"—",ROUND(MAX((50*POWER(80,POWER(COS(PI()*MOD(Calculator!$B$31/Calculator!$F$20,1)),2)))/$C77,$C77/(50*POWER(80,POWER(COS(PI()*MOD(Calculator!$B$31/Calculator!$F$20,1)),2)))),2))</f>
        <v>18.95</v>
      </c>
      <c r="Z77" s="91" t="n">
        <f aca="false">IF(OR(Calculator!$E$21&lt;&gt;"YES",Calculator!$B$31&lt;Calculator!$G$21),"—",ROUND(MAX((50*POWER(80,POWER(COS(PI()*MOD(Calculator!$B$31/Calculator!$F$21,1)),2)))/$C77,$C77/(50*POWER(80,POWER(COS(PI()*MOD(Calculator!$B$31/Calculator!$F$21,1)),2)))),2))</f>
        <v>1.26</v>
      </c>
      <c r="AA77" s="114" t="n">
        <f aca="false">IFERROR(ROUND((IF(ISNUMBER(P77),P77,0)+IF(ISNUMBER(Q77),Q77,0)+IF(ISNUMBER(R77),R77,0)+IF(ISNUMBER(S77),S77,0)+IF(ISNUMBER(T77),T77,0)+IF(ISNUMBER(U77),U77,0)+IF(ISNUMBER(V77),V77,0)+IF(ISNUMBER(W77),W77,0)+IF(ISNUMBER(X77),X77,0)+IF(ISNUMBER(Y77),Y77,0)+IF(ISNUMBER(Z77),Z77,0))/(IF(ISNUMBER(P77),1,0)+IF(ISNUMBER(Q77),1,0)+IF(ISNUMBER(R77),1,0)+IF(ISNUMBER(S77),1,0)+IF(ISNUMBER(T77),1,0)+IF(ISNUMBER(U77),1,0)+IF(ISNUMBER(V77),1,0)+IF(ISNUMBER(W77),1,0)+IF(ISNUMBER(X77),1,0)+IF(ISNUMBER(Y77),1,0)+IF(ISNUMBER(Z77),1,0)),2),"")</f>
        <v>9.86</v>
      </c>
      <c r="AB77" s="91" t="n">
        <f aca="false">IF(OR(Calculator!$E$11&lt;&gt;"YES",Calculator!$B$32&lt;Calculator!$G$11),"—",ROUND(MAX((50*POWER(80,POWER(COS(PI()*MOD(Calculator!$B$32/Calculator!$F$11,1)),2)))/$C77,$C77/(50*POWER(80,POWER(COS(PI()*MOD(Calculator!$B$32/Calculator!$F$11,1)),2)))),2))</f>
        <v>32.47</v>
      </c>
      <c r="AC77" s="91" t="n">
        <f aca="false">IF(OR(Calculator!$E$12&lt;&gt;"YES",Calculator!$B$32&lt;Calculator!$G$12),"—",ROUND(MAX((50*POWER(80,POWER(COS(PI()*MOD(Calculator!$B$32/Calculator!$F$12,1)),2)))/$C77,$C77/(50*POWER(80,POWER(COS(PI()*MOD(Calculator!$B$32/Calculator!$F$12,1)),2)))),2))</f>
        <v>1.12</v>
      </c>
      <c r="AD77" s="91" t="n">
        <f aca="false">IF(OR(Calculator!$E$13&lt;&gt;"YES",Calculator!$B$32&lt;Calculator!$G$13),"—",ROUND(MAX((50*POWER(80,POWER(COS(PI()*MOD(Calculator!$B$32/Calculator!$F$13,1)),2)))/$C77,$C77/(50*POWER(80,POWER(COS(PI()*MOD(Calculator!$B$32/Calculator!$F$13,1)),2)))),2))</f>
        <v>16.57</v>
      </c>
      <c r="AE77" s="91" t="n">
        <f aca="false">IF(OR(Calculator!$E$14&lt;&gt;"YES",Calculator!$B$32&lt;Calculator!$G$14),"—",ROUND(MAX((50*POWER(80,POWER(COS(PI()*MOD(Calculator!$B$32/Calculator!$F$14,1)),2)))/$C77,$C77/(50*POWER(80,POWER(COS(PI()*MOD(Calculator!$B$32/Calculator!$F$14,1)),2)))),2))</f>
        <v>3.03</v>
      </c>
      <c r="AF77" s="91" t="n">
        <f aca="false">IF(OR(Calculator!$E$15&lt;&gt;"YES",Calculator!$B$32&lt;Calculator!$G$15),"—",ROUND(MAX((50*POWER(80,POWER(COS(PI()*MOD(Calculator!$B$32/Calculator!$F$15,1)),2)))/$C77,$C77/(50*POWER(80,POWER(COS(PI()*MOD(Calculator!$B$32/Calculator!$F$15,1)),2)))),2))</f>
        <v>1.16</v>
      </c>
      <c r="AG77" s="91" t="n">
        <f aca="false">IF(OR(Calculator!$E$16&lt;&gt;"YES",Calculator!$B$32&lt;Calculator!$G$16),"—",ROUND(MAX((50*POWER(80,POWER(COS(PI()*MOD(Calculator!$B$32/Calculator!$F$16,1)),2)))/$C77,$C77/(50*POWER(80,POWER(COS(PI()*MOD(Calculator!$B$32/Calculator!$F$16,1)),2)))),2))</f>
        <v>26.45</v>
      </c>
      <c r="AH77" s="91" t="n">
        <f aca="false">IF(OR(Calculator!$E$17&lt;&gt;"YES",Calculator!$B$32&lt;Calculator!$G$17),"—",ROUND(MAX((50*POWER(80,POWER(COS(PI()*MOD(Calculator!$B$32/Calculator!$F$17,1)),2)))/$C77,$C77/(50*POWER(80,POWER(COS(PI()*MOD(Calculator!$B$32/Calculator!$F$17,1)),2)))),2))</f>
        <v>27.92</v>
      </c>
      <c r="AI77" s="91" t="n">
        <f aca="false">IF(OR(Calculator!$E$18&lt;&gt;"YES",Calculator!$B$32&lt;Calculator!$G$18),"—",ROUND(MAX((50*POWER(80,POWER(COS(PI()*MOD(Calculator!$B$32/Calculator!$F$18,1)),2)))/$C77,$C77/(50*POWER(80,POWER(COS(PI()*MOD(Calculator!$B$32/Calculator!$F$18,1)),2)))),2))</f>
        <v>36.83</v>
      </c>
      <c r="AJ77" s="91" t="n">
        <f aca="false">IF(OR(Calculator!$E$19&lt;&gt;"YES",Calculator!$B$32&lt;Calculator!$G$19),"—",ROUND(MAX((50*POWER(80,POWER(COS(PI()*MOD(Calculator!$B$32/Calculator!$F$19,1)),2)))/$C77,$C77/(50*POWER(80,POWER(COS(PI()*MOD(Calculator!$B$32/Calculator!$F$19,1)),2)))),2))</f>
        <v>7.76</v>
      </c>
      <c r="AK77" s="91" t="n">
        <f aca="false">IF(OR(Calculator!$E$20&lt;&gt;"YES",Calculator!$B$32&lt;Calculator!$G$20),"—",ROUND(MAX((50*POWER(80,POWER(COS(PI()*MOD(Calculator!$B$32/Calculator!$F$20,1)),2)))/$C77,$C77/(50*POWER(80,POWER(COS(PI()*MOD(Calculator!$B$32/Calculator!$F$20,1)),2)))),2))</f>
        <v>1.43</v>
      </c>
      <c r="AL77" s="91" t="n">
        <f aca="false">IF(OR(Calculator!$E$21&lt;&gt;"YES",Calculator!$B$32&lt;Calculator!$G$21),"—",ROUND(MAX((50*POWER(80,POWER(COS(PI()*MOD(Calculator!$B$32/Calculator!$F$21,1)),2)))/$C77,$C77/(50*POWER(80,POWER(COS(PI()*MOD(Calculator!$B$32/Calculator!$F$21,1)),2)))),2))</f>
        <v>1.24</v>
      </c>
      <c r="AM77" s="115" t="n">
        <f aca="false">IFERROR(ROUND((IF(ISNUMBER(AB77),AB77,0)+IF(ISNUMBER(AC77),AC77,0)+IF(ISNUMBER(AD77),AD77,0)+IF(ISNUMBER(AE77),AE77,0)+IF(ISNUMBER(AF77),AF77,0)+IF(ISNUMBER(AG77),AG77,0)+IF(ISNUMBER(AH77),AH77,0)+IF(ISNUMBER(AI77),AI77,0)+IF(ISNUMBER(AJ77),AJ77,0)+IF(ISNUMBER(AK77),AK77,0)+IF(ISNUMBER(AL77),AL77,0))/(IF(ISNUMBER(AB77),1,0)+IF(ISNUMBER(AC77),1,0)+IF(ISNUMBER(AD77),1,0)+IF(ISNUMBER(AE77),1,0)+IF(ISNUMBER(AF77),1,0)+IF(ISNUMBER(AG77),1,0)+IF(ISNUMBER(AH77),1,0)+IF(ISNUMBER(AI77),1,0)+IF(ISNUMBER(AJ77),1,0)+IF(ISNUMBER(AK77),1,0)+IF(ISNUMBER(AL77),1,0)),2),"")</f>
        <v>14.18</v>
      </c>
      <c r="AN77" s="116" t="n">
        <f aca="false">IF(OR(Calculator!$E$11&lt;&gt;"YES",Calculator!$B$33&lt;Calculator!$G$11),"—",ROUND(MAX((50*POWER(80,POWER(COS(PI()*MOD(Calculator!$B$33/Calculator!$F$11,1)),2)))/$C77,$C77/(50*POWER(80,POWER(COS(PI()*MOD(Calculator!$B$33/Calculator!$F$11,1)),2)))),2))</f>
        <v>26.11</v>
      </c>
      <c r="AO77" s="116" t="n">
        <f aca="false">IF(OR(Calculator!$E$12&lt;&gt;"YES",Calculator!$B$33&lt;Calculator!$G$12),"—",ROUND(MAX((50*POWER(80,POWER(COS(PI()*MOD(Calculator!$B$33/Calculator!$F$12,1)),2)))/$C77,$C77/(50*POWER(80,POWER(COS(PI()*MOD(Calculator!$B$33/Calculator!$F$12,1)),2)))),2))</f>
        <v>2</v>
      </c>
      <c r="AP77" s="116" t="n">
        <f aca="false">IF(OR(Calculator!$E$13&lt;&gt;"YES",Calculator!$B$33&lt;Calculator!$G$13),"—",ROUND(MAX((50*POWER(80,POWER(COS(PI()*MOD(Calculator!$B$33/Calculator!$F$13,1)),2)))/$C77,$C77/(50*POWER(80,POWER(COS(PI()*MOD(Calculator!$B$33/Calculator!$F$13,1)),2)))),2))</f>
        <v>6.3</v>
      </c>
      <c r="AQ77" s="116" t="n">
        <f aca="false">IF(OR(Calculator!$E$14&lt;&gt;"YES",Calculator!$B$33&lt;Calculator!$G$14),"—",ROUND(MAX((50*POWER(80,POWER(COS(PI()*MOD(Calculator!$B$33/Calculator!$F$14,1)),2)))/$C77,$C77/(50*POWER(80,POWER(COS(PI()*MOD(Calculator!$B$33/Calculator!$F$14,1)),2)))),2))</f>
        <v>11.72</v>
      </c>
      <c r="AR77" s="116" t="n">
        <f aca="false">IF(OR(Calculator!$E$15&lt;&gt;"YES",Calculator!$B$33&lt;Calculator!$G$15),"—",ROUND(MAX((50*POWER(80,POWER(COS(PI()*MOD(Calculator!$B$33/Calculator!$F$15,1)),2)))/$C77,$C77/(50*POWER(80,POWER(COS(PI()*MOD(Calculator!$B$33/Calculator!$F$15,1)),2)))),2))</f>
        <v>7.14</v>
      </c>
      <c r="AS77" s="116" t="n">
        <f aca="false">IF(OR(Calculator!$E$16&lt;&gt;"YES",Calculator!$B$33&lt;Calculator!$G$16),"—",ROUND(MAX((50*POWER(80,POWER(COS(PI()*MOD(Calculator!$B$33/Calculator!$F$16,1)),2)))/$C77,$C77/(50*POWER(80,POWER(COS(PI()*MOD(Calculator!$B$33/Calculator!$F$16,1)),2)))),2))</f>
        <v>33</v>
      </c>
      <c r="AT77" s="116" t="n">
        <f aca="false">IF(OR(Calculator!$E$17&lt;&gt;"YES",Calculator!$B$33&lt;Calculator!$G$17),"—",ROUND(MAX((50*POWER(80,POWER(COS(PI()*MOD(Calculator!$B$33/Calculator!$F$17,1)),2)))/$C77,$C77/(50*POWER(80,POWER(COS(PI()*MOD(Calculator!$B$33/Calculator!$F$17,1)),2)))),2))</f>
        <v>1.23</v>
      </c>
      <c r="AU77" s="116" t="n">
        <f aca="false">IF(OR(Calculator!$E$18&lt;&gt;"YES",Calculator!$B$33&lt;Calculator!$G$18),"—",ROUND(MAX((50*POWER(80,POWER(COS(PI()*MOD(Calculator!$B$33/Calculator!$F$18,1)),2)))/$C77,$C77/(50*POWER(80,POWER(COS(PI()*MOD(Calculator!$B$33/Calculator!$F$18,1)),2)))),2))</f>
        <v>1.16</v>
      </c>
      <c r="AV77" s="116" t="n">
        <f aca="false">IF(OR(Calculator!$E$19&lt;&gt;"YES",Calculator!$B$33&lt;Calculator!$G$19),"—",ROUND(MAX((50*POWER(80,POWER(COS(PI()*MOD(Calculator!$B$33/Calculator!$F$19,1)),2)))/$C77,$C77/(50*POWER(80,POWER(COS(PI()*MOD(Calculator!$B$33/Calculator!$F$19,1)),2)))),2))</f>
        <v>1.46</v>
      </c>
      <c r="AW77" s="116" t="n">
        <f aca="false">IF(OR(Calculator!$E$20&lt;&gt;"YES",Calculator!$B$33&lt;Calculator!$G$20),"—",ROUND(MAX((50*POWER(80,POWER(COS(PI()*MOD(Calculator!$B$33/Calculator!$F$20,1)),2)))/$C77,$C77/(50*POWER(80,POWER(COS(PI()*MOD(Calculator!$B$33/Calculator!$F$20,1)),2)))),2))</f>
        <v>15.03</v>
      </c>
      <c r="AX77" s="116" t="n">
        <f aca="false">IF(OR(Calculator!$E$21&lt;&gt;"YES",Calculator!$B$33&lt;Calculator!$G$21),"—",ROUND(MAX((50*POWER(80,POWER(COS(PI()*MOD(Calculator!$B$33/Calculator!$F$21,1)),2)))/$C77,$C77/(50*POWER(80,POWER(COS(PI()*MOD(Calculator!$B$33/Calculator!$F$21,1)),2)))),2))</f>
        <v>1.92</v>
      </c>
      <c r="AY77" s="115" t="n">
        <f aca="false">IFERROR(ROUND((IF(ISNUMBER(AN77),AN77,0)+IF(ISNUMBER(AO77),AO77,0)+IF(ISNUMBER(AP77),AP77,0)+IF(ISNUMBER(AQ77),AQ77,0)+IF(ISNUMBER(AR77),AR77,0)+IF(ISNUMBER(AS77),AS77,0)+IF(ISNUMBER(AT77),AT77,0)+IF(ISNUMBER(AU77),AU77,0)+IF(ISNUMBER(AV77),AV77,0)+IF(ISNUMBER(AW77),AW77,0)+IF(ISNUMBER(AX77),AX77,0))/(IF(ISNUMBER(AN77),1,0)+IF(ISNUMBER(AO77),1,0)+IF(ISNUMBER(AP77),1,0)+IF(ISNUMBER(AQ77),1,0)+IF(ISNUMBER(AR77),1,0)+IF(ISNUMBER(AS77),1,0)+IF(ISNUMBER(AT77),1,0)+IF(ISNUMBER(AU77),1,0)+IF(ISNUMBER(AV77),1,0)+IF(ISNUMBER(AW77),1,0)+IF(ISNUMBER(AX77),1,0)),2),"")</f>
        <v>9.73</v>
      </c>
      <c r="AZ77" s="116" t="n">
        <f aca="false">IF(OR(Calculator!$E$11&lt;&gt;"YES",Calculator!$B$34&lt;Calculator!$G$11),"—",ROUND(MAX((50*POWER(80,POWER(COS(PI()*MOD(Calculator!$B$34/Calculator!$F$11,1)),2)))/$C77,$C77/(50*POWER(80,POWER(COS(PI()*MOD(Calculator!$B$34/Calculator!$F$11,1)),2)))),2))</f>
        <v>25.16</v>
      </c>
      <c r="BA77" s="116" t="n">
        <f aca="false">IF(OR(Calculator!$E$12&lt;&gt;"YES",Calculator!$B$34&lt;Calculator!$G$12),"—",ROUND(MAX((50*POWER(80,POWER(COS(PI()*MOD(Calculator!$B$34/Calculator!$F$12,1)),2)))/$C77,$C77/(50*POWER(80,POWER(COS(PI()*MOD(Calculator!$B$34/Calculator!$F$12,1)),2)))),2))</f>
        <v>2.2</v>
      </c>
      <c r="BB77" s="116" t="n">
        <f aca="false">IF(OR(Calculator!$E$13&lt;&gt;"YES",Calculator!$B$34&lt;Calculator!$G$13),"—",ROUND(MAX((50*POWER(80,POWER(COS(PI()*MOD(Calculator!$B$34/Calculator!$F$13,1)),2)))/$C77,$C77/(50*POWER(80,POWER(COS(PI()*MOD(Calculator!$B$34/Calculator!$F$13,1)),2)))),2))</f>
        <v>5.39</v>
      </c>
      <c r="BC77" s="116" t="n">
        <f aca="false">IF(OR(Calculator!$E$14&lt;&gt;"YES",Calculator!$B$34&lt;Calculator!$G$14),"—",ROUND(MAX((50*POWER(80,POWER(COS(PI()*MOD(Calculator!$B$34/Calculator!$F$14,1)),2)))/$C77,$C77/(50*POWER(80,POWER(COS(PI()*MOD(Calculator!$B$34/Calculator!$F$14,1)),2)))),2))</f>
        <v>14.14</v>
      </c>
      <c r="BD77" s="116" t="n">
        <f aca="false">IF(OR(Calculator!$E$15&lt;&gt;"YES",Calculator!$B$34&lt;Calculator!$G$15),"—",ROUND(MAX((50*POWER(80,POWER(COS(PI()*MOD(Calculator!$B$34/Calculator!$F$15,1)),2)))/$C77,$C77/(50*POWER(80,POWER(COS(PI()*MOD(Calculator!$B$34/Calculator!$F$15,1)),2)))),2))</f>
        <v>9.5</v>
      </c>
      <c r="BE77" s="116" t="n">
        <f aca="false">IF(OR(Calculator!$E$16&lt;&gt;"YES",Calculator!$B$34&lt;Calculator!$G$16),"—",ROUND(MAX((50*POWER(80,POWER(COS(PI()*MOD(Calculator!$B$34/Calculator!$F$16,1)),2)))/$C77,$C77/(50*POWER(80,POWER(COS(PI()*MOD(Calculator!$B$34/Calculator!$F$16,1)),2)))),2))</f>
        <v>25.89</v>
      </c>
      <c r="BF77" s="116" t="n">
        <f aca="false">IF(OR(Calculator!$E$17&lt;&gt;"YES",Calculator!$B$34&lt;Calculator!$G$17),"—",ROUND(MAX((50*POWER(80,POWER(COS(PI()*MOD(Calculator!$B$34/Calculator!$F$17,1)),2)))/$C77,$C77/(50*POWER(80,POWER(COS(PI()*MOD(Calculator!$B$34/Calculator!$F$17,1)),2)))),2))</f>
        <v>1.16</v>
      </c>
      <c r="BG77" s="116" t="n">
        <f aca="false">IF(OR(Calculator!$E$18&lt;&gt;"YES",Calculator!$B$34&lt;Calculator!$G$18),"—",ROUND(MAX((50*POWER(80,POWER(COS(PI()*MOD(Calculator!$B$34/Calculator!$F$18,1)),2)))/$C77,$C77/(50*POWER(80,POWER(COS(PI()*MOD(Calculator!$B$34/Calculator!$F$18,1)),2)))),2))</f>
        <v>1.27</v>
      </c>
      <c r="BH77" s="116" t="n">
        <f aca="false">IF(OR(Calculator!$E$19&lt;&gt;"YES",Calculator!$B$34&lt;Calculator!$G$19),"—",ROUND(MAX((50*POWER(80,POWER(COS(PI()*MOD(Calculator!$B$34/Calculator!$F$19,1)),2)))/$C77,$C77/(50*POWER(80,POWER(COS(PI()*MOD(Calculator!$B$34/Calculator!$F$19,1)),2)))),2))</f>
        <v>1.03</v>
      </c>
      <c r="BI77" s="116" t="n">
        <f aca="false">IF(OR(Calculator!$E$20&lt;&gt;"YES",Calculator!$B$34&lt;Calculator!$G$20),"—",ROUND(MAX((50*POWER(80,POWER(COS(PI()*MOD(Calculator!$B$34/Calculator!$F$20,1)),2)))/$C77,$C77/(50*POWER(80,POWER(COS(PI()*MOD(Calculator!$B$34/Calculator!$F$20,1)),2)))),2))</f>
        <v>28.17</v>
      </c>
      <c r="BJ77" s="116" t="n">
        <f aca="false">IF(OR(Calculator!$E$21&lt;&gt;"YES",Calculator!$B$34&lt;Calculator!$G$21),"—",ROUND(MAX((50*POWER(80,POWER(COS(PI()*MOD(Calculator!$B$34/Calculator!$F$21,1)),2)))/$C77,$C77/(50*POWER(80,POWER(COS(PI()*MOD(Calculator!$B$34/Calculator!$F$21,1)),2)))),2))</f>
        <v>1.46</v>
      </c>
      <c r="BK77" s="115" t="n">
        <f aca="false">IFERROR(ROUND((IF(ISNUMBER(AZ77),AZ77,0)+IF(ISNUMBER(BA77),BA77,0)+IF(ISNUMBER(BB77),BB77,0)+IF(ISNUMBER(BC77),BC77,0)+IF(ISNUMBER(BD77),BD77,0)+IF(ISNUMBER(BE77),BE77,0)+IF(ISNUMBER(BF77),BF77,0)+IF(ISNUMBER(BG77),BG77,0)+IF(ISNUMBER(BH77),BH77,0)+IF(ISNUMBER(BI77),BI77,0)+IF(ISNUMBER(BJ77),BJ77,0))/(IF(ISNUMBER(AZ77),1,0)+IF(ISNUMBER(BA77),1,0)+IF(ISNUMBER(BB77),1,0)+IF(ISNUMBER(BC77),1,0)+IF(ISNUMBER(BD77),1,0)+IF(ISNUMBER(BE77),1,0)+IF(ISNUMBER(BF77),1,0)+IF(ISNUMBER(BG77),1,0)+IF(ISNUMBER(BH77),1,0)+IF(ISNUMBER(BI77),1,0)+IF(ISNUMBER(BJ77),1,0)),2),"")</f>
        <v>10.49</v>
      </c>
    </row>
    <row r="78" customFormat="false" ht="15" hidden="false" customHeight="false" outlineLevel="0" collapsed="false">
      <c r="A78" s="117" t="s">
        <v>136</v>
      </c>
      <c r="B78" s="117" t="s">
        <v>93</v>
      </c>
      <c r="C78" s="118" t="n">
        <v>2300</v>
      </c>
      <c r="D78" s="119" t="n">
        <f aca="false">IF(OR(Calculator!$E$11&lt;&gt;"YES",Calculator!$B$30&lt;Calculator!$G$11),"—",ROUND(MAX((50*POWER(80,POWER(COS(PI()*MOD(Calculator!$B$30/Calculator!$F$11,1)),2)))/$C78,$C78/(50*POWER(80,POWER(COS(PI()*MOD(Calculator!$B$30/Calculator!$F$11,1)),2)))),2))</f>
        <v>26.04</v>
      </c>
      <c r="E78" s="119" t="n">
        <f aca="false">IF(OR(Calculator!$E$12&lt;&gt;"YES",Calculator!$B$30&lt;Calculator!$G$12),"—",ROUND(MAX((50*POWER(80,POWER(COS(PI()*MOD(Calculator!$B$30/Calculator!$F$12,1)),2)))/$C78,$C78/(50*POWER(80,POWER(COS(PI()*MOD(Calculator!$B$30/Calculator!$F$12,1)),2)))),2))</f>
        <v>2.18</v>
      </c>
      <c r="F78" s="119" t="n">
        <f aca="false">IF(OR(Calculator!$E$13&lt;&gt;"YES",Calculator!$B$30&lt;Calculator!$G$13),"—",ROUND(MAX((50*POWER(80,POWER(COS(PI()*MOD(Calculator!$B$30/Calculator!$F$13,1)),2)))/$C78,$C78/(50*POWER(80,POWER(COS(PI()*MOD(Calculator!$B$30/Calculator!$F$13,1)),2)))),2))</f>
        <v>5.8</v>
      </c>
      <c r="G78" s="119" t="n">
        <f aca="false">IF(OR(Calculator!$E$14&lt;&gt;"YES",Calculator!$B$30&lt;Calculator!$G$14),"—",ROUND(MAX((50*POWER(80,POWER(COS(PI()*MOD(Calculator!$B$30/Calculator!$F$14,1)),2)))/$C78,$C78/(50*POWER(80,POWER(COS(PI()*MOD(Calculator!$B$30/Calculator!$F$14,1)),2)))),2))</f>
        <v>13.59</v>
      </c>
      <c r="H78" s="119" t="n">
        <f aca="false">IF(OR(Calculator!$E$15&lt;&gt;"YES",Calculator!$B$30&lt;Calculator!$G$15),"—",ROUND(MAX((50*POWER(80,POWER(COS(PI()*MOD(Calculator!$B$30/Calculator!$F$15,1)),2)))/$C78,$C78/(50*POWER(80,POWER(COS(PI()*MOD(Calculator!$B$30/Calculator!$F$15,1)),2)))),2))</f>
        <v>8.84</v>
      </c>
      <c r="I78" s="119" t="n">
        <f aca="false">IF(OR(Calculator!$E$16&lt;&gt;"YES",Calculator!$B$30&lt;Calculator!$G$16),"—",ROUND(MAX((50*POWER(80,POWER(COS(PI()*MOD(Calculator!$B$30/Calculator!$F$16,1)),2)))/$C78,$C78/(50*POWER(80,POWER(COS(PI()*MOD(Calculator!$B$30/Calculator!$F$16,1)),2)))),2))</f>
        <v>28.89</v>
      </c>
      <c r="J78" s="119" t="n">
        <f aca="false">IF(OR(Calculator!$E$17&lt;&gt;"YES",Calculator!$B$30&lt;Calculator!$G$17),"—",ROUND(MAX((50*POWER(80,POWER(COS(PI()*MOD(Calculator!$B$30/Calculator!$F$17,1)),2)))/$C78,$C78/(50*POWER(80,POWER(COS(PI()*MOD(Calculator!$B$30/Calculator!$F$17,1)),2)))),2))</f>
        <v>1.02</v>
      </c>
      <c r="K78" s="119" t="n">
        <f aca="false">IF(OR(Calculator!$E$18&lt;&gt;"YES",Calculator!$B$30&lt;Calculator!$G$18),"—",ROUND(MAX((50*POWER(80,POWER(COS(PI()*MOD(Calculator!$B$30/Calculator!$F$18,1)),2)))/$C78,$C78/(50*POWER(80,POWER(COS(PI()*MOD(Calculator!$B$30/Calculator!$F$18,1)),2)))),2))</f>
        <v>1.11</v>
      </c>
      <c r="L78" s="119" t="n">
        <f aca="false">IF(OR(Calculator!$E$19&lt;&gt;"YES",Calculator!$B$30&lt;Calculator!$G$19),"—",ROUND(MAX((50*POWER(80,POWER(COS(PI()*MOD(Calculator!$B$30/Calculator!$F$19,1)),2)))/$C78,$C78/(50*POWER(80,POWER(COS(PI()*MOD(Calculator!$B$30/Calculator!$F$19,1)),2)))),2))</f>
        <v>1.11</v>
      </c>
      <c r="M78" s="119" t="n">
        <f aca="false">IF(OR(Calculator!$E$20&lt;&gt;"YES",Calculator!$B$30&lt;Calculator!$G$20),"—",ROUND(MAX((50*POWER(80,POWER(COS(PI()*MOD(Calculator!$B$30/Calculator!$F$20,1)),2)))/$C78,$C78/(50*POWER(80,POWER(COS(PI()*MOD(Calculator!$B$30/Calculator!$F$20,1)),2)))),2))</f>
        <v>23.91</v>
      </c>
      <c r="N78" s="119" t="n">
        <f aca="false">IF(OR(Calculator!$E$21&lt;&gt;"YES",Calculator!$B$30&lt;Calculator!$G$21),"—",ROUND(MAX((50*POWER(80,POWER(COS(PI()*MOD(Calculator!$B$30/Calculator!$F$21,1)),2)))/$C78,$C78/(50*POWER(80,POWER(COS(PI()*MOD(Calculator!$B$30/Calculator!$F$21,1)),2)))),2))</f>
        <v>1.1</v>
      </c>
      <c r="O78" s="114" t="n">
        <f aca="false">IFERROR(ROUND((IF(ISNUMBER(D78),D78,0)+IF(ISNUMBER(E78),E78,0)+IF(ISNUMBER(F78),F78,0)+IF(ISNUMBER(G78),G78,0)+IF(ISNUMBER(H78),H78,0)+IF(ISNUMBER(I78),I78,0)+IF(ISNUMBER(J78),J78,0)+IF(ISNUMBER(K78),K78,0)+IF(ISNUMBER(L78),L78,0)+IF(ISNUMBER(M78),M78,0)+IF(ISNUMBER(N78),N78,0))/(IF(ISNUMBER(D78),1,0)+IF(ISNUMBER(E78),1,0)+IF(ISNUMBER(F78),1,0)+IF(ISNUMBER(G78),1,0)+IF(ISNUMBER(H78),1,0)+IF(ISNUMBER(I78),1,0)+IF(ISNUMBER(J78),1,0)+IF(ISNUMBER(K78),1,0)+IF(ISNUMBER(L78),1,0)+IF(ISNUMBER(M78),1,0)+IF(ISNUMBER(N78),1,0)),2),"")</f>
        <v>10.33</v>
      </c>
      <c r="P78" s="119" t="n">
        <f aca="false">IF(OR(Calculator!$E$11&lt;&gt;"YES",Calculator!$B$31&lt;Calculator!$G$11),"—",ROUND(MAX((50*POWER(80,POWER(COS(PI()*MOD(Calculator!$B$31/Calculator!$F$11,1)),2)))/$C78,$C78/(50*POWER(80,POWER(COS(PI()*MOD(Calculator!$B$31/Calculator!$F$11,1)),2)))),2))</f>
        <v>26.36</v>
      </c>
      <c r="Q78" s="119" t="n">
        <f aca="false">IF(OR(Calculator!$E$12&lt;&gt;"YES",Calculator!$B$31&lt;Calculator!$G$12),"—",ROUND(MAX((50*POWER(80,POWER(COS(PI()*MOD(Calculator!$B$31/Calculator!$F$12,1)),2)))/$C78,$C78/(50*POWER(80,POWER(COS(PI()*MOD(Calculator!$B$31/Calculator!$F$12,1)),2)))),2))</f>
        <v>2.11</v>
      </c>
      <c r="R78" s="119" t="n">
        <f aca="false">IF(OR(Calculator!$E$13&lt;&gt;"YES",Calculator!$B$31&lt;Calculator!$G$13),"—",ROUND(MAX((50*POWER(80,POWER(COS(PI()*MOD(Calculator!$B$31/Calculator!$F$13,1)),2)))/$C78,$C78/(50*POWER(80,POWER(COS(PI()*MOD(Calculator!$B$31/Calculator!$F$13,1)),2)))),2))</f>
        <v>6.11</v>
      </c>
      <c r="S78" s="119" t="n">
        <f aca="false">IF(OR(Calculator!$E$14&lt;&gt;"YES",Calculator!$B$31&lt;Calculator!$G$14),"—",ROUND(MAX((50*POWER(80,POWER(COS(PI()*MOD(Calculator!$B$31/Calculator!$F$14,1)),2)))/$C78,$C78/(50*POWER(80,POWER(COS(PI()*MOD(Calculator!$B$31/Calculator!$F$14,1)),2)))),2))</f>
        <v>12.77</v>
      </c>
      <c r="T78" s="119" t="n">
        <f aca="false">IF(OR(Calculator!$E$15&lt;&gt;"YES",Calculator!$B$31&lt;Calculator!$G$15),"—",ROUND(MAX((50*POWER(80,POWER(COS(PI()*MOD(Calculator!$B$31/Calculator!$F$15,1)),2)))/$C78,$C78/(50*POWER(80,POWER(COS(PI()*MOD(Calculator!$B$31/Calculator!$F$15,1)),2)))),2))</f>
        <v>8.03</v>
      </c>
      <c r="U78" s="119" t="n">
        <f aca="false">IF(OR(Calculator!$E$16&lt;&gt;"YES",Calculator!$B$31&lt;Calculator!$G$16),"—",ROUND(MAX((50*POWER(80,POWER(COS(PI()*MOD(Calculator!$B$31/Calculator!$F$16,1)),2)))/$C78,$C78/(50*POWER(80,POWER(COS(PI()*MOD(Calculator!$B$31/Calculator!$F$16,1)),2)))),2))</f>
        <v>31.33</v>
      </c>
      <c r="V78" s="119" t="n">
        <f aca="false">IF(OR(Calculator!$E$17&lt;&gt;"YES",Calculator!$B$31&lt;Calculator!$G$17),"—",ROUND(MAX((50*POWER(80,POWER(COS(PI()*MOD(Calculator!$B$31/Calculator!$F$17,1)),2)))/$C78,$C78/(50*POWER(80,POWER(COS(PI()*MOD(Calculator!$B$31/Calculator!$F$17,1)),2)))),2))</f>
        <v>1.1</v>
      </c>
      <c r="W78" s="119" t="n">
        <f aca="false">IF(OR(Calculator!$E$18&lt;&gt;"YES",Calculator!$B$31&lt;Calculator!$G$18),"—",ROUND(MAX((50*POWER(80,POWER(COS(PI()*MOD(Calculator!$B$31/Calculator!$F$18,1)),2)))/$C78,$C78/(50*POWER(80,POWER(COS(PI()*MOD(Calculator!$B$31/Calculator!$F$18,1)),2)))),2))</f>
        <v>1.03</v>
      </c>
      <c r="X78" s="119" t="n">
        <f aca="false">IF(OR(Calculator!$E$19&lt;&gt;"YES",Calculator!$B$31&lt;Calculator!$G$19),"—",ROUND(MAX((50*POWER(80,POWER(COS(PI()*MOD(Calculator!$B$31/Calculator!$F$19,1)),2)))/$C78,$C78/(50*POWER(80,POWER(COS(PI()*MOD(Calculator!$B$31/Calculator!$F$19,1)),2)))),2))</f>
        <v>1.27</v>
      </c>
      <c r="Y78" s="119" t="n">
        <f aca="false">IF(OR(Calculator!$E$20&lt;&gt;"YES",Calculator!$B$31&lt;Calculator!$G$20),"—",ROUND(MAX((50*POWER(80,POWER(COS(PI()*MOD(Calculator!$B$31/Calculator!$F$20,1)),2)))/$C78,$C78/(50*POWER(80,POWER(COS(PI()*MOD(Calculator!$B$31/Calculator!$F$20,1)),2)))),2))</f>
        <v>19.37</v>
      </c>
      <c r="Z78" s="119" t="n">
        <f aca="false">IF(OR(Calculator!$E$21&lt;&gt;"YES",Calculator!$B$31&lt;Calculator!$G$21),"—",ROUND(MAX((50*POWER(80,POWER(COS(PI()*MOD(Calculator!$B$31/Calculator!$F$21,1)),2)))/$C78,$C78/(50*POWER(80,POWER(COS(PI()*MOD(Calculator!$B$31/Calculator!$F$21,1)),2)))),2))</f>
        <v>1.29</v>
      </c>
      <c r="AA78" s="114" t="n">
        <f aca="false">IFERROR(ROUND((IF(ISNUMBER(P78),P78,0)+IF(ISNUMBER(Q78),Q78,0)+IF(ISNUMBER(R78),R78,0)+IF(ISNUMBER(S78),S78,0)+IF(ISNUMBER(T78),T78,0)+IF(ISNUMBER(U78),U78,0)+IF(ISNUMBER(V78),V78,0)+IF(ISNUMBER(W78),W78,0)+IF(ISNUMBER(X78),X78,0)+IF(ISNUMBER(Y78),Y78,0)+IF(ISNUMBER(Z78),Z78,0))/(IF(ISNUMBER(P78),1,0)+IF(ISNUMBER(Q78),1,0)+IF(ISNUMBER(R78),1,0)+IF(ISNUMBER(S78),1,0)+IF(ISNUMBER(T78),1,0)+IF(ISNUMBER(U78),1,0)+IF(ISNUMBER(V78),1,0)+IF(ISNUMBER(W78),1,0)+IF(ISNUMBER(X78),1,0)+IF(ISNUMBER(Y78),1,0)+IF(ISNUMBER(Z78),1,0)),2),"")</f>
        <v>10.07</v>
      </c>
      <c r="AB78" s="119" t="n">
        <f aca="false">IF(OR(Calculator!$E$11&lt;&gt;"YES",Calculator!$B$32&lt;Calculator!$G$11),"—",ROUND(MAX((50*POWER(80,POWER(COS(PI()*MOD(Calculator!$B$32/Calculator!$F$11,1)),2)))/$C78,$C78/(50*POWER(80,POWER(COS(PI()*MOD(Calculator!$B$32/Calculator!$F$11,1)),2)))),2))</f>
        <v>33.19</v>
      </c>
      <c r="AC78" s="119" t="n">
        <f aca="false">IF(OR(Calculator!$E$12&lt;&gt;"YES",Calculator!$B$32&lt;Calculator!$G$12),"—",ROUND(MAX((50*POWER(80,POWER(COS(PI()*MOD(Calculator!$B$32/Calculator!$F$12,1)),2)))/$C78,$C78/(50*POWER(80,POWER(COS(PI()*MOD(Calculator!$B$32/Calculator!$F$12,1)),2)))),2))</f>
        <v>1.14</v>
      </c>
      <c r="AD78" s="119" t="n">
        <f aca="false">IF(OR(Calculator!$E$13&lt;&gt;"YES",Calculator!$B$32&lt;Calculator!$G$13),"—",ROUND(MAX((50*POWER(80,POWER(COS(PI()*MOD(Calculator!$B$32/Calculator!$F$13,1)),2)))/$C78,$C78/(50*POWER(80,POWER(COS(PI()*MOD(Calculator!$B$32/Calculator!$F$13,1)),2)))),2))</f>
        <v>16.93</v>
      </c>
      <c r="AE78" s="119" t="n">
        <f aca="false">IF(OR(Calculator!$E$14&lt;&gt;"YES",Calculator!$B$32&lt;Calculator!$G$14),"—",ROUND(MAX((50*POWER(80,POWER(COS(PI()*MOD(Calculator!$B$32/Calculator!$F$14,1)),2)))/$C78,$C78/(50*POWER(80,POWER(COS(PI()*MOD(Calculator!$B$32/Calculator!$F$14,1)),2)))),2))</f>
        <v>3.09</v>
      </c>
      <c r="AF78" s="119" t="n">
        <f aca="false">IF(OR(Calculator!$E$15&lt;&gt;"YES",Calculator!$B$32&lt;Calculator!$G$15),"—",ROUND(MAX((50*POWER(80,POWER(COS(PI()*MOD(Calculator!$B$32/Calculator!$F$15,1)),2)))/$C78,$C78/(50*POWER(80,POWER(COS(PI()*MOD(Calculator!$B$32/Calculator!$F$15,1)),2)))),2))</f>
        <v>1.19</v>
      </c>
      <c r="AG78" s="119" t="n">
        <f aca="false">IF(OR(Calculator!$E$16&lt;&gt;"YES",Calculator!$B$32&lt;Calculator!$G$16),"—",ROUND(MAX((50*POWER(80,POWER(COS(PI()*MOD(Calculator!$B$32/Calculator!$F$16,1)),2)))/$C78,$C78/(50*POWER(80,POWER(COS(PI()*MOD(Calculator!$B$32/Calculator!$F$16,1)),2)))),2))</f>
        <v>27.04</v>
      </c>
      <c r="AH78" s="119" t="n">
        <f aca="false">IF(OR(Calculator!$E$17&lt;&gt;"YES",Calculator!$B$32&lt;Calculator!$G$17),"—",ROUND(MAX((50*POWER(80,POWER(COS(PI()*MOD(Calculator!$B$32/Calculator!$F$17,1)),2)))/$C78,$C78/(50*POWER(80,POWER(COS(PI()*MOD(Calculator!$B$32/Calculator!$F$17,1)),2)))),2))</f>
        <v>28.54</v>
      </c>
      <c r="AI78" s="119" t="n">
        <f aca="false">IF(OR(Calculator!$E$18&lt;&gt;"YES",Calculator!$B$32&lt;Calculator!$G$18),"—",ROUND(MAX((50*POWER(80,POWER(COS(PI()*MOD(Calculator!$B$32/Calculator!$F$18,1)),2)))/$C78,$C78/(50*POWER(80,POWER(COS(PI()*MOD(Calculator!$B$32/Calculator!$F$18,1)),2)))),2))</f>
        <v>37.65</v>
      </c>
      <c r="AJ78" s="119" t="n">
        <f aca="false">IF(OR(Calculator!$E$19&lt;&gt;"YES",Calculator!$B$32&lt;Calculator!$G$19),"—",ROUND(MAX((50*POWER(80,POWER(COS(PI()*MOD(Calculator!$B$32/Calculator!$F$19,1)),2)))/$C78,$C78/(50*POWER(80,POWER(COS(PI()*MOD(Calculator!$B$32/Calculator!$F$19,1)),2)))),2))</f>
        <v>7.94</v>
      </c>
      <c r="AK78" s="119" t="n">
        <f aca="false">IF(OR(Calculator!$E$20&lt;&gt;"YES",Calculator!$B$32&lt;Calculator!$G$20),"—",ROUND(MAX((50*POWER(80,POWER(COS(PI()*MOD(Calculator!$B$32/Calculator!$F$20,1)),2)))/$C78,$C78/(50*POWER(80,POWER(COS(PI()*MOD(Calculator!$B$32/Calculator!$F$20,1)),2)))),2))</f>
        <v>1.4</v>
      </c>
      <c r="AL78" s="119" t="n">
        <f aca="false">IF(OR(Calculator!$E$21&lt;&gt;"YES",Calculator!$B$32&lt;Calculator!$G$21),"—",ROUND(MAX((50*POWER(80,POWER(COS(PI()*MOD(Calculator!$B$32/Calculator!$F$21,1)),2)))/$C78,$C78/(50*POWER(80,POWER(COS(PI()*MOD(Calculator!$B$32/Calculator!$F$21,1)),2)))),2))</f>
        <v>1.21</v>
      </c>
      <c r="AM78" s="115" t="n">
        <f aca="false">IFERROR(ROUND((IF(ISNUMBER(AB78),AB78,0)+IF(ISNUMBER(AC78),AC78,0)+IF(ISNUMBER(AD78),AD78,0)+IF(ISNUMBER(AE78),AE78,0)+IF(ISNUMBER(AF78),AF78,0)+IF(ISNUMBER(AG78),AG78,0)+IF(ISNUMBER(AH78),AH78,0)+IF(ISNUMBER(AI78),AI78,0)+IF(ISNUMBER(AJ78),AJ78,0)+IF(ISNUMBER(AK78),AK78,0)+IF(ISNUMBER(AL78),AL78,0))/(IF(ISNUMBER(AB78),1,0)+IF(ISNUMBER(AC78),1,0)+IF(ISNUMBER(AD78),1,0)+IF(ISNUMBER(AE78),1,0)+IF(ISNUMBER(AF78),1,0)+IF(ISNUMBER(AG78),1,0)+IF(ISNUMBER(AH78),1,0)+IF(ISNUMBER(AI78),1,0)+IF(ISNUMBER(AJ78),1,0)+IF(ISNUMBER(AK78),1,0)+IF(ISNUMBER(AL78),1,0)),2),"")</f>
        <v>14.48</v>
      </c>
      <c r="AN78" s="120" t="n">
        <f aca="false">IF(OR(Calculator!$E$11&lt;&gt;"YES",Calculator!$B$33&lt;Calculator!$G$11),"—",ROUND(MAX((50*POWER(80,POWER(COS(PI()*MOD(Calculator!$B$33/Calculator!$F$11,1)),2)))/$C78,$C78/(50*POWER(80,POWER(COS(PI()*MOD(Calculator!$B$33/Calculator!$F$11,1)),2)))),2))</f>
        <v>26.69</v>
      </c>
      <c r="AO78" s="120" t="n">
        <f aca="false">IF(OR(Calculator!$E$12&lt;&gt;"YES",Calculator!$B$33&lt;Calculator!$G$12),"—",ROUND(MAX((50*POWER(80,POWER(COS(PI()*MOD(Calculator!$B$33/Calculator!$F$12,1)),2)))/$C78,$C78/(50*POWER(80,POWER(COS(PI()*MOD(Calculator!$B$33/Calculator!$F$12,1)),2)))),2))</f>
        <v>2.04</v>
      </c>
      <c r="AP78" s="120" t="n">
        <f aca="false">IF(OR(Calculator!$E$13&lt;&gt;"YES",Calculator!$B$33&lt;Calculator!$G$13),"—",ROUND(MAX((50*POWER(80,POWER(COS(PI()*MOD(Calculator!$B$33/Calculator!$F$13,1)),2)))/$C78,$C78/(50*POWER(80,POWER(COS(PI()*MOD(Calculator!$B$33/Calculator!$F$13,1)),2)))),2))</f>
        <v>6.44</v>
      </c>
      <c r="AQ78" s="120" t="n">
        <f aca="false">IF(OR(Calculator!$E$14&lt;&gt;"YES",Calculator!$B$33&lt;Calculator!$G$14),"—",ROUND(MAX((50*POWER(80,POWER(COS(PI()*MOD(Calculator!$B$33/Calculator!$F$14,1)),2)))/$C78,$C78/(50*POWER(80,POWER(COS(PI()*MOD(Calculator!$B$33/Calculator!$F$14,1)),2)))),2))</f>
        <v>11.98</v>
      </c>
      <c r="AR78" s="120" t="n">
        <f aca="false">IF(OR(Calculator!$E$15&lt;&gt;"YES",Calculator!$B$33&lt;Calculator!$G$15),"—",ROUND(MAX((50*POWER(80,POWER(COS(PI()*MOD(Calculator!$B$33/Calculator!$F$15,1)),2)))/$C78,$C78/(50*POWER(80,POWER(COS(PI()*MOD(Calculator!$B$33/Calculator!$F$15,1)),2)))),2))</f>
        <v>7.3</v>
      </c>
      <c r="AS78" s="120" t="n">
        <f aca="false">IF(OR(Calculator!$E$16&lt;&gt;"YES",Calculator!$B$33&lt;Calculator!$G$16),"—",ROUND(MAX((50*POWER(80,POWER(COS(PI()*MOD(Calculator!$B$33/Calculator!$F$16,1)),2)))/$C78,$C78/(50*POWER(80,POWER(COS(PI()*MOD(Calculator!$B$33/Calculator!$F$16,1)),2)))),2))</f>
        <v>33.73</v>
      </c>
      <c r="AT78" s="120" t="n">
        <f aca="false">IF(OR(Calculator!$E$17&lt;&gt;"YES",Calculator!$B$33&lt;Calculator!$G$17),"—",ROUND(MAX((50*POWER(80,POWER(COS(PI()*MOD(Calculator!$B$33/Calculator!$F$17,1)),2)))/$C78,$C78/(50*POWER(80,POWER(COS(PI()*MOD(Calculator!$B$33/Calculator!$F$17,1)),2)))),2))</f>
        <v>1.25</v>
      </c>
      <c r="AU78" s="120" t="n">
        <f aca="false">IF(OR(Calculator!$E$18&lt;&gt;"YES",Calculator!$B$33&lt;Calculator!$G$18),"—",ROUND(MAX((50*POWER(80,POWER(COS(PI()*MOD(Calculator!$B$33/Calculator!$F$18,1)),2)))/$C78,$C78/(50*POWER(80,POWER(COS(PI()*MOD(Calculator!$B$33/Calculator!$F$18,1)),2)))),2))</f>
        <v>1.19</v>
      </c>
      <c r="AV78" s="120" t="n">
        <f aca="false">IF(OR(Calculator!$E$19&lt;&gt;"YES",Calculator!$B$33&lt;Calculator!$G$19),"—",ROUND(MAX((50*POWER(80,POWER(COS(PI()*MOD(Calculator!$B$33/Calculator!$F$19,1)),2)))/$C78,$C78/(50*POWER(80,POWER(COS(PI()*MOD(Calculator!$B$33/Calculator!$F$19,1)),2)))),2))</f>
        <v>1.43</v>
      </c>
      <c r="AW78" s="120" t="n">
        <f aca="false">IF(OR(Calculator!$E$20&lt;&gt;"YES",Calculator!$B$33&lt;Calculator!$G$20),"—",ROUND(MAX((50*POWER(80,POWER(COS(PI()*MOD(Calculator!$B$33/Calculator!$F$20,1)),2)))/$C78,$C78/(50*POWER(80,POWER(COS(PI()*MOD(Calculator!$B$33/Calculator!$F$20,1)),2)))),2))</f>
        <v>15.36</v>
      </c>
      <c r="AX78" s="120" t="n">
        <f aca="false">IF(OR(Calculator!$E$21&lt;&gt;"YES",Calculator!$B$33&lt;Calculator!$G$21),"—",ROUND(MAX((50*POWER(80,POWER(COS(PI()*MOD(Calculator!$B$33/Calculator!$F$21,1)),2)))/$C78,$C78/(50*POWER(80,POWER(COS(PI()*MOD(Calculator!$B$33/Calculator!$F$21,1)),2)))),2))</f>
        <v>1.96</v>
      </c>
      <c r="AY78" s="115" t="n">
        <f aca="false">IFERROR(ROUND((IF(ISNUMBER(AN78),AN78,0)+IF(ISNUMBER(AO78),AO78,0)+IF(ISNUMBER(AP78),AP78,0)+IF(ISNUMBER(AQ78),AQ78,0)+IF(ISNUMBER(AR78),AR78,0)+IF(ISNUMBER(AS78),AS78,0)+IF(ISNUMBER(AT78),AT78,0)+IF(ISNUMBER(AU78),AU78,0)+IF(ISNUMBER(AV78),AV78,0)+IF(ISNUMBER(AW78),AW78,0)+IF(ISNUMBER(AX78),AX78,0))/(IF(ISNUMBER(AN78),1,0)+IF(ISNUMBER(AO78),1,0)+IF(ISNUMBER(AP78),1,0)+IF(ISNUMBER(AQ78),1,0)+IF(ISNUMBER(AR78),1,0)+IF(ISNUMBER(AS78),1,0)+IF(ISNUMBER(AT78),1,0)+IF(ISNUMBER(AU78),1,0)+IF(ISNUMBER(AV78),1,0)+IF(ISNUMBER(AW78),1,0)+IF(ISNUMBER(AX78),1,0)),2),"")</f>
        <v>9.94</v>
      </c>
      <c r="AZ78" s="120" t="n">
        <f aca="false">IF(OR(Calculator!$E$11&lt;&gt;"YES",Calculator!$B$34&lt;Calculator!$G$11),"—",ROUND(MAX((50*POWER(80,POWER(COS(PI()*MOD(Calculator!$B$34/Calculator!$F$11,1)),2)))/$C78,$C78/(50*POWER(80,POWER(COS(PI()*MOD(Calculator!$B$34/Calculator!$F$11,1)),2)))),2))</f>
        <v>25.72</v>
      </c>
      <c r="BA78" s="120" t="n">
        <f aca="false">IF(OR(Calculator!$E$12&lt;&gt;"YES",Calculator!$B$34&lt;Calculator!$G$12),"—",ROUND(MAX((50*POWER(80,POWER(COS(PI()*MOD(Calculator!$B$34/Calculator!$F$12,1)),2)))/$C78,$C78/(50*POWER(80,POWER(COS(PI()*MOD(Calculator!$B$34/Calculator!$F$12,1)),2)))),2))</f>
        <v>2.25</v>
      </c>
      <c r="BB78" s="120" t="n">
        <f aca="false">IF(OR(Calculator!$E$13&lt;&gt;"YES",Calculator!$B$34&lt;Calculator!$G$13),"—",ROUND(MAX((50*POWER(80,POWER(COS(PI()*MOD(Calculator!$B$34/Calculator!$F$13,1)),2)))/$C78,$C78/(50*POWER(80,POWER(COS(PI()*MOD(Calculator!$B$34/Calculator!$F$13,1)),2)))),2))</f>
        <v>5.51</v>
      </c>
      <c r="BC78" s="120" t="n">
        <f aca="false">IF(OR(Calculator!$E$14&lt;&gt;"YES",Calculator!$B$34&lt;Calculator!$G$14),"—",ROUND(MAX((50*POWER(80,POWER(COS(PI()*MOD(Calculator!$B$34/Calculator!$F$14,1)),2)))/$C78,$C78/(50*POWER(80,POWER(COS(PI()*MOD(Calculator!$B$34/Calculator!$F$14,1)),2)))),2))</f>
        <v>14.45</v>
      </c>
      <c r="BD78" s="120" t="n">
        <f aca="false">IF(OR(Calculator!$E$15&lt;&gt;"YES",Calculator!$B$34&lt;Calculator!$G$15),"—",ROUND(MAX((50*POWER(80,POWER(COS(PI()*MOD(Calculator!$B$34/Calculator!$F$15,1)),2)))/$C78,$C78/(50*POWER(80,POWER(COS(PI()*MOD(Calculator!$B$34/Calculator!$F$15,1)),2)))),2))</f>
        <v>9.71</v>
      </c>
      <c r="BE78" s="120" t="n">
        <f aca="false">IF(OR(Calculator!$E$16&lt;&gt;"YES",Calculator!$B$34&lt;Calculator!$G$16),"—",ROUND(MAX((50*POWER(80,POWER(COS(PI()*MOD(Calculator!$B$34/Calculator!$F$16,1)),2)))/$C78,$C78/(50*POWER(80,POWER(COS(PI()*MOD(Calculator!$B$34/Calculator!$F$16,1)),2)))),2))</f>
        <v>26.47</v>
      </c>
      <c r="BF78" s="120" t="n">
        <f aca="false">IF(OR(Calculator!$E$17&lt;&gt;"YES",Calculator!$B$34&lt;Calculator!$G$17),"—",ROUND(MAX((50*POWER(80,POWER(COS(PI()*MOD(Calculator!$B$34/Calculator!$F$17,1)),2)))/$C78,$C78/(50*POWER(80,POWER(COS(PI()*MOD(Calculator!$B$34/Calculator!$F$17,1)),2)))),2))</f>
        <v>1.14</v>
      </c>
      <c r="BG78" s="120" t="n">
        <f aca="false">IF(OR(Calculator!$E$18&lt;&gt;"YES",Calculator!$B$34&lt;Calculator!$G$18),"—",ROUND(MAX((50*POWER(80,POWER(COS(PI()*MOD(Calculator!$B$34/Calculator!$F$18,1)),2)))/$C78,$C78/(50*POWER(80,POWER(COS(PI()*MOD(Calculator!$B$34/Calculator!$F$18,1)),2)))),2))</f>
        <v>1.25</v>
      </c>
      <c r="BH78" s="120" t="n">
        <f aca="false">IF(OR(Calculator!$E$19&lt;&gt;"YES",Calculator!$B$34&lt;Calculator!$G$19),"—",ROUND(MAX((50*POWER(80,POWER(COS(PI()*MOD(Calculator!$B$34/Calculator!$F$19,1)),2)))/$C78,$C78/(50*POWER(80,POWER(COS(PI()*MOD(Calculator!$B$34/Calculator!$F$19,1)),2)))),2))</f>
        <v>1.05</v>
      </c>
      <c r="BI78" s="120" t="n">
        <f aca="false">IF(OR(Calculator!$E$20&lt;&gt;"YES",Calculator!$B$34&lt;Calculator!$G$20),"—",ROUND(MAX((50*POWER(80,POWER(COS(PI()*MOD(Calculator!$B$34/Calculator!$F$20,1)),2)))/$C78,$C78/(50*POWER(80,POWER(COS(PI()*MOD(Calculator!$B$34/Calculator!$F$20,1)),2)))),2))</f>
        <v>28.79</v>
      </c>
      <c r="BJ78" s="120" t="n">
        <f aca="false">IF(OR(Calculator!$E$21&lt;&gt;"YES",Calculator!$B$34&lt;Calculator!$G$21),"—",ROUND(MAX((50*POWER(80,POWER(COS(PI()*MOD(Calculator!$B$34/Calculator!$F$21,1)),2)))/$C78,$C78/(50*POWER(80,POWER(COS(PI()*MOD(Calculator!$B$34/Calculator!$F$21,1)),2)))),2))</f>
        <v>1.43</v>
      </c>
      <c r="BK78" s="115" t="n">
        <f aca="false">IFERROR(ROUND((IF(ISNUMBER(AZ78),AZ78,0)+IF(ISNUMBER(BA78),BA78,0)+IF(ISNUMBER(BB78),BB78,0)+IF(ISNUMBER(BC78),BC78,0)+IF(ISNUMBER(BD78),BD78,0)+IF(ISNUMBER(BE78),BE78,0)+IF(ISNUMBER(BF78),BF78,0)+IF(ISNUMBER(BG78),BG78,0)+IF(ISNUMBER(BH78),BH78,0)+IF(ISNUMBER(BI78),BI78,0)+IF(ISNUMBER(BJ78),BJ78,0))/(IF(ISNUMBER(AZ78),1,0)+IF(ISNUMBER(BA78),1,0)+IF(ISNUMBER(BB78),1,0)+IF(ISNUMBER(BC78),1,0)+IF(ISNUMBER(BD78),1,0)+IF(ISNUMBER(BE78),1,0)+IF(ISNUMBER(BF78),1,0)+IF(ISNUMBER(BG78),1,0)+IF(ISNUMBER(BH78),1,0)+IF(ISNUMBER(BI78),1,0)+IF(ISNUMBER(BJ78),1,0)),2),"")</f>
        <v>10.71</v>
      </c>
    </row>
    <row r="79" customFormat="false" ht="15" hidden="false" customHeight="false" outlineLevel="0" collapsed="false">
      <c r="A79" s="87" t="s">
        <v>137</v>
      </c>
      <c r="B79" s="87" t="s">
        <v>93</v>
      </c>
      <c r="C79" s="90" t="n">
        <v>2350</v>
      </c>
      <c r="D79" s="91" t="n">
        <f aca="false">IF(OR(Calculator!$E$11&lt;&gt;"YES",Calculator!$B$30&lt;Calculator!$G$11),"—",ROUND(MAX((50*POWER(80,POWER(COS(PI()*MOD(Calculator!$B$30/Calculator!$F$11,1)),2)))/$C79,$C79/(50*POWER(80,POWER(COS(PI()*MOD(Calculator!$B$30/Calculator!$F$11,1)),2)))),2))</f>
        <v>26.61</v>
      </c>
      <c r="E79" s="91" t="n">
        <f aca="false">IF(OR(Calculator!$E$12&lt;&gt;"YES",Calculator!$B$30&lt;Calculator!$G$12),"—",ROUND(MAX((50*POWER(80,POWER(COS(PI()*MOD(Calculator!$B$30/Calculator!$F$12,1)),2)))/$C79,$C79/(50*POWER(80,POWER(COS(PI()*MOD(Calculator!$B$30/Calculator!$F$12,1)),2)))),2))</f>
        <v>2.23</v>
      </c>
      <c r="F79" s="91" t="n">
        <f aca="false">IF(OR(Calculator!$E$13&lt;&gt;"YES",Calculator!$B$30&lt;Calculator!$G$13),"—",ROUND(MAX((50*POWER(80,POWER(COS(PI()*MOD(Calculator!$B$30/Calculator!$F$13,1)),2)))/$C79,$C79/(50*POWER(80,POWER(COS(PI()*MOD(Calculator!$B$30/Calculator!$F$13,1)),2)))),2))</f>
        <v>5.93</v>
      </c>
      <c r="G79" s="91" t="n">
        <f aca="false">IF(OR(Calculator!$E$14&lt;&gt;"YES",Calculator!$B$30&lt;Calculator!$G$14),"—",ROUND(MAX((50*POWER(80,POWER(COS(PI()*MOD(Calculator!$B$30/Calculator!$F$14,1)),2)))/$C79,$C79/(50*POWER(80,POWER(COS(PI()*MOD(Calculator!$B$30/Calculator!$F$14,1)),2)))),2))</f>
        <v>13.88</v>
      </c>
      <c r="H79" s="91" t="n">
        <f aca="false">IF(OR(Calculator!$E$15&lt;&gt;"YES",Calculator!$B$30&lt;Calculator!$G$15),"—",ROUND(MAX((50*POWER(80,POWER(COS(PI()*MOD(Calculator!$B$30/Calculator!$F$15,1)),2)))/$C79,$C79/(50*POWER(80,POWER(COS(PI()*MOD(Calculator!$B$30/Calculator!$F$15,1)),2)))),2))</f>
        <v>9.03</v>
      </c>
      <c r="I79" s="91" t="n">
        <f aca="false">IF(OR(Calculator!$E$16&lt;&gt;"YES",Calculator!$B$30&lt;Calculator!$G$16),"—",ROUND(MAX((50*POWER(80,POWER(COS(PI()*MOD(Calculator!$B$30/Calculator!$F$16,1)),2)))/$C79,$C79/(50*POWER(80,POWER(COS(PI()*MOD(Calculator!$B$30/Calculator!$F$16,1)),2)))),2))</f>
        <v>29.52</v>
      </c>
      <c r="J79" s="91" t="n">
        <f aca="false">IF(OR(Calculator!$E$17&lt;&gt;"YES",Calculator!$B$30&lt;Calculator!$G$17),"—",ROUND(MAX((50*POWER(80,POWER(COS(PI()*MOD(Calculator!$B$30/Calculator!$F$17,1)),2)))/$C79,$C79/(50*POWER(80,POWER(COS(PI()*MOD(Calculator!$B$30/Calculator!$F$17,1)),2)))),2))</f>
        <v>1</v>
      </c>
      <c r="K79" s="91" t="n">
        <f aca="false">IF(OR(Calculator!$E$18&lt;&gt;"YES",Calculator!$B$30&lt;Calculator!$G$18),"—",ROUND(MAX((50*POWER(80,POWER(COS(PI()*MOD(Calculator!$B$30/Calculator!$F$18,1)),2)))/$C79,$C79/(50*POWER(80,POWER(COS(PI()*MOD(Calculator!$B$30/Calculator!$F$18,1)),2)))),2))</f>
        <v>1.09</v>
      </c>
      <c r="L79" s="91" t="n">
        <f aca="false">IF(OR(Calculator!$E$19&lt;&gt;"YES",Calculator!$B$30&lt;Calculator!$G$19),"—",ROUND(MAX((50*POWER(80,POWER(COS(PI()*MOD(Calculator!$B$30/Calculator!$F$19,1)),2)))/$C79,$C79/(50*POWER(80,POWER(COS(PI()*MOD(Calculator!$B$30/Calculator!$F$19,1)),2)))),2))</f>
        <v>1.09</v>
      </c>
      <c r="M79" s="91" t="n">
        <f aca="false">IF(OR(Calculator!$E$20&lt;&gt;"YES",Calculator!$B$30&lt;Calculator!$G$20),"—",ROUND(MAX((50*POWER(80,POWER(COS(PI()*MOD(Calculator!$B$30/Calculator!$F$20,1)),2)))/$C79,$C79/(50*POWER(80,POWER(COS(PI()*MOD(Calculator!$B$30/Calculator!$F$20,1)),2)))),2))</f>
        <v>24.43</v>
      </c>
      <c r="N79" s="91" t="n">
        <f aca="false">IF(OR(Calculator!$E$21&lt;&gt;"YES",Calculator!$B$30&lt;Calculator!$G$21),"—",ROUND(MAX((50*POWER(80,POWER(COS(PI()*MOD(Calculator!$B$30/Calculator!$F$21,1)),2)))/$C79,$C79/(50*POWER(80,POWER(COS(PI()*MOD(Calculator!$B$30/Calculator!$F$21,1)),2)))),2))</f>
        <v>1.08</v>
      </c>
      <c r="O79" s="114" t="n">
        <f aca="false">IFERROR(ROUND((IF(ISNUMBER(D79),D79,0)+IF(ISNUMBER(E79),E79,0)+IF(ISNUMBER(F79),F79,0)+IF(ISNUMBER(G79),G79,0)+IF(ISNUMBER(H79),H79,0)+IF(ISNUMBER(I79),I79,0)+IF(ISNUMBER(J79),J79,0)+IF(ISNUMBER(K79),K79,0)+IF(ISNUMBER(L79),L79,0)+IF(ISNUMBER(M79),M79,0)+IF(ISNUMBER(N79),N79,0))/(IF(ISNUMBER(D79),1,0)+IF(ISNUMBER(E79),1,0)+IF(ISNUMBER(F79),1,0)+IF(ISNUMBER(G79),1,0)+IF(ISNUMBER(H79),1,0)+IF(ISNUMBER(I79),1,0)+IF(ISNUMBER(J79),1,0)+IF(ISNUMBER(K79),1,0)+IF(ISNUMBER(L79),1,0)+IF(ISNUMBER(M79),1,0)+IF(ISNUMBER(N79),1,0)),2),"")</f>
        <v>10.54</v>
      </c>
      <c r="P79" s="91" t="n">
        <f aca="false">IF(OR(Calculator!$E$11&lt;&gt;"YES",Calculator!$B$31&lt;Calculator!$G$11),"—",ROUND(MAX((50*POWER(80,POWER(COS(PI()*MOD(Calculator!$B$31/Calculator!$F$11,1)),2)))/$C79,$C79/(50*POWER(80,POWER(COS(PI()*MOD(Calculator!$B$31/Calculator!$F$11,1)),2)))),2))</f>
        <v>26.94</v>
      </c>
      <c r="Q79" s="91" t="n">
        <f aca="false">IF(OR(Calculator!$E$12&lt;&gt;"YES",Calculator!$B$31&lt;Calculator!$G$12),"—",ROUND(MAX((50*POWER(80,POWER(COS(PI()*MOD(Calculator!$B$31/Calculator!$F$12,1)),2)))/$C79,$C79/(50*POWER(80,POWER(COS(PI()*MOD(Calculator!$B$31/Calculator!$F$12,1)),2)))),2))</f>
        <v>2.16</v>
      </c>
      <c r="R79" s="91" t="n">
        <f aca="false">IF(OR(Calculator!$E$13&lt;&gt;"YES",Calculator!$B$31&lt;Calculator!$G$13),"—",ROUND(MAX((50*POWER(80,POWER(COS(PI()*MOD(Calculator!$B$31/Calculator!$F$13,1)),2)))/$C79,$C79/(50*POWER(80,POWER(COS(PI()*MOD(Calculator!$B$31/Calculator!$F$13,1)),2)))),2))</f>
        <v>6.25</v>
      </c>
      <c r="S79" s="91" t="n">
        <f aca="false">IF(OR(Calculator!$E$14&lt;&gt;"YES",Calculator!$B$31&lt;Calculator!$G$14),"—",ROUND(MAX((50*POWER(80,POWER(COS(PI()*MOD(Calculator!$B$31/Calculator!$F$14,1)),2)))/$C79,$C79/(50*POWER(80,POWER(COS(PI()*MOD(Calculator!$B$31/Calculator!$F$14,1)),2)))),2))</f>
        <v>13.04</v>
      </c>
      <c r="T79" s="91" t="n">
        <f aca="false">IF(OR(Calculator!$E$15&lt;&gt;"YES",Calculator!$B$31&lt;Calculator!$G$15),"—",ROUND(MAX((50*POWER(80,POWER(COS(PI()*MOD(Calculator!$B$31/Calculator!$F$15,1)),2)))/$C79,$C79/(50*POWER(80,POWER(COS(PI()*MOD(Calculator!$B$31/Calculator!$F$15,1)),2)))),2))</f>
        <v>8.21</v>
      </c>
      <c r="U79" s="91" t="n">
        <f aca="false">IF(OR(Calculator!$E$16&lt;&gt;"YES",Calculator!$B$31&lt;Calculator!$G$16),"—",ROUND(MAX((50*POWER(80,POWER(COS(PI()*MOD(Calculator!$B$31/Calculator!$F$16,1)),2)))/$C79,$C79/(50*POWER(80,POWER(COS(PI()*MOD(Calculator!$B$31/Calculator!$F$16,1)),2)))),2))</f>
        <v>32.01</v>
      </c>
      <c r="V79" s="91" t="n">
        <f aca="false">IF(OR(Calculator!$E$17&lt;&gt;"YES",Calculator!$B$31&lt;Calculator!$G$17),"—",ROUND(MAX((50*POWER(80,POWER(COS(PI()*MOD(Calculator!$B$31/Calculator!$F$17,1)),2)))/$C79,$C79/(50*POWER(80,POWER(COS(PI()*MOD(Calculator!$B$31/Calculator!$F$17,1)),2)))),2))</f>
        <v>1.13</v>
      </c>
      <c r="W79" s="91" t="n">
        <f aca="false">IF(OR(Calculator!$E$18&lt;&gt;"YES",Calculator!$B$31&lt;Calculator!$G$18),"—",ROUND(MAX((50*POWER(80,POWER(COS(PI()*MOD(Calculator!$B$31/Calculator!$F$18,1)),2)))/$C79,$C79/(50*POWER(80,POWER(COS(PI()*MOD(Calculator!$B$31/Calculator!$F$18,1)),2)))),2))</f>
        <v>1.05</v>
      </c>
      <c r="X79" s="91" t="n">
        <f aca="false">IF(OR(Calculator!$E$19&lt;&gt;"YES",Calculator!$B$31&lt;Calculator!$G$19),"—",ROUND(MAX((50*POWER(80,POWER(COS(PI()*MOD(Calculator!$B$31/Calculator!$F$19,1)),2)))/$C79,$C79/(50*POWER(80,POWER(COS(PI()*MOD(Calculator!$B$31/Calculator!$F$19,1)),2)))),2))</f>
        <v>1.25</v>
      </c>
      <c r="Y79" s="91" t="n">
        <f aca="false">IF(OR(Calculator!$E$20&lt;&gt;"YES",Calculator!$B$31&lt;Calculator!$G$20),"—",ROUND(MAX((50*POWER(80,POWER(COS(PI()*MOD(Calculator!$B$31/Calculator!$F$20,1)),2)))/$C79,$C79/(50*POWER(80,POWER(COS(PI()*MOD(Calculator!$B$31/Calculator!$F$20,1)),2)))),2))</f>
        <v>19.79</v>
      </c>
      <c r="Z79" s="91" t="n">
        <f aca="false">IF(OR(Calculator!$E$21&lt;&gt;"YES",Calculator!$B$31&lt;Calculator!$G$21),"—",ROUND(MAX((50*POWER(80,POWER(COS(PI()*MOD(Calculator!$B$31/Calculator!$F$21,1)),2)))/$C79,$C79/(50*POWER(80,POWER(COS(PI()*MOD(Calculator!$B$31/Calculator!$F$21,1)),2)))),2))</f>
        <v>1.31</v>
      </c>
      <c r="AA79" s="114" t="n">
        <f aca="false">IFERROR(ROUND((IF(ISNUMBER(P79),P79,0)+IF(ISNUMBER(Q79),Q79,0)+IF(ISNUMBER(R79),R79,0)+IF(ISNUMBER(S79),S79,0)+IF(ISNUMBER(T79),T79,0)+IF(ISNUMBER(U79),U79,0)+IF(ISNUMBER(V79),V79,0)+IF(ISNUMBER(W79),W79,0)+IF(ISNUMBER(X79),X79,0)+IF(ISNUMBER(Y79),Y79,0)+IF(ISNUMBER(Z79),Z79,0))/(IF(ISNUMBER(P79),1,0)+IF(ISNUMBER(Q79),1,0)+IF(ISNUMBER(R79),1,0)+IF(ISNUMBER(S79),1,0)+IF(ISNUMBER(T79),1,0)+IF(ISNUMBER(U79),1,0)+IF(ISNUMBER(V79),1,0)+IF(ISNUMBER(W79),1,0)+IF(ISNUMBER(X79),1,0)+IF(ISNUMBER(Y79),1,0)+IF(ISNUMBER(Z79),1,0)),2),"")</f>
        <v>10.29</v>
      </c>
      <c r="AB79" s="91" t="n">
        <f aca="false">IF(OR(Calculator!$E$11&lt;&gt;"YES",Calculator!$B$32&lt;Calculator!$G$11),"—",ROUND(MAX((50*POWER(80,POWER(COS(PI()*MOD(Calculator!$B$32/Calculator!$F$11,1)),2)))/$C79,$C79/(50*POWER(80,POWER(COS(PI()*MOD(Calculator!$B$32/Calculator!$F$11,1)),2)))),2))</f>
        <v>33.91</v>
      </c>
      <c r="AC79" s="91" t="n">
        <f aca="false">IF(OR(Calculator!$E$12&lt;&gt;"YES",Calculator!$B$32&lt;Calculator!$G$12),"—",ROUND(MAX((50*POWER(80,POWER(COS(PI()*MOD(Calculator!$B$32/Calculator!$F$12,1)),2)))/$C79,$C79/(50*POWER(80,POWER(COS(PI()*MOD(Calculator!$B$32/Calculator!$F$12,1)),2)))),2))</f>
        <v>1.17</v>
      </c>
      <c r="AD79" s="91" t="n">
        <f aca="false">IF(OR(Calculator!$E$13&lt;&gt;"YES",Calculator!$B$32&lt;Calculator!$G$13),"—",ROUND(MAX((50*POWER(80,POWER(COS(PI()*MOD(Calculator!$B$32/Calculator!$F$13,1)),2)))/$C79,$C79/(50*POWER(80,POWER(COS(PI()*MOD(Calculator!$B$32/Calculator!$F$13,1)),2)))),2))</f>
        <v>17.3</v>
      </c>
      <c r="AE79" s="91" t="n">
        <f aca="false">IF(OR(Calculator!$E$14&lt;&gt;"YES",Calculator!$B$32&lt;Calculator!$G$14),"—",ROUND(MAX((50*POWER(80,POWER(COS(PI()*MOD(Calculator!$B$32/Calculator!$F$14,1)),2)))/$C79,$C79/(50*POWER(80,POWER(COS(PI()*MOD(Calculator!$B$32/Calculator!$F$14,1)),2)))),2))</f>
        <v>3.16</v>
      </c>
      <c r="AF79" s="91" t="n">
        <f aca="false">IF(OR(Calculator!$E$15&lt;&gt;"YES",Calculator!$B$32&lt;Calculator!$G$15),"—",ROUND(MAX((50*POWER(80,POWER(COS(PI()*MOD(Calculator!$B$32/Calculator!$F$15,1)),2)))/$C79,$C79/(50*POWER(80,POWER(COS(PI()*MOD(Calculator!$B$32/Calculator!$F$15,1)),2)))),2))</f>
        <v>1.21</v>
      </c>
      <c r="AG79" s="91" t="n">
        <f aca="false">IF(OR(Calculator!$E$16&lt;&gt;"YES",Calculator!$B$32&lt;Calculator!$G$16),"—",ROUND(MAX((50*POWER(80,POWER(COS(PI()*MOD(Calculator!$B$32/Calculator!$F$16,1)),2)))/$C79,$C79/(50*POWER(80,POWER(COS(PI()*MOD(Calculator!$B$32/Calculator!$F$16,1)),2)))),2))</f>
        <v>27.63</v>
      </c>
      <c r="AH79" s="91" t="n">
        <f aca="false">IF(OR(Calculator!$E$17&lt;&gt;"YES",Calculator!$B$32&lt;Calculator!$G$17),"—",ROUND(MAX((50*POWER(80,POWER(COS(PI()*MOD(Calculator!$B$32/Calculator!$F$17,1)),2)))/$C79,$C79/(50*POWER(80,POWER(COS(PI()*MOD(Calculator!$B$32/Calculator!$F$17,1)),2)))),2))</f>
        <v>29.17</v>
      </c>
      <c r="AI79" s="91" t="n">
        <f aca="false">IF(OR(Calculator!$E$18&lt;&gt;"YES",Calculator!$B$32&lt;Calculator!$G$18),"—",ROUND(MAX((50*POWER(80,POWER(COS(PI()*MOD(Calculator!$B$32/Calculator!$F$18,1)),2)))/$C79,$C79/(50*POWER(80,POWER(COS(PI()*MOD(Calculator!$B$32/Calculator!$F$18,1)),2)))),2))</f>
        <v>38.47</v>
      </c>
      <c r="AJ79" s="91" t="n">
        <f aca="false">IF(OR(Calculator!$E$19&lt;&gt;"YES",Calculator!$B$32&lt;Calculator!$G$19),"—",ROUND(MAX((50*POWER(80,POWER(COS(PI()*MOD(Calculator!$B$32/Calculator!$F$19,1)),2)))/$C79,$C79/(50*POWER(80,POWER(COS(PI()*MOD(Calculator!$B$32/Calculator!$F$19,1)),2)))),2))</f>
        <v>8.11</v>
      </c>
      <c r="AK79" s="91" t="n">
        <f aca="false">IF(OR(Calculator!$E$20&lt;&gt;"YES",Calculator!$B$32&lt;Calculator!$G$20),"—",ROUND(MAX((50*POWER(80,POWER(COS(PI()*MOD(Calculator!$B$32/Calculator!$F$20,1)),2)))/$C79,$C79/(50*POWER(80,POWER(COS(PI()*MOD(Calculator!$B$32/Calculator!$F$20,1)),2)))),2))</f>
        <v>1.37</v>
      </c>
      <c r="AL79" s="91" t="n">
        <f aca="false">IF(OR(Calculator!$E$21&lt;&gt;"YES",Calculator!$B$32&lt;Calculator!$G$21),"—",ROUND(MAX((50*POWER(80,POWER(COS(PI()*MOD(Calculator!$B$32/Calculator!$F$21,1)),2)))/$C79,$C79/(50*POWER(80,POWER(COS(PI()*MOD(Calculator!$B$32/Calculator!$F$21,1)),2)))),2))</f>
        <v>1.19</v>
      </c>
      <c r="AM79" s="115" t="n">
        <f aca="false">IFERROR(ROUND((IF(ISNUMBER(AB79),AB79,0)+IF(ISNUMBER(AC79),AC79,0)+IF(ISNUMBER(AD79),AD79,0)+IF(ISNUMBER(AE79),AE79,0)+IF(ISNUMBER(AF79),AF79,0)+IF(ISNUMBER(AG79),AG79,0)+IF(ISNUMBER(AH79),AH79,0)+IF(ISNUMBER(AI79),AI79,0)+IF(ISNUMBER(AJ79),AJ79,0)+IF(ISNUMBER(AK79),AK79,0)+IF(ISNUMBER(AL79),AL79,0))/(IF(ISNUMBER(AB79),1,0)+IF(ISNUMBER(AC79),1,0)+IF(ISNUMBER(AD79),1,0)+IF(ISNUMBER(AE79),1,0)+IF(ISNUMBER(AF79),1,0)+IF(ISNUMBER(AG79),1,0)+IF(ISNUMBER(AH79),1,0)+IF(ISNUMBER(AI79),1,0)+IF(ISNUMBER(AJ79),1,0)+IF(ISNUMBER(AK79),1,0)+IF(ISNUMBER(AL79),1,0)),2),"")</f>
        <v>14.79</v>
      </c>
      <c r="AN79" s="116" t="n">
        <f aca="false">IF(OR(Calculator!$E$11&lt;&gt;"YES",Calculator!$B$33&lt;Calculator!$G$11),"—",ROUND(MAX((50*POWER(80,POWER(COS(PI()*MOD(Calculator!$B$33/Calculator!$F$11,1)),2)))/$C79,$C79/(50*POWER(80,POWER(COS(PI()*MOD(Calculator!$B$33/Calculator!$F$11,1)),2)))),2))</f>
        <v>27.27</v>
      </c>
      <c r="AO79" s="116" t="n">
        <f aca="false">IF(OR(Calculator!$E$12&lt;&gt;"YES",Calculator!$B$33&lt;Calculator!$G$12),"—",ROUND(MAX((50*POWER(80,POWER(COS(PI()*MOD(Calculator!$B$33/Calculator!$F$12,1)),2)))/$C79,$C79/(50*POWER(80,POWER(COS(PI()*MOD(Calculator!$B$33/Calculator!$F$12,1)),2)))),2))</f>
        <v>2.09</v>
      </c>
      <c r="AP79" s="116" t="n">
        <f aca="false">IF(OR(Calculator!$E$13&lt;&gt;"YES",Calculator!$B$33&lt;Calculator!$G$13),"—",ROUND(MAX((50*POWER(80,POWER(COS(PI()*MOD(Calculator!$B$33/Calculator!$F$13,1)),2)))/$C79,$C79/(50*POWER(80,POWER(COS(PI()*MOD(Calculator!$B$33/Calculator!$F$13,1)),2)))),2))</f>
        <v>6.58</v>
      </c>
      <c r="AQ79" s="116" t="n">
        <f aca="false">IF(OR(Calculator!$E$14&lt;&gt;"YES",Calculator!$B$33&lt;Calculator!$G$14),"—",ROUND(MAX((50*POWER(80,POWER(COS(PI()*MOD(Calculator!$B$33/Calculator!$F$14,1)),2)))/$C79,$C79/(50*POWER(80,POWER(COS(PI()*MOD(Calculator!$B$33/Calculator!$F$14,1)),2)))),2))</f>
        <v>12.24</v>
      </c>
      <c r="AR79" s="116" t="n">
        <f aca="false">IF(OR(Calculator!$E$15&lt;&gt;"YES",Calculator!$B$33&lt;Calculator!$G$15),"—",ROUND(MAX((50*POWER(80,POWER(COS(PI()*MOD(Calculator!$B$33/Calculator!$F$15,1)),2)))/$C79,$C79/(50*POWER(80,POWER(COS(PI()*MOD(Calculator!$B$33/Calculator!$F$15,1)),2)))),2))</f>
        <v>7.46</v>
      </c>
      <c r="AS79" s="116" t="n">
        <f aca="false">IF(OR(Calculator!$E$16&lt;&gt;"YES",Calculator!$B$33&lt;Calculator!$G$16),"—",ROUND(MAX((50*POWER(80,POWER(COS(PI()*MOD(Calculator!$B$33/Calculator!$F$16,1)),2)))/$C79,$C79/(50*POWER(80,POWER(COS(PI()*MOD(Calculator!$B$33/Calculator!$F$16,1)),2)))),2))</f>
        <v>34.46</v>
      </c>
      <c r="AT79" s="116" t="n">
        <f aca="false">IF(OR(Calculator!$E$17&lt;&gt;"YES",Calculator!$B$33&lt;Calculator!$G$17),"—",ROUND(MAX((50*POWER(80,POWER(COS(PI()*MOD(Calculator!$B$33/Calculator!$F$17,1)),2)))/$C79,$C79/(50*POWER(80,POWER(COS(PI()*MOD(Calculator!$B$33/Calculator!$F$17,1)),2)))),2))</f>
        <v>1.28</v>
      </c>
      <c r="AU79" s="116" t="n">
        <f aca="false">IF(OR(Calculator!$E$18&lt;&gt;"YES",Calculator!$B$33&lt;Calculator!$G$18),"—",ROUND(MAX((50*POWER(80,POWER(COS(PI()*MOD(Calculator!$B$33/Calculator!$F$18,1)),2)))/$C79,$C79/(50*POWER(80,POWER(COS(PI()*MOD(Calculator!$B$33/Calculator!$F$18,1)),2)))),2))</f>
        <v>1.22</v>
      </c>
      <c r="AV79" s="116" t="n">
        <f aca="false">IF(OR(Calculator!$E$19&lt;&gt;"YES",Calculator!$B$33&lt;Calculator!$G$19),"—",ROUND(MAX((50*POWER(80,POWER(COS(PI()*MOD(Calculator!$B$33/Calculator!$F$19,1)),2)))/$C79,$C79/(50*POWER(80,POWER(COS(PI()*MOD(Calculator!$B$33/Calculator!$F$19,1)),2)))),2))</f>
        <v>1.4</v>
      </c>
      <c r="AW79" s="116" t="n">
        <f aca="false">IF(OR(Calculator!$E$20&lt;&gt;"YES",Calculator!$B$33&lt;Calculator!$G$20),"—",ROUND(MAX((50*POWER(80,POWER(COS(PI()*MOD(Calculator!$B$33/Calculator!$F$20,1)),2)))/$C79,$C79/(50*POWER(80,POWER(COS(PI()*MOD(Calculator!$B$33/Calculator!$F$20,1)),2)))),2))</f>
        <v>15.7</v>
      </c>
      <c r="AX79" s="116" t="n">
        <f aca="false">IF(OR(Calculator!$E$21&lt;&gt;"YES",Calculator!$B$33&lt;Calculator!$G$21),"—",ROUND(MAX((50*POWER(80,POWER(COS(PI()*MOD(Calculator!$B$33/Calculator!$F$21,1)),2)))/$C79,$C79/(50*POWER(80,POWER(COS(PI()*MOD(Calculator!$B$33/Calculator!$F$21,1)),2)))),2))</f>
        <v>2.01</v>
      </c>
      <c r="AY79" s="115" t="n">
        <f aca="false">IFERROR(ROUND((IF(ISNUMBER(AN79),AN79,0)+IF(ISNUMBER(AO79),AO79,0)+IF(ISNUMBER(AP79),AP79,0)+IF(ISNUMBER(AQ79),AQ79,0)+IF(ISNUMBER(AR79),AR79,0)+IF(ISNUMBER(AS79),AS79,0)+IF(ISNUMBER(AT79),AT79,0)+IF(ISNUMBER(AU79),AU79,0)+IF(ISNUMBER(AV79),AV79,0)+IF(ISNUMBER(AW79),AW79,0)+IF(ISNUMBER(AX79),AX79,0))/(IF(ISNUMBER(AN79),1,0)+IF(ISNUMBER(AO79),1,0)+IF(ISNUMBER(AP79),1,0)+IF(ISNUMBER(AQ79),1,0)+IF(ISNUMBER(AR79),1,0)+IF(ISNUMBER(AS79),1,0)+IF(ISNUMBER(AT79),1,0)+IF(ISNUMBER(AU79),1,0)+IF(ISNUMBER(AV79),1,0)+IF(ISNUMBER(AW79),1,0)+IF(ISNUMBER(AX79),1,0)),2),"")</f>
        <v>10.16</v>
      </c>
      <c r="AZ79" s="116" t="n">
        <f aca="false">IF(OR(Calculator!$E$11&lt;&gt;"YES",Calculator!$B$34&lt;Calculator!$G$11),"—",ROUND(MAX((50*POWER(80,POWER(COS(PI()*MOD(Calculator!$B$34/Calculator!$F$11,1)),2)))/$C79,$C79/(50*POWER(80,POWER(COS(PI()*MOD(Calculator!$B$34/Calculator!$F$11,1)),2)))),2))</f>
        <v>26.28</v>
      </c>
      <c r="BA79" s="116" t="n">
        <f aca="false">IF(OR(Calculator!$E$12&lt;&gt;"YES",Calculator!$B$34&lt;Calculator!$G$12),"—",ROUND(MAX((50*POWER(80,POWER(COS(PI()*MOD(Calculator!$B$34/Calculator!$F$12,1)),2)))/$C79,$C79/(50*POWER(80,POWER(COS(PI()*MOD(Calculator!$B$34/Calculator!$F$12,1)),2)))),2))</f>
        <v>2.3</v>
      </c>
      <c r="BB79" s="116" t="n">
        <f aca="false">IF(OR(Calculator!$E$13&lt;&gt;"YES",Calculator!$B$34&lt;Calculator!$G$13),"—",ROUND(MAX((50*POWER(80,POWER(COS(PI()*MOD(Calculator!$B$34/Calculator!$F$13,1)),2)))/$C79,$C79/(50*POWER(80,POWER(COS(PI()*MOD(Calculator!$B$34/Calculator!$F$13,1)),2)))),2))</f>
        <v>5.63</v>
      </c>
      <c r="BC79" s="116" t="n">
        <f aca="false">IF(OR(Calculator!$E$14&lt;&gt;"YES",Calculator!$B$34&lt;Calculator!$G$14),"—",ROUND(MAX((50*POWER(80,POWER(COS(PI()*MOD(Calculator!$B$34/Calculator!$F$14,1)),2)))/$C79,$C79/(50*POWER(80,POWER(COS(PI()*MOD(Calculator!$B$34/Calculator!$F$14,1)),2)))),2))</f>
        <v>14.76</v>
      </c>
      <c r="BD79" s="116" t="n">
        <f aca="false">IF(OR(Calculator!$E$15&lt;&gt;"YES",Calculator!$B$34&lt;Calculator!$G$15),"—",ROUND(MAX((50*POWER(80,POWER(COS(PI()*MOD(Calculator!$B$34/Calculator!$F$15,1)),2)))/$C79,$C79/(50*POWER(80,POWER(COS(PI()*MOD(Calculator!$B$34/Calculator!$F$15,1)),2)))),2))</f>
        <v>9.92</v>
      </c>
      <c r="BE79" s="116" t="n">
        <f aca="false">IF(OR(Calculator!$E$16&lt;&gt;"YES",Calculator!$B$34&lt;Calculator!$G$16),"—",ROUND(MAX((50*POWER(80,POWER(COS(PI()*MOD(Calculator!$B$34/Calculator!$F$16,1)),2)))/$C79,$C79/(50*POWER(80,POWER(COS(PI()*MOD(Calculator!$B$34/Calculator!$F$16,1)),2)))),2))</f>
        <v>27.04</v>
      </c>
      <c r="BF79" s="116" t="n">
        <f aca="false">IF(OR(Calculator!$E$17&lt;&gt;"YES",Calculator!$B$34&lt;Calculator!$G$17),"—",ROUND(MAX((50*POWER(80,POWER(COS(PI()*MOD(Calculator!$B$34/Calculator!$F$17,1)),2)))/$C79,$C79/(50*POWER(80,POWER(COS(PI()*MOD(Calculator!$B$34/Calculator!$F$17,1)),2)))),2))</f>
        <v>1.12</v>
      </c>
      <c r="BG79" s="116" t="n">
        <f aca="false">IF(OR(Calculator!$E$18&lt;&gt;"YES",Calculator!$B$34&lt;Calculator!$G$18),"—",ROUND(MAX((50*POWER(80,POWER(COS(PI()*MOD(Calculator!$B$34/Calculator!$F$18,1)),2)))/$C79,$C79/(50*POWER(80,POWER(COS(PI()*MOD(Calculator!$B$34/Calculator!$F$18,1)),2)))),2))</f>
        <v>1.22</v>
      </c>
      <c r="BH79" s="116" t="n">
        <f aca="false">IF(OR(Calculator!$E$19&lt;&gt;"YES",Calculator!$B$34&lt;Calculator!$G$19),"—",ROUND(MAX((50*POWER(80,POWER(COS(PI()*MOD(Calculator!$B$34/Calculator!$F$19,1)),2)))/$C79,$C79/(50*POWER(80,POWER(COS(PI()*MOD(Calculator!$B$34/Calculator!$F$19,1)),2)))),2))</f>
        <v>1.07</v>
      </c>
      <c r="BI79" s="116" t="n">
        <f aca="false">IF(OR(Calculator!$E$20&lt;&gt;"YES",Calculator!$B$34&lt;Calculator!$G$20),"—",ROUND(MAX((50*POWER(80,POWER(COS(PI()*MOD(Calculator!$B$34/Calculator!$F$20,1)),2)))/$C79,$C79/(50*POWER(80,POWER(COS(PI()*MOD(Calculator!$B$34/Calculator!$F$20,1)),2)))),2))</f>
        <v>29.42</v>
      </c>
      <c r="BJ79" s="116" t="n">
        <f aca="false">IF(OR(Calculator!$E$21&lt;&gt;"YES",Calculator!$B$34&lt;Calculator!$G$21),"—",ROUND(MAX((50*POWER(80,POWER(COS(PI()*MOD(Calculator!$B$34/Calculator!$F$21,1)),2)))/$C79,$C79/(50*POWER(80,POWER(COS(PI()*MOD(Calculator!$B$34/Calculator!$F$21,1)),2)))),2))</f>
        <v>1.4</v>
      </c>
      <c r="BK79" s="115" t="n">
        <f aca="false">IFERROR(ROUND((IF(ISNUMBER(AZ79),AZ79,0)+IF(ISNUMBER(BA79),BA79,0)+IF(ISNUMBER(BB79),BB79,0)+IF(ISNUMBER(BC79),BC79,0)+IF(ISNUMBER(BD79),BD79,0)+IF(ISNUMBER(BE79),BE79,0)+IF(ISNUMBER(BF79),BF79,0)+IF(ISNUMBER(BG79),BG79,0)+IF(ISNUMBER(BH79),BH79,0)+IF(ISNUMBER(BI79),BI79,0)+IF(ISNUMBER(BJ79),BJ79,0))/(IF(ISNUMBER(AZ79),1,0)+IF(ISNUMBER(BA79),1,0)+IF(ISNUMBER(BB79),1,0)+IF(ISNUMBER(BC79),1,0)+IF(ISNUMBER(BD79),1,0)+IF(ISNUMBER(BE79),1,0)+IF(ISNUMBER(BF79),1,0)+IF(ISNUMBER(BG79),1,0)+IF(ISNUMBER(BH79),1,0)+IF(ISNUMBER(BI79),1,0)+IF(ISNUMBER(BJ79),1,0)),2),"")</f>
        <v>10.92</v>
      </c>
    </row>
    <row r="80" customFormat="false" ht="15" hidden="false" customHeight="false" outlineLevel="0" collapsed="false">
      <c r="A80" s="117" t="s">
        <v>138</v>
      </c>
      <c r="B80" s="117" t="s">
        <v>93</v>
      </c>
      <c r="C80" s="118" t="n">
        <v>2400</v>
      </c>
      <c r="D80" s="119" t="n">
        <f aca="false">IF(OR(Calculator!$E$11&lt;&gt;"YES",Calculator!$B$30&lt;Calculator!$G$11),"—",ROUND(MAX((50*POWER(80,POWER(COS(PI()*MOD(Calculator!$B$30/Calculator!$F$11,1)),2)))/$C80,$C80/(50*POWER(80,POWER(COS(PI()*MOD(Calculator!$B$30/Calculator!$F$11,1)),2)))),2))</f>
        <v>27.17</v>
      </c>
      <c r="E80" s="119" t="n">
        <f aca="false">IF(OR(Calculator!$E$12&lt;&gt;"YES",Calculator!$B$30&lt;Calculator!$G$12),"—",ROUND(MAX((50*POWER(80,POWER(COS(PI()*MOD(Calculator!$B$30/Calculator!$F$12,1)),2)))/$C80,$C80/(50*POWER(80,POWER(COS(PI()*MOD(Calculator!$B$30/Calculator!$F$12,1)),2)))),2))</f>
        <v>2.27</v>
      </c>
      <c r="F80" s="119" t="n">
        <f aca="false">IF(OR(Calculator!$E$13&lt;&gt;"YES",Calculator!$B$30&lt;Calculator!$G$13),"—",ROUND(MAX((50*POWER(80,POWER(COS(PI()*MOD(Calculator!$B$30/Calculator!$F$13,1)),2)))/$C80,$C80/(50*POWER(80,POWER(COS(PI()*MOD(Calculator!$B$30/Calculator!$F$13,1)),2)))),2))</f>
        <v>6.06</v>
      </c>
      <c r="G80" s="119" t="n">
        <f aca="false">IF(OR(Calculator!$E$14&lt;&gt;"YES",Calculator!$B$30&lt;Calculator!$G$14),"—",ROUND(MAX((50*POWER(80,POWER(COS(PI()*MOD(Calculator!$B$30/Calculator!$F$14,1)),2)))/$C80,$C80/(50*POWER(80,POWER(COS(PI()*MOD(Calculator!$B$30/Calculator!$F$14,1)),2)))),2))</f>
        <v>14.18</v>
      </c>
      <c r="H80" s="119" t="n">
        <f aca="false">IF(OR(Calculator!$E$15&lt;&gt;"YES",Calculator!$B$30&lt;Calculator!$G$15),"—",ROUND(MAX((50*POWER(80,POWER(COS(PI()*MOD(Calculator!$B$30/Calculator!$F$15,1)),2)))/$C80,$C80/(50*POWER(80,POWER(COS(PI()*MOD(Calculator!$B$30/Calculator!$F$15,1)),2)))),2))</f>
        <v>9.22</v>
      </c>
      <c r="I80" s="119" t="n">
        <f aca="false">IF(OR(Calculator!$E$16&lt;&gt;"YES",Calculator!$B$30&lt;Calculator!$G$16),"—",ROUND(MAX((50*POWER(80,POWER(COS(PI()*MOD(Calculator!$B$30/Calculator!$F$16,1)),2)))/$C80,$C80/(50*POWER(80,POWER(COS(PI()*MOD(Calculator!$B$30/Calculator!$F$16,1)),2)))),2))</f>
        <v>30.15</v>
      </c>
      <c r="J80" s="119" t="n">
        <f aca="false">IF(OR(Calculator!$E$17&lt;&gt;"YES",Calculator!$B$30&lt;Calculator!$G$17),"—",ROUND(MAX((50*POWER(80,POWER(COS(PI()*MOD(Calculator!$B$30/Calculator!$F$17,1)),2)))/$C80,$C80/(50*POWER(80,POWER(COS(PI()*MOD(Calculator!$B$30/Calculator!$F$17,1)),2)))),2))</f>
        <v>1.02</v>
      </c>
      <c r="K80" s="119" t="n">
        <f aca="false">IF(OR(Calculator!$E$18&lt;&gt;"YES",Calculator!$B$30&lt;Calculator!$G$18),"—",ROUND(MAX((50*POWER(80,POWER(COS(PI()*MOD(Calculator!$B$30/Calculator!$F$18,1)),2)))/$C80,$C80/(50*POWER(80,POWER(COS(PI()*MOD(Calculator!$B$30/Calculator!$F$18,1)),2)))),2))</f>
        <v>1.06</v>
      </c>
      <c r="L80" s="119" t="n">
        <f aca="false">IF(OR(Calculator!$E$19&lt;&gt;"YES",Calculator!$B$30&lt;Calculator!$G$19),"—",ROUND(MAX((50*POWER(80,POWER(COS(PI()*MOD(Calculator!$B$30/Calculator!$F$19,1)),2)))/$C80,$C80/(50*POWER(80,POWER(COS(PI()*MOD(Calculator!$B$30/Calculator!$F$19,1)),2)))),2))</f>
        <v>1.07</v>
      </c>
      <c r="M80" s="119" t="n">
        <f aca="false">IF(OR(Calculator!$E$20&lt;&gt;"YES",Calculator!$B$30&lt;Calculator!$G$20),"—",ROUND(MAX((50*POWER(80,POWER(COS(PI()*MOD(Calculator!$B$30/Calculator!$F$20,1)),2)))/$C80,$C80/(50*POWER(80,POWER(COS(PI()*MOD(Calculator!$B$30/Calculator!$F$20,1)),2)))),2))</f>
        <v>24.95</v>
      </c>
      <c r="N80" s="119" t="n">
        <f aca="false">IF(OR(Calculator!$E$21&lt;&gt;"YES",Calculator!$B$30&lt;Calculator!$G$21),"—",ROUND(MAX((50*POWER(80,POWER(COS(PI()*MOD(Calculator!$B$30/Calculator!$F$21,1)),2)))/$C80,$C80/(50*POWER(80,POWER(COS(PI()*MOD(Calculator!$B$30/Calculator!$F$21,1)),2)))),2))</f>
        <v>1.06</v>
      </c>
      <c r="O80" s="114" t="n">
        <f aca="false">IFERROR(ROUND((IF(ISNUMBER(D80),D80,0)+IF(ISNUMBER(E80),E80,0)+IF(ISNUMBER(F80),F80,0)+IF(ISNUMBER(G80),G80,0)+IF(ISNUMBER(H80),H80,0)+IF(ISNUMBER(I80),I80,0)+IF(ISNUMBER(J80),J80,0)+IF(ISNUMBER(K80),K80,0)+IF(ISNUMBER(L80),L80,0)+IF(ISNUMBER(M80),M80,0)+IF(ISNUMBER(N80),N80,0))/(IF(ISNUMBER(D80),1,0)+IF(ISNUMBER(E80),1,0)+IF(ISNUMBER(F80),1,0)+IF(ISNUMBER(G80),1,0)+IF(ISNUMBER(H80),1,0)+IF(ISNUMBER(I80),1,0)+IF(ISNUMBER(J80),1,0)+IF(ISNUMBER(K80),1,0)+IF(ISNUMBER(L80),1,0)+IF(ISNUMBER(M80),1,0)+IF(ISNUMBER(N80),1,0)),2),"")</f>
        <v>10.75</v>
      </c>
      <c r="P80" s="119" t="n">
        <f aca="false">IF(OR(Calculator!$E$11&lt;&gt;"YES",Calculator!$B$31&lt;Calculator!$G$11),"—",ROUND(MAX((50*POWER(80,POWER(COS(PI()*MOD(Calculator!$B$31/Calculator!$F$11,1)),2)))/$C80,$C80/(50*POWER(80,POWER(COS(PI()*MOD(Calculator!$B$31/Calculator!$F$11,1)),2)))),2))</f>
        <v>27.51</v>
      </c>
      <c r="Q80" s="119" t="n">
        <f aca="false">IF(OR(Calculator!$E$12&lt;&gt;"YES",Calculator!$B$31&lt;Calculator!$G$12),"—",ROUND(MAX((50*POWER(80,POWER(COS(PI()*MOD(Calculator!$B$31/Calculator!$F$12,1)),2)))/$C80,$C80/(50*POWER(80,POWER(COS(PI()*MOD(Calculator!$B$31/Calculator!$F$12,1)),2)))),2))</f>
        <v>2.2</v>
      </c>
      <c r="R80" s="119" t="n">
        <f aca="false">IF(OR(Calculator!$E$13&lt;&gt;"YES",Calculator!$B$31&lt;Calculator!$G$13),"—",ROUND(MAX((50*POWER(80,POWER(COS(PI()*MOD(Calculator!$B$31/Calculator!$F$13,1)),2)))/$C80,$C80/(50*POWER(80,POWER(COS(PI()*MOD(Calculator!$B$31/Calculator!$F$13,1)),2)))),2))</f>
        <v>6.38</v>
      </c>
      <c r="S80" s="119" t="n">
        <f aca="false">IF(OR(Calculator!$E$14&lt;&gt;"YES",Calculator!$B$31&lt;Calculator!$G$14),"—",ROUND(MAX((50*POWER(80,POWER(COS(PI()*MOD(Calculator!$B$31/Calculator!$F$14,1)),2)))/$C80,$C80/(50*POWER(80,POWER(COS(PI()*MOD(Calculator!$B$31/Calculator!$F$14,1)),2)))),2))</f>
        <v>13.32</v>
      </c>
      <c r="T80" s="119" t="n">
        <f aca="false">IF(OR(Calculator!$E$15&lt;&gt;"YES",Calculator!$B$31&lt;Calculator!$G$15),"—",ROUND(MAX((50*POWER(80,POWER(COS(PI()*MOD(Calculator!$B$31/Calculator!$F$15,1)),2)))/$C80,$C80/(50*POWER(80,POWER(COS(PI()*MOD(Calculator!$B$31/Calculator!$F$15,1)),2)))),2))</f>
        <v>8.38</v>
      </c>
      <c r="U80" s="119" t="n">
        <f aca="false">IF(OR(Calculator!$E$16&lt;&gt;"YES",Calculator!$B$31&lt;Calculator!$G$16),"—",ROUND(MAX((50*POWER(80,POWER(COS(PI()*MOD(Calculator!$B$31/Calculator!$F$16,1)),2)))/$C80,$C80/(50*POWER(80,POWER(COS(PI()*MOD(Calculator!$B$31/Calculator!$F$16,1)),2)))),2))</f>
        <v>32.69</v>
      </c>
      <c r="V80" s="119" t="n">
        <f aca="false">IF(OR(Calculator!$E$17&lt;&gt;"YES",Calculator!$B$31&lt;Calculator!$G$17),"—",ROUND(MAX((50*POWER(80,POWER(COS(PI()*MOD(Calculator!$B$31/Calculator!$F$17,1)),2)))/$C80,$C80/(50*POWER(80,POWER(COS(PI()*MOD(Calculator!$B$31/Calculator!$F$17,1)),2)))),2))</f>
        <v>1.15</v>
      </c>
      <c r="W80" s="119" t="n">
        <f aca="false">IF(OR(Calculator!$E$18&lt;&gt;"YES",Calculator!$B$31&lt;Calculator!$G$18),"—",ROUND(MAX((50*POWER(80,POWER(COS(PI()*MOD(Calculator!$B$31/Calculator!$F$18,1)),2)))/$C80,$C80/(50*POWER(80,POWER(COS(PI()*MOD(Calculator!$B$31/Calculator!$F$18,1)),2)))),2))</f>
        <v>1.07</v>
      </c>
      <c r="X80" s="119" t="n">
        <f aca="false">IF(OR(Calculator!$E$19&lt;&gt;"YES",Calculator!$B$31&lt;Calculator!$G$19),"—",ROUND(MAX((50*POWER(80,POWER(COS(PI()*MOD(Calculator!$B$31/Calculator!$F$19,1)),2)))/$C80,$C80/(50*POWER(80,POWER(COS(PI()*MOD(Calculator!$B$31/Calculator!$F$19,1)),2)))),2))</f>
        <v>1.22</v>
      </c>
      <c r="Y80" s="119" t="n">
        <f aca="false">IF(OR(Calculator!$E$20&lt;&gt;"YES",Calculator!$B$31&lt;Calculator!$G$20),"—",ROUND(MAX((50*POWER(80,POWER(COS(PI()*MOD(Calculator!$B$31/Calculator!$F$20,1)),2)))/$C80,$C80/(50*POWER(80,POWER(COS(PI()*MOD(Calculator!$B$31/Calculator!$F$20,1)),2)))),2))</f>
        <v>20.21</v>
      </c>
      <c r="Z80" s="119" t="n">
        <f aca="false">IF(OR(Calculator!$E$21&lt;&gt;"YES",Calculator!$B$31&lt;Calculator!$G$21),"—",ROUND(MAX((50*POWER(80,POWER(COS(PI()*MOD(Calculator!$B$31/Calculator!$F$21,1)),2)))/$C80,$C80/(50*POWER(80,POWER(COS(PI()*MOD(Calculator!$B$31/Calculator!$F$21,1)),2)))),2))</f>
        <v>1.34</v>
      </c>
      <c r="AA80" s="114" t="n">
        <f aca="false">IFERROR(ROUND((IF(ISNUMBER(P80),P80,0)+IF(ISNUMBER(Q80),Q80,0)+IF(ISNUMBER(R80),R80,0)+IF(ISNUMBER(S80),S80,0)+IF(ISNUMBER(T80),T80,0)+IF(ISNUMBER(U80),U80,0)+IF(ISNUMBER(V80),V80,0)+IF(ISNUMBER(W80),W80,0)+IF(ISNUMBER(X80),X80,0)+IF(ISNUMBER(Y80),Y80,0)+IF(ISNUMBER(Z80),Z80,0))/(IF(ISNUMBER(P80),1,0)+IF(ISNUMBER(Q80),1,0)+IF(ISNUMBER(R80),1,0)+IF(ISNUMBER(S80),1,0)+IF(ISNUMBER(T80),1,0)+IF(ISNUMBER(U80),1,0)+IF(ISNUMBER(V80),1,0)+IF(ISNUMBER(W80),1,0)+IF(ISNUMBER(X80),1,0)+IF(ISNUMBER(Y80),1,0)+IF(ISNUMBER(Z80),1,0)),2),"")</f>
        <v>10.5</v>
      </c>
      <c r="AB80" s="119" t="n">
        <f aca="false">IF(OR(Calculator!$E$11&lt;&gt;"YES",Calculator!$B$32&lt;Calculator!$G$11),"—",ROUND(MAX((50*POWER(80,POWER(COS(PI()*MOD(Calculator!$B$32/Calculator!$F$11,1)),2)))/$C80,$C80/(50*POWER(80,POWER(COS(PI()*MOD(Calculator!$B$32/Calculator!$F$11,1)),2)))),2))</f>
        <v>34.63</v>
      </c>
      <c r="AC80" s="119" t="n">
        <f aca="false">IF(OR(Calculator!$E$12&lt;&gt;"YES",Calculator!$B$32&lt;Calculator!$G$12),"—",ROUND(MAX((50*POWER(80,POWER(COS(PI()*MOD(Calculator!$B$32/Calculator!$F$12,1)),2)))/$C80,$C80/(50*POWER(80,POWER(COS(PI()*MOD(Calculator!$B$32/Calculator!$F$12,1)),2)))),2))</f>
        <v>1.19</v>
      </c>
      <c r="AD80" s="119" t="n">
        <f aca="false">IF(OR(Calculator!$E$13&lt;&gt;"YES",Calculator!$B$32&lt;Calculator!$G$13),"—",ROUND(MAX((50*POWER(80,POWER(COS(PI()*MOD(Calculator!$B$32/Calculator!$F$13,1)),2)))/$C80,$C80/(50*POWER(80,POWER(COS(PI()*MOD(Calculator!$B$32/Calculator!$F$13,1)),2)))),2))</f>
        <v>17.67</v>
      </c>
      <c r="AE80" s="119" t="n">
        <f aca="false">IF(OR(Calculator!$E$14&lt;&gt;"YES",Calculator!$B$32&lt;Calculator!$G$14),"—",ROUND(MAX((50*POWER(80,POWER(COS(PI()*MOD(Calculator!$B$32/Calculator!$F$14,1)),2)))/$C80,$C80/(50*POWER(80,POWER(COS(PI()*MOD(Calculator!$B$32/Calculator!$F$14,1)),2)))),2))</f>
        <v>3.23</v>
      </c>
      <c r="AF80" s="119" t="n">
        <f aca="false">IF(OR(Calculator!$E$15&lt;&gt;"YES",Calculator!$B$32&lt;Calculator!$G$15),"—",ROUND(MAX((50*POWER(80,POWER(COS(PI()*MOD(Calculator!$B$32/Calculator!$F$15,1)),2)))/$C80,$C80/(50*POWER(80,POWER(COS(PI()*MOD(Calculator!$B$32/Calculator!$F$15,1)),2)))),2))</f>
        <v>1.24</v>
      </c>
      <c r="AG80" s="119" t="n">
        <f aca="false">IF(OR(Calculator!$E$16&lt;&gt;"YES",Calculator!$B$32&lt;Calculator!$G$16),"—",ROUND(MAX((50*POWER(80,POWER(COS(PI()*MOD(Calculator!$B$32/Calculator!$F$16,1)),2)))/$C80,$C80/(50*POWER(80,POWER(COS(PI()*MOD(Calculator!$B$32/Calculator!$F$16,1)),2)))),2))</f>
        <v>28.22</v>
      </c>
      <c r="AH80" s="119" t="n">
        <f aca="false">IF(OR(Calculator!$E$17&lt;&gt;"YES",Calculator!$B$32&lt;Calculator!$G$17),"—",ROUND(MAX((50*POWER(80,POWER(COS(PI()*MOD(Calculator!$B$32/Calculator!$F$17,1)),2)))/$C80,$C80/(50*POWER(80,POWER(COS(PI()*MOD(Calculator!$B$32/Calculator!$F$17,1)),2)))),2))</f>
        <v>29.79</v>
      </c>
      <c r="AI80" s="119" t="n">
        <f aca="false">IF(OR(Calculator!$E$18&lt;&gt;"YES",Calculator!$B$32&lt;Calculator!$G$18),"—",ROUND(MAX((50*POWER(80,POWER(COS(PI()*MOD(Calculator!$B$32/Calculator!$F$18,1)),2)))/$C80,$C80/(50*POWER(80,POWER(COS(PI()*MOD(Calculator!$B$32/Calculator!$F$18,1)),2)))),2))</f>
        <v>39.29</v>
      </c>
      <c r="AJ80" s="119" t="n">
        <f aca="false">IF(OR(Calculator!$E$19&lt;&gt;"YES",Calculator!$B$32&lt;Calculator!$G$19),"—",ROUND(MAX((50*POWER(80,POWER(COS(PI()*MOD(Calculator!$B$32/Calculator!$F$19,1)),2)))/$C80,$C80/(50*POWER(80,POWER(COS(PI()*MOD(Calculator!$B$32/Calculator!$F$19,1)),2)))),2))</f>
        <v>8.28</v>
      </c>
      <c r="AK80" s="119" t="n">
        <f aca="false">IF(OR(Calculator!$E$20&lt;&gt;"YES",Calculator!$B$32&lt;Calculator!$G$20),"—",ROUND(MAX((50*POWER(80,POWER(COS(PI()*MOD(Calculator!$B$32/Calculator!$F$20,1)),2)))/$C80,$C80/(50*POWER(80,POWER(COS(PI()*MOD(Calculator!$B$32/Calculator!$F$20,1)),2)))),2))</f>
        <v>1.34</v>
      </c>
      <c r="AL80" s="119" t="n">
        <f aca="false">IF(OR(Calculator!$E$21&lt;&gt;"YES",Calculator!$B$32&lt;Calculator!$G$21),"—",ROUND(MAX((50*POWER(80,POWER(COS(PI()*MOD(Calculator!$B$32/Calculator!$F$21,1)),2)))/$C80,$C80/(50*POWER(80,POWER(COS(PI()*MOD(Calculator!$B$32/Calculator!$F$21,1)),2)))),2))</f>
        <v>1.16</v>
      </c>
      <c r="AM80" s="115" t="n">
        <f aca="false">IFERROR(ROUND((IF(ISNUMBER(AB80),AB80,0)+IF(ISNUMBER(AC80),AC80,0)+IF(ISNUMBER(AD80),AD80,0)+IF(ISNUMBER(AE80),AE80,0)+IF(ISNUMBER(AF80),AF80,0)+IF(ISNUMBER(AG80),AG80,0)+IF(ISNUMBER(AH80),AH80,0)+IF(ISNUMBER(AI80),AI80,0)+IF(ISNUMBER(AJ80),AJ80,0)+IF(ISNUMBER(AK80),AK80,0)+IF(ISNUMBER(AL80),AL80,0))/(IF(ISNUMBER(AB80),1,0)+IF(ISNUMBER(AC80),1,0)+IF(ISNUMBER(AD80),1,0)+IF(ISNUMBER(AE80),1,0)+IF(ISNUMBER(AF80),1,0)+IF(ISNUMBER(AG80),1,0)+IF(ISNUMBER(AH80),1,0)+IF(ISNUMBER(AI80),1,0)+IF(ISNUMBER(AJ80),1,0)+IF(ISNUMBER(AK80),1,0)+IF(ISNUMBER(AL80),1,0)),2),"")</f>
        <v>15.09</v>
      </c>
      <c r="AN80" s="120" t="n">
        <f aca="false">IF(OR(Calculator!$E$11&lt;&gt;"YES",Calculator!$B$33&lt;Calculator!$G$11),"—",ROUND(MAX((50*POWER(80,POWER(COS(PI()*MOD(Calculator!$B$33/Calculator!$F$11,1)),2)))/$C80,$C80/(50*POWER(80,POWER(COS(PI()*MOD(Calculator!$B$33/Calculator!$F$11,1)),2)))),2))</f>
        <v>27.85</v>
      </c>
      <c r="AO80" s="120" t="n">
        <f aca="false">IF(OR(Calculator!$E$12&lt;&gt;"YES",Calculator!$B$33&lt;Calculator!$G$12),"—",ROUND(MAX((50*POWER(80,POWER(COS(PI()*MOD(Calculator!$B$33/Calculator!$F$12,1)),2)))/$C80,$C80/(50*POWER(80,POWER(COS(PI()*MOD(Calculator!$B$33/Calculator!$F$12,1)),2)))),2))</f>
        <v>2.13</v>
      </c>
      <c r="AP80" s="120" t="n">
        <f aca="false">IF(OR(Calculator!$E$13&lt;&gt;"YES",Calculator!$B$33&lt;Calculator!$G$13),"—",ROUND(MAX((50*POWER(80,POWER(COS(PI()*MOD(Calculator!$B$33/Calculator!$F$13,1)),2)))/$C80,$C80/(50*POWER(80,POWER(COS(PI()*MOD(Calculator!$B$33/Calculator!$F$13,1)),2)))),2))</f>
        <v>6.72</v>
      </c>
      <c r="AQ80" s="120" t="n">
        <f aca="false">IF(OR(Calculator!$E$14&lt;&gt;"YES",Calculator!$B$33&lt;Calculator!$G$14),"—",ROUND(MAX((50*POWER(80,POWER(COS(PI()*MOD(Calculator!$B$33/Calculator!$F$14,1)),2)))/$C80,$C80/(50*POWER(80,POWER(COS(PI()*MOD(Calculator!$B$33/Calculator!$F$14,1)),2)))),2))</f>
        <v>12.5</v>
      </c>
      <c r="AR80" s="120" t="n">
        <f aca="false">IF(OR(Calculator!$E$15&lt;&gt;"YES",Calculator!$B$33&lt;Calculator!$G$15),"—",ROUND(MAX((50*POWER(80,POWER(COS(PI()*MOD(Calculator!$B$33/Calculator!$F$15,1)),2)))/$C80,$C80/(50*POWER(80,POWER(COS(PI()*MOD(Calculator!$B$33/Calculator!$F$15,1)),2)))),2))</f>
        <v>7.61</v>
      </c>
      <c r="AS80" s="120" t="n">
        <f aca="false">IF(OR(Calculator!$E$16&lt;&gt;"YES",Calculator!$B$33&lt;Calculator!$G$16),"—",ROUND(MAX((50*POWER(80,POWER(COS(PI()*MOD(Calculator!$B$33/Calculator!$F$16,1)),2)))/$C80,$C80/(50*POWER(80,POWER(COS(PI()*MOD(Calculator!$B$33/Calculator!$F$16,1)),2)))),2))</f>
        <v>35.19</v>
      </c>
      <c r="AT80" s="120" t="n">
        <f aca="false">IF(OR(Calculator!$E$17&lt;&gt;"YES",Calculator!$B$33&lt;Calculator!$G$17),"—",ROUND(MAX((50*POWER(80,POWER(COS(PI()*MOD(Calculator!$B$33/Calculator!$F$17,1)),2)))/$C80,$C80/(50*POWER(80,POWER(COS(PI()*MOD(Calculator!$B$33/Calculator!$F$17,1)),2)))),2))</f>
        <v>1.31</v>
      </c>
      <c r="AU80" s="120" t="n">
        <f aca="false">IF(OR(Calculator!$E$18&lt;&gt;"YES",Calculator!$B$33&lt;Calculator!$G$18),"—",ROUND(MAX((50*POWER(80,POWER(COS(PI()*MOD(Calculator!$B$33/Calculator!$F$18,1)),2)))/$C80,$C80/(50*POWER(80,POWER(COS(PI()*MOD(Calculator!$B$33/Calculator!$F$18,1)),2)))),2))</f>
        <v>1.24</v>
      </c>
      <c r="AV80" s="120" t="n">
        <f aca="false">IF(OR(Calculator!$E$19&lt;&gt;"YES",Calculator!$B$33&lt;Calculator!$G$19),"—",ROUND(MAX((50*POWER(80,POWER(COS(PI()*MOD(Calculator!$B$33/Calculator!$F$19,1)),2)))/$C80,$C80/(50*POWER(80,POWER(COS(PI()*MOD(Calculator!$B$33/Calculator!$F$19,1)),2)))),2))</f>
        <v>1.37</v>
      </c>
      <c r="AW80" s="120" t="n">
        <f aca="false">IF(OR(Calculator!$E$20&lt;&gt;"YES",Calculator!$B$33&lt;Calculator!$G$20),"—",ROUND(MAX((50*POWER(80,POWER(COS(PI()*MOD(Calculator!$B$33/Calculator!$F$20,1)),2)))/$C80,$C80/(50*POWER(80,POWER(COS(PI()*MOD(Calculator!$B$33/Calculator!$F$20,1)),2)))),2))</f>
        <v>16.03</v>
      </c>
      <c r="AX80" s="120" t="n">
        <f aca="false">IF(OR(Calculator!$E$21&lt;&gt;"YES",Calculator!$B$33&lt;Calculator!$G$21),"—",ROUND(MAX((50*POWER(80,POWER(COS(PI()*MOD(Calculator!$B$33/Calculator!$F$21,1)),2)))/$C80,$C80/(50*POWER(80,POWER(COS(PI()*MOD(Calculator!$B$33/Calculator!$F$21,1)),2)))),2))</f>
        <v>2.05</v>
      </c>
      <c r="AY80" s="115" t="n">
        <f aca="false">IFERROR(ROUND((IF(ISNUMBER(AN80),AN80,0)+IF(ISNUMBER(AO80),AO80,0)+IF(ISNUMBER(AP80),AP80,0)+IF(ISNUMBER(AQ80),AQ80,0)+IF(ISNUMBER(AR80),AR80,0)+IF(ISNUMBER(AS80),AS80,0)+IF(ISNUMBER(AT80),AT80,0)+IF(ISNUMBER(AU80),AU80,0)+IF(ISNUMBER(AV80),AV80,0)+IF(ISNUMBER(AW80),AW80,0)+IF(ISNUMBER(AX80),AX80,0))/(IF(ISNUMBER(AN80),1,0)+IF(ISNUMBER(AO80),1,0)+IF(ISNUMBER(AP80),1,0)+IF(ISNUMBER(AQ80),1,0)+IF(ISNUMBER(AR80),1,0)+IF(ISNUMBER(AS80),1,0)+IF(ISNUMBER(AT80),1,0)+IF(ISNUMBER(AU80),1,0)+IF(ISNUMBER(AV80),1,0)+IF(ISNUMBER(AW80),1,0)+IF(ISNUMBER(AX80),1,0)),2),"")</f>
        <v>10.36</v>
      </c>
      <c r="AZ80" s="120" t="n">
        <f aca="false">IF(OR(Calculator!$E$11&lt;&gt;"YES",Calculator!$B$34&lt;Calculator!$G$11),"—",ROUND(MAX((50*POWER(80,POWER(COS(PI()*MOD(Calculator!$B$34/Calculator!$F$11,1)),2)))/$C80,$C80/(50*POWER(80,POWER(COS(PI()*MOD(Calculator!$B$34/Calculator!$F$11,1)),2)))),2))</f>
        <v>26.84</v>
      </c>
      <c r="BA80" s="120" t="n">
        <f aca="false">IF(OR(Calculator!$E$12&lt;&gt;"YES",Calculator!$B$34&lt;Calculator!$G$12),"—",ROUND(MAX((50*POWER(80,POWER(COS(PI()*MOD(Calculator!$B$34/Calculator!$F$12,1)),2)))/$C80,$C80/(50*POWER(80,POWER(COS(PI()*MOD(Calculator!$B$34/Calculator!$F$12,1)),2)))),2))</f>
        <v>2.35</v>
      </c>
      <c r="BB80" s="120" t="n">
        <f aca="false">IF(OR(Calculator!$E$13&lt;&gt;"YES",Calculator!$B$34&lt;Calculator!$G$13),"—",ROUND(MAX((50*POWER(80,POWER(COS(PI()*MOD(Calculator!$B$34/Calculator!$F$13,1)),2)))/$C80,$C80/(50*POWER(80,POWER(COS(PI()*MOD(Calculator!$B$34/Calculator!$F$13,1)),2)))),2))</f>
        <v>5.75</v>
      </c>
      <c r="BC80" s="120" t="n">
        <f aca="false">IF(OR(Calculator!$E$14&lt;&gt;"YES",Calculator!$B$34&lt;Calculator!$G$14),"—",ROUND(MAX((50*POWER(80,POWER(COS(PI()*MOD(Calculator!$B$34/Calculator!$F$14,1)),2)))/$C80,$C80/(50*POWER(80,POWER(COS(PI()*MOD(Calculator!$B$34/Calculator!$F$14,1)),2)))),2))</f>
        <v>15.08</v>
      </c>
      <c r="BD80" s="120" t="n">
        <f aca="false">IF(OR(Calculator!$E$15&lt;&gt;"YES",Calculator!$B$34&lt;Calculator!$G$15),"—",ROUND(MAX((50*POWER(80,POWER(COS(PI()*MOD(Calculator!$B$34/Calculator!$F$15,1)),2)))/$C80,$C80/(50*POWER(80,POWER(COS(PI()*MOD(Calculator!$B$34/Calculator!$F$15,1)),2)))),2))</f>
        <v>10.13</v>
      </c>
      <c r="BE80" s="120" t="n">
        <f aca="false">IF(OR(Calculator!$E$16&lt;&gt;"YES",Calculator!$B$34&lt;Calculator!$G$16),"—",ROUND(MAX((50*POWER(80,POWER(COS(PI()*MOD(Calculator!$B$34/Calculator!$F$16,1)),2)))/$C80,$C80/(50*POWER(80,POWER(COS(PI()*MOD(Calculator!$B$34/Calculator!$F$16,1)),2)))),2))</f>
        <v>27.62</v>
      </c>
      <c r="BF80" s="120" t="n">
        <f aca="false">IF(OR(Calculator!$E$17&lt;&gt;"YES",Calculator!$B$34&lt;Calculator!$G$17),"—",ROUND(MAX((50*POWER(80,POWER(COS(PI()*MOD(Calculator!$B$34/Calculator!$F$17,1)),2)))/$C80,$C80/(50*POWER(80,POWER(COS(PI()*MOD(Calculator!$B$34/Calculator!$F$17,1)),2)))),2))</f>
        <v>1.09</v>
      </c>
      <c r="BG80" s="120" t="n">
        <f aca="false">IF(OR(Calculator!$E$18&lt;&gt;"YES",Calculator!$B$34&lt;Calculator!$G$18),"—",ROUND(MAX((50*POWER(80,POWER(COS(PI()*MOD(Calculator!$B$34/Calculator!$F$18,1)),2)))/$C80,$C80/(50*POWER(80,POWER(COS(PI()*MOD(Calculator!$B$34/Calculator!$F$18,1)),2)))),2))</f>
        <v>1.2</v>
      </c>
      <c r="BH80" s="120" t="n">
        <f aca="false">IF(OR(Calculator!$E$19&lt;&gt;"YES",Calculator!$B$34&lt;Calculator!$G$19),"—",ROUND(MAX((50*POWER(80,POWER(COS(PI()*MOD(Calculator!$B$34/Calculator!$F$19,1)),2)))/$C80,$C80/(50*POWER(80,POWER(COS(PI()*MOD(Calculator!$B$34/Calculator!$F$19,1)),2)))),2))</f>
        <v>1.09</v>
      </c>
      <c r="BI80" s="120" t="n">
        <f aca="false">IF(OR(Calculator!$E$20&lt;&gt;"YES",Calculator!$B$34&lt;Calculator!$G$20),"—",ROUND(MAX((50*POWER(80,POWER(COS(PI()*MOD(Calculator!$B$34/Calculator!$F$20,1)),2)))/$C80,$C80/(50*POWER(80,POWER(COS(PI()*MOD(Calculator!$B$34/Calculator!$F$20,1)),2)))),2))</f>
        <v>30.04</v>
      </c>
      <c r="BJ80" s="120" t="n">
        <f aca="false">IF(OR(Calculator!$E$21&lt;&gt;"YES",Calculator!$B$34&lt;Calculator!$G$21),"—",ROUND(MAX((50*POWER(80,POWER(COS(PI()*MOD(Calculator!$B$34/Calculator!$F$21,1)),2)))/$C80,$C80/(50*POWER(80,POWER(COS(PI()*MOD(Calculator!$B$34/Calculator!$F$21,1)),2)))),2))</f>
        <v>1.37</v>
      </c>
      <c r="BK80" s="115" t="n">
        <f aca="false">IFERROR(ROUND((IF(ISNUMBER(AZ80),AZ80,0)+IF(ISNUMBER(BA80),BA80,0)+IF(ISNUMBER(BB80),BB80,0)+IF(ISNUMBER(BC80),BC80,0)+IF(ISNUMBER(BD80),BD80,0)+IF(ISNUMBER(BE80),BE80,0)+IF(ISNUMBER(BF80),BF80,0)+IF(ISNUMBER(BG80),BG80,0)+IF(ISNUMBER(BH80),BH80,0)+IF(ISNUMBER(BI80),BI80,0)+IF(ISNUMBER(BJ80),BJ80,0))/(IF(ISNUMBER(AZ80),1,0)+IF(ISNUMBER(BA80),1,0)+IF(ISNUMBER(BB80),1,0)+IF(ISNUMBER(BC80),1,0)+IF(ISNUMBER(BD80),1,0)+IF(ISNUMBER(BE80),1,0)+IF(ISNUMBER(BF80),1,0)+IF(ISNUMBER(BG80),1,0)+IF(ISNUMBER(BH80),1,0)+IF(ISNUMBER(BI80),1,0)+IF(ISNUMBER(BJ80),1,0)),2),"")</f>
        <v>11.14</v>
      </c>
    </row>
    <row r="81" customFormat="false" ht="15" hidden="false" customHeight="false" outlineLevel="0" collapsed="false">
      <c r="A81" s="107" t="s">
        <v>139</v>
      </c>
      <c r="B81" s="108" t="s">
        <v>95</v>
      </c>
      <c r="C81" s="109" t="n">
        <v>2450</v>
      </c>
      <c r="D81" s="110" t="n">
        <f aca="false">IF(OR(Calculator!$E$11&lt;&gt;"YES",Calculator!$B$30&lt;Calculator!$G$11),"—",ROUND(MAX((50*POWER(80,POWER(COS(PI()*MOD(Calculator!$B$30/Calculator!$F$11,1)),2)))/$C81,$C81/(50*POWER(80,POWER(COS(PI()*MOD(Calculator!$B$30/Calculator!$F$11,1)),2)))),2))</f>
        <v>27.74</v>
      </c>
      <c r="E81" s="110" t="n">
        <f aca="false">IF(OR(Calculator!$E$12&lt;&gt;"YES",Calculator!$B$30&lt;Calculator!$G$12),"—",ROUND(MAX((50*POWER(80,POWER(COS(PI()*MOD(Calculator!$B$30/Calculator!$F$12,1)),2)))/$C81,$C81/(50*POWER(80,POWER(COS(PI()*MOD(Calculator!$B$30/Calculator!$F$12,1)),2)))),2))</f>
        <v>2.32</v>
      </c>
      <c r="F81" s="110" t="n">
        <f aca="false">IF(OR(Calculator!$E$13&lt;&gt;"YES",Calculator!$B$30&lt;Calculator!$G$13),"—",ROUND(MAX((50*POWER(80,POWER(COS(PI()*MOD(Calculator!$B$30/Calculator!$F$13,1)),2)))/$C81,$C81/(50*POWER(80,POWER(COS(PI()*MOD(Calculator!$B$30/Calculator!$F$13,1)),2)))),2))</f>
        <v>6.18</v>
      </c>
      <c r="G81" s="110" t="n">
        <f aca="false">IF(OR(Calculator!$E$14&lt;&gt;"YES",Calculator!$B$30&lt;Calculator!$G$14),"—",ROUND(MAX((50*POWER(80,POWER(COS(PI()*MOD(Calculator!$B$30/Calculator!$F$14,1)),2)))/$C81,$C81/(50*POWER(80,POWER(COS(PI()*MOD(Calculator!$B$30/Calculator!$F$14,1)),2)))),2))</f>
        <v>14.47</v>
      </c>
      <c r="H81" s="110" t="n">
        <f aca="false">IF(OR(Calculator!$E$15&lt;&gt;"YES",Calculator!$B$30&lt;Calculator!$G$15),"—",ROUND(MAX((50*POWER(80,POWER(COS(PI()*MOD(Calculator!$B$30/Calculator!$F$15,1)),2)))/$C81,$C81/(50*POWER(80,POWER(COS(PI()*MOD(Calculator!$B$30/Calculator!$F$15,1)),2)))),2))</f>
        <v>9.41</v>
      </c>
      <c r="I81" s="110" t="n">
        <f aca="false">IF(OR(Calculator!$E$16&lt;&gt;"YES",Calculator!$B$30&lt;Calculator!$G$16),"—",ROUND(MAX((50*POWER(80,POWER(COS(PI()*MOD(Calculator!$B$30/Calculator!$F$16,1)),2)))/$C81,$C81/(50*POWER(80,POWER(COS(PI()*MOD(Calculator!$B$30/Calculator!$F$16,1)),2)))),2))</f>
        <v>30.78</v>
      </c>
      <c r="J81" s="110" t="n">
        <f aca="false">IF(OR(Calculator!$E$17&lt;&gt;"YES",Calculator!$B$30&lt;Calculator!$G$17),"—",ROUND(MAX((50*POWER(80,POWER(COS(PI()*MOD(Calculator!$B$30/Calculator!$F$17,1)),2)))/$C81,$C81/(50*POWER(80,POWER(COS(PI()*MOD(Calculator!$B$30/Calculator!$F$17,1)),2)))),2))</f>
        <v>1.04</v>
      </c>
      <c r="K81" s="110" t="n">
        <f aca="false">IF(OR(Calculator!$E$18&lt;&gt;"YES",Calculator!$B$30&lt;Calculator!$G$18),"—",ROUND(MAX((50*POWER(80,POWER(COS(PI()*MOD(Calculator!$B$30/Calculator!$F$18,1)),2)))/$C81,$C81/(50*POWER(80,POWER(COS(PI()*MOD(Calculator!$B$30/Calculator!$F$18,1)),2)))),2))</f>
        <v>1.04</v>
      </c>
      <c r="L81" s="110" t="n">
        <f aca="false">IF(OR(Calculator!$E$19&lt;&gt;"YES",Calculator!$B$30&lt;Calculator!$G$19),"—",ROUND(MAX((50*POWER(80,POWER(COS(PI()*MOD(Calculator!$B$30/Calculator!$F$19,1)),2)))/$C81,$C81/(50*POWER(80,POWER(COS(PI()*MOD(Calculator!$B$30/Calculator!$F$19,1)),2)))),2))</f>
        <v>1.05</v>
      </c>
      <c r="M81" s="110" t="n">
        <f aca="false">IF(OR(Calculator!$E$20&lt;&gt;"YES",Calculator!$B$30&lt;Calculator!$G$20),"—",ROUND(MAX((50*POWER(80,POWER(COS(PI()*MOD(Calculator!$B$30/Calculator!$F$20,1)),2)))/$C81,$C81/(50*POWER(80,POWER(COS(PI()*MOD(Calculator!$B$30/Calculator!$F$20,1)),2)))),2))</f>
        <v>25.47</v>
      </c>
      <c r="N81" s="110" t="n">
        <f aca="false">IF(OR(Calculator!$E$21&lt;&gt;"YES",Calculator!$B$30&lt;Calculator!$G$21),"—",ROUND(MAX((50*POWER(80,POWER(COS(PI()*MOD(Calculator!$B$30/Calculator!$F$21,1)),2)))/$C81,$C81/(50*POWER(80,POWER(COS(PI()*MOD(Calculator!$B$30/Calculator!$F$21,1)),2)))),2))</f>
        <v>1.03</v>
      </c>
      <c r="O81" s="111" t="n">
        <f aca="false">IFERROR(ROUND((IF(ISNUMBER(D81),D81,0)+IF(ISNUMBER(E81),E81,0)+IF(ISNUMBER(F81),F81,0)+IF(ISNUMBER(G81),G81,0)+IF(ISNUMBER(H81),H81,0)+IF(ISNUMBER(I81),I81,0)+IF(ISNUMBER(J81),J81,0)+IF(ISNUMBER(K81),K81,0)+IF(ISNUMBER(L81),L81,0)+IF(ISNUMBER(M81),M81,0)+IF(ISNUMBER(N81),N81,0))/(IF(ISNUMBER(D81),1,0)+IF(ISNUMBER(E81),1,0)+IF(ISNUMBER(F81),1,0)+IF(ISNUMBER(G81),1,0)+IF(ISNUMBER(H81),1,0)+IF(ISNUMBER(I81),1,0)+IF(ISNUMBER(J81),1,0)+IF(ISNUMBER(K81),1,0)+IF(ISNUMBER(L81),1,0)+IF(ISNUMBER(M81),1,0)+IF(ISNUMBER(N81),1,0)),2),"")</f>
        <v>10.96</v>
      </c>
      <c r="P81" s="110" t="n">
        <f aca="false">IF(OR(Calculator!$E$11&lt;&gt;"YES",Calculator!$B$31&lt;Calculator!$G$11),"—",ROUND(MAX((50*POWER(80,POWER(COS(PI()*MOD(Calculator!$B$31/Calculator!$F$11,1)),2)))/$C81,$C81/(50*POWER(80,POWER(COS(PI()*MOD(Calculator!$B$31/Calculator!$F$11,1)),2)))),2))</f>
        <v>28.08</v>
      </c>
      <c r="Q81" s="110" t="n">
        <f aca="false">IF(OR(Calculator!$E$12&lt;&gt;"YES",Calculator!$B$31&lt;Calculator!$G$12),"—",ROUND(MAX((50*POWER(80,POWER(COS(PI()*MOD(Calculator!$B$31/Calculator!$F$12,1)),2)))/$C81,$C81/(50*POWER(80,POWER(COS(PI()*MOD(Calculator!$B$31/Calculator!$F$12,1)),2)))),2))</f>
        <v>2.25</v>
      </c>
      <c r="R81" s="110" t="n">
        <f aca="false">IF(OR(Calculator!$E$13&lt;&gt;"YES",Calculator!$B$31&lt;Calculator!$G$13),"—",ROUND(MAX((50*POWER(80,POWER(COS(PI()*MOD(Calculator!$B$31/Calculator!$F$13,1)),2)))/$C81,$C81/(50*POWER(80,POWER(COS(PI()*MOD(Calculator!$B$31/Calculator!$F$13,1)),2)))),2))</f>
        <v>6.51</v>
      </c>
      <c r="S81" s="110" t="n">
        <f aca="false">IF(OR(Calculator!$E$14&lt;&gt;"YES",Calculator!$B$31&lt;Calculator!$G$14),"—",ROUND(MAX((50*POWER(80,POWER(COS(PI()*MOD(Calculator!$B$31/Calculator!$F$14,1)),2)))/$C81,$C81/(50*POWER(80,POWER(COS(PI()*MOD(Calculator!$B$31/Calculator!$F$14,1)),2)))),2))</f>
        <v>13.6</v>
      </c>
      <c r="T81" s="110" t="n">
        <f aca="false">IF(OR(Calculator!$E$15&lt;&gt;"YES",Calculator!$B$31&lt;Calculator!$G$15),"—",ROUND(MAX((50*POWER(80,POWER(COS(PI()*MOD(Calculator!$B$31/Calculator!$F$15,1)),2)))/$C81,$C81/(50*POWER(80,POWER(COS(PI()*MOD(Calculator!$B$31/Calculator!$F$15,1)),2)))),2))</f>
        <v>8.56</v>
      </c>
      <c r="U81" s="110" t="n">
        <f aca="false">IF(OR(Calculator!$E$16&lt;&gt;"YES",Calculator!$B$31&lt;Calculator!$G$16),"—",ROUND(MAX((50*POWER(80,POWER(COS(PI()*MOD(Calculator!$B$31/Calculator!$F$16,1)),2)))/$C81,$C81/(50*POWER(80,POWER(COS(PI()*MOD(Calculator!$B$31/Calculator!$F$16,1)),2)))),2))</f>
        <v>33.37</v>
      </c>
      <c r="V81" s="110" t="n">
        <f aca="false">IF(OR(Calculator!$E$17&lt;&gt;"YES",Calculator!$B$31&lt;Calculator!$G$17),"—",ROUND(MAX((50*POWER(80,POWER(COS(PI()*MOD(Calculator!$B$31/Calculator!$F$17,1)),2)))/$C81,$C81/(50*POWER(80,POWER(COS(PI()*MOD(Calculator!$B$31/Calculator!$F$17,1)),2)))),2))</f>
        <v>1.17</v>
      </c>
      <c r="W81" s="110" t="n">
        <f aca="false">IF(OR(Calculator!$E$18&lt;&gt;"YES",Calculator!$B$31&lt;Calculator!$G$18),"—",ROUND(MAX((50*POWER(80,POWER(COS(PI()*MOD(Calculator!$B$31/Calculator!$F$18,1)),2)))/$C81,$C81/(50*POWER(80,POWER(COS(PI()*MOD(Calculator!$B$31/Calculator!$F$18,1)),2)))),2))</f>
        <v>1.1</v>
      </c>
      <c r="X81" s="110" t="n">
        <f aca="false">IF(OR(Calculator!$E$19&lt;&gt;"YES",Calculator!$B$31&lt;Calculator!$G$19),"—",ROUND(MAX((50*POWER(80,POWER(COS(PI()*MOD(Calculator!$B$31/Calculator!$F$19,1)),2)))/$C81,$C81/(50*POWER(80,POWER(COS(PI()*MOD(Calculator!$B$31/Calculator!$F$19,1)),2)))),2))</f>
        <v>1.2</v>
      </c>
      <c r="Y81" s="110" t="n">
        <f aca="false">IF(OR(Calculator!$E$20&lt;&gt;"YES",Calculator!$B$31&lt;Calculator!$G$20),"—",ROUND(MAX((50*POWER(80,POWER(COS(PI()*MOD(Calculator!$B$31/Calculator!$F$20,1)),2)))/$C81,$C81/(50*POWER(80,POWER(COS(PI()*MOD(Calculator!$B$31/Calculator!$F$20,1)),2)))),2))</f>
        <v>20.64</v>
      </c>
      <c r="Z81" s="110" t="n">
        <f aca="false">IF(OR(Calculator!$E$21&lt;&gt;"YES",Calculator!$B$31&lt;Calculator!$G$21),"—",ROUND(MAX((50*POWER(80,POWER(COS(PI()*MOD(Calculator!$B$31/Calculator!$F$21,1)),2)))/$C81,$C81/(50*POWER(80,POWER(COS(PI()*MOD(Calculator!$B$31/Calculator!$F$21,1)),2)))),2))</f>
        <v>1.37</v>
      </c>
      <c r="AA81" s="111" t="n">
        <f aca="false">IFERROR(ROUND((IF(ISNUMBER(P81),P81,0)+IF(ISNUMBER(Q81),Q81,0)+IF(ISNUMBER(R81),R81,0)+IF(ISNUMBER(S81),S81,0)+IF(ISNUMBER(T81),T81,0)+IF(ISNUMBER(U81),U81,0)+IF(ISNUMBER(V81),V81,0)+IF(ISNUMBER(W81),W81,0)+IF(ISNUMBER(X81),X81,0)+IF(ISNUMBER(Y81),Y81,0)+IF(ISNUMBER(Z81),Z81,0))/(IF(ISNUMBER(P81),1,0)+IF(ISNUMBER(Q81),1,0)+IF(ISNUMBER(R81),1,0)+IF(ISNUMBER(S81),1,0)+IF(ISNUMBER(T81),1,0)+IF(ISNUMBER(U81),1,0)+IF(ISNUMBER(V81),1,0)+IF(ISNUMBER(W81),1,0)+IF(ISNUMBER(X81),1,0)+IF(ISNUMBER(Y81),1,0)+IF(ISNUMBER(Z81),1,0)),2),"")</f>
        <v>10.71</v>
      </c>
      <c r="AB81" s="110" t="n">
        <f aca="false">IF(OR(Calculator!$E$11&lt;&gt;"YES",Calculator!$B$32&lt;Calculator!$G$11),"—",ROUND(MAX((50*POWER(80,POWER(COS(PI()*MOD(Calculator!$B$32/Calculator!$F$11,1)),2)))/$C81,$C81/(50*POWER(80,POWER(COS(PI()*MOD(Calculator!$B$32/Calculator!$F$11,1)),2)))),2))</f>
        <v>35.35</v>
      </c>
      <c r="AC81" s="110" t="n">
        <f aca="false">IF(OR(Calculator!$E$12&lt;&gt;"YES",Calculator!$B$32&lt;Calculator!$G$12),"—",ROUND(MAX((50*POWER(80,POWER(COS(PI()*MOD(Calculator!$B$32/Calculator!$F$12,1)),2)))/$C81,$C81/(50*POWER(80,POWER(COS(PI()*MOD(Calculator!$B$32/Calculator!$F$12,1)),2)))),2))</f>
        <v>1.22</v>
      </c>
      <c r="AD81" s="110" t="n">
        <f aca="false">IF(OR(Calculator!$E$13&lt;&gt;"YES",Calculator!$B$32&lt;Calculator!$G$13),"—",ROUND(MAX((50*POWER(80,POWER(COS(PI()*MOD(Calculator!$B$32/Calculator!$F$13,1)),2)))/$C81,$C81/(50*POWER(80,POWER(COS(PI()*MOD(Calculator!$B$32/Calculator!$F$13,1)),2)))),2))</f>
        <v>18.04</v>
      </c>
      <c r="AE81" s="110" t="n">
        <f aca="false">IF(OR(Calculator!$E$14&lt;&gt;"YES",Calculator!$B$32&lt;Calculator!$G$14),"—",ROUND(MAX((50*POWER(80,POWER(COS(PI()*MOD(Calculator!$B$32/Calculator!$F$14,1)),2)))/$C81,$C81/(50*POWER(80,POWER(COS(PI()*MOD(Calculator!$B$32/Calculator!$F$14,1)),2)))),2))</f>
        <v>3.3</v>
      </c>
      <c r="AF81" s="110" t="n">
        <f aca="false">IF(OR(Calculator!$E$15&lt;&gt;"YES",Calculator!$B$32&lt;Calculator!$G$15),"—",ROUND(MAX((50*POWER(80,POWER(COS(PI()*MOD(Calculator!$B$32/Calculator!$F$15,1)),2)))/$C81,$C81/(50*POWER(80,POWER(COS(PI()*MOD(Calculator!$B$32/Calculator!$F$15,1)),2)))),2))</f>
        <v>1.27</v>
      </c>
      <c r="AG81" s="110" t="n">
        <f aca="false">IF(OR(Calculator!$E$16&lt;&gt;"YES",Calculator!$B$32&lt;Calculator!$G$16),"—",ROUND(MAX((50*POWER(80,POWER(COS(PI()*MOD(Calculator!$B$32/Calculator!$F$16,1)),2)))/$C81,$C81/(50*POWER(80,POWER(COS(PI()*MOD(Calculator!$B$32/Calculator!$F$16,1)),2)))),2))</f>
        <v>28.8</v>
      </c>
      <c r="AH81" s="110" t="n">
        <f aca="false">IF(OR(Calculator!$E$17&lt;&gt;"YES",Calculator!$B$32&lt;Calculator!$G$17),"—",ROUND(MAX((50*POWER(80,POWER(COS(PI()*MOD(Calculator!$B$32/Calculator!$F$17,1)),2)))/$C81,$C81/(50*POWER(80,POWER(COS(PI()*MOD(Calculator!$B$32/Calculator!$F$17,1)),2)))),2))</f>
        <v>30.41</v>
      </c>
      <c r="AI81" s="110" t="n">
        <f aca="false">IF(OR(Calculator!$E$18&lt;&gt;"YES",Calculator!$B$32&lt;Calculator!$G$18),"—",ROUND(MAX((50*POWER(80,POWER(COS(PI()*MOD(Calculator!$B$32/Calculator!$F$18,1)),2)))/$C81,$C81/(50*POWER(80,POWER(COS(PI()*MOD(Calculator!$B$32/Calculator!$F$18,1)),2)))),2))</f>
        <v>40.11</v>
      </c>
      <c r="AJ81" s="110" t="n">
        <f aca="false">IF(OR(Calculator!$E$19&lt;&gt;"YES",Calculator!$B$32&lt;Calculator!$G$19),"—",ROUND(MAX((50*POWER(80,POWER(COS(PI()*MOD(Calculator!$B$32/Calculator!$F$19,1)),2)))/$C81,$C81/(50*POWER(80,POWER(COS(PI()*MOD(Calculator!$B$32/Calculator!$F$19,1)),2)))),2))</f>
        <v>8.45</v>
      </c>
      <c r="AK81" s="110" t="n">
        <f aca="false">IF(OR(Calculator!$E$20&lt;&gt;"YES",Calculator!$B$32&lt;Calculator!$G$20),"—",ROUND(MAX((50*POWER(80,POWER(COS(PI()*MOD(Calculator!$B$32/Calculator!$F$20,1)),2)))/$C81,$C81/(50*POWER(80,POWER(COS(PI()*MOD(Calculator!$B$32/Calculator!$F$20,1)),2)))),2))</f>
        <v>1.31</v>
      </c>
      <c r="AL81" s="110" t="n">
        <f aca="false">IF(OR(Calculator!$E$21&lt;&gt;"YES",Calculator!$B$32&lt;Calculator!$G$21),"—",ROUND(MAX((50*POWER(80,POWER(COS(PI()*MOD(Calculator!$B$32/Calculator!$F$21,1)),2)))/$C81,$C81/(50*POWER(80,POWER(COS(PI()*MOD(Calculator!$B$32/Calculator!$F$21,1)),2)))),2))</f>
        <v>1.14</v>
      </c>
      <c r="AM81" s="112" t="n">
        <f aca="false">IFERROR(ROUND((IF(ISNUMBER(AB81),AB81,0)+IF(ISNUMBER(AC81),AC81,0)+IF(ISNUMBER(AD81),AD81,0)+IF(ISNUMBER(AE81),AE81,0)+IF(ISNUMBER(AF81),AF81,0)+IF(ISNUMBER(AG81),AG81,0)+IF(ISNUMBER(AH81),AH81,0)+IF(ISNUMBER(AI81),AI81,0)+IF(ISNUMBER(AJ81),AJ81,0)+IF(ISNUMBER(AK81),AK81,0)+IF(ISNUMBER(AL81),AL81,0))/(IF(ISNUMBER(AB81),1,0)+IF(ISNUMBER(AC81),1,0)+IF(ISNUMBER(AD81),1,0)+IF(ISNUMBER(AE81),1,0)+IF(ISNUMBER(AF81),1,0)+IF(ISNUMBER(AG81),1,0)+IF(ISNUMBER(AH81),1,0)+IF(ISNUMBER(AI81),1,0)+IF(ISNUMBER(AJ81),1,0)+IF(ISNUMBER(AK81),1,0)+IF(ISNUMBER(AL81),1,0)),2),"")</f>
        <v>15.4</v>
      </c>
      <c r="AN81" s="113" t="n">
        <f aca="false">IF(OR(Calculator!$E$11&lt;&gt;"YES",Calculator!$B$33&lt;Calculator!$G$11),"—",ROUND(MAX((50*POWER(80,POWER(COS(PI()*MOD(Calculator!$B$33/Calculator!$F$11,1)),2)))/$C81,$C81/(50*POWER(80,POWER(COS(PI()*MOD(Calculator!$B$33/Calculator!$F$11,1)),2)))),2))</f>
        <v>28.43</v>
      </c>
      <c r="AO81" s="113" t="n">
        <f aca="false">IF(OR(Calculator!$E$12&lt;&gt;"YES",Calculator!$B$33&lt;Calculator!$G$12),"—",ROUND(MAX((50*POWER(80,POWER(COS(PI()*MOD(Calculator!$B$33/Calculator!$F$12,1)),2)))/$C81,$C81/(50*POWER(80,POWER(COS(PI()*MOD(Calculator!$B$33/Calculator!$F$12,1)),2)))),2))</f>
        <v>2.18</v>
      </c>
      <c r="AP81" s="113" t="n">
        <f aca="false">IF(OR(Calculator!$E$13&lt;&gt;"YES",Calculator!$B$33&lt;Calculator!$G$13),"—",ROUND(MAX((50*POWER(80,POWER(COS(PI()*MOD(Calculator!$B$33/Calculator!$F$13,1)),2)))/$C81,$C81/(50*POWER(80,POWER(COS(PI()*MOD(Calculator!$B$33/Calculator!$F$13,1)),2)))),2))</f>
        <v>6.86</v>
      </c>
      <c r="AQ81" s="113" t="n">
        <f aca="false">IF(OR(Calculator!$E$14&lt;&gt;"YES",Calculator!$B$33&lt;Calculator!$G$14),"—",ROUND(MAX((50*POWER(80,POWER(COS(PI()*MOD(Calculator!$B$33/Calculator!$F$14,1)),2)))/$C81,$C81/(50*POWER(80,POWER(COS(PI()*MOD(Calculator!$B$33/Calculator!$F$14,1)),2)))),2))</f>
        <v>12.77</v>
      </c>
      <c r="AR81" s="113" t="n">
        <f aca="false">IF(OR(Calculator!$E$15&lt;&gt;"YES",Calculator!$B$33&lt;Calculator!$G$15),"—",ROUND(MAX((50*POWER(80,POWER(COS(PI()*MOD(Calculator!$B$33/Calculator!$F$15,1)),2)))/$C81,$C81/(50*POWER(80,POWER(COS(PI()*MOD(Calculator!$B$33/Calculator!$F$15,1)),2)))),2))</f>
        <v>7.77</v>
      </c>
      <c r="AS81" s="113" t="n">
        <f aca="false">IF(OR(Calculator!$E$16&lt;&gt;"YES",Calculator!$B$33&lt;Calculator!$G$16),"—",ROUND(MAX((50*POWER(80,POWER(COS(PI()*MOD(Calculator!$B$33/Calculator!$F$16,1)),2)))/$C81,$C81/(50*POWER(80,POWER(COS(PI()*MOD(Calculator!$B$33/Calculator!$F$16,1)),2)))),2))</f>
        <v>35.93</v>
      </c>
      <c r="AT81" s="113" t="n">
        <f aca="false">IF(OR(Calculator!$E$17&lt;&gt;"YES",Calculator!$B$33&lt;Calculator!$G$17),"—",ROUND(MAX((50*POWER(80,POWER(COS(PI()*MOD(Calculator!$B$33/Calculator!$F$17,1)),2)))/$C81,$C81/(50*POWER(80,POWER(COS(PI()*MOD(Calculator!$B$33/Calculator!$F$17,1)),2)))),2))</f>
        <v>1.34</v>
      </c>
      <c r="AU81" s="113" t="n">
        <f aca="false">IF(OR(Calculator!$E$18&lt;&gt;"YES",Calculator!$B$33&lt;Calculator!$G$18),"—",ROUND(MAX((50*POWER(80,POWER(COS(PI()*MOD(Calculator!$B$33/Calculator!$F$18,1)),2)))/$C81,$C81/(50*POWER(80,POWER(COS(PI()*MOD(Calculator!$B$33/Calculator!$F$18,1)),2)))),2))</f>
        <v>1.27</v>
      </c>
      <c r="AV81" s="113" t="n">
        <f aca="false">IF(OR(Calculator!$E$19&lt;&gt;"YES",Calculator!$B$33&lt;Calculator!$G$19),"—",ROUND(MAX((50*POWER(80,POWER(COS(PI()*MOD(Calculator!$B$33/Calculator!$F$19,1)),2)))/$C81,$C81/(50*POWER(80,POWER(COS(PI()*MOD(Calculator!$B$33/Calculator!$F$19,1)),2)))),2))</f>
        <v>1.34</v>
      </c>
      <c r="AW81" s="113" t="n">
        <f aca="false">IF(OR(Calculator!$E$20&lt;&gt;"YES",Calculator!$B$33&lt;Calculator!$G$20),"—",ROUND(MAX((50*POWER(80,POWER(COS(PI()*MOD(Calculator!$B$33/Calculator!$F$20,1)),2)))/$C81,$C81/(50*POWER(80,POWER(COS(PI()*MOD(Calculator!$B$33/Calculator!$F$20,1)),2)))),2))</f>
        <v>16.36</v>
      </c>
      <c r="AX81" s="113" t="n">
        <f aca="false">IF(OR(Calculator!$E$21&lt;&gt;"YES",Calculator!$B$33&lt;Calculator!$G$21),"—",ROUND(MAX((50*POWER(80,POWER(COS(PI()*MOD(Calculator!$B$33/Calculator!$F$21,1)),2)))/$C81,$C81/(50*POWER(80,POWER(COS(PI()*MOD(Calculator!$B$33/Calculator!$F$21,1)),2)))),2))</f>
        <v>2.09</v>
      </c>
      <c r="AY81" s="112" t="n">
        <f aca="false">IFERROR(ROUND((IF(ISNUMBER(AN81),AN81,0)+IF(ISNUMBER(AO81),AO81,0)+IF(ISNUMBER(AP81),AP81,0)+IF(ISNUMBER(AQ81),AQ81,0)+IF(ISNUMBER(AR81),AR81,0)+IF(ISNUMBER(AS81),AS81,0)+IF(ISNUMBER(AT81),AT81,0)+IF(ISNUMBER(AU81),AU81,0)+IF(ISNUMBER(AV81),AV81,0)+IF(ISNUMBER(AW81),AW81,0)+IF(ISNUMBER(AX81),AX81,0))/(IF(ISNUMBER(AN81),1,0)+IF(ISNUMBER(AO81),1,0)+IF(ISNUMBER(AP81),1,0)+IF(ISNUMBER(AQ81),1,0)+IF(ISNUMBER(AR81),1,0)+IF(ISNUMBER(AS81),1,0)+IF(ISNUMBER(AT81),1,0)+IF(ISNUMBER(AU81),1,0)+IF(ISNUMBER(AV81),1,0)+IF(ISNUMBER(AW81),1,0)+IF(ISNUMBER(AX81),1,0)),2),"")</f>
        <v>10.58</v>
      </c>
      <c r="AZ81" s="113" t="n">
        <f aca="false">IF(OR(Calculator!$E$11&lt;&gt;"YES",Calculator!$B$34&lt;Calculator!$G$11),"—",ROUND(MAX((50*POWER(80,POWER(COS(PI()*MOD(Calculator!$B$34/Calculator!$F$11,1)),2)))/$C81,$C81/(50*POWER(80,POWER(COS(PI()*MOD(Calculator!$B$34/Calculator!$F$11,1)),2)))),2))</f>
        <v>27.4</v>
      </c>
      <c r="BA81" s="113" t="n">
        <f aca="false">IF(OR(Calculator!$E$12&lt;&gt;"YES",Calculator!$B$34&lt;Calculator!$G$12),"—",ROUND(MAX((50*POWER(80,POWER(COS(PI()*MOD(Calculator!$B$34/Calculator!$F$12,1)),2)))/$C81,$C81/(50*POWER(80,POWER(COS(PI()*MOD(Calculator!$B$34/Calculator!$F$12,1)),2)))),2))</f>
        <v>2.4</v>
      </c>
      <c r="BB81" s="113" t="n">
        <f aca="false">IF(OR(Calculator!$E$13&lt;&gt;"YES",Calculator!$B$34&lt;Calculator!$G$13),"—",ROUND(MAX((50*POWER(80,POWER(COS(PI()*MOD(Calculator!$B$34/Calculator!$F$13,1)),2)))/$C81,$C81/(50*POWER(80,POWER(COS(PI()*MOD(Calculator!$B$34/Calculator!$F$13,1)),2)))),2))</f>
        <v>5.87</v>
      </c>
      <c r="BC81" s="113" t="n">
        <f aca="false">IF(OR(Calculator!$E$14&lt;&gt;"YES",Calculator!$B$34&lt;Calculator!$G$14),"—",ROUND(MAX((50*POWER(80,POWER(COS(PI()*MOD(Calculator!$B$34/Calculator!$F$14,1)),2)))/$C81,$C81/(50*POWER(80,POWER(COS(PI()*MOD(Calculator!$B$34/Calculator!$F$14,1)),2)))),2))</f>
        <v>15.39</v>
      </c>
      <c r="BD81" s="113" t="n">
        <f aca="false">IF(OR(Calculator!$E$15&lt;&gt;"YES",Calculator!$B$34&lt;Calculator!$G$15),"—",ROUND(MAX((50*POWER(80,POWER(COS(PI()*MOD(Calculator!$B$34/Calculator!$F$15,1)),2)))/$C81,$C81/(50*POWER(80,POWER(COS(PI()*MOD(Calculator!$B$34/Calculator!$F$15,1)),2)))),2))</f>
        <v>10.34</v>
      </c>
      <c r="BE81" s="113" t="n">
        <f aca="false">IF(OR(Calculator!$E$16&lt;&gt;"YES",Calculator!$B$34&lt;Calculator!$G$16),"—",ROUND(MAX((50*POWER(80,POWER(COS(PI()*MOD(Calculator!$B$34/Calculator!$F$16,1)),2)))/$C81,$C81/(50*POWER(80,POWER(COS(PI()*MOD(Calculator!$B$34/Calculator!$F$16,1)),2)))),2))</f>
        <v>28.19</v>
      </c>
      <c r="BF81" s="113" t="n">
        <f aca="false">IF(OR(Calculator!$E$17&lt;&gt;"YES",Calculator!$B$34&lt;Calculator!$G$17),"—",ROUND(MAX((50*POWER(80,POWER(COS(PI()*MOD(Calculator!$B$34/Calculator!$F$17,1)),2)))/$C81,$C81/(50*POWER(80,POWER(COS(PI()*MOD(Calculator!$B$34/Calculator!$F$17,1)),2)))),2))</f>
        <v>1.07</v>
      </c>
      <c r="BG81" s="113" t="n">
        <f aca="false">IF(OR(Calculator!$E$18&lt;&gt;"YES",Calculator!$B$34&lt;Calculator!$G$18),"—",ROUND(MAX((50*POWER(80,POWER(COS(PI()*MOD(Calculator!$B$34/Calculator!$F$18,1)),2)))/$C81,$C81/(50*POWER(80,POWER(COS(PI()*MOD(Calculator!$B$34/Calculator!$F$18,1)),2)))),2))</f>
        <v>1.17</v>
      </c>
      <c r="BH81" s="113" t="n">
        <f aca="false">IF(OR(Calculator!$E$19&lt;&gt;"YES",Calculator!$B$34&lt;Calculator!$G$19),"—",ROUND(MAX((50*POWER(80,POWER(COS(PI()*MOD(Calculator!$B$34/Calculator!$F$19,1)),2)))/$C81,$C81/(50*POWER(80,POWER(COS(PI()*MOD(Calculator!$B$34/Calculator!$F$19,1)),2)))),2))</f>
        <v>1.12</v>
      </c>
      <c r="BI81" s="113" t="n">
        <f aca="false">IF(OR(Calculator!$E$20&lt;&gt;"YES",Calculator!$B$34&lt;Calculator!$G$20),"—",ROUND(MAX((50*POWER(80,POWER(COS(PI()*MOD(Calculator!$B$34/Calculator!$F$20,1)),2)))/$C81,$C81/(50*POWER(80,POWER(COS(PI()*MOD(Calculator!$B$34/Calculator!$F$20,1)),2)))),2))</f>
        <v>30.67</v>
      </c>
      <c r="BJ81" s="113" t="n">
        <f aca="false">IF(OR(Calculator!$E$21&lt;&gt;"YES",Calculator!$B$34&lt;Calculator!$G$21),"—",ROUND(MAX((50*POWER(80,POWER(COS(PI()*MOD(Calculator!$B$34/Calculator!$F$21,1)),2)))/$C81,$C81/(50*POWER(80,POWER(COS(PI()*MOD(Calculator!$B$34/Calculator!$F$21,1)),2)))),2))</f>
        <v>1.34</v>
      </c>
      <c r="BK81" s="112" t="n">
        <f aca="false">IFERROR(ROUND((IF(ISNUMBER(AZ81),AZ81,0)+IF(ISNUMBER(BA81),BA81,0)+IF(ISNUMBER(BB81),BB81,0)+IF(ISNUMBER(BC81),BC81,0)+IF(ISNUMBER(BD81),BD81,0)+IF(ISNUMBER(BE81),BE81,0)+IF(ISNUMBER(BF81),BF81,0)+IF(ISNUMBER(BG81),BG81,0)+IF(ISNUMBER(BH81),BH81,0)+IF(ISNUMBER(BI81),BI81,0)+IF(ISNUMBER(BJ81),BJ81,0))/(IF(ISNUMBER(AZ81),1,0)+IF(ISNUMBER(BA81),1,0)+IF(ISNUMBER(BB81),1,0)+IF(ISNUMBER(BC81),1,0)+IF(ISNUMBER(BD81),1,0)+IF(ISNUMBER(BE81),1,0)+IF(ISNUMBER(BF81),1,0)+IF(ISNUMBER(BG81),1,0)+IF(ISNUMBER(BH81),1,0)+IF(ISNUMBER(BI81),1,0)+IF(ISNUMBER(BJ81),1,0)),2),"")</f>
        <v>11.36</v>
      </c>
    </row>
    <row r="82" customFormat="false" ht="15" hidden="false" customHeight="false" outlineLevel="0" collapsed="false">
      <c r="A82" s="117" t="s">
        <v>140</v>
      </c>
      <c r="B82" s="117" t="s">
        <v>93</v>
      </c>
      <c r="C82" s="118" t="n">
        <v>2500</v>
      </c>
      <c r="D82" s="119" t="n">
        <f aca="false">IF(OR(Calculator!$E$11&lt;&gt;"YES",Calculator!$B$30&lt;Calculator!$G$11),"—",ROUND(MAX((50*POWER(80,POWER(COS(PI()*MOD(Calculator!$B$30/Calculator!$F$11,1)),2)))/$C82,$C82/(50*POWER(80,POWER(COS(PI()*MOD(Calculator!$B$30/Calculator!$F$11,1)),2)))),2))</f>
        <v>28.31</v>
      </c>
      <c r="E82" s="119" t="n">
        <f aca="false">IF(OR(Calculator!$E$12&lt;&gt;"YES",Calculator!$B$30&lt;Calculator!$G$12),"—",ROUND(MAX((50*POWER(80,POWER(COS(PI()*MOD(Calculator!$B$30/Calculator!$F$12,1)),2)))/$C82,$C82/(50*POWER(80,POWER(COS(PI()*MOD(Calculator!$B$30/Calculator!$F$12,1)),2)))),2))</f>
        <v>2.37</v>
      </c>
      <c r="F82" s="119" t="n">
        <f aca="false">IF(OR(Calculator!$E$13&lt;&gt;"YES",Calculator!$B$30&lt;Calculator!$G$13),"—",ROUND(MAX((50*POWER(80,POWER(COS(PI()*MOD(Calculator!$B$30/Calculator!$F$13,1)),2)))/$C82,$C82/(50*POWER(80,POWER(COS(PI()*MOD(Calculator!$B$30/Calculator!$F$13,1)),2)))),2))</f>
        <v>6.31</v>
      </c>
      <c r="G82" s="119" t="n">
        <f aca="false">IF(OR(Calculator!$E$14&lt;&gt;"YES",Calculator!$B$30&lt;Calculator!$G$14),"—",ROUND(MAX((50*POWER(80,POWER(COS(PI()*MOD(Calculator!$B$30/Calculator!$F$14,1)),2)))/$C82,$C82/(50*POWER(80,POWER(COS(PI()*MOD(Calculator!$B$30/Calculator!$F$14,1)),2)))),2))</f>
        <v>14.77</v>
      </c>
      <c r="H82" s="119" t="n">
        <f aca="false">IF(OR(Calculator!$E$15&lt;&gt;"YES",Calculator!$B$30&lt;Calculator!$G$15),"—",ROUND(MAX((50*POWER(80,POWER(COS(PI()*MOD(Calculator!$B$30/Calculator!$F$15,1)),2)))/$C82,$C82/(50*POWER(80,POWER(COS(PI()*MOD(Calculator!$B$30/Calculator!$F$15,1)),2)))),2))</f>
        <v>9.61</v>
      </c>
      <c r="I82" s="119" t="n">
        <f aca="false">IF(OR(Calculator!$E$16&lt;&gt;"YES",Calculator!$B$30&lt;Calculator!$G$16),"—",ROUND(MAX((50*POWER(80,POWER(COS(PI()*MOD(Calculator!$B$30/Calculator!$F$16,1)),2)))/$C82,$C82/(50*POWER(80,POWER(COS(PI()*MOD(Calculator!$B$30/Calculator!$F$16,1)),2)))),2))</f>
        <v>31.4</v>
      </c>
      <c r="J82" s="119" t="n">
        <f aca="false">IF(OR(Calculator!$E$17&lt;&gt;"YES",Calculator!$B$30&lt;Calculator!$G$17),"—",ROUND(MAX((50*POWER(80,POWER(COS(PI()*MOD(Calculator!$B$30/Calculator!$F$17,1)),2)))/$C82,$C82/(50*POWER(80,POWER(COS(PI()*MOD(Calculator!$B$30/Calculator!$F$17,1)),2)))),2))</f>
        <v>1.06</v>
      </c>
      <c r="K82" s="119" t="n">
        <f aca="false">IF(OR(Calculator!$E$18&lt;&gt;"YES",Calculator!$B$30&lt;Calculator!$G$18),"—",ROUND(MAX((50*POWER(80,POWER(COS(PI()*MOD(Calculator!$B$30/Calculator!$F$18,1)),2)))/$C82,$C82/(50*POWER(80,POWER(COS(PI()*MOD(Calculator!$B$30/Calculator!$F$18,1)),2)))),2))</f>
        <v>1.02</v>
      </c>
      <c r="L82" s="119" t="n">
        <f aca="false">IF(OR(Calculator!$E$19&lt;&gt;"YES",Calculator!$B$30&lt;Calculator!$G$19),"—",ROUND(MAX((50*POWER(80,POWER(COS(PI()*MOD(Calculator!$B$30/Calculator!$F$19,1)),2)))/$C82,$C82/(50*POWER(80,POWER(COS(PI()*MOD(Calculator!$B$30/Calculator!$F$19,1)),2)))),2))</f>
        <v>1.02</v>
      </c>
      <c r="M82" s="119" t="n">
        <f aca="false">IF(OR(Calculator!$E$20&lt;&gt;"YES",Calculator!$B$30&lt;Calculator!$G$20),"—",ROUND(MAX((50*POWER(80,POWER(COS(PI()*MOD(Calculator!$B$30/Calculator!$F$20,1)),2)))/$C82,$C82/(50*POWER(80,POWER(COS(PI()*MOD(Calculator!$B$30/Calculator!$F$20,1)),2)))),2))</f>
        <v>25.99</v>
      </c>
      <c r="N82" s="119" t="n">
        <f aca="false">IF(OR(Calculator!$E$21&lt;&gt;"YES",Calculator!$B$30&lt;Calculator!$G$21),"—",ROUND(MAX((50*POWER(80,POWER(COS(PI()*MOD(Calculator!$B$30/Calculator!$F$21,1)),2)))/$C82,$C82/(50*POWER(80,POWER(COS(PI()*MOD(Calculator!$B$30/Calculator!$F$21,1)),2)))),2))</f>
        <v>1.01</v>
      </c>
      <c r="O82" s="114" t="n">
        <f aca="false">IFERROR(ROUND((IF(ISNUMBER(D82),D82,0)+IF(ISNUMBER(E82),E82,0)+IF(ISNUMBER(F82),F82,0)+IF(ISNUMBER(G82),G82,0)+IF(ISNUMBER(H82),H82,0)+IF(ISNUMBER(I82),I82,0)+IF(ISNUMBER(J82),J82,0)+IF(ISNUMBER(K82),K82,0)+IF(ISNUMBER(L82),L82,0)+IF(ISNUMBER(M82),M82,0)+IF(ISNUMBER(N82),N82,0))/(IF(ISNUMBER(D82),1,0)+IF(ISNUMBER(E82),1,0)+IF(ISNUMBER(F82),1,0)+IF(ISNUMBER(G82),1,0)+IF(ISNUMBER(H82),1,0)+IF(ISNUMBER(I82),1,0)+IF(ISNUMBER(J82),1,0)+IF(ISNUMBER(K82),1,0)+IF(ISNUMBER(L82),1,0)+IF(ISNUMBER(M82),1,0)+IF(ISNUMBER(N82),1,0)),2),"")</f>
        <v>11.17</v>
      </c>
      <c r="P82" s="119" t="n">
        <f aca="false">IF(OR(Calculator!$E$11&lt;&gt;"YES",Calculator!$B$31&lt;Calculator!$G$11),"—",ROUND(MAX((50*POWER(80,POWER(COS(PI()*MOD(Calculator!$B$31/Calculator!$F$11,1)),2)))/$C82,$C82/(50*POWER(80,POWER(COS(PI()*MOD(Calculator!$B$31/Calculator!$F$11,1)),2)))),2))</f>
        <v>28.66</v>
      </c>
      <c r="Q82" s="119" t="n">
        <f aca="false">IF(OR(Calculator!$E$12&lt;&gt;"YES",Calculator!$B$31&lt;Calculator!$G$12),"—",ROUND(MAX((50*POWER(80,POWER(COS(PI()*MOD(Calculator!$B$31/Calculator!$F$12,1)),2)))/$C82,$C82/(50*POWER(80,POWER(COS(PI()*MOD(Calculator!$B$31/Calculator!$F$12,1)),2)))),2))</f>
        <v>2.29</v>
      </c>
      <c r="R82" s="119" t="n">
        <f aca="false">IF(OR(Calculator!$E$13&lt;&gt;"YES",Calculator!$B$31&lt;Calculator!$G$13),"—",ROUND(MAX((50*POWER(80,POWER(COS(PI()*MOD(Calculator!$B$31/Calculator!$F$13,1)),2)))/$C82,$C82/(50*POWER(80,POWER(COS(PI()*MOD(Calculator!$B$31/Calculator!$F$13,1)),2)))),2))</f>
        <v>6.64</v>
      </c>
      <c r="S82" s="119" t="n">
        <f aca="false">IF(OR(Calculator!$E$14&lt;&gt;"YES",Calculator!$B$31&lt;Calculator!$G$14),"—",ROUND(MAX((50*POWER(80,POWER(COS(PI()*MOD(Calculator!$B$31/Calculator!$F$14,1)),2)))/$C82,$C82/(50*POWER(80,POWER(COS(PI()*MOD(Calculator!$B$31/Calculator!$F$14,1)),2)))),2))</f>
        <v>13.88</v>
      </c>
      <c r="T82" s="119" t="n">
        <f aca="false">IF(OR(Calculator!$E$15&lt;&gt;"YES",Calculator!$B$31&lt;Calculator!$G$15),"—",ROUND(MAX((50*POWER(80,POWER(COS(PI()*MOD(Calculator!$B$31/Calculator!$F$15,1)),2)))/$C82,$C82/(50*POWER(80,POWER(COS(PI()*MOD(Calculator!$B$31/Calculator!$F$15,1)),2)))),2))</f>
        <v>8.73</v>
      </c>
      <c r="U82" s="119" t="n">
        <f aca="false">IF(OR(Calculator!$E$16&lt;&gt;"YES",Calculator!$B$31&lt;Calculator!$G$16),"—",ROUND(MAX((50*POWER(80,POWER(COS(PI()*MOD(Calculator!$B$31/Calculator!$F$16,1)),2)))/$C82,$C82/(50*POWER(80,POWER(COS(PI()*MOD(Calculator!$B$31/Calculator!$F$16,1)),2)))),2))</f>
        <v>34.05</v>
      </c>
      <c r="V82" s="119" t="n">
        <f aca="false">IF(OR(Calculator!$E$17&lt;&gt;"YES",Calculator!$B$31&lt;Calculator!$G$17),"—",ROUND(MAX((50*POWER(80,POWER(COS(PI()*MOD(Calculator!$B$31/Calculator!$F$17,1)),2)))/$C82,$C82/(50*POWER(80,POWER(COS(PI()*MOD(Calculator!$B$31/Calculator!$F$17,1)),2)))),2))</f>
        <v>1.2</v>
      </c>
      <c r="W82" s="119" t="n">
        <f aca="false">IF(OR(Calculator!$E$18&lt;&gt;"YES",Calculator!$B$31&lt;Calculator!$G$18),"—",ROUND(MAX((50*POWER(80,POWER(COS(PI()*MOD(Calculator!$B$31/Calculator!$F$18,1)),2)))/$C82,$C82/(50*POWER(80,POWER(COS(PI()*MOD(Calculator!$B$31/Calculator!$F$18,1)),2)))),2))</f>
        <v>1.12</v>
      </c>
      <c r="X82" s="119" t="n">
        <f aca="false">IF(OR(Calculator!$E$19&lt;&gt;"YES",Calculator!$B$31&lt;Calculator!$G$19),"—",ROUND(MAX((50*POWER(80,POWER(COS(PI()*MOD(Calculator!$B$31/Calculator!$F$19,1)),2)))/$C82,$C82/(50*POWER(80,POWER(COS(PI()*MOD(Calculator!$B$31/Calculator!$F$19,1)),2)))),2))</f>
        <v>1.17</v>
      </c>
      <c r="Y82" s="119" t="n">
        <f aca="false">IF(OR(Calculator!$E$20&lt;&gt;"YES",Calculator!$B$31&lt;Calculator!$G$20),"—",ROUND(MAX((50*POWER(80,POWER(COS(PI()*MOD(Calculator!$B$31/Calculator!$F$20,1)),2)))/$C82,$C82/(50*POWER(80,POWER(COS(PI()*MOD(Calculator!$B$31/Calculator!$F$20,1)),2)))),2))</f>
        <v>21.06</v>
      </c>
      <c r="Z82" s="119" t="n">
        <f aca="false">IF(OR(Calculator!$E$21&lt;&gt;"YES",Calculator!$B$31&lt;Calculator!$G$21),"—",ROUND(MAX((50*POWER(80,POWER(COS(PI()*MOD(Calculator!$B$31/Calculator!$F$21,1)),2)))/$C82,$C82/(50*POWER(80,POWER(COS(PI()*MOD(Calculator!$B$31/Calculator!$F$21,1)),2)))),2))</f>
        <v>1.4</v>
      </c>
      <c r="AA82" s="114" t="n">
        <f aca="false">IFERROR(ROUND((IF(ISNUMBER(P82),P82,0)+IF(ISNUMBER(Q82),Q82,0)+IF(ISNUMBER(R82),R82,0)+IF(ISNUMBER(S82),S82,0)+IF(ISNUMBER(T82),T82,0)+IF(ISNUMBER(U82),U82,0)+IF(ISNUMBER(V82),V82,0)+IF(ISNUMBER(W82),W82,0)+IF(ISNUMBER(X82),X82,0)+IF(ISNUMBER(Y82),Y82,0)+IF(ISNUMBER(Z82),Z82,0))/(IF(ISNUMBER(P82),1,0)+IF(ISNUMBER(Q82),1,0)+IF(ISNUMBER(R82),1,0)+IF(ISNUMBER(S82),1,0)+IF(ISNUMBER(T82),1,0)+IF(ISNUMBER(U82),1,0)+IF(ISNUMBER(V82),1,0)+IF(ISNUMBER(W82),1,0)+IF(ISNUMBER(X82),1,0)+IF(ISNUMBER(Y82),1,0)+IF(ISNUMBER(Z82),1,0)),2),"")</f>
        <v>10.93</v>
      </c>
      <c r="AB82" s="119" t="n">
        <f aca="false">IF(OR(Calculator!$E$11&lt;&gt;"YES",Calculator!$B$32&lt;Calculator!$G$11),"—",ROUND(MAX((50*POWER(80,POWER(COS(PI()*MOD(Calculator!$B$32/Calculator!$F$11,1)),2)))/$C82,$C82/(50*POWER(80,POWER(COS(PI()*MOD(Calculator!$B$32/Calculator!$F$11,1)),2)))),2))</f>
        <v>36.07</v>
      </c>
      <c r="AC82" s="119" t="n">
        <f aca="false">IF(OR(Calculator!$E$12&lt;&gt;"YES",Calculator!$B$32&lt;Calculator!$G$12),"—",ROUND(MAX((50*POWER(80,POWER(COS(PI()*MOD(Calculator!$B$32/Calculator!$F$12,1)),2)))/$C82,$C82/(50*POWER(80,POWER(COS(PI()*MOD(Calculator!$B$32/Calculator!$F$12,1)),2)))),2))</f>
        <v>1.24</v>
      </c>
      <c r="AD82" s="119" t="n">
        <f aca="false">IF(OR(Calculator!$E$13&lt;&gt;"YES",Calculator!$B$32&lt;Calculator!$G$13),"—",ROUND(MAX((50*POWER(80,POWER(COS(PI()*MOD(Calculator!$B$32/Calculator!$F$13,1)),2)))/$C82,$C82/(50*POWER(80,POWER(COS(PI()*MOD(Calculator!$B$32/Calculator!$F$13,1)),2)))),2))</f>
        <v>18.41</v>
      </c>
      <c r="AE82" s="119" t="n">
        <f aca="false">IF(OR(Calculator!$E$14&lt;&gt;"YES",Calculator!$B$32&lt;Calculator!$G$14),"—",ROUND(MAX((50*POWER(80,POWER(COS(PI()*MOD(Calculator!$B$32/Calculator!$F$14,1)),2)))/$C82,$C82/(50*POWER(80,POWER(COS(PI()*MOD(Calculator!$B$32/Calculator!$F$14,1)),2)))),2))</f>
        <v>3.36</v>
      </c>
      <c r="AF82" s="119" t="n">
        <f aca="false">IF(OR(Calculator!$E$15&lt;&gt;"YES",Calculator!$B$32&lt;Calculator!$G$15),"—",ROUND(MAX((50*POWER(80,POWER(COS(PI()*MOD(Calculator!$B$32/Calculator!$F$15,1)),2)))/$C82,$C82/(50*POWER(80,POWER(COS(PI()*MOD(Calculator!$B$32/Calculator!$F$15,1)),2)))),2))</f>
        <v>1.29</v>
      </c>
      <c r="AG82" s="119" t="n">
        <f aca="false">IF(OR(Calculator!$E$16&lt;&gt;"YES",Calculator!$B$32&lt;Calculator!$G$16),"—",ROUND(MAX((50*POWER(80,POWER(COS(PI()*MOD(Calculator!$B$32/Calculator!$F$16,1)),2)))/$C82,$C82/(50*POWER(80,POWER(COS(PI()*MOD(Calculator!$B$32/Calculator!$F$16,1)),2)))),2))</f>
        <v>29.39</v>
      </c>
      <c r="AH82" s="119" t="n">
        <f aca="false">IF(OR(Calculator!$E$17&lt;&gt;"YES",Calculator!$B$32&lt;Calculator!$G$17),"—",ROUND(MAX((50*POWER(80,POWER(COS(PI()*MOD(Calculator!$B$32/Calculator!$F$17,1)),2)))/$C82,$C82/(50*POWER(80,POWER(COS(PI()*MOD(Calculator!$B$32/Calculator!$F$17,1)),2)))),2))</f>
        <v>31.03</v>
      </c>
      <c r="AI82" s="119" t="n">
        <f aca="false">IF(OR(Calculator!$E$18&lt;&gt;"YES",Calculator!$B$32&lt;Calculator!$G$18),"—",ROUND(MAX((50*POWER(80,POWER(COS(PI()*MOD(Calculator!$B$32/Calculator!$F$18,1)),2)))/$C82,$C82/(50*POWER(80,POWER(COS(PI()*MOD(Calculator!$B$32/Calculator!$F$18,1)),2)))),2))</f>
        <v>40.93</v>
      </c>
      <c r="AJ82" s="119" t="n">
        <f aca="false">IF(OR(Calculator!$E$19&lt;&gt;"YES",Calculator!$B$32&lt;Calculator!$G$19),"—",ROUND(MAX((50*POWER(80,POWER(COS(PI()*MOD(Calculator!$B$32/Calculator!$F$19,1)),2)))/$C82,$C82/(50*POWER(80,POWER(COS(PI()*MOD(Calculator!$B$32/Calculator!$F$19,1)),2)))),2))</f>
        <v>8.63</v>
      </c>
      <c r="AK82" s="119" t="n">
        <f aca="false">IF(OR(Calculator!$E$20&lt;&gt;"YES",Calculator!$B$32&lt;Calculator!$G$20),"—",ROUND(MAX((50*POWER(80,POWER(COS(PI()*MOD(Calculator!$B$32/Calculator!$F$20,1)),2)))/$C82,$C82/(50*POWER(80,POWER(COS(PI()*MOD(Calculator!$B$32/Calculator!$F$20,1)),2)))),2))</f>
        <v>1.29</v>
      </c>
      <c r="AL82" s="119" t="n">
        <f aca="false">IF(OR(Calculator!$E$21&lt;&gt;"YES",Calculator!$B$32&lt;Calculator!$G$21),"—",ROUND(MAX((50*POWER(80,POWER(COS(PI()*MOD(Calculator!$B$32/Calculator!$F$21,1)),2)))/$C82,$C82/(50*POWER(80,POWER(COS(PI()*MOD(Calculator!$B$32/Calculator!$F$21,1)),2)))),2))</f>
        <v>1.12</v>
      </c>
      <c r="AM82" s="115" t="n">
        <f aca="false">IFERROR(ROUND((IF(ISNUMBER(AB82),AB82,0)+IF(ISNUMBER(AC82),AC82,0)+IF(ISNUMBER(AD82),AD82,0)+IF(ISNUMBER(AE82),AE82,0)+IF(ISNUMBER(AF82),AF82,0)+IF(ISNUMBER(AG82),AG82,0)+IF(ISNUMBER(AH82),AH82,0)+IF(ISNUMBER(AI82),AI82,0)+IF(ISNUMBER(AJ82),AJ82,0)+IF(ISNUMBER(AK82),AK82,0)+IF(ISNUMBER(AL82),AL82,0))/(IF(ISNUMBER(AB82),1,0)+IF(ISNUMBER(AC82),1,0)+IF(ISNUMBER(AD82),1,0)+IF(ISNUMBER(AE82),1,0)+IF(ISNUMBER(AF82),1,0)+IF(ISNUMBER(AG82),1,0)+IF(ISNUMBER(AH82),1,0)+IF(ISNUMBER(AI82),1,0)+IF(ISNUMBER(AJ82),1,0)+IF(ISNUMBER(AK82),1,0)+IF(ISNUMBER(AL82),1,0)),2),"")</f>
        <v>15.71</v>
      </c>
      <c r="AN82" s="120" t="n">
        <f aca="false">IF(OR(Calculator!$E$11&lt;&gt;"YES",Calculator!$B$33&lt;Calculator!$G$11),"—",ROUND(MAX((50*POWER(80,POWER(COS(PI()*MOD(Calculator!$B$33/Calculator!$F$11,1)),2)))/$C82,$C82/(50*POWER(80,POWER(COS(PI()*MOD(Calculator!$B$33/Calculator!$F$11,1)),2)))),2))</f>
        <v>29.01</v>
      </c>
      <c r="AO82" s="120" t="n">
        <f aca="false">IF(OR(Calculator!$E$12&lt;&gt;"YES",Calculator!$B$33&lt;Calculator!$G$12),"—",ROUND(MAX((50*POWER(80,POWER(COS(PI()*MOD(Calculator!$B$33/Calculator!$F$12,1)),2)))/$C82,$C82/(50*POWER(80,POWER(COS(PI()*MOD(Calculator!$B$33/Calculator!$F$12,1)),2)))),2))</f>
        <v>2.22</v>
      </c>
      <c r="AP82" s="120" t="n">
        <f aca="false">IF(OR(Calculator!$E$13&lt;&gt;"YES",Calculator!$B$33&lt;Calculator!$G$13),"—",ROUND(MAX((50*POWER(80,POWER(COS(PI()*MOD(Calculator!$B$33/Calculator!$F$13,1)),2)))/$C82,$C82/(50*POWER(80,POWER(COS(PI()*MOD(Calculator!$B$33/Calculator!$F$13,1)),2)))),2))</f>
        <v>7</v>
      </c>
      <c r="AQ82" s="120" t="n">
        <f aca="false">IF(OR(Calculator!$E$14&lt;&gt;"YES",Calculator!$B$33&lt;Calculator!$G$14),"—",ROUND(MAX((50*POWER(80,POWER(COS(PI()*MOD(Calculator!$B$33/Calculator!$F$14,1)),2)))/$C82,$C82/(50*POWER(80,POWER(COS(PI()*MOD(Calculator!$B$33/Calculator!$F$14,1)),2)))),2))</f>
        <v>13.03</v>
      </c>
      <c r="AR82" s="120" t="n">
        <f aca="false">IF(OR(Calculator!$E$15&lt;&gt;"YES",Calculator!$B$33&lt;Calculator!$G$15),"—",ROUND(MAX((50*POWER(80,POWER(COS(PI()*MOD(Calculator!$B$33/Calculator!$F$15,1)),2)))/$C82,$C82/(50*POWER(80,POWER(COS(PI()*MOD(Calculator!$B$33/Calculator!$F$15,1)),2)))),2))</f>
        <v>7.93</v>
      </c>
      <c r="AS82" s="120" t="n">
        <f aca="false">IF(OR(Calculator!$E$16&lt;&gt;"YES",Calculator!$B$33&lt;Calculator!$G$16),"—",ROUND(MAX((50*POWER(80,POWER(COS(PI()*MOD(Calculator!$B$33/Calculator!$F$16,1)),2)))/$C82,$C82/(50*POWER(80,POWER(COS(PI()*MOD(Calculator!$B$33/Calculator!$F$16,1)),2)))),2))</f>
        <v>36.66</v>
      </c>
      <c r="AT82" s="120" t="n">
        <f aca="false">IF(OR(Calculator!$E$17&lt;&gt;"YES",Calculator!$B$33&lt;Calculator!$G$17),"—",ROUND(MAX((50*POWER(80,POWER(COS(PI()*MOD(Calculator!$B$33/Calculator!$F$17,1)),2)))/$C82,$C82/(50*POWER(80,POWER(COS(PI()*MOD(Calculator!$B$33/Calculator!$F$17,1)),2)))),2))</f>
        <v>1.36</v>
      </c>
      <c r="AU82" s="120" t="n">
        <f aca="false">IF(OR(Calculator!$E$18&lt;&gt;"YES",Calculator!$B$33&lt;Calculator!$G$18),"—",ROUND(MAX((50*POWER(80,POWER(COS(PI()*MOD(Calculator!$B$33/Calculator!$F$18,1)),2)))/$C82,$C82/(50*POWER(80,POWER(COS(PI()*MOD(Calculator!$B$33/Calculator!$F$18,1)),2)))),2))</f>
        <v>1.29</v>
      </c>
      <c r="AV82" s="120" t="n">
        <f aca="false">IF(OR(Calculator!$E$19&lt;&gt;"YES",Calculator!$B$33&lt;Calculator!$G$19),"—",ROUND(MAX((50*POWER(80,POWER(COS(PI()*MOD(Calculator!$B$33/Calculator!$F$19,1)),2)))/$C82,$C82/(50*POWER(80,POWER(COS(PI()*MOD(Calculator!$B$33/Calculator!$F$19,1)),2)))),2))</f>
        <v>1.31</v>
      </c>
      <c r="AW82" s="120" t="n">
        <f aca="false">IF(OR(Calculator!$E$20&lt;&gt;"YES",Calculator!$B$33&lt;Calculator!$G$20),"—",ROUND(MAX((50*POWER(80,POWER(COS(PI()*MOD(Calculator!$B$33/Calculator!$F$20,1)),2)))/$C82,$C82/(50*POWER(80,POWER(COS(PI()*MOD(Calculator!$B$33/Calculator!$F$20,1)),2)))),2))</f>
        <v>16.7</v>
      </c>
      <c r="AX82" s="120" t="n">
        <f aca="false">IF(OR(Calculator!$E$21&lt;&gt;"YES",Calculator!$B$33&lt;Calculator!$G$21),"—",ROUND(MAX((50*POWER(80,POWER(COS(PI()*MOD(Calculator!$B$33/Calculator!$F$21,1)),2)))/$C82,$C82/(50*POWER(80,POWER(COS(PI()*MOD(Calculator!$B$33/Calculator!$F$21,1)),2)))),2))</f>
        <v>2.13</v>
      </c>
      <c r="AY82" s="115" t="n">
        <f aca="false">IFERROR(ROUND((IF(ISNUMBER(AN82),AN82,0)+IF(ISNUMBER(AO82),AO82,0)+IF(ISNUMBER(AP82),AP82,0)+IF(ISNUMBER(AQ82),AQ82,0)+IF(ISNUMBER(AR82),AR82,0)+IF(ISNUMBER(AS82),AS82,0)+IF(ISNUMBER(AT82),AT82,0)+IF(ISNUMBER(AU82),AU82,0)+IF(ISNUMBER(AV82),AV82,0)+IF(ISNUMBER(AW82),AW82,0)+IF(ISNUMBER(AX82),AX82,0))/(IF(ISNUMBER(AN82),1,0)+IF(ISNUMBER(AO82),1,0)+IF(ISNUMBER(AP82),1,0)+IF(ISNUMBER(AQ82),1,0)+IF(ISNUMBER(AR82),1,0)+IF(ISNUMBER(AS82),1,0)+IF(ISNUMBER(AT82),1,0)+IF(ISNUMBER(AU82),1,0)+IF(ISNUMBER(AV82),1,0)+IF(ISNUMBER(AW82),1,0)+IF(ISNUMBER(AX82),1,0)),2),"")</f>
        <v>10.79</v>
      </c>
      <c r="AZ82" s="120" t="n">
        <f aca="false">IF(OR(Calculator!$E$11&lt;&gt;"YES",Calculator!$B$34&lt;Calculator!$G$11),"—",ROUND(MAX((50*POWER(80,POWER(COS(PI()*MOD(Calculator!$B$34/Calculator!$F$11,1)),2)))/$C82,$C82/(50*POWER(80,POWER(COS(PI()*MOD(Calculator!$B$34/Calculator!$F$11,1)),2)))),2))</f>
        <v>27.96</v>
      </c>
      <c r="BA82" s="120" t="n">
        <f aca="false">IF(OR(Calculator!$E$12&lt;&gt;"YES",Calculator!$B$34&lt;Calculator!$G$12),"—",ROUND(MAX((50*POWER(80,POWER(COS(PI()*MOD(Calculator!$B$34/Calculator!$F$12,1)),2)))/$C82,$C82/(50*POWER(80,POWER(COS(PI()*MOD(Calculator!$B$34/Calculator!$F$12,1)),2)))),2))</f>
        <v>2.45</v>
      </c>
      <c r="BB82" s="120" t="n">
        <f aca="false">IF(OR(Calculator!$E$13&lt;&gt;"YES",Calculator!$B$34&lt;Calculator!$G$13),"—",ROUND(MAX((50*POWER(80,POWER(COS(PI()*MOD(Calculator!$B$34/Calculator!$F$13,1)),2)))/$C82,$C82/(50*POWER(80,POWER(COS(PI()*MOD(Calculator!$B$34/Calculator!$F$13,1)),2)))),2))</f>
        <v>5.99</v>
      </c>
      <c r="BC82" s="120" t="n">
        <f aca="false">IF(OR(Calculator!$E$14&lt;&gt;"YES",Calculator!$B$34&lt;Calculator!$G$14),"—",ROUND(MAX((50*POWER(80,POWER(COS(PI()*MOD(Calculator!$B$34/Calculator!$F$14,1)),2)))/$C82,$C82/(50*POWER(80,POWER(COS(PI()*MOD(Calculator!$B$34/Calculator!$F$14,1)),2)))),2))</f>
        <v>15.71</v>
      </c>
      <c r="BD82" s="120" t="n">
        <f aca="false">IF(OR(Calculator!$E$15&lt;&gt;"YES",Calculator!$B$34&lt;Calculator!$G$15),"—",ROUND(MAX((50*POWER(80,POWER(COS(PI()*MOD(Calculator!$B$34/Calculator!$F$15,1)),2)))/$C82,$C82/(50*POWER(80,POWER(COS(PI()*MOD(Calculator!$B$34/Calculator!$F$15,1)),2)))),2))</f>
        <v>10.55</v>
      </c>
      <c r="BE82" s="120" t="n">
        <f aca="false">IF(OR(Calculator!$E$16&lt;&gt;"YES",Calculator!$B$34&lt;Calculator!$G$16),"—",ROUND(MAX((50*POWER(80,POWER(COS(PI()*MOD(Calculator!$B$34/Calculator!$F$16,1)),2)))/$C82,$C82/(50*POWER(80,POWER(COS(PI()*MOD(Calculator!$B$34/Calculator!$F$16,1)),2)))),2))</f>
        <v>28.77</v>
      </c>
      <c r="BF82" s="120" t="n">
        <f aca="false">IF(OR(Calculator!$E$17&lt;&gt;"YES",Calculator!$B$34&lt;Calculator!$G$17),"—",ROUND(MAX((50*POWER(80,POWER(COS(PI()*MOD(Calculator!$B$34/Calculator!$F$17,1)),2)))/$C82,$C82/(50*POWER(80,POWER(COS(PI()*MOD(Calculator!$B$34/Calculator!$F$17,1)),2)))),2))</f>
        <v>1.05</v>
      </c>
      <c r="BG82" s="120" t="n">
        <f aca="false">IF(OR(Calculator!$E$18&lt;&gt;"YES",Calculator!$B$34&lt;Calculator!$G$18),"—",ROUND(MAX((50*POWER(80,POWER(COS(PI()*MOD(Calculator!$B$34/Calculator!$F$18,1)),2)))/$C82,$C82/(50*POWER(80,POWER(COS(PI()*MOD(Calculator!$B$34/Calculator!$F$18,1)),2)))),2))</f>
        <v>1.15</v>
      </c>
      <c r="BH82" s="120" t="n">
        <f aca="false">IF(OR(Calculator!$E$19&lt;&gt;"YES",Calculator!$B$34&lt;Calculator!$G$19),"—",ROUND(MAX((50*POWER(80,POWER(COS(PI()*MOD(Calculator!$B$34/Calculator!$F$19,1)),2)))/$C82,$C82/(50*POWER(80,POWER(COS(PI()*MOD(Calculator!$B$34/Calculator!$F$19,1)),2)))),2))</f>
        <v>1.14</v>
      </c>
      <c r="BI82" s="120" t="n">
        <f aca="false">IF(OR(Calculator!$E$20&lt;&gt;"YES",Calculator!$B$34&lt;Calculator!$G$20),"—",ROUND(MAX((50*POWER(80,POWER(COS(PI()*MOD(Calculator!$B$34/Calculator!$F$20,1)),2)))/$C82,$C82/(50*POWER(80,POWER(COS(PI()*MOD(Calculator!$B$34/Calculator!$F$20,1)),2)))),2))</f>
        <v>31.3</v>
      </c>
      <c r="BJ82" s="120" t="n">
        <f aca="false">IF(OR(Calculator!$E$21&lt;&gt;"YES",Calculator!$B$34&lt;Calculator!$G$21),"—",ROUND(MAX((50*POWER(80,POWER(COS(PI()*MOD(Calculator!$B$34/Calculator!$F$21,1)),2)))/$C82,$C82/(50*POWER(80,POWER(COS(PI()*MOD(Calculator!$B$34/Calculator!$F$21,1)),2)))),2))</f>
        <v>1.31</v>
      </c>
      <c r="BK82" s="115" t="n">
        <f aca="false">IFERROR(ROUND((IF(ISNUMBER(AZ82),AZ82,0)+IF(ISNUMBER(BA82),BA82,0)+IF(ISNUMBER(BB82),BB82,0)+IF(ISNUMBER(BC82),BC82,0)+IF(ISNUMBER(BD82),BD82,0)+IF(ISNUMBER(BE82),BE82,0)+IF(ISNUMBER(BF82),BF82,0)+IF(ISNUMBER(BG82),BG82,0)+IF(ISNUMBER(BH82),BH82,0)+IF(ISNUMBER(BI82),BI82,0)+IF(ISNUMBER(BJ82),BJ82,0))/(IF(ISNUMBER(AZ82),1,0)+IF(ISNUMBER(BA82),1,0)+IF(ISNUMBER(BB82),1,0)+IF(ISNUMBER(BC82),1,0)+IF(ISNUMBER(BD82),1,0)+IF(ISNUMBER(BE82),1,0)+IF(ISNUMBER(BF82),1,0)+IF(ISNUMBER(BG82),1,0)+IF(ISNUMBER(BH82),1,0)+IF(ISNUMBER(BI82),1,0)+IF(ISNUMBER(BJ82),1,0)),2),"")</f>
        <v>11.58</v>
      </c>
    </row>
    <row r="83" customFormat="false" ht="15" hidden="false" customHeight="false" outlineLevel="0" collapsed="false">
      <c r="A83" s="87" t="s">
        <v>141</v>
      </c>
      <c r="B83" s="87" t="s">
        <v>93</v>
      </c>
      <c r="C83" s="90" t="n">
        <v>2550</v>
      </c>
      <c r="D83" s="91" t="n">
        <f aca="false">IF(OR(Calculator!$E$11&lt;&gt;"YES",Calculator!$B$30&lt;Calculator!$G$11),"—",ROUND(MAX((50*POWER(80,POWER(COS(PI()*MOD(Calculator!$B$30/Calculator!$F$11,1)),2)))/$C83,$C83/(50*POWER(80,POWER(COS(PI()*MOD(Calculator!$B$30/Calculator!$F$11,1)),2)))),2))</f>
        <v>28.87</v>
      </c>
      <c r="E83" s="91" t="n">
        <f aca="false">IF(OR(Calculator!$E$12&lt;&gt;"YES",Calculator!$B$30&lt;Calculator!$G$12),"—",ROUND(MAX((50*POWER(80,POWER(COS(PI()*MOD(Calculator!$B$30/Calculator!$F$12,1)),2)))/$C83,$C83/(50*POWER(80,POWER(COS(PI()*MOD(Calculator!$B$30/Calculator!$F$12,1)),2)))),2))</f>
        <v>2.42</v>
      </c>
      <c r="F83" s="91" t="n">
        <f aca="false">IF(OR(Calculator!$E$13&lt;&gt;"YES",Calculator!$B$30&lt;Calculator!$G$13),"—",ROUND(MAX((50*POWER(80,POWER(COS(PI()*MOD(Calculator!$B$30/Calculator!$F$13,1)),2)))/$C83,$C83/(50*POWER(80,POWER(COS(PI()*MOD(Calculator!$B$30/Calculator!$F$13,1)),2)))),2))</f>
        <v>6.44</v>
      </c>
      <c r="G83" s="91" t="n">
        <f aca="false">IF(OR(Calculator!$E$14&lt;&gt;"YES",Calculator!$B$30&lt;Calculator!$G$14),"—",ROUND(MAX((50*POWER(80,POWER(COS(PI()*MOD(Calculator!$B$30/Calculator!$F$14,1)),2)))/$C83,$C83/(50*POWER(80,POWER(COS(PI()*MOD(Calculator!$B$30/Calculator!$F$14,1)),2)))),2))</f>
        <v>15.07</v>
      </c>
      <c r="H83" s="91" t="n">
        <f aca="false">IF(OR(Calculator!$E$15&lt;&gt;"YES",Calculator!$B$30&lt;Calculator!$G$15),"—",ROUND(MAX((50*POWER(80,POWER(COS(PI()*MOD(Calculator!$B$30/Calculator!$F$15,1)),2)))/$C83,$C83/(50*POWER(80,POWER(COS(PI()*MOD(Calculator!$B$30/Calculator!$F$15,1)),2)))),2))</f>
        <v>9.8</v>
      </c>
      <c r="I83" s="91" t="n">
        <f aca="false">IF(OR(Calculator!$E$16&lt;&gt;"YES",Calculator!$B$30&lt;Calculator!$G$16),"—",ROUND(MAX((50*POWER(80,POWER(COS(PI()*MOD(Calculator!$B$30/Calculator!$F$16,1)),2)))/$C83,$C83/(50*POWER(80,POWER(COS(PI()*MOD(Calculator!$B$30/Calculator!$F$16,1)),2)))),2))</f>
        <v>32.03</v>
      </c>
      <c r="J83" s="91" t="n">
        <f aca="false">IF(OR(Calculator!$E$17&lt;&gt;"YES",Calculator!$B$30&lt;Calculator!$G$17),"—",ROUND(MAX((50*POWER(80,POWER(COS(PI()*MOD(Calculator!$B$30/Calculator!$F$17,1)),2)))/$C83,$C83/(50*POWER(80,POWER(COS(PI()*MOD(Calculator!$B$30/Calculator!$F$17,1)),2)))),2))</f>
        <v>1.08</v>
      </c>
      <c r="K83" s="91" t="n">
        <f aca="false">IF(OR(Calculator!$E$18&lt;&gt;"YES",Calculator!$B$30&lt;Calculator!$G$18),"—",ROUND(MAX((50*POWER(80,POWER(COS(PI()*MOD(Calculator!$B$30/Calculator!$F$18,1)),2)))/$C83,$C83/(50*POWER(80,POWER(COS(PI()*MOD(Calculator!$B$30/Calculator!$F$18,1)),2)))),2))</f>
        <v>1</v>
      </c>
      <c r="L83" s="91" t="n">
        <f aca="false">IF(OR(Calculator!$E$19&lt;&gt;"YES",Calculator!$B$30&lt;Calculator!$G$19),"—",ROUND(MAX((50*POWER(80,POWER(COS(PI()*MOD(Calculator!$B$30/Calculator!$F$19,1)),2)))/$C83,$C83/(50*POWER(80,POWER(COS(PI()*MOD(Calculator!$B$30/Calculator!$F$19,1)),2)))),2))</f>
        <v>1</v>
      </c>
      <c r="M83" s="91" t="n">
        <f aca="false">IF(OR(Calculator!$E$20&lt;&gt;"YES",Calculator!$B$30&lt;Calculator!$G$20),"—",ROUND(MAX((50*POWER(80,POWER(COS(PI()*MOD(Calculator!$B$30/Calculator!$F$20,1)),2)))/$C83,$C83/(50*POWER(80,POWER(COS(PI()*MOD(Calculator!$B$30/Calculator!$F$20,1)),2)))),2))</f>
        <v>26.51</v>
      </c>
      <c r="N83" s="91" t="n">
        <f aca="false">IF(OR(Calculator!$E$21&lt;&gt;"YES",Calculator!$B$30&lt;Calculator!$G$21),"—",ROUND(MAX((50*POWER(80,POWER(COS(PI()*MOD(Calculator!$B$30/Calculator!$F$21,1)),2)))/$C83,$C83/(50*POWER(80,POWER(COS(PI()*MOD(Calculator!$B$30/Calculator!$F$21,1)),2)))),2))</f>
        <v>1.01</v>
      </c>
      <c r="O83" s="114" t="n">
        <f aca="false">IFERROR(ROUND((IF(ISNUMBER(D83),D83,0)+IF(ISNUMBER(E83),E83,0)+IF(ISNUMBER(F83),F83,0)+IF(ISNUMBER(G83),G83,0)+IF(ISNUMBER(H83),H83,0)+IF(ISNUMBER(I83),I83,0)+IF(ISNUMBER(J83),J83,0)+IF(ISNUMBER(K83),K83,0)+IF(ISNUMBER(L83),L83,0)+IF(ISNUMBER(M83),M83,0)+IF(ISNUMBER(N83),N83,0))/(IF(ISNUMBER(D83),1,0)+IF(ISNUMBER(E83),1,0)+IF(ISNUMBER(F83),1,0)+IF(ISNUMBER(G83),1,0)+IF(ISNUMBER(H83),1,0)+IF(ISNUMBER(I83),1,0)+IF(ISNUMBER(J83),1,0)+IF(ISNUMBER(K83),1,0)+IF(ISNUMBER(L83),1,0)+IF(ISNUMBER(M83),1,0)+IF(ISNUMBER(N83),1,0)),2),"")</f>
        <v>11.38</v>
      </c>
      <c r="P83" s="91" t="n">
        <f aca="false">IF(OR(Calculator!$E$11&lt;&gt;"YES",Calculator!$B$31&lt;Calculator!$G$11),"—",ROUND(MAX((50*POWER(80,POWER(COS(PI()*MOD(Calculator!$B$31/Calculator!$F$11,1)),2)))/$C83,$C83/(50*POWER(80,POWER(COS(PI()*MOD(Calculator!$B$31/Calculator!$F$11,1)),2)))),2))</f>
        <v>29.23</v>
      </c>
      <c r="Q83" s="91" t="n">
        <f aca="false">IF(OR(Calculator!$E$12&lt;&gt;"YES",Calculator!$B$31&lt;Calculator!$G$12),"—",ROUND(MAX((50*POWER(80,POWER(COS(PI()*MOD(Calculator!$B$31/Calculator!$F$12,1)),2)))/$C83,$C83/(50*POWER(80,POWER(COS(PI()*MOD(Calculator!$B$31/Calculator!$F$12,1)),2)))),2))</f>
        <v>2.34</v>
      </c>
      <c r="R83" s="91" t="n">
        <f aca="false">IF(OR(Calculator!$E$13&lt;&gt;"YES",Calculator!$B$31&lt;Calculator!$G$13),"—",ROUND(MAX((50*POWER(80,POWER(COS(PI()*MOD(Calculator!$B$31/Calculator!$F$13,1)),2)))/$C83,$C83/(50*POWER(80,POWER(COS(PI()*MOD(Calculator!$B$31/Calculator!$F$13,1)),2)))),2))</f>
        <v>6.78</v>
      </c>
      <c r="S83" s="91" t="n">
        <f aca="false">IF(OR(Calculator!$E$14&lt;&gt;"YES",Calculator!$B$31&lt;Calculator!$G$14),"—",ROUND(MAX((50*POWER(80,POWER(COS(PI()*MOD(Calculator!$B$31/Calculator!$F$14,1)),2)))/$C83,$C83/(50*POWER(80,POWER(COS(PI()*MOD(Calculator!$B$31/Calculator!$F$14,1)),2)))),2))</f>
        <v>14.15</v>
      </c>
      <c r="T83" s="91" t="n">
        <f aca="false">IF(OR(Calculator!$E$15&lt;&gt;"YES",Calculator!$B$31&lt;Calculator!$G$15),"—",ROUND(MAX((50*POWER(80,POWER(COS(PI()*MOD(Calculator!$B$31/Calculator!$F$15,1)),2)))/$C83,$C83/(50*POWER(80,POWER(COS(PI()*MOD(Calculator!$B$31/Calculator!$F$15,1)),2)))),2))</f>
        <v>8.91</v>
      </c>
      <c r="U83" s="91" t="n">
        <f aca="false">IF(OR(Calculator!$E$16&lt;&gt;"YES",Calculator!$B$31&lt;Calculator!$G$16),"—",ROUND(MAX((50*POWER(80,POWER(COS(PI()*MOD(Calculator!$B$31/Calculator!$F$16,1)),2)))/$C83,$C83/(50*POWER(80,POWER(COS(PI()*MOD(Calculator!$B$31/Calculator!$F$16,1)),2)))),2))</f>
        <v>34.73</v>
      </c>
      <c r="V83" s="91" t="n">
        <f aca="false">IF(OR(Calculator!$E$17&lt;&gt;"YES",Calculator!$B$31&lt;Calculator!$G$17),"—",ROUND(MAX((50*POWER(80,POWER(COS(PI()*MOD(Calculator!$B$31/Calculator!$F$17,1)),2)))/$C83,$C83/(50*POWER(80,POWER(COS(PI()*MOD(Calculator!$B$31/Calculator!$F$17,1)),2)))),2))</f>
        <v>1.22</v>
      </c>
      <c r="W83" s="91" t="n">
        <f aca="false">IF(OR(Calculator!$E$18&lt;&gt;"YES",Calculator!$B$31&lt;Calculator!$G$18),"—",ROUND(MAX((50*POWER(80,POWER(COS(PI()*MOD(Calculator!$B$31/Calculator!$F$18,1)),2)))/$C83,$C83/(50*POWER(80,POWER(COS(PI()*MOD(Calculator!$B$31/Calculator!$F$18,1)),2)))),2))</f>
        <v>1.14</v>
      </c>
      <c r="X83" s="91" t="n">
        <f aca="false">IF(OR(Calculator!$E$19&lt;&gt;"YES",Calculator!$B$31&lt;Calculator!$G$19),"—",ROUND(MAX((50*POWER(80,POWER(COS(PI()*MOD(Calculator!$B$31/Calculator!$F$19,1)),2)))/$C83,$C83/(50*POWER(80,POWER(COS(PI()*MOD(Calculator!$B$31/Calculator!$F$19,1)),2)))),2))</f>
        <v>1.15</v>
      </c>
      <c r="Y83" s="91" t="n">
        <f aca="false">IF(OR(Calculator!$E$20&lt;&gt;"YES",Calculator!$B$31&lt;Calculator!$G$20),"—",ROUND(MAX((50*POWER(80,POWER(COS(PI()*MOD(Calculator!$B$31/Calculator!$F$20,1)),2)))/$C83,$C83/(50*POWER(80,POWER(COS(PI()*MOD(Calculator!$B$31/Calculator!$F$20,1)),2)))),2))</f>
        <v>21.48</v>
      </c>
      <c r="Z83" s="91" t="n">
        <f aca="false">IF(OR(Calculator!$E$21&lt;&gt;"YES",Calculator!$B$31&lt;Calculator!$G$21),"—",ROUND(MAX((50*POWER(80,POWER(COS(PI()*MOD(Calculator!$B$31/Calculator!$F$21,1)),2)))/$C83,$C83/(50*POWER(80,POWER(COS(PI()*MOD(Calculator!$B$31/Calculator!$F$21,1)),2)))),2))</f>
        <v>1.43</v>
      </c>
      <c r="AA83" s="114" t="n">
        <f aca="false">IFERROR(ROUND((IF(ISNUMBER(P83),P83,0)+IF(ISNUMBER(Q83),Q83,0)+IF(ISNUMBER(R83),R83,0)+IF(ISNUMBER(S83),S83,0)+IF(ISNUMBER(T83),T83,0)+IF(ISNUMBER(U83),U83,0)+IF(ISNUMBER(V83),V83,0)+IF(ISNUMBER(W83),W83,0)+IF(ISNUMBER(X83),X83,0)+IF(ISNUMBER(Y83),Y83,0)+IF(ISNUMBER(Z83),Z83,0))/(IF(ISNUMBER(P83),1,0)+IF(ISNUMBER(Q83),1,0)+IF(ISNUMBER(R83),1,0)+IF(ISNUMBER(S83),1,0)+IF(ISNUMBER(T83),1,0)+IF(ISNUMBER(U83),1,0)+IF(ISNUMBER(V83),1,0)+IF(ISNUMBER(W83),1,0)+IF(ISNUMBER(X83),1,0)+IF(ISNUMBER(Y83),1,0)+IF(ISNUMBER(Z83),1,0)),2),"")</f>
        <v>11.14</v>
      </c>
      <c r="AB83" s="91" t="n">
        <f aca="false">IF(OR(Calculator!$E$11&lt;&gt;"YES",Calculator!$B$32&lt;Calculator!$G$11),"—",ROUND(MAX((50*POWER(80,POWER(COS(PI()*MOD(Calculator!$B$32/Calculator!$F$11,1)),2)))/$C83,$C83/(50*POWER(80,POWER(COS(PI()*MOD(Calculator!$B$32/Calculator!$F$11,1)),2)))),2))</f>
        <v>36.79</v>
      </c>
      <c r="AC83" s="91" t="n">
        <f aca="false">IF(OR(Calculator!$E$12&lt;&gt;"YES",Calculator!$B$32&lt;Calculator!$G$12),"—",ROUND(MAX((50*POWER(80,POWER(COS(PI()*MOD(Calculator!$B$32/Calculator!$F$12,1)),2)))/$C83,$C83/(50*POWER(80,POWER(COS(PI()*MOD(Calculator!$B$32/Calculator!$F$12,1)),2)))),2))</f>
        <v>1.27</v>
      </c>
      <c r="AD83" s="91" t="n">
        <f aca="false">IF(OR(Calculator!$E$13&lt;&gt;"YES",Calculator!$B$32&lt;Calculator!$G$13),"—",ROUND(MAX((50*POWER(80,POWER(COS(PI()*MOD(Calculator!$B$32/Calculator!$F$13,1)),2)))/$C83,$C83/(50*POWER(80,POWER(COS(PI()*MOD(Calculator!$B$32/Calculator!$F$13,1)),2)))),2))</f>
        <v>18.78</v>
      </c>
      <c r="AE83" s="91" t="n">
        <f aca="false">IF(OR(Calculator!$E$14&lt;&gt;"YES",Calculator!$B$32&lt;Calculator!$G$14),"—",ROUND(MAX((50*POWER(80,POWER(COS(PI()*MOD(Calculator!$B$32/Calculator!$F$14,1)),2)))/$C83,$C83/(50*POWER(80,POWER(COS(PI()*MOD(Calculator!$B$32/Calculator!$F$14,1)),2)))),2))</f>
        <v>3.43</v>
      </c>
      <c r="AF83" s="91" t="n">
        <f aca="false">IF(OR(Calculator!$E$15&lt;&gt;"YES",Calculator!$B$32&lt;Calculator!$G$15),"—",ROUND(MAX((50*POWER(80,POWER(COS(PI()*MOD(Calculator!$B$32/Calculator!$F$15,1)),2)))/$C83,$C83/(50*POWER(80,POWER(COS(PI()*MOD(Calculator!$B$32/Calculator!$F$15,1)),2)))),2))</f>
        <v>1.32</v>
      </c>
      <c r="AG83" s="91" t="n">
        <f aca="false">IF(OR(Calculator!$E$16&lt;&gt;"YES",Calculator!$B$32&lt;Calculator!$G$16),"—",ROUND(MAX((50*POWER(80,POWER(COS(PI()*MOD(Calculator!$B$32/Calculator!$F$16,1)),2)))/$C83,$C83/(50*POWER(80,POWER(COS(PI()*MOD(Calculator!$B$32/Calculator!$F$16,1)),2)))),2))</f>
        <v>29.98</v>
      </c>
      <c r="AH83" s="91" t="n">
        <f aca="false">IF(OR(Calculator!$E$17&lt;&gt;"YES",Calculator!$B$32&lt;Calculator!$G$17),"—",ROUND(MAX((50*POWER(80,POWER(COS(PI()*MOD(Calculator!$B$32/Calculator!$F$17,1)),2)))/$C83,$C83/(50*POWER(80,POWER(COS(PI()*MOD(Calculator!$B$32/Calculator!$F$17,1)),2)))),2))</f>
        <v>31.65</v>
      </c>
      <c r="AI83" s="91" t="n">
        <f aca="false">IF(OR(Calculator!$E$18&lt;&gt;"YES",Calculator!$B$32&lt;Calculator!$G$18),"—",ROUND(MAX((50*POWER(80,POWER(COS(PI()*MOD(Calculator!$B$32/Calculator!$F$18,1)),2)))/$C83,$C83/(50*POWER(80,POWER(COS(PI()*MOD(Calculator!$B$32/Calculator!$F$18,1)),2)))),2))</f>
        <v>41.74</v>
      </c>
      <c r="AJ83" s="91" t="n">
        <f aca="false">IF(OR(Calculator!$E$19&lt;&gt;"YES",Calculator!$B$32&lt;Calculator!$G$19),"—",ROUND(MAX((50*POWER(80,POWER(COS(PI()*MOD(Calculator!$B$32/Calculator!$F$19,1)),2)))/$C83,$C83/(50*POWER(80,POWER(COS(PI()*MOD(Calculator!$B$32/Calculator!$F$19,1)),2)))),2))</f>
        <v>8.8</v>
      </c>
      <c r="AK83" s="91" t="n">
        <f aca="false">IF(OR(Calculator!$E$20&lt;&gt;"YES",Calculator!$B$32&lt;Calculator!$G$20),"—",ROUND(MAX((50*POWER(80,POWER(COS(PI()*MOD(Calculator!$B$32/Calculator!$F$20,1)),2)))/$C83,$C83/(50*POWER(80,POWER(COS(PI()*MOD(Calculator!$B$32/Calculator!$F$20,1)),2)))),2))</f>
        <v>1.26</v>
      </c>
      <c r="AL83" s="91" t="n">
        <f aca="false">IF(OR(Calculator!$E$21&lt;&gt;"YES",Calculator!$B$32&lt;Calculator!$G$21),"—",ROUND(MAX((50*POWER(80,POWER(COS(PI()*MOD(Calculator!$B$32/Calculator!$F$21,1)),2)))/$C83,$C83/(50*POWER(80,POWER(COS(PI()*MOD(Calculator!$B$32/Calculator!$F$21,1)),2)))),2))</f>
        <v>1.09</v>
      </c>
      <c r="AM83" s="115" t="n">
        <f aca="false">IFERROR(ROUND((IF(ISNUMBER(AB83),AB83,0)+IF(ISNUMBER(AC83),AC83,0)+IF(ISNUMBER(AD83),AD83,0)+IF(ISNUMBER(AE83),AE83,0)+IF(ISNUMBER(AF83),AF83,0)+IF(ISNUMBER(AG83),AG83,0)+IF(ISNUMBER(AH83),AH83,0)+IF(ISNUMBER(AI83),AI83,0)+IF(ISNUMBER(AJ83),AJ83,0)+IF(ISNUMBER(AK83),AK83,0)+IF(ISNUMBER(AL83),AL83,0))/(IF(ISNUMBER(AB83),1,0)+IF(ISNUMBER(AC83),1,0)+IF(ISNUMBER(AD83),1,0)+IF(ISNUMBER(AE83),1,0)+IF(ISNUMBER(AF83),1,0)+IF(ISNUMBER(AG83),1,0)+IF(ISNUMBER(AH83),1,0)+IF(ISNUMBER(AI83),1,0)+IF(ISNUMBER(AJ83),1,0)+IF(ISNUMBER(AK83),1,0)+IF(ISNUMBER(AL83),1,0)),2),"")</f>
        <v>16.01</v>
      </c>
      <c r="AN83" s="116" t="n">
        <f aca="false">IF(OR(Calculator!$E$11&lt;&gt;"YES",Calculator!$B$33&lt;Calculator!$G$11),"—",ROUND(MAX((50*POWER(80,POWER(COS(PI()*MOD(Calculator!$B$33/Calculator!$F$11,1)),2)))/$C83,$C83/(50*POWER(80,POWER(COS(PI()*MOD(Calculator!$B$33/Calculator!$F$11,1)),2)))),2))</f>
        <v>29.59</v>
      </c>
      <c r="AO83" s="116" t="n">
        <f aca="false">IF(OR(Calculator!$E$12&lt;&gt;"YES",Calculator!$B$33&lt;Calculator!$G$12),"—",ROUND(MAX((50*POWER(80,POWER(COS(PI()*MOD(Calculator!$B$33/Calculator!$F$12,1)),2)))/$C83,$C83/(50*POWER(80,POWER(COS(PI()*MOD(Calculator!$B$33/Calculator!$F$12,1)),2)))),2))</f>
        <v>2.27</v>
      </c>
      <c r="AP83" s="116" t="n">
        <f aca="false">IF(OR(Calculator!$E$13&lt;&gt;"YES",Calculator!$B$33&lt;Calculator!$G$13),"—",ROUND(MAX((50*POWER(80,POWER(COS(PI()*MOD(Calculator!$B$33/Calculator!$F$13,1)),2)))/$C83,$C83/(50*POWER(80,POWER(COS(PI()*MOD(Calculator!$B$33/Calculator!$F$13,1)),2)))),2))</f>
        <v>7.14</v>
      </c>
      <c r="AQ83" s="116" t="n">
        <f aca="false">IF(OR(Calculator!$E$14&lt;&gt;"YES",Calculator!$B$33&lt;Calculator!$G$14),"—",ROUND(MAX((50*POWER(80,POWER(COS(PI()*MOD(Calculator!$B$33/Calculator!$F$14,1)),2)))/$C83,$C83/(50*POWER(80,POWER(COS(PI()*MOD(Calculator!$B$33/Calculator!$F$14,1)),2)))),2))</f>
        <v>13.29</v>
      </c>
      <c r="AR83" s="116" t="n">
        <f aca="false">IF(OR(Calculator!$E$15&lt;&gt;"YES",Calculator!$B$33&lt;Calculator!$G$15),"—",ROUND(MAX((50*POWER(80,POWER(COS(PI()*MOD(Calculator!$B$33/Calculator!$F$15,1)),2)))/$C83,$C83/(50*POWER(80,POWER(COS(PI()*MOD(Calculator!$B$33/Calculator!$F$15,1)),2)))),2))</f>
        <v>8.09</v>
      </c>
      <c r="AS83" s="116" t="n">
        <f aca="false">IF(OR(Calculator!$E$16&lt;&gt;"YES",Calculator!$B$33&lt;Calculator!$G$16),"—",ROUND(MAX((50*POWER(80,POWER(COS(PI()*MOD(Calculator!$B$33/Calculator!$F$16,1)),2)))/$C83,$C83/(50*POWER(80,POWER(COS(PI()*MOD(Calculator!$B$33/Calculator!$F$16,1)),2)))),2))</f>
        <v>37.39</v>
      </c>
      <c r="AT83" s="116" t="n">
        <f aca="false">IF(OR(Calculator!$E$17&lt;&gt;"YES",Calculator!$B$33&lt;Calculator!$G$17),"—",ROUND(MAX((50*POWER(80,POWER(COS(PI()*MOD(Calculator!$B$33/Calculator!$F$17,1)),2)))/$C83,$C83/(50*POWER(80,POWER(COS(PI()*MOD(Calculator!$B$33/Calculator!$F$17,1)),2)))),2))</f>
        <v>1.39</v>
      </c>
      <c r="AU83" s="116" t="n">
        <f aca="false">IF(OR(Calculator!$E$18&lt;&gt;"YES",Calculator!$B$33&lt;Calculator!$G$18),"—",ROUND(MAX((50*POWER(80,POWER(COS(PI()*MOD(Calculator!$B$33/Calculator!$F$18,1)),2)))/$C83,$C83/(50*POWER(80,POWER(COS(PI()*MOD(Calculator!$B$33/Calculator!$F$18,1)),2)))),2))</f>
        <v>1.32</v>
      </c>
      <c r="AV83" s="116" t="n">
        <f aca="false">IF(OR(Calculator!$E$19&lt;&gt;"YES",Calculator!$B$33&lt;Calculator!$G$19),"—",ROUND(MAX((50*POWER(80,POWER(COS(PI()*MOD(Calculator!$B$33/Calculator!$F$19,1)),2)))/$C83,$C83/(50*POWER(80,POWER(COS(PI()*MOD(Calculator!$B$33/Calculator!$F$19,1)),2)))),2))</f>
        <v>1.29</v>
      </c>
      <c r="AW83" s="116" t="n">
        <f aca="false">IF(OR(Calculator!$E$20&lt;&gt;"YES",Calculator!$B$33&lt;Calculator!$G$20),"—",ROUND(MAX((50*POWER(80,POWER(COS(PI()*MOD(Calculator!$B$33/Calculator!$F$20,1)),2)))/$C83,$C83/(50*POWER(80,POWER(COS(PI()*MOD(Calculator!$B$33/Calculator!$F$20,1)),2)))),2))</f>
        <v>17.03</v>
      </c>
      <c r="AX83" s="116" t="n">
        <f aca="false">IF(OR(Calculator!$E$21&lt;&gt;"YES",Calculator!$B$33&lt;Calculator!$G$21),"—",ROUND(MAX((50*POWER(80,POWER(COS(PI()*MOD(Calculator!$B$33/Calculator!$F$21,1)),2)))/$C83,$C83/(50*POWER(80,POWER(COS(PI()*MOD(Calculator!$B$33/Calculator!$F$21,1)),2)))),2))</f>
        <v>2.18</v>
      </c>
      <c r="AY83" s="115" t="n">
        <f aca="false">IFERROR(ROUND((IF(ISNUMBER(AN83),AN83,0)+IF(ISNUMBER(AO83),AO83,0)+IF(ISNUMBER(AP83),AP83,0)+IF(ISNUMBER(AQ83),AQ83,0)+IF(ISNUMBER(AR83),AR83,0)+IF(ISNUMBER(AS83),AS83,0)+IF(ISNUMBER(AT83),AT83,0)+IF(ISNUMBER(AU83),AU83,0)+IF(ISNUMBER(AV83),AV83,0)+IF(ISNUMBER(AW83),AW83,0)+IF(ISNUMBER(AX83),AX83,0))/(IF(ISNUMBER(AN83),1,0)+IF(ISNUMBER(AO83),1,0)+IF(ISNUMBER(AP83),1,0)+IF(ISNUMBER(AQ83),1,0)+IF(ISNUMBER(AR83),1,0)+IF(ISNUMBER(AS83),1,0)+IF(ISNUMBER(AT83),1,0)+IF(ISNUMBER(AU83),1,0)+IF(ISNUMBER(AV83),1,0)+IF(ISNUMBER(AW83),1,0)+IF(ISNUMBER(AX83),1,0)),2),"")</f>
        <v>11</v>
      </c>
      <c r="AZ83" s="116" t="n">
        <f aca="false">IF(OR(Calculator!$E$11&lt;&gt;"YES",Calculator!$B$34&lt;Calculator!$G$11),"—",ROUND(MAX((50*POWER(80,POWER(COS(PI()*MOD(Calculator!$B$34/Calculator!$F$11,1)),2)))/$C83,$C83/(50*POWER(80,POWER(COS(PI()*MOD(Calculator!$B$34/Calculator!$F$11,1)),2)))),2))</f>
        <v>28.52</v>
      </c>
      <c r="BA83" s="116" t="n">
        <f aca="false">IF(OR(Calculator!$E$12&lt;&gt;"YES",Calculator!$B$34&lt;Calculator!$G$12),"—",ROUND(MAX((50*POWER(80,POWER(COS(PI()*MOD(Calculator!$B$34/Calculator!$F$12,1)),2)))/$C83,$C83/(50*POWER(80,POWER(COS(PI()*MOD(Calculator!$B$34/Calculator!$F$12,1)),2)))),2))</f>
        <v>2.5</v>
      </c>
      <c r="BB83" s="116" t="n">
        <f aca="false">IF(OR(Calculator!$E$13&lt;&gt;"YES",Calculator!$B$34&lt;Calculator!$G$13),"—",ROUND(MAX((50*POWER(80,POWER(COS(PI()*MOD(Calculator!$B$34/Calculator!$F$13,1)),2)))/$C83,$C83/(50*POWER(80,POWER(COS(PI()*MOD(Calculator!$B$34/Calculator!$F$13,1)),2)))),2))</f>
        <v>6.11</v>
      </c>
      <c r="BC83" s="116" t="n">
        <f aca="false">IF(OR(Calculator!$E$14&lt;&gt;"YES",Calculator!$B$34&lt;Calculator!$G$14),"—",ROUND(MAX((50*POWER(80,POWER(COS(PI()*MOD(Calculator!$B$34/Calculator!$F$14,1)),2)))/$C83,$C83/(50*POWER(80,POWER(COS(PI()*MOD(Calculator!$B$34/Calculator!$F$14,1)),2)))),2))</f>
        <v>16.02</v>
      </c>
      <c r="BD83" s="116" t="n">
        <f aca="false">IF(OR(Calculator!$E$15&lt;&gt;"YES",Calculator!$B$34&lt;Calculator!$G$15),"—",ROUND(MAX((50*POWER(80,POWER(COS(PI()*MOD(Calculator!$B$34/Calculator!$F$15,1)),2)))/$C83,$C83/(50*POWER(80,POWER(COS(PI()*MOD(Calculator!$B$34/Calculator!$F$15,1)),2)))),2))</f>
        <v>10.77</v>
      </c>
      <c r="BE83" s="116" t="n">
        <f aca="false">IF(OR(Calculator!$E$16&lt;&gt;"YES",Calculator!$B$34&lt;Calculator!$G$16),"—",ROUND(MAX((50*POWER(80,POWER(COS(PI()*MOD(Calculator!$B$34/Calculator!$F$16,1)),2)))/$C83,$C83/(50*POWER(80,POWER(COS(PI()*MOD(Calculator!$B$34/Calculator!$F$16,1)),2)))),2))</f>
        <v>29.34</v>
      </c>
      <c r="BF83" s="116" t="n">
        <f aca="false">IF(OR(Calculator!$E$17&lt;&gt;"YES",Calculator!$B$34&lt;Calculator!$G$17),"—",ROUND(MAX((50*POWER(80,POWER(COS(PI()*MOD(Calculator!$B$34/Calculator!$F$17,1)),2)))/$C83,$C83/(50*POWER(80,POWER(COS(PI()*MOD(Calculator!$B$34/Calculator!$F$17,1)),2)))),2))</f>
        <v>1.03</v>
      </c>
      <c r="BG83" s="116" t="n">
        <f aca="false">IF(OR(Calculator!$E$18&lt;&gt;"YES",Calculator!$B$34&lt;Calculator!$G$18),"—",ROUND(MAX((50*POWER(80,POWER(COS(PI()*MOD(Calculator!$B$34/Calculator!$F$18,1)),2)))/$C83,$C83/(50*POWER(80,POWER(COS(PI()*MOD(Calculator!$B$34/Calculator!$F$18,1)),2)))),2))</f>
        <v>1.12</v>
      </c>
      <c r="BH83" s="116" t="n">
        <f aca="false">IF(OR(Calculator!$E$19&lt;&gt;"YES",Calculator!$B$34&lt;Calculator!$G$19),"—",ROUND(MAX((50*POWER(80,POWER(COS(PI()*MOD(Calculator!$B$34/Calculator!$F$19,1)),2)))/$C83,$C83/(50*POWER(80,POWER(COS(PI()*MOD(Calculator!$B$34/Calculator!$F$19,1)),2)))),2))</f>
        <v>1.16</v>
      </c>
      <c r="BI83" s="116" t="n">
        <f aca="false">IF(OR(Calculator!$E$20&lt;&gt;"YES",Calculator!$B$34&lt;Calculator!$G$20),"—",ROUND(MAX((50*POWER(80,POWER(COS(PI()*MOD(Calculator!$B$34/Calculator!$F$20,1)),2)))/$C83,$C83/(50*POWER(80,POWER(COS(PI()*MOD(Calculator!$B$34/Calculator!$F$20,1)),2)))),2))</f>
        <v>31.92</v>
      </c>
      <c r="BJ83" s="116" t="n">
        <f aca="false">IF(OR(Calculator!$E$21&lt;&gt;"YES",Calculator!$B$34&lt;Calculator!$G$21),"—",ROUND(MAX((50*POWER(80,POWER(COS(PI()*MOD(Calculator!$B$34/Calculator!$F$21,1)),2)))/$C83,$C83/(50*POWER(80,POWER(COS(PI()*MOD(Calculator!$B$34/Calculator!$F$21,1)),2)))),2))</f>
        <v>1.29</v>
      </c>
      <c r="BK83" s="115" t="n">
        <f aca="false">IFERROR(ROUND((IF(ISNUMBER(AZ83),AZ83,0)+IF(ISNUMBER(BA83),BA83,0)+IF(ISNUMBER(BB83),BB83,0)+IF(ISNUMBER(BC83),BC83,0)+IF(ISNUMBER(BD83),BD83,0)+IF(ISNUMBER(BE83),BE83,0)+IF(ISNUMBER(BF83),BF83,0)+IF(ISNUMBER(BG83),BG83,0)+IF(ISNUMBER(BH83),BH83,0)+IF(ISNUMBER(BI83),BI83,0)+IF(ISNUMBER(BJ83),BJ83,0))/(IF(ISNUMBER(AZ83),1,0)+IF(ISNUMBER(BA83),1,0)+IF(ISNUMBER(BB83),1,0)+IF(ISNUMBER(BC83),1,0)+IF(ISNUMBER(BD83),1,0)+IF(ISNUMBER(BE83),1,0)+IF(ISNUMBER(BF83),1,0)+IF(ISNUMBER(BG83),1,0)+IF(ISNUMBER(BH83),1,0)+IF(ISNUMBER(BI83),1,0)+IF(ISNUMBER(BJ83),1,0)),2),"")</f>
        <v>11.8</v>
      </c>
    </row>
    <row r="84" customFormat="false" ht="15" hidden="false" customHeight="false" outlineLevel="0" collapsed="false">
      <c r="A84" s="117" t="s">
        <v>142</v>
      </c>
      <c r="B84" s="117" t="s">
        <v>93</v>
      </c>
      <c r="C84" s="118" t="n">
        <v>2600</v>
      </c>
      <c r="D84" s="119" t="n">
        <f aca="false">IF(OR(Calculator!$E$11&lt;&gt;"YES",Calculator!$B$30&lt;Calculator!$G$11),"—",ROUND(MAX((50*POWER(80,POWER(COS(PI()*MOD(Calculator!$B$30/Calculator!$F$11,1)),2)))/$C84,$C84/(50*POWER(80,POWER(COS(PI()*MOD(Calculator!$B$30/Calculator!$F$11,1)),2)))),2))</f>
        <v>29.44</v>
      </c>
      <c r="E84" s="119" t="n">
        <f aca="false">IF(OR(Calculator!$E$12&lt;&gt;"YES",Calculator!$B$30&lt;Calculator!$G$12),"—",ROUND(MAX((50*POWER(80,POWER(COS(PI()*MOD(Calculator!$B$30/Calculator!$F$12,1)),2)))/$C84,$C84/(50*POWER(80,POWER(COS(PI()*MOD(Calculator!$B$30/Calculator!$F$12,1)),2)))),2))</f>
        <v>2.46</v>
      </c>
      <c r="F84" s="119" t="n">
        <f aca="false">IF(OR(Calculator!$E$13&lt;&gt;"YES",Calculator!$B$30&lt;Calculator!$G$13),"—",ROUND(MAX((50*POWER(80,POWER(COS(PI()*MOD(Calculator!$B$30/Calculator!$F$13,1)),2)))/$C84,$C84/(50*POWER(80,POWER(COS(PI()*MOD(Calculator!$B$30/Calculator!$F$13,1)),2)))),2))</f>
        <v>6.56</v>
      </c>
      <c r="G84" s="119" t="n">
        <f aca="false">IF(OR(Calculator!$E$14&lt;&gt;"YES",Calculator!$B$30&lt;Calculator!$G$14),"—",ROUND(MAX((50*POWER(80,POWER(COS(PI()*MOD(Calculator!$B$30/Calculator!$F$14,1)),2)))/$C84,$C84/(50*POWER(80,POWER(COS(PI()*MOD(Calculator!$B$30/Calculator!$F$14,1)),2)))),2))</f>
        <v>15.36</v>
      </c>
      <c r="H84" s="119" t="n">
        <f aca="false">IF(OR(Calculator!$E$15&lt;&gt;"YES",Calculator!$B$30&lt;Calculator!$G$15),"—",ROUND(MAX((50*POWER(80,POWER(COS(PI()*MOD(Calculator!$B$30/Calculator!$F$15,1)),2)))/$C84,$C84/(50*POWER(80,POWER(COS(PI()*MOD(Calculator!$B$30/Calculator!$F$15,1)),2)))),2))</f>
        <v>9.99</v>
      </c>
      <c r="I84" s="119" t="n">
        <f aca="false">IF(OR(Calculator!$E$16&lt;&gt;"YES",Calculator!$B$30&lt;Calculator!$G$16),"—",ROUND(MAX((50*POWER(80,POWER(COS(PI()*MOD(Calculator!$B$30/Calculator!$F$16,1)),2)))/$C84,$C84/(50*POWER(80,POWER(COS(PI()*MOD(Calculator!$B$30/Calculator!$F$16,1)),2)))),2))</f>
        <v>32.66</v>
      </c>
      <c r="J84" s="119" t="n">
        <f aca="false">IF(OR(Calculator!$E$17&lt;&gt;"YES",Calculator!$B$30&lt;Calculator!$G$17),"—",ROUND(MAX((50*POWER(80,POWER(COS(PI()*MOD(Calculator!$B$30/Calculator!$F$17,1)),2)))/$C84,$C84/(50*POWER(80,POWER(COS(PI()*MOD(Calculator!$B$30/Calculator!$F$17,1)),2)))),2))</f>
        <v>1.11</v>
      </c>
      <c r="K84" s="119" t="n">
        <f aca="false">IF(OR(Calculator!$E$18&lt;&gt;"YES",Calculator!$B$30&lt;Calculator!$G$18),"—",ROUND(MAX((50*POWER(80,POWER(COS(PI()*MOD(Calculator!$B$30/Calculator!$F$18,1)),2)))/$C84,$C84/(50*POWER(80,POWER(COS(PI()*MOD(Calculator!$B$30/Calculator!$F$18,1)),2)))),2))</f>
        <v>1.02</v>
      </c>
      <c r="L84" s="119" t="n">
        <f aca="false">IF(OR(Calculator!$E$19&lt;&gt;"YES",Calculator!$B$30&lt;Calculator!$G$19),"—",ROUND(MAX((50*POWER(80,POWER(COS(PI()*MOD(Calculator!$B$30/Calculator!$F$19,1)),2)))/$C84,$C84/(50*POWER(80,POWER(COS(PI()*MOD(Calculator!$B$30/Calculator!$F$19,1)),2)))),2))</f>
        <v>1.01</v>
      </c>
      <c r="M84" s="119" t="n">
        <f aca="false">IF(OR(Calculator!$E$20&lt;&gt;"YES",Calculator!$B$30&lt;Calculator!$G$20),"—",ROUND(MAX((50*POWER(80,POWER(COS(PI()*MOD(Calculator!$B$30/Calculator!$F$20,1)),2)))/$C84,$C84/(50*POWER(80,POWER(COS(PI()*MOD(Calculator!$B$30/Calculator!$F$20,1)),2)))),2))</f>
        <v>27.03</v>
      </c>
      <c r="N84" s="119" t="n">
        <f aca="false">IF(OR(Calculator!$E$21&lt;&gt;"YES",Calculator!$B$30&lt;Calculator!$G$21),"—",ROUND(MAX((50*POWER(80,POWER(COS(PI()*MOD(Calculator!$B$30/Calculator!$F$21,1)),2)))/$C84,$C84/(50*POWER(80,POWER(COS(PI()*MOD(Calculator!$B$30/Calculator!$F$21,1)),2)))),2))</f>
        <v>1.03</v>
      </c>
      <c r="O84" s="114" t="n">
        <f aca="false">IFERROR(ROUND((IF(ISNUMBER(D84),D84,0)+IF(ISNUMBER(E84),E84,0)+IF(ISNUMBER(F84),F84,0)+IF(ISNUMBER(G84),G84,0)+IF(ISNUMBER(H84),H84,0)+IF(ISNUMBER(I84),I84,0)+IF(ISNUMBER(J84),J84,0)+IF(ISNUMBER(K84),K84,0)+IF(ISNUMBER(L84),L84,0)+IF(ISNUMBER(M84),M84,0)+IF(ISNUMBER(N84),N84,0))/(IF(ISNUMBER(D84),1,0)+IF(ISNUMBER(E84),1,0)+IF(ISNUMBER(F84),1,0)+IF(ISNUMBER(G84),1,0)+IF(ISNUMBER(H84),1,0)+IF(ISNUMBER(I84),1,0)+IF(ISNUMBER(J84),1,0)+IF(ISNUMBER(K84),1,0)+IF(ISNUMBER(L84),1,0)+IF(ISNUMBER(M84),1,0)+IF(ISNUMBER(N84),1,0)),2),"")</f>
        <v>11.61</v>
      </c>
      <c r="P84" s="119" t="n">
        <f aca="false">IF(OR(Calculator!$E$11&lt;&gt;"YES",Calculator!$B$31&lt;Calculator!$G$11),"—",ROUND(MAX((50*POWER(80,POWER(COS(PI()*MOD(Calculator!$B$31/Calculator!$F$11,1)),2)))/$C84,$C84/(50*POWER(80,POWER(COS(PI()*MOD(Calculator!$B$31/Calculator!$F$11,1)),2)))),2))</f>
        <v>29.8</v>
      </c>
      <c r="Q84" s="119" t="n">
        <f aca="false">IF(OR(Calculator!$E$12&lt;&gt;"YES",Calculator!$B$31&lt;Calculator!$G$12),"—",ROUND(MAX((50*POWER(80,POWER(COS(PI()*MOD(Calculator!$B$31/Calculator!$F$12,1)),2)))/$C84,$C84/(50*POWER(80,POWER(COS(PI()*MOD(Calculator!$B$31/Calculator!$F$12,1)),2)))),2))</f>
        <v>2.39</v>
      </c>
      <c r="R84" s="119" t="n">
        <f aca="false">IF(OR(Calculator!$E$13&lt;&gt;"YES",Calculator!$B$31&lt;Calculator!$G$13),"—",ROUND(MAX((50*POWER(80,POWER(COS(PI()*MOD(Calculator!$B$31/Calculator!$F$13,1)),2)))/$C84,$C84/(50*POWER(80,POWER(COS(PI()*MOD(Calculator!$B$31/Calculator!$F$13,1)),2)))),2))</f>
        <v>6.91</v>
      </c>
      <c r="S84" s="119" t="n">
        <f aca="false">IF(OR(Calculator!$E$14&lt;&gt;"YES",Calculator!$B$31&lt;Calculator!$G$14),"—",ROUND(MAX((50*POWER(80,POWER(COS(PI()*MOD(Calculator!$B$31/Calculator!$F$14,1)),2)))/$C84,$C84/(50*POWER(80,POWER(COS(PI()*MOD(Calculator!$B$31/Calculator!$F$14,1)),2)))),2))</f>
        <v>14.43</v>
      </c>
      <c r="T84" s="119" t="n">
        <f aca="false">IF(OR(Calculator!$E$15&lt;&gt;"YES",Calculator!$B$31&lt;Calculator!$G$15),"—",ROUND(MAX((50*POWER(80,POWER(COS(PI()*MOD(Calculator!$B$31/Calculator!$F$15,1)),2)))/$C84,$C84/(50*POWER(80,POWER(COS(PI()*MOD(Calculator!$B$31/Calculator!$F$15,1)),2)))),2))</f>
        <v>9.08</v>
      </c>
      <c r="U84" s="119" t="n">
        <f aca="false">IF(OR(Calculator!$E$16&lt;&gt;"YES",Calculator!$B$31&lt;Calculator!$G$16),"—",ROUND(MAX((50*POWER(80,POWER(COS(PI()*MOD(Calculator!$B$31/Calculator!$F$16,1)),2)))/$C84,$C84/(50*POWER(80,POWER(COS(PI()*MOD(Calculator!$B$31/Calculator!$F$16,1)),2)))),2))</f>
        <v>35.41</v>
      </c>
      <c r="V84" s="119" t="n">
        <f aca="false">IF(OR(Calculator!$E$17&lt;&gt;"YES",Calculator!$B$31&lt;Calculator!$G$17),"—",ROUND(MAX((50*POWER(80,POWER(COS(PI()*MOD(Calculator!$B$31/Calculator!$F$17,1)),2)))/$C84,$C84/(50*POWER(80,POWER(COS(PI()*MOD(Calculator!$B$31/Calculator!$F$17,1)),2)))),2))</f>
        <v>1.25</v>
      </c>
      <c r="W84" s="119" t="n">
        <f aca="false">IF(OR(Calculator!$E$18&lt;&gt;"YES",Calculator!$B$31&lt;Calculator!$G$18),"—",ROUND(MAX((50*POWER(80,POWER(COS(PI()*MOD(Calculator!$B$31/Calculator!$F$18,1)),2)))/$C84,$C84/(50*POWER(80,POWER(COS(PI()*MOD(Calculator!$B$31/Calculator!$F$18,1)),2)))),2))</f>
        <v>1.16</v>
      </c>
      <c r="X84" s="119" t="n">
        <f aca="false">IF(OR(Calculator!$E$19&lt;&gt;"YES",Calculator!$B$31&lt;Calculator!$G$19),"—",ROUND(MAX((50*POWER(80,POWER(COS(PI()*MOD(Calculator!$B$31/Calculator!$F$19,1)),2)))/$C84,$C84/(50*POWER(80,POWER(COS(PI()*MOD(Calculator!$B$31/Calculator!$F$19,1)),2)))),2))</f>
        <v>1.13</v>
      </c>
      <c r="Y84" s="119" t="n">
        <f aca="false">IF(OR(Calculator!$E$20&lt;&gt;"YES",Calculator!$B$31&lt;Calculator!$G$20),"—",ROUND(MAX((50*POWER(80,POWER(COS(PI()*MOD(Calculator!$B$31/Calculator!$F$20,1)),2)))/$C84,$C84/(50*POWER(80,POWER(COS(PI()*MOD(Calculator!$B$31/Calculator!$F$20,1)),2)))),2))</f>
        <v>21.9</v>
      </c>
      <c r="Z84" s="119" t="n">
        <f aca="false">IF(OR(Calculator!$E$21&lt;&gt;"YES",Calculator!$B$31&lt;Calculator!$G$21),"—",ROUND(MAX((50*POWER(80,POWER(COS(PI()*MOD(Calculator!$B$31/Calculator!$F$21,1)),2)))/$C84,$C84/(50*POWER(80,POWER(COS(PI()*MOD(Calculator!$B$31/Calculator!$F$21,1)),2)))),2))</f>
        <v>1.45</v>
      </c>
      <c r="AA84" s="114" t="n">
        <f aca="false">IFERROR(ROUND((IF(ISNUMBER(P84),P84,0)+IF(ISNUMBER(Q84),Q84,0)+IF(ISNUMBER(R84),R84,0)+IF(ISNUMBER(S84),S84,0)+IF(ISNUMBER(T84),T84,0)+IF(ISNUMBER(U84),U84,0)+IF(ISNUMBER(V84),V84,0)+IF(ISNUMBER(W84),W84,0)+IF(ISNUMBER(X84),X84,0)+IF(ISNUMBER(Y84),Y84,0)+IF(ISNUMBER(Z84),Z84,0))/(IF(ISNUMBER(P84),1,0)+IF(ISNUMBER(Q84),1,0)+IF(ISNUMBER(R84),1,0)+IF(ISNUMBER(S84),1,0)+IF(ISNUMBER(T84),1,0)+IF(ISNUMBER(U84),1,0)+IF(ISNUMBER(V84),1,0)+IF(ISNUMBER(W84),1,0)+IF(ISNUMBER(X84),1,0)+IF(ISNUMBER(Y84),1,0)+IF(ISNUMBER(Z84),1,0)),2),"")</f>
        <v>11.36</v>
      </c>
      <c r="AB84" s="119" t="n">
        <f aca="false">IF(OR(Calculator!$E$11&lt;&gt;"YES",Calculator!$B$32&lt;Calculator!$G$11),"—",ROUND(MAX((50*POWER(80,POWER(COS(PI()*MOD(Calculator!$B$32/Calculator!$F$11,1)),2)))/$C84,$C84/(50*POWER(80,POWER(COS(PI()*MOD(Calculator!$B$32/Calculator!$F$11,1)),2)))),2))</f>
        <v>37.52</v>
      </c>
      <c r="AC84" s="119" t="n">
        <f aca="false">IF(OR(Calculator!$E$12&lt;&gt;"YES",Calculator!$B$32&lt;Calculator!$G$12),"—",ROUND(MAX((50*POWER(80,POWER(COS(PI()*MOD(Calculator!$B$32/Calculator!$F$12,1)),2)))/$C84,$C84/(50*POWER(80,POWER(COS(PI()*MOD(Calculator!$B$32/Calculator!$F$12,1)),2)))),2))</f>
        <v>1.29</v>
      </c>
      <c r="AD84" s="119" t="n">
        <f aca="false">IF(OR(Calculator!$E$13&lt;&gt;"YES",Calculator!$B$32&lt;Calculator!$G$13),"—",ROUND(MAX((50*POWER(80,POWER(COS(PI()*MOD(Calculator!$B$32/Calculator!$F$13,1)),2)))/$C84,$C84/(50*POWER(80,POWER(COS(PI()*MOD(Calculator!$B$32/Calculator!$F$13,1)),2)))),2))</f>
        <v>19.14</v>
      </c>
      <c r="AE84" s="119" t="n">
        <f aca="false">IF(OR(Calculator!$E$14&lt;&gt;"YES",Calculator!$B$32&lt;Calculator!$G$14),"—",ROUND(MAX((50*POWER(80,POWER(COS(PI()*MOD(Calculator!$B$32/Calculator!$F$14,1)),2)))/$C84,$C84/(50*POWER(80,POWER(COS(PI()*MOD(Calculator!$B$32/Calculator!$F$14,1)),2)))),2))</f>
        <v>3.5</v>
      </c>
      <c r="AF84" s="119" t="n">
        <f aca="false">IF(OR(Calculator!$E$15&lt;&gt;"YES",Calculator!$B$32&lt;Calculator!$G$15),"—",ROUND(MAX((50*POWER(80,POWER(COS(PI()*MOD(Calculator!$B$32/Calculator!$F$15,1)),2)))/$C84,$C84/(50*POWER(80,POWER(COS(PI()*MOD(Calculator!$B$32/Calculator!$F$15,1)),2)))),2))</f>
        <v>1.34</v>
      </c>
      <c r="AG84" s="119" t="n">
        <f aca="false">IF(OR(Calculator!$E$16&lt;&gt;"YES",Calculator!$B$32&lt;Calculator!$G$16),"—",ROUND(MAX((50*POWER(80,POWER(COS(PI()*MOD(Calculator!$B$32/Calculator!$F$16,1)),2)))/$C84,$C84/(50*POWER(80,POWER(COS(PI()*MOD(Calculator!$B$32/Calculator!$F$16,1)),2)))),2))</f>
        <v>30.57</v>
      </c>
      <c r="AH84" s="119" t="n">
        <f aca="false">IF(OR(Calculator!$E$17&lt;&gt;"YES",Calculator!$B$32&lt;Calculator!$G$17),"—",ROUND(MAX((50*POWER(80,POWER(COS(PI()*MOD(Calculator!$B$32/Calculator!$F$17,1)),2)))/$C84,$C84/(50*POWER(80,POWER(COS(PI()*MOD(Calculator!$B$32/Calculator!$F$17,1)),2)))),2))</f>
        <v>32.27</v>
      </c>
      <c r="AI84" s="119" t="n">
        <f aca="false">IF(OR(Calculator!$E$18&lt;&gt;"YES",Calculator!$B$32&lt;Calculator!$G$18),"—",ROUND(MAX((50*POWER(80,POWER(COS(PI()*MOD(Calculator!$B$32/Calculator!$F$18,1)),2)))/$C84,$C84/(50*POWER(80,POWER(COS(PI()*MOD(Calculator!$B$32/Calculator!$F$18,1)),2)))),2))</f>
        <v>42.56</v>
      </c>
      <c r="AJ84" s="119" t="n">
        <f aca="false">IF(OR(Calculator!$E$19&lt;&gt;"YES",Calculator!$B$32&lt;Calculator!$G$19),"—",ROUND(MAX((50*POWER(80,POWER(COS(PI()*MOD(Calculator!$B$32/Calculator!$F$19,1)),2)))/$C84,$C84/(50*POWER(80,POWER(COS(PI()*MOD(Calculator!$B$32/Calculator!$F$19,1)),2)))),2))</f>
        <v>8.97</v>
      </c>
      <c r="AK84" s="119" t="n">
        <f aca="false">IF(OR(Calculator!$E$20&lt;&gt;"YES",Calculator!$B$32&lt;Calculator!$G$20),"—",ROUND(MAX((50*POWER(80,POWER(COS(PI()*MOD(Calculator!$B$32/Calculator!$F$20,1)),2)))/$C84,$C84/(50*POWER(80,POWER(COS(PI()*MOD(Calculator!$B$32/Calculator!$F$20,1)),2)))),2))</f>
        <v>1.24</v>
      </c>
      <c r="AL84" s="119" t="n">
        <f aca="false">IF(OR(Calculator!$E$21&lt;&gt;"YES",Calculator!$B$32&lt;Calculator!$G$21),"—",ROUND(MAX((50*POWER(80,POWER(COS(PI()*MOD(Calculator!$B$32/Calculator!$F$21,1)),2)))/$C84,$C84/(50*POWER(80,POWER(COS(PI()*MOD(Calculator!$B$32/Calculator!$F$21,1)),2)))),2))</f>
        <v>1.07</v>
      </c>
      <c r="AM84" s="115" t="n">
        <f aca="false">IFERROR(ROUND((IF(ISNUMBER(AB84),AB84,0)+IF(ISNUMBER(AC84),AC84,0)+IF(ISNUMBER(AD84),AD84,0)+IF(ISNUMBER(AE84),AE84,0)+IF(ISNUMBER(AF84),AF84,0)+IF(ISNUMBER(AG84),AG84,0)+IF(ISNUMBER(AH84),AH84,0)+IF(ISNUMBER(AI84),AI84,0)+IF(ISNUMBER(AJ84),AJ84,0)+IF(ISNUMBER(AK84),AK84,0)+IF(ISNUMBER(AL84),AL84,0))/(IF(ISNUMBER(AB84),1,0)+IF(ISNUMBER(AC84),1,0)+IF(ISNUMBER(AD84),1,0)+IF(ISNUMBER(AE84),1,0)+IF(ISNUMBER(AF84),1,0)+IF(ISNUMBER(AG84),1,0)+IF(ISNUMBER(AH84),1,0)+IF(ISNUMBER(AI84),1,0)+IF(ISNUMBER(AJ84),1,0)+IF(ISNUMBER(AK84),1,0)+IF(ISNUMBER(AL84),1,0)),2),"")</f>
        <v>16.32</v>
      </c>
      <c r="AN84" s="120" t="n">
        <f aca="false">IF(OR(Calculator!$E$11&lt;&gt;"YES",Calculator!$B$33&lt;Calculator!$G$11),"—",ROUND(MAX((50*POWER(80,POWER(COS(PI()*MOD(Calculator!$B$33/Calculator!$F$11,1)),2)))/$C84,$C84/(50*POWER(80,POWER(COS(PI()*MOD(Calculator!$B$33/Calculator!$F$11,1)),2)))),2))</f>
        <v>30.17</v>
      </c>
      <c r="AO84" s="120" t="n">
        <f aca="false">IF(OR(Calculator!$E$12&lt;&gt;"YES",Calculator!$B$33&lt;Calculator!$G$12),"—",ROUND(MAX((50*POWER(80,POWER(COS(PI()*MOD(Calculator!$B$33/Calculator!$F$12,1)),2)))/$C84,$C84/(50*POWER(80,POWER(COS(PI()*MOD(Calculator!$B$33/Calculator!$F$12,1)),2)))),2))</f>
        <v>2.31</v>
      </c>
      <c r="AP84" s="120" t="n">
        <f aca="false">IF(OR(Calculator!$E$13&lt;&gt;"YES",Calculator!$B$33&lt;Calculator!$G$13),"—",ROUND(MAX((50*POWER(80,POWER(COS(PI()*MOD(Calculator!$B$33/Calculator!$F$13,1)),2)))/$C84,$C84/(50*POWER(80,POWER(COS(PI()*MOD(Calculator!$B$33/Calculator!$F$13,1)),2)))),2))</f>
        <v>7.28</v>
      </c>
      <c r="AQ84" s="120" t="n">
        <f aca="false">IF(OR(Calculator!$E$14&lt;&gt;"YES",Calculator!$B$33&lt;Calculator!$G$14),"—",ROUND(MAX((50*POWER(80,POWER(COS(PI()*MOD(Calculator!$B$33/Calculator!$F$14,1)),2)))/$C84,$C84/(50*POWER(80,POWER(COS(PI()*MOD(Calculator!$B$33/Calculator!$F$14,1)),2)))),2))</f>
        <v>13.55</v>
      </c>
      <c r="AR84" s="120" t="n">
        <f aca="false">IF(OR(Calculator!$E$15&lt;&gt;"YES",Calculator!$B$33&lt;Calculator!$G$15),"—",ROUND(MAX((50*POWER(80,POWER(COS(PI()*MOD(Calculator!$B$33/Calculator!$F$15,1)),2)))/$C84,$C84/(50*POWER(80,POWER(COS(PI()*MOD(Calculator!$B$33/Calculator!$F$15,1)),2)))),2))</f>
        <v>8.25</v>
      </c>
      <c r="AS84" s="120" t="n">
        <f aca="false">IF(OR(Calculator!$E$16&lt;&gt;"YES",Calculator!$B$33&lt;Calculator!$G$16),"—",ROUND(MAX((50*POWER(80,POWER(COS(PI()*MOD(Calculator!$B$33/Calculator!$F$16,1)),2)))/$C84,$C84/(50*POWER(80,POWER(COS(PI()*MOD(Calculator!$B$33/Calculator!$F$16,1)),2)))),2))</f>
        <v>38.13</v>
      </c>
      <c r="AT84" s="120" t="n">
        <f aca="false">IF(OR(Calculator!$E$17&lt;&gt;"YES",Calculator!$B$33&lt;Calculator!$G$17),"—",ROUND(MAX((50*POWER(80,POWER(COS(PI()*MOD(Calculator!$B$33/Calculator!$F$17,1)),2)))/$C84,$C84/(50*POWER(80,POWER(COS(PI()*MOD(Calculator!$B$33/Calculator!$F$17,1)),2)))),2))</f>
        <v>1.42</v>
      </c>
      <c r="AU84" s="120" t="n">
        <f aca="false">IF(OR(Calculator!$E$18&lt;&gt;"YES",Calculator!$B$33&lt;Calculator!$G$18),"—",ROUND(MAX((50*POWER(80,POWER(COS(PI()*MOD(Calculator!$B$33/Calculator!$F$18,1)),2)))/$C84,$C84/(50*POWER(80,POWER(COS(PI()*MOD(Calculator!$B$33/Calculator!$F$18,1)),2)))),2))</f>
        <v>1.34</v>
      </c>
      <c r="AV84" s="120" t="n">
        <f aca="false">IF(OR(Calculator!$E$19&lt;&gt;"YES",Calculator!$B$33&lt;Calculator!$G$19),"—",ROUND(MAX((50*POWER(80,POWER(COS(PI()*MOD(Calculator!$B$33/Calculator!$F$19,1)),2)))/$C84,$C84/(50*POWER(80,POWER(COS(PI()*MOD(Calculator!$B$33/Calculator!$F$19,1)),2)))),2))</f>
        <v>1.26</v>
      </c>
      <c r="AW84" s="120" t="n">
        <f aca="false">IF(OR(Calculator!$E$20&lt;&gt;"YES",Calculator!$B$33&lt;Calculator!$G$20),"—",ROUND(MAX((50*POWER(80,POWER(COS(PI()*MOD(Calculator!$B$33/Calculator!$F$20,1)),2)))/$C84,$C84/(50*POWER(80,POWER(COS(PI()*MOD(Calculator!$B$33/Calculator!$F$20,1)),2)))),2))</f>
        <v>17.37</v>
      </c>
      <c r="AX84" s="120" t="n">
        <f aca="false">IF(OR(Calculator!$E$21&lt;&gt;"YES",Calculator!$B$33&lt;Calculator!$G$21),"—",ROUND(MAX((50*POWER(80,POWER(COS(PI()*MOD(Calculator!$B$33/Calculator!$F$21,1)),2)))/$C84,$C84/(50*POWER(80,POWER(COS(PI()*MOD(Calculator!$B$33/Calculator!$F$21,1)),2)))),2))</f>
        <v>2.22</v>
      </c>
      <c r="AY84" s="115" t="n">
        <f aca="false">IFERROR(ROUND((IF(ISNUMBER(AN84),AN84,0)+IF(ISNUMBER(AO84),AO84,0)+IF(ISNUMBER(AP84),AP84,0)+IF(ISNUMBER(AQ84),AQ84,0)+IF(ISNUMBER(AR84),AR84,0)+IF(ISNUMBER(AS84),AS84,0)+IF(ISNUMBER(AT84),AT84,0)+IF(ISNUMBER(AU84),AU84,0)+IF(ISNUMBER(AV84),AV84,0)+IF(ISNUMBER(AW84),AW84,0)+IF(ISNUMBER(AX84),AX84,0))/(IF(ISNUMBER(AN84),1,0)+IF(ISNUMBER(AO84),1,0)+IF(ISNUMBER(AP84),1,0)+IF(ISNUMBER(AQ84),1,0)+IF(ISNUMBER(AR84),1,0)+IF(ISNUMBER(AS84),1,0)+IF(ISNUMBER(AT84),1,0)+IF(ISNUMBER(AU84),1,0)+IF(ISNUMBER(AV84),1,0)+IF(ISNUMBER(AW84),1,0)+IF(ISNUMBER(AX84),1,0)),2),"")</f>
        <v>11.21</v>
      </c>
      <c r="AZ84" s="120" t="n">
        <f aca="false">IF(OR(Calculator!$E$11&lt;&gt;"YES",Calculator!$B$34&lt;Calculator!$G$11),"—",ROUND(MAX((50*POWER(80,POWER(COS(PI()*MOD(Calculator!$B$34/Calculator!$F$11,1)),2)))/$C84,$C84/(50*POWER(80,POWER(COS(PI()*MOD(Calculator!$B$34/Calculator!$F$11,1)),2)))),2))</f>
        <v>29.08</v>
      </c>
      <c r="BA84" s="120" t="n">
        <f aca="false">IF(OR(Calculator!$E$12&lt;&gt;"YES",Calculator!$B$34&lt;Calculator!$G$12),"—",ROUND(MAX((50*POWER(80,POWER(COS(PI()*MOD(Calculator!$B$34/Calculator!$F$12,1)),2)))/$C84,$C84/(50*POWER(80,POWER(COS(PI()*MOD(Calculator!$B$34/Calculator!$F$12,1)),2)))),2))</f>
        <v>2.55</v>
      </c>
      <c r="BB84" s="120" t="n">
        <f aca="false">IF(OR(Calculator!$E$13&lt;&gt;"YES",Calculator!$B$34&lt;Calculator!$G$13),"—",ROUND(MAX((50*POWER(80,POWER(COS(PI()*MOD(Calculator!$B$34/Calculator!$F$13,1)),2)))/$C84,$C84/(50*POWER(80,POWER(COS(PI()*MOD(Calculator!$B$34/Calculator!$F$13,1)),2)))),2))</f>
        <v>6.23</v>
      </c>
      <c r="BC84" s="120" t="n">
        <f aca="false">IF(OR(Calculator!$E$14&lt;&gt;"YES",Calculator!$B$34&lt;Calculator!$G$14),"—",ROUND(MAX((50*POWER(80,POWER(COS(PI()*MOD(Calculator!$B$34/Calculator!$F$14,1)),2)))/$C84,$C84/(50*POWER(80,POWER(COS(PI()*MOD(Calculator!$B$34/Calculator!$F$14,1)),2)))),2))</f>
        <v>16.33</v>
      </c>
      <c r="BD84" s="120" t="n">
        <f aca="false">IF(OR(Calculator!$E$15&lt;&gt;"YES",Calculator!$B$34&lt;Calculator!$G$15),"—",ROUND(MAX((50*POWER(80,POWER(COS(PI()*MOD(Calculator!$B$34/Calculator!$F$15,1)),2)))/$C84,$C84/(50*POWER(80,POWER(COS(PI()*MOD(Calculator!$B$34/Calculator!$F$15,1)),2)))),2))</f>
        <v>10.98</v>
      </c>
      <c r="BE84" s="120" t="n">
        <f aca="false">IF(OR(Calculator!$E$16&lt;&gt;"YES",Calculator!$B$34&lt;Calculator!$G$16),"—",ROUND(MAX((50*POWER(80,POWER(COS(PI()*MOD(Calculator!$B$34/Calculator!$F$16,1)),2)))/$C84,$C84/(50*POWER(80,POWER(COS(PI()*MOD(Calculator!$B$34/Calculator!$F$16,1)),2)))),2))</f>
        <v>29.92</v>
      </c>
      <c r="BF84" s="120" t="n">
        <f aca="false">IF(OR(Calculator!$E$17&lt;&gt;"YES",Calculator!$B$34&lt;Calculator!$G$17),"—",ROUND(MAX((50*POWER(80,POWER(COS(PI()*MOD(Calculator!$B$34/Calculator!$F$17,1)),2)))/$C84,$C84/(50*POWER(80,POWER(COS(PI()*MOD(Calculator!$B$34/Calculator!$F$17,1)),2)))),2))</f>
        <v>1.01</v>
      </c>
      <c r="BG84" s="120" t="n">
        <f aca="false">IF(OR(Calculator!$E$18&lt;&gt;"YES",Calculator!$B$34&lt;Calculator!$G$18),"—",ROUND(MAX((50*POWER(80,POWER(COS(PI()*MOD(Calculator!$B$34/Calculator!$F$18,1)),2)))/$C84,$C84/(50*POWER(80,POWER(COS(PI()*MOD(Calculator!$B$34/Calculator!$F$18,1)),2)))),2))</f>
        <v>1.1</v>
      </c>
      <c r="BH84" s="120" t="n">
        <f aca="false">IF(OR(Calculator!$E$19&lt;&gt;"YES",Calculator!$B$34&lt;Calculator!$G$19),"—",ROUND(MAX((50*POWER(80,POWER(COS(PI()*MOD(Calculator!$B$34/Calculator!$F$19,1)),2)))/$C84,$C84/(50*POWER(80,POWER(COS(PI()*MOD(Calculator!$B$34/Calculator!$F$19,1)),2)))),2))</f>
        <v>1.19</v>
      </c>
      <c r="BI84" s="120" t="n">
        <f aca="false">IF(OR(Calculator!$E$20&lt;&gt;"YES",Calculator!$B$34&lt;Calculator!$G$20),"—",ROUND(MAX((50*POWER(80,POWER(COS(PI()*MOD(Calculator!$B$34/Calculator!$F$20,1)),2)))/$C84,$C84/(50*POWER(80,POWER(COS(PI()*MOD(Calculator!$B$34/Calculator!$F$20,1)),2)))),2))</f>
        <v>32.55</v>
      </c>
      <c r="BJ84" s="120" t="n">
        <f aca="false">IF(OR(Calculator!$E$21&lt;&gt;"YES",Calculator!$B$34&lt;Calculator!$G$21),"—",ROUND(MAX((50*POWER(80,POWER(COS(PI()*MOD(Calculator!$B$34/Calculator!$F$21,1)),2)))/$C84,$C84/(50*POWER(80,POWER(COS(PI()*MOD(Calculator!$B$34/Calculator!$F$21,1)),2)))),2))</f>
        <v>1.26</v>
      </c>
      <c r="BK84" s="115" t="n">
        <f aca="false">IFERROR(ROUND((IF(ISNUMBER(AZ84),AZ84,0)+IF(ISNUMBER(BA84),BA84,0)+IF(ISNUMBER(BB84),BB84,0)+IF(ISNUMBER(BC84),BC84,0)+IF(ISNUMBER(BD84),BD84,0)+IF(ISNUMBER(BE84),BE84,0)+IF(ISNUMBER(BF84),BF84,0)+IF(ISNUMBER(BG84),BG84,0)+IF(ISNUMBER(BH84),BH84,0)+IF(ISNUMBER(BI84),BI84,0)+IF(ISNUMBER(BJ84),BJ84,0))/(IF(ISNUMBER(AZ84),1,0)+IF(ISNUMBER(BA84),1,0)+IF(ISNUMBER(BB84),1,0)+IF(ISNUMBER(BC84),1,0)+IF(ISNUMBER(BD84),1,0)+IF(ISNUMBER(BE84),1,0)+IF(ISNUMBER(BF84),1,0)+IF(ISNUMBER(BG84),1,0)+IF(ISNUMBER(BH84),1,0)+IF(ISNUMBER(BI84),1,0)+IF(ISNUMBER(BJ84),1,0)),2),"")</f>
        <v>12.02</v>
      </c>
    </row>
    <row r="85" customFormat="false" ht="15" hidden="false" customHeight="false" outlineLevel="0" collapsed="false">
      <c r="A85" s="87" t="s">
        <v>143</v>
      </c>
      <c r="B85" s="87" t="s">
        <v>93</v>
      </c>
      <c r="C85" s="90" t="n">
        <v>2650</v>
      </c>
      <c r="D85" s="91" t="n">
        <f aca="false">IF(OR(Calculator!$E$11&lt;&gt;"YES",Calculator!$B$30&lt;Calculator!$G$11),"—",ROUND(MAX((50*POWER(80,POWER(COS(PI()*MOD(Calculator!$B$30/Calculator!$F$11,1)),2)))/$C85,$C85/(50*POWER(80,POWER(COS(PI()*MOD(Calculator!$B$30/Calculator!$F$11,1)),2)))),2))</f>
        <v>30</v>
      </c>
      <c r="E85" s="91" t="n">
        <f aca="false">IF(OR(Calculator!$E$12&lt;&gt;"YES",Calculator!$B$30&lt;Calculator!$G$12),"—",ROUND(MAX((50*POWER(80,POWER(COS(PI()*MOD(Calculator!$B$30/Calculator!$F$12,1)),2)))/$C85,$C85/(50*POWER(80,POWER(COS(PI()*MOD(Calculator!$B$30/Calculator!$F$12,1)),2)))),2))</f>
        <v>2.51</v>
      </c>
      <c r="F85" s="91" t="n">
        <f aca="false">IF(OR(Calculator!$E$13&lt;&gt;"YES",Calculator!$B$30&lt;Calculator!$G$13),"—",ROUND(MAX((50*POWER(80,POWER(COS(PI()*MOD(Calculator!$B$30/Calculator!$F$13,1)),2)))/$C85,$C85/(50*POWER(80,POWER(COS(PI()*MOD(Calculator!$B$30/Calculator!$F$13,1)),2)))),2))</f>
        <v>6.69</v>
      </c>
      <c r="G85" s="91" t="n">
        <f aca="false">IF(OR(Calculator!$E$14&lt;&gt;"YES",Calculator!$B$30&lt;Calculator!$G$14),"—",ROUND(MAX((50*POWER(80,POWER(COS(PI()*MOD(Calculator!$B$30/Calculator!$F$14,1)),2)))/$C85,$C85/(50*POWER(80,POWER(COS(PI()*MOD(Calculator!$B$30/Calculator!$F$14,1)),2)))),2))</f>
        <v>15.66</v>
      </c>
      <c r="H85" s="91" t="n">
        <f aca="false">IF(OR(Calculator!$E$15&lt;&gt;"YES",Calculator!$B$30&lt;Calculator!$G$15),"—",ROUND(MAX((50*POWER(80,POWER(COS(PI()*MOD(Calculator!$B$30/Calculator!$F$15,1)),2)))/$C85,$C85/(50*POWER(80,POWER(COS(PI()*MOD(Calculator!$B$30/Calculator!$F$15,1)),2)))),2))</f>
        <v>10.18</v>
      </c>
      <c r="I85" s="91" t="n">
        <f aca="false">IF(OR(Calculator!$E$16&lt;&gt;"YES",Calculator!$B$30&lt;Calculator!$G$16),"—",ROUND(MAX((50*POWER(80,POWER(COS(PI()*MOD(Calculator!$B$30/Calculator!$F$16,1)),2)))/$C85,$C85/(50*POWER(80,POWER(COS(PI()*MOD(Calculator!$B$30/Calculator!$F$16,1)),2)))),2))</f>
        <v>33.29</v>
      </c>
      <c r="J85" s="91" t="n">
        <f aca="false">IF(OR(Calculator!$E$17&lt;&gt;"YES",Calculator!$B$30&lt;Calculator!$G$17),"—",ROUND(MAX((50*POWER(80,POWER(COS(PI()*MOD(Calculator!$B$30/Calculator!$F$17,1)),2)))/$C85,$C85/(50*POWER(80,POWER(COS(PI()*MOD(Calculator!$B$30/Calculator!$F$17,1)),2)))),2))</f>
        <v>1.13</v>
      </c>
      <c r="K85" s="91" t="n">
        <f aca="false">IF(OR(Calculator!$E$18&lt;&gt;"YES",Calculator!$B$30&lt;Calculator!$G$18),"—",ROUND(MAX((50*POWER(80,POWER(COS(PI()*MOD(Calculator!$B$30/Calculator!$F$18,1)),2)))/$C85,$C85/(50*POWER(80,POWER(COS(PI()*MOD(Calculator!$B$30/Calculator!$F$18,1)),2)))),2))</f>
        <v>1.04</v>
      </c>
      <c r="L85" s="91" t="n">
        <f aca="false">IF(OR(Calculator!$E$19&lt;&gt;"YES",Calculator!$B$30&lt;Calculator!$G$19),"—",ROUND(MAX((50*POWER(80,POWER(COS(PI()*MOD(Calculator!$B$30/Calculator!$F$19,1)),2)))/$C85,$C85/(50*POWER(80,POWER(COS(PI()*MOD(Calculator!$B$30/Calculator!$F$19,1)),2)))),2))</f>
        <v>1.03</v>
      </c>
      <c r="M85" s="91" t="n">
        <f aca="false">IF(OR(Calculator!$E$20&lt;&gt;"YES",Calculator!$B$30&lt;Calculator!$G$20),"—",ROUND(MAX((50*POWER(80,POWER(COS(PI()*MOD(Calculator!$B$30/Calculator!$F$20,1)),2)))/$C85,$C85/(50*POWER(80,POWER(COS(PI()*MOD(Calculator!$B$30/Calculator!$F$20,1)),2)))),2))</f>
        <v>27.55</v>
      </c>
      <c r="N85" s="91" t="n">
        <f aca="false">IF(OR(Calculator!$E$21&lt;&gt;"YES",Calculator!$B$30&lt;Calculator!$G$21),"—",ROUND(MAX((50*POWER(80,POWER(COS(PI()*MOD(Calculator!$B$30/Calculator!$F$21,1)),2)))/$C85,$C85/(50*POWER(80,POWER(COS(PI()*MOD(Calculator!$B$30/Calculator!$F$21,1)),2)))),2))</f>
        <v>1.05</v>
      </c>
      <c r="O85" s="114" t="n">
        <f aca="false">IFERROR(ROUND((IF(ISNUMBER(D85),D85,0)+IF(ISNUMBER(E85),E85,0)+IF(ISNUMBER(F85),F85,0)+IF(ISNUMBER(G85),G85,0)+IF(ISNUMBER(H85),H85,0)+IF(ISNUMBER(I85),I85,0)+IF(ISNUMBER(J85),J85,0)+IF(ISNUMBER(K85),K85,0)+IF(ISNUMBER(L85),L85,0)+IF(ISNUMBER(M85),M85,0)+IF(ISNUMBER(N85),N85,0))/(IF(ISNUMBER(D85),1,0)+IF(ISNUMBER(E85),1,0)+IF(ISNUMBER(F85),1,0)+IF(ISNUMBER(G85),1,0)+IF(ISNUMBER(H85),1,0)+IF(ISNUMBER(I85),1,0)+IF(ISNUMBER(J85),1,0)+IF(ISNUMBER(K85),1,0)+IF(ISNUMBER(L85),1,0)+IF(ISNUMBER(M85),1,0)+IF(ISNUMBER(N85),1,0)),2),"")</f>
        <v>11.83</v>
      </c>
      <c r="P85" s="91" t="n">
        <f aca="false">IF(OR(Calculator!$E$11&lt;&gt;"YES",Calculator!$B$31&lt;Calculator!$G$11),"—",ROUND(MAX((50*POWER(80,POWER(COS(PI()*MOD(Calculator!$B$31/Calculator!$F$11,1)),2)))/$C85,$C85/(50*POWER(80,POWER(COS(PI()*MOD(Calculator!$B$31/Calculator!$F$11,1)),2)))),2))</f>
        <v>30.38</v>
      </c>
      <c r="Q85" s="91" t="n">
        <f aca="false">IF(OR(Calculator!$E$12&lt;&gt;"YES",Calculator!$B$31&lt;Calculator!$G$12),"—",ROUND(MAX((50*POWER(80,POWER(COS(PI()*MOD(Calculator!$B$31/Calculator!$F$12,1)),2)))/$C85,$C85/(50*POWER(80,POWER(COS(PI()*MOD(Calculator!$B$31/Calculator!$F$12,1)),2)))),2))</f>
        <v>2.43</v>
      </c>
      <c r="R85" s="91" t="n">
        <f aca="false">IF(OR(Calculator!$E$13&lt;&gt;"YES",Calculator!$B$31&lt;Calculator!$G$13),"—",ROUND(MAX((50*POWER(80,POWER(COS(PI()*MOD(Calculator!$B$31/Calculator!$F$13,1)),2)))/$C85,$C85/(50*POWER(80,POWER(COS(PI()*MOD(Calculator!$B$31/Calculator!$F$13,1)),2)))),2))</f>
        <v>7.04</v>
      </c>
      <c r="S85" s="91" t="n">
        <f aca="false">IF(OR(Calculator!$E$14&lt;&gt;"YES",Calculator!$B$31&lt;Calculator!$G$14),"—",ROUND(MAX((50*POWER(80,POWER(COS(PI()*MOD(Calculator!$B$31/Calculator!$F$14,1)),2)))/$C85,$C85/(50*POWER(80,POWER(COS(PI()*MOD(Calculator!$B$31/Calculator!$F$14,1)),2)))),2))</f>
        <v>14.71</v>
      </c>
      <c r="T85" s="91" t="n">
        <f aca="false">IF(OR(Calculator!$E$15&lt;&gt;"YES",Calculator!$B$31&lt;Calculator!$G$15),"—",ROUND(MAX((50*POWER(80,POWER(COS(PI()*MOD(Calculator!$B$31/Calculator!$F$15,1)),2)))/$C85,$C85/(50*POWER(80,POWER(COS(PI()*MOD(Calculator!$B$31/Calculator!$F$15,1)),2)))),2))</f>
        <v>9.26</v>
      </c>
      <c r="U85" s="91" t="n">
        <f aca="false">IF(OR(Calculator!$E$16&lt;&gt;"YES",Calculator!$B$31&lt;Calculator!$G$16),"—",ROUND(MAX((50*POWER(80,POWER(COS(PI()*MOD(Calculator!$B$31/Calculator!$F$16,1)),2)))/$C85,$C85/(50*POWER(80,POWER(COS(PI()*MOD(Calculator!$B$31/Calculator!$F$16,1)),2)))),2))</f>
        <v>36.09</v>
      </c>
      <c r="V85" s="91" t="n">
        <f aca="false">IF(OR(Calculator!$E$17&lt;&gt;"YES",Calculator!$B$31&lt;Calculator!$G$17),"—",ROUND(MAX((50*POWER(80,POWER(COS(PI()*MOD(Calculator!$B$31/Calculator!$F$17,1)),2)))/$C85,$C85/(50*POWER(80,POWER(COS(PI()*MOD(Calculator!$B$31/Calculator!$F$17,1)),2)))),2))</f>
        <v>1.27</v>
      </c>
      <c r="W85" s="91" t="n">
        <f aca="false">IF(OR(Calculator!$E$18&lt;&gt;"YES",Calculator!$B$31&lt;Calculator!$G$18),"—",ROUND(MAX((50*POWER(80,POWER(COS(PI()*MOD(Calculator!$B$31/Calculator!$F$18,1)),2)))/$C85,$C85/(50*POWER(80,POWER(COS(PI()*MOD(Calculator!$B$31/Calculator!$F$18,1)),2)))),2))</f>
        <v>1.18</v>
      </c>
      <c r="X85" s="91" t="n">
        <f aca="false">IF(OR(Calculator!$E$19&lt;&gt;"YES",Calculator!$B$31&lt;Calculator!$G$19),"—",ROUND(MAX((50*POWER(80,POWER(COS(PI()*MOD(Calculator!$B$31/Calculator!$F$19,1)),2)))/$C85,$C85/(50*POWER(80,POWER(COS(PI()*MOD(Calculator!$B$31/Calculator!$F$19,1)),2)))),2))</f>
        <v>1.11</v>
      </c>
      <c r="Y85" s="91" t="n">
        <f aca="false">IF(OR(Calculator!$E$20&lt;&gt;"YES",Calculator!$B$31&lt;Calculator!$G$20),"—",ROUND(MAX((50*POWER(80,POWER(COS(PI()*MOD(Calculator!$B$31/Calculator!$F$20,1)),2)))/$C85,$C85/(50*POWER(80,POWER(COS(PI()*MOD(Calculator!$B$31/Calculator!$F$20,1)),2)))),2))</f>
        <v>22.32</v>
      </c>
      <c r="Z85" s="91" t="n">
        <f aca="false">IF(OR(Calculator!$E$21&lt;&gt;"YES",Calculator!$B$31&lt;Calculator!$G$21),"—",ROUND(MAX((50*POWER(80,POWER(COS(PI()*MOD(Calculator!$B$31/Calculator!$F$21,1)),2)))/$C85,$C85/(50*POWER(80,POWER(COS(PI()*MOD(Calculator!$B$31/Calculator!$F$21,1)),2)))),2))</f>
        <v>1.48</v>
      </c>
      <c r="AA85" s="114" t="n">
        <f aca="false">IFERROR(ROUND((IF(ISNUMBER(P85),P85,0)+IF(ISNUMBER(Q85),Q85,0)+IF(ISNUMBER(R85),R85,0)+IF(ISNUMBER(S85),S85,0)+IF(ISNUMBER(T85),T85,0)+IF(ISNUMBER(U85),U85,0)+IF(ISNUMBER(V85),V85,0)+IF(ISNUMBER(W85),W85,0)+IF(ISNUMBER(X85),X85,0)+IF(ISNUMBER(Y85),Y85,0)+IF(ISNUMBER(Z85),Z85,0))/(IF(ISNUMBER(P85),1,0)+IF(ISNUMBER(Q85),1,0)+IF(ISNUMBER(R85),1,0)+IF(ISNUMBER(S85),1,0)+IF(ISNUMBER(T85),1,0)+IF(ISNUMBER(U85),1,0)+IF(ISNUMBER(V85),1,0)+IF(ISNUMBER(W85),1,0)+IF(ISNUMBER(X85),1,0)+IF(ISNUMBER(Y85),1,0)+IF(ISNUMBER(Z85),1,0)),2),"")</f>
        <v>11.57</v>
      </c>
      <c r="AB85" s="91" t="n">
        <f aca="false">IF(OR(Calculator!$E$11&lt;&gt;"YES",Calculator!$B$32&lt;Calculator!$G$11),"—",ROUND(MAX((50*POWER(80,POWER(COS(PI()*MOD(Calculator!$B$32/Calculator!$F$11,1)),2)))/$C85,$C85/(50*POWER(80,POWER(COS(PI()*MOD(Calculator!$B$32/Calculator!$F$11,1)),2)))),2))</f>
        <v>38.24</v>
      </c>
      <c r="AC85" s="91" t="n">
        <f aca="false">IF(OR(Calculator!$E$12&lt;&gt;"YES",Calculator!$B$32&lt;Calculator!$G$12),"—",ROUND(MAX((50*POWER(80,POWER(COS(PI()*MOD(Calculator!$B$32/Calculator!$F$12,1)),2)))/$C85,$C85/(50*POWER(80,POWER(COS(PI()*MOD(Calculator!$B$32/Calculator!$F$12,1)),2)))),2))</f>
        <v>1.32</v>
      </c>
      <c r="AD85" s="91" t="n">
        <f aca="false">IF(OR(Calculator!$E$13&lt;&gt;"YES",Calculator!$B$32&lt;Calculator!$G$13),"—",ROUND(MAX((50*POWER(80,POWER(COS(PI()*MOD(Calculator!$B$32/Calculator!$F$13,1)),2)))/$C85,$C85/(50*POWER(80,POWER(COS(PI()*MOD(Calculator!$B$32/Calculator!$F$13,1)),2)))),2))</f>
        <v>19.51</v>
      </c>
      <c r="AE85" s="91" t="n">
        <f aca="false">IF(OR(Calculator!$E$14&lt;&gt;"YES",Calculator!$B$32&lt;Calculator!$G$14),"—",ROUND(MAX((50*POWER(80,POWER(COS(PI()*MOD(Calculator!$B$32/Calculator!$F$14,1)),2)))/$C85,$C85/(50*POWER(80,POWER(COS(PI()*MOD(Calculator!$B$32/Calculator!$F$14,1)),2)))),2))</f>
        <v>3.56</v>
      </c>
      <c r="AF85" s="91" t="n">
        <f aca="false">IF(OR(Calculator!$E$15&lt;&gt;"YES",Calculator!$B$32&lt;Calculator!$G$15),"—",ROUND(MAX((50*POWER(80,POWER(COS(PI()*MOD(Calculator!$B$32/Calculator!$F$15,1)),2)))/$C85,$C85/(50*POWER(80,POWER(COS(PI()*MOD(Calculator!$B$32/Calculator!$F$15,1)),2)))),2))</f>
        <v>1.37</v>
      </c>
      <c r="AG85" s="91" t="n">
        <f aca="false">IF(OR(Calculator!$E$16&lt;&gt;"YES",Calculator!$B$32&lt;Calculator!$G$16),"—",ROUND(MAX((50*POWER(80,POWER(COS(PI()*MOD(Calculator!$B$32/Calculator!$F$16,1)),2)))/$C85,$C85/(50*POWER(80,POWER(COS(PI()*MOD(Calculator!$B$32/Calculator!$F$16,1)),2)))),2))</f>
        <v>31.15</v>
      </c>
      <c r="AH85" s="91" t="n">
        <f aca="false">IF(OR(Calculator!$E$17&lt;&gt;"YES",Calculator!$B$32&lt;Calculator!$G$17),"—",ROUND(MAX((50*POWER(80,POWER(COS(PI()*MOD(Calculator!$B$32/Calculator!$F$17,1)),2)))/$C85,$C85/(50*POWER(80,POWER(COS(PI()*MOD(Calculator!$B$32/Calculator!$F$17,1)),2)))),2))</f>
        <v>32.89</v>
      </c>
      <c r="AI85" s="91" t="n">
        <f aca="false">IF(OR(Calculator!$E$18&lt;&gt;"YES",Calculator!$B$32&lt;Calculator!$G$18),"—",ROUND(MAX((50*POWER(80,POWER(COS(PI()*MOD(Calculator!$B$32/Calculator!$F$18,1)),2)))/$C85,$C85/(50*POWER(80,POWER(COS(PI()*MOD(Calculator!$B$32/Calculator!$F$18,1)),2)))),2))</f>
        <v>43.38</v>
      </c>
      <c r="AJ85" s="91" t="n">
        <f aca="false">IF(OR(Calculator!$E$19&lt;&gt;"YES",Calculator!$B$32&lt;Calculator!$G$19),"—",ROUND(MAX((50*POWER(80,POWER(COS(PI()*MOD(Calculator!$B$32/Calculator!$F$19,1)),2)))/$C85,$C85/(50*POWER(80,POWER(COS(PI()*MOD(Calculator!$B$32/Calculator!$F$19,1)),2)))),2))</f>
        <v>9.14</v>
      </c>
      <c r="AK85" s="91" t="n">
        <f aca="false">IF(OR(Calculator!$E$20&lt;&gt;"YES",Calculator!$B$32&lt;Calculator!$G$20),"—",ROUND(MAX((50*POWER(80,POWER(COS(PI()*MOD(Calculator!$B$32/Calculator!$F$20,1)),2)))/$C85,$C85/(50*POWER(80,POWER(COS(PI()*MOD(Calculator!$B$32/Calculator!$F$20,1)),2)))),2))</f>
        <v>1.21</v>
      </c>
      <c r="AL85" s="91" t="n">
        <f aca="false">IF(OR(Calculator!$E$21&lt;&gt;"YES",Calculator!$B$32&lt;Calculator!$G$21),"—",ROUND(MAX((50*POWER(80,POWER(COS(PI()*MOD(Calculator!$B$32/Calculator!$F$21,1)),2)))/$C85,$C85/(50*POWER(80,POWER(COS(PI()*MOD(Calculator!$B$32/Calculator!$F$21,1)),2)))),2))</f>
        <v>1.05</v>
      </c>
      <c r="AM85" s="115" t="n">
        <f aca="false">IFERROR(ROUND((IF(ISNUMBER(AB85),AB85,0)+IF(ISNUMBER(AC85),AC85,0)+IF(ISNUMBER(AD85),AD85,0)+IF(ISNUMBER(AE85),AE85,0)+IF(ISNUMBER(AF85),AF85,0)+IF(ISNUMBER(AG85),AG85,0)+IF(ISNUMBER(AH85),AH85,0)+IF(ISNUMBER(AI85),AI85,0)+IF(ISNUMBER(AJ85),AJ85,0)+IF(ISNUMBER(AK85),AK85,0)+IF(ISNUMBER(AL85),AL85,0))/(IF(ISNUMBER(AB85),1,0)+IF(ISNUMBER(AC85),1,0)+IF(ISNUMBER(AD85),1,0)+IF(ISNUMBER(AE85),1,0)+IF(ISNUMBER(AF85),1,0)+IF(ISNUMBER(AG85),1,0)+IF(ISNUMBER(AH85),1,0)+IF(ISNUMBER(AI85),1,0)+IF(ISNUMBER(AJ85),1,0)+IF(ISNUMBER(AK85),1,0)+IF(ISNUMBER(AL85),1,0)),2),"")</f>
        <v>16.62</v>
      </c>
      <c r="AN85" s="116" t="n">
        <f aca="false">IF(OR(Calculator!$E$11&lt;&gt;"YES",Calculator!$B$33&lt;Calculator!$G$11),"—",ROUND(MAX((50*POWER(80,POWER(COS(PI()*MOD(Calculator!$B$33/Calculator!$F$11,1)),2)))/$C85,$C85/(50*POWER(80,POWER(COS(PI()*MOD(Calculator!$B$33/Calculator!$F$11,1)),2)))),2))</f>
        <v>30.75</v>
      </c>
      <c r="AO85" s="116" t="n">
        <f aca="false">IF(OR(Calculator!$E$12&lt;&gt;"YES",Calculator!$B$33&lt;Calculator!$G$12),"—",ROUND(MAX((50*POWER(80,POWER(COS(PI()*MOD(Calculator!$B$33/Calculator!$F$12,1)),2)))/$C85,$C85/(50*POWER(80,POWER(COS(PI()*MOD(Calculator!$B$33/Calculator!$F$12,1)),2)))),2))</f>
        <v>2.35</v>
      </c>
      <c r="AP85" s="116" t="n">
        <f aca="false">IF(OR(Calculator!$E$13&lt;&gt;"YES",Calculator!$B$33&lt;Calculator!$G$13),"—",ROUND(MAX((50*POWER(80,POWER(COS(PI()*MOD(Calculator!$B$33/Calculator!$F$13,1)),2)))/$C85,$C85/(50*POWER(80,POWER(COS(PI()*MOD(Calculator!$B$33/Calculator!$F$13,1)),2)))),2))</f>
        <v>7.42</v>
      </c>
      <c r="AQ85" s="116" t="n">
        <f aca="false">IF(OR(Calculator!$E$14&lt;&gt;"YES",Calculator!$B$33&lt;Calculator!$G$14),"—",ROUND(MAX((50*POWER(80,POWER(COS(PI()*MOD(Calculator!$B$33/Calculator!$F$14,1)),2)))/$C85,$C85/(50*POWER(80,POWER(COS(PI()*MOD(Calculator!$B$33/Calculator!$F$14,1)),2)))),2))</f>
        <v>13.81</v>
      </c>
      <c r="AR85" s="116" t="n">
        <f aca="false">IF(OR(Calculator!$E$15&lt;&gt;"YES",Calculator!$B$33&lt;Calculator!$G$15),"—",ROUND(MAX((50*POWER(80,POWER(COS(PI()*MOD(Calculator!$B$33/Calculator!$F$15,1)),2)))/$C85,$C85/(50*POWER(80,POWER(COS(PI()*MOD(Calculator!$B$33/Calculator!$F$15,1)),2)))),2))</f>
        <v>8.41</v>
      </c>
      <c r="AS85" s="116" t="n">
        <f aca="false">IF(OR(Calculator!$E$16&lt;&gt;"YES",Calculator!$B$33&lt;Calculator!$G$16),"—",ROUND(MAX((50*POWER(80,POWER(COS(PI()*MOD(Calculator!$B$33/Calculator!$F$16,1)),2)))/$C85,$C85/(50*POWER(80,POWER(COS(PI()*MOD(Calculator!$B$33/Calculator!$F$16,1)),2)))),2))</f>
        <v>38.86</v>
      </c>
      <c r="AT85" s="116" t="n">
        <f aca="false">IF(OR(Calculator!$E$17&lt;&gt;"YES",Calculator!$B$33&lt;Calculator!$G$17),"—",ROUND(MAX((50*POWER(80,POWER(COS(PI()*MOD(Calculator!$B$33/Calculator!$F$17,1)),2)))/$C85,$C85/(50*POWER(80,POWER(COS(PI()*MOD(Calculator!$B$33/Calculator!$F$17,1)),2)))),2))</f>
        <v>1.45</v>
      </c>
      <c r="AU85" s="116" t="n">
        <f aca="false">IF(OR(Calculator!$E$18&lt;&gt;"YES",Calculator!$B$33&lt;Calculator!$G$18),"—",ROUND(MAX((50*POWER(80,POWER(COS(PI()*MOD(Calculator!$B$33/Calculator!$F$18,1)),2)))/$C85,$C85/(50*POWER(80,POWER(COS(PI()*MOD(Calculator!$B$33/Calculator!$F$18,1)),2)))),2))</f>
        <v>1.37</v>
      </c>
      <c r="AV85" s="116" t="n">
        <f aca="false">IF(OR(Calculator!$E$19&lt;&gt;"YES",Calculator!$B$33&lt;Calculator!$G$19),"—",ROUND(MAX((50*POWER(80,POWER(COS(PI()*MOD(Calculator!$B$33/Calculator!$F$19,1)),2)))/$C85,$C85/(50*POWER(80,POWER(COS(PI()*MOD(Calculator!$B$33/Calculator!$F$19,1)),2)))),2))</f>
        <v>1.24</v>
      </c>
      <c r="AW85" s="116" t="n">
        <f aca="false">IF(OR(Calculator!$E$20&lt;&gt;"YES",Calculator!$B$33&lt;Calculator!$G$20),"—",ROUND(MAX((50*POWER(80,POWER(COS(PI()*MOD(Calculator!$B$33/Calculator!$F$20,1)),2)))/$C85,$C85/(50*POWER(80,POWER(COS(PI()*MOD(Calculator!$B$33/Calculator!$F$20,1)),2)))),2))</f>
        <v>17.7</v>
      </c>
      <c r="AX85" s="116" t="n">
        <f aca="false">IF(OR(Calculator!$E$21&lt;&gt;"YES",Calculator!$B$33&lt;Calculator!$G$21),"—",ROUND(MAX((50*POWER(80,POWER(COS(PI()*MOD(Calculator!$B$33/Calculator!$F$21,1)),2)))/$C85,$C85/(50*POWER(80,POWER(COS(PI()*MOD(Calculator!$B$33/Calculator!$F$21,1)),2)))),2))</f>
        <v>2.26</v>
      </c>
      <c r="AY85" s="115" t="n">
        <f aca="false">IFERROR(ROUND((IF(ISNUMBER(AN85),AN85,0)+IF(ISNUMBER(AO85),AO85,0)+IF(ISNUMBER(AP85),AP85,0)+IF(ISNUMBER(AQ85),AQ85,0)+IF(ISNUMBER(AR85),AR85,0)+IF(ISNUMBER(AS85),AS85,0)+IF(ISNUMBER(AT85),AT85,0)+IF(ISNUMBER(AU85),AU85,0)+IF(ISNUMBER(AV85),AV85,0)+IF(ISNUMBER(AW85),AW85,0)+IF(ISNUMBER(AX85),AX85,0))/(IF(ISNUMBER(AN85),1,0)+IF(ISNUMBER(AO85),1,0)+IF(ISNUMBER(AP85),1,0)+IF(ISNUMBER(AQ85),1,0)+IF(ISNUMBER(AR85),1,0)+IF(ISNUMBER(AS85),1,0)+IF(ISNUMBER(AT85),1,0)+IF(ISNUMBER(AU85),1,0)+IF(ISNUMBER(AV85),1,0)+IF(ISNUMBER(AW85),1,0)+IF(ISNUMBER(AX85),1,0)),2),"")</f>
        <v>11.42</v>
      </c>
      <c r="AZ85" s="116" t="n">
        <f aca="false">IF(OR(Calculator!$E$11&lt;&gt;"YES",Calculator!$B$34&lt;Calculator!$G$11),"—",ROUND(MAX((50*POWER(80,POWER(COS(PI()*MOD(Calculator!$B$34/Calculator!$F$11,1)),2)))/$C85,$C85/(50*POWER(80,POWER(COS(PI()*MOD(Calculator!$B$34/Calculator!$F$11,1)),2)))),2))</f>
        <v>29.64</v>
      </c>
      <c r="BA85" s="116" t="n">
        <f aca="false">IF(OR(Calculator!$E$12&lt;&gt;"YES",Calculator!$B$34&lt;Calculator!$G$12),"—",ROUND(MAX((50*POWER(80,POWER(COS(PI()*MOD(Calculator!$B$34/Calculator!$F$12,1)),2)))/$C85,$C85/(50*POWER(80,POWER(COS(PI()*MOD(Calculator!$B$34/Calculator!$F$12,1)),2)))),2))</f>
        <v>2.59</v>
      </c>
      <c r="BB85" s="116" t="n">
        <f aca="false">IF(OR(Calculator!$E$13&lt;&gt;"YES",Calculator!$B$34&lt;Calculator!$G$13),"—",ROUND(MAX((50*POWER(80,POWER(COS(PI()*MOD(Calculator!$B$34/Calculator!$F$13,1)),2)))/$C85,$C85/(50*POWER(80,POWER(COS(PI()*MOD(Calculator!$B$34/Calculator!$F$13,1)),2)))),2))</f>
        <v>6.35</v>
      </c>
      <c r="BC85" s="116" t="n">
        <f aca="false">IF(OR(Calculator!$E$14&lt;&gt;"YES",Calculator!$B$34&lt;Calculator!$G$14),"—",ROUND(MAX((50*POWER(80,POWER(COS(PI()*MOD(Calculator!$B$34/Calculator!$F$14,1)),2)))/$C85,$C85/(50*POWER(80,POWER(COS(PI()*MOD(Calculator!$B$34/Calculator!$F$14,1)),2)))),2))</f>
        <v>16.65</v>
      </c>
      <c r="BD85" s="116" t="n">
        <f aca="false">IF(OR(Calculator!$E$15&lt;&gt;"YES",Calculator!$B$34&lt;Calculator!$G$15),"—",ROUND(MAX((50*POWER(80,POWER(COS(PI()*MOD(Calculator!$B$34/Calculator!$F$15,1)),2)))/$C85,$C85/(50*POWER(80,POWER(COS(PI()*MOD(Calculator!$B$34/Calculator!$F$15,1)),2)))),2))</f>
        <v>11.19</v>
      </c>
      <c r="BE85" s="116" t="n">
        <f aca="false">IF(OR(Calculator!$E$16&lt;&gt;"YES",Calculator!$B$34&lt;Calculator!$G$16),"—",ROUND(MAX((50*POWER(80,POWER(COS(PI()*MOD(Calculator!$B$34/Calculator!$F$16,1)),2)))/$C85,$C85/(50*POWER(80,POWER(COS(PI()*MOD(Calculator!$B$34/Calculator!$F$16,1)),2)))),2))</f>
        <v>30.49</v>
      </c>
      <c r="BF85" s="116" t="n">
        <f aca="false">IF(OR(Calculator!$E$17&lt;&gt;"YES",Calculator!$B$34&lt;Calculator!$G$17),"—",ROUND(MAX((50*POWER(80,POWER(COS(PI()*MOD(Calculator!$B$34/Calculator!$F$17,1)),2)))/$C85,$C85/(50*POWER(80,POWER(COS(PI()*MOD(Calculator!$B$34/Calculator!$F$17,1)),2)))),2))</f>
        <v>1.01</v>
      </c>
      <c r="BG85" s="116" t="n">
        <f aca="false">IF(OR(Calculator!$E$18&lt;&gt;"YES",Calculator!$B$34&lt;Calculator!$G$18),"—",ROUND(MAX((50*POWER(80,POWER(COS(PI()*MOD(Calculator!$B$34/Calculator!$F$18,1)),2)))/$C85,$C85/(50*POWER(80,POWER(COS(PI()*MOD(Calculator!$B$34/Calculator!$F$18,1)),2)))),2))</f>
        <v>1.08</v>
      </c>
      <c r="BH85" s="116" t="n">
        <f aca="false">IF(OR(Calculator!$E$19&lt;&gt;"YES",Calculator!$B$34&lt;Calculator!$G$19),"—",ROUND(MAX((50*POWER(80,POWER(COS(PI()*MOD(Calculator!$B$34/Calculator!$F$19,1)),2)))/$C85,$C85/(50*POWER(80,POWER(COS(PI()*MOD(Calculator!$B$34/Calculator!$F$19,1)),2)))),2))</f>
        <v>1.21</v>
      </c>
      <c r="BI85" s="116" t="n">
        <f aca="false">IF(OR(Calculator!$E$20&lt;&gt;"YES",Calculator!$B$34&lt;Calculator!$G$20),"—",ROUND(MAX((50*POWER(80,POWER(COS(PI()*MOD(Calculator!$B$34/Calculator!$F$20,1)),2)))/$C85,$C85/(50*POWER(80,POWER(COS(PI()*MOD(Calculator!$B$34/Calculator!$F$20,1)),2)))),2))</f>
        <v>33.17</v>
      </c>
      <c r="BJ85" s="116" t="n">
        <f aca="false">IF(OR(Calculator!$E$21&lt;&gt;"YES",Calculator!$B$34&lt;Calculator!$G$21),"—",ROUND(MAX((50*POWER(80,POWER(COS(PI()*MOD(Calculator!$B$34/Calculator!$F$21,1)),2)))/$C85,$C85/(50*POWER(80,POWER(COS(PI()*MOD(Calculator!$B$34/Calculator!$F$21,1)),2)))),2))</f>
        <v>1.24</v>
      </c>
      <c r="BK85" s="115" t="n">
        <f aca="false">IFERROR(ROUND((IF(ISNUMBER(AZ85),AZ85,0)+IF(ISNUMBER(BA85),BA85,0)+IF(ISNUMBER(BB85),BB85,0)+IF(ISNUMBER(BC85),BC85,0)+IF(ISNUMBER(BD85),BD85,0)+IF(ISNUMBER(BE85),BE85,0)+IF(ISNUMBER(BF85),BF85,0)+IF(ISNUMBER(BG85),BG85,0)+IF(ISNUMBER(BH85),BH85,0)+IF(ISNUMBER(BI85),BI85,0)+IF(ISNUMBER(BJ85),BJ85,0))/(IF(ISNUMBER(AZ85),1,0)+IF(ISNUMBER(BA85),1,0)+IF(ISNUMBER(BB85),1,0)+IF(ISNUMBER(BC85),1,0)+IF(ISNUMBER(BD85),1,0)+IF(ISNUMBER(BE85),1,0)+IF(ISNUMBER(BF85),1,0)+IF(ISNUMBER(BG85),1,0)+IF(ISNUMBER(BH85),1,0)+IF(ISNUMBER(BI85),1,0)+IF(ISNUMBER(BJ85),1,0)),2),"")</f>
        <v>12.24</v>
      </c>
    </row>
    <row r="86" customFormat="false" ht="15" hidden="false" customHeight="false" outlineLevel="0" collapsed="false">
      <c r="A86" s="117" t="s">
        <v>144</v>
      </c>
      <c r="B86" s="117" t="s">
        <v>93</v>
      </c>
      <c r="C86" s="118" t="n">
        <v>2700</v>
      </c>
      <c r="D86" s="119" t="n">
        <f aca="false">IF(OR(Calculator!$E$11&lt;&gt;"YES",Calculator!$B$30&lt;Calculator!$G$11),"—",ROUND(MAX((50*POWER(80,POWER(COS(PI()*MOD(Calculator!$B$30/Calculator!$F$11,1)),2)))/$C86,$C86/(50*POWER(80,POWER(COS(PI()*MOD(Calculator!$B$30/Calculator!$F$11,1)),2)))),2))</f>
        <v>30.57</v>
      </c>
      <c r="E86" s="119" t="n">
        <f aca="false">IF(OR(Calculator!$E$12&lt;&gt;"YES",Calculator!$B$30&lt;Calculator!$G$12),"—",ROUND(MAX((50*POWER(80,POWER(COS(PI()*MOD(Calculator!$B$30/Calculator!$F$12,1)),2)))/$C86,$C86/(50*POWER(80,POWER(COS(PI()*MOD(Calculator!$B$30/Calculator!$F$12,1)),2)))),2))</f>
        <v>2.56</v>
      </c>
      <c r="F86" s="119" t="n">
        <f aca="false">IF(OR(Calculator!$E$13&lt;&gt;"YES",Calculator!$B$30&lt;Calculator!$G$13),"—",ROUND(MAX((50*POWER(80,POWER(COS(PI()*MOD(Calculator!$B$30/Calculator!$F$13,1)),2)))/$C86,$C86/(50*POWER(80,POWER(COS(PI()*MOD(Calculator!$B$30/Calculator!$F$13,1)),2)))),2))</f>
        <v>6.81</v>
      </c>
      <c r="G86" s="119" t="n">
        <f aca="false">IF(OR(Calculator!$E$14&lt;&gt;"YES",Calculator!$B$30&lt;Calculator!$G$14),"—",ROUND(MAX((50*POWER(80,POWER(COS(PI()*MOD(Calculator!$B$30/Calculator!$F$14,1)),2)))/$C86,$C86/(50*POWER(80,POWER(COS(PI()*MOD(Calculator!$B$30/Calculator!$F$14,1)),2)))),2))</f>
        <v>15.95</v>
      </c>
      <c r="H86" s="119" t="n">
        <f aca="false">IF(OR(Calculator!$E$15&lt;&gt;"YES",Calculator!$B$30&lt;Calculator!$G$15),"—",ROUND(MAX((50*POWER(80,POWER(COS(PI()*MOD(Calculator!$B$30/Calculator!$F$15,1)),2)))/$C86,$C86/(50*POWER(80,POWER(COS(PI()*MOD(Calculator!$B$30/Calculator!$F$15,1)),2)))),2))</f>
        <v>10.37</v>
      </c>
      <c r="I86" s="119" t="n">
        <f aca="false">IF(OR(Calculator!$E$16&lt;&gt;"YES",Calculator!$B$30&lt;Calculator!$G$16),"—",ROUND(MAX((50*POWER(80,POWER(COS(PI()*MOD(Calculator!$B$30/Calculator!$F$16,1)),2)))/$C86,$C86/(50*POWER(80,POWER(COS(PI()*MOD(Calculator!$B$30/Calculator!$F$16,1)),2)))),2))</f>
        <v>33.92</v>
      </c>
      <c r="J86" s="119" t="n">
        <f aca="false">IF(OR(Calculator!$E$17&lt;&gt;"YES",Calculator!$B$30&lt;Calculator!$G$17),"—",ROUND(MAX((50*POWER(80,POWER(COS(PI()*MOD(Calculator!$B$30/Calculator!$F$17,1)),2)))/$C86,$C86/(50*POWER(80,POWER(COS(PI()*MOD(Calculator!$B$30/Calculator!$F$17,1)),2)))),2))</f>
        <v>1.15</v>
      </c>
      <c r="K86" s="119" t="n">
        <f aca="false">IF(OR(Calculator!$E$18&lt;&gt;"YES",Calculator!$B$30&lt;Calculator!$G$18),"—",ROUND(MAX((50*POWER(80,POWER(COS(PI()*MOD(Calculator!$B$30/Calculator!$F$18,1)),2)))/$C86,$C86/(50*POWER(80,POWER(COS(PI()*MOD(Calculator!$B$30/Calculator!$F$18,1)),2)))),2))</f>
        <v>1.06</v>
      </c>
      <c r="L86" s="119" t="n">
        <f aca="false">IF(OR(Calculator!$E$19&lt;&gt;"YES",Calculator!$B$30&lt;Calculator!$G$19),"—",ROUND(MAX((50*POWER(80,POWER(COS(PI()*MOD(Calculator!$B$30/Calculator!$F$19,1)),2)))/$C86,$C86/(50*POWER(80,POWER(COS(PI()*MOD(Calculator!$B$30/Calculator!$F$19,1)),2)))),2))</f>
        <v>1.05</v>
      </c>
      <c r="M86" s="119" t="n">
        <f aca="false">IF(OR(Calculator!$E$20&lt;&gt;"YES",Calculator!$B$30&lt;Calculator!$G$20),"—",ROUND(MAX((50*POWER(80,POWER(COS(PI()*MOD(Calculator!$B$30/Calculator!$F$20,1)),2)))/$C86,$C86/(50*POWER(80,POWER(COS(PI()*MOD(Calculator!$B$30/Calculator!$F$20,1)),2)))),2))</f>
        <v>28.07</v>
      </c>
      <c r="N86" s="119" t="n">
        <f aca="false">IF(OR(Calculator!$E$21&lt;&gt;"YES",Calculator!$B$30&lt;Calculator!$G$21),"—",ROUND(MAX((50*POWER(80,POWER(COS(PI()*MOD(Calculator!$B$30/Calculator!$F$21,1)),2)))/$C86,$C86/(50*POWER(80,POWER(COS(PI()*MOD(Calculator!$B$30/Calculator!$F$21,1)),2)))),2))</f>
        <v>1.07</v>
      </c>
      <c r="O86" s="114" t="n">
        <f aca="false">IFERROR(ROUND((IF(ISNUMBER(D86),D86,0)+IF(ISNUMBER(E86),E86,0)+IF(ISNUMBER(F86),F86,0)+IF(ISNUMBER(G86),G86,0)+IF(ISNUMBER(H86),H86,0)+IF(ISNUMBER(I86),I86,0)+IF(ISNUMBER(J86),J86,0)+IF(ISNUMBER(K86),K86,0)+IF(ISNUMBER(L86),L86,0)+IF(ISNUMBER(M86),M86,0)+IF(ISNUMBER(N86),N86,0))/(IF(ISNUMBER(D86),1,0)+IF(ISNUMBER(E86),1,0)+IF(ISNUMBER(F86),1,0)+IF(ISNUMBER(G86),1,0)+IF(ISNUMBER(H86),1,0)+IF(ISNUMBER(I86),1,0)+IF(ISNUMBER(J86),1,0)+IF(ISNUMBER(K86),1,0)+IF(ISNUMBER(L86),1,0)+IF(ISNUMBER(M86),1,0)+IF(ISNUMBER(N86),1,0)),2),"")</f>
        <v>12.05</v>
      </c>
      <c r="P86" s="119" t="n">
        <f aca="false">IF(OR(Calculator!$E$11&lt;&gt;"YES",Calculator!$B$31&lt;Calculator!$G$11),"—",ROUND(MAX((50*POWER(80,POWER(COS(PI()*MOD(Calculator!$B$31/Calculator!$F$11,1)),2)))/$C86,$C86/(50*POWER(80,POWER(COS(PI()*MOD(Calculator!$B$31/Calculator!$F$11,1)),2)))),2))</f>
        <v>30.95</v>
      </c>
      <c r="Q86" s="119" t="n">
        <f aca="false">IF(OR(Calculator!$E$12&lt;&gt;"YES",Calculator!$B$31&lt;Calculator!$G$12),"—",ROUND(MAX((50*POWER(80,POWER(COS(PI()*MOD(Calculator!$B$31/Calculator!$F$12,1)),2)))/$C86,$C86/(50*POWER(80,POWER(COS(PI()*MOD(Calculator!$B$31/Calculator!$F$12,1)),2)))),2))</f>
        <v>2.48</v>
      </c>
      <c r="R86" s="119" t="n">
        <f aca="false">IF(OR(Calculator!$E$13&lt;&gt;"YES",Calculator!$B$31&lt;Calculator!$G$13),"—",ROUND(MAX((50*POWER(80,POWER(COS(PI()*MOD(Calculator!$B$31/Calculator!$F$13,1)),2)))/$C86,$C86/(50*POWER(80,POWER(COS(PI()*MOD(Calculator!$B$31/Calculator!$F$13,1)),2)))),2))</f>
        <v>7.18</v>
      </c>
      <c r="S86" s="119" t="n">
        <f aca="false">IF(OR(Calculator!$E$14&lt;&gt;"YES",Calculator!$B$31&lt;Calculator!$G$14),"—",ROUND(MAX((50*POWER(80,POWER(COS(PI()*MOD(Calculator!$B$31/Calculator!$F$14,1)),2)))/$C86,$C86/(50*POWER(80,POWER(COS(PI()*MOD(Calculator!$B$31/Calculator!$F$14,1)),2)))),2))</f>
        <v>14.99</v>
      </c>
      <c r="T86" s="119" t="n">
        <f aca="false">IF(OR(Calculator!$E$15&lt;&gt;"YES",Calculator!$B$31&lt;Calculator!$G$15),"—",ROUND(MAX((50*POWER(80,POWER(COS(PI()*MOD(Calculator!$B$31/Calculator!$F$15,1)),2)))/$C86,$C86/(50*POWER(80,POWER(COS(PI()*MOD(Calculator!$B$31/Calculator!$F$15,1)),2)))),2))</f>
        <v>9.43</v>
      </c>
      <c r="U86" s="119" t="n">
        <f aca="false">IF(OR(Calculator!$E$16&lt;&gt;"YES",Calculator!$B$31&lt;Calculator!$G$16),"—",ROUND(MAX((50*POWER(80,POWER(COS(PI()*MOD(Calculator!$B$31/Calculator!$F$16,1)),2)))/$C86,$C86/(50*POWER(80,POWER(COS(PI()*MOD(Calculator!$B$31/Calculator!$F$16,1)),2)))),2))</f>
        <v>36.77</v>
      </c>
      <c r="V86" s="119" t="n">
        <f aca="false">IF(OR(Calculator!$E$17&lt;&gt;"YES",Calculator!$B$31&lt;Calculator!$G$17),"—",ROUND(MAX((50*POWER(80,POWER(COS(PI()*MOD(Calculator!$B$31/Calculator!$F$17,1)),2)))/$C86,$C86/(50*POWER(80,POWER(COS(PI()*MOD(Calculator!$B$31/Calculator!$F$17,1)),2)))),2))</f>
        <v>1.29</v>
      </c>
      <c r="W86" s="119" t="n">
        <f aca="false">IF(OR(Calculator!$E$18&lt;&gt;"YES",Calculator!$B$31&lt;Calculator!$G$18),"—",ROUND(MAX((50*POWER(80,POWER(COS(PI()*MOD(Calculator!$B$31/Calculator!$F$18,1)),2)))/$C86,$C86/(50*POWER(80,POWER(COS(PI()*MOD(Calculator!$B$31/Calculator!$F$18,1)),2)))),2))</f>
        <v>1.21</v>
      </c>
      <c r="X86" s="119" t="n">
        <f aca="false">IF(OR(Calculator!$E$19&lt;&gt;"YES",Calculator!$B$31&lt;Calculator!$G$19),"—",ROUND(MAX((50*POWER(80,POWER(COS(PI()*MOD(Calculator!$B$31/Calculator!$F$19,1)),2)))/$C86,$C86/(50*POWER(80,POWER(COS(PI()*MOD(Calculator!$B$31/Calculator!$F$19,1)),2)))),2))</f>
        <v>1.09</v>
      </c>
      <c r="Y86" s="119" t="n">
        <f aca="false">IF(OR(Calculator!$E$20&lt;&gt;"YES",Calculator!$B$31&lt;Calculator!$G$20),"—",ROUND(MAX((50*POWER(80,POWER(COS(PI()*MOD(Calculator!$B$31/Calculator!$F$20,1)),2)))/$C86,$C86/(50*POWER(80,POWER(COS(PI()*MOD(Calculator!$B$31/Calculator!$F$20,1)),2)))),2))</f>
        <v>22.74</v>
      </c>
      <c r="Z86" s="119" t="n">
        <f aca="false">IF(OR(Calculator!$E$21&lt;&gt;"YES",Calculator!$B$31&lt;Calculator!$G$21),"—",ROUND(MAX((50*POWER(80,POWER(COS(PI()*MOD(Calculator!$B$31/Calculator!$F$21,1)),2)))/$C86,$C86/(50*POWER(80,POWER(COS(PI()*MOD(Calculator!$B$31/Calculator!$F$21,1)),2)))),2))</f>
        <v>1.51</v>
      </c>
      <c r="AA86" s="114" t="n">
        <f aca="false">IFERROR(ROUND((IF(ISNUMBER(P86),P86,0)+IF(ISNUMBER(Q86),Q86,0)+IF(ISNUMBER(R86),R86,0)+IF(ISNUMBER(S86),S86,0)+IF(ISNUMBER(T86),T86,0)+IF(ISNUMBER(U86),U86,0)+IF(ISNUMBER(V86),V86,0)+IF(ISNUMBER(W86),W86,0)+IF(ISNUMBER(X86),X86,0)+IF(ISNUMBER(Y86),Y86,0)+IF(ISNUMBER(Z86),Z86,0))/(IF(ISNUMBER(P86),1,0)+IF(ISNUMBER(Q86),1,0)+IF(ISNUMBER(R86),1,0)+IF(ISNUMBER(S86),1,0)+IF(ISNUMBER(T86),1,0)+IF(ISNUMBER(U86),1,0)+IF(ISNUMBER(V86),1,0)+IF(ISNUMBER(W86),1,0)+IF(ISNUMBER(X86),1,0)+IF(ISNUMBER(Y86),1,0)+IF(ISNUMBER(Z86),1,0)),2),"")</f>
        <v>11.79</v>
      </c>
      <c r="AB86" s="119" t="n">
        <f aca="false">IF(OR(Calculator!$E$11&lt;&gt;"YES",Calculator!$B$32&lt;Calculator!$G$11),"—",ROUND(MAX((50*POWER(80,POWER(COS(PI()*MOD(Calculator!$B$32/Calculator!$F$11,1)),2)))/$C86,$C86/(50*POWER(80,POWER(COS(PI()*MOD(Calculator!$B$32/Calculator!$F$11,1)),2)))),2))</f>
        <v>38.96</v>
      </c>
      <c r="AC86" s="119" t="n">
        <f aca="false">IF(OR(Calculator!$E$12&lt;&gt;"YES",Calculator!$B$32&lt;Calculator!$G$12),"—",ROUND(MAX((50*POWER(80,POWER(COS(PI()*MOD(Calculator!$B$32/Calculator!$F$12,1)),2)))/$C86,$C86/(50*POWER(80,POWER(COS(PI()*MOD(Calculator!$B$32/Calculator!$F$12,1)),2)))),2))</f>
        <v>1.34</v>
      </c>
      <c r="AD86" s="119" t="n">
        <f aca="false">IF(OR(Calculator!$E$13&lt;&gt;"YES",Calculator!$B$32&lt;Calculator!$G$13),"—",ROUND(MAX((50*POWER(80,POWER(COS(PI()*MOD(Calculator!$B$32/Calculator!$F$13,1)),2)))/$C86,$C86/(50*POWER(80,POWER(COS(PI()*MOD(Calculator!$B$32/Calculator!$F$13,1)),2)))),2))</f>
        <v>19.88</v>
      </c>
      <c r="AE86" s="119" t="n">
        <f aca="false">IF(OR(Calculator!$E$14&lt;&gt;"YES",Calculator!$B$32&lt;Calculator!$G$14),"—",ROUND(MAX((50*POWER(80,POWER(COS(PI()*MOD(Calculator!$B$32/Calculator!$F$14,1)),2)))/$C86,$C86/(50*POWER(80,POWER(COS(PI()*MOD(Calculator!$B$32/Calculator!$F$14,1)),2)))),2))</f>
        <v>3.63</v>
      </c>
      <c r="AF86" s="119" t="n">
        <f aca="false">IF(OR(Calculator!$E$15&lt;&gt;"YES",Calculator!$B$32&lt;Calculator!$G$15),"—",ROUND(MAX((50*POWER(80,POWER(COS(PI()*MOD(Calculator!$B$32/Calculator!$F$15,1)),2)))/$C86,$C86/(50*POWER(80,POWER(COS(PI()*MOD(Calculator!$B$32/Calculator!$F$15,1)),2)))),2))</f>
        <v>1.39</v>
      </c>
      <c r="AG86" s="119" t="n">
        <f aca="false">IF(OR(Calculator!$E$16&lt;&gt;"YES",Calculator!$B$32&lt;Calculator!$G$16),"—",ROUND(MAX((50*POWER(80,POWER(COS(PI()*MOD(Calculator!$B$32/Calculator!$F$16,1)),2)))/$C86,$C86/(50*POWER(80,POWER(COS(PI()*MOD(Calculator!$B$32/Calculator!$F$16,1)),2)))),2))</f>
        <v>31.74</v>
      </c>
      <c r="AH86" s="119" t="n">
        <f aca="false">IF(OR(Calculator!$E$17&lt;&gt;"YES",Calculator!$B$32&lt;Calculator!$G$17),"—",ROUND(MAX((50*POWER(80,POWER(COS(PI()*MOD(Calculator!$B$32/Calculator!$F$17,1)),2)))/$C86,$C86/(50*POWER(80,POWER(COS(PI()*MOD(Calculator!$B$32/Calculator!$F$17,1)),2)))),2))</f>
        <v>33.51</v>
      </c>
      <c r="AI86" s="119" t="n">
        <f aca="false">IF(OR(Calculator!$E$18&lt;&gt;"YES",Calculator!$B$32&lt;Calculator!$G$18),"—",ROUND(MAX((50*POWER(80,POWER(COS(PI()*MOD(Calculator!$B$32/Calculator!$F$18,1)),2)))/$C86,$C86/(50*POWER(80,POWER(COS(PI()*MOD(Calculator!$B$32/Calculator!$F$18,1)),2)))),2))</f>
        <v>44.2</v>
      </c>
      <c r="AJ86" s="119" t="n">
        <f aca="false">IF(OR(Calculator!$E$19&lt;&gt;"YES",Calculator!$B$32&lt;Calculator!$G$19),"—",ROUND(MAX((50*POWER(80,POWER(COS(PI()*MOD(Calculator!$B$32/Calculator!$F$19,1)),2)))/$C86,$C86/(50*POWER(80,POWER(COS(PI()*MOD(Calculator!$B$32/Calculator!$F$19,1)),2)))),2))</f>
        <v>9.32</v>
      </c>
      <c r="AK86" s="119" t="n">
        <f aca="false">IF(OR(Calculator!$E$20&lt;&gt;"YES",Calculator!$B$32&lt;Calculator!$G$20),"—",ROUND(MAX((50*POWER(80,POWER(COS(PI()*MOD(Calculator!$B$32/Calculator!$F$20,1)),2)))/$C86,$C86/(50*POWER(80,POWER(COS(PI()*MOD(Calculator!$B$32/Calculator!$F$20,1)),2)))),2))</f>
        <v>1.19</v>
      </c>
      <c r="AL86" s="119" t="n">
        <f aca="false">IF(OR(Calculator!$E$21&lt;&gt;"YES",Calculator!$B$32&lt;Calculator!$G$21),"—",ROUND(MAX((50*POWER(80,POWER(COS(PI()*MOD(Calculator!$B$32/Calculator!$F$21,1)),2)))/$C86,$C86/(50*POWER(80,POWER(COS(PI()*MOD(Calculator!$B$32/Calculator!$F$21,1)),2)))),2))</f>
        <v>1.03</v>
      </c>
      <c r="AM86" s="115" t="n">
        <f aca="false">IFERROR(ROUND((IF(ISNUMBER(AB86),AB86,0)+IF(ISNUMBER(AC86),AC86,0)+IF(ISNUMBER(AD86),AD86,0)+IF(ISNUMBER(AE86),AE86,0)+IF(ISNUMBER(AF86),AF86,0)+IF(ISNUMBER(AG86),AG86,0)+IF(ISNUMBER(AH86),AH86,0)+IF(ISNUMBER(AI86),AI86,0)+IF(ISNUMBER(AJ86),AJ86,0)+IF(ISNUMBER(AK86),AK86,0)+IF(ISNUMBER(AL86),AL86,0))/(IF(ISNUMBER(AB86),1,0)+IF(ISNUMBER(AC86),1,0)+IF(ISNUMBER(AD86),1,0)+IF(ISNUMBER(AE86),1,0)+IF(ISNUMBER(AF86),1,0)+IF(ISNUMBER(AG86),1,0)+IF(ISNUMBER(AH86),1,0)+IF(ISNUMBER(AI86),1,0)+IF(ISNUMBER(AJ86),1,0)+IF(ISNUMBER(AK86),1,0)+IF(ISNUMBER(AL86),1,0)),2),"")</f>
        <v>16.93</v>
      </c>
      <c r="AN86" s="120" t="n">
        <f aca="false">IF(OR(Calculator!$E$11&lt;&gt;"YES",Calculator!$B$33&lt;Calculator!$G$11),"—",ROUND(MAX((50*POWER(80,POWER(COS(PI()*MOD(Calculator!$B$33/Calculator!$F$11,1)),2)))/$C86,$C86/(50*POWER(80,POWER(COS(PI()*MOD(Calculator!$B$33/Calculator!$F$11,1)),2)))),2))</f>
        <v>31.33</v>
      </c>
      <c r="AO86" s="120" t="n">
        <f aca="false">IF(OR(Calculator!$E$12&lt;&gt;"YES",Calculator!$B$33&lt;Calculator!$G$12),"—",ROUND(MAX((50*POWER(80,POWER(COS(PI()*MOD(Calculator!$B$33/Calculator!$F$12,1)),2)))/$C86,$C86/(50*POWER(80,POWER(COS(PI()*MOD(Calculator!$B$33/Calculator!$F$12,1)),2)))),2))</f>
        <v>2.4</v>
      </c>
      <c r="AP86" s="120" t="n">
        <f aca="false">IF(OR(Calculator!$E$13&lt;&gt;"YES",Calculator!$B$33&lt;Calculator!$G$13),"—",ROUND(MAX((50*POWER(80,POWER(COS(PI()*MOD(Calculator!$B$33/Calculator!$F$13,1)),2)))/$C86,$C86/(50*POWER(80,POWER(COS(PI()*MOD(Calculator!$B$33/Calculator!$F$13,1)),2)))),2))</f>
        <v>7.55</v>
      </c>
      <c r="AQ86" s="120" t="n">
        <f aca="false">IF(OR(Calculator!$E$14&lt;&gt;"YES",Calculator!$B$33&lt;Calculator!$G$14),"—",ROUND(MAX((50*POWER(80,POWER(COS(PI()*MOD(Calculator!$B$33/Calculator!$F$14,1)),2)))/$C86,$C86/(50*POWER(80,POWER(COS(PI()*MOD(Calculator!$B$33/Calculator!$F$14,1)),2)))),2))</f>
        <v>14.07</v>
      </c>
      <c r="AR86" s="120" t="n">
        <f aca="false">IF(OR(Calculator!$E$15&lt;&gt;"YES",Calculator!$B$33&lt;Calculator!$G$15),"—",ROUND(MAX((50*POWER(80,POWER(COS(PI()*MOD(Calculator!$B$33/Calculator!$F$15,1)),2)))/$C86,$C86/(50*POWER(80,POWER(COS(PI()*MOD(Calculator!$B$33/Calculator!$F$15,1)),2)))),2))</f>
        <v>8.57</v>
      </c>
      <c r="AS86" s="120" t="n">
        <f aca="false">IF(OR(Calculator!$E$16&lt;&gt;"YES",Calculator!$B$33&lt;Calculator!$G$16),"—",ROUND(MAX((50*POWER(80,POWER(COS(PI()*MOD(Calculator!$B$33/Calculator!$F$16,1)),2)))/$C86,$C86/(50*POWER(80,POWER(COS(PI()*MOD(Calculator!$B$33/Calculator!$F$16,1)),2)))),2))</f>
        <v>39.59</v>
      </c>
      <c r="AT86" s="120" t="n">
        <f aca="false">IF(OR(Calculator!$E$17&lt;&gt;"YES",Calculator!$B$33&lt;Calculator!$G$17),"—",ROUND(MAX((50*POWER(80,POWER(COS(PI()*MOD(Calculator!$B$33/Calculator!$F$17,1)),2)))/$C86,$C86/(50*POWER(80,POWER(COS(PI()*MOD(Calculator!$B$33/Calculator!$F$17,1)),2)))),2))</f>
        <v>1.47</v>
      </c>
      <c r="AU86" s="120" t="n">
        <f aca="false">IF(OR(Calculator!$E$18&lt;&gt;"YES",Calculator!$B$33&lt;Calculator!$G$18),"—",ROUND(MAX((50*POWER(80,POWER(COS(PI()*MOD(Calculator!$B$33/Calculator!$F$18,1)),2)))/$C86,$C86/(50*POWER(80,POWER(COS(PI()*MOD(Calculator!$B$33/Calculator!$F$18,1)),2)))),2))</f>
        <v>1.4</v>
      </c>
      <c r="AV86" s="120" t="n">
        <f aca="false">IF(OR(Calculator!$E$19&lt;&gt;"YES",Calculator!$B$33&lt;Calculator!$G$19),"—",ROUND(MAX((50*POWER(80,POWER(COS(PI()*MOD(Calculator!$B$33/Calculator!$F$19,1)),2)))/$C86,$C86/(50*POWER(80,POWER(COS(PI()*MOD(Calculator!$B$33/Calculator!$F$19,1)),2)))),2))</f>
        <v>1.21</v>
      </c>
      <c r="AW86" s="120" t="n">
        <f aca="false">IF(OR(Calculator!$E$20&lt;&gt;"YES",Calculator!$B$33&lt;Calculator!$G$20),"—",ROUND(MAX((50*POWER(80,POWER(COS(PI()*MOD(Calculator!$B$33/Calculator!$F$20,1)),2)))/$C86,$C86/(50*POWER(80,POWER(COS(PI()*MOD(Calculator!$B$33/Calculator!$F$20,1)),2)))),2))</f>
        <v>18.03</v>
      </c>
      <c r="AX86" s="120" t="n">
        <f aca="false">IF(OR(Calculator!$E$21&lt;&gt;"YES",Calculator!$B$33&lt;Calculator!$G$21),"—",ROUND(MAX((50*POWER(80,POWER(COS(PI()*MOD(Calculator!$B$33/Calculator!$F$21,1)),2)))/$C86,$C86/(50*POWER(80,POWER(COS(PI()*MOD(Calculator!$B$33/Calculator!$F$21,1)),2)))),2))</f>
        <v>2.3</v>
      </c>
      <c r="AY86" s="115" t="n">
        <f aca="false">IFERROR(ROUND((IF(ISNUMBER(AN86),AN86,0)+IF(ISNUMBER(AO86),AO86,0)+IF(ISNUMBER(AP86),AP86,0)+IF(ISNUMBER(AQ86),AQ86,0)+IF(ISNUMBER(AR86),AR86,0)+IF(ISNUMBER(AS86),AS86,0)+IF(ISNUMBER(AT86),AT86,0)+IF(ISNUMBER(AU86),AU86,0)+IF(ISNUMBER(AV86),AV86,0)+IF(ISNUMBER(AW86),AW86,0)+IF(ISNUMBER(AX86),AX86,0))/(IF(ISNUMBER(AN86),1,0)+IF(ISNUMBER(AO86),1,0)+IF(ISNUMBER(AP86),1,0)+IF(ISNUMBER(AQ86),1,0)+IF(ISNUMBER(AR86),1,0)+IF(ISNUMBER(AS86),1,0)+IF(ISNUMBER(AT86),1,0)+IF(ISNUMBER(AU86),1,0)+IF(ISNUMBER(AV86),1,0)+IF(ISNUMBER(AW86),1,0)+IF(ISNUMBER(AX86),1,0)),2),"")</f>
        <v>11.63</v>
      </c>
      <c r="AZ86" s="120" t="n">
        <f aca="false">IF(OR(Calculator!$E$11&lt;&gt;"YES",Calculator!$B$34&lt;Calculator!$G$11),"—",ROUND(MAX((50*POWER(80,POWER(COS(PI()*MOD(Calculator!$B$34/Calculator!$F$11,1)),2)))/$C86,$C86/(50*POWER(80,POWER(COS(PI()*MOD(Calculator!$B$34/Calculator!$F$11,1)),2)))),2))</f>
        <v>30.19</v>
      </c>
      <c r="BA86" s="120" t="n">
        <f aca="false">IF(OR(Calculator!$E$12&lt;&gt;"YES",Calculator!$B$34&lt;Calculator!$G$12),"—",ROUND(MAX((50*POWER(80,POWER(COS(PI()*MOD(Calculator!$B$34/Calculator!$F$12,1)),2)))/$C86,$C86/(50*POWER(80,POWER(COS(PI()*MOD(Calculator!$B$34/Calculator!$F$12,1)),2)))),2))</f>
        <v>2.64</v>
      </c>
      <c r="BB86" s="120" t="n">
        <f aca="false">IF(OR(Calculator!$E$13&lt;&gt;"YES",Calculator!$B$34&lt;Calculator!$G$13),"—",ROUND(MAX((50*POWER(80,POWER(COS(PI()*MOD(Calculator!$B$34/Calculator!$F$13,1)),2)))/$C86,$C86/(50*POWER(80,POWER(COS(PI()*MOD(Calculator!$B$34/Calculator!$F$13,1)),2)))),2))</f>
        <v>6.47</v>
      </c>
      <c r="BC86" s="120" t="n">
        <f aca="false">IF(OR(Calculator!$E$14&lt;&gt;"YES",Calculator!$B$34&lt;Calculator!$G$14),"—",ROUND(MAX((50*POWER(80,POWER(COS(PI()*MOD(Calculator!$B$34/Calculator!$F$14,1)),2)))/$C86,$C86/(50*POWER(80,POWER(COS(PI()*MOD(Calculator!$B$34/Calculator!$F$14,1)),2)))),2))</f>
        <v>16.96</v>
      </c>
      <c r="BD86" s="120" t="n">
        <f aca="false">IF(OR(Calculator!$E$15&lt;&gt;"YES",Calculator!$B$34&lt;Calculator!$G$15),"—",ROUND(MAX((50*POWER(80,POWER(COS(PI()*MOD(Calculator!$B$34/Calculator!$F$15,1)),2)))/$C86,$C86/(50*POWER(80,POWER(COS(PI()*MOD(Calculator!$B$34/Calculator!$F$15,1)),2)))),2))</f>
        <v>11.4</v>
      </c>
      <c r="BE86" s="120" t="n">
        <f aca="false">IF(OR(Calculator!$E$16&lt;&gt;"YES",Calculator!$B$34&lt;Calculator!$G$16),"—",ROUND(MAX((50*POWER(80,POWER(COS(PI()*MOD(Calculator!$B$34/Calculator!$F$16,1)),2)))/$C86,$C86/(50*POWER(80,POWER(COS(PI()*MOD(Calculator!$B$34/Calculator!$F$16,1)),2)))),2))</f>
        <v>31.07</v>
      </c>
      <c r="BF86" s="120" t="n">
        <f aca="false">IF(OR(Calculator!$E$17&lt;&gt;"YES",Calculator!$B$34&lt;Calculator!$G$17),"—",ROUND(MAX((50*POWER(80,POWER(COS(PI()*MOD(Calculator!$B$34/Calculator!$F$17,1)),2)))/$C86,$C86/(50*POWER(80,POWER(COS(PI()*MOD(Calculator!$B$34/Calculator!$F$17,1)),2)))),2))</f>
        <v>1.03</v>
      </c>
      <c r="BG86" s="120" t="n">
        <f aca="false">IF(OR(Calculator!$E$18&lt;&gt;"YES",Calculator!$B$34&lt;Calculator!$G$18),"—",ROUND(MAX((50*POWER(80,POWER(COS(PI()*MOD(Calculator!$B$34/Calculator!$F$18,1)),2)))/$C86,$C86/(50*POWER(80,POWER(COS(PI()*MOD(Calculator!$B$34/Calculator!$F$18,1)),2)))),2))</f>
        <v>1.06</v>
      </c>
      <c r="BH86" s="120" t="n">
        <f aca="false">IF(OR(Calculator!$E$19&lt;&gt;"YES",Calculator!$B$34&lt;Calculator!$G$19),"—",ROUND(MAX((50*POWER(80,POWER(COS(PI()*MOD(Calculator!$B$34/Calculator!$F$19,1)),2)))/$C86,$C86/(50*POWER(80,POWER(COS(PI()*MOD(Calculator!$B$34/Calculator!$F$19,1)),2)))),2))</f>
        <v>1.23</v>
      </c>
      <c r="BI86" s="120" t="n">
        <f aca="false">IF(OR(Calculator!$E$20&lt;&gt;"YES",Calculator!$B$34&lt;Calculator!$G$20),"—",ROUND(MAX((50*POWER(80,POWER(COS(PI()*MOD(Calculator!$B$34/Calculator!$F$20,1)),2)))/$C86,$C86/(50*POWER(80,POWER(COS(PI()*MOD(Calculator!$B$34/Calculator!$F$20,1)),2)))),2))</f>
        <v>33.8</v>
      </c>
      <c r="BJ86" s="120" t="n">
        <f aca="false">IF(OR(Calculator!$E$21&lt;&gt;"YES",Calculator!$B$34&lt;Calculator!$G$21),"—",ROUND(MAX((50*POWER(80,POWER(COS(PI()*MOD(Calculator!$B$34/Calculator!$F$21,1)),2)))/$C86,$C86/(50*POWER(80,POWER(COS(PI()*MOD(Calculator!$B$34/Calculator!$F$21,1)),2)))),2))</f>
        <v>1.22</v>
      </c>
      <c r="BK86" s="115" t="n">
        <f aca="false">IFERROR(ROUND((IF(ISNUMBER(AZ86),AZ86,0)+IF(ISNUMBER(BA86),BA86,0)+IF(ISNUMBER(BB86),BB86,0)+IF(ISNUMBER(BC86),BC86,0)+IF(ISNUMBER(BD86),BD86,0)+IF(ISNUMBER(BE86),BE86,0)+IF(ISNUMBER(BF86),BF86,0)+IF(ISNUMBER(BG86),BG86,0)+IF(ISNUMBER(BH86),BH86,0)+IF(ISNUMBER(BI86),BI86,0)+IF(ISNUMBER(BJ86),BJ86,0))/(IF(ISNUMBER(AZ86),1,0)+IF(ISNUMBER(BA86),1,0)+IF(ISNUMBER(BB86),1,0)+IF(ISNUMBER(BC86),1,0)+IF(ISNUMBER(BD86),1,0)+IF(ISNUMBER(BE86),1,0)+IF(ISNUMBER(BF86),1,0)+IF(ISNUMBER(BG86),1,0)+IF(ISNUMBER(BH86),1,0)+IF(ISNUMBER(BI86),1,0)+IF(ISNUMBER(BJ86),1,0)),2),"")</f>
        <v>12.46</v>
      </c>
    </row>
    <row r="87" customFormat="false" ht="15" hidden="false" customHeight="false" outlineLevel="0" collapsed="false">
      <c r="A87" s="87" t="s">
        <v>145</v>
      </c>
      <c r="B87" s="87" t="s">
        <v>93</v>
      </c>
      <c r="C87" s="90" t="n">
        <v>2750</v>
      </c>
      <c r="D87" s="91" t="n">
        <f aca="false">IF(OR(Calculator!$E$11&lt;&gt;"YES",Calculator!$B$30&lt;Calculator!$G$11),"—",ROUND(MAX((50*POWER(80,POWER(COS(PI()*MOD(Calculator!$B$30/Calculator!$F$11,1)),2)))/$C87,$C87/(50*POWER(80,POWER(COS(PI()*MOD(Calculator!$B$30/Calculator!$F$11,1)),2)))),2))</f>
        <v>31.14</v>
      </c>
      <c r="E87" s="91" t="n">
        <f aca="false">IF(OR(Calculator!$E$12&lt;&gt;"YES",Calculator!$B$30&lt;Calculator!$G$12),"—",ROUND(MAX((50*POWER(80,POWER(COS(PI()*MOD(Calculator!$B$30/Calculator!$F$12,1)),2)))/$C87,$C87/(50*POWER(80,POWER(COS(PI()*MOD(Calculator!$B$30/Calculator!$F$12,1)),2)))),2))</f>
        <v>2.61</v>
      </c>
      <c r="F87" s="91" t="n">
        <f aca="false">IF(OR(Calculator!$E$13&lt;&gt;"YES",Calculator!$B$30&lt;Calculator!$G$13),"—",ROUND(MAX((50*POWER(80,POWER(COS(PI()*MOD(Calculator!$B$30/Calculator!$F$13,1)),2)))/$C87,$C87/(50*POWER(80,POWER(COS(PI()*MOD(Calculator!$B$30/Calculator!$F$13,1)),2)))),2))</f>
        <v>6.94</v>
      </c>
      <c r="G87" s="91" t="n">
        <f aca="false">IF(OR(Calculator!$E$14&lt;&gt;"YES",Calculator!$B$30&lt;Calculator!$G$14),"—",ROUND(MAX((50*POWER(80,POWER(COS(PI()*MOD(Calculator!$B$30/Calculator!$F$14,1)),2)))/$C87,$C87/(50*POWER(80,POWER(COS(PI()*MOD(Calculator!$B$30/Calculator!$F$14,1)),2)))),2))</f>
        <v>16.25</v>
      </c>
      <c r="H87" s="91" t="n">
        <f aca="false">IF(OR(Calculator!$E$15&lt;&gt;"YES",Calculator!$B$30&lt;Calculator!$G$15),"—",ROUND(MAX((50*POWER(80,POWER(COS(PI()*MOD(Calculator!$B$30/Calculator!$F$15,1)),2)))/$C87,$C87/(50*POWER(80,POWER(COS(PI()*MOD(Calculator!$B$30/Calculator!$F$15,1)),2)))),2))</f>
        <v>10.57</v>
      </c>
      <c r="I87" s="91" t="n">
        <f aca="false">IF(OR(Calculator!$E$16&lt;&gt;"YES",Calculator!$B$30&lt;Calculator!$G$16),"—",ROUND(MAX((50*POWER(80,POWER(COS(PI()*MOD(Calculator!$B$30/Calculator!$F$16,1)),2)))/$C87,$C87/(50*POWER(80,POWER(COS(PI()*MOD(Calculator!$B$30/Calculator!$F$16,1)),2)))),2))</f>
        <v>34.54</v>
      </c>
      <c r="J87" s="91" t="n">
        <f aca="false">IF(OR(Calculator!$E$17&lt;&gt;"YES",Calculator!$B$30&lt;Calculator!$G$17),"—",ROUND(MAX((50*POWER(80,POWER(COS(PI()*MOD(Calculator!$B$30/Calculator!$F$17,1)),2)))/$C87,$C87/(50*POWER(80,POWER(COS(PI()*MOD(Calculator!$B$30/Calculator!$F$17,1)),2)))),2))</f>
        <v>1.17</v>
      </c>
      <c r="K87" s="91" t="n">
        <f aca="false">IF(OR(Calculator!$E$18&lt;&gt;"YES",Calculator!$B$30&lt;Calculator!$G$18),"—",ROUND(MAX((50*POWER(80,POWER(COS(PI()*MOD(Calculator!$B$30/Calculator!$F$18,1)),2)))/$C87,$C87/(50*POWER(80,POWER(COS(PI()*MOD(Calculator!$B$30/Calculator!$F$18,1)),2)))),2))</f>
        <v>1.08</v>
      </c>
      <c r="L87" s="91" t="n">
        <f aca="false">IF(OR(Calculator!$E$19&lt;&gt;"YES",Calculator!$B$30&lt;Calculator!$G$19),"—",ROUND(MAX((50*POWER(80,POWER(COS(PI()*MOD(Calculator!$B$30/Calculator!$F$19,1)),2)))/$C87,$C87/(50*POWER(80,POWER(COS(PI()*MOD(Calculator!$B$30/Calculator!$F$19,1)),2)))),2))</f>
        <v>1.07</v>
      </c>
      <c r="M87" s="91" t="n">
        <f aca="false">IF(OR(Calculator!$E$20&lt;&gt;"YES",Calculator!$B$30&lt;Calculator!$G$20),"—",ROUND(MAX((50*POWER(80,POWER(COS(PI()*MOD(Calculator!$B$30/Calculator!$F$20,1)),2)))/$C87,$C87/(50*POWER(80,POWER(COS(PI()*MOD(Calculator!$B$30/Calculator!$F$20,1)),2)))),2))</f>
        <v>28.59</v>
      </c>
      <c r="N87" s="91" t="n">
        <f aca="false">IF(OR(Calculator!$E$21&lt;&gt;"YES",Calculator!$B$30&lt;Calculator!$G$21),"—",ROUND(MAX((50*POWER(80,POWER(COS(PI()*MOD(Calculator!$B$30/Calculator!$F$21,1)),2)))/$C87,$C87/(50*POWER(80,POWER(COS(PI()*MOD(Calculator!$B$30/Calculator!$F$21,1)),2)))),2))</f>
        <v>1.08</v>
      </c>
      <c r="O87" s="114" t="n">
        <f aca="false">IFERROR(ROUND((IF(ISNUMBER(D87),D87,0)+IF(ISNUMBER(E87),E87,0)+IF(ISNUMBER(F87),F87,0)+IF(ISNUMBER(G87),G87,0)+IF(ISNUMBER(H87),H87,0)+IF(ISNUMBER(I87),I87,0)+IF(ISNUMBER(J87),J87,0)+IF(ISNUMBER(K87),K87,0)+IF(ISNUMBER(L87),L87,0)+IF(ISNUMBER(M87),M87,0)+IF(ISNUMBER(N87),N87,0))/(IF(ISNUMBER(D87),1,0)+IF(ISNUMBER(E87),1,0)+IF(ISNUMBER(F87),1,0)+IF(ISNUMBER(G87),1,0)+IF(ISNUMBER(H87),1,0)+IF(ISNUMBER(I87),1,0)+IF(ISNUMBER(J87),1,0)+IF(ISNUMBER(K87),1,0)+IF(ISNUMBER(L87),1,0)+IF(ISNUMBER(M87),1,0)+IF(ISNUMBER(N87),1,0)),2),"")</f>
        <v>12.28</v>
      </c>
      <c r="P87" s="91" t="n">
        <f aca="false">IF(OR(Calculator!$E$11&lt;&gt;"YES",Calculator!$B$31&lt;Calculator!$G$11),"—",ROUND(MAX((50*POWER(80,POWER(COS(PI()*MOD(Calculator!$B$31/Calculator!$F$11,1)),2)))/$C87,$C87/(50*POWER(80,POWER(COS(PI()*MOD(Calculator!$B$31/Calculator!$F$11,1)),2)))),2))</f>
        <v>31.52</v>
      </c>
      <c r="Q87" s="91" t="n">
        <f aca="false">IF(OR(Calculator!$E$12&lt;&gt;"YES",Calculator!$B$31&lt;Calculator!$G$12),"—",ROUND(MAX((50*POWER(80,POWER(COS(PI()*MOD(Calculator!$B$31/Calculator!$F$12,1)),2)))/$C87,$C87/(50*POWER(80,POWER(COS(PI()*MOD(Calculator!$B$31/Calculator!$F$12,1)),2)))),2))</f>
        <v>2.52</v>
      </c>
      <c r="R87" s="91" t="n">
        <f aca="false">IF(OR(Calculator!$E$13&lt;&gt;"YES",Calculator!$B$31&lt;Calculator!$G$13),"—",ROUND(MAX((50*POWER(80,POWER(COS(PI()*MOD(Calculator!$B$31/Calculator!$F$13,1)),2)))/$C87,$C87/(50*POWER(80,POWER(COS(PI()*MOD(Calculator!$B$31/Calculator!$F$13,1)),2)))),2))</f>
        <v>7.31</v>
      </c>
      <c r="S87" s="91" t="n">
        <f aca="false">IF(OR(Calculator!$E$14&lt;&gt;"YES",Calculator!$B$31&lt;Calculator!$G$14),"—",ROUND(MAX((50*POWER(80,POWER(COS(PI()*MOD(Calculator!$B$31/Calculator!$F$14,1)),2)))/$C87,$C87/(50*POWER(80,POWER(COS(PI()*MOD(Calculator!$B$31/Calculator!$F$14,1)),2)))),2))</f>
        <v>15.26</v>
      </c>
      <c r="T87" s="91" t="n">
        <f aca="false">IF(OR(Calculator!$E$15&lt;&gt;"YES",Calculator!$B$31&lt;Calculator!$G$15),"—",ROUND(MAX((50*POWER(80,POWER(COS(PI()*MOD(Calculator!$B$31/Calculator!$F$15,1)),2)))/$C87,$C87/(50*POWER(80,POWER(COS(PI()*MOD(Calculator!$B$31/Calculator!$F$15,1)),2)))),2))</f>
        <v>9.61</v>
      </c>
      <c r="U87" s="91" t="n">
        <f aca="false">IF(OR(Calculator!$E$16&lt;&gt;"YES",Calculator!$B$31&lt;Calculator!$G$16),"—",ROUND(MAX((50*POWER(80,POWER(COS(PI()*MOD(Calculator!$B$31/Calculator!$F$16,1)),2)))/$C87,$C87/(50*POWER(80,POWER(COS(PI()*MOD(Calculator!$B$31/Calculator!$F$16,1)),2)))),2))</f>
        <v>37.46</v>
      </c>
      <c r="V87" s="91" t="n">
        <f aca="false">IF(OR(Calculator!$E$17&lt;&gt;"YES",Calculator!$B$31&lt;Calculator!$G$17),"—",ROUND(MAX((50*POWER(80,POWER(COS(PI()*MOD(Calculator!$B$31/Calculator!$F$17,1)),2)))/$C87,$C87/(50*POWER(80,POWER(COS(PI()*MOD(Calculator!$B$31/Calculator!$F$17,1)),2)))),2))</f>
        <v>1.32</v>
      </c>
      <c r="W87" s="91" t="n">
        <f aca="false">IF(OR(Calculator!$E$18&lt;&gt;"YES",Calculator!$B$31&lt;Calculator!$G$18),"—",ROUND(MAX((50*POWER(80,POWER(COS(PI()*MOD(Calculator!$B$31/Calculator!$F$18,1)),2)))/$C87,$C87/(50*POWER(80,POWER(COS(PI()*MOD(Calculator!$B$31/Calculator!$F$18,1)),2)))),2))</f>
        <v>1.23</v>
      </c>
      <c r="X87" s="91" t="n">
        <f aca="false">IF(OR(Calculator!$E$19&lt;&gt;"YES",Calculator!$B$31&lt;Calculator!$G$19),"—",ROUND(MAX((50*POWER(80,POWER(COS(PI()*MOD(Calculator!$B$31/Calculator!$F$19,1)),2)))/$C87,$C87/(50*POWER(80,POWER(COS(PI()*MOD(Calculator!$B$31/Calculator!$F$19,1)),2)))),2))</f>
        <v>1.07</v>
      </c>
      <c r="Y87" s="91" t="n">
        <f aca="false">IF(OR(Calculator!$E$20&lt;&gt;"YES",Calculator!$B$31&lt;Calculator!$G$20),"—",ROUND(MAX((50*POWER(80,POWER(COS(PI()*MOD(Calculator!$B$31/Calculator!$F$20,1)),2)))/$C87,$C87/(50*POWER(80,POWER(COS(PI()*MOD(Calculator!$B$31/Calculator!$F$20,1)),2)))),2))</f>
        <v>23.16</v>
      </c>
      <c r="Z87" s="91" t="n">
        <f aca="false">IF(OR(Calculator!$E$21&lt;&gt;"YES",Calculator!$B$31&lt;Calculator!$G$21),"—",ROUND(MAX((50*POWER(80,POWER(COS(PI()*MOD(Calculator!$B$31/Calculator!$F$21,1)),2)))/$C87,$C87/(50*POWER(80,POWER(COS(PI()*MOD(Calculator!$B$31/Calculator!$F$21,1)),2)))),2))</f>
        <v>1.54</v>
      </c>
      <c r="AA87" s="114" t="n">
        <f aca="false">IFERROR(ROUND((IF(ISNUMBER(P87),P87,0)+IF(ISNUMBER(Q87),Q87,0)+IF(ISNUMBER(R87),R87,0)+IF(ISNUMBER(S87),S87,0)+IF(ISNUMBER(T87),T87,0)+IF(ISNUMBER(U87),U87,0)+IF(ISNUMBER(V87),V87,0)+IF(ISNUMBER(W87),W87,0)+IF(ISNUMBER(X87),X87,0)+IF(ISNUMBER(Y87),Y87,0)+IF(ISNUMBER(Z87),Z87,0))/(IF(ISNUMBER(P87),1,0)+IF(ISNUMBER(Q87),1,0)+IF(ISNUMBER(R87),1,0)+IF(ISNUMBER(S87),1,0)+IF(ISNUMBER(T87),1,0)+IF(ISNUMBER(U87),1,0)+IF(ISNUMBER(V87),1,0)+IF(ISNUMBER(W87),1,0)+IF(ISNUMBER(X87),1,0)+IF(ISNUMBER(Y87),1,0)+IF(ISNUMBER(Z87),1,0)),2),"")</f>
        <v>12</v>
      </c>
      <c r="AB87" s="91" t="n">
        <f aca="false">IF(OR(Calculator!$E$11&lt;&gt;"YES",Calculator!$B$32&lt;Calculator!$G$11),"—",ROUND(MAX((50*POWER(80,POWER(COS(PI()*MOD(Calculator!$B$32/Calculator!$F$11,1)),2)))/$C87,$C87/(50*POWER(80,POWER(COS(PI()*MOD(Calculator!$B$32/Calculator!$F$11,1)),2)))),2))</f>
        <v>39.68</v>
      </c>
      <c r="AC87" s="91" t="n">
        <f aca="false">IF(OR(Calculator!$E$12&lt;&gt;"YES",Calculator!$B$32&lt;Calculator!$G$12),"—",ROUND(MAX((50*POWER(80,POWER(COS(PI()*MOD(Calculator!$B$32/Calculator!$F$12,1)),2)))/$C87,$C87/(50*POWER(80,POWER(COS(PI()*MOD(Calculator!$B$32/Calculator!$F$12,1)),2)))),2))</f>
        <v>1.37</v>
      </c>
      <c r="AD87" s="91" t="n">
        <f aca="false">IF(OR(Calculator!$E$13&lt;&gt;"YES",Calculator!$B$32&lt;Calculator!$G$13),"—",ROUND(MAX((50*POWER(80,POWER(COS(PI()*MOD(Calculator!$B$32/Calculator!$F$13,1)),2)))/$C87,$C87/(50*POWER(80,POWER(COS(PI()*MOD(Calculator!$B$32/Calculator!$F$13,1)),2)))),2))</f>
        <v>20.25</v>
      </c>
      <c r="AE87" s="91" t="n">
        <f aca="false">IF(OR(Calculator!$E$14&lt;&gt;"YES",Calculator!$B$32&lt;Calculator!$G$14),"—",ROUND(MAX((50*POWER(80,POWER(COS(PI()*MOD(Calculator!$B$32/Calculator!$F$14,1)),2)))/$C87,$C87/(50*POWER(80,POWER(COS(PI()*MOD(Calculator!$B$32/Calculator!$F$14,1)),2)))),2))</f>
        <v>3.7</v>
      </c>
      <c r="AF87" s="91" t="n">
        <f aca="false">IF(OR(Calculator!$E$15&lt;&gt;"YES",Calculator!$B$32&lt;Calculator!$G$15),"—",ROUND(MAX((50*POWER(80,POWER(COS(PI()*MOD(Calculator!$B$32/Calculator!$F$15,1)),2)))/$C87,$C87/(50*POWER(80,POWER(COS(PI()*MOD(Calculator!$B$32/Calculator!$F$15,1)),2)))),2))</f>
        <v>1.42</v>
      </c>
      <c r="AG87" s="91" t="n">
        <f aca="false">IF(OR(Calculator!$E$16&lt;&gt;"YES",Calculator!$B$32&lt;Calculator!$G$16),"—",ROUND(MAX((50*POWER(80,POWER(COS(PI()*MOD(Calculator!$B$32/Calculator!$F$16,1)),2)))/$C87,$C87/(50*POWER(80,POWER(COS(PI()*MOD(Calculator!$B$32/Calculator!$F$16,1)),2)))),2))</f>
        <v>32.33</v>
      </c>
      <c r="AH87" s="91" t="n">
        <f aca="false">IF(OR(Calculator!$E$17&lt;&gt;"YES",Calculator!$B$32&lt;Calculator!$G$17),"—",ROUND(MAX((50*POWER(80,POWER(COS(PI()*MOD(Calculator!$B$32/Calculator!$F$17,1)),2)))/$C87,$C87/(50*POWER(80,POWER(COS(PI()*MOD(Calculator!$B$32/Calculator!$F$17,1)),2)))),2))</f>
        <v>34.13</v>
      </c>
      <c r="AI87" s="91" t="n">
        <f aca="false">IF(OR(Calculator!$E$18&lt;&gt;"YES",Calculator!$B$32&lt;Calculator!$G$18),"—",ROUND(MAX((50*POWER(80,POWER(COS(PI()*MOD(Calculator!$B$32/Calculator!$F$18,1)),2)))/$C87,$C87/(50*POWER(80,POWER(COS(PI()*MOD(Calculator!$B$32/Calculator!$F$18,1)),2)))),2))</f>
        <v>45.02</v>
      </c>
      <c r="AJ87" s="91" t="n">
        <f aca="false">IF(OR(Calculator!$E$19&lt;&gt;"YES",Calculator!$B$32&lt;Calculator!$G$19),"—",ROUND(MAX((50*POWER(80,POWER(COS(PI()*MOD(Calculator!$B$32/Calculator!$F$19,1)),2)))/$C87,$C87/(50*POWER(80,POWER(COS(PI()*MOD(Calculator!$B$32/Calculator!$F$19,1)),2)))),2))</f>
        <v>9.49</v>
      </c>
      <c r="AK87" s="91" t="n">
        <f aca="false">IF(OR(Calculator!$E$20&lt;&gt;"YES",Calculator!$B$32&lt;Calculator!$G$20),"—",ROUND(MAX((50*POWER(80,POWER(COS(PI()*MOD(Calculator!$B$32/Calculator!$F$20,1)),2)))/$C87,$C87/(50*POWER(80,POWER(COS(PI()*MOD(Calculator!$B$32/Calculator!$F$20,1)),2)))),2))</f>
        <v>1.17</v>
      </c>
      <c r="AL87" s="91" t="n">
        <f aca="false">IF(OR(Calculator!$E$21&lt;&gt;"YES",Calculator!$B$32&lt;Calculator!$G$21),"—",ROUND(MAX((50*POWER(80,POWER(COS(PI()*MOD(Calculator!$B$32/Calculator!$F$21,1)),2)))/$C87,$C87/(50*POWER(80,POWER(COS(PI()*MOD(Calculator!$B$32/Calculator!$F$21,1)),2)))),2))</f>
        <v>1.01</v>
      </c>
      <c r="AM87" s="115" t="n">
        <f aca="false">IFERROR(ROUND((IF(ISNUMBER(AB87),AB87,0)+IF(ISNUMBER(AC87),AC87,0)+IF(ISNUMBER(AD87),AD87,0)+IF(ISNUMBER(AE87),AE87,0)+IF(ISNUMBER(AF87),AF87,0)+IF(ISNUMBER(AG87),AG87,0)+IF(ISNUMBER(AH87),AH87,0)+IF(ISNUMBER(AI87),AI87,0)+IF(ISNUMBER(AJ87),AJ87,0)+IF(ISNUMBER(AK87),AK87,0)+IF(ISNUMBER(AL87),AL87,0))/(IF(ISNUMBER(AB87),1,0)+IF(ISNUMBER(AC87),1,0)+IF(ISNUMBER(AD87),1,0)+IF(ISNUMBER(AE87),1,0)+IF(ISNUMBER(AF87),1,0)+IF(ISNUMBER(AG87),1,0)+IF(ISNUMBER(AH87),1,0)+IF(ISNUMBER(AI87),1,0)+IF(ISNUMBER(AJ87),1,0)+IF(ISNUMBER(AK87),1,0)+IF(ISNUMBER(AL87),1,0)),2),"")</f>
        <v>17.23</v>
      </c>
      <c r="AN87" s="116" t="n">
        <f aca="false">IF(OR(Calculator!$E$11&lt;&gt;"YES",Calculator!$B$33&lt;Calculator!$G$11),"—",ROUND(MAX((50*POWER(80,POWER(COS(PI()*MOD(Calculator!$B$33/Calculator!$F$11,1)),2)))/$C87,$C87/(50*POWER(80,POWER(COS(PI()*MOD(Calculator!$B$33/Calculator!$F$11,1)),2)))),2))</f>
        <v>31.91</v>
      </c>
      <c r="AO87" s="116" t="n">
        <f aca="false">IF(OR(Calculator!$E$12&lt;&gt;"YES",Calculator!$B$33&lt;Calculator!$G$12),"—",ROUND(MAX((50*POWER(80,POWER(COS(PI()*MOD(Calculator!$B$33/Calculator!$F$12,1)),2)))/$C87,$C87/(50*POWER(80,POWER(COS(PI()*MOD(Calculator!$B$33/Calculator!$F$12,1)),2)))),2))</f>
        <v>2.44</v>
      </c>
      <c r="AP87" s="116" t="n">
        <f aca="false">IF(OR(Calculator!$E$13&lt;&gt;"YES",Calculator!$B$33&lt;Calculator!$G$13),"—",ROUND(MAX((50*POWER(80,POWER(COS(PI()*MOD(Calculator!$B$33/Calculator!$F$13,1)),2)))/$C87,$C87/(50*POWER(80,POWER(COS(PI()*MOD(Calculator!$B$33/Calculator!$F$13,1)),2)))),2))</f>
        <v>7.69</v>
      </c>
      <c r="AQ87" s="116" t="n">
        <f aca="false">IF(OR(Calculator!$E$14&lt;&gt;"YES",Calculator!$B$33&lt;Calculator!$G$14),"—",ROUND(MAX((50*POWER(80,POWER(COS(PI()*MOD(Calculator!$B$33/Calculator!$F$14,1)),2)))/$C87,$C87/(50*POWER(80,POWER(COS(PI()*MOD(Calculator!$B$33/Calculator!$F$14,1)),2)))),2))</f>
        <v>14.33</v>
      </c>
      <c r="AR87" s="116" t="n">
        <f aca="false">IF(OR(Calculator!$E$15&lt;&gt;"YES",Calculator!$B$33&lt;Calculator!$G$15),"—",ROUND(MAX((50*POWER(80,POWER(COS(PI()*MOD(Calculator!$B$33/Calculator!$F$15,1)),2)))/$C87,$C87/(50*POWER(80,POWER(COS(PI()*MOD(Calculator!$B$33/Calculator!$F$15,1)),2)))),2))</f>
        <v>8.73</v>
      </c>
      <c r="AS87" s="116" t="n">
        <f aca="false">IF(OR(Calculator!$E$16&lt;&gt;"YES",Calculator!$B$33&lt;Calculator!$G$16),"—",ROUND(MAX((50*POWER(80,POWER(COS(PI()*MOD(Calculator!$B$33/Calculator!$F$16,1)),2)))/$C87,$C87/(50*POWER(80,POWER(COS(PI()*MOD(Calculator!$B$33/Calculator!$F$16,1)),2)))),2))</f>
        <v>40.33</v>
      </c>
      <c r="AT87" s="116" t="n">
        <f aca="false">IF(OR(Calculator!$E$17&lt;&gt;"YES",Calculator!$B$33&lt;Calculator!$G$17),"—",ROUND(MAX((50*POWER(80,POWER(COS(PI()*MOD(Calculator!$B$33/Calculator!$F$17,1)),2)))/$C87,$C87/(50*POWER(80,POWER(COS(PI()*MOD(Calculator!$B$33/Calculator!$F$17,1)),2)))),2))</f>
        <v>1.5</v>
      </c>
      <c r="AU87" s="116" t="n">
        <f aca="false">IF(OR(Calculator!$E$18&lt;&gt;"YES",Calculator!$B$33&lt;Calculator!$G$18),"—",ROUND(MAX((50*POWER(80,POWER(COS(PI()*MOD(Calculator!$B$33/Calculator!$F$18,1)),2)))/$C87,$C87/(50*POWER(80,POWER(COS(PI()*MOD(Calculator!$B$33/Calculator!$F$18,1)),2)))),2))</f>
        <v>1.42</v>
      </c>
      <c r="AV87" s="116" t="n">
        <f aca="false">IF(OR(Calculator!$E$19&lt;&gt;"YES",Calculator!$B$33&lt;Calculator!$G$19),"—",ROUND(MAX((50*POWER(80,POWER(COS(PI()*MOD(Calculator!$B$33/Calculator!$F$19,1)),2)))/$C87,$C87/(50*POWER(80,POWER(COS(PI()*MOD(Calculator!$B$33/Calculator!$F$19,1)),2)))),2))</f>
        <v>1.19</v>
      </c>
      <c r="AW87" s="116" t="n">
        <f aca="false">IF(OR(Calculator!$E$20&lt;&gt;"YES",Calculator!$B$33&lt;Calculator!$G$20),"—",ROUND(MAX((50*POWER(80,POWER(COS(PI()*MOD(Calculator!$B$33/Calculator!$F$20,1)),2)))/$C87,$C87/(50*POWER(80,POWER(COS(PI()*MOD(Calculator!$B$33/Calculator!$F$20,1)),2)))),2))</f>
        <v>18.37</v>
      </c>
      <c r="AX87" s="116" t="n">
        <f aca="false">IF(OR(Calculator!$E$21&lt;&gt;"YES",Calculator!$B$33&lt;Calculator!$G$21),"—",ROUND(MAX((50*POWER(80,POWER(COS(PI()*MOD(Calculator!$B$33/Calculator!$F$21,1)),2)))/$C87,$C87/(50*POWER(80,POWER(COS(PI()*MOD(Calculator!$B$33/Calculator!$F$21,1)),2)))),2))</f>
        <v>2.35</v>
      </c>
      <c r="AY87" s="115" t="n">
        <f aca="false">IFERROR(ROUND((IF(ISNUMBER(AN87),AN87,0)+IF(ISNUMBER(AO87),AO87,0)+IF(ISNUMBER(AP87),AP87,0)+IF(ISNUMBER(AQ87),AQ87,0)+IF(ISNUMBER(AR87),AR87,0)+IF(ISNUMBER(AS87),AS87,0)+IF(ISNUMBER(AT87),AT87,0)+IF(ISNUMBER(AU87),AU87,0)+IF(ISNUMBER(AV87),AV87,0)+IF(ISNUMBER(AW87),AW87,0)+IF(ISNUMBER(AX87),AX87,0))/(IF(ISNUMBER(AN87),1,0)+IF(ISNUMBER(AO87),1,0)+IF(ISNUMBER(AP87),1,0)+IF(ISNUMBER(AQ87),1,0)+IF(ISNUMBER(AR87),1,0)+IF(ISNUMBER(AS87),1,0)+IF(ISNUMBER(AT87),1,0)+IF(ISNUMBER(AU87),1,0)+IF(ISNUMBER(AV87),1,0)+IF(ISNUMBER(AW87),1,0)+IF(ISNUMBER(AX87),1,0)),2),"")</f>
        <v>11.84</v>
      </c>
      <c r="AZ87" s="116" t="n">
        <f aca="false">IF(OR(Calculator!$E$11&lt;&gt;"YES",Calculator!$B$34&lt;Calculator!$G$11),"—",ROUND(MAX((50*POWER(80,POWER(COS(PI()*MOD(Calculator!$B$34/Calculator!$F$11,1)),2)))/$C87,$C87/(50*POWER(80,POWER(COS(PI()*MOD(Calculator!$B$34/Calculator!$F$11,1)),2)))),2))</f>
        <v>30.75</v>
      </c>
      <c r="BA87" s="116" t="n">
        <f aca="false">IF(OR(Calculator!$E$12&lt;&gt;"YES",Calculator!$B$34&lt;Calculator!$G$12),"—",ROUND(MAX((50*POWER(80,POWER(COS(PI()*MOD(Calculator!$B$34/Calculator!$F$12,1)),2)))/$C87,$C87/(50*POWER(80,POWER(COS(PI()*MOD(Calculator!$B$34/Calculator!$F$12,1)),2)))),2))</f>
        <v>2.69</v>
      </c>
      <c r="BB87" s="116" t="n">
        <f aca="false">IF(OR(Calculator!$E$13&lt;&gt;"YES",Calculator!$B$34&lt;Calculator!$G$13),"—",ROUND(MAX((50*POWER(80,POWER(COS(PI()*MOD(Calculator!$B$34/Calculator!$F$13,1)),2)))/$C87,$C87/(50*POWER(80,POWER(COS(PI()*MOD(Calculator!$B$34/Calculator!$F$13,1)),2)))),2))</f>
        <v>6.59</v>
      </c>
      <c r="BC87" s="116" t="n">
        <f aca="false">IF(OR(Calculator!$E$14&lt;&gt;"YES",Calculator!$B$34&lt;Calculator!$G$14),"—",ROUND(MAX((50*POWER(80,POWER(COS(PI()*MOD(Calculator!$B$34/Calculator!$F$14,1)),2)))/$C87,$C87/(50*POWER(80,POWER(COS(PI()*MOD(Calculator!$B$34/Calculator!$F$14,1)),2)))),2))</f>
        <v>17.28</v>
      </c>
      <c r="BD87" s="116" t="n">
        <f aca="false">IF(OR(Calculator!$E$15&lt;&gt;"YES",Calculator!$B$34&lt;Calculator!$G$15),"—",ROUND(MAX((50*POWER(80,POWER(COS(PI()*MOD(Calculator!$B$34/Calculator!$F$15,1)),2)))/$C87,$C87/(50*POWER(80,POWER(COS(PI()*MOD(Calculator!$B$34/Calculator!$F$15,1)),2)))),2))</f>
        <v>11.61</v>
      </c>
      <c r="BE87" s="116" t="n">
        <f aca="false">IF(OR(Calculator!$E$16&lt;&gt;"YES",Calculator!$B$34&lt;Calculator!$G$16),"—",ROUND(MAX((50*POWER(80,POWER(COS(PI()*MOD(Calculator!$B$34/Calculator!$F$16,1)),2)))/$C87,$C87/(50*POWER(80,POWER(COS(PI()*MOD(Calculator!$B$34/Calculator!$F$16,1)),2)))),2))</f>
        <v>31.64</v>
      </c>
      <c r="BF87" s="116" t="n">
        <f aca="false">IF(OR(Calculator!$E$17&lt;&gt;"YES",Calculator!$B$34&lt;Calculator!$G$17),"—",ROUND(MAX((50*POWER(80,POWER(COS(PI()*MOD(Calculator!$B$34/Calculator!$F$17,1)),2)))/$C87,$C87/(50*POWER(80,POWER(COS(PI()*MOD(Calculator!$B$34/Calculator!$F$17,1)),2)))),2))</f>
        <v>1.05</v>
      </c>
      <c r="BG87" s="116" t="n">
        <f aca="false">IF(OR(Calculator!$E$18&lt;&gt;"YES",Calculator!$B$34&lt;Calculator!$G$18),"—",ROUND(MAX((50*POWER(80,POWER(COS(PI()*MOD(Calculator!$B$34/Calculator!$F$18,1)),2)))/$C87,$C87/(50*POWER(80,POWER(COS(PI()*MOD(Calculator!$B$34/Calculator!$F$18,1)),2)))),2))</f>
        <v>1.04</v>
      </c>
      <c r="BH87" s="116" t="n">
        <f aca="false">IF(OR(Calculator!$E$19&lt;&gt;"YES",Calculator!$B$34&lt;Calculator!$G$19),"—",ROUND(MAX((50*POWER(80,POWER(COS(PI()*MOD(Calculator!$B$34/Calculator!$F$19,1)),2)))/$C87,$C87/(50*POWER(80,POWER(COS(PI()*MOD(Calculator!$B$34/Calculator!$F$19,1)),2)))),2))</f>
        <v>1.25</v>
      </c>
      <c r="BI87" s="116" t="n">
        <f aca="false">IF(OR(Calculator!$E$20&lt;&gt;"YES",Calculator!$B$34&lt;Calculator!$G$20),"—",ROUND(MAX((50*POWER(80,POWER(COS(PI()*MOD(Calculator!$B$34/Calculator!$F$20,1)),2)))/$C87,$C87/(50*POWER(80,POWER(COS(PI()*MOD(Calculator!$B$34/Calculator!$F$20,1)),2)))),2))</f>
        <v>34.43</v>
      </c>
      <c r="BJ87" s="116" t="n">
        <f aca="false">IF(OR(Calculator!$E$21&lt;&gt;"YES",Calculator!$B$34&lt;Calculator!$G$21),"—",ROUND(MAX((50*POWER(80,POWER(COS(PI()*MOD(Calculator!$B$34/Calculator!$F$21,1)),2)))/$C87,$C87/(50*POWER(80,POWER(COS(PI()*MOD(Calculator!$B$34/Calculator!$F$21,1)),2)))),2))</f>
        <v>1.19</v>
      </c>
      <c r="BK87" s="115" t="n">
        <f aca="false">IFERROR(ROUND((IF(ISNUMBER(AZ87),AZ87,0)+IF(ISNUMBER(BA87),BA87,0)+IF(ISNUMBER(BB87),BB87,0)+IF(ISNUMBER(BC87),BC87,0)+IF(ISNUMBER(BD87),BD87,0)+IF(ISNUMBER(BE87),BE87,0)+IF(ISNUMBER(BF87),BF87,0)+IF(ISNUMBER(BG87),BG87,0)+IF(ISNUMBER(BH87),BH87,0)+IF(ISNUMBER(BI87),BI87,0)+IF(ISNUMBER(BJ87),BJ87,0))/(IF(ISNUMBER(AZ87),1,0)+IF(ISNUMBER(BA87),1,0)+IF(ISNUMBER(BB87),1,0)+IF(ISNUMBER(BC87),1,0)+IF(ISNUMBER(BD87),1,0)+IF(ISNUMBER(BE87),1,0)+IF(ISNUMBER(BF87),1,0)+IF(ISNUMBER(BG87),1,0)+IF(ISNUMBER(BH87),1,0)+IF(ISNUMBER(BI87),1,0)+IF(ISNUMBER(BJ87),1,0)),2),"")</f>
        <v>12.68</v>
      </c>
    </row>
    <row r="88" customFormat="false" ht="15" hidden="false" customHeight="false" outlineLevel="0" collapsed="false">
      <c r="A88" s="117" t="s">
        <v>146</v>
      </c>
      <c r="B88" s="117" t="s">
        <v>93</v>
      </c>
      <c r="C88" s="118" t="n">
        <v>2800</v>
      </c>
      <c r="D88" s="119" t="n">
        <f aca="false">IF(OR(Calculator!$E$11&lt;&gt;"YES",Calculator!$B$30&lt;Calculator!$G$11),"—",ROUND(MAX((50*POWER(80,POWER(COS(PI()*MOD(Calculator!$B$30/Calculator!$F$11,1)),2)))/$C88,$C88/(50*POWER(80,POWER(COS(PI()*MOD(Calculator!$B$30/Calculator!$F$11,1)),2)))),2))</f>
        <v>31.7</v>
      </c>
      <c r="E88" s="119" t="n">
        <f aca="false">IF(OR(Calculator!$E$12&lt;&gt;"YES",Calculator!$B$30&lt;Calculator!$G$12),"—",ROUND(MAX((50*POWER(80,POWER(COS(PI()*MOD(Calculator!$B$30/Calculator!$F$12,1)),2)))/$C88,$C88/(50*POWER(80,POWER(COS(PI()*MOD(Calculator!$B$30/Calculator!$F$12,1)),2)))),2))</f>
        <v>2.65</v>
      </c>
      <c r="F88" s="119" t="n">
        <f aca="false">IF(OR(Calculator!$E$13&lt;&gt;"YES",Calculator!$B$30&lt;Calculator!$G$13),"—",ROUND(MAX((50*POWER(80,POWER(COS(PI()*MOD(Calculator!$B$30/Calculator!$F$13,1)),2)))/$C88,$C88/(50*POWER(80,POWER(COS(PI()*MOD(Calculator!$B$30/Calculator!$F$13,1)),2)))),2))</f>
        <v>7.07</v>
      </c>
      <c r="G88" s="119" t="n">
        <f aca="false">IF(OR(Calculator!$E$14&lt;&gt;"YES",Calculator!$B$30&lt;Calculator!$G$14),"—",ROUND(MAX((50*POWER(80,POWER(COS(PI()*MOD(Calculator!$B$30/Calculator!$F$14,1)),2)))/$C88,$C88/(50*POWER(80,POWER(COS(PI()*MOD(Calculator!$B$30/Calculator!$F$14,1)),2)))),2))</f>
        <v>16.54</v>
      </c>
      <c r="H88" s="119" t="n">
        <f aca="false">IF(OR(Calculator!$E$15&lt;&gt;"YES",Calculator!$B$30&lt;Calculator!$G$15),"—",ROUND(MAX((50*POWER(80,POWER(COS(PI()*MOD(Calculator!$B$30/Calculator!$F$15,1)),2)))/$C88,$C88/(50*POWER(80,POWER(COS(PI()*MOD(Calculator!$B$30/Calculator!$F$15,1)),2)))),2))</f>
        <v>10.76</v>
      </c>
      <c r="I88" s="119" t="n">
        <f aca="false">IF(OR(Calculator!$E$16&lt;&gt;"YES",Calculator!$B$30&lt;Calculator!$G$16),"—",ROUND(MAX((50*POWER(80,POWER(COS(PI()*MOD(Calculator!$B$30/Calculator!$F$16,1)),2)))/$C88,$C88/(50*POWER(80,POWER(COS(PI()*MOD(Calculator!$B$30/Calculator!$F$16,1)),2)))),2))</f>
        <v>35.17</v>
      </c>
      <c r="J88" s="119" t="n">
        <f aca="false">IF(OR(Calculator!$E$17&lt;&gt;"YES",Calculator!$B$30&lt;Calculator!$G$17),"—",ROUND(MAX((50*POWER(80,POWER(COS(PI()*MOD(Calculator!$B$30/Calculator!$F$17,1)),2)))/$C88,$C88/(50*POWER(80,POWER(COS(PI()*MOD(Calculator!$B$30/Calculator!$F$17,1)),2)))),2))</f>
        <v>1.19</v>
      </c>
      <c r="K88" s="119" t="n">
        <f aca="false">IF(OR(Calculator!$E$18&lt;&gt;"YES",Calculator!$B$30&lt;Calculator!$G$18),"—",ROUND(MAX((50*POWER(80,POWER(COS(PI()*MOD(Calculator!$B$30/Calculator!$F$18,1)),2)))/$C88,$C88/(50*POWER(80,POWER(COS(PI()*MOD(Calculator!$B$30/Calculator!$F$18,1)),2)))),2))</f>
        <v>1.1</v>
      </c>
      <c r="L88" s="119" t="n">
        <f aca="false">IF(OR(Calculator!$E$19&lt;&gt;"YES",Calculator!$B$30&lt;Calculator!$G$19),"—",ROUND(MAX((50*POWER(80,POWER(COS(PI()*MOD(Calculator!$B$30/Calculator!$F$19,1)),2)))/$C88,$C88/(50*POWER(80,POWER(COS(PI()*MOD(Calculator!$B$30/Calculator!$F$19,1)),2)))),2))</f>
        <v>1.09</v>
      </c>
      <c r="M88" s="119" t="n">
        <f aca="false">IF(OR(Calculator!$E$20&lt;&gt;"YES",Calculator!$B$30&lt;Calculator!$G$20),"—",ROUND(MAX((50*POWER(80,POWER(COS(PI()*MOD(Calculator!$B$30/Calculator!$F$20,1)),2)))/$C88,$C88/(50*POWER(80,POWER(COS(PI()*MOD(Calculator!$B$30/Calculator!$F$20,1)),2)))),2))</f>
        <v>29.11</v>
      </c>
      <c r="N88" s="119" t="n">
        <f aca="false">IF(OR(Calculator!$E$21&lt;&gt;"YES",Calculator!$B$30&lt;Calculator!$G$21),"—",ROUND(MAX((50*POWER(80,POWER(COS(PI()*MOD(Calculator!$B$30/Calculator!$F$21,1)),2)))/$C88,$C88/(50*POWER(80,POWER(COS(PI()*MOD(Calculator!$B$30/Calculator!$F$21,1)),2)))),2))</f>
        <v>1.1</v>
      </c>
      <c r="O88" s="114" t="n">
        <f aca="false">IFERROR(ROUND((IF(ISNUMBER(D88),D88,0)+IF(ISNUMBER(E88),E88,0)+IF(ISNUMBER(F88),F88,0)+IF(ISNUMBER(G88),G88,0)+IF(ISNUMBER(H88),H88,0)+IF(ISNUMBER(I88),I88,0)+IF(ISNUMBER(J88),J88,0)+IF(ISNUMBER(K88),K88,0)+IF(ISNUMBER(L88),L88,0)+IF(ISNUMBER(M88),M88,0)+IF(ISNUMBER(N88),N88,0))/(IF(ISNUMBER(D88),1,0)+IF(ISNUMBER(E88),1,0)+IF(ISNUMBER(F88),1,0)+IF(ISNUMBER(G88),1,0)+IF(ISNUMBER(H88),1,0)+IF(ISNUMBER(I88),1,0)+IF(ISNUMBER(J88),1,0)+IF(ISNUMBER(K88),1,0)+IF(ISNUMBER(L88),1,0)+IF(ISNUMBER(M88),1,0)+IF(ISNUMBER(N88),1,0)),2),"")</f>
        <v>12.5</v>
      </c>
      <c r="P88" s="119" t="n">
        <f aca="false">IF(OR(Calculator!$E$11&lt;&gt;"YES",Calculator!$B$31&lt;Calculator!$G$11),"—",ROUND(MAX((50*POWER(80,POWER(COS(PI()*MOD(Calculator!$B$31/Calculator!$F$11,1)),2)))/$C88,$C88/(50*POWER(80,POWER(COS(PI()*MOD(Calculator!$B$31/Calculator!$F$11,1)),2)))),2))</f>
        <v>32.1</v>
      </c>
      <c r="Q88" s="119" t="n">
        <f aca="false">IF(OR(Calculator!$E$12&lt;&gt;"YES",Calculator!$B$31&lt;Calculator!$G$12),"—",ROUND(MAX((50*POWER(80,POWER(COS(PI()*MOD(Calculator!$B$31/Calculator!$F$12,1)),2)))/$C88,$C88/(50*POWER(80,POWER(COS(PI()*MOD(Calculator!$B$31/Calculator!$F$12,1)),2)))),2))</f>
        <v>2.57</v>
      </c>
      <c r="R88" s="119" t="n">
        <f aca="false">IF(OR(Calculator!$E$13&lt;&gt;"YES",Calculator!$B$31&lt;Calculator!$G$13),"—",ROUND(MAX((50*POWER(80,POWER(COS(PI()*MOD(Calculator!$B$31/Calculator!$F$13,1)),2)))/$C88,$C88/(50*POWER(80,POWER(COS(PI()*MOD(Calculator!$B$31/Calculator!$F$13,1)),2)))),2))</f>
        <v>7.44</v>
      </c>
      <c r="S88" s="119" t="n">
        <f aca="false">IF(OR(Calculator!$E$14&lt;&gt;"YES",Calculator!$B$31&lt;Calculator!$G$14),"—",ROUND(MAX((50*POWER(80,POWER(COS(PI()*MOD(Calculator!$B$31/Calculator!$F$14,1)),2)))/$C88,$C88/(50*POWER(80,POWER(COS(PI()*MOD(Calculator!$B$31/Calculator!$F$14,1)),2)))),2))</f>
        <v>15.54</v>
      </c>
      <c r="T88" s="119" t="n">
        <f aca="false">IF(OR(Calculator!$E$15&lt;&gt;"YES",Calculator!$B$31&lt;Calculator!$G$15),"—",ROUND(MAX((50*POWER(80,POWER(COS(PI()*MOD(Calculator!$B$31/Calculator!$F$15,1)),2)))/$C88,$C88/(50*POWER(80,POWER(COS(PI()*MOD(Calculator!$B$31/Calculator!$F$15,1)),2)))),2))</f>
        <v>9.78</v>
      </c>
      <c r="U88" s="119" t="n">
        <f aca="false">IF(OR(Calculator!$E$16&lt;&gt;"YES",Calculator!$B$31&lt;Calculator!$G$16),"—",ROUND(MAX((50*POWER(80,POWER(COS(PI()*MOD(Calculator!$B$31/Calculator!$F$16,1)),2)))/$C88,$C88/(50*POWER(80,POWER(COS(PI()*MOD(Calculator!$B$31/Calculator!$F$16,1)),2)))),2))</f>
        <v>38.14</v>
      </c>
      <c r="V88" s="119" t="n">
        <f aca="false">IF(OR(Calculator!$E$17&lt;&gt;"YES",Calculator!$B$31&lt;Calculator!$G$17),"—",ROUND(MAX((50*POWER(80,POWER(COS(PI()*MOD(Calculator!$B$31/Calculator!$F$17,1)),2)))/$C88,$C88/(50*POWER(80,POWER(COS(PI()*MOD(Calculator!$B$31/Calculator!$F$17,1)),2)))),2))</f>
        <v>1.34</v>
      </c>
      <c r="W88" s="119" t="n">
        <f aca="false">IF(OR(Calculator!$E$18&lt;&gt;"YES",Calculator!$B$31&lt;Calculator!$G$18),"—",ROUND(MAX((50*POWER(80,POWER(COS(PI()*MOD(Calculator!$B$31/Calculator!$F$18,1)),2)))/$C88,$C88/(50*POWER(80,POWER(COS(PI()*MOD(Calculator!$B$31/Calculator!$F$18,1)),2)))),2))</f>
        <v>1.25</v>
      </c>
      <c r="X88" s="119" t="n">
        <f aca="false">IF(OR(Calculator!$E$19&lt;&gt;"YES",Calculator!$B$31&lt;Calculator!$G$19),"—",ROUND(MAX((50*POWER(80,POWER(COS(PI()*MOD(Calculator!$B$31/Calculator!$F$19,1)),2)))/$C88,$C88/(50*POWER(80,POWER(COS(PI()*MOD(Calculator!$B$31/Calculator!$F$19,1)),2)))),2))</f>
        <v>1.05</v>
      </c>
      <c r="Y88" s="119" t="n">
        <f aca="false">IF(OR(Calculator!$E$20&lt;&gt;"YES",Calculator!$B$31&lt;Calculator!$G$20),"—",ROUND(MAX((50*POWER(80,POWER(COS(PI()*MOD(Calculator!$B$31/Calculator!$F$20,1)),2)))/$C88,$C88/(50*POWER(80,POWER(COS(PI()*MOD(Calculator!$B$31/Calculator!$F$20,1)),2)))),2))</f>
        <v>23.58</v>
      </c>
      <c r="Z88" s="119" t="n">
        <f aca="false">IF(OR(Calculator!$E$21&lt;&gt;"YES",Calculator!$B$31&lt;Calculator!$G$21),"—",ROUND(MAX((50*POWER(80,POWER(COS(PI()*MOD(Calculator!$B$31/Calculator!$F$21,1)),2)))/$C88,$C88/(50*POWER(80,POWER(COS(PI()*MOD(Calculator!$B$31/Calculator!$F$21,1)),2)))),2))</f>
        <v>1.57</v>
      </c>
      <c r="AA88" s="114" t="n">
        <f aca="false">IFERROR(ROUND((IF(ISNUMBER(P88),P88,0)+IF(ISNUMBER(Q88),Q88,0)+IF(ISNUMBER(R88),R88,0)+IF(ISNUMBER(S88),S88,0)+IF(ISNUMBER(T88),T88,0)+IF(ISNUMBER(U88),U88,0)+IF(ISNUMBER(V88),V88,0)+IF(ISNUMBER(W88),W88,0)+IF(ISNUMBER(X88),X88,0)+IF(ISNUMBER(Y88),Y88,0)+IF(ISNUMBER(Z88),Z88,0))/(IF(ISNUMBER(P88),1,0)+IF(ISNUMBER(Q88),1,0)+IF(ISNUMBER(R88),1,0)+IF(ISNUMBER(S88),1,0)+IF(ISNUMBER(T88),1,0)+IF(ISNUMBER(U88),1,0)+IF(ISNUMBER(V88),1,0)+IF(ISNUMBER(W88),1,0)+IF(ISNUMBER(X88),1,0)+IF(ISNUMBER(Y88),1,0)+IF(ISNUMBER(Z88),1,0)),2),"")</f>
        <v>12.21</v>
      </c>
      <c r="AB88" s="119" t="n">
        <f aca="false">IF(OR(Calculator!$E$11&lt;&gt;"YES",Calculator!$B$32&lt;Calculator!$G$11),"—",ROUND(MAX((50*POWER(80,POWER(COS(PI()*MOD(Calculator!$B$32/Calculator!$F$11,1)),2)))/$C88,$C88/(50*POWER(80,POWER(COS(PI()*MOD(Calculator!$B$32/Calculator!$F$11,1)),2)))),2))</f>
        <v>40.4</v>
      </c>
      <c r="AC88" s="119" t="n">
        <f aca="false">IF(OR(Calculator!$E$12&lt;&gt;"YES",Calculator!$B$32&lt;Calculator!$G$12),"—",ROUND(MAX((50*POWER(80,POWER(COS(PI()*MOD(Calculator!$B$32/Calculator!$F$12,1)),2)))/$C88,$C88/(50*POWER(80,POWER(COS(PI()*MOD(Calculator!$B$32/Calculator!$F$12,1)),2)))),2))</f>
        <v>1.39</v>
      </c>
      <c r="AD88" s="119" t="n">
        <f aca="false">IF(OR(Calculator!$E$13&lt;&gt;"YES",Calculator!$B$32&lt;Calculator!$G$13),"—",ROUND(MAX((50*POWER(80,POWER(COS(PI()*MOD(Calculator!$B$32/Calculator!$F$13,1)),2)))/$C88,$C88/(50*POWER(80,POWER(COS(PI()*MOD(Calculator!$B$32/Calculator!$F$13,1)),2)))),2))</f>
        <v>20.62</v>
      </c>
      <c r="AE88" s="119" t="n">
        <f aca="false">IF(OR(Calculator!$E$14&lt;&gt;"YES",Calculator!$B$32&lt;Calculator!$G$14),"—",ROUND(MAX((50*POWER(80,POWER(COS(PI()*MOD(Calculator!$B$32/Calculator!$F$14,1)),2)))/$C88,$C88/(50*POWER(80,POWER(COS(PI()*MOD(Calculator!$B$32/Calculator!$F$14,1)),2)))),2))</f>
        <v>3.77</v>
      </c>
      <c r="AF88" s="119" t="n">
        <f aca="false">IF(OR(Calculator!$E$15&lt;&gt;"YES",Calculator!$B$32&lt;Calculator!$G$15),"—",ROUND(MAX((50*POWER(80,POWER(COS(PI()*MOD(Calculator!$B$32/Calculator!$F$15,1)),2)))/$C88,$C88/(50*POWER(80,POWER(COS(PI()*MOD(Calculator!$B$32/Calculator!$F$15,1)),2)))),2))</f>
        <v>1.45</v>
      </c>
      <c r="AG88" s="119" t="n">
        <f aca="false">IF(OR(Calculator!$E$16&lt;&gt;"YES",Calculator!$B$32&lt;Calculator!$G$16),"—",ROUND(MAX((50*POWER(80,POWER(COS(PI()*MOD(Calculator!$B$32/Calculator!$F$16,1)),2)))/$C88,$C88/(50*POWER(80,POWER(COS(PI()*MOD(Calculator!$B$32/Calculator!$F$16,1)),2)))),2))</f>
        <v>32.92</v>
      </c>
      <c r="AH88" s="119" t="n">
        <f aca="false">IF(OR(Calculator!$E$17&lt;&gt;"YES",Calculator!$B$32&lt;Calculator!$G$17),"—",ROUND(MAX((50*POWER(80,POWER(COS(PI()*MOD(Calculator!$B$32/Calculator!$F$17,1)),2)))/$C88,$C88/(50*POWER(80,POWER(COS(PI()*MOD(Calculator!$B$32/Calculator!$F$17,1)),2)))),2))</f>
        <v>34.75</v>
      </c>
      <c r="AI88" s="119" t="n">
        <f aca="false">IF(OR(Calculator!$E$18&lt;&gt;"YES",Calculator!$B$32&lt;Calculator!$G$18),"—",ROUND(MAX((50*POWER(80,POWER(COS(PI()*MOD(Calculator!$B$32/Calculator!$F$18,1)),2)))/$C88,$C88/(50*POWER(80,POWER(COS(PI()*MOD(Calculator!$B$32/Calculator!$F$18,1)),2)))),2))</f>
        <v>45.84</v>
      </c>
      <c r="AJ88" s="119" t="n">
        <f aca="false">IF(OR(Calculator!$E$19&lt;&gt;"YES",Calculator!$B$32&lt;Calculator!$G$19),"—",ROUND(MAX((50*POWER(80,POWER(COS(PI()*MOD(Calculator!$B$32/Calculator!$F$19,1)),2)))/$C88,$C88/(50*POWER(80,POWER(COS(PI()*MOD(Calculator!$B$32/Calculator!$F$19,1)),2)))),2))</f>
        <v>9.66</v>
      </c>
      <c r="AK88" s="119" t="n">
        <f aca="false">IF(OR(Calculator!$E$20&lt;&gt;"YES",Calculator!$B$32&lt;Calculator!$G$20),"—",ROUND(MAX((50*POWER(80,POWER(COS(PI()*MOD(Calculator!$B$32/Calculator!$F$20,1)),2)))/$C88,$C88/(50*POWER(80,POWER(COS(PI()*MOD(Calculator!$B$32/Calculator!$F$20,1)),2)))),2))</f>
        <v>1.15</v>
      </c>
      <c r="AL88" s="119" t="n">
        <f aca="false">IF(OR(Calculator!$E$21&lt;&gt;"YES",Calculator!$B$32&lt;Calculator!$G$21),"—",ROUND(MAX((50*POWER(80,POWER(COS(PI()*MOD(Calculator!$B$32/Calculator!$F$21,1)),2)))/$C88,$C88/(50*POWER(80,POWER(COS(PI()*MOD(Calculator!$B$32/Calculator!$F$21,1)),2)))),2))</f>
        <v>1</v>
      </c>
      <c r="AM88" s="115" t="n">
        <f aca="false">IFERROR(ROUND((IF(ISNUMBER(AB88),AB88,0)+IF(ISNUMBER(AC88),AC88,0)+IF(ISNUMBER(AD88),AD88,0)+IF(ISNUMBER(AE88),AE88,0)+IF(ISNUMBER(AF88),AF88,0)+IF(ISNUMBER(AG88),AG88,0)+IF(ISNUMBER(AH88),AH88,0)+IF(ISNUMBER(AI88),AI88,0)+IF(ISNUMBER(AJ88),AJ88,0)+IF(ISNUMBER(AK88),AK88,0)+IF(ISNUMBER(AL88),AL88,0))/(IF(ISNUMBER(AB88),1,0)+IF(ISNUMBER(AC88),1,0)+IF(ISNUMBER(AD88),1,0)+IF(ISNUMBER(AE88),1,0)+IF(ISNUMBER(AF88),1,0)+IF(ISNUMBER(AG88),1,0)+IF(ISNUMBER(AH88),1,0)+IF(ISNUMBER(AI88),1,0)+IF(ISNUMBER(AJ88),1,0)+IF(ISNUMBER(AK88),1,0)+IF(ISNUMBER(AL88),1,0)),2),"")</f>
        <v>17.54</v>
      </c>
      <c r="AN88" s="120" t="n">
        <f aca="false">IF(OR(Calculator!$E$11&lt;&gt;"YES",Calculator!$B$33&lt;Calculator!$G$11),"—",ROUND(MAX((50*POWER(80,POWER(COS(PI()*MOD(Calculator!$B$33/Calculator!$F$11,1)),2)))/$C88,$C88/(50*POWER(80,POWER(COS(PI()*MOD(Calculator!$B$33/Calculator!$F$11,1)),2)))),2))</f>
        <v>32.49</v>
      </c>
      <c r="AO88" s="120" t="n">
        <f aca="false">IF(OR(Calculator!$E$12&lt;&gt;"YES",Calculator!$B$33&lt;Calculator!$G$12),"—",ROUND(MAX((50*POWER(80,POWER(COS(PI()*MOD(Calculator!$B$33/Calculator!$F$12,1)),2)))/$C88,$C88/(50*POWER(80,POWER(COS(PI()*MOD(Calculator!$B$33/Calculator!$F$12,1)),2)))),2))</f>
        <v>2.49</v>
      </c>
      <c r="AP88" s="120" t="n">
        <f aca="false">IF(OR(Calculator!$E$13&lt;&gt;"YES",Calculator!$B$33&lt;Calculator!$G$13),"—",ROUND(MAX((50*POWER(80,POWER(COS(PI()*MOD(Calculator!$B$33/Calculator!$F$13,1)),2)))/$C88,$C88/(50*POWER(80,POWER(COS(PI()*MOD(Calculator!$B$33/Calculator!$F$13,1)),2)))),2))</f>
        <v>7.83</v>
      </c>
      <c r="AQ88" s="120" t="n">
        <f aca="false">IF(OR(Calculator!$E$14&lt;&gt;"YES",Calculator!$B$33&lt;Calculator!$G$14),"—",ROUND(MAX((50*POWER(80,POWER(COS(PI()*MOD(Calculator!$B$33/Calculator!$F$14,1)),2)))/$C88,$C88/(50*POWER(80,POWER(COS(PI()*MOD(Calculator!$B$33/Calculator!$F$14,1)),2)))),2))</f>
        <v>14.59</v>
      </c>
      <c r="AR88" s="120" t="n">
        <f aca="false">IF(OR(Calculator!$E$15&lt;&gt;"YES",Calculator!$B$33&lt;Calculator!$G$15),"—",ROUND(MAX((50*POWER(80,POWER(COS(PI()*MOD(Calculator!$B$33/Calculator!$F$15,1)),2)))/$C88,$C88/(50*POWER(80,POWER(COS(PI()*MOD(Calculator!$B$33/Calculator!$F$15,1)),2)))),2))</f>
        <v>8.88</v>
      </c>
      <c r="AS88" s="120" t="n">
        <f aca="false">IF(OR(Calculator!$E$16&lt;&gt;"YES",Calculator!$B$33&lt;Calculator!$G$16),"—",ROUND(MAX((50*POWER(80,POWER(COS(PI()*MOD(Calculator!$B$33/Calculator!$F$16,1)),2)))/$C88,$C88/(50*POWER(80,POWER(COS(PI()*MOD(Calculator!$B$33/Calculator!$F$16,1)),2)))),2))</f>
        <v>41.06</v>
      </c>
      <c r="AT88" s="120" t="n">
        <f aca="false">IF(OR(Calculator!$E$17&lt;&gt;"YES",Calculator!$B$33&lt;Calculator!$G$17),"—",ROUND(MAX((50*POWER(80,POWER(COS(PI()*MOD(Calculator!$B$33/Calculator!$F$17,1)),2)))/$C88,$C88/(50*POWER(80,POWER(COS(PI()*MOD(Calculator!$B$33/Calculator!$F$17,1)),2)))),2))</f>
        <v>1.53</v>
      </c>
      <c r="AU88" s="120" t="n">
        <f aca="false">IF(OR(Calculator!$E$18&lt;&gt;"YES",Calculator!$B$33&lt;Calculator!$G$18),"—",ROUND(MAX((50*POWER(80,POWER(COS(PI()*MOD(Calculator!$B$33/Calculator!$F$18,1)),2)))/$C88,$C88/(50*POWER(80,POWER(COS(PI()*MOD(Calculator!$B$33/Calculator!$F$18,1)),2)))),2))</f>
        <v>1.45</v>
      </c>
      <c r="AV88" s="120" t="n">
        <f aca="false">IF(OR(Calculator!$E$19&lt;&gt;"YES",Calculator!$B$33&lt;Calculator!$G$19),"—",ROUND(MAX((50*POWER(80,POWER(COS(PI()*MOD(Calculator!$B$33/Calculator!$F$19,1)),2)))/$C88,$C88/(50*POWER(80,POWER(COS(PI()*MOD(Calculator!$B$33/Calculator!$F$19,1)),2)))),2))</f>
        <v>1.17</v>
      </c>
      <c r="AW88" s="120" t="n">
        <f aca="false">IF(OR(Calculator!$E$20&lt;&gt;"YES",Calculator!$B$33&lt;Calculator!$G$20),"—",ROUND(MAX((50*POWER(80,POWER(COS(PI()*MOD(Calculator!$B$33/Calculator!$F$20,1)),2)))/$C88,$C88/(50*POWER(80,POWER(COS(PI()*MOD(Calculator!$B$33/Calculator!$F$20,1)),2)))),2))</f>
        <v>18.7</v>
      </c>
      <c r="AX88" s="120" t="n">
        <f aca="false">IF(OR(Calculator!$E$21&lt;&gt;"YES",Calculator!$B$33&lt;Calculator!$G$21),"—",ROUND(MAX((50*POWER(80,POWER(COS(PI()*MOD(Calculator!$B$33/Calculator!$F$21,1)),2)))/$C88,$C88/(50*POWER(80,POWER(COS(PI()*MOD(Calculator!$B$33/Calculator!$F$21,1)),2)))),2))</f>
        <v>2.39</v>
      </c>
      <c r="AY88" s="115" t="n">
        <f aca="false">IFERROR(ROUND((IF(ISNUMBER(AN88),AN88,0)+IF(ISNUMBER(AO88),AO88,0)+IF(ISNUMBER(AP88),AP88,0)+IF(ISNUMBER(AQ88),AQ88,0)+IF(ISNUMBER(AR88),AR88,0)+IF(ISNUMBER(AS88),AS88,0)+IF(ISNUMBER(AT88),AT88,0)+IF(ISNUMBER(AU88),AU88,0)+IF(ISNUMBER(AV88),AV88,0)+IF(ISNUMBER(AW88),AW88,0)+IF(ISNUMBER(AX88),AX88,0))/(IF(ISNUMBER(AN88),1,0)+IF(ISNUMBER(AO88),1,0)+IF(ISNUMBER(AP88),1,0)+IF(ISNUMBER(AQ88),1,0)+IF(ISNUMBER(AR88),1,0)+IF(ISNUMBER(AS88),1,0)+IF(ISNUMBER(AT88),1,0)+IF(ISNUMBER(AU88),1,0)+IF(ISNUMBER(AV88),1,0)+IF(ISNUMBER(AW88),1,0)+IF(ISNUMBER(AX88),1,0)),2),"")</f>
        <v>12.05</v>
      </c>
      <c r="AZ88" s="120" t="n">
        <f aca="false">IF(OR(Calculator!$E$11&lt;&gt;"YES",Calculator!$B$34&lt;Calculator!$G$11),"—",ROUND(MAX((50*POWER(80,POWER(COS(PI()*MOD(Calculator!$B$34/Calculator!$F$11,1)),2)))/$C88,$C88/(50*POWER(80,POWER(COS(PI()*MOD(Calculator!$B$34/Calculator!$F$11,1)),2)))),2))</f>
        <v>31.31</v>
      </c>
      <c r="BA88" s="120" t="n">
        <f aca="false">IF(OR(Calculator!$E$12&lt;&gt;"YES",Calculator!$B$34&lt;Calculator!$G$12),"—",ROUND(MAX((50*POWER(80,POWER(COS(PI()*MOD(Calculator!$B$34/Calculator!$F$12,1)),2)))/$C88,$C88/(50*POWER(80,POWER(COS(PI()*MOD(Calculator!$B$34/Calculator!$F$12,1)),2)))),2))</f>
        <v>2.74</v>
      </c>
      <c r="BB88" s="120" t="n">
        <f aca="false">IF(OR(Calculator!$E$13&lt;&gt;"YES",Calculator!$B$34&lt;Calculator!$G$13),"—",ROUND(MAX((50*POWER(80,POWER(COS(PI()*MOD(Calculator!$B$34/Calculator!$F$13,1)),2)))/$C88,$C88/(50*POWER(80,POWER(COS(PI()*MOD(Calculator!$B$34/Calculator!$F$13,1)),2)))),2))</f>
        <v>6.71</v>
      </c>
      <c r="BC88" s="120" t="n">
        <f aca="false">IF(OR(Calculator!$E$14&lt;&gt;"YES",Calculator!$B$34&lt;Calculator!$G$14),"—",ROUND(MAX((50*POWER(80,POWER(COS(PI()*MOD(Calculator!$B$34/Calculator!$F$14,1)),2)))/$C88,$C88/(50*POWER(80,POWER(COS(PI()*MOD(Calculator!$B$34/Calculator!$F$14,1)),2)))),2))</f>
        <v>17.59</v>
      </c>
      <c r="BD88" s="120" t="n">
        <f aca="false">IF(OR(Calculator!$E$15&lt;&gt;"YES",Calculator!$B$34&lt;Calculator!$G$15),"—",ROUND(MAX((50*POWER(80,POWER(COS(PI()*MOD(Calculator!$B$34/Calculator!$F$15,1)),2)))/$C88,$C88/(50*POWER(80,POWER(COS(PI()*MOD(Calculator!$B$34/Calculator!$F$15,1)),2)))),2))</f>
        <v>11.82</v>
      </c>
      <c r="BE88" s="120" t="n">
        <f aca="false">IF(OR(Calculator!$E$16&lt;&gt;"YES",Calculator!$B$34&lt;Calculator!$G$16),"—",ROUND(MAX((50*POWER(80,POWER(COS(PI()*MOD(Calculator!$B$34/Calculator!$F$16,1)),2)))/$C88,$C88/(50*POWER(80,POWER(COS(PI()*MOD(Calculator!$B$34/Calculator!$F$16,1)),2)))),2))</f>
        <v>32.22</v>
      </c>
      <c r="BF88" s="120" t="n">
        <f aca="false">IF(OR(Calculator!$E$17&lt;&gt;"YES",Calculator!$B$34&lt;Calculator!$G$17),"—",ROUND(MAX((50*POWER(80,POWER(COS(PI()*MOD(Calculator!$B$34/Calculator!$F$17,1)),2)))/$C88,$C88/(50*POWER(80,POWER(COS(PI()*MOD(Calculator!$B$34/Calculator!$F$17,1)),2)))),2))</f>
        <v>1.07</v>
      </c>
      <c r="BG88" s="120" t="n">
        <f aca="false">IF(OR(Calculator!$E$18&lt;&gt;"YES",Calculator!$B$34&lt;Calculator!$G$18),"—",ROUND(MAX((50*POWER(80,POWER(COS(PI()*MOD(Calculator!$B$34/Calculator!$F$18,1)),2)))/$C88,$C88/(50*POWER(80,POWER(COS(PI()*MOD(Calculator!$B$34/Calculator!$F$18,1)),2)))),2))</f>
        <v>1.02</v>
      </c>
      <c r="BH88" s="120" t="n">
        <f aca="false">IF(OR(Calculator!$E$19&lt;&gt;"YES",Calculator!$B$34&lt;Calculator!$G$19),"—",ROUND(MAX((50*POWER(80,POWER(COS(PI()*MOD(Calculator!$B$34/Calculator!$F$19,1)),2)))/$C88,$C88/(50*POWER(80,POWER(COS(PI()*MOD(Calculator!$B$34/Calculator!$F$19,1)),2)))),2))</f>
        <v>1.28</v>
      </c>
      <c r="BI88" s="120" t="n">
        <f aca="false">IF(OR(Calculator!$E$20&lt;&gt;"YES",Calculator!$B$34&lt;Calculator!$G$20),"—",ROUND(MAX((50*POWER(80,POWER(COS(PI()*MOD(Calculator!$B$34/Calculator!$F$20,1)),2)))/$C88,$C88/(50*POWER(80,POWER(COS(PI()*MOD(Calculator!$B$34/Calculator!$F$20,1)),2)))),2))</f>
        <v>35.05</v>
      </c>
      <c r="BJ88" s="120" t="n">
        <f aca="false">IF(OR(Calculator!$E$21&lt;&gt;"YES",Calculator!$B$34&lt;Calculator!$G$21),"—",ROUND(MAX((50*POWER(80,POWER(COS(PI()*MOD(Calculator!$B$34/Calculator!$F$21,1)),2)))/$C88,$C88/(50*POWER(80,POWER(COS(PI()*MOD(Calculator!$B$34/Calculator!$F$21,1)),2)))),2))</f>
        <v>1.17</v>
      </c>
      <c r="BK88" s="115" t="n">
        <f aca="false">IFERROR(ROUND((IF(ISNUMBER(AZ88),AZ88,0)+IF(ISNUMBER(BA88),BA88,0)+IF(ISNUMBER(BB88),BB88,0)+IF(ISNUMBER(BC88),BC88,0)+IF(ISNUMBER(BD88),BD88,0)+IF(ISNUMBER(BE88),BE88,0)+IF(ISNUMBER(BF88),BF88,0)+IF(ISNUMBER(BG88),BG88,0)+IF(ISNUMBER(BH88),BH88,0)+IF(ISNUMBER(BI88),BI88,0)+IF(ISNUMBER(BJ88),BJ88,0))/(IF(ISNUMBER(AZ88),1,0)+IF(ISNUMBER(BA88),1,0)+IF(ISNUMBER(BB88),1,0)+IF(ISNUMBER(BC88),1,0)+IF(ISNUMBER(BD88),1,0)+IF(ISNUMBER(BE88),1,0)+IF(ISNUMBER(BF88),1,0)+IF(ISNUMBER(BG88),1,0)+IF(ISNUMBER(BH88),1,0)+IF(ISNUMBER(BI88),1,0)+IF(ISNUMBER(BJ88),1,0)),2),"")</f>
        <v>12.91</v>
      </c>
    </row>
    <row r="89" customFormat="false" ht="15" hidden="false" customHeight="false" outlineLevel="0" collapsed="false">
      <c r="A89" s="87" t="s">
        <v>147</v>
      </c>
      <c r="B89" s="87" t="s">
        <v>93</v>
      </c>
      <c r="C89" s="90" t="n">
        <v>2850</v>
      </c>
      <c r="D89" s="91" t="n">
        <f aca="false">IF(OR(Calculator!$E$11&lt;&gt;"YES",Calculator!$B$30&lt;Calculator!$G$11),"—",ROUND(MAX((50*POWER(80,POWER(COS(PI()*MOD(Calculator!$B$30/Calculator!$F$11,1)),2)))/$C89,$C89/(50*POWER(80,POWER(COS(PI()*MOD(Calculator!$B$30/Calculator!$F$11,1)),2)))),2))</f>
        <v>32.27</v>
      </c>
      <c r="E89" s="91" t="n">
        <f aca="false">IF(OR(Calculator!$E$12&lt;&gt;"YES",Calculator!$B$30&lt;Calculator!$G$12),"—",ROUND(MAX((50*POWER(80,POWER(COS(PI()*MOD(Calculator!$B$30/Calculator!$F$12,1)),2)))/$C89,$C89/(50*POWER(80,POWER(COS(PI()*MOD(Calculator!$B$30/Calculator!$F$12,1)),2)))),2))</f>
        <v>2.7</v>
      </c>
      <c r="F89" s="91" t="n">
        <f aca="false">IF(OR(Calculator!$E$13&lt;&gt;"YES",Calculator!$B$30&lt;Calculator!$G$13),"—",ROUND(MAX((50*POWER(80,POWER(COS(PI()*MOD(Calculator!$B$30/Calculator!$F$13,1)),2)))/$C89,$C89/(50*POWER(80,POWER(COS(PI()*MOD(Calculator!$B$30/Calculator!$F$13,1)),2)))),2))</f>
        <v>7.19</v>
      </c>
      <c r="G89" s="91" t="n">
        <f aca="false">IF(OR(Calculator!$E$14&lt;&gt;"YES",Calculator!$B$30&lt;Calculator!$G$14),"—",ROUND(MAX((50*POWER(80,POWER(COS(PI()*MOD(Calculator!$B$30/Calculator!$F$14,1)),2)))/$C89,$C89/(50*POWER(80,POWER(COS(PI()*MOD(Calculator!$B$30/Calculator!$F$14,1)),2)))),2))</f>
        <v>16.84</v>
      </c>
      <c r="H89" s="91" t="n">
        <f aca="false">IF(OR(Calculator!$E$15&lt;&gt;"YES",Calculator!$B$30&lt;Calculator!$G$15),"—",ROUND(MAX((50*POWER(80,POWER(COS(PI()*MOD(Calculator!$B$30/Calculator!$F$15,1)),2)))/$C89,$C89/(50*POWER(80,POWER(COS(PI()*MOD(Calculator!$B$30/Calculator!$F$15,1)),2)))),2))</f>
        <v>10.95</v>
      </c>
      <c r="I89" s="91" t="n">
        <f aca="false">IF(OR(Calculator!$E$16&lt;&gt;"YES",Calculator!$B$30&lt;Calculator!$G$16),"—",ROUND(MAX((50*POWER(80,POWER(COS(PI()*MOD(Calculator!$B$30/Calculator!$F$16,1)),2)))/$C89,$C89/(50*POWER(80,POWER(COS(PI()*MOD(Calculator!$B$30/Calculator!$F$16,1)),2)))),2))</f>
        <v>35.8</v>
      </c>
      <c r="J89" s="91" t="n">
        <f aca="false">IF(OR(Calculator!$E$17&lt;&gt;"YES",Calculator!$B$30&lt;Calculator!$G$17),"—",ROUND(MAX((50*POWER(80,POWER(COS(PI()*MOD(Calculator!$B$30/Calculator!$F$17,1)),2)))/$C89,$C89/(50*POWER(80,POWER(COS(PI()*MOD(Calculator!$B$30/Calculator!$F$17,1)),2)))),2))</f>
        <v>1.21</v>
      </c>
      <c r="K89" s="91" t="n">
        <f aca="false">IF(OR(Calculator!$E$18&lt;&gt;"YES",Calculator!$B$30&lt;Calculator!$G$18),"—",ROUND(MAX((50*POWER(80,POWER(COS(PI()*MOD(Calculator!$B$30/Calculator!$F$18,1)),2)))/$C89,$C89/(50*POWER(80,POWER(COS(PI()*MOD(Calculator!$B$30/Calculator!$F$18,1)),2)))),2))</f>
        <v>1.12</v>
      </c>
      <c r="L89" s="91" t="n">
        <f aca="false">IF(OR(Calculator!$E$19&lt;&gt;"YES",Calculator!$B$30&lt;Calculator!$G$19),"—",ROUND(MAX((50*POWER(80,POWER(COS(PI()*MOD(Calculator!$B$30/Calculator!$F$19,1)),2)))/$C89,$C89/(50*POWER(80,POWER(COS(PI()*MOD(Calculator!$B$30/Calculator!$F$19,1)),2)))),2))</f>
        <v>1.11</v>
      </c>
      <c r="M89" s="91" t="n">
        <f aca="false">IF(OR(Calculator!$E$20&lt;&gt;"YES",Calculator!$B$30&lt;Calculator!$G$20),"—",ROUND(MAX((50*POWER(80,POWER(COS(PI()*MOD(Calculator!$B$30/Calculator!$F$20,1)),2)))/$C89,$C89/(50*POWER(80,POWER(COS(PI()*MOD(Calculator!$B$30/Calculator!$F$20,1)),2)))),2))</f>
        <v>29.63</v>
      </c>
      <c r="N89" s="91" t="n">
        <f aca="false">IF(OR(Calculator!$E$21&lt;&gt;"YES",Calculator!$B$30&lt;Calculator!$G$21),"—",ROUND(MAX((50*POWER(80,POWER(COS(PI()*MOD(Calculator!$B$30/Calculator!$F$21,1)),2)))/$C89,$C89/(50*POWER(80,POWER(COS(PI()*MOD(Calculator!$B$30/Calculator!$F$21,1)),2)))),2))</f>
        <v>1.12</v>
      </c>
      <c r="O89" s="114" t="n">
        <f aca="false">IFERROR(ROUND((IF(ISNUMBER(D89),D89,0)+IF(ISNUMBER(E89),E89,0)+IF(ISNUMBER(F89),F89,0)+IF(ISNUMBER(G89),G89,0)+IF(ISNUMBER(H89),H89,0)+IF(ISNUMBER(I89),I89,0)+IF(ISNUMBER(J89),J89,0)+IF(ISNUMBER(K89),K89,0)+IF(ISNUMBER(L89),L89,0)+IF(ISNUMBER(M89),M89,0)+IF(ISNUMBER(N89),N89,0))/(IF(ISNUMBER(D89),1,0)+IF(ISNUMBER(E89),1,0)+IF(ISNUMBER(F89),1,0)+IF(ISNUMBER(G89),1,0)+IF(ISNUMBER(H89),1,0)+IF(ISNUMBER(I89),1,0)+IF(ISNUMBER(J89),1,0)+IF(ISNUMBER(K89),1,0)+IF(ISNUMBER(L89),1,0)+IF(ISNUMBER(M89),1,0)+IF(ISNUMBER(N89),1,0)),2),"")</f>
        <v>12.72</v>
      </c>
      <c r="P89" s="91" t="n">
        <f aca="false">IF(OR(Calculator!$E$11&lt;&gt;"YES",Calculator!$B$31&lt;Calculator!$G$11),"—",ROUND(MAX((50*POWER(80,POWER(COS(PI()*MOD(Calculator!$B$31/Calculator!$F$11,1)),2)))/$C89,$C89/(50*POWER(80,POWER(COS(PI()*MOD(Calculator!$B$31/Calculator!$F$11,1)),2)))),2))</f>
        <v>32.67</v>
      </c>
      <c r="Q89" s="91" t="n">
        <f aca="false">IF(OR(Calculator!$E$12&lt;&gt;"YES",Calculator!$B$31&lt;Calculator!$G$12),"—",ROUND(MAX((50*POWER(80,POWER(COS(PI()*MOD(Calculator!$B$31/Calculator!$F$12,1)),2)))/$C89,$C89/(50*POWER(80,POWER(COS(PI()*MOD(Calculator!$B$31/Calculator!$F$12,1)),2)))),2))</f>
        <v>2.62</v>
      </c>
      <c r="R89" s="91" t="n">
        <f aca="false">IF(OR(Calculator!$E$13&lt;&gt;"YES",Calculator!$B$31&lt;Calculator!$G$13),"—",ROUND(MAX((50*POWER(80,POWER(COS(PI()*MOD(Calculator!$B$31/Calculator!$F$13,1)),2)))/$C89,$C89/(50*POWER(80,POWER(COS(PI()*MOD(Calculator!$B$31/Calculator!$F$13,1)),2)))),2))</f>
        <v>7.57</v>
      </c>
      <c r="S89" s="91" t="n">
        <f aca="false">IF(OR(Calculator!$E$14&lt;&gt;"YES",Calculator!$B$31&lt;Calculator!$G$14),"—",ROUND(MAX((50*POWER(80,POWER(COS(PI()*MOD(Calculator!$B$31/Calculator!$F$14,1)),2)))/$C89,$C89/(50*POWER(80,POWER(COS(PI()*MOD(Calculator!$B$31/Calculator!$F$14,1)),2)))),2))</f>
        <v>15.82</v>
      </c>
      <c r="T89" s="91" t="n">
        <f aca="false">IF(OR(Calculator!$E$15&lt;&gt;"YES",Calculator!$B$31&lt;Calculator!$G$15),"—",ROUND(MAX((50*POWER(80,POWER(COS(PI()*MOD(Calculator!$B$31/Calculator!$F$15,1)),2)))/$C89,$C89/(50*POWER(80,POWER(COS(PI()*MOD(Calculator!$B$31/Calculator!$F$15,1)),2)))),2))</f>
        <v>9.96</v>
      </c>
      <c r="U89" s="91" t="n">
        <f aca="false">IF(OR(Calculator!$E$16&lt;&gt;"YES",Calculator!$B$31&lt;Calculator!$G$16),"—",ROUND(MAX((50*POWER(80,POWER(COS(PI()*MOD(Calculator!$B$31/Calculator!$F$16,1)),2)))/$C89,$C89/(50*POWER(80,POWER(COS(PI()*MOD(Calculator!$B$31/Calculator!$F$16,1)),2)))),2))</f>
        <v>38.82</v>
      </c>
      <c r="V89" s="91" t="n">
        <f aca="false">IF(OR(Calculator!$E$17&lt;&gt;"YES",Calculator!$B$31&lt;Calculator!$G$17),"—",ROUND(MAX((50*POWER(80,POWER(COS(PI()*MOD(Calculator!$B$31/Calculator!$F$17,1)),2)))/$C89,$C89/(50*POWER(80,POWER(COS(PI()*MOD(Calculator!$B$31/Calculator!$F$17,1)),2)))),2))</f>
        <v>1.37</v>
      </c>
      <c r="W89" s="91" t="n">
        <f aca="false">IF(OR(Calculator!$E$18&lt;&gt;"YES",Calculator!$B$31&lt;Calculator!$G$18),"—",ROUND(MAX((50*POWER(80,POWER(COS(PI()*MOD(Calculator!$B$31/Calculator!$F$18,1)),2)))/$C89,$C89/(50*POWER(80,POWER(COS(PI()*MOD(Calculator!$B$31/Calculator!$F$18,1)),2)))),2))</f>
        <v>1.27</v>
      </c>
      <c r="X89" s="91" t="n">
        <f aca="false">IF(OR(Calculator!$E$19&lt;&gt;"YES",Calculator!$B$31&lt;Calculator!$G$19),"—",ROUND(MAX((50*POWER(80,POWER(COS(PI()*MOD(Calculator!$B$31/Calculator!$F$19,1)),2)))/$C89,$C89/(50*POWER(80,POWER(COS(PI()*MOD(Calculator!$B$31/Calculator!$F$19,1)),2)))),2))</f>
        <v>1.03</v>
      </c>
      <c r="Y89" s="91" t="n">
        <f aca="false">IF(OR(Calculator!$E$20&lt;&gt;"YES",Calculator!$B$31&lt;Calculator!$G$20),"—",ROUND(MAX((50*POWER(80,POWER(COS(PI()*MOD(Calculator!$B$31/Calculator!$F$20,1)),2)))/$C89,$C89/(50*POWER(80,POWER(COS(PI()*MOD(Calculator!$B$31/Calculator!$F$20,1)),2)))),2))</f>
        <v>24</v>
      </c>
      <c r="Z89" s="91" t="n">
        <f aca="false">IF(OR(Calculator!$E$21&lt;&gt;"YES",Calculator!$B$31&lt;Calculator!$G$21),"—",ROUND(MAX((50*POWER(80,POWER(COS(PI()*MOD(Calculator!$B$31/Calculator!$F$21,1)),2)))/$C89,$C89/(50*POWER(80,POWER(COS(PI()*MOD(Calculator!$B$31/Calculator!$F$21,1)),2)))),2))</f>
        <v>1.59</v>
      </c>
      <c r="AA89" s="114" t="n">
        <f aca="false">IFERROR(ROUND((IF(ISNUMBER(P89),P89,0)+IF(ISNUMBER(Q89),Q89,0)+IF(ISNUMBER(R89),R89,0)+IF(ISNUMBER(S89),S89,0)+IF(ISNUMBER(T89),T89,0)+IF(ISNUMBER(U89),U89,0)+IF(ISNUMBER(V89),V89,0)+IF(ISNUMBER(W89),W89,0)+IF(ISNUMBER(X89),X89,0)+IF(ISNUMBER(Y89),Y89,0)+IF(ISNUMBER(Z89),Z89,0))/(IF(ISNUMBER(P89),1,0)+IF(ISNUMBER(Q89),1,0)+IF(ISNUMBER(R89),1,0)+IF(ISNUMBER(S89),1,0)+IF(ISNUMBER(T89),1,0)+IF(ISNUMBER(U89),1,0)+IF(ISNUMBER(V89),1,0)+IF(ISNUMBER(W89),1,0)+IF(ISNUMBER(X89),1,0)+IF(ISNUMBER(Y89),1,0)+IF(ISNUMBER(Z89),1,0)),2),"")</f>
        <v>12.43</v>
      </c>
      <c r="AB89" s="91" t="n">
        <f aca="false">IF(OR(Calculator!$E$11&lt;&gt;"YES",Calculator!$B$32&lt;Calculator!$G$11),"—",ROUND(MAX((50*POWER(80,POWER(COS(PI()*MOD(Calculator!$B$32/Calculator!$F$11,1)),2)))/$C89,$C89/(50*POWER(80,POWER(COS(PI()*MOD(Calculator!$B$32/Calculator!$F$11,1)),2)))),2))</f>
        <v>41.12</v>
      </c>
      <c r="AC89" s="91" t="n">
        <f aca="false">IF(OR(Calculator!$E$12&lt;&gt;"YES",Calculator!$B$32&lt;Calculator!$G$12),"—",ROUND(MAX((50*POWER(80,POWER(COS(PI()*MOD(Calculator!$B$32/Calculator!$F$12,1)),2)))/$C89,$C89/(50*POWER(80,POWER(COS(PI()*MOD(Calculator!$B$32/Calculator!$F$12,1)),2)))),2))</f>
        <v>1.42</v>
      </c>
      <c r="AD89" s="91" t="n">
        <f aca="false">IF(OR(Calculator!$E$13&lt;&gt;"YES",Calculator!$B$32&lt;Calculator!$G$13),"—",ROUND(MAX((50*POWER(80,POWER(COS(PI()*MOD(Calculator!$B$32/Calculator!$F$13,1)),2)))/$C89,$C89/(50*POWER(80,POWER(COS(PI()*MOD(Calculator!$B$32/Calculator!$F$13,1)),2)))),2))</f>
        <v>20.98</v>
      </c>
      <c r="AE89" s="91" t="n">
        <f aca="false">IF(OR(Calculator!$E$14&lt;&gt;"YES",Calculator!$B$32&lt;Calculator!$G$14),"—",ROUND(MAX((50*POWER(80,POWER(COS(PI()*MOD(Calculator!$B$32/Calculator!$F$14,1)),2)))/$C89,$C89/(50*POWER(80,POWER(COS(PI()*MOD(Calculator!$B$32/Calculator!$F$14,1)),2)))),2))</f>
        <v>3.83</v>
      </c>
      <c r="AF89" s="91" t="n">
        <f aca="false">IF(OR(Calculator!$E$15&lt;&gt;"YES",Calculator!$B$32&lt;Calculator!$G$15),"—",ROUND(MAX((50*POWER(80,POWER(COS(PI()*MOD(Calculator!$B$32/Calculator!$F$15,1)),2)))/$C89,$C89/(50*POWER(80,POWER(COS(PI()*MOD(Calculator!$B$32/Calculator!$F$15,1)),2)))),2))</f>
        <v>1.47</v>
      </c>
      <c r="AG89" s="91" t="n">
        <f aca="false">IF(OR(Calculator!$E$16&lt;&gt;"YES",Calculator!$B$32&lt;Calculator!$G$16),"—",ROUND(MAX((50*POWER(80,POWER(COS(PI()*MOD(Calculator!$B$32/Calculator!$F$16,1)),2)))/$C89,$C89/(50*POWER(80,POWER(COS(PI()*MOD(Calculator!$B$32/Calculator!$F$16,1)),2)))),2))</f>
        <v>33.51</v>
      </c>
      <c r="AH89" s="91" t="n">
        <f aca="false">IF(OR(Calculator!$E$17&lt;&gt;"YES",Calculator!$B$32&lt;Calculator!$G$17),"—",ROUND(MAX((50*POWER(80,POWER(COS(PI()*MOD(Calculator!$B$32/Calculator!$F$17,1)),2)))/$C89,$C89/(50*POWER(80,POWER(COS(PI()*MOD(Calculator!$B$32/Calculator!$F$17,1)),2)))),2))</f>
        <v>35.37</v>
      </c>
      <c r="AI89" s="91" t="n">
        <f aca="false">IF(OR(Calculator!$E$18&lt;&gt;"YES",Calculator!$B$32&lt;Calculator!$G$18),"—",ROUND(MAX((50*POWER(80,POWER(COS(PI()*MOD(Calculator!$B$32/Calculator!$F$18,1)),2)))/$C89,$C89/(50*POWER(80,POWER(COS(PI()*MOD(Calculator!$B$32/Calculator!$F$18,1)),2)))),2))</f>
        <v>46.65</v>
      </c>
      <c r="AJ89" s="91" t="n">
        <f aca="false">IF(OR(Calculator!$E$19&lt;&gt;"YES",Calculator!$B$32&lt;Calculator!$G$19),"—",ROUND(MAX((50*POWER(80,POWER(COS(PI()*MOD(Calculator!$B$32/Calculator!$F$19,1)),2)))/$C89,$C89/(50*POWER(80,POWER(COS(PI()*MOD(Calculator!$B$32/Calculator!$F$19,1)),2)))),2))</f>
        <v>9.83</v>
      </c>
      <c r="AK89" s="91" t="n">
        <f aca="false">IF(OR(Calculator!$E$20&lt;&gt;"YES",Calculator!$B$32&lt;Calculator!$G$20),"—",ROUND(MAX((50*POWER(80,POWER(COS(PI()*MOD(Calculator!$B$32/Calculator!$F$20,1)),2)))/$C89,$C89/(50*POWER(80,POWER(COS(PI()*MOD(Calculator!$B$32/Calculator!$F$20,1)),2)))),2))</f>
        <v>1.13</v>
      </c>
      <c r="AL89" s="91" t="n">
        <f aca="false">IF(OR(Calculator!$E$21&lt;&gt;"YES",Calculator!$B$32&lt;Calculator!$G$21),"—",ROUND(MAX((50*POWER(80,POWER(COS(PI()*MOD(Calculator!$B$32/Calculator!$F$21,1)),2)))/$C89,$C89/(50*POWER(80,POWER(COS(PI()*MOD(Calculator!$B$32/Calculator!$F$21,1)),2)))),2))</f>
        <v>1.02</v>
      </c>
      <c r="AM89" s="115" t="n">
        <f aca="false">IFERROR(ROUND((IF(ISNUMBER(AB89),AB89,0)+IF(ISNUMBER(AC89),AC89,0)+IF(ISNUMBER(AD89),AD89,0)+IF(ISNUMBER(AE89),AE89,0)+IF(ISNUMBER(AF89),AF89,0)+IF(ISNUMBER(AG89),AG89,0)+IF(ISNUMBER(AH89),AH89,0)+IF(ISNUMBER(AI89),AI89,0)+IF(ISNUMBER(AJ89),AJ89,0)+IF(ISNUMBER(AK89),AK89,0)+IF(ISNUMBER(AL89),AL89,0))/(IF(ISNUMBER(AB89),1,0)+IF(ISNUMBER(AC89),1,0)+IF(ISNUMBER(AD89),1,0)+IF(ISNUMBER(AE89),1,0)+IF(ISNUMBER(AF89),1,0)+IF(ISNUMBER(AG89),1,0)+IF(ISNUMBER(AH89),1,0)+IF(ISNUMBER(AI89),1,0)+IF(ISNUMBER(AJ89),1,0)+IF(ISNUMBER(AK89),1,0)+IF(ISNUMBER(AL89),1,0)),2),"")</f>
        <v>17.85</v>
      </c>
      <c r="AN89" s="116" t="n">
        <f aca="false">IF(OR(Calculator!$E$11&lt;&gt;"YES",Calculator!$B$33&lt;Calculator!$G$11),"—",ROUND(MAX((50*POWER(80,POWER(COS(PI()*MOD(Calculator!$B$33/Calculator!$F$11,1)),2)))/$C89,$C89/(50*POWER(80,POWER(COS(PI()*MOD(Calculator!$B$33/Calculator!$F$11,1)),2)))),2))</f>
        <v>33.07</v>
      </c>
      <c r="AO89" s="116" t="n">
        <f aca="false">IF(OR(Calculator!$E$12&lt;&gt;"YES",Calculator!$B$33&lt;Calculator!$G$12),"—",ROUND(MAX((50*POWER(80,POWER(COS(PI()*MOD(Calculator!$B$33/Calculator!$F$12,1)),2)))/$C89,$C89/(50*POWER(80,POWER(COS(PI()*MOD(Calculator!$B$33/Calculator!$F$12,1)),2)))),2))</f>
        <v>2.53</v>
      </c>
      <c r="AP89" s="116" t="n">
        <f aca="false">IF(OR(Calculator!$E$13&lt;&gt;"YES",Calculator!$B$33&lt;Calculator!$G$13),"—",ROUND(MAX((50*POWER(80,POWER(COS(PI()*MOD(Calculator!$B$33/Calculator!$F$13,1)),2)))/$C89,$C89/(50*POWER(80,POWER(COS(PI()*MOD(Calculator!$B$33/Calculator!$F$13,1)),2)))),2))</f>
        <v>7.97</v>
      </c>
      <c r="AQ89" s="116" t="n">
        <f aca="false">IF(OR(Calculator!$E$14&lt;&gt;"YES",Calculator!$B$33&lt;Calculator!$G$14),"—",ROUND(MAX((50*POWER(80,POWER(COS(PI()*MOD(Calculator!$B$33/Calculator!$F$14,1)),2)))/$C89,$C89/(50*POWER(80,POWER(COS(PI()*MOD(Calculator!$B$33/Calculator!$F$14,1)),2)))),2))</f>
        <v>14.85</v>
      </c>
      <c r="AR89" s="116" t="n">
        <f aca="false">IF(OR(Calculator!$E$15&lt;&gt;"YES",Calculator!$B$33&lt;Calculator!$G$15),"—",ROUND(MAX((50*POWER(80,POWER(COS(PI()*MOD(Calculator!$B$33/Calculator!$F$15,1)),2)))/$C89,$C89/(50*POWER(80,POWER(COS(PI()*MOD(Calculator!$B$33/Calculator!$F$15,1)),2)))),2))</f>
        <v>9.04</v>
      </c>
      <c r="AS89" s="116" t="n">
        <f aca="false">IF(OR(Calculator!$E$16&lt;&gt;"YES",Calculator!$B$33&lt;Calculator!$G$16),"—",ROUND(MAX((50*POWER(80,POWER(COS(PI()*MOD(Calculator!$B$33/Calculator!$F$16,1)),2)))/$C89,$C89/(50*POWER(80,POWER(COS(PI()*MOD(Calculator!$B$33/Calculator!$F$16,1)),2)))),2))</f>
        <v>41.79</v>
      </c>
      <c r="AT89" s="116" t="n">
        <f aca="false">IF(OR(Calculator!$E$17&lt;&gt;"YES",Calculator!$B$33&lt;Calculator!$G$17),"—",ROUND(MAX((50*POWER(80,POWER(COS(PI()*MOD(Calculator!$B$33/Calculator!$F$17,1)),2)))/$C89,$C89/(50*POWER(80,POWER(COS(PI()*MOD(Calculator!$B$33/Calculator!$F$17,1)),2)))),2))</f>
        <v>1.55</v>
      </c>
      <c r="AU89" s="116" t="n">
        <f aca="false">IF(OR(Calculator!$E$18&lt;&gt;"YES",Calculator!$B$33&lt;Calculator!$G$18),"—",ROUND(MAX((50*POWER(80,POWER(COS(PI()*MOD(Calculator!$B$33/Calculator!$F$18,1)),2)))/$C89,$C89/(50*POWER(80,POWER(COS(PI()*MOD(Calculator!$B$33/Calculator!$F$18,1)),2)))),2))</f>
        <v>1.47</v>
      </c>
      <c r="AV89" s="116" t="n">
        <f aca="false">IF(OR(Calculator!$E$19&lt;&gt;"YES",Calculator!$B$33&lt;Calculator!$G$19),"—",ROUND(MAX((50*POWER(80,POWER(COS(PI()*MOD(Calculator!$B$33/Calculator!$F$19,1)),2)))/$C89,$C89/(50*POWER(80,POWER(COS(PI()*MOD(Calculator!$B$33/Calculator!$F$19,1)),2)))),2))</f>
        <v>1.15</v>
      </c>
      <c r="AW89" s="116" t="n">
        <f aca="false">IF(OR(Calculator!$E$20&lt;&gt;"YES",Calculator!$B$33&lt;Calculator!$G$20),"—",ROUND(MAX((50*POWER(80,POWER(COS(PI()*MOD(Calculator!$B$33/Calculator!$F$20,1)),2)))/$C89,$C89/(50*POWER(80,POWER(COS(PI()*MOD(Calculator!$B$33/Calculator!$F$20,1)),2)))),2))</f>
        <v>19.04</v>
      </c>
      <c r="AX89" s="116" t="n">
        <f aca="false">IF(OR(Calculator!$E$21&lt;&gt;"YES",Calculator!$B$33&lt;Calculator!$G$21),"—",ROUND(MAX((50*POWER(80,POWER(COS(PI()*MOD(Calculator!$B$33/Calculator!$F$21,1)),2)))/$C89,$C89/(50*POWER(80,POWER(COS(PI()*MOD(Calculator!$B$33/Calculator!$F$21,1)),2)))),2))</f>
        <v>2.43</v>
      </c>
      <c r="AY89" s="115" t="n">
        <f aca="false">IFERROR(ROUND((IF(ISNUMBER(AN89),AN89,0)+IF(ISNUMBER(AO89),AO89,0)+IF(ISNUMBER(AP89),AP89,0)+IF(ISNUMBER(AQ89),AQ89,0)+IF(ISNUMBER(AR89),AR89,0)+IF(ISNUMBER(AS89),AS89,0)+IF(ISNUMBER(AT89),AT89,0)+IF(ISNUMBER(AU89),AU89,0)+IF(ISNUMBER(AV89),AV89,0)+IF(ISNUMBER(AW89),AW89,0)+IF(ISNUMBER(AX89),AX89,0))/(IF(ISNUMBER(AN89),1,0)+IF(ISNUMBER(AO89),1,0)+IF(ISNUMBER(AP89),1,0)+IF(ISNUMBER(AQ89),1,0)+IF(ISNUMBER(AR89),1,0)+IF(ISNUMBER(AS89),1,0)+IF(ISNUMBER(AT89),1,0)+IF(ISNUMBER(AU89),1,0)+IF(ISNUMBER(AV89),1,0)+IF(ISNUMBER(AW89),1,0)+IF(ISNUMBER(AX89),1,0)),2),"")</f>
        <v>12.26</v>
      </c>
      <c r="AZ89" s="116" t="n">
        <f aca="false">IF(OR(Calculator!$E$11&lt;&gt;"YES",Calculator!$B$34&lt;Calculator!$G$11),"—",ROUND(MAX((50*POWER(80,POWER(COS(PI()*MOD(Calculator!$B$34/Calculator!$F$11,1)),2)))/$C89,$C89/(50*POWER(80,POWER(COS(PI()*MOD(Calculator!$B$34/Calculator!$F$11,1)),2)))),2))</f>
        <v>31.87</v>
      </c>
      <c r="BA89" s="116" t="n">
        <f aca="false">IF(OR(Calculator!$E$12&lt;&gt;"YES",Calculator!$B$34&lt;Calculator!$G$12),"—",ROUND(MAX((50*POWER(80,POWER(COS(PI()*MOD(Calculator!$B$34/Calculator!$F$12,1)),2)))/$C89,$C89/(50*POWER(80,POWER(COS(PI()*MOD(Calculator!$B$34/Calculator!$F$12,1)),2)))),2))</f>
        <v>2.79</v>
      </c>
      <c r="BB89" s="116" t="n">
        <f aca="false">IF(OR(Calculator!$E$13&lt;&gt;"YES",Calculator!$B$34&lt;Calculator!$G$13),"—",ROUND(MAX((50*POWER(80,POWER(COS(PI()*MOD(Calculator!$B$34/Calculator!$F$13,1)),2)))/$C89,$C89/(50*POWER(80,POWER(COS(PI()*MOD(Calculator!$B$34/Calculator!$F$13,1)),2)))),2))</f>
        <v>6.83</v>
      </c>
      <c r="BC89" s="116" t="n">
        <f aca="false">IF(OR(Calculator!$E$14&lt;&gt;"YES",Calculator!$B$34&lt;Calculator!$G$14),"—",ROUND(MAX((50*POWER(80,POWER(COS(PI()*MOD(Calculator!$B$34/Calculator!$F$14,1)),2)))/$C89,$C89/(50*POWER(80,POWER(COS(PI()*MOD(Calculator!$B$34/Calculator!$F$14,1)),2)))),2))</f>
        <v>17.9</v>
      </c>
      <c r="BD89" s="116" t="n">
        <f aca="false">IF(OR(Calculator!$E$15&lt;&gt;"YES",Calculator!$B$34&lt;Calculator!$G$15),"—",ROUND(MAX((50*POWER(80,POWER(COS(PI()*MOD(Calculator!$B$34/Calculator!$F$15,1)),2)))/$C89,$C89/(50*POWER(80,POWER(COS(PI()*MOD(Calculator!$B$34/Calculator!$F$15,1)),2)))),2))</f>
        <v>12.03</v>
      </c>
      <c r="BE89" s="116" t="n">
        <f aca="false">IF(OR(Calculator!$E$16&lt;&gt;"YES",Calculator!$B$34&lt;Calculator!$G$16),"—",ROUND(MAX((50*POWER(80,POWER(COS(PI()*MOD(Calculator!$B$34/Calculator!$F$16,1)),2)))/$C89,$C89/(50*POWER(80,POWER(COS(PI()*MOD(Calculator!$B$34/Calculator!$F$16,1)),2)))),2))</f>
        <v>32.79</v>
      </c>
      <c r="BF89" s="116" t="n">
        <f aca="false">IF(OR(Calculator!$E$17&lt;&gt;"YES",Calculator!$B$34&lt;Calculator!$G$17),"—",ROUND(MAX((50*POWER(80,POWER(COS(PI()*MOD(Calculator!$B$34/Calculator!$F$17,1)),2)))/$C89,$C89/(50*POWER(80,POWER(COS(PI()*MOD(Calculator!$B$34/Calculator!$F$17,1)),2)))),2))</f>
        <v>1.09</v>
      </c>
      <c r="BG89" s="116" t="n">
        <f aca="false">IF(OR(Calculator!$E$18&lt;&gt;"YES",Calculator!$B$34&lt;Calculator!$G$18),"—",ROUND(MAX((50*POWER(80,POWER(COS(PI()*MOD(Calculator!$B$34/Calculator!$F$18,1)),2)))/$C89,$C89/(50*POWER(80,POWER(COS(PI()*MOD(Calculator!$B$34/Calculator!$F$18,1)),2)))),2))</f>
        <v>1.01</v>
      </c>
      <c r="BH89" s="116" t="n">
        <f aca="false">IF(OR(Calculator!$E$19&lt;&gt;"YES",Calculator!$B$34&lt;Calculator!$G$19),"—",ROUND(MAX((50*POWER(80,POWER(COS(PI()*MOD(Calculator!$B$34/Calculator!$F$19,1)),2)))/$C89,$C89/(50*POWER(80,POWER(COS(PI()*MOD(Calculator!$B$34/Calculator!$F$19,1)),2)))),2))</f>
        <v>1.3</v>
      </c>
      <c r="BI89" s="116" t="n">
        <f aca="false">IF(OR(Calculator!$E$20&lt;&gt;"YES",Calculator!$B$34&lt;Calculator!$G$20),"—",ROUND(MAX((50*POWER(80,POWER(COS(PI()*MOD(Calculator!$B$34/Calculator!$F$20,1)),2)))/$C89,$C89/(50*POWER(80,POWER(COS(PI()*MOD(Calculator!$B$34/Calculator!$F$20,1)),2)))),2))</f>
        <v>35.68</v>
      </c>
      <c r="BJ89" s="116" t="n">
        <f aca="false">IF(OR(Calculator!$E$21&lt;&gt;"YES",Calculator!$B$34&lt;Calculator!$G$21),"—",ROUND(MAX((50*POWER(80,POWER(COS(PI()*MOD(Calculator!$B$34/Calculator!$F$21,1)),2)))/$C89,$C89/(50*POWER(80,POWER(COS(PI()*MOD(Calculator!$B$34/Calculator!$F$21,1)),2)))),2))</f>
        <v>1.15</v>
      </c>
      <c r="BK89" s="115" t="n">
        <f aca="false">IFERROR(ROUND((IF(ISNUMBER(AZ89),AZ89,0)+IF(ISNUMBER(BA89),BA89,0)+IF(ISNUMBER(BB89),BB89,0)+IF(ISNUMBER(BC89),BC89,0)+IF(ISNUMBER(BD89),BD89,0)+IF(ISNUMBER(BE89),BE89,0)+IF(ISNUMBER(BF89),BF89,0)+IF(ISNUMBER(BG89),BG89,0)+IF(ISNUMBER(BH89),BH89,0)+IF(ISNUMBER(BI89),BI89,0)+IF(ISNUMBER(BJ89),BJ89,0))/(IF(ISNUMBER(AZ89),1,0)+IF(ISNUMBER(BA89),1,0)+IF(ISNUMBER(BB89),1,0)+IF(ISNUMBER(BC89),1,0)+IF(ISNUMBER(BD89),1,0)+IF(ISNUMBER(BE89),1,0)+IF(ISNUMBER(BF89),1,0)+IF(ISNUMBER(BG89),1,0)+IF(ISNUMBER(BH89),1,0)+IF(ISNUMBER(BI89),1,0)+IF(ISNUMBER(BJ89),1,0)),2),"")</f>
        <v>13.13</v>
      </c>
    </row>
    <row r="90" customFormat="false" ht="15" hidden="false" customHeight="false" outlineLevel="0" collapsed="false">
      <c r="A90" s="117" t="s">
        <v>148</v>
      </c>
      <c r="B90" s="117" t="s">
        <v>93</v>
      </c>
      <c r="C90" s="118" t="n">
        <v>2900</v>
      </c>
      <c r="D90" s="119" t="n">
        <f aca="false">IF(OR(Calculator!$E$11&lt;&gt;"YES",Calculator!$B$30&lt;Calculator!$G$11),"—",ROUND(MAX((50*POWER(80,POWER(COS(PI()*MOD(Calculator!$B$30/Calculator!$F$11,1)),2)))/$C90,$C90/(50*POWER(80,POWER(COS(PI()*MOD(Calculator!$B$30/Calculator!$F$11,1)),2)))),2))</f>
        <v>32.84</v>
      </c>
      <c r="E90" s="119" t="n">
        <f aca="false">IF(OR(Calculator!$E$12&lt;&gt;"YES",Calculator!$B$30&lt;Calculator!$G$12),"—",ROUND(MAX((50*POWER(80,POWER(COS(PI()*MOD(Calculator!$B$30/Calculator!$F$12,1)),2)))/$C90,$C90/(50*POWER(80,POWER(COS(PI()*MOD(Calculator!$B$30/Calculator!$F$12,1)),2)))),2))</f>
        <v>2.75</v>
      </c>
      <c r="F90" s="119" t="n">
        <f aca="false">IF(OR(Calculator!$E$13&lt;&gt;"YES",Calculator!$B$30&lt;Calculator!$G$13),"—",ROUND(MAX((50*POWER(80,POWER(COS(PI()*MOD(Calculator!$B$30/Calculator!$F$13,1)),2)))/$C90,$C90/(50*POWER(80,POWER(COS(PI()*MOD(Calculator!$B$30/Calculator!$F$13,1)),2)))),2))</f>
        <v>7.32</v>
      </c>
      <c r="G90" s="119" t="n">
        <f aca="false">IF(OR(Calculator!$E$14&lt;&gt;"YES",Calculator!$B$30&lt;Calculator!$G$14),"—",ROUND(MAX((50*POWER(80,POWER(COS(PI()*MOD(Calculator!$B$30/Calculator!$F$14,1)),2)))/$C90,$C90/(50*POWER(80,POWER(COS(PI()*MOD(Calculator!$B$30/Calculator!$F$14,1)),2)))),2))</f>
        <v>17.13</v>
      </c>
      <c r="H90" s="119" t="n">
        <f aca="false">IF(OR(Calculator!$E$15&lt;&gt;"YES",Calculator!$B$30&lt;Calculator!$G$15),"—",ROUND(MAX((50*POWER(80,POWER(COS(PI()*MOD(Calculator!$B$30/Calculator!$F$15,1)),2)))/$C90,$C90/(50*POWER(80,POWER(COS(PI()*MOD(Calculator!$B$30/Calculator!$F$15,1)),2)))),2))</f>
        <v>11.14</v>
      </c>
      <c r="I90" s="119" t="n">
        <f aca="false">IF(OR(Calculator!$E$16&lt;&gt;"YES",Calculator!$B$30&lt;Calculator!$G$16),"—",ROUND(MAX((50*POWER(80,POWER(COS(PI()*MOD(Calculator!$B$30/Calculator!$F$16,1)),2)))/$C90,$C90/(50*POWER(80,POWER(COS(PI()*MOD(Calculator!$B$30/Calculator!$F$16,1)),2)))),2))</f>
        <v>36.43</v>
      </c>
      <c r="J90" s="119" t="n">
        <f aca="false">IF(OR(Calculator!$E$17&lt;&gt;"YES",Calculator!$B$30&lt;Calculator!$G$17),"—",ROUND(MAX((50*POWER(80,POWER(COS(PI()*MOD(Calculator!$B$30/Calculator!$F$17,1)),2)))/$C90,$C90/(50*POWER(80,POWER(COS(PI()*MOD(Calculator!$B$30/Calculator!$F$17,1)),2)))),2))</f>
        <v>1.23</v>
      </c>
      <c r="K90" s="119" t="n">
        <f aca="false">IF(OR(Calculator!$E$18&lt;&gt;"YES",Calculator!$B$30&lt;Calculator!$G$18),"—",ROUND(MAX((50*POWER(80,POWER(COS(PI()*MOD(Calculator!$B$30/Calculator!$F$18,1)),2)))/$C90,$C90/(50*POWER(80,POWER(COS(PI()*MOD(Calculator!$B$30/Calculator!$F$18,1)),2)))),2))</f>
        <v>1.14</v>
      </c>
      <c r="L90" s="119" t="n">
        <f aca="false">IF(OR(Calculator!$E$19&lt;&gt;"YES",Calculator!$B$30&lt;Calculator!$G$19),"—",ROUND(MAX((50*POWER(80,POWER(COS(PI()*MOD(Calculator!$B$30/Calculator!$F$19,1)),2)))/$C90,$C90/(50*POWER(80,POWER(COS(PI()*MOD(Calculator!$B$30/Calculator!$F$19,1)),2)))),2))</f>
        <v>1.13</v>
      </c>
      <c r="M90" s="119" t="n">
        <f aca="false">IF(OR(Calculator!$E$20&lt;&gt;"YES",Calculator!$B$30&lt;Calculator!$G$20),"—",ROUND(MAX((50*POWER(80,POWER(COS(PI()*MOD(Calculator!$B$30/Calculator!$F$20,1)),2)))/$C90,$C90/(50*POWER(80,POWER(COS(PI()*MOD(Calculator!$B$30/Calculator!$F$20,1)),2)))),2))</f>
        <v>30.15</v>
      </c>
      <c r="N90" s="119" t="n">
        <f aca="false">IF(OR(Calculator!$E$21&lt;&gt;"YES",Calculator!$B$30&lt;Calculator!$G$21),"—",ROUND(MAX((50*POWER(80,POWER(COS(PI()*MOD(Calculator!$B$30/Calculator!$F$21,1)),2)))/$C90,$C90/(50*POWER(80,POWER(COS(PI()*MOD(Calculator!$B$30/Calculator!$F$21,1)),2)))),2))</f>
        <v>1.14</v>
      </c>
      <c r="O90" s="114" t="n">
        <f aca="false">IFERROR(ROUND((IF(ISNUMBER(D90),D90,0)+IF(ISNUMBER(E90),E90,0)+IF(ISNUMBER(F90),F90,0)+IF(ISNUMBER(G90),G90,0)+IF(ISNUMBER(H90),H90,0)+IF(ISNUMBER(I90),I90,0)+IF(ISNUMBER(J90),J90,0)+IF(ISNUMBER(K90),K90,0)+IF(ISNUMBER(L90),L90,0)+IF(ISNUMBER(M90),M90,0)+IF(ISNUMBER(N90),N90,0))/(IF(ISNUMBER(D90),1,0)+IF(ISNUMBER(E90),1,0)+IF(ISNUMBER(F90),1,0)+IF(ISNUMBER(G90),1,0)+IF(ISNUMBER(H90),1,0)+IF(ISNUMBER(I90),1,0)+IF(ISNUMBER(J90),1,0)+IF(ISNUMBER(K90),1,0)+IF(ISNUMBER(L90),1,0)+IF(ISNUMBER(M90),1,0)+IF(ISNUMBER(N90),1,0)),2),"")</f>
        <v>12.95</v>
      </c>
      <c r="P90" s="119" t="n">
        <f aca="false">IF(OR(Calculator!$E$11&lt;&gt;"YES",Calculator!$B$31&lt;Calculator!$G$11),"—",ROUND(MAX((50*POWER(80,POWER(COS(PI()*MOD(Calculator!$B$31/Calculator!$F$11,1)),2)))/$C90,$C90/(50*POWER(80,POWER(COS(PI()*MOD(Calculator!$B$31/Calculator!$F$11,1)),2)))),2))</f>
        <v>33.24</v>
      </c>
      <c r="Q90" s="119" t="n">
        <f aca="false">IF(OR(Calculator!$E$12&lt;&gt;"YES",Calculator!$B$31&lt;Calculator!$G$12),"—",ROUND(MAX((50*POWER(80,POWER(COS(PI()*MOD(Calculator!$B$31/Calculator!$F$12,1)),2)))/$C90,$C90/(50*POWER(80,POWER(COS(PI()*MOD(Calculator!$B$31/Calculator!$F$12,1)),2)))),2))</f>
        <v>2.66</v>
      </c>
      <c r="R90" s="119" t="n">
        <f aca="false">IF(OR(Calculator!$E$13&lt;&gt;"YES",Calculator!$B$31&lt;Calculator!$G$13),"—",ROUND(MAX((50*POWER(80,POWER(COS(PI()*MOD(Calculator!$B$31/Calculator!$F$13,1)),2)))/$C90,$C90/(50*POWER(80,POWER(COS(PI()*MOD(Calculator!$B$31/Calculator!$F$13,1)),2)))),2))</f>
        <v>7.71</v>
      </c>
      <c r="S90" s="119" t="n">
        <f aca="false">IF(OR(Calculator!$E$14&lt;&gt;"YES",Calculator!$B$31&lt;Calculator!$G$14),"—",ROUND(MAX((50*POWER(80,POWER(COS(PI()*MOD(Calculator!$B$31/Calculator!$F$14,1)),2)))/$C90,$C90/(50*POWER(80,POWER(COS(PI()*MOD(Calculator!$B$31/Calculator!$F$14,1)),2)))),2))</f>
        <v>16.1</v>
      </c>
      <c r="T90" s="119" t="n">
        <f aca="false">IF(OR(Calculator!$E$15&lt;&gt;"YES",Calculator!$B$31&lt;Calculator!$G$15),"—",ROUND(MAX((50*POWER(80,POWER(COS(PI()*MOD(Calculator!$B$31/Calculator!$F$15,1)),2)))/$C90,$C90/(50*POWER(80,POWER(COS(PI()*MOD(Calculator!$B$31/Calculator!$F$15,1)),2)))),2))</f>
        <v>10.13</v>
      </c>
      <c r="U90" s="119" t="n">
        <f aca="false">IF(OR(Calculator!$E$16&lt;&gt;"YES",Calculator!$B$31&lt;Calculator!$G$16),"—",ROUND(MAX((50*POWER(80,POWER(COS(PI()*MOD(Calculator!$B$31/Calculator!$F$16,1)),2)))/$C90,$C90/(50*POWER(80,POWER(COS(PI()*MOD(Calculator!$B$31/Calculator!$F$16,1)),2)))),2))</f>
        <v>39.5</v>
      </c>
      <c r="V90" s="119" t="n">
        <f aca="false">IF(OR(Calculator!$E$17&lt;&gt;"YES",Calculator!$B$31&lt;Calculator!$G$17),"—",ROUND(MAX((50*POWER(80,POWER(COS(PI()*MOD(Calculator!$B$31/Calculator!$F$17,1)),2)))/$C90,$C90/(50*POWER(80,POWER(COS(PI()*MOD(Calculator!$B$31/Calculator!$F$17,1)),2)))),2))</f>
        <v>1.39</v>
      </c>
      <c r="W90" s="119" t="n">
        <f aca="false">IF(OR(Calculator!$E$18&lt;&gt;"YES",Calculator!$B$31&lt;Calculator!$G$18),"—",ROUND(MAX((50*POWER(80,POWER(COS(PI()*MOD(Calculator!$B$31/Calculator!$F$18,1)),2)))/$C90,$C90/(50*POWER(80,POWER(COS(PI()*MOD(Calculator!$B$31/Calculator!$F$18,1)),2)))),2))</f>
        <v>1.3</v>
      </c>
      <c r="X90" s="119" t="n">
        <f aca="false">IF(OR(Calculator!$E$19&lt;&gt;"YES",Calculator!$B$31&lt;Calculator!$G$19),"—",ROUND(MAX((50*POWER(80,POWER(COS(PI()*MOD(Calculator!$B$31/Calculator!$F$19,1)),2)))/$C90,$C90/(50*POWER(80,POWER(COS(PI()*MOD(Calculator!$B$31/Calculator!$F$19,1)),2)))),2))</f>
        <v>1.01</v>
      </c>
      <c r="Y90" s="119" t="n">
        <f aca="false">IF(OR(Calculator!$E$20&lt;&gt;"YES",Calculator!$B$31&lt;Calculator!$G$20),"—",ROUND(MAX((50*POWER(80,POWER(COS(PI()*MOD(Calculator!$B$31/Calculator!$F$20,1)),2)))/$C90,$C90/(50*POWER(80,POWER(COS(PI()*MOD(Calculator!$B$31/Calculator!$F$20,1)),2)))),2))</f>
        <v>24.43</v>
      </c>
      <c r="Z90" s="119" t="n">
        <f aca="false">IF(OR(Calculator!$E$21&lt;&gt;"YES",Calculator!$B$31&lt;Calculator!$G$21),"—",ROUND(MAX((50*POWER(80,POWER(COS(PI()*MOD(Calculator!$B$31/Calculator!$F$21,1)),2)))/$C90,$C90/(50*POWER(80,POWER(COS(PI()*MOD(Calculator!$B$31/Calculator!$F$21,1)),2)))),2))</f>
        <v>1.62</v>
      </c>
      <c r="AA90" s="114" t="n">
        <f aca="false">IFERROR(ROUND((IF(ISNUMBER(P90),P90,0)+IF(ISNUMBER(Q90),Q90,0)+IF(ISNUMBER(R90),R90,0)+IF(ISNUMBER(S90),S90,0)+IF(ISNUMBER(T90),T90,0)+IF(ISNUMBER(U90),U90,0)+IF(ISNUMBER(V90),V90,0)+IF(ISNUMBER(W90),W90,0)+IF(ISNUMBER(X90),X90,0)+IF(ISNUMBER(Y90),Y90,0)+IF(ISNUMBER(Z90),Z90,0))/(IF(ISNUMBER(P90),1,0)+IF(ISNUMBER(Q90),1,0)+IF(ISNUMBER(R90),1,0)+IF(ISNUMBER(S90),1,0)+IF(ISNUMBER(T90),1,0)+IF(ISNUMBER(U90),1,0)+IF(ISNUMBER(V90),1,0)+IF(ISNUMBER(W90),1,0)+IF(ISNUMBER(X90),1,0)+IF(ISNUMBER(Y90),1,0)+IF(ISNUMBER(Z90),1,0)),2),"")</f>
        <v>12.64</v>
      </c>
      <c r="AB90" s="119" t="n">
        <f aca="false">IF(OR(Calculator!$E$11&lt;&gt;"YES",Calculator!$B$32&lt;Calculator!$G$11),"—",ROUND(MAX((50*POWER(80,POWER(COS(PI()*MOD(Calculator!$B$32/Calculator!$F$11,1)),2)))/$C90,$C90/(50*POWER(80,POWER(COS(PI()*MOD(Calculator!$B$32/Calculator!$F$11,1)),2)))),2))</f>
        <v>41.84</v>
      </c>
      <c r="AC90" s="119" t="n">
        <f aca="false">IF(OR(Calculator!$E$12&lt;&gt;"YES",Calculator!$B$32&lt;Calculator!$G$12),"—",ROUND(MAX((50*POWER(80,POWER(COS(PI()*MOD(Calculator!$B$32/Calculator!$F$12,1)),2)))/$C90,$C90/(50*POWER(80,POWER(COS(PI()*MOD(Calculator!$B$32/Calculator!$F$12,1)),2)))),2))</f>
        <v>1.44</v>
      </c>
      <c r="AD90" s="119" t="n">
        <f aca="false">IF(OR(Calculator!$E$13&lt;&gt;"YES",Calculator!$B$32&lt;Calculator!$G$13),"—",ROUND(MAX((50*POWER(80,POWER(COS(PI()*MOD(Calculator!$B$32/Calculator!$F$13,1)),2)))/$C90,$C90/(50*POWER(80,POWER(COS(PI()*MOD(Calculator!$B$32/Calculator!$F$13,1)),2)))),2))</f>
        <v>21.35</v>
      </c>
      <c r="AE90" s="119" t="n">
        <f aca="false">IF(OR(Calculator!$E$14&lt;&gt;"YES",Calculator!$B$32&lt;Calculator!$G$14),"—",ROUND(MAX((50*POWER(80,POWER(COS(PI()*MOD(Calculator!$B$32/Calculator!$F$14,1)),2)))/$C90,$C90/(50*POWER(80,POWER(COS(PI()*MOD(Calculator!$B$32/Calculator!$F$14,1)),2)))),2))</f>
        <v>3.9</v>
      </c>
      <c r="AF90" s="119" t="n">
        <f aca="false">IF(OR(Calculator!$E$15&lt;&gt;"YES",Calculator!$B$32&lt;Calculator!$G$15),"—",ROUND(MAX((50*POWER(80,POWER(COS(PI()*MOD(Calculator!$B$32/Calculator!$F$15,1)),2)))/$C90,$C90/(50*POWER(80,POWER(COS(PI()*MOD(Calculator!$B$32/Calculator!$F$15,1)),2)))),2))</f>
        <v>1.5</v>
      </c>
      <c r="AG90" s="119" t="n">
        <f aca="false">IF(OR(Calculator!$E$16&lt;&gt;"YES",Calculator!$B$32&lt;Calculator!$G$16),"—",ROUND(MAX((50*POWER(80,POWER(COS(PI()*MOD(Calculator!$B$32/Calculator!$F$16,1)),2)))/$C90,$C90/(50*POWER(80,POWER(COS(PI()*MOD(Calculator!$B$32/Calculator!$F$16,1)),2)))),2))</f>
        <v>34.09</v>
      </c>
      <c r="AH90" s="119" t="n">
        <f aca="false">IF(OR(Calculator!$E$17&lt;&gt;"YES",Calculator!$B$32&lt;Calculator!$G$17),"—",ROUND(MAX((50*POWER(80,POWER(COS(PI()*MOD(Calculator!$B$32/Calculator!$F$17,1)),2)))/$C90,$C90/(50*POWER(80,POWER(COS(PI()*MOD(Calculator!$B$32/Calculator!$F$17,1)),2)))),2))</f>
        <v>35.99</v>
      </c>
      <c r="AI90" s="119" t="n">
        <f aca="false">IF(OR(Calculator!$E$18&lt;&gt;"YES",Calculator!$B$32&lt;Calculator!$G$18),"—",ROUND(MAX((50*POWER(80,POWER(COS(PI()*MOD(Calculator!$B$32/Calculator!$F$18,1)),2)))/$C90,$C90/(50*POWER(80,POWER(COS(PI()*MOD(Calculator!$B$32/Calculator!$F$18,1)),2)))),2))</f>
        <v>47.47</v>
      </c>
      <c r="AJ90" s="119" t="n">
        <f aca="false">IF(OR(Calculator!$E$19&lt;&gt;"YES",Calculator!$B$32&lt;Calculator!$G$19),"—",ROUND(MAX((50*POWER(80,POWER(COS(PI()*MOD(Calculator!$B$32/Calculator!$F$19,1)),2)))/$C90,$C90/(50*POWER(80,POWER(COS(PI()*MOD(Calculator!$B$32/Calculator!$F$19,1)),2)))),2))</f>
        <v>10.01</v>
      </c>
      <c r="AK90" s="119" t="n">
        <f aca="false">IF(OR(Calculator!$E$20&lt;&gt;"YES",Calculator!$B$32&lt;Calculator!$G$20),"—",ROUND(MAX((50*POWER(80,POWER(COS(PI()*MOD(Calculator!$B$32/Calculator!$F$20,1)),2)))/$C90,$C90/(50*POWER(80,POWER(COS(PI()*MOD(Calculator!$B$32/Calculator!$F$20,1)),2)))),2))</f>
        <v>1.11</v>
      </c>
      <c r="AL90" s="119" t="n">
        <f aca="false">IF(OR(Calculator!$E$21&lt;&gt;"YES",Calculator!$B$32&lt;Calculator!$G$21),"—",ROUND(MAX((50*POWER(80,POWER(COS(PI()*MOD(Calculator!$B$32/Calculator!$F$21,1)),2)))/$C90,$C90/(50*POWER(80,POWER(COS(PI()*MOD(Calculator!$B$32/Calculator!$F$21,1)),2)))),2))</f>
        <v>1.04</v>
      </c>
      <c r="AM90" s="115" t="n">
        <f aca="false">IFERROR(ROUND((IF(ISNUMBER(AB90),AB90,0)+IF(ISNUMBER(AC90),AC90,0)+IF(ISNUMBER(AD90),AD90,0)+IF(ISNUMBER(AE90),AE90,0)+IF(ISNUMBER(AF90),AF90,0)+IF(ISNUMBER(AG90),AG90,0)+IF(ISNUMBER(AH90),AH90,0)+IF(ISNUMBER(AI90),AI90,0)+IF(ISNUMBER(AJ90),AJ90,0)+IF(ISNUMBER(AK90),AK90,0)+IF(ISNUMBER(AL90),AL90,0))/(IF(ISNUMBER(AB90),1,0)+IF(ISNUMBER(AC90),1,0)+IF(ISNUMBER(AD90),1,0)+IF(ISNUMBER(AE90),1,0)+IF(ISNUMBER(AF90),1,0)+IF(ISNUMBER(AG90),1,0)+IF(ISNUMBER(AH90),1,0)+IF(ISNUMBER(AI90),1,0)+IF(ISNUMBER(AJ90),1,0)+IF(ISNUMBER(AK90),1,0)+IF(ISNUMBER(AL90),1,0)),2),"")</f>
        <v>18.16</v>
      </c>
      <c r="AN90" s="120" t="n">
        <f aca="false">IF(OR(Calculator!$E$11&lt;&gt;"YES",Calculator!$B$33&lt;Calculator!$G$11),"—",ROUND(MAX((50*POWER(80,POWER(COS(PI()*MOD(Calculator!$B$33/Calculator!$F$11,1)),2)))/$C90,$C90/(50*POWER(80,POWER(COS(PI()*MOD(Calculator!$B$33/Calculator!$F$11,1)),2)))),2))</f>
        <v>33.65</v>
      </c>
      <c r="AO90" s="120" t="n">
        <f aca="false">IF(OR(Calculator!$E$12&lt;&gt;"YES",Calculator!$B$33&lt;Calculator!$G$12),"—",ROUND(MAX((50*POWER(80,POWER(COS(PI()*MOD(Calculator!$B$33/Calculator!$F$12,1)),2)))/$C90,$C90/(50*POWER(80,POWER(COS(PI()*MOD(Calculator!$B$33/Calculator!$F$12,1)),2)))),2))</f>
        <v>2.58</v>
      </c>
      <c r="AP90" s="120" t="n">
        <f aca="false">IF(OR(Calculator!$E$13&lt;&gt;"YES",Calculator!$B$33&lt;Calculator!$G$13),"—",ROUND(MAX((50*POWER(80,POWER(COS(PI()*MOD(Calculator!$B$33/Calculator!$F$13,1)),2)))/$C90,$C90/(50*POWER(80,POWER(COS(PI()*MOD(Calculator!$B$33/Calculator!$F$13,1)),2)))),2))</f>
        <v>8.11</v>
      </c>
      <c r="AQ90" s="120" t="n">
        <f aca="false">IF(OR(Calculator!$E$14&lt;&gt;"YES",Calculator!$B$33&lt;Calculator!$G$14),"—",ROUND(MAX((50*POWER(80,POWER(COS(PI()*MOD(Calculator!$B$33/Calculator!$F$14,1)),2)))/$C90,$C90/(50*POWER(80,POWER(COS(PI()*MOD(Calculator!$B$33/Calculator!$F$14,1)),2)))),2))</f>
        <v>15.11</v>
      </c>
      <c r="AR90" s="120" t="n">
        <f aca="false">IF(OR(Calculator!$E$15&lt;&gt;"YES",Calculator!$B$33&lt;Calculator!$G$15),"—",ROUND(MAX((50*POWER(80,POWER(COS(PI()*MOD(Calculator!$B$33/Calculator!$F$15,1)),2)))/$C90,$C90/(50*POWER(80,POWER(COS(PI()*MOD(Calculator!$B$33/Calculator!$F$15,1)),2)))),2))</f>
        <v>9.2</v>
      </c>
      <c r="AS90" s="120" t="n">
        <f aca="false">IF(OR(Calculator!$E$16&lt;&gt;"YES",Calculator!$B$33&lt;Calculator!$G$16),"—",ROUND(MAX((50*POWER(80,POWER(COS(PI()*MOD(Calculator!$B$33/Calculator!$F$16,1)),2)))/$C90,$C90/(50*POWER(80,POWER(COS(PI()*MOD(Calculator!$B$33/Calculator!$F$16,1)),2)))),2))</f>
        <v>42.53</v>
      </c>
      <c r="AT90" s="120" t="n">
        <f aca="false">IF(OR(Calculator!$E$17&lt;&gt;"YES",Calculator!$B$33&lt;Calculator!$G$17),"—",ROUND(MAX((50*POWER(80,POWER(COS(PI()*MOD(Calculator!$B$33/Calculator!$F$17,1)),2)))/$C90,$C90/(50*POWER(80,POWER(COS(PI()*MOD(Calculator!$B$33/Calculator!$F$17,1)),2)))),2))</f>
        <v>1.58</v>
      </c>
      <c r="AU90" s="120" t="n">
        <f aca="false">IF(OR(Calculator!$E$18&lt;&gt;"YES",Calculator!$B$33&lt;Calculator!$G$18),"—",ROUND(MAX((50*POWER(80,POWER(COS(PI()*MOD(Calculator!$B$33/Calculator!$F$18,1)),2)))/$C90,$C90/(50*POWER(80,POWER(COS(PI()*MOD(Calculator!$B$33/Calculator!$F$18,1)),2)))),2))</f>
        <v>1.5</v>
      </c>
      <c r="AV90" s="120" t="n">
        <f aca="false">IF(OR(Calculator!$E$19&lt;&gt;"YES",Calculator!$B$33&lt;Calculator!$G$19),"—",ROUND(MAX((50*POWER(80,POWER(COS(PI()*MOD(Calculator!$B$33/Calculator!$F$19,1)),2)))/$C90,$C90/(50*POWER(80,POWER(COS(PI()*MOD(Calculator!$B$33/Calculator!$F$19,1)),2)))),2))</f>
        <v>1.13</v>
      </c>
      <c r="AW90" s="120" t="n">
        <f aca="false">IF(OR(Calculator!$E$20&lt;&gt;"YES",Calculator!$B$33&lt;Calculator!$G$20),"—",ROUND(MAX((50*POWER(80,POWER(COS(PI()*MOD(Calculator!$B$33/Calculator!$F$20,1)),2)))/$C90,$C90/(50*POWER(80,POWER(COS(PI()*MOD(Calculator!$B$33/Calculator!$F$20,1)),2)))),2))</f>
        <v>19.37</v>
      </c>
      <c r="AX90" s="120" t="n">
        <f aca="false">IF(OR(Calculator!$E$21&lt;&gt;"YES",Calculator!$B$33&lt;Calculator!$G$21),"—",ROUND(MAX((50*POWER(80,POWER(COS(PI()*MOD(Calculator!$B$33/Calculator!$F$21,1)),2)))/$C90,$C90/(50*POWER(80,POWER(COS(PI()*MOD(Calculator!$B$33/Calculator!$F$21,1)),2)))),2))</f>
        <v>2.47</v>
      </c>
      <c r="AY90" s="115" t="n">
        <f aca="false">IFERROR(ROUND((IF(ISNUMBER(AN90),AN90,0)+IF(ISNUMBER(AO90),AO90,0)+IF(ISNUMBER(AP90),AP90,0)+IF(ISNUMBER(AQ90),AQ90,0)+IF(ISNUMBER(AR90),AR90,0)+IF(ISNUMBER(AS90),AS90,0)+IF(ISNUMBER(AT90),AT90,0)+IF(ISNUMBER(AU90),AU90,0)+IF(ISNUMBER(AV90),AV90,0)+IF(ISNUMBER(AW90),AW90,0)+IF(ISNUMBER(AX90),AX90,0))/(IF(ISNUMBER(AN90),1,0)+IF(ISNUMBER(AO90),1,0)+IF(ISNUMBER(AP90),1,0)+IF(ISNUMBER(AQ90),1,0)+IF(ISNUMBER(AR90),1,0)+IF(ISNUMBER(AS90),1,0)+IF(ISNUMBER(AT90),1,0)+IF(ISNUMBER(AU90),1,0)+IF(ISNUMBER(AV90),1,0)+IF(ISNUMBER(AW90),1,0)+IF(ISNUMBER(AX90),1,0)),2),"")</f>
        <v>12.48</v>
      </c>
      <c r="AZ90" s="120" t="n">
        <f aca="false">IF(OR(Calculator!$E$11&lt;&gt;"YES",Calculator!$B$34&lt;Calculator!$G$11),"—",ROUND(MAX((50*POWER(80,POWER(COS(PI()*MOD(Calculator!$B$34/Calculator!$F$11,1)),2)))/$C90,$C90/(50*POWER(80,POWER(COS(PI()*MOD(Calculator!$B$34/Calculator!$F$11,1)),2)))),2))</f>
        <v>32.43</v>
      </c>
      <c r="BA90" s="120" t="n">
        <f aca="false">IF(OR(Calculator!$E$12&lt;&gt;"YES",Calculator!$B$34&lt;Calculator!$G$12),"—",ROUND(MAX((50*POWER(80,POWER(COS(PI()*MOD(Calculator!$B$34/Calculator!$F$12,1)),2)))/$C90,$C90/(50*POWER(80,POWER(COS(PI()*MOD(Calculator!$B$34/Calculator!$F$12,1)),2)))),2))</f>
        <v>2.84</v>
      </c>
      <c r="BB90" s="120" t="n">
        <f aca="false">IF(OR(Calculator!$E$13&lt;&gt;"YES",Calculator!$B$34&lt;Calculator!$G$13),"—",ROUND(MAX((50*POWER(80,POWER(COS(PI()*MOD(Calculator!$B$34/Calculator!$F$13,1)),2)))/$C90,$C90/(50*POWER(80,POWER(COS(PI()*MOD(Calculator!$B$34/Calculator!$F$13,1)),2)))),2))</f>
        <v>6.95</v>
      </c>
      <c r="BC90" s="120" t="n">
        <f aca="false">IF(OR(Calculator!$E$14&lt;&gt;"YES",Calculator!$B$34&lt;Calculator!$G$14),"—",ROUND(MAX((50*POWER(80,POWER(COS(PI()*MOD(Calculator!$B$34/Calculator!$F$14,1)),2)))/$C90,$C90/(50*POWER(80,POWER(COS(PI()*MOD(Calculator!$B$34/Calculator!$F$14,1)),2)))),2))</f>
        <v>18.22</v>
      </c>
      <c r="BD90" s="120" t="n">
        <f aca="false">IF(OR(Calculator!$E$15&lt;&gt;"YES",Calculator!$B$34&lt;Calculator!$G$15),"—",ROUND(MAX((50*POWER(80,POWER(COS(PI()*MOD(Calculator!$B$34/Calculator!$F$15,1)),2)))/$C90,$C90/(50*POWER(80,POWER(COS(PI()*MOD(Calculator!$B$34/Calculator!$F$15,1)),2)))),2))</f>
        <v>12.24</v>
      </c>
      <c r="BE90" s="120" t="n">
        <f aca="false">IF(OR(Calculator!$E$16&lt;&gt;"YES",Calculator!$B$34&lt;Calculator!$G$16),"—",ROUND(MAX((50*POWER(80,POWER(COS(PI()*MOD(Calculator!$B$34/Calculator!$F$16,1)),2)))/$C90,$C90/(50*POWER(80,POWER(COS(PI()*MOD(Calculator!$B$34/Calculator!$F$16,1)),2)))),2))</f>
        <v>33.37</v>
      </c>
      <c r="BF90" s="120" t="n">
        <f aca="false">IF(OR(Calculator!$E$17&lt;&gt;"YES",Calculator!$B$34&lt;Calculator!$G$17),"—",ROUND(MAX((50*POWER(80,POWER(COS(PI()*MOD(Calculator!$B$34/Calculator!$F$17,1)),2)))/$C90,$C90/(50*POWER(80,POWER(COS(PI()*MOD(Calculator!$B$34/Calculator!$F$17,1)),2)))),2))</f>
        <v>1.11</v>
      </c>
      <c r="BG90" s="120" t="n">
        <f aca="false">IF(OR(Calculator!$E$18&lt;&gt;"YES",Calculator!$B$34&lt;Calculator!$G$18),"—",ROUND(MAX((50*POWER(80,POWER(COS(PI()*MOD(Calculator!$B$34/Calculator!$F$18,1)),2)))/$C90,$C90/(50*POWER(80,POWER(COS(PI()*MOD(Calculator!$B$34/Calculator!$F$18,1)),2)))),2))</f>
        <v>1.01</v>
      </c>
      <c r="BH90" s="120" t="n">
        <f aca="false">IF(OR(Calculator!$E$19&lt;&gt;"YES",Calculator!$B$34&lt;Calculator!$G$19),"—",ROUND(MAX((50*POWER(80,POWER(COS(PI()*MOD(Calculator!$B$34/Calculator!$F$19,1)),2)))/$C90,$C90/(50*POWER(80,POWER(COS(PI()*MOD(Calculator!$B$34/Calculator!$F$19,1)),2)))),2))</f>
        <v>1.32</v>
      </c>
      <c r="BI90" s="120" t="n">
        <f aca="false">IF(OR(Calculator!$E$20&lt;&gt;"YES",Calculator!$B$34&lt;Calculator!$G$20),"—",ROUND(MAX((50*POWER(80,POWER(COS(PI()*MOD(Calculator!$B$34/Calculator!$F$20,1)),2)))/$C90,$C90/(50*POWER(80,POWER(COS(PI()*MOD(Calculator!$B$34/Calculator!$F$20,1)),2)))),2))</f>
        <v>36.3</v>
      </c>
      <c r="BJ90" s="120" t="n">
        <f aca="false">IF(OR(Calculator!$E$21&lt;&gt;"YES",Calculator!$B$34&lt;Calculator!$G$21),"—",ROUND(MAX((50*POWER(80,POWER(COS(PI()*MOD(Calculator!$B$34/Calculator!$F$21,1)),2)))/$C90,$C90/(50*POWER(80,POWER(COS(PI()*MOD(Calculator!$B$34/Calculator!$F$21,1)),2)))),2))</f>
        <v>1.13</v>
      </c>
      <c r="BK90" s="115" t="n">
        <f aca="false">IFERROR(ROUND((IF(ISNUMBER(AZ90),AZ90,0)+IF(ISNUMBER(BA90),BA90,0)+IF(ISNUMBER(BB90),BB90,0)+IF(ISNUMBER(BC90),BC90,0)+IF(ISNUMBER(BD90),BD90,0)+IF(ISNUMBER(BE90),BE90,0)+IF(ISNUMBER(BF90),BF90,0)+IF(ISNUMBER(BG90),BG90,0)+IF(ISNUMBER(BH90),BH90,0)+IF(ISNUMBER(BI90),BI90,0)+IF(ISNUMBER(BJ90),BJ90,0))/(IF(ISNUMBER(AZ90),1,0)+IF(ISNUMBER(BA90),1,0)+IF(ISNUMBER(BB90),1,0)+IF(ISNUMBER(BC90),1,0)+IF(ISNUMBER(BD90),1,0)+IF(ISNUMBER(BE90),1,0)+IF(ISNUMBER(BF90),1,0)+IF(ISNUMBER(BG90),1,0)+IF(ISNUMBER(BH90),1,0)+IF(ISNUMBER(BI90),1,0)+IF(ISNUMBER(BJ90),1,0)),2),"")</f>
        <v>13.36</v>
      </c>
    </row>
    <row r="91" customFormat="false" ht="15" hidden="false" customHeight="false" outlineLevel="0" collapsed="false">
      <c r="A91" s="87" t="s">
        <v>149</v>
      </c>
      <c r="B91" s="87" t="s">
        <v>93</v>
      </c>
      <c r="C91" s="90" t="n">
        <v>2950</v>
      </c>
      <c r="D91" s="91" t="n">
        <f aca="false">IF(OR(Calculator!$E$11&lt;&gt;"YES",Calculator!$B$30&lt;Calculator!$G$11),"—",ROUND(MAX((50*POWER(80,POWER(COS(PI()*MOD(Calculator!$B$30/Calculator!$F$11,1)),2)))/$C91,$C91/(50*POWER(80,POWER(COS(PI()*MOD(Calculator!$B$30/Calculator!$F$11,1)),2)))),2))</f>
        <v>33.4</v>
      </c>
      <c r="E91" s="91" t="n">
        <f aca="false">IF(OR(Calculator!$E$12&lt;&gt;"YES",Calculator!$B$30&lt;Calculator!$G$12),"—",ROUND(MAX((50*POWER(80,POWER(COS(PI()*MOD(Calculator!$B$30/Calculator!$F$12,1)),2)))/$C91,$C91/(50*POWER(80,POWER(COS(PI()*MOD(Calculator!$B$30/Calculator!$F$12,1)),2)))),2))</f>
        <v>2.8</v>
      </c>
      <c r="F91" s="91" t="n">
        <f aca="false">IF(OR(Calculator!$E$13&lt;&gt;"YES",Calculator!$B$30&lt;Calculator!$G$13),"—",ROUND(MAX((50*POWER(80,POWER(COS(PI()*MOD(Calculator!$B$30/Calculator!$F$13,1)),2)))/$C91,$C91/(50*POWER(80,POWER(COS(PI()*MOD(Calculator!$B$30/Calculator!$F$13,1)),2)))),2))</f>
        <v>7.44</v>
      </c>
      <c r="G91" s="91" t="n">
        <f aca="false">IF(OR(Calculator!$E$14&lt;&gt;"YES",Calculator!$B$30&lt;Calculator!$G$14),"—",ROUND(MAX((50*POWER(80,POWER(COS(PI()*MOD(Calculator!$B$30/Calculator!$F$14,1)),2)))/$C91,$C91/(50*POWER(80,POWER(COS(PI()*MOD(Calculator!$B$30/Calculator!$F$14,1)),2)))),2))</f>
        <v>17.43</v>
      </c>
      <c r="H91" s="91" t="n">
        <f aca="false">IF(OR(Calculator!$E$15&lt;&gt;"YES",Calculator!$B$30&lt;Calculator!$G$15),"—",ROUND(MAX((50*POWER(80,POWER(COS(PI()*MOD(Calculator!$B$30/Calculator!$F$15,1)),2)))/$C91,$C91/(50*POWER(80,POWER(COS(PI()*MOD(Calculator!$B$30/Calculator!$F$15,1)),2)))),2))</f>
        <v>11.34</v>
      </c>
      <c r="I91" s="91" t="n">
        <f aca="false">IF(OR(Calculator!$E$16&lt;&gt;"YES",Calculator!$B$30&lt;Calculator!$G$16),"—",ROUND(MAX((50*POWER(80,POWER(COS(PI()*MOD(Calculator!$B$30/Calculator!$F$16,1)),2)))/$C91,$C91/(50*POWER(80,POWER(COS(PI()*MOD(Calculator!$B$30/Calculator!$F$16,1)),2)))),2))</f>
        <v>37.06</v>
      </c>
      <c r="J91" s="91" t="n">
        <f aca="false">IF(OR(Calculator!$E$17&lt;&gt;"YES",Calculator!$B$30&lt;Calculator!$G$17),"—",ROUND(MAX((50*POWER(80,POWER(COS(PI()*MOD(Calculator!$B$30/Calculator!$F$17,1)),2)))/$C91,$C91/(50*POWER(80,POWER(COS(PI()*MOD(Calculator!$B$30/Calculator!$F$17,1)),2)))),2))</f>
        <v>1.25</v>
      </c>
      <c r="K91" s="91" t="n">
        <f aca="false">IF(OR(Calculator!$E$18&lt;&gt;"YES",Calculator!$B$30&lt;Calculator!$G$18),"—",ROUND(MAX((50*POWER(80,POWER(COS(PI()*MOD(Calculator!$B$30/Calculator!$F$18,1)),2)))/$C91,$C91/(50*POWER(80,POWER(COS(PI()*MOD(Calculator!$B$30/Calculator!$F$18,1)),2)))),2))</f>
        <v>1.16</v>
      </c>
      <c r="L91" s="91" t="n">
        <f aca="false">IF(OR(Calculator!$E$19&lt;&gt;"YES",Calculator!$B$30&lt;Calculator!$G$19),"—",ROUND(MAX((50*POWER(80,POWER(COS(PI()*MOD(Calculator!$B$30/Calculator!$F$19,1)),2)))/$C91,$C91/(50*POWER(80,POWER(COS(PI()*MOD(Calculator!$B$30/Calculator!$F$19,1)),2)))),2))</f>
        <v>1.15</v>
      </c>
      <c r="M91" s="91" t="n">
        <f aca="false">IF(OR(Calculator!$E$20&lt;&gt;"YES",Calculator!$B$30&lt;Calculator!$G$20),"—",ROUND(MAX((50*POWER(80,POWER(COS(PI()*MOD(Calculator!$B$30/Calculator!$F$20,1)),2)))/$C91,$C91/(50*POWER(80,POWER(COS(PI()*MOD(Calculator!$B$30/Calculator!$F$20,1)),2)))),2))</f>
        <v>30.67</v>
      </c>
      <c r="N91" s="91" t="n">
        <f aca="false">IF(OR(Calculator!$E$21&lt;&gt;"YES",Calculator!$B$30&lt;Calculator!$G$21),"—",ROUND(MAX((50*POWER(80,POWER(COS(PI()*MOD(Calculator!$B$30/Calculator!$F$21,1)),2)))/$C91,$C91/(50*POWER(80,POWER(COS(PI()*MOD(Calculator!$B$30/Calculator!$F$21,1)),2)))),2))</f>
        <v>1.16</v>
      </c>
      <c r="O91" s="114" t="n">
        <f aca="false">IFERROR(ROUND((IF(ISNUMBER(D91),D91,0)+IF(ISNUMBER(E91),E91,0)+IF(ISNUMBER(F91),F91,0)+IF(ISNUMBER(G91),G91,0)+IF(ISNUMBER(H91),H91,0)+IF(ISNUMBER(I91),I91,0)+IF(ISNUMBER(J91),J91,0)+IF(ISNUMBER(K91),K91,0)+IF(ISNUMBER(L91),L91,0)+IF(ISNUMBER(M91),M91,0)+IF(ISNUMBER(N91),N91,0))/(IF(ISNUMBER(D91),1,0)+IF(ISNUMBER(E91),1,0)+IF(ISNUMBER(F91),1,0)+IF(ISNUMBER(G91),1,0)+IF(ISNUMBER(H91),1,0)+IF(ISNUMBER(I91),1,0)+IF(ISNUMBER(J91),1,0)+IF(ISNUMBER(K91),1,0)+IF(ISNUMBER(L91),1,0)+IF(ISNUMBER(M91),1,0)+IF(ISNUMBER(N91),1,0)),2),"")</f>
        <v>13.17</v>
      </c>
      <c r="P91" s="91" t="n">
        <f aca="false">IF(OR(Calculator!$E$11&lt;&gt;"YES",Calculator!$B$31&lt;Calculator!$G$11),"—",ROUND(MAX((50*POWER(80,POWER(COS(PI()*MOD(Calculator!$B$31/Calculator!$F$11,1)),2)))/$C91,$C91/(50*POWER(80,POWER(COS(PI()*MOD(Calculator!$B$31/Calculator!$F$11,1)),2)))),2))</f>
        <v>33.81</v>
      </c>
      <c r="Q91" s="91" t="n">
        <f aca="false">IF(OR(Calculator!$E$12&lt;&gt;"YES",Calculator!$B$31&lt;Calculator!$G$12),"—",ROUND(MAX((50*POWER(80,POWER(COS(PI()*MOD(Calculator!$B$31/Calculator!$F$12,1)),2)))/$C91,$C91/(50*POWER(80,POWER(COS(PI()*MOD(Calculator!$B$31/Calculator!$F$12,1)),2)))),2))</f>
        <v>2.71</v>
      </c>
      <c r="R91" s="91" t="n">
        <f aca="false">IF(OR(Calculator!$E$13&lt;&gt;"YES",Calculator!$B$31&lt;Calculator!$G$13),"—",ROUND(MAX((50*POWER(80,POWER(COS(PI()*MOD(Calculator!$B$31/Calculator!$F$13,1)),2)))/$C91,$C91/(50*POWER(80,POWER(COS(PI()*MOD(Calculator!$B$31/Calculator!$F$13,1)),2)))),2))</f>
        <v>7.84</v>
      </c>
      <c r="S91" s="91" t="n">
        <f aca="false">IF(OR(Calculator!$E$14&lt;&gt;"YES",Calculator!$B$31&lt;Calculator!$G$14),"—",ROUND(MAX((50*POWER(80,POWER(COS(PI()*MOD(Calculator!$B$31/Calculator!$F$14,1)),2)))/$C91,$C91/(50*POWER(80,POWER(COS(PI()*MOD(Calculator!$B$31/Calculator!$F$14,1)),2)))),2))</f>
        <v>16.37</v>
      </c>
      <c r="T91" s="91" t="n">
        <f aca="false">IF(OR(Calculator!$E$15&lt;&gt;"YES",Calculator!$B$31&lt;Calculator!$G$15),"—",ROUND(MAX((50*POWER(80,POWER(COS(PI()*MOD(Calculator!$B$31/Calculator!$F$15,1)),2)))/$C91,$C91/(50*POWER(80,POWER(COS(PI()*MOD(Calculator!$B$31/Calculator!$F$15,1)),2)))),2))</f>
        <v>10.3</v>
      </c>
      <c r="U91" s="91" t="n">
        <f aca="false">IF(OR(Calculator!$E$16&lt;&gt;"YES",Calculator!$B$31&lt;Calculator!$G$16),"—",ROUND(MAX((50*POWER(80,POWER(COS(PI()*MOD(Calculator!$B$31/Calculator!$F$16,1)),2)))/$C91,$C91/(50*POWER(80,POWER(COS(PI()*MOD(Calculator!$B$31/Calculator!$F$16,1)),2)))),2))</f>
        <v>40.18</v>
      </c>
      <c r="V91" s="91" t="n">
        <f aca="false">IF(OR(Calculator!$E$17&lt;&gt;"YES",Calculator!$B$31&lt;Calculator!$G$17),"—",ROUND(MAX((50*POWER(80,POWER(COS(PI()*MOD(Calculator!$B$31/Calculator!$F$17,1)),2)))/$C91,$C91/(50*POWER(80,POWER(COS(PI()*MOD(Calculator!$B$31/Calculator!$F$17,1)),2)))),2))</f>
        <v>1.41</v>
      </c>
      <c r="W91" s="91" t="n">
        <f aca="false">IF(OR(Calculator!$E$18&lt;&gt;"YES",Calculator!$B$31&lt;Calculator!$G$18),"—",ROUND(MAX((50*POWER(80,POWER(COS(PI()*MOD(Calculator!$B$31/Calculator!$F$18,1)),2)))/$C91,$C91/(50*POWER(80,POWER(COS(PI()*MOD(Calculator!$B$31/Calculator!$F$18,1)),2)))),2))</f>
        <v>1.32</v>
      </c>
      <c r="X91" s="91" t="n">
        <f aca="false">IF(OR(Calculator!$E$19&lt;&gt;"YES",Calculator!$B$31&lt;Calculator!$G$19),"—",ROUND(MAX((50*POWER(80,POWER(COS(PI()*MOD(Calculator!$B$31/Calculator!$F$19,1)),2)))/$C91,$C91/(50*POWER(80,POWER(COS(PI()*MOD(Calculator!$B$31/Calculator!$F$19,1)),2)))),2))</f>
        <v>1.01</v>
      </c>
      <c r="Y91" s="91" t="n">
        <f aca="false">IF(OR(Calculator!$E$20&lt;&gt;"YES",Calculator!$B$31&lt;Calculator!$G$20),"—",ROUND(MAX((50*POWER(80,POWER(COS(PI()*MOD(Calculator!$B$31/Calculator!$F$20,1)),2)))/$C91,$C91/(50*POWER(80,POWER(COS(PI()*MOD(Calculator!$B$31/Calculator!$F$20,1)),2)))),2))</f>
        <v>24.85</v>
      </c>
      <c r="Z91" s="91" t="n">
        <f aca="false">IF(OR(Calculator!$E$21&lt;&gt;"YES",Calculator!$B$31&lt;Calculator!$G$21),"—",ROUND(MAX((50*POWER(80,POWER(COS(PI()*MOD(Calculator!$B$31/Calculator!$F$21,1)),2)))/$C91,$C91/(50*POWER(80,POWER(COS(PI()*MOD(Calculator!$B$31/Calculator!$F$21,1)),2)))),2))</f>
        <v>1.65</v>
      </c>
      <c r="AA91" s="114" t="n">
        <f aca="false">IFERROR(ROUND((IF(ISNUMBER(P91),P91,0)+IF(ISNUMBER(Q91),Q91,0)+IF(ISNUMBER(R91),R91,0)+IF(ISNUMBER(S91),S91,0)+IF(ISNUMBER(T91),T91,0)+IF(ISNUMBER(U91),U91,0)+IF(ISNUMBER(V91),V91,0)+IF(ISNUMBER(W91),W91,0)+IF(ISNUMBER(X91),X91,0)+IF(ISNUMBER(Y91),Y91,0)+IF(ISNUMBER(Z91),Z91,0))/(IF(ISNUMBER(P91),1,0)+IF(ISNUMBER(Q91),1,0)+IF(ISNUMBER(R91),1,0)+IF(ISNUMBER(S91),1,0)+IF(ISNUMBER(T91),1,0)+IF(ISNUMBER(U91),1,0)+IF(ISNUMBER(V91),1,0)+IF(ISNUMBER(W91),1,0)+IF(ISNUMBER(X91),1,0)+IF(ISNUMBER(Y91),1,0)+IF(ISNUMBER(Z91),1,0)),2),"")</f>
        <v>12.86</v>
      </c>
      <c r="AB91" s="91" t="n">
        <f aca="false">IF(OR(Calculator!$E$11&lt;&gt;"YES",Calculator!$B$32&lt;Calculator!$G$11),"—",ROUND(MAX((50*POWER(80,POWER(COS(PI()*MOD(Calculator!$B$32/Calculator!$F$11,1)),2)))/$C91,$C91/(50*POWER(80,POWER(COS(PI()*MOD(Calculator!$B$32/Calculator!$F$11,1)),2)))),2))</f>
        <v>42.57</v>
      </c>
      <c r="AC91" s="91" t="n">
        <f aca="false">IF(OR(Calculator!$E$12&lt;&gt;"YES",Calculator!$B$32&lt;Calculator!$G$12),"—",ROUND(MAX((50*POWER(80,POWER(COS(PI()*MOD(Calculator!$B$32/Calculator!$F$12,1)),2)))/$C91,$C91/(50*POWER(80,POWER(COS(PI()*MOD(Calculator!$B$32/Calculator!$F$12,1)),2)))),2))</f>
        <v>1.47</v>
      </c>
      <c r="AD91" s="91" t="n">
        <f aca="false">IF(OR(Calculator!$E$13&lt;&gt;"YES",Calculator!$B$32&lt;Calculator!$G$13),"—",ROUND(MAX((50*POWER(80,POWER(COS(PI()*MOD(Calculator!$B$32/Calculator!$F$13,1)),2)))/$C91,$C91/(50*POWER(80,POWER(COS(PI()*MOD(Calculator!$B$32/Calculator!$F$13,1)),2)))),2))</f>
        <v>21.72</v>
      </c>
      <c r="AE91" s="91" t="n">
        <f aca="false">IF(OR(Calculator!$E$14&lt;&gt;"YES",Calculator!$B$32&lt;Calculator!$G$14),"—",ROUND(MAX((50*POWER(80,POWER(COS(PI()*MOD(Calculator!$B$32/Calculator!$F$14,1)),2)))/$C91,$C91/(50*POWER(80,POWER(COS(PI()*MOD(Calculator!$B$32/Calculator!$F$14,1)),2)))),2))</f>
        <v>3.97</v>
      </c>
      <c r="AF91" s="91" t="n">
        <f aca="false">IF(OR(Calculator!$E$15&lt;&gt;"YES",Calculator!$B$32&lt;Calculator!$G$15),"—",ROUND(MAX((50*POWER(80,POWER(COS(PI()*MOD(Calculator!$B$32/Calculator!$F$15,1)),2)))/$C91,$C91/(50*POWER(80,POWER(COS(PI()*MOD(Calculator!$B$32/Calculator!$F$15,1)),2)))),2))</f>
        <v>1.52</v>
      </c>
      <c r="AG91" s="91" t="n">
        <f aca="false">IF(OR(Calculator!$E$16&lt;&gt;"YES",Calculator!$B$32&lt;Calculator!$G$16),"—",ROUND(MAX((50*POWER(80,POWER(COS(PI()*MOD(Calculator!$B$32/Calculator!$F$16,1)),2)))/$C91,$C91/(50*POWER(80,POWER(COS(PI()*MOD(Calculator!$B$32/Calculator!$F$16,1)),2)))),2))</f>
        <v>34.68</v>
      </c>
      <c r="AH91" s="91" t="n">
        <f aca="false">IF(OR(Calculator!$E$17&lt;&gt;"YES",Calculator!$B$32&lt;Calculator!$G$17),"—",ROUND(MAX((50*POWER(80,POWER(COS(PI()*MOD(Calculator!$B$32/Calculator!$F$17,1)),2)))/$C91,$C91/(50*POWER(80,POWER(COS(PI()*MOD(Calculator!$B$32/Calculator!$F$17,1)),2)))),2))</f>
        <v>36.61</v>
      </c>
      <c r="AI91" s="91" t="n">
        <f aca="false">IF(OR(Calculator!$E$18&lt;&gt;"YES",Calculator!$B$32&lt;Calculator!$G$18),"—",ROUND(MAX((50*POWER(80,POWER(COS(PI()*MOD(Calculator!$B$32/Calculator!$F$18,1)),2)))/$C91,$C91/(50*POWER(80,POWER(COS(PI()*MOD(Calculator!$B$32/Calculator!$F$18,1)),2)))),2))</f>
        <v>48.29</v>
      </c>
      <c r="AJ91" s="91" t="n">
        <f aca="false">IF(OR(Calculator!$E$19&lt;&gt;"YES",Calculator!$B$32&lt;Calculator!$G$19),"—",ROUND(MAX((50*POWER(80,POWER(COS(PI()*MOD(Calculator!$B$32/Calculator!$F$19,1)),2)))/$C91,$C91/(50*POWER(80,POWER(COS(PI()*MOD(Calculator!$B$32/Calculator!$F$19,1)),2)))),2))</f>
        <v>10.18</v>
      </c>
      <c r="AK91" s="91" t="n">
        <f aca="false">IF(OR(Calculator!$E$20&lt;&gt;"YES",Calculator!$B$32&lt;Calculator!$G$20),"—",ROUND(MAX((50*POWER(80,POWER(COS(PI()*MOD(Calculator!$B$32/Calculator!$F$20,1)),2)))/$C91,$C91/(50*POWER(80,POWER(COS(PI()*MOD(Calculator!$B$32/Calculator!$F$20,1)),2)))),2))</f>
        <v>1.09</v>
      </c>
      <c r="AL91" s="91" t="n">
        <f aca="false">IF(OR(Calculator!$E$21&lt;&gt;"YES",Calculator!$B$32&lt;Calculator!$G$21),"—",ROUND(MAX((50*POWER(80,POWER(COS(PI()*MOD(Calculator!$B$32/Calculator!$F$21,1)),2)))/$C91,$C91/(50*POWER(80,POWER(COS(PI()*MOD(Calculator!$B$32/Calculator!$F$21,1)),2)))),2))</f>
        <v>1.06</v>
      </c>
      <c r="AM91" s="115" t="n">
        <f aca="false">IFERROR(ROUND((IF(ISNUMBER(AB91),AB91,0)+IF(ISNUMBER(AC91),AC91,0)+IF(ISNUMBER(AD91),AD91,0)+IF(ISNUMBER(AE91),AE91,0)+IF(ISNUMBER(AF91),AF91,0)+IF(ISNUMBER(AG91),AG91,0)+IF(ISNUMBER(AH91),AH91,0)+IF(ISNUMBER(AI91),AI91,0)+IF(ISNUMBER(AJ91),AJ91,0)+IF(ISNUMBER(AK91),AK91,0)+IF(ISNUMBER(AL91),AL91,0))/(IF(ISNUMBER(AB91),1,0)+IF(ISNUMBER(AC91),1,0)+IF(ISNUMBER(AD91),1,0)+IF(ISNUMBER(AE91),1,0)+IF(ISNUMBER(AF91),1,0)+IF(ISNUMBER(AG91),1,0)+IF(ISNUMBER(AH91),1,0)+IF(ISNUMBER(AI91),1,0)+IF(ISNUMBER(AJ91),1,0)+IF(ISNUMBER(AK91),1,0)+IF(ISNUMBER(AL91),1,0)),2),"")</f>
        <v>18.47</v>
      </c>
      <c r="AN91" s="116" t="n">
        <f aca="false">IF(OR(Calculator!$E$11&lt;&gt;"YES",Calculator!$B$33&lt;Calculator!$G$11),"—",ROUND(MAX((50*POWER(80,POWER(COS(PI()*MOD(Calculator!$B$33/Calculator!$F$11,1)),2)))/$C91,$C91/(50*POWER(80,POWER(COS(PI()*MOD(Calculator!$B$33/Calculator!$F$11,1)),2)))),2))</f>
        <v>34.23</v>
      </c>
      <c r="AO91" s="116" t="n">
        <f aca="false">IF(OR(Calculator!$E$12&lt;&gt;"YES",Calculator!$B$33&lt;Calculator!$G$12),"—",ROUND(MAX((50*POWER(80,POWER(COS(PI()*MOD(Calculator!$B$33/Calculator!$F$12,1)),2)))/$C91,$C91/(50*POWER(80,POWER(COS(PI()*MOD(Calculator!$B$33/Calculator!$F$12,1)),2)))),2))</f>
        <v>2.62</v>
      </c>
      <c r="AP91" s="116" t="n">
        <f aca="false">IF(OR(Calculator!$E$13&lt;&gt;"YES",Calculator!$B$33&lt;Calculator!$G$13),"—",ROUND(MAX((50*POWER(80,POWER(COS(PI()*MOD(Calculator!$B$33/Calculator!$F$13,1)),2)))/$C91,$C91/(50*POWER(80,POWER(COS(PI()*MOD(Calculator!$B$33/Calculator!$F$13,1)),2)))),2))</f>
        <v>8.25</v>
      </c>
      <c r="AQ91" s="116" t="n">
        <f aca="false">IF(OR(Calculator!$E$14&lt;&gt;"YES",Calculator!$B$33&lt;Calculator!$G$14),"—",ROUND(MAX((50*POWER(80,POWER(COS(PI()*MOD(Calculator!$B$33/Calculator!$F$14,1)),2)))/$C91,$C91/(50*POWER(80,POWER(COS(PI()*MOD(Calculator!$B$33/Calculator!$F$14,1)),2)))),2))</f>
        <v>15.37</v>
      </c>
      <c r="AR91" s="116" t="n">
        <f aca="false">IF(OR(Calculator!$E$15&lt;&gt;"YES",Calculator!$B$33&lt;Calculator!$G$15),"—",ROUND(MAX((50*POWER(80,POWER(COS(PI()*MOD(Calculator!$B$33/Calculator!$F$15,1)),2)))/$C91,$C91/(50*POWER(80,POWER(COS(PI()*MOD(Calculator!$B$33/Calculator!$F$15,1)),2)))),2))</f>
        <v>9.36</v>
      </c>
      <c r="AS91" s="116" t="n">
        <f aca="false">IF(OR(Calculator!$E$16&lt;&gt;"YES",Calculator!$B$33&lt;Calculator!$G$16),"—",ROUND(MAX((50*POWER(80,POWER(COS(PI()*MOD(Calculator!$B$33/Calculator!$F$16,1)),2)))/$C91,$C91/(50*POWER(80,POWER(COS(PI()*MOD(Calculator!$B$33/Calculator!$F$16,1)),2)))),2))</f>
        <v>43.26</v>
      </c>
      <c r="AT91" s="116" t="n">
        <f aca="false">IF(OR(Calculator!$E$17&lt;&gt;"YES",Calculator!$B$33&lt;Calculator!$G$17),"—",ROUND(MAX((50*POWER(80,POWER(COS(PI()*MOD(Calculator!$B$33/Calculator!$F$17,1)),2)))/$C91,$C91/(50*POWER(80,POWER(COS(PI()*MOD(Calculator!$B$33/Calculator!$F$17,1)),2)))),2))</f>
        <v>1.61</v>
      </c>
      <c r="AU91" s="116" t="n">
        <f aca="false">IF(OR(Calculator!$E$18&lt;&gt;"YES",Calculator!$B$33&lt;Calculator!$G$18),"—",ROUND(MAX((50*POWER(80,POWER(COS(PI()*MOD(Calculator!$B$33/Calculator!$F$18,1)),2)))/$C91,$C91/(50*POWER(80,POWER(COS(PI()*MOD(Calculator!$B$33/Calculator!$F$18,1)),2)))),2))</f>
        <v>1.53</v>
      </c>
      <c r="AV91" s="116" t="n">
        <f aca="false">IF(OR(Calculator!$E$19&lt;&gt;"YES",Calculator!$B$33&lt;Calculator!$G$19),"—",ROUND(MAX((50*POWER(80,POWER(COS(PI()*MOD(Calculator!$B$33/Calculator!$F$19,1)),2)))/$C91,$C91/(50*POWER(80,POWER(COS(PI()*MOD(Calculator!$B$33/Calculator!$F$19,1)),2)))),2))</f>
        <v>1.11</v>
      </c>
      <c r="AW91" s="116" t="n">
        <f aca="false">IF(OR(Calculator!$E$20&lt;&gt;"YES",Calculator!$B$33&lt;Calculator!$G$20),"—",ROUND(MAX((50*POWER(80,POWER(COS(PI()*MOD(Calculator!$B$33/Calculator!$F$20,1)),2)))/$C91,$C91/(50*POWER(80,POWER(COS(PI()*MOD(Calculator!$B$33/Calculator!$F$20,1)),2)))),2))</f>
        <v>19.7</v>
      </c>
      <c r="AX91" s="116" t="n">
        <f aca="false">IF(OR(Calculator!$E$21&lt;&gt;"YES",Calculator!$B$33&lt;Calculator!$G$21),"—",ROUND(MAX((50*POWER(80,POWER(COS(PI()*MOD(Calculator!$B$33/Calculator!$F$21,1)),2)))/$C91,$C91/(50*POWER(80,POWER(COS(PI()*MOD(Calculator!$B$33/Calculator!$F$21,1)),2)))),2))</f>
        <v>2.52</v>
      </c>
      <c r="AY91" s="115" t="n">
        <f aca="false">IFERROR(ROUND((IF(ISNUMBER(AN91),AN91,0)+IF(ISNUMBER(AO91),AO91,0)+IF(ISNUMBER(AP91),AP91,0)+IF(ISNUMBER(AQ91),AQ91,0)+IF(ISNUMBER(AR91),AR91,0)+IF(ISNUMBER(AS91),AS91,0)+IF(ISNUMBER(AT91),AT91,0)+IF(ISNUMBER(AU91),AU91,0)+IF(ISNUMBER(AV91),AV91,0)+IF(ISNUMBER(AW91),AW91,0)+IF(ISNUMBER(AX91),AX91,0))/(IF(ISNUMBER(AN91),1,0)+IF(ISNUMBER(AO91),1,0)+IF(ISNUMBER(AP91),1,0)+IF(ISNUMBER(AQ91),1,0)+IF(ISNUMBER(AR91),1,0)+IF(ISNUMBER(AS91),1,0)+IF(ISNUMBER(AT91),1,0)+IF(ISNUMBER(AU91),1,0)+IF(ISNUMBER(AV91),1,0)+IF(ISNUMBER(AW91),1,0)+IF(ISNUMBER(AX91),1,0)),2),"")</f>
        <v>12.69</v>
      </c>
      <c r="AZ91" s="116" t="n">
        <f aca="false">IF(OR(Calculator!$E$11&lt;&gt;"YES",Calculator!$B$34&lt;Calculator!$G$11),"—",ROUND(MAX((50*POWER(80,POWER(COS(PI()*MOD(Calculator!$B$34/Calculator!$F$11,1)),2)))/$C91,$C91/(50*POWER(80,POWER(COS(PI()*MOD(Calculator!$B$34/Calculator!$F$11,1)),2)))),2))</f>
        <v>32.99</v>
      </c>
      <c r="BA91" s="116" t="n">
        <f aca="false">IF(OR(Calculator!$E$12&lt;&gt;"YES",Calculator!$B$34&lt;Calculator!$G$12),"—",ROUND(MAX((50*POWER(80,POWER(COS(PI()*MOD(Calculator!$B$34/Calculator!$F$12,1)),2)))/$C91,$C91/(50*POWER(80,POWER(COS(PI()*MOD(Calculator!$B$34/Calculator!$F$12,1)),2)))),2))</f>
        <v>2.89</v>
      </c>
      <c r="BB91" s="116" t="n">
        <f aca="false">IF(OR(Calculator!$E$13&lt;&gt;"YES",Calculator!$B$34&lt;Calculator!$G$13),"—",ROUND(MAX((50*POWER(80,POWER(COS(PI()*MOD(Calculator!$B$34/Calculator!$F$13,1)),2)))/$C91,$C91/(50*POWER(80,POWER(COS(PI()*MOD(Calculator!$B$34/Calculator!$F$13,1)),2)))),2))</f>
        <v>7.07</v>
      </c>
      <c r="BC91" s="116" t="n">
        <f aca="false">IF(OR(Calculator!$E$14&lt;&gt;"YES",Calculator!$B$34&lt;Calculator!$G$14),"—",ROUND(MAX((50*POWER(80,POWER(COS(PI()*MOD(Calculator!$B$34/Calculator!$F$14,1)),2)))/$C91,$C91/(50*POWER(80,POWER(COS(PI()*MOD(Calculator!$B$34/Calculator!$F$14,1)),2)))),2))</f>
        <v>18.53</v>
      </c>
      <c r="BD91" s="116" t="n">
        <f aca="false">IF(OR(Calculator!$E$15&lt;&gt;"YES",Calculator!$B$34&lt;Calculator!$G$15),"—",ROUND(MAX((50*POWER(80,POWER(COS(PI()*MOD(Calculator!$B$34/Calculator!$F$15,1)),2)))/$C91,$C91/(50*POWER(80,POWER(COS(PI()*MOD(Calculator!$B$34/Calculator!$F$15,1)),2)))),2))</f>
        <v>12.45</v>
      </c>
      <c r="BE91" s="116" t="n">
        <f aca="false">IF(OR(Calculator!$E$16&lt;&gt;"YES",Calculator!$B$34&lt;Calculator!$G$16),"—",ROUND(MAX((50*POWER(80,POWER(COS(PI()*MOD(Calculator!$B$34/Calculator!$F$16,1)),2)))/$C91,$C91/(50*POWER(80,POWER(COS(PI()*MOD(Calculator!$B$34/Calculator!$F$16,1)),2)))),2))</f>
        <v>33.95</v>
      </c>
      <c r="BF91" s="116" t="n">
        <f aca="false">IF(OR(Calculator!$E$17&lt;&gt;"YES",Calculator!$B$34&lt;Calculator!$G$17),"—",ROUND(MAX((50*POWER(80,POWER(COS(PI()*MOD(Calculator!$B$34/Calculator!$F$17,1)),2)))/$C91,$C91/(50*POWER(80,POWER(COS(PI()*MOD(Calculator!$B$34/Calculator!$F$17,1)),2)))),2))</f>
        <v>1.13</v>
      </c>
      <c r="BG91" s="116" t="n">
        <f aca="false">IF(OR(Calculator!$E$18&lt;&gt;"YES",Calculator!$B$34&lt;Calculator!$G$18),"—",ROUND(MAX((50*POWER(80,POWER(COS(PI()*MOD(Calculator!$B$34/Calculator!$F$18,1)),2)))/$C91,$C91/(50*POWER(80,POWER(COS(PI()*MOD(Calculator!$B$34/Calculator!$F$18,1)),2)))),2))</f>
        <v>1.03</v>
      </c>
      <c r="BH91" s="116" t="n">
        <f aca="false">IF(OR(Calculator!$E$19&lt;&gt;"YES",Calculator!$B$34&lt;Calculator!$G$19),"—",ROUND(MAX((50*POWER(80,POWER(COS(PI()*MOD(Calculator!$B$34/Calculator!$F$19,1)),2)))/$C91,$C91/(50*POWER(80,POWER(COS(PI()*MOD(Calculator!$B$34/Calculator!$F$19,1)),2)))),2))</f>
        <v>1.35</v>
      </c>
      <c r="BI91" s="116" t="n">
        <f aca="false">IF(OR(Calculator!$E$20&lt;&gt;"YES",Calculator!$B$34&lt;Calculator!$G$20),"—",ROUND(MAX((50*POWER(80,POWER(COS(PI()*MOD(Calculator!$B$34/Calculator!$F$20,1)),2)))/$C91,$C91/(50*POWER(80,POWER(COS(PI()*MOD(Calculator!$B$34/Calculator!$F$20,1)),2)))),2))</f>
        <v>36.93</v>
      </c>
      <c r="BJ91" s="116" t="n">
        <f aca="false">IF(OR(Calculator!$E$21&lt;&gt;"YES",Calculator!$B$34&lt;Calculator!$G$21),"—",ROUND(MAX((50*POWER(80,POWER(COS(PI()*MOD(Calculator!$B$34/Calculator!$F$21,1)),2)))/$C91,$C91/(50*POWER(80,POWER(COS(PI()*MOD(Calculator!$B$34/Calculator!$F$21,1)),2)))),2))</f>
        <v>1.11</v>
      </c>
      <c r="BK91" s="115" t="n">
        <f aca="false">IFERROR(ROUND((IF(ISNUMBER(AZ91),AZ91,0)+IF(ISNUMBER(BA91),BA91,0)+IF(ISNUMBER(BB91),BB91,0)+IF(ISNUMBER(BC91),BC91,0)+IF(ISNUMBER(BD91),BD91,0)+IF(ISNUMBER(BE91),BE91,0)+IF(ISNUMBER(BF91),BF91,0)+IF(ISNUMBER(BG91),BG91,0)+IF(ISNUMBER(BH91),BH91,0)+IF(ISNUMBER(BI91),BI91,0)+IF(ISNUMBER(BJ91),BJ91,0))/(IF(ISNUMBER(AZ91),1,0)+IF(ISNUMBER(BA91),1,0)+IF(ISNUMBER(BB91),1,0)+IF(ISNUMBER(BC91),1,0)+IF(ISNUMBER(BD91),1,0)+IF(ISNUMBER(BE91),1,0)+IF(ISNUMBER(BF91),1,0)+IF(ISNUMBER(BG91),1,0)+IF(ISNUMBER(BH91),1,0)+IF(ISNUMBER(BI91),1,0)+IF(ISNUMBER(BJ91),1,0)),2),"")</f>
        <v>13.58</v>
      </c>
    </row>
    <row r="92" customFormat="false" ht="15" hidden="false" customHeight="false" outlineLevel="0" collapsed="false">
      <c r="A92" s="117" t="s">
        <v>150</v>
      </c>
      <c r="B92" s="117" t="s">
        <v>93</v>
      </c>
      <c r="C92" s="117" t="n">
        <v>3000</v>
      </c>
      <c r="D92" s="117" t="n">
        <f aca="false">IF(OR(Calculator!$E$11&lt;&gt;"YES",Calculator!$B$30&lt;Calculator!$G$11),"—",ROUND(MAX((50*POWER(80,POWER(COS(PI()*MOD(Calculator!$B$30/Calculator!$F$11,1)),2)))/$C92,$C92/(50*POWER(80,POWER(COS(PI()*MOD(Calculator!$B$30/Calculator!$F$11,1)),2)))),2))</f>
        <v>33.97</v>
      </c>
      <c r="E92" s="117" t="n">
        <f aca="false">IF(OR(Calculator!$E$12&lt;&gt;"YES",Calculator!$B$30&lt;Calculator!$G$12),"—",ROUND(MAX((50*POWER(80,POWER(COS(PI()*MOD(Calculator!$B$30/Calculator!$F$12,1)),2)))/$C92,$C92/(50*POWER(80,POWER(COS(PI()*MOD(Calculator!$B$30/Calculator!$F$12,1)),2)))),2))</f>
        <v>2.84</v>
      </c>
      <c r="F92" s="117" t="n">
        <f aca="false">IF(OR(Calculator!$E$13&lt;&gt;"YES",Calculator!$B$30&lt;Calculator!$G$13),"—",ROUND(MAX((50*POWER(80,POWER(COS(PI()*MOD(Calculator!$B$30/Calculator!$F$13,1)),2)))/$C92,$C92/(50*POWER(80,POWER(COS(PI()*MOD(Calculator!$B$30/Calculator!$F$13,1)),2)))),2))</f>
        <v>7.57</v>
      </c>
      <c r="G92" s="117" t="n">
        <f aca="false">IF(OR(Calculator!$E$14&lt;&gt;"YES",Calculator!$B$30&lt;Calculator!$G$14),"—",ROUND(MAX((50*POWER(80,POWER(COS(PI()*MOD(Calculator!$B$30/Calculator!$F$14,1)),2)))/$C92,$C92/(50*POWER(80,POWER(COS(PI()*MOD(Calculator!$B$30/Calculator!$F$14,1)),2)))),2))</f>
        <v>17.72</v>
      </c>
      <c r="H92" s="117" t="n">
        <f aca="false">IF(OR(Calculator!$E$15&lt;&gt;"YES",Calculator!$B$30&lt;Calculator!$G$15),"—",ROUND(MAX((50*POWER(80,POWER(COS(PI()*MOD(Calculator!$B$30/Calculator!$F$15,1)),2)))/$C92,$C92/(50*POWER(80,POWER(COS(PI()*MOD(Calculator!$B$30/Calculator!$F$15,1)),2)))),2))</f>
        <v>11.53</v>
      </c>
      <c r="I92" s="117" t="n">
        <f aca="false">IF(OR(Calculator!$E$16&lt;&gt;"YES",Calculator!$B$30&lt;Calculator!$G$16),"—",ROUND(MAX((50*POWER(80,POWER(COS(PI()*MOD(Calculator!$B$30/Calculator!$F$16,1)),2)))/$C92,$C92/(50*POWER(80,POWER(COS(PI()*MOD(Calculator!$B$30/Calculator!$F$16,1)),2)))),2))</f>
        <v>37.68</v>
      </c>
      <c r="J92" s="117" t="n">
        <f aca="false">IF(OR(Calculator!$E$17&lt;&gt;"YES",Calculator!$B$30&lt;Calculator!$G$17),"—",ROUND(MAX((50*POWER(80,POWER(COS(PI()*MOD(Calculator!$B$30/Calculator!$F$17,1)),2)))/$C92,$C92/(50*POWER(80,POWER(COS(PI()*MOD(Calculator!$B$30/Calculator!$F$17,1)),2)))),2))</f>
        <v>1.28</v>
      </c>
      <c r="K92" s="117" t="n">
        <f aca="false">IF(OR(Calculator!$E$18&lt;&gt;"YES",Calculator!$B$30&lt;Calculator!$G$18),"—",ROUND(MAX((50*POWER(80,POWER(COS(PI()*MOD(Calculator!$B$30/Calculator!$F$18,1)),2)))/$C92,$C92/(50*POWER(80,POWER(COS(PI()*MOD(Calculator!$B$30/Calculator!$F$18,1)),2)))),2))</f>
        <v>1.18</v>
      </c>
      <c r="L92" s="117" t="n">
        <f aca="false">IF(OR(Calculator!$E$19&lt;&gt;"YES",Calculator!$B$30&lt;Calculator!$G$19),"—",ROUND(MAX((50*POWER(80,POWER(COS(PI()*MOD(Calculator!$B$30/Calculator!$F$19,1)),2)))/$C92,$C92/(50*POWER(80,POWER(COS(PI()*MOD(Calculator!$B$30/Calculator!$F$19,1)),2)))),2))</f>
        <v>1.17</v>
      </c>
      <c r="M92" s="117" t="n">
        <f aca="false">IF(OR(Calculator!$E$20&lt;&gt;"YES",Calculator!$B$30&lt;Calculator!$G$20),"—",ROUND(MAX((50*POWER(80,POWER(COS(PI()*MOD(Calculator!$B$30/Calculator!$F$20,1)),2)))/$C92,$C92/(50*POWER(80,POWER(COS(PI()*MOD(Calculator!$B$30/Calculator!$F$20,1)),2)))),2))</f>
        <v>31.19</v>
      </c>
      <c r="N92" s="117" t="n">
        <f aca="false">IF(OR(Calculator!$E$21&lt;&gt;"YES",Calculator!$B$30&lt;Calculator!$G$21),"—",ROUND(MAX((50*POWER(80,POWER(COS(PI()*MOD(Calculator!$B$30/Calculator!$F$21,1)),2)))/$C92,$C92/(50*POWER(80,POWER(COS(PI()*MOD(Calculator!$B$30/Calculator!$F$21,1)),2)))),2))</f>
        <v>1.18</v>
      </c>
      <c r="O92" s="121" t="n">
        <f aca="false">IFERROR(ROUND((IF(ISNUMBER(D92),D92,0)+IF(ISNUMBER(E92),E92,0)+IF(ISNUMBER(F92),F92,0)+IF(ISNUMBER(G92),G92,0)+IF(ISNUMBER(H92),H92,0)+IF(ISNUMBER(I92),I92,0)+IF(ISNUMBER(J92),J92,0)+IF(ISNUMBER(K92),K92,0)+IF(ISNUMBER(L92),L92,0)+IF(ISNUMBER(M92),M92,0)+IF(ISNUMBER(N92),N92,0))/(IF(ISNUMBER(D92),1,0)+IF(ISNUMBER(E92),1,0)+IF(ISNUMBER(F92),1,0)+IF(ISNUMBER(G92),1,0)+IF(ISNUMBER(H92),1,0)+IF(ISNUMBER(I92),1,0)+IF(ISNUMBER(J92),1,0)+IF(ISNUMBER(K92),1,0)+IF(ISNUMBER(L92),1,0)+IF(ISNUMBER(M92),1,0)+IF(ISNUMBER(N92),1,0)),2),"")</f>
        <v>13.39</v>
      </c>
      <c r="P92" s="117" t="n">
        <f aca="false">IF(OR(Calculator!$E$11&lt;&gt;"YES",Calculator!$B$31&lt;Calculator!$G$11),"—",ROUND(MAX((50*POWER(80,POWER(COS(PI()*MOD(Calculator!$B$31/Calculator!$F$11,1)),2)))/$C92,$C92/(50*POWER(80,POWER(COS(PI()*MOD(Calculator!$B$31/Calculator!$F$11,1)),2)))),2))</f>
        <v>34.39</v>
      </c>
      <c r="Q92" s="117" t="n">
        <f aca="false">IF(OR(Calculator!$E$12&lt;&gt;"YES",Calculator!$B$31&lt;Calculator!$G$12),"—",ROUND(MAX((50*POWER(80,POWER(COS(PI()*MOD(Calculator!$B$31/Calculator!$F$12,1)),2)))/$C92,$C92/(50*POWER(80,POWER(COS(PI()*MOD(Calculator!$B$31/Calculator!$F$12,1)),2)))),2))</f>
        <v>2.75</v>
      </c>
      <c r="R92" s="117" t="n">
        <f aca="false">IF(OR(Calculator!$E$13&lt;&gt;"YES",Calculator!$B$31&lt;Calculator!$G$13),"—",ROUND(MAX((50*POWER(80,POWER(COS(PI()*MOD(Calculator!$B$31/Calculator!$F$13,1)),2)))/$C92,$C92/(50*POWER(80,POWER(COS(PI()*MOD(Calculator!$B$31/Calculator!$F$13,1)),2)))),2))</f>
        <v>7.97</v>
      </c>
      <c r="S92" s="117" t="n">
        <f aca="false">IF(OR(Calculator!$E$14&lt;&gt;"YES",Calculator!$B$31&lt;Calculator!$G$14),"—",ROUND(MAX((50*POWER(80,POWER(COS(PI()*MOD(Calculator!$B$31/Calculator!$F$14,1)),2)))/$C92,$C92/(50*POWER(80,POWER(COS(PI()*MOD(Calculator!$B$31/Calculator!$F$14,1)),2)))),2))</f>
        <v>16.65</v>
      </c>
      <c r="T92" s="117" t="n">
        <f aca="false">IF(OR(Calculator!$E$15&lt;&gt;"YES",Calculator!$B$31&lt;Calculator!$G$15),"—",ROUND(MAX((50*POWER(80,POWER(COS(PI()*MOD(Calculator!$B$31/Calculator!$F$15,1)),2)))/$C92,$C92/(50*POWER(80,POWER(COS(PI()*MOD(Calculator!$B$31/Calculator!$F$15,1)),2)))),2))</f>
        <v>10.48</v>
      </c>
      <c r="U92" s="117" t="n">
        <f aca="false">IF(OR(Calculator!$E$16&lt;&gt;"YES",Calculator!$B$31&lt;Calculator!$G$16),"—",ROUND(MAX((50*POWER(80,POWER(COS(PI()*MOD(Calculator!$B$31/Calculator!$F$16,1)),2)))/$C92,$C92/(50*POWER(80,POWER(COS(PI()*MOD(Calculator!$B$31/Calculator!$F$16,1)),2)))),2))</f>
        <v>40.86</v>
      </c>
      <c r="V92" s="117" t="n">
        <f aca="false">IF(OR(Calculator!$E$17&lt;&gt;"YES",Calculator!$B$31&lt;Calculator!$G$17),"—",ROUND(MAX((50*POWER(80,POWER(COS(PI()*MOD(Calculator!$B$31/Calculator!$F$17,1)),2)))/$C92,$C92/(50*POWER(80,POWER(COS(PI()*MOD(Calculator!$B$31/Calculator!$F$17,1)),2)))),2))</f>
        <v>1.44</v>
      </c>
      <c r="W92" s="117" t="n">
        <f aca="false">IF(OR(Calculator!$E$18&lt;&gt;"YES",Calculator!$B$31&lt;Calculator!$G$18),"—",ROUND(MAX((50*POWER(80,POWER(COS(PI()*MOD(Calculator!$B$31/Calculator!$F$18,1)),2)))/$C92,$C92/(50*POWER(80,POWER(COS(PI()*MOD(Calculator!$B$31/Calculator!$F$18,1)),2)))),2))</f>
        <v>1.34</v>
      </c>
      <c r="X92" s="117" t="n">
        <f aca="false">IF(OR(Calculator!$E$19&lt;&gt;"YES",Calculator!$B$31&lt;Calculator!$G$19),"—",ROUND(MAX((50*POWER(80,POWER(COS(PI()*MOD(Calculator!$B$31/Calculator!$F$19,1)),2)))/$C92,$C92/(50*POWER(80,POWER(COS(PI()*MOD(Calculator!$B$31/Calculator!$F$19,1)),2)))),2))</f>
        <v>1.02</v>
      </c>
      <c r="Y92" s="117" t="n">
        <f aca="false">IF(OR(Calculator!$E$20&lt;&gt;"YES",Calculator!$B$31&lt;Calculator!$G$20),"—",ROUND(MAX((50*POWER(80,POWER(COS(PI()*MOD(Calculator!$B$31/Calculator!$F$20,1)),2)))/$C92,$C92/(50*POWER(80,POWER(COS(PI()*MOD(Calculator!$B$31/Calculator!$F$20,1)),2)))),2))</f>
        <v>25.27</v>
      </c>
      <c r="Z92" s="117" t="n">
        <f aca="false">IF(OR(Calculator!$E$21&lt;&gt;"YES",Calculator!$B$31&lt;Calculator!$G$21),"—",ROUND(MAX((50*POWER(80,POWER(COS(PI()*MOD(Calculator!$B$31/Calculator!$F$21,1)),2)))/$C92,$C92/(50*POWER(80,POWER(COS(PI()*MOD(Calculator!$B$31/Calculator!$F$21,1)),2)))),2))</f>
        <v>1.68</v>
      </c>
      <c r="AA92" s="121" t="n">
        <f aca="false">IFERROR(ROUND((IF(ISNUMBER(P92),P92,0)+IF(ISNUMBER(Q92),Q92,0)+IF(ISNUMBER(R92),R92,0)+IF(ISNUMBER(S92),S92,0)+IF(ISNUMBER(T92),T92,0)+IF(ISNUMBER(U92),U92,0)+IF(ISNUMBER(V92),V92,0)+IF(ISNUMBER(W92),W92,0)+IF(ISNUMBER(X92),X92,0)+IF(ISNUMBER(Y92),Y92,0)+IF(ISNUMBER(Z92),Z92,0))/(IF(ISNUMBER(P92),1,0)+IF(ISNUMBER(Q92),1,0)+IF(ISNUMBER(R92),1,0)+IF(ISNUMBER(S92),1,0)+IF(ISNUMBER(T92),1,0)+IF(ISNUMBER(U92),1,0)+IF(ISNUMBER(V92),1,0)+IF(ISNUMBER(W92),1,0)+IF(ISNUMBER(X92),1,0)+IF(ISNUMBER(Y92),1,0)+IF(ISNUMBER(Z92),1,0)),2),"")</f>
        <v>13.08</v>
      </c>
      <c r="AB92" s="117" t="n">
        <f aca="false">IF(OR(Calculator!$E$11&lt;&gt;"YES",Calculator!$B$32&lt;Calculator!$G$11),"—",ROUND(MAX((50*POWER(80,POWER(COS(PI()*MOD(Calculator!$B$32/Calculator!$F$11,1)),2)))/$C92,$C92/(50*POWER(80,POWER(COS(PI()*MOD(Calculator!$B$32/Calculator!$F$11,1)),2)))),2))</f>
        <v>43.29</v>
      </c>
      <c r="AC92" s="117" t="n">
        <f aca="false">IF(OR(Calculator!$E$12&lt;&gt;"YES",Calculator!$B$32&lt;Calculator!$G$12),"—",ROUND(MAX((50*POWER(80,POWER(COS(PI()*MOD(Calculator!$B$32/Calculator!$F$12,1)),2)))/$C92,$C92/(50*POWER(80,POWER(COS(PI()*MOD(Calculator!$B$32/Calculator!$F$12,1)),2)))),2))</f>
        <v>1.49</v>
      </c>
      <c r="AD92" s="117" t="n">
        <f aca="false">IF(OR(Calculator!$E$13&lt;&gt;"YES",Calculator!$B$32&lt;Calculator!$G$13),"—",ROUND(MAX((50*POWER(80,POWER(COS(PI()*MOD(Calculator!$B$32/Calculator!$F$13,1)),2)))/$C92,$C92/(50*POWER(80,POWER(COS(PI()*MOD(Calculator!$B$32/Calculator!$F$13,1)),2)))),2))</f>
        <v>22.09</v>
      </c>
      <c r="AE92" s="117" t="n">
        <f aca="false">IF(OR(Calculator!$E$14&lt;&gt;"YES",Calculator!$B$32&lt;Calculator!$G$14),"—",ROUND(MAX((50*POWER(80,POWER(COS(PI()*MOD(Calculator!$B$32/Calculator!$F$14,1)),2)))/$C92,$C92/(50*POWER(80,POWER(COS(PI()*MOD(Calculator!$B$32/Calculator!$F$14,1)),2)))),2))</f>
        <v>4.04</v>
      </c>
      <c r="AF92" s="117" t="n">
        <f aca="false">IF(OR(Calculator!$E$15&lt;&gt;"YES",Calculator!$B$32&lt;Calculator!$G$15),"—",ROUND(MAX((50*POWER(80,POWER(COS(PI()*MOD(Calculator!$B$32/Calculator!$F$15,1)),2)))/$C92,$C92/(50*POWER(80,POWER(COS(PI()*MOD(Calculator!$B$32/Calculator!$F$15,1)),2)))),2))</f>
        <v>1.55</v>
      </c>
      <c r="AG92" s="117" t="n">
        <f aca="false">IF(OR(Calculator!$E$16&lt;&gt;"YES",Calculator!$B$32&lt;Calculator!$G$16),"—",ROUND(MAX((50*POWER(80,POWER(COS(PI()*MOD(Calculator!$B$32/Calculator!$F$16,1)),2)))/$C92,$C92/(50*POWER(80,POWER(COS(PI()*MOD(Calculator!$B$32/Calculator!$F$16,1)),2)))),2))</f>
        <v>35.27</v>
      </c>
      <c r="AH92" s="117" t="n">
        <f aca="false">IF(OR(Calculator!$E$17&lt;&gt;"YES",Calculator!$B$32&lt;Calculator!$G$17),"—",ROUND(MAX((50*POWER(80,POWER(COS(PI()*MOD(Calculator!$B$32/Calculator!$F$17,1)),2)))/$C92,$C92/(50*POWER(80,POWER(COS(PI()*MOD(Calculator!$B$32/Calculator!$F$17,1)),2)))),2))</f>
        <v>37.23</v>
      </c>
      <c r="AI92" s="117" t="n">
        <f aca="false">IF(OR(Calculator!$E$18&lt;&gt;"YES",Calculator!$B$32&lt;Calculator!$G$18),"—",ROUND(MAX((50*POWER(80,POWER(COS(PI()*MOD(Calculator!$B$32/Calculator!$F$18,1)),2)))/$C92,$C92/(50*POWER(80,POWER(COS(PI()*MOD(Calculator!$B$32/Calculator!$F$18,1)),2)))),2))</f>
        <v>49.11</v>
      </c>
      <c r="AJ92" s="117" t="n">
        <f aca="false">IF(OR(Calculator!$E$19&lt;&gt;"YES",Calculator!$B$32&lt;Calculator!$G$19),"—",ROUND(MAX((50*POWER(80,POWER(COS(PI()*MOD(Calculator!$B$32/Calculator!$F$19,1)),2)))/$C92,$C92/(50*POWER(80,POWER(COS(PI()*MOD(Calculator!$B$32/Calculator!$F$19,1)),2)))),2))</f>
        <v>10.35</v>
      </c>
      <c r="AK92" s="117" t="n">
        <f aca="false">IF(OR(Calculator!$E$20&lt;&gt;"YES",Calculator!$B$32&lt;Calculator!$G$20),"—",ROUND(MAX((50*POWER(80,POWER(COS(PI()*MOD(Calculator!$B$32/Calculator!$F$20,1)),2)))/$C92,$C92/(50*POWER(80,POWER(COS(PI()*MOD(Calculator!$B$32/Calculator!$F$20,1)),2)))),2))</f>
        <v>1.07</v>
      </c>
      <c r="AL92" s="117" t="n">
        <f aca="false">IF(OR(Calculator!$E$21&lt;&gt;"YES",Calculator!$B$32&lt;Calculator!$G$21),"—",ROUND(MAX((50*POWER(80,POWER(COS(PI()*MOD(Calculator!$B$32/Calculator!$F$21,1)),2)))/$C92,$C92/(50*POWER(80,POWER(COS(PI()*MOD(Calculator!$B$32/Calculator!$F$21,1)),2)))),2))</f>
        <v>1.08</v>
      </c>
      <c r="AM92" s="115" t="n">
        <f aca="false">IFERROR(ROUND((IF(ISNUMBER(AB92),AB92,0)+IF(ISNUMBER(AC92),AC92,0)+IF(ISNUMBER(AD92),AD92,0)+IF(ISNUMBER(AE92),AE92,0)+IF(ISNUMBER(AF92),AF92,0)+IF(ISNUMBER(AG92),AG92,0)+IF(ISNUMBER(AH92),AH92,0)+IF(ISNUMBER(AI92),AI92,0)+IF(ISNUMBER(AJ92),AJ92,0)+IF(ISNUMBER(AK92),AK92,0)+IF(ISNUMBER(AL92),AL92,0))/(IF(ISNUMBER(AB92),1,0)+IF(ISNUMBER(AC92),1,0)+IF(ISNUMBER(AD92),1,0)+IF(ISNUMBER(AE92),1,0)+IF(ISNUMBER(AF92),1,0)+IF(ISNUMBER(AG92),1,0)+IF(ISNUMBER(AH92),1,0)+IF(ISNUMBER(AI92),1,0)+IF(ISNUMBER(AJ92),1,0)+IF(ISNUMBER(AK92),1,0)+IF(ISNUMBER(AL92),1,0)),2),"")</f>
        <v>18.78</v>
      </c>
      <c r="AN92" s="120" t="n">
        <f aca="false">IF(OR(Calculator!$E$11&lt;&gt;"YES",Calculator!$B$33&lt;Calculator!$G$11),"—",ROUND(MAX((50*POWER(80,POWER(COS(PI()*MOD(Calculator!$B$33/Calculator!$F$11,1)),2)))/$C92,$C92/(50*POWER(80,POWER(COS(PI()*MOD(Calculator!$B$33/Calculator!$F$11,1)),2)))),2))</f>
        <v>34.81</v>
      </c>
      <c r="AO92" s="120" t="n">
        <f aca="false">IF(OR(Calculator!$E$12&lt;&gt;"YES",Calculator!$B$33&lt;Calculator!$G$12),"—",ROUND(MAX((50*POWER(80,POWER(COS(PI()*MOD(Calculator!$B$33/Calculator!$F$12,1)),2)))/$C92,$C92/(50*POWER(80,POWER(COS(PI()*MOD(Calculator!$B$33/Calculator!$F$12,1)),2)))),2))</f>
        <v>2.67</v>
      </c>
      <c r="AP92" s="120" t="n">
        <f aca="false">IF(OR(Calculator!$E$13&lt;&gt;"YES",Calculator!$B$33&lt;Calculator!$G$13),"—",ROUND(MAX((50*POWER(80,POWER(COS(PI()*MOD(Calculator!$B$33/Calculator!$F$13,1)),2)))/$C92,$C92/(50*POWER(80,POWER(COS(PI()*MOD(Calculator!$B$33/Calculator!$F$13,1)),2)))),2))</f>
        <v>8.39</v>
      </c>
      <c r="AQ92" s="120" t="n">
        <f aca="false">IF(OR(Calculator!$E$14&lt;&gt;"YES",Calculator!$B$33&lt;Calculator!$G$14),"—",ROUND(MAX((50*POWER(80,POWER(COS(PI()*MOD(Calculator!$B$33/Calculator!$F$14,1)),2)))/$C92,$C92/(50*POWER(80,POWER(COS(PI()*MOD(Calculator!$B$33/Calculator!$F$14,1)),2)))),2))</f>
        <v>15.63</v>
      </c>
      <c r="AR92" s="120" t="n">
        <f aca="false">IF(OR(Calculator!$E$15&lt;&gt;"YES",Calculator!$B$33&lt;Calculator!$G$15),"—",ROUND(MAX((50*POWER(80,POWER(COS(PI()*MOD(Calculator!$B$33/Calculator!$F$15,1)),2)))/$C92,$C92/(50*POWER(80,POWER(COS(PI()*MOD(Calculator!$B$33/Calculator!$F$15,1)),2)))),2))</f>
        <v>9.52</v>
      </c>
      <c r="AS92" s="120" t="n">
        <f aca="false">IF(OR(Calculator!$E$16&lt;&gt;"YES",Calculator!$B$33&lt;Calculator!$G$16),"—",ROUND(MAX((50*POWER(80,POWER(COS(PI()*MOD(Calculator!$B$33/Calculator!$F$16,1)),2)))/$C92,$C92/(50*POWER(80,POWER(COS(PI()*MOD(Calculator!$B$33/Calculator!$F$16,1)),2)))),2))</f>
        <v>43.99</v>
      </c>
      <c r="AT92" s="120" t="n">
        <f aca="false">IF(OR(Calculator!$E$17&lt;&gt;"YES",Calculator!$B$33&lt;Calculator!$G$17),"—",ROUND(MAX((50*POWER(80,POWER(COS(PI()*MOD(Calculator!$B$33/Calculator!$F$17,1)),2)))/$C92,$C92/(50*POWER(80,POWER(COS(PI()*MOD(Calculator!$B$33/Calculator!$F$17,1)),2)))),2))</f>
        <v>1.64</v>
      </c>
      <c r="AU92" s="120" t="n">
        <f aca="false">IF(OR(Calculator!$E$18&lt;&gt;"YES",Calculator!$B$33&lt;Calculator!$G$18),"—",ROUND(MAX((50*POWER(80,POWER(COS(PI()*MOD(Calculator!$B$33/Calculator!$F$18,1)),2)))/$C92,$C92/(50*POWER(80,POWER(COS(PI()*MOD(Calculator!$B$33/Calculator!$F$18,1)),2)))),2))</f>
        <v>1.55</v>
      </c>
      <c r="AV92" s="120" t="n">
        <f aca="false">IF(OR(Calculator!$E$19&lt;&gt;"YES",Calculator!$B$33&lt;Calculator!$G$19),"—",ROUND(MAX((50*POWER(80,POWER(COS(PI()*MOD(Calculator!$B$33/Calculator!$F$19,1)),2)))/$C92,$C92/(50*POWER(80,POWER(COS(PI()*MOD(Calculator!$B$33/Calculator!$F$19,1)),2)))),2))</f>
        <v>1.09</v>
      </c>
      <c r="AW92" s="120" t="n">
        <f aca="false">IF(OR(Calculator!$E$20&lt;&gt;"YES",Calculator!$B$33&lt;Calculator!$G$20),"—",ROUND(MAX((50*POWER(80,POWER(COS(PI()*MOD(Calculator!$B$33/Calculator!$F$20,1)),2)))/$C92,$C92/(50*POWER(80,POWER(COS(PI()*MOD(Calculator!$B$33/Calculator!$F$20,1)),2)))),2))</f>
        <v>20.04</v>
      </c>
      <c r="AX92" s="120" t="n">
        <f aca="false">IF(OR(Calculator!$E$21&lt;&gt;"YES",Calculator!$B$33&lt;Calculator!$G$21),"—",ROUND(MAX((50*POWER(80,POWER(COS(PI()*MOD(Calculator!$B$33/Calculator!$F$21,1)),2)))/$C92,$C92/(50*POWER(80,POWER(COS(PI()*MOD(Calculator!$B$33/Calculator!$F$21,1)),2)))),2))</f>
        <v>2.56</v>
      </c>
      <c r="AY92" s="115" t="n">
        <f aca="false">IFERROR(ROUND((IF(ISNUMBER(AN92),AN92,0)+IF(ISNUMBER(AO92),AO92,0)+IF(ISNUMBER(AP92),AP92,0)+IF(ISNUMBER(AQ92),AQ92,0)+IF(ISNUMBER(AR92),AR92,0)+IF(ISNUMBER(AS92),AS92,0)+IF(ISNUMBER(AT92),AT92,0)+IF(ISNUMBER(AU92),AU92,0)+IF(ISNUMBER(AV92),AV92,0)+IF(ISNUMBER(AW92),AW92,0)+IF(ISNUMBER(AX92),AX92,0))/(IF(ISNUMBER(AN92),1,0)+IF(ISNUMBER(AO92),1,0)+IF(ISNUMBER(AP92),1,0)+IF(ISNUMBER(AQ92),1,0)+IF(ISNUMBER(AR92),1,0)+IF(ISNUMBER(AS92),1,0)+IF(ISNUMBER(AT92),1,0)+IF(ISNUMBER(AU92),1,0)+IF(ISNUMBER(AV92),1,0)+IF(ISNUMBER(AW92),1,0)+IF(ISNUMBER(AX92),1,0)),2),"")</f>
        <v>12.9</v>
      </c>
      <c r="AZ92" s="120" t="n">
        <f aca="false">IF(OR(Calculator!$E$11&lt;&gt;"YES",Calculator!$B$34&lt;Calculator!$G$11),"—",ROUND(MAX((50*POWER(80,POWER(COS(PI()*MOD(Calculator!$B$34/Calculator!$F$11,1)),2)))/$C92,$C92/(50*POWER(80,POWER(COS(PI()*MOD(Calculator!$B$34/Calculator!$F$11,1)),2)))),2))</f>
        <v>33.55</v>
      </c>
      <c r="BA92" s="120" t="n">
        <f aca="false">IF(OR(Calculator!$E$12&lt;&gt;"YES",Calculator!$B$34&lt;Calculator!$G$12),"—",ROUND(MAX((50*POWER(80,POWER(COS(PI()*MOD(Calculator!$B$34/Calculator!$F$12,1)),2)))/$C92,$C92/(50*POWER(80,POWER(COS(PI()*MOD(Calculator!$B$34/Calculator!$F$12,1)),2)))),2))</f>
        <v>2.94</v>
      </c>
      <c r="BB92" s="120" t="n">
        <f aca="false">IF(OR(Calculator!$E$13&lt;&gt;"YES",Calculator!$B$34&lt;Calculator!$G$13),"—",ROUND(MAX((50*POWER(80,POWER(COS(PI()*MOD(Calculator!$B$34/Calculator!$F$13,1)),2)))/$C92,$C92/(50*POWER(80,POWER(COS(PI()*MOD(Calculator!$B$34/Calculator!$F$13,1)),2)))),2))</f>
        <v>7.19</v>
      </c>
      <c r="BC92" s="120" t="n">
        <f aca="false">IF(OR(Calculator!$E$14&lt;&gt;"YES",Calculator!$B$34&lt;Calculator!$G$14),"—",ROUND(MAX((50*POWER(80,POWER(COS(PI()*MOD(Calculator!$B$34/Calculator!$F$14,1)),2)))/$C92,$C92/(50*POWER(80,POWER(COS(PI()*MOD(Calculator!$B$34/Calculator!$F$14,1)),2)))),2))</f>
        <v>18.85</v>
      </c>
      <c r="BD92" s="120" t="n">
        <f aca="false">IF(OR(Calculator!$E$15&lt;&gt;"YES",Calculator!$B$34&lt;Calculator!$G$15),"—",ROUND(MAX((50*POWER(80,POWER(COS(PI()*MOD(Calculator!$B$34/Calculator!$F$15,1)),2)))/$C92,$C92/(50*POWER(80,POWER(COS(PI()*MOD(Calculator!$B$34/Calculator!$F$15,1)),2)))),2))</f>
        <v>12.67</v>
      </c>
      <c r="BE92" s="120" t="n">
        <f aca="false">IF(OR(Calculator!$E$16&lt;&gt;"YES",Calculator!$B$34&lt;Calculator!$G$16),"—",ROUND(MAX((50*POWER(80,POWER(COS(PI()*MOD(Calculator!$B$34/Calculator!$F$16,1)),2)))/$C92,$C92/(50*POWER(80,POWER(COS(PI()*MOD(Calculator!$B$34/Calculator!$F$16,1)),2)))),2))</f>
        <v>34.52</v>
      </c>
      <c r="BF92" s="120" t="n">
        <f aca="false">IF(OR(Calculator!$E$17&lt;&gt;"YES",Calculator!$B$34&lt;Calculator!$G$17),"—",ROUND(MAX((50*POWER(80,POWER(COS(PI()*MOD(Calculator!$B$34/Calculator!$F$17,1)),2)))/$C92,$C92/(50*POWER(80,POWER(COS(PI()*MOD(Calculator!$B$34/Calculator!$F$17,1)),2)))),2))</f>
        <v>1.14</v>
      </c>
      <c r="BG92" s="120" t="n">
        <f aca="false">IF(OR(Calculator!$E$18&lt;&gt;"YES",Calculator!$B$34&lt;Calculator!$G$18),"—",ROUND(MAX((50*POWER(80,POWER(COS(PI()*MOD(Calculator!$B$34/Calculator!$F$18,1)),2)))/$C92,$C92/(50*POWER(80,POWER(COS(PI()*MOD(Calculator!$B$34/Calculator!$F$18,1)),2)))),2))</f>
        <v>1.05</v>
      </c>
      <c r="BH92" s="120" t="n">
        <f aca="false">IF(OR(Calculator!$E$19&lt;&gt;"YES",Calculator!$B$34&lt;Calculator!$G$19),"—",ROUND(MAX((50*POWER(80,POWER(COS(PI()*MOD(Calculator!$B$34/Calculator!$F$19,1)),2)))/$C92,$C92/(50*POWER(80,POWER(COS(PI()*MOD(Calculator!$B$34/Calculator!$F$19,1)),2)))),2))</f>
        <v>1.37</v>
      </c>
      <c r="BI92" s="120" t="n">
        <f aca="false">IF(OR(Calculator!$E$20&lt;&gt;"YES",Calculator!$B$34&lt;Calculator!$G$20),"—",ROUND(MAX((50*POWER(80,POWER(COS(PI()*MOD(Calculator!$B$34/Calculator!$F$20,1)),2)))/$C92,$C92/(50*POWER(80,POWER(COS(PI()*MOD(Calculator!$B$34/Calculator!$F$20,1)),2)))),2))</f>
        <v>37.55</v>
      </c>
      <c r="BJ92" s="120" t="n">
        <f aca="false">IF(OR(Calculator!$E$21&lt;&gt;"YES",Calculator!$B$34&lt;Calculator!$G$21),"—",ROUND(MAX((50*POWER(80,POWER(COS(PI()*MOD(Calculator!$B$34/Calculator!$F$21,1)),2)))/$C92,$C92/(50*POWER(80,POWER(COS(PI()*MOD(Calculator!$B$34/Calculator!$F$21,1)),2)))),2))</f>
        <v>1.09</v>
      </c>
      <c r="BK92" s="115" t="n">
        <f aca="false">IFERROR(ROUND((IF(ISNUMBER(AZ92),AZ92,0)+IF(ISNUMBER(BA92),BA92,0)+IF(ISNUMBER(BB92),BB92,0)+IF(ISNUMBER(BC92),BC92,0)+IF(ISNUMBER(BD92),BD92,0)+IF(ISNUMBER(BE92),BE92,0)+IF(ISNUMBER(BF92),BF92,0)+IF(ISNUMBER(BG92),BG92,0)+IF(ISNUMBER(BH92),BH92,0)+IF(ISNUMBER(BI92),BI92,0)+IF(ISNUMBER(BJ92),BJ92,0))/(IF(ISNUMBER(AZ92),1,0)+IF(ISNUMBER(BA92),1,0)+IF(ISNUMBER(BB92),1,0)+IF(ISNUMBER(BC92),1,0)+IF(ISNUMBER(BD92),1,0)+IF(ISNUMBER(BE92),1,0)+IF(ISNUMBER(BF92),1,0)+IF(ISNUMBER(BG92),1,0)+IF(ISNUMBER(BH92),1,0)+IF(ISNUMBER(BI92),1,0)+IF(ISNUMBER(BJ92),1,0)),2),"")</f>
        <v>13.81</v>
      </c>
    </row>
    <row r="93" customFormat="false" ht="15" hidden="false" customHeight="false" outlineLevel="0" collapsed="false">
      <c r="A93" s="87" t="s">
        <v>151</v>
      </c>
      <c r="B93" s="87" t="s">
        <v>93</v>
      </c>
      <c r="C93" s="87" t="n">
        <v>3050</v>
      </c>
      <c r="D93" s="87" t="n">
        <f aca="false">IF(OR(Calculator!$E$11&lt;&gt;"YES",Calculator!$B$30&lt;Calculator!$G$11),"—",ROUND(MAX((50*POWER(80,POWER(COS(PI()*MOD(Calculator!$B$30/Calculator!$F$11,1)),2)))/$C93,$C93/(50*POWER(80,POWER(COS(PI()*MOD(Calculator!$B$30/Calculator!$F$11,1)),2)))),2))</f>
        <v>34.53</v>
      </c>
      <c r="E93" s="87" t="n">
        <f aca="false">IF(OR(Calculator!$E$12&lt;&gt;"YES",Calculator!$B$30&lt;Calculator!$G$12),"—",ROUND(MAX((50*POWER(80,POWER(COS(PI()*MOD(Calculator!$B$30/Calculator!$F$12,1)),2)))/$C93,$C93/(50*POWER(80,POWER(COS(PI()*MOD(Calculator!$B$30/Calculator!$F$12,1)),2)))),2))</f>
        <v>2.89</v>
      </c>
      <c r="F93" s="87" t="n">
        <f aca="false">IF(OR(Calculator!$E$13&lt;&gt;"YES",Calculator!$B$30&lt;Calculator!$G$13),"—",ROUND(MAX((50*POWER(80,POWER(COS(PI()*MOD(Calculator!$B$30/Calculator!$F$13,1)),2)))/$C93,$C93/(50*POWER(80,POWER(COS(PI()*MOD(Calculator!$B$30/Calculator!$F$13,1)),2)))),2))</f>
        <v>7.7</v>
      </c>
      <c r="G93" s="87" t="n">
        <f aca="false">IF(OR(Calculator!$E$14&lt;&gt;"YES",Calculator!$B$30&lt;Calculator!$G$14),"—",ROUND(MAX((50*POWER(80,POWER(COS(PI()*MOD(Calculator!$B$30/Calculator!$F$14,1)),2)))/$C93,$C93/(50*POWER(80,POWER(COS(PI()*MOD(Calculator!$B$30/Calculator!$F$14,1)),2)))),2))</f>
        <v>18.02</v>
      </c>
      <c r="H93" s="87" t="n">
        <f aca="false">IF(OR(Calculator!$E$15&lt;&gt;"YES",Calculator!$B$30&lt;Calculator!$G$15),"—",ROUND(MAX((50*POWER(80,POWER(COS(PI()*MOD(Calculator!$B$30/Calculator!$F$15,1)),2)))/$C93,$C93/(50*POWER(80,POWER(COS(PI()*MOD(Calculator!$B$30/Calculator!$F$15,1)),2)))),2))</f>
        <v>11.72</v>
      </c>
      <c r="I93" s="87" t="n">
        <f aca="false">IF(OR(Calculator!$E$16&lt;&gt;"YES",Calculator!$B$30&lt;Calculator!$G$16),"—",ROUND(MAX((50*POWER(80,POWER(COS(PI()*MOD(Calculator!$B$30/Calculator!$F$16,1)),2)))/$C93,$C93/(50*POWER(80,POWER(COS(PI()*MOD(Calculator!$B$30/Calculator!$F$16,1)),2)))),2))</f>
        <v>38.31</v>
      </c>
      <c r="J93" s="87" t="n">
        <f aca="false">IF(OR(Calculator!$E$17&lt;&gt;"YES",Calculator!$B$30&lt;Calculator!$G$17),"—",ROUND(MAX((50*POWER(80,POWER(COS(PI()*MOD(Calculator!$B$30/Calculator!$F$17,1)),2)))/$C93,$C93/(50*POWER(80,POWER(COS(PI()*MOD(Calculator!$B$30/Calculator!$F$17,1)),2)))),2))</f>
        <v>1.3</v>
      </c>
      <c r="K93" s="87" t="n">
        <f aca="false">IF(OR(Calculator!$E$18&lt;&gt;"YES",Calculator!$B$30&lt;Calculator!$G$18),"—",ROUND(MAX((50*POWER(80,POWER(COS(PI()*MOD(Calculator!$B$30/Calculator!$F$18,1)),2)))/$C93,$C93/(50*POWER(80,POWER(COS(PI()*MOD(Calculator!$B$30/Calculator!$F$18,1)),2)))),2))</f>
        <v>1.19</v>
      </c>
      <c r="L93" s="87" t="n">
        <f aca="false">IF(OR(Calculator!$E$19&lt;&gt;"YES",Calculator!$B$30&lt;Calculator!$G$19),"—",ROUND(MAX((50*POWER(80,POWER(COS(PI()*MOD(Calculator!$B$30/Calculator!$F$19,1)),2)))/$C93,$C93/(50*POWER(80,POWER(COS(PI()*MOD(Calculator!$B$30/Calculator!$F$19,1)),2)))),2))</f>
        <v>1.19</v>
      </c>
      <c r="M93" s="87" t="n">
        <f aca="false">IF(OR(Calculator!$E$20&lt;&gt;"YES",Calculator!$B$30&lt;Calculator!$G$20),"—",ROUND(MAX((50*POWER(80,POWER(COS(PI()*MOD(Calculator!$B$30/Calculator!$F$20,1)),2)))/$C93,$C93/(50*POWER(80,POWER(COS(PI()*MOD(Calculator!$B$30/Calculator!$F$20,1)),2)))),2))</f>
        <v>31.71</v>
      </c>
      <c r="N93" s="87" t="n">
        <f aca="false">IF(OR(Calculator!$E$21&lt;&gt;"YES",Calculator!$B$30&lt;Calculator!$G$21),"—",ROUND(MAX((50*POWER(80,POWER(COS(PI()*MOD(Calculator!$B$30/Calculator!$F$21,1)),2)))/$C93,$C93/(50*POWER(80,POWER(COS(PI()*MOD(Calculator!$B$30/Calculator!$F$21,1)),2)))),2))</f>
        <v>1.2</v>
      </c>
      <c r="O93" s="121" t="n">
        <f aca="false">IFERROR(ROUND((IF(ISNUMBER(D93),D93,0)+IF(ISNUMBER(E93),E93,0)+IF(ISNUMBER(F93),F93,0)+IF(ISNUMBER(G93),G93,0)+IF(ISNUMBER(H93),H93,0)+IF(ISNUMBER(I93),I93,0)+IF(ISNUMBER(J93),J93,0)+IF(ISNUMBER(K93),K93,0)+IF(ISNUMBER(L93),L93,0)+IF(ISNUMBER(M93),M93,0)+IF(ISNUMBER(N93),N93,0))/(IF(ISNUMBER(D93),1,0)+IF(ISNUMBER(E93),1,0)+IF(ISNUMBER(F93),1,0)+IF(ISNUMBER(G93),1,0)+IF(ISNUMBER(H93),1,0)+IF(ISNUMBER(I93),1,0)+IF(ISNUMBER(J93),1,0)+IF(ISNUMBER(K93),1,0)+IF(ISNUMBER(L93),1,0)+IF(ISNUMBER(M93),1,0)+IF(ISNUMBER(N93),1,0)),2),"")</f>
        <v>13.61</v>
      </c>
      <c r="P93" s="87" t="n">
        <f aca="false">IF(OR(Calculator!$E$11&lt;&gt;"YES",Calculator!$B$31&lt;Calculator!$G$11),"—",ROUND(MAX((50*POWER(80,POWER(COS(PI()*MOD(Calculator!$B$31/Calculator!$F$11,1)),2)))/$C93,$C93/(50*POWER(80,POWER(COS(PI()*MOD(Calculator!$B$31/Calculator!$F$11,1)),2)))),2))</f>
        <v>34.96</v>
      </c>
      <c r="Q93" s="87" t="n">
        <f aca="false">IF(OR(Calculator!$E$12&lt;&gt;"YES",Calculator!$B$31&lt;Calculator!$G$12),"—",ROUND(MAX((50*POWER(80,POWER(COS(PI()*MOD(Calculator!$B$31/Calculator!$F$12,1)),2)))/$C93,$C93/(50*POWER(80,POWER(COS(PI()*MOD(Calculator!$B$31/Calculator!$F$12,1)),2)))),2))</f>
        <v>2.8</v>
      </c>
      <c r="R93" s="87" t="n">
        <f aca="false">IF(OR(Calculator!$E$13&lt;&gt;"YES",Calculator!$B$31&lt;Calculator!$G$13),"—",ROUND(MAX((50*POWER(80,POWER(COS(PI()*MOD(Calculator!$B$31/Calculator!$F$13,1)),2)))/$C93,$C93/(50*POWER(80,POWER(COS(PI()*MOD(Calculator!$B$31/Calculator!$F$13,1)),2)))),2))</f>
        <v>8.11</v>
      </c>
      <c r="S93" s="87" t="n">
        <f aca="false">IF(OR(Calculator!$E$14&lt;&gt;"YES",Calculator!$B$31&lt;Calculator!$G$14),"—",ROUND(MAX((50*POWER(80,POWER(COS(PI()*MOD(Calculator!$B$31/Calculator!$F$14,1)),2)))/$C93,$C93/(50*POWER(80,POWER(COS(PI()*MOD(Calculator!$B$31/Calculator!$F$14,1)),2)))),2))</f>
        <v>16.93</v>
      </c>
      <c r="T93" s="87" t="n">
        <f aca="false">IF(OR(Calculator!$E$15&lt;&gt;"YES",Calculator!$B$31&lt;Calculator!$G$15),"—",ROUND(MAX((50*POWER(80,POWER(COS(PI()*MOD(Calculator!$B$31/Calculator!$F$15,1)),2)))/$C93,$C93/(50*POWER(80,POWER(COS(PI()*MOD(Calculator!$B$31/Calculator!$F$15,1)),2)))),2))</f>
        <v>10.65</v>
      </c>
      <c r="U93" s="87" t="n">
        <f aca="false">IF(OR(Calculator!$E$16&lt;&gt;"YES",Calculator!$B$31&lt;Calculator!$G$16),"—",ROUND(MAX((50*POWER(80,POWER(COS(PI()*MOD(Calculator!$B$31/Calculator!$F$16,1)),2)))/$C93,$C93/(50*POWER(80,POWER(COS(PI()*MOD(Calculator!$B$31/Calculator!$F$16,1)),2)))),2))</f>
        <v>41.54</v>
      </c>
      <c r="V93" s="87" t="n">
        <f aca="false">IF(OR(Calculator!$E$17&lt;&gt;"YES",Calculator!$B$31&lt;Calculator!$G$17),"—",ROUND(MAX((50*POWER(80,POWER(COS(PI()*MOD(Calculator!$B$31/Calculator!$F$17,1)),2)))/$C93,$C93/(50*POWER(80,POWER(COS(PI()*MOD(Calculator!$B$31/Calculator!$F$17,1)),2)))),2))</f>
        <v>1.46</v>
      </c>
      <c r="W93" s="87" t="n">
        <f aca="false">IF(OR(Calculator!$E$18&lt;&gt;"YES",Calculator!$B$31&lt;Calculator!$G$18),"—",ROUND(MAX((50*POWER(80,POWER(COS(PI()*MOD(Calculator!$B$31/Calculator!$F$18,1)),2)))/$C93,$C93/(50*POWER(80,POWER(COS(PI()*MOD(Calculator!$B$31/Calculator!$F$18,1)),2)))),2))</f>
        <v>1.36</v>
      </c>
      <c r="X93" s="87" t="n">
        <f aca="false">IF(OR(Calculator!$E$19&lt;&gt;"YES",Calculator!$B$31&lt;Calculator!$G$19),"—",ROUND(MAX((50*POWER(80,POWER(COS(PI()*MOD(Calculator!$B$31/Calculator!$F$19,1)),2)))/$C93,$C93/(50*POWER(80,POWER(COS(PI()*MOD(Calculator!$B$31/Calculator!$F$19,1)),2)))),2))</f>
        <v>1.04</v>
      </c>
      <c r="Y93" s="87" t="n">
        <f aca="false">IF(OR(Calculator!$E$20&lt;&gt;"YES",Calculator!$B$31&lt;Calculator!$G$20),"—",ROUND(MAX((50*POWER(80,POWER(COS(PI()*MOD(Calculator!$B$31/Calculator!$F$20,1)),2)))/$C93,$C93/(50*POWER(80,POWER(COS(PI()*MOD(Calculator!$B$31/Calculator!$F$20,1)),2)))),2))</f>
        <v>25.69</v>
      </c>
      <c r="Z93" s="87" t="n">
        <f aca="false">IF(OR(Calculator!$E$21&lt;&gt;"YES",Calculator!$B$31&lt;Calculator!$G$21),"—",ROUND(MAX((50*POWER(80,POWER(COS(PI()*MOD(Calculator!$B$31/Calculator!$F$21,1)),2)))/$C93,$C93/(50*POWER(80,POWER(COS(PI()*MOD(Calculator!$B$31/Calculator!$F$21,1)),2)))),2))</f>
        <v>1.71</v>
      </c>
      <c r="AA93" s="121" t="n">
        <f aca="false">IFERROR(ROUND((IF(ISNUMBER(P93),P93,0)+IF(ISNUMBER(Q93),Q93,0)+IF(ISNUMBER(R93),R93,0)+IF(ISNUMBER(S93),S93,0)+IF(ISNUMBER(T93),T93,0)+IF(ISNUMBER(U93),U93,0)+IF(ISNUMBER(V93),V93,0)+IF(ISNUMBER(W93),W93,0)+IF(ISNUMBER(X93),X93,0)+IF(ISNUMBER(Y93),Y93,0)+IF(ISNUMBER(Z93),Z93,0))/(IF(ISNUMBER(P93),1,0)+IF(ISNUMBER(Q93),1,0)+IF(ISNUMBER(R93),1,0)+IF(ISNUMBER(S93),1,0)+IF(ISNUMBER(T93),1,0)+IF(ISNUMBER(U93),1,0)+IF(ISNUMBER(V93),1,0)+IF(ISNUMBER(W93),1,0)+IF(ISNUMBER(X93),1,0)+IF(ISNUMBER(Y93),1,0)+IF(ISNUMBER(Z93),1,0)),2),"")</f>
        <v>13.3</v>
      </c>
      <c r="AB93" s="87" t="n">
        <f aca="false">IF(OR(Calculator!$E$11&lt;&gt;"YES",Calculator!$B$32&lt;Calculator!$G$11),"—",ROUND(MAX((50*POWER(80,POWER(COS(PI()*MOD(Calculator!$B$32/Calculator!$F$11,1)),2)))/$C93,$C93/(50*POWER(80,POWER(COS(PI()*MOD(Calculator!$B$32/Calculator!$F$11,1)),2)))),2))</f>
        <v>44.01</v>
      </c>
      <c r="AC93" s="87" t="n">
        <f aca="false">IF(OR(Calculator!$E$12&lt;&gt;"YES",Calculator!$B$32&lt;Calculator!$G$12),"—",ROUND(MAX((50*POWER(80,POWER(COS(PI()*MOD(Calculator!$B$32/Calculator!$F$12,1)),2)))/$C93,$C93/(50*POWER(80,POWER(COS(PI()*MOD(Calculator!$B$32/Calculator!$F$12,1)),2)))),2))</f>
        <v>1.52</v>
      </c>
      <c r="AD93" s="87" t="n">
        <f aca="false">IF(OR(Calculator!$E$13&lt;&gt;"YES",Calculator!$B$32&lt;Calculator!$G$13),"—",ROUND(MAX((50*POWER(80,POWER(COS(PI()*MOD(Calculator!$B$32/Calculator!$F$13,1)),2)))/$C93,$C93/(50*POWER(80,POWER(COS(PI()*MOD(Calculator!$B$32/Calculator!$F$13,1)),2)))),2))</f>
        <v>22.46</v>
      </c>
      <c r="AE93" s="87" t="n">
        <f aca="false">IF(OR(Calculator!$E$14&lt;&gt;"YES",Calculator!$B$32&lt;Calculator!$G$14),"—",ROUND(MAX((50*POWER(80,POWER(COS(PI()*MOD(Calculator!$B$32/Calculator!$F$14,1)),2)))/$C93,$C93/(50*POWER(80,POWER(COS(PI()*MOD(Calculator!$B$32/Calculator!$F$14,1)),2)))),2))</f>
        <v>4.1</v>
      </c>
      <c r="AF93" s="87" t="n">
        <f aca="false">IF(OR(Calculator!$E$15&lt;&gt;"YES",Calculator!$B$32&lt;Calculator!$G$15),"—",ROUND(MAX((50*POWER(80,POWER(COS(PI()*MOD(Calculator!$B$32/Calculator!$F$15,1)),2)))/$C93,$C93/(50*POWER(80,POWER(COS(PI()*MOD(Calculator!$B$32/Calculator!$F$15,1)),2)))),2))</f>
        <v>1.58</v>
      </c>
      <c r="AG93" s="87" t="n">
        <f aca="false">IF(OR(Calculator!$E$16&lt;&gt;"YES",Calculator!$B$32&lt;Calculator!$G$16),"—",ROUND(MAX((50*POWER(80,POWER(COS(PI()*MOD(Calculator!$B$32/Calculator!$F$16,1)),2)))/$C93,$C93/(50*POWER(80,POWER(COS(PI()*MOD(Calculator!$B$32/Calculator!$F$16,1)),2)))),2))</f>
        <v>35.86</v>
      </c>
      <c r="AH93" s="87" t="n">
        <f aca="false">IF(OR(Calculator!$E$17&lt;&gt;"YES",Calculator!$B$32&lt;Calculator!$G$17),"—",ROUND(MAX((50*POWER(80,POWER(COS(PI()*MOD(Calculator!$B$32/Calculator!$F$17,1)),2)))/$C93,$C93/(50*POWER(80,POWER(COS(PI()*MOD(Calculator!$B$32/Calculator!$F$17,1)),2)))),2))</f>
        <v>37.85</v>
      </c>
      <c r="AI93" s="87" t="n">
        <f aca="false">IF(OR(Calculator!$E$18&lt;&gt;"YES",Calculator!$B$32&lt;Calculator!$G$18),"—",ROUND(MAX((50*POWER(80,POWER(COS(PI()*MOD(Calculator!$B$32/Calculator!$F$18,1)),2)))/$C93,$C93/(50*POWER(80,POWER(COS(PI()*MOD(Calculator!$B$32/Calculator!$F$18,1)),2)))),2))</f>
        <v>49.93</v>
      </c>
      <c r="AJ93" s="87" t="n">
        <f aca="false">IF(OR(Calculator!$E$19&lt;&gt;"YES",Calculator!$B$32&lt;Calculator!$G$19),"—",ROUND(MAX((50*POWER(80,POWER(COS(PI()*MOD(Calculator!$B$32/Calculator!$F$19,1)),2)))/$C93,$C93/(50*POWER(80,POWER(COS(PI()*MOD(Calculator!$B$32/Calculator!$F$19,1)),2)))),2))</f>
        <v>10.52</v>
      </c>
      <c r="AK93" s="87" t="n">
        <f aca="false">IF(OR(Calculator!$E$20&lt;&gt;"YES",Calculator!$B$32&lt;Calculator!$G$20),"—",ROUND(MAX((50*POWER(80,POWER(COS(PI()*MOD(Calculator!$B$32/Calculator!$F$20,1)),2)))/$C93,$C93/(50*POWER(80,POWER(COS(PI()*MOD(Calculator!$B$32/Calculator!$F$20,1)),2)))),2))</f>
        <v>1.05</v>
      </c>
      <c r="AL93" s="87" t="n">
        <f aca="false">IF(OR(Calculator!$E$21&lt;&gt;"YES",Calculator!$B$32&lt;Calculator!$G$21),"—",ROUND(MAX((50*POWER(80,POWER(COS(PI()*MOD(Calculator!$B$32/Calculator!$F$21,1)),2)))/$C93,$C93/(50*POWER(80,POWER(COS(PI()*MOD(Calculator!$B$32/Calculator!$F$21,1)),2)))),2))</f>
        <v>1.09</v>
      </c>
      <c r="AM93" s="115" t="n">
        <f aca="false">IFERROR(ROUND((IF(ISNUMBER(AB93),AB93,0)+IF(ISNUMBER(AC93),AC93,0)+IF(ISNUMBER(AD93),AD93,0)+IF(ISNUMBER(AE93),AE93,0)+IF(ISNUMBER(AF93),AF93,0)+IF(ISNUMBER(AG93),AG93,0)+IF(ISNUMBER(AH93),AH93,0)+IF(ISNUMBER(AI93),AI93,0)+IF(ISNUMBER(AJ93),AJ93,0)+IF(ISNUMBER(AK93),AK93,0)+IF(ISNUMBER(AL93),AL93,0))/(IF(ISNUMBER(AB93),1,0)+IF(ISNUMBER(AC93),1,0)+IF(ISNUMBER(AD93),1,0)+IF(ISNUMBER(AE93),1,0)+IF(ISNUMBER(AF93),1,0)+IF(ISNUMBER(AG93),1,0)+IF(ISNUMBER(AH93),1,0)+IF(ISNUMBER(AI93),1,0)+IF(ISNUMBER(AJ93),1,0)+IF(ISNUMBER(AK93),1,0)+IF(ISNUMBER(AL93),1,0)),2),"")</f>
        <v>19.09</v>
      </c>
      <c r="AN93" s="116" t="n">
        <f aca="false">IF(OR(Calculator!$E$11&lt;&gt;"YES",Calculator!$B$33&lt;Calculator!$G$11),"—",ROUND(MAX((50*POWER(80,POWER(COS(PI()*MOD(Calculator!$B$33/Calculator!$F$11,1)),2)))/$C93,$C93/(50*POWER(80,POWER(COS(PI()*MOD(Calculator!$B$33/Calculator!$F$11,1)),2)))),2))</f>
        <v>35.39</v>
      </c>
      <c r="AO93" s="116" t="n">
        <f aca="false">IF(OR(Calculator!$E$12&lt;&gt;"YES",Calculator!$B$33&lt;Calculator!$G$12),"—",ROUND(MAX((50*POWER(80,POWER(COS(PI()*MOD(Calculator!$B$33/Calculator!$F$12,1)),2)))/$C93,$C93/(50*POWER(80,POWER(COS(PI()*MOD(Calculator!$B$33/Calculator!$F$12,1)),2)))),2))</f>
        <v>2.71</v>
      </c>
      <c r="AP93" s="116" t="n">
        <f aca="false">IF(OR(Calculator!$E$13&lt;&gt;"YES",Calculator!$B$33&lt;Calculator!$G$13),"—",ROUND(MAX((50*POWER(80,POWER(COS(PI()*MOD(Calculator!$B$33/Calculator!$F$13,1)),2)))/$C93,$C93/(50*POWER(80,POWER(COS(PI()*MOD(Calculator!$B$33/Calculator!$F$13,1)),2)))),2))</f>
        <v>8.53</v>
      </c>
      <c r="AQ93" s="116" t="n">
        <f aca="false">IF(OR(Calculator!$E$14&lt;&gt;"YES",Calculator!$B$33&lt;Calculator!$G$14),"—",ROUND(MAX((50*POWER(80,POWER(COS(PI()*MOD(Calculator!$B$33/Calculator!$F$14,1)),2)))/$C93,$C93/(50*POWER(80,POWER(COS(PI()*MOD(Calculator!$B$33/Calculator!$F$14,1)),2)))),2))</f>
        <v>15.89</v>
      </c>
      <c r="AR93" s="116" t="n">
        <f aca="false">IF(OR(Calculator!$E$15&lt;&gt;"YES",Calculator!$B$33&lt;Calculator!$G$15),"—",ROUND(MAX((50*POWER(80,POWER(COS(PI()*MOD(Calculator!$B$33/Calculator!$F$15,1)),2)))/$C93,$C93/(50*POWER(80,POWER(COS(PI()*MOD(Calculator!$B$33/Calculator!$F$15,1)),2)))),2))</f>
        <v>9.68</v>
      </c>
      <c r="AS93" s="116" t="n">
        <f aca="false">IF(OR(Calculator!$E$16&lt;&gt;"YES",Calculator!$B$33&lt;Calculator!$G$16),"—",ROUND(MAX((50*POWER(80,POWER(COS(PI()*MOD(Calculator!$B$33/Calculator!$F$16,1)),2)))/$C93,$C93/(50*POWER(80,POWER(COS(PI()*MOD(Calculator!$B$33/Calculator!$F$16,1)),2)))),2))</f>
        <v>44.73</v>
      </c>
      <c r="AT93" s="116" t="n">
        <f aca="false">IF(OR(Calculator!$E$17&lt;&gt;"YES",Calculator!$B$33&lt;Calculator!$G$17),"—",ROUND(MAX((50*POWER(80,POWER(COS(PI()*MOD(Calculator!$B$33/Calculator!$F$17,1)),2)))/$C93,$C93/(50*POWER(80,POWER(COS(PI()*MOD(Calculator!$B$33/Calculator!$F$17,1)),2)))),2))</f>
        <v>1.66</v>
      </c>
      <c r="AU93" s="116" t="n">
        <f aca="false">IF(OR(Calculator!$E$18&lt;&gt;"YES",Calculator!$B$33&lt;Calculator!$G$18),"—",ROUND(MAX((50*POWER(80,POWER(COS(PI()*MOD(Calculator!$B$33/Calculator!$F$18,1)),2)))/$C93,$C93/(50*POWER(80,POWER(COS(PI()*MOD(Calculator!$B$33/Calculator!$F$18,1)),2)))),2))</f>
        <v>1.58</v>
      </c>
      <c r="AV93" s="116" t="n">
        <f aca="false">IF(OR(Calculator!$E$19&lt;&gt;"YES",Calculator!$B$33&lt;Calculator!$G$19),"—",ROUND(MAX((50*POWER(80,POWER(COS(PI()*MOD(Calculator!$B$33/Calculator!$F$19,1)),2)))/$C93,$C93/(50*POWER(80,POWER(COS(PI()*MOD(Calculator!$B$33/Calculator!$F$19,1)),2)))),2))</f>
        <v>1.08</v>
      </c>
      <c r="AW93" s="116" t="n">
        <f aca="false">IF(OR(Calculator!$E$20&lt;&gt;"YES",Calculator!$B$33&lt;Calculator!$G$20),"—",ROUND(MAX((50*POWER(80,POWER(COS(PI()*MOD(Calculator!$B$33/Calculator!$F$20,1)),2)))/$C93,$C93/(50*POWER(80,POWER(COS(PI()*MOD(Calculator!$B$33/Calculator!$F$20,1)),2)))),2))</f>
        <v>20.37</v>
      </c>
      <c r="AX93" s="116" t="n">
        <f aca="false">IF(OR(Calculator!$E$21&lt;&gt;"YES",Calculator!$B$33&lt;Calculator!$G$21),"—",ROUND(MAX((50*POWER(80,POWER(COS(PI()*MOD(Calculator!$B$33/Calculator!$F$21,1)),2)))/$C93,$C93/(50*POWER(80,POWER(COS(PI()*MOD(Calculator!$B$33/Calculator!$F$21,1)),2)))),2))</f>
        <v>2.6</v>
      </c>
      <c r="AY93" s="115" t="n">
        <f aca="false">IFERROR(ROUND((IF(ISNUMBER(AN93),AN93,0)+IF(ISNUMBER(AO93),AO93,0)+IF(ISNUMBER(AP93),AP93,0)+IF(ISNUMBER(AQ93),AQ93,0)+IF(ISNUMBER(AR93),AR93,0)+IF(ISNUMBER(AS93),AS93,0)+IF(ISNUMBER(AT93),AT93,0)+IF(ISNUMBER(AU93),AU93,0)+IF(ISNUMBER(AV93),AV93,0)+IF(ISNUMBER(AW93),AW93,0)+IF(ISNUMBER(AX93),AX93,0))/(IF(ISNUMBER(AN93),1,0)+IF(ISNUMBER(AO93),1,0)+IF(ISNUMBER(AP93),1,0)+IF(ISNUMBER(AQ93),1,0)+IF(ISNUMBER(AR93),1,0)+IF(ISNUMBER(AS93),1,0)+IF(ISNUMBER(AT93),1,0)+IF(ISNUMBER(AU93),1,0)+IF(ISNUMBER(AV93),1,0)+IF(ISNUMBER(AW93),1,0)+IF(ISNUMBER(AX93),1,0)),2),"")</f>
        <v>13.11</v>
      </c>
      <c r="AZ93" s="116" t="n">
        <f aca="false">IF(OR(Calculator!$E$11&lt;&gt;"YES",Calculator!$B$34&lt;Calculator!$G$11),"—",ROUND(MAX((50*POWER(80,POWER(COS(PI()*MOD(Calculator!$B$34/Calculator!$F$11,1)),2)))/$C93,$C93/(50*POWER(80,POWER(COS(PI()*MOD(Calculator!$B$34/Calculator!$F$11,1)),2)))),2))</f>
        <v>34.11</v>
      </c>
      <c r="BA93" s="116" t="n">
        <f aca="false">IF(OR(Calculator!$E$12&lt;&gt;"YES",Calculator!$B$34&lt;Calculator!$G$12),"—",ROUND(MAX((50*POWER(80,POWER(COS(PI()*MOD(Calculator!$B$34/Calculator!$F$12,1)),2)))/$C93,$C93/(50*POWER(80,POWER(COS(PI()*MOD(Calculator!$B$34/Calculator!$F$12,1)),2)))),2))</f>
        <v>2.99</v>
      </c>
      <c r="BB93" s="116" t="n">
        <f aca="false">IF(OR(Calculator!$E$13&lt;&gt;"YES",Calculator!$B$34&lt;Calculator!$G$13),"—",ROUND(MAX((50*POWER(80,POWER(COS(PI()*MOD(Calculator!$B$34/Calculator!$F$13,1)),2)))/$C93,$C93/(50*POWER(80,POWER(COS(PI()*MOD(Calculator!$B$34/Calculator!$F$13,1)),2)))),2))</f>
        <v>7.31</v>
      </c>
      <c r="BC93" s="116" t="n">
        <f aca="false">IF(OR(Calculator!$E$14&lt;&gt;"YES",Calculator!$B$34&lt;Calculator!$G$14),"—",ROUND(MAX((50*POWER(80,POWER(COS(PI()*MOD(Calculator!$B$34/Calculator!$F$14,1)),2)))/$C93,$C93/(50*POWER(80,POWER(COS(PI()*MOD(Calculator!$B$34/Calculator!$F$14,1)),2)))),2))</f>
        <v>19.16</v>
      </c>
      <c r="BD93" s="116" t="n">
        <f aca="false">IF(OR(Calculator!$E$15&lt;&gt;"YES",Calculator!$B$34&lt;Calculator!$G$15),"—",ROUND(MAX((50*POWER(80,POWER(COS(PI()*MOD(Calculator!$B$34/Calculator!$F$15,1)),2)))/$C93,$C93/(50*POWER(80,POWER(COS(PI()*MOD(Calculator!$B$34/Calculator!$F$15,1)),2)))),2))</f>
        <v>12.88</v>
      </c>
      <c r="BE93" s="116" t="n">
        <f aca="false">IF(OR(Calculator!$E$16&lt;&gt;"YES",Calculator!$B$34&lt;Calculator!$G$16),"—",ROUND(MAX((50*POWER(80,POWER(COS(PI()*MOD(Calculator!$B$34/Calculator!$F$16,1)),2)))/$C93,$C93/(50*POWER(80,POWER(COS(PI()*MOD(Calculator!$B$34/Calculator!$F$16,1)),2)))),2))</f>
        <v>35.1</v>
      </c>
      <c r="BF93" s="116" t="n">
        <f aca="false">IF(OR(Calculator!$E$17&lt;&gt;"YES",Calculator!$B$34&lt;Calculator!$G$17),"—",ROUND(MAX((50*POWER(80,POWER(COS(PI()*MOD(Calculator!$B$34/Calculator!$F$17,1)),2)))/$C93,$C93/(50*POWER(80,POWER(COS(PI()*MOD(Calculator!$B$34/Calculator!$F$17,1)),2)))),2))</f>
        <v>1.16</v>
      </c>
      <c r="BG93" s="116" t="n">
        <f aca="false">IF(OR(Calculator!$E$18&lt;&gt;"YES",Calculator!$B$34&lt;Calculator!$G$18),"—",ROUND(MAX((50*POWER(80,POWER(COS(PI()*MOD(Calculator!$B$34/Calculator!$F$18,1)),2)))/$C93,$C93/(50*POWER(80,POWER(COS(PI()*MOD(Calculator!$B$34/Calculator!$F$18,1)),2)))),2))</f>
        <v>1.06</v>
      </c>
      <c r="BH93" s="116" t="n">
        <f aca="false">IF(OR(Calculator!$E$19&lt;&gt;"YES",Calculator!$B$34&lt;Calculator!$G$19),"—",ROUND(MAX((50*POWER(80,POWER(COS(PI()*MOD(Calculator!$B$34/Calculator!$F$19,1)),2)))/$C93,$C93/(50*POWER(80,POWER(COS(PI()*MOD(Calculator!$B$34/Calculator!$F$19,1)),2)))),2))</f>
        <v>1.39</v>
      </c>
      <c r="BI93" s="116" t="n">
        <f aca="false">IF(OR(Calculator!$E$20&lt;&gt;"YES",Calculator!$B$34&lt;Calculator!$G$20),"—",ROUND(MAX((50*POWER(80,POWER(COS(PI()*MOD(Calculator!$B$34/Calculator!$F$20,1)),2)))/$C93,$C93/(50*POWER(80,POWER(COS(PI()*MOD(Calculator!$B$34/Calculator!$F$20,1)),2)))),2))</f>
        <v>38.18</v>
      </c>
      <c r="BJ93" s="116" t="n">
        <f aca="false">IF(OR(Calculator!$E$21&lt;&gt;"YES",Calculator!$B$34&lt;Calculator!$G$21),"—",ROUND(MAX((50*POWER(80,POWER(COS(PI()*MOD(Calculator!$B$34/Calculator!$F$21,1)),2)))/$C93,$C93/(50*POWER(80,POWER(COS(PI()*MOD(Calculator!$B$34/Calculator!$F$21,1)),2)))),2))</f>
        <v>1.08</v>
      </c>
      <c r="BK93" s="115" t="n">
        <f aca="false">IFERROR(ROUND((IF(ISNUMBER(AZ93),AZ93,0)+IF(ISNUMBER(BA93),BA93,0)+IF(ISNUMBER(BB93),BB93,0)+IF(ISNUMBER(BC93),BC93,0)+IF(ISNUMBER(BD93),BD93,0)+IF(ISNUMBER(BE93),BE93,0)+IF(ISNUMBER(BF93),BF93,0)+IF(ISNUMBER(BG93),BG93,0)+IF(ISNUMBER(BH93),BH93,0)+IF(ISNUMBER(BI93),BI93,0)+IF(ISNUMBER(BJ93),BJ93,0))/(IF(ISNUMBER(AZ93),1,0)+IF(ISNUMBER(BA93),1,0)+IF(ISNUMBER(BB93),1,0)+IF(ISNUMBER(BC93),1,0)+IF(ISNUMBER(BD93),1,0)+IF(ISNUMBER(BE93),1,0)+IF(ISNUMBER(BF93),1,0)+IF(ISNUMBER(BG93),1,0)+IF(ISNUMBER(BH93),1,0)+IF(ISNUMBER(BI93),1,0)+IF(ISNUMBER(BJ93),1,0)),2),"")</f>
        <v>14.04</v>
      </c>
    </row>
    <row r="94" customFormat="false" ht="15" hidden="false" customHeight="false" outlineLevel="0" collapsed="false">
      <c r="A94" s="117" t="s">
        <v>152</v>
      </c>
      <c r="B94" s="117" t="s">
        <v>93</v>
      </c>
      <c r="C94" s="117" t="n">
        <v>3100</v>
      </c>
      <c r="D94" s="117" t="n">
        <f aca="false">IF(OR(Calculator!$E$11&lt;&gt;"YES",Calculator!$B$30&lt;Calculator!$G$11),"—",ROUND(MAX((50*POWER(80,POWER(COS(PI()*MOD(Calculator!$B$30/Calculator!$F$11,1)),2)))/$C94,$C94/(50*POWER(80,POWER(COS(PI()*MOD(Calculator!$B$30/Calculator!$F$11,1)),2)))),2))</f>
        <v>35.1</v>
      </c>
      <c r="E94" s="117" t="n">
        <f aca="false">IF(OR(Calculator!$E$12&lt;&gt;"YES",Calculator!$B$30&lt;Calculator!$G$12),"—",ROUND(MAX((50*POWER(80,POWER(COS(PI()*MOD(Calculator!$B$30/Calculator!$F$12,1)),2)))/$C94,$C94/(50*POWER(80,POWER(COS(PI()*MOD(Calculator!$B$30/Calculator!$F$12,1)),2)))),2))</f>
        <v>2.94</v>
      </c>
      <c r="F94" s="117" t="n">
        <f aca="false">IF(OR(Calculator!$E$13&lt;&gt;"YES",Calculator!$B$30&lt;Calculator!$G$13),"—",ROUND(MAX((50*POWER(80,POWER(COS(PI()*MOD(Calculator!$B$30/Calculator!$F$13,1)),2)))/$C94,$C94/(50*POWER(80,POWER(COS(PI()*MOD(Calculator!$B$30/Calculator!$F$13,1)),2)))),2))</f>
        <v>7.82</v>
      </c>
      <c r="G94" s="117" t="n">
        <f aca="false">IF(OR(Calculator!$E$14&lt;&gt;"YES",Calculator!$B$30&lt;Calculator!$G$14),"—",ROUND(MAX((50*POWER(80,POWER(COS(PI()*MOD(Calculator!$B$30/Calculator!$F$14,1)),2)))/$C94,$C94/(50*POWER(80,POWER(COS(PI()*MOD(Calculator!$B$30/Calculator!$F$14,1)),2)))),2))</f>
        <v>18.32</v>
      </c>
      <c r="H94" s="117" t="n">
        <f aca="false">IF(OR(Calculator!$E$15&lt;&gt;"YES",Calculator!$B$30&lt;Calculator!$G$15),"—",ROUND(MAX((50*POWER(80,POWER(COS(PI()*MOD(Calculator!$B$30/Calculator!$F$15,1)),2)))/$C94,$C94/(50*POWER(80,POWER(COS(PI()*MOD(Calculator!$B$30/Calculator!$F$15,1)),2)))),2))</f>
        <v>11.91</v>
      </c>
      <c r="I94" s="117" t="n">
        <f aca="false">IF(OR(Calculator!$E$16&lt;&gt;"YES",Calculator!$B$30&lt;Calculator!$G$16),"—",ROUND(MAX((50*POWER(80,POWER(COS(PI()*MOD(Calculator!$B$30/Calculator!$F$16,1)),2)))/$C94,$C94/(50*POWER(80,POWER(COS(PI()*MOD(Calculator!$B$30/Calculator!$F$16,1)),2)))),2))</f>
        <v>38.94</v>
      </c>
      <c r="J94" s="117" t="n">
        <f aca="false">IF(OR(Calculator!$E$17&lt;&gt;"YES",Calculator!$B$30&lt;Calculator!$G$17),"—",ROUND(MAX((50*POWER(80,POWER(COS(PI()*MOD(Calculator!$B$30/Calculator!$F$17,1)),2)))/$C94,$C94/(50*POWER(80,POWER(COS(PI()*MOD(Calculator!$B$30/Calculator!$F$17,1)),2)))),2))</f>
        <v>1.32</v>
      </c>
      <c r="K94" s="117" t="n">
        <f aca="false">IF(OR(Calculator!$E$18&lt;&gt;"YES",Calculator!$B$30&lt;Calculator!$G$18),"—",ROUND(MAX((50*POWER(80,POWER(COS(PI()*MOD(Calculator!$B$30/Calculator!$F$18,1)),2)))/$C94,$C94/(50*POWER(80,POWER(COS(PI()*MOD(Calculator!$B$30/Calculator!$F$18,1)),2)))),2))</f>
        <v>1.21</v>
      </c>
      <c r="L94" s="117" t="n">
        <f aca="false">IF(OR(Calculator!$E$19&lt;&gt;"YES",Calculator!$B$30&lt;Calculator!$G$19),"—",ROUND(MAX((50*POWER(80,POWER(COS(PI()*MOD(Calculator!$B$30/Calculator!$F$19,1)),2)))/$C94,$C94/(50*POWER(80,POWER(COS(PI()*MOD(Calculator!$B$30/Calculator!$F$19,1)),2)))),2))</f>
        <v>1.21</v>
      </c>
      <c r="M94" s="117" t="n">
        <f aca="false">IF(OR(Calculator!$E$20&lt;&gt;"YES",Calculator!$B$30&lt;Calculator!$G$20),"—",ROUND(MAX((50*POWER(80,POWER(COS(PI()*MOD(Calculator!$B$30/Calculator!$F$20,1)),2)))/$C94,$C94/(50*POWER(80,POWER(COS(PI()*MOD(Calculator!$B$30/Calculator!$F$20,1)),2)))),2))</f>
        <v>32.23</v>
      </c>
      <c r="N94" s="117" t="n">
        <f aca="false">IF(OR(Calculator!$E$21&lt;&gt;"YES",Calculator!$B$30&lt;Calculator!$G$21),"—",ROUND(MAX((50*POWER(80,POWER(COS(PI()*MOD(Calculator!$B$30/Calculator!$F$21,1)),2)))/$C94,$C94/(50*POWER(80,POWER(COS(PI()*MOD(Calculator!$B$30/Calculator!$F$21,1)),2)))),2))</f>
        <v>1.22</v>
      </c>
      <c r="O94" s="121" t="n">
        <f aca="false">IFERROR(ROUND((IF(ISNUMBER(D94),D94,0)+IF(ISNUMBER(E94),E94,0)+IF(ISNUMBER(F94),F94,0)+IF(ISNUMBER(G94),G94,0)+IF(ISNUMBER(H94),H94,0)+IF(ISNUMBER(I94),I94,0)+IF(ISNUMBER(J94),J94,0)+IF(ISNUMBER(K94),K94,0)+IF(ISNUMBER(L94),L94,0)+IF(ISNUMBER(M94),M94,0)+IF(ISNUMBER(N94),N94,0))/(IF(ISNUMBER(D94),1,0)+IF(ISNUMBER(E94),1,0)+IF(ISNUMBER(F94),1,0)+IF(ISNUMBER(G94),1,0)+IF(ISNUMBER(H94),1,0)+IF(ISNUMBER(I94),1,0)+IF(ISNUMBER(J94),1,0)+IF(ISNUMBER(K94),1,0)+IF(ISNUMBER(L94),1,0)+IF(ISNUMBER(M94),1,0)+IF(ISNUMBER(N94),1,0)),2),"")</f>
        <v>13.84</v>
      </c>
      <c r="P94" s="117" t="n">
        <f aca="false">IF(OR(Calculator!$E$11&lt;&gt;"YES",Calculator!$B$31&lt;Calculator!$G$11),"—",ROUND(MAX((50*POWER(80,POWER(COS(PI()*MOD(Calculator!$B$31/Calculator!$F$11,1)),2)))/$C94,$C94/(50*POWER(80,POWER(COS(PI()*MOD(Calculator!$B$31/Calculator!$F$11,1)),2)))),2))</f>
        <v>35.53</v>
      </c>
      <c r="Q94" s="117" t="n">
        <f aca="false">IF(OR(Calculator!$E$12&lt;&gt;"YES",Calculator!$B$31&lt;Calculator!$G$12),"—",ROUND(MAX((50*POWER(80,POWER(COS(PI()*MOD(Calculator!$B$31/Calculator!$F$12,1)),2)))/$C94,$C94/(50*POWER(80,POWER(COS(PI()*MOD(Calculator!$B$31/Calculator!$F$12,1)),2)))),2))</f>
        <v>2.84</v>
      </c>
      <c r="R94" s="117" t="n">
        <f aca="false">IF(OR(Calculator!$E$13&lt;&gt;"YES",Calculator!$B$31&lt;Calculator!$G$13),"—",ROUND(MAX((50*POWER(80,POWER(COS(PI()*MOD(Calculator!$B$31/Calculator!$F$13,1)),2)))/$C94,$C94/(50*POWER(80,POWER(COS(PI()*MOD(Calculator!$B$31/Calculator!$F$13,1)),2)))),2))</f>
        <v>8.24</v>
      </c>
      <c r="S94" s="117" t="n">
        <f aca="false">IF(OR(Calculator!$E$14&lt;&gt;"YES",Calculator!$B$31&lt;Calculator!$G$14),"—",ROUND(MAX((50*POWER(80,POWER(COS(PI()*MOD(Calculator!$B$31/Calculator!$F$14,1)),2)))/$C94,$C94/(50*POWER(80,POWER(COS(PI()*MOD(Calculator!$B$31/Calculator!$F$14,1)),2)))),2))</f>
        <v>17.21</v>
      </c>
      <c r="T94" s="117" t="n">
        <f aca="false">IF(OR(Calculator!$E$15&lt;&gt;"YES",Calculator!$B$31&lt;Calculator!$G$15),"—",ROUND(MAX((50*POWER(80,POWER(COS(PI()*MOD(Calculator!$B$31/Calculator!$F$15,1)),2)))/$C94,$C94/(50*POWER(80,POWER(COS(PI()*MOD(Calculator!$B$31/Calculator!$F$15,1)),2)))),2))</f>
        <v>10.83</v>
      </c>
      <c r="U94" s="117" t="n">
        <f aca="false">IF(OR(Calculator!$E$16&lt;&gt;"YES",Calculator!$B$31&lt;Calculator!$G$16),"—",ROUND(MAX((50*POWER(80,POWER(COS(PI()*MOD(Calculator!$B$31/Calculator!$F$16,1)),2)))/$C94,$C94/(50*POWER(80,POWER(COS(PI()*MOD(Calculator!$B$31/Calculator!$F$16,1)),2)))),2))</f>
        <v>42.22</v>
      </c>
      <c r="V94" s="117" t="n">
        <f aca="false">IF(OR(Calculator!$E$17&lt;&gt;"YES",Calculator!$B$31&lt;Calculator!$G$17),"—",ROUND(MAX((50*POWER(80,POWER(COS(PI()*MOD(Calculator!$B$31/Calculator!$F$17,1)),2)))/$C94,$C94/(50*POWER(80,POWER(COS(PI()*MOD(Calculator!$B$31/Calculator!$F$17,1)),2)))),2))</f>
        <v>1.49</v>
      </c>
      <c r="W94" s="117" t="n">
        <f aca="false">IF(OR(Calculator!$E$18&lt;&gt;"YES",Calculator!$B$31&lt;Calculator!$G$18),"—",ROUND(MAX((50*POWER(80,POWER(COS(PI()*MOD(Calculator!$B$31/Calculator!$F$18,1)),2)))/$C94,$C94/(50*POWER(80,POWER(COS(PI()*MOD(Calculator!$B$31/Calculator!$F$18,1)),2)))),2))</f>
        <v>1.39</v>
      </c>
      <c r="X94" s="117" t="n">
        <f aca="false">IF(OR(Calculator!$E$19&lt;&gt;"YES",Calculator!$B$31&lt;Calculator!$G$19),"—",ROUND(MAX((50*POWER(80,POWER(COS(PI()*MOD(Calculator!$B$31/Calculator!$F$19,1)),2)))/$C94,$C94/(50*POWER(80,POWER(COS(PI()*MOD(Calculator!$B$31/Calculator!$F$19,1)),2)))),2))</f>
        <v>1.06</v>
      </c>
      <c r="Y94" s="117" t="n">
        <f aca="false">IF(OR(Calculator!$E$20&lt;&gt;"YES",Calculator!$B$31&lt;Calculator!$G$20),"—",ROUND(MAX((50*POWER(80,POWER(COS(PI()*MOD(Calculator!$B$31/Calculator!$F$20,1)),2)))/$C94,$C94/(50*POWER(80,POWER(COS(PI()*MOD(Calculator!$B$31/Calculator!$F$20,1)),2)))),2))</f>
        <v>26.11</v>
      </c>
      <c r="Z94" s="117" t="n">
        <f aca="false">IF(OR(Calculator!$E$21&lt;&gt;"YES",Calculator!$B$31&lt;Calculator!$G$21),"—",ROUND(MAX((50*POWER(80,POWER(COS(PI()*MOD(Calculator!$B$31/Calculator!$F$21,1)),2)))/$C94,$C94/(50*POWER(80,POWER(COS(PI()*MOD(Calculator!$B$31/Calculator!$F$21,1)),2)))),2))</f>
        <v>1.73</v>
      </c>
      <c r="AA94" s="121" t="n">
        <f aca="false">IFERROR(ROUND((IF(ISNUMBER(P94),P94,0)+IF(ISNUMBER(Q94),Q94,0)+IF(ISNUMBER(R94),R94,0)+IF(ISNUMBER(S94),S94,0)+IF(ISNUMBER(T94),T94,0)+IF(ISNUMBER(U94),U94,0)+IF(ISNUMBER(V94),V94,0)+IF(ISNUMBER(W94),W94,0)+IF(ISNUMBER(X94),X94,0)+IF(ISNUMBER(Y94),Y94,0)+IF(ISNUMBER(Z94),Z94,0))/(IF(ISNUMBER(P94),1,0)+IF(ISNUMBER(Q94),1,0)+IF(ISNUMBER(R94),1,0)+IF(ISNUMBER(S94),1,0)+IF(ISNUMBER(T94),1,0)+IF(ISNUMBER(U94),1,0)+IF(ISNUMBER(V94),1,0)+IF(ISNUMBER(W94),1,0)+IF(ISNUMBER(X94),1,0)+IF(ISNUMBER(Y94),1,0)+IF(ISNUMBER(Z94),1,0)),2),"")</f>
        <v>13.51</v>
      </c>
      <c r="AB94" s="117" t="n">
        <f aca="false">IF(OR(Calculator!$E$11&lt;&gt;"YES",Calculator!$B$32&lt;Calculator!$G$11),"—",ROUND(MAX((50*POWER(80,POWER(COS(PI()*MOD(Calculator!$B$32/Calculator!$F$11,1)),2)))/$C94,$C94/(50*POWER(80,POWER(COS(PI()*MOD(Calculator!$B$32/Calculator!$F$11,1)),2)))),2))</f>
        <v>44.73</v>
      </c>
      <c r="AC94" s="117" t="n">
        <f aca="false">IF(OR(Calculator!$E$12&lt;&gt;"YES",Calculator!$B$32&lt;Calculator!$G$12),"—",ROUND(MAX((50*POWER(80,POWER(COS(PI()*MOD(Calculator!$B$32/Calculator!$F$12,1)),2)))/$C94,$C94/(50*POWER(80,POWER(COS(PI()*MOD(Calculator!$B$32/Calculator!$F$12,1)),2)))),2))</f>
        <v>1.54</v>
      </c>
      <c r="AD94" s="117" t="n">
        <f aca="false">IF(OR(Calculator!$E$13&lt;&gt;"YES",Calculator!$B$32&lt;Calculator!$G$13),"—",ROUND(MAX((50*POWER(80,POWER(COS(PI()*MOD(Calculator!$B$32/Calculator!$F$13,1)),2)))/$C94,$C94/(50*POWER(80,POWER(COS(PI()*MOD(Calculator!$B$32/Calculator!$F$13,1)),2)))),2))</f>
        <v>22.83</v>
      </c>
      <c r="AE94" s="117" t="n">
        <f aca="false">IF(OR(Calculator!$E$14&lt;&gt;"YES",Calculator!$B$32&lt;Calculator!$G$14),"—",ROUND(MAX((50*POWER(80,POWER(COS(PI()*MOD(Calculator!$B$32/Calculator!$F$14,1)),2)))/$C94,$C94/(50*POWER(80,POWER(COS(PI()*MOD(Calculator!$B$32/Calculator!$F$14,1)),2)))),2))</f>
        <v>4.17</v>
      </c>
      <c r="AF94" s="117" t="n">
        <f aca="false">IF(OR(Calculator!$E$15&lt;&gt;"YES",Calculator!$B$32&lt;Calculator!$G$15),"—",ROUND(MAX((50*POWER(80,POWER(COS(PI()*MOD(Calculator!$B$32/Calculator!$F$15,1)),2)))/$C94,$C94/(50*POWER(80,POWER(COS(PI()*MOD(Calculator!$B$32/Calculator!$F$15,1)),2)))),2))</f>
        <v>1.6</v>
      </c>
      <c r="AG94" s="117" t="n">
        <f aca="false">IF(OR(Calculator!$E$16&lt;&gt;"YES",Calculator!$B$32&lt;Calculator!$G$16),"—",ROUND(MAX((50*POWER(80,POWER(COS(PI()*MOD(Calculator!$B$32/Calculator!$F$16,1)),2)))/$C94,$C94/(50*POWER(80,POWER(COS(PI()*MOD(Calculator!$B$32/Calculator!$F$16,1)),2)))),2))</f>
        <v>36.45</v>
      </c>
      <c r="AH94" s="117" t="n">
        <f aca="false">IF(OR(Calculator!$E$17&lt;&gt;"YES",Calculator!$B$32&lt;Calculator!$G$17),"—",ROUND(MAX((50*POWER(80,POWER(COS(PI()*MOD(Calculator!$B$32/Calculator!$F$17,1)),2)))/$C94,$C94/(50*POWER(80,POWER(COS(PI()*MOD(Calculator!$B$32/Calculator!$F$17,1)),2)))),2))</f>
        <v>38.47</v>
      </c>
      <c r="AI94" s="117" t="n">
        <f aca="false">IF(OR(Calculator!$E$18&lt;&gt;"YES",Calculator!$B$32&lt;Calculator!$G$18),"—",ROUND(MAX((50*POWER(80,POWER(COS(PI()*MOD(Calculator!$B$32/Calculator!$F$18,1)),2)))/$C94,$C94/(50*POWER(80,POWER(COS(PI()*MOD(Calculator!$B$32/Calculator!$F$18,1)),2)))),2))</f>
        <v>50.75</v>
      </c>
      <c r="AJ94" s="117" t="n">
        <f aca="false">IF(OR(Calculator!$E$19&lt;&gt;"YES",Calculator!$B$32&lt;Calculator!$G$19),"—",ROUND(MAX((50*POWER(80,POWER(COS(PI()*MOD(Calculator!$B$32/Calculator!$F$19,1)),2)))/$C94,$C94/(50*POWER(80,POWER(COS(PI()*MOD(Calculator!$B$32/Calculator!$F$19,1)),2)))),2))</f>
        <v>10.7</v>
      </c>
      <c r="AK94" s="117" t="n">
        <f aca="false">IF(OR(Calculator!$E$20&lt;&gt;"YES",Calculator!$B$32&lt;Calculator!$G$20),"—",ROUND(MAX((50*POWER(80,POWER(COS(PI()*MOD(Calculator!$B$32/Calculator!$F$20,1)),2)))/$C94,$C94/(50*POWER(80,POWER(COS(PI()*MOD(Calculator!$B$32/Calculator!$F$20,1)),2)))),2))</f>
        <v>1.04</v>
      </c>
      <c r="AL94" s="117" t="n">
        <f aca="false">IF(OR(Calculator!$E$21&lt;&gt;"YES",Calculator!$B$32&lt;Calculator!$G$21),"—",ROUND(MAX((50*POWER(80,POWER(COS(PI()*MOD(Calculator!$B$32/Calculator!$F$21,1)),2)))/$C94,$C94/(50*POWER(80,POWER(COS(PI()*MOD(Calculator!$B$32/Calculator!$F$21,1)),2)))),2))</f>
        <v>1.11</v>
      </c>
      <c r="AM94" s="115" t="n">
        <f aca="false">IFERROR(ROUND((IF(ISNUMBER(AB94),AB94,0)+IF(ISNUMBER(AC94),AC94,0)+IF(ISNUMBER(AD94),AD94,0)+IF(ISNUMBER(AE94),AE94,0)+IF(ISNUMBER(AF94),AF94,0)+IF(ISNUMBER(AG94),AG94,0)+IF(ISNUMBER(AH94),AH94,0)+IF(ISNUMBER(AI94),AI94,0)+IF(ISNUMBER(AJ94),AJ94,0)+IF(ISNUMBER(AK94),AK94,0)+IF(ISNUMBER(AL94),AL94,0))/(IF(ISNUMBER(AB94),1,0)+IF(ISNUMBER(AC94),1,0)+IF(ISNUMBER(AD94),1,0)+IF(ISNUMBER(AE94),1,0)+IF(ISNUMBER(AF94),1,0)+IF(ISNUMBER(AG94),1,0)+IF(ISNUMBER(AH94),1,0)+IF(ISNUMBER(AI94),1,0)+IF(ISNUMBER(AJ94),1,0)+IF(ISNUMBER(AK94),1,0)+IF(ISNUMBER(AL94),1,0)),2),"")</f>
        <v>19.4</v>
      </c>
      <c r="AN94" s="120" t="n">
        <f aca="false">IF(OR(Calculator!$E$11&lt;&gt;"YES",Calculator!$B$33&lt;Calculator!$G$11),"—",ROUND(MAX((50*POWER(80,POWER(COS(PI()*MOD(Calculator!$B$33/Calculator!$F$11,1)),2)))/$C94,$C94/(50*POWER(80,POWER(COS(PI()*MOD(Calculator!$B$33/Calculator!$F$11,1)),2)))),2))</f>
        <v>35.97</v>
      </c>
      <c r="AO94" s="120" t="n">
        <f aca="false">IF(OR(Calculator!$E$12&lt;&gt;"YES",Calculator!$B$33&lt;Calculator!$G$12),"—",ROUND(MAX((50*POWER(80,POWER(COS(PI()*MOD(Calculator!$B$33/Calculator!$F$12,1)),2)))/$C94,$C94/(50*POWER(80,POWER(COS(PI()*MOD(Calculator!$B$33/Calculator!$F$12,1)),2)))),2))</f>
        <v>2.75</v>
      </c>
      <c r="AP94" s="120" t="n">
        <f aca="false">IF(OR(Calculator!$E$13&lt;&gt;"YES",Calculator!$B$33&lt;Calculator!$G$13),"—",ROUND(MAX((50*POWER(80,POWER(COS(PI()*MOD(Calculator!$B$33/Calculator!$F$13,1)),2)))/$C94,$C94/(50*POWER(80,POWER(COS(PI()*MOD(Calculator!$B$33/Calculator!$F$13,1)),2)))),2))</f>
        <v>8.67</v>
      </c>
      <c r="AQ94" s="120" t="n">
        <f aca="false">IF(OR(Calculator!$E$14&lt;&gt;"YES",Calculator!$B$33&lt;Calculator!$G$14),"—",ROUND(MAX((50*POWER(80,POWER(COS(PI()*MOD(Calculator!$B$33/Calculator!$F$14,1)),2)))/$C94,$C94/(50*POWER(80,POWER(COS(PI()*MOD(Calculator!$B$33/Calculator!$F$14,1)),2)))),2))</f>
        <v>16.15</v>
      </c>
      <c r="AR94" s="120" t="n">
        <f aca="false">IF(OR(Calculator!$E$15&lt;&gt;"YES",Calculator!$B$33&lt;Calculator!$G$15),"—",ROUND(MAX((50*POWER(80,POWER(COS(PI()*MOD(Calculator!$B$33/Calculator!$F$15,1)),2)))/$C94,$C94/(50*POWER(80,POWER(COS(PI()*MOD(Calculator!$B$33/Calculator!$F$15,1)),2)))),2))</f>
        <v>9.84</v>
      </c>
      <c r="AS94" s="120" t="n">
        <f aca="false">IF(OR(Calculator!$E$16&lt;&gt;"YES",Calculator!$B$33&lt;Calculator!$G$16),"—",ROUND(MAX((50*POWER(80,POWER(COS(PI()*MOD(Calculator!$B$33/Calculator!$F$16,1)),2)))/$C94,$C94/(50*POWER(80,POWER(COS(PI()*MOD(Calculator!$B$33/Calculator!$F$16,1)),2)))),2))</f>
        <v>45.46</v>
      </c>
      <c r="AT94" s="120" t="n">
        <f aca="false">IF(OR(Calculator!$E$17&lt;&gt;"YES",Calculator!$B$33&lt;Calculator!$G$17),"—",ROUND(MAX((50*POWER(80,POWER(COS(PI()*MOD(Calculator!$B$33/Calculator!$F$17,1)),2)))/$C94,$C94/(50*POWER(80,POWER(COS(PI()*MOD(Calculator!$B$33/Calculator!$F$17,1)),2)))),2))</f>
        <v>1.69</v>
      </c>
      <c r="AU94" s="120" t="n">
        <f aca="false">IF(OR(Calculator!$E$18&lt;&gt;"YES",Calculator!$B$33&lt;Calculator!$G$18),"—",ROUND(MAX((50*POWER(80,POWER(COS(PI()*MOD(Calculator!$B$33/Calculator!$F$18,1)),2)))/$C94,$C94/(50*POWER(80,POWER(COS(PI()*MOD(Calculator!$B$33/Calculator!$F$18,1)),2)))),2))</f>
        <v>1.6</v>
      </c>
      <c r="AV94" s="120" t="n">
        <f aca="false">IF(OR(Calculator!$E$19&lt;&gt;"YES",Calculator!$B$33&lt;Calculator!$G$19),"—",ROUND(MAX((50*POWER(80,POWER(COS(PI()*MOD(Calculator!$B$33/Calculator!$F$19,1)),2)))/$C94,$C94/(50*POWER(80,POWER(COS(PI()*MOD(Calculator!$B$33/Calculator!$F$19,1)),2)))),2))</f>
        <v>1.06</v>
      </c>
      <c r="AW94" s="120" t="n">
        <f aca="false">IF(OR(Calculator!$E$20&lt;&gt;"YES",Calculator!$B$33&lt;Calculator!$G$20),"—",ROUND(MAX((50*POWER(80,POWER(COS(PI()*MOD(Calculator!$B$33/Calculator!$F$20,1)),2)))/$C94,$C94/(50*POWER(80,POWER(COS(PI()*MOD(Calculator!$B$33/Calculator!$F$20,1)),2)))),2))</f>
        <v>20.7</v>
      </c>
      <c r="AX94" s="120" t="n">
        <f aca="false">IF(OR(Calculator!$E$21&lt;&gt;"YES",Calculator!$B$33&lt;Calculator!$G$21),"—",ROUND(MAX((50*POWER(80,POWER(COS(PI()*MOD(Calculator!$B$33/Calculator!$F$21,1)),2)))/$C94,$C94/(50*POWER(80,POWER(COS(PI()*MOD(Calculator!$B$33/Calculator!$F$21,1)),2)))),2))</f>
        <v>2.65</v>
      </c>
      <c r="AY94" s="115" t="n">
        <f aca="false">IFERROR(ROUND((IF(ISNUMBER(AN94),AN94,0)+IF(ISNUMBER(AO94),AO94,0)+IF(ISNUMBER(AP94),AP94,0)+IF(ISNUMBER(AQ94),AQ94,0)+IF(ISNUMBER(AR94),AR94,0)+IF(ISNUMBER(AS94),AS94,0)+IF(ISNUMBER(AT94),AT94,0)+IF(ISNUMBER(AU94),AU94,0)+IF(ISNUMBER(AV94),AV94,0)+IF(ISNUMBER(AW94),AW94,0)+IF(ISNUMBER(AX94),AX94,0))/(IF(ISNUMBER(AN94),1,0)+IF(ISNUMBER(AO94),1,0)+IF(ISNUMBER(AP94),1,0)+IF(ISNUMBER(AQ94),1,0)+IF(ISNUMBER(AR94),1,0)+IF(ISNUMBER(AS94),1,0)+IF(ISNUMBER(AT94),1,0)+IF(ISNUMBER(AU94),1,0)+IF(ISNUMBER(AV94),1,0)+IF(ISNUMBER(AW94),1,0)+IF(ISNUMBER(AX94),1,0)),2),"")</f>
        <v>13.32</v>
      </c>
      <c r="AZ94" s="120" t="n">
        <f aca="false">IF(OR(Calculator!$E$11&lt;&gt;"YES",Calculator!$B$34&lt;Calculator!$G$11),"—",ROUND(MAX((50*POWER(80,POWER(COS(PI()*MOD(Calculator!$B$34/Calculator!$F$11,1)),2)))/$C94,$C94/(50*POWER(80,POWER(COS(PI()*MOD(Calculator!$B$34/Calculator!$F$11,1)),2)))),2))</f>
        <v>34.67</v>
      </c>
      <c r="BA94" s="120" t="n">
        <f aca="false">IF(OR(Calculator!$E$12&lt;&gt;"YES",Calculator!$B$34&lt;Calculator!$G$12),"—",ROUND(MAX((50*POWER(80,POWER(COS(PI()*MOD(Calculator!$B$34/Calculator!$F$12,1)),2)))/$C94,$C94/(50*POWER(80,POWER(COS(PI()*MOD(Calculator!$B$34/Calculator!$F$12,1)),2)))),2))</f>
        <v>3.04</v>
      </c>
      <c r="BB94" s="120" t="n">
        <f aca="false">IF(OR(Calculator!$E$13&lt;&gt;"YES",Calculator!$B$34&lt;Calculator!$G$13),"—",ROUND(MAX((50*POWER(80,POWER(COS(PI()*MOD(Calculator!$B$34/Calculator!$F$13,1)),2)))/$C94,$C94/(50*POWER(80,POWER(COS(PI()*MOD(Calculator!$B$34/Calculator!$F$13,1)),2)))),2))</f>
        <v>7.43</v>
      </c>
      <c r="BC94" s="120" t="n">
        <f aca="false">IF(OR(Calculator!$E$14&lt;&gt;"YES",Calculator!$B$34&lt;Calculator!$G$14),"—",ROUND(MAX((50*POWER(80,POWER(COS(PI()*MOD(Calculator!$B$34/Calculator!$F$14,1)),2)))/$C94,$C94/(50*POWER(80,POWER(COS(PI()*MOD(Calculator!$B$34/Calculator!$F$14,1)),2)))),2))</f>
        <v>19.48</v>
      </c>
      <c r="BD94" s="120" t="n">
        <f aca="false">IF(OR(Calculator!$E$15&lt;&gt;"YES",Calculator!$B$34&lt;Calculator!$G$15),"—",ROUND(MAX((50*POWER(80,POWER(COS(PI()*MOD(Calculator!$B$34/Calculator!$F$15,1)),2)))/$C94,$C94/(50*POWER(80,POWER(COS(PI()*MOD(Calculator!$B$34/Calculator!$F$15,1)),2)))),2))</f>
        <v>13.09</v>
      </c>
      <c r="BE94" s="120" t="n">
        <f aca="false">IF(OR(Calculator!$E$16&lt;&gt;"YES",Calculator!$B$34&lt;Calculator!$G$16),"—",ROUND(MAX((50*POWER(80,POWER(COS(PI()*MOD(Calculator!$B$34/Calculator!$F$16,1)),2)))/$C94,$C94/(50*POWER(80,POWER(COS(PI()*MOD(Calculator!$B$34/Calculator!$F$16,1)),2)))),2))</f>
        <v>35.67</v>
      </c>
      <c r="BF94" s="120" t="n">
        <f aca="false">IF(OR(Calculator!$E$17&lt;&gt;"YES",Calculator!$B$34&lt;Calculator!$G$17),"—",ROUND(MAX((50*POWER(80,POWER(COS(PI()*MOD(Calculator!$B$34/Calculator!$F$17,1)),2)))/$C94,$C94/(50*POWER(80,POWER(COS(PI()*MOD(Calculator!$B$34/Calculator!$F$17,1)),2)))),2))</f>
        <v>1.18</v>
      </c>
      <c r="BG94" s="120" t="n">
        <f aca="false">IF(OR(Calculator!$E$18&lt;&gt;"YES",Calculator!$B$34&lt;Calculator!$G$18),"—",ROUND(MAX((50*POWER(80,POWER(COS(PI()*MOD(Calculator!$B$34/Calculator!$F$18,1)),2)))/$C94,$C94/(50*POWER(80,POWER(COS(PI()*MOD(Calculator!$B$34/Calculator!$F$18,1)),2)))),2))</f>
        <v>1.08</v>
      </c>
      <c r="BH94" s="120" t="n">
        <f aca="false">IF(OR(Calculator!$E$19&lt;&gt;"YES",Calculator!$B$34&lt;Calculator!$G$19),"—",ROUND(MAX((50*POWER(80,POWER(COS(PI()*MOD(Calculator!$B$34/Calculator!$F$19,1)),2)))/$C94,$C94/(50*POWER(80,POWER(COS(PI()*MOD(Calculator!$B$34/Calculator!$F$19,1)),2)))),2))</f>
        <v>1.41</v>
      </c>
      <c r="BI94" s="120" t="n">
        <f aca="false">IF(OR(Calculator!$E$20&lt;&gt;"YES",Calculator!$B$34&lt;Calculator!$G$20),"—",ROUND(MAX((50*POWER(80,POWER(COS(PI()*MOD(Calculator!$B$34/Calculator!$F$20,1)),2)))/$C94,$C94/(50*POWER(80,POWER(COS(PI()*MOD(Calculator!$B$34/Calculator!$F$20,1)),2)))),2))</f>
        <v>38.81</v>
      </c>
      <c r="BJ94" s="120" t="n">
        <f aca="false">IF(OR(Calculator!$E$21&lt;&gt;"YES",Calculator!$B$34&lt;Calculator!$G$21),"—",ROUND(MAX((50*POWER(80,POWER(COS(PI()*MOD(Calculator!$B$34/Calculator!$F$21,1)),2)))/$C94,$C94/(50*POWER(80,POWER(COS(PI()*MOD(Calculator!$B$34/Calculator!$F$21,1)),2)))),2))</f>
        <v>1.06</v>
      </c>
      <c r="BK94" s="115" t="n">
        <f aca="false">IFERROR(ROUND((IF(ISNUMBER(AZ94),AZ94,0)+IF(ISNUMBER(BA94),BA94,0)+IF(ISNUMBER(BB94),BB94,0)+IF(ISNUMBER(BC94),BC94,0)+IF(ISNUMBER(BD94),BD94,0)+IF(ISNUMBER(BE94),BE94,0)+IF(ISNUMBER(BF94),BF94,0)+IF(ISNUMBER(BG94),BG94,0)+IF(ISNUMBER(BH94),BH94,0)+IF(ISNUMBER(BI94),BI94,0)+IF(ISNUMBER(BJ94),BJ94,0))/(IF(ISNUMBER(AZ94),1,0)+IF(ISNUMBER(BA94),1,0)+IF(ISNUMBER(BB94),1,0)+IF(ISNUMBER(BC94),1,0)+IF(ISNUMBER(BD94),1,0)+IF(ISNUMBER(BE94),1,0)+IF(ISNUMBER(BF94),1,0)+IF(ISNUMBER(BG94),1,0)+IF(ISNUMBER(BH94),1,0)+IF(ISNUMBER(BI94),1,0)+IF(ISNUMBER(BJ94),1,0)),2),"")</f>
        <v>14.27</v>
      </c>
    </row>
    <row r="95" customFormat="false" ht="15" hidden="false" customHeight="false" outlineLevel="0" collapsed="false">
      <c r="A95" s="87" t="s">
        <v>153</v>
      </c>
      <c r="B95" s="122" t="s">
        <v>93</v>
      </c>
      <c r="C95" s="87" t="n">
        <v>3150</v>
      </c>
      <c r="D95" s="87" t="n">
        <f aca="false">IF(OR(Calculator!$E$11&lt;&gt;"YES",Calculator!$B$30&lt;Calculator!$G$11),"—",ROUND(MAX((50*POWER(80,POWER(COS(PI()*MOD(Calculator!$B$30/Calculator!$F$11,1)),2)))/$C95,$C95/(50*POWER(80,POWER(COS(PI()*MOD(Calculator!$B$30/Calculator!$F$11,1)),2)))),2))</f>
        <v>35.67</v>
      </c>
      <c r="E95" s="87" t="n">
        <f aca="false">IF(OR(Calculator!$E$12&lt;&gt;"YES",Calculator!$B$30&lt;Calculator!$G$12),"—",ROUND(MAX((50*POWER(80,POWER(COS(PI()*MOD(Calculator!$B$30/Calculator!$F$12,1)),2)))/$C95,$C95/(50*POWER(80,POWER(COS(PI()*MOD(Calculator!$B$30/Calculator!$F$12,1)),2)))),2))</f>
        <v>2.99</v>
      </c>
      <c r="F95" s="87" t="n">
        <f aca="false">IF(OR(Calculator!$E$13&lt;&gt;"YES",Calculator!$B$30&lt;Calculator!$G$13),"—",ROUND(MAX((50*POWER(80,POWER(COS(PI()*MOD(Calculator!$B$30/Calculator!$F$13,1)),2)))/$C95,$C95/(50*POWER(80,POWER(COS(PI()*MOD(Calculator!$B$30/Calculator!$F$13,1)),2)))),2))</f>
        <v>7.95</v>
      </c>
      <c r="G95" s="87" t="n">
        <f aca="false">IF(OR(Calculator!$E$14&lt;&gt;"YES",Calculator!$B$30&lt;Calculator!$G$14),"—",ROUND(MAX((50*POWER(80,POWER(COS(PI()*MOD(Calculator!$B$30/Calculator!$F$14,1)),2)))/$C95,$C95/(50*POWER(80,POWER(COS(PI()*MOD(Calculator!$B$30/Calculator!$F$14,1)),2)))),2))</f>
        <v>18.61</v>
      </c>
      <c r="H95" s="87" t="n">
        <f aca="false">IF(OR(Calculator!$E$15&lt;&gt;"YES",Calculator!$B$30&lt;Calculator!$G$15),"—",ROUND(MAX((50*POWER(80,POWER(COS(PI()*MOD(Calculator!$B$30/Calculator!$F$15,1)),2)))/$C95,$C95/(50*POWER(80,POWER(COS(PI()*MOD(Calculator!$B$30/Calculator!$F$15,1)),2)))),2))</f>
        <v>12.1</v>
      </c>
      <c r="I95" s="87" t="n">
        <f aca="false">IF(OR(Calculator!$E$16&lt;&gt;"YES",Calculator!$B$30&lt;Calculator!$G$16),"—",ROUND(MAX((50*POWER(80,POWER(COS(PI()*MOD(Calculator!$B$30/Calculator!$F$16,1)),2)))/$C95,$C95/(50*POWER(80,POWER(COS(PI()*MOD(Calculator!$B$30/Calculator!$F$16,1)),2)))),2))</f>
        <v>39.57</v>
      </c>
      <c r="J95" s="87" t="n">
        <f aca="false">IF(OR(Calculator!$E$17&lt;&gt;"YES",Calculator!$B$30&lt;Calculator!$G$17),"—",ROUND(MAX((50*POWER(80,POWER(COS(PI()*MOD(Calculator!$B$30/Calculator!$F$17,1)),2)))/$C95,$C95/(50*POWER(80,POWER(COS(PI()*MOD(Calculator!$B$30/Calculator!$F$17,1)),2)))),2))</f>
        <v>1.34</v>
      </c>
      <c r="K95" s="87" t="n">
        <f aca="false">IF(OR(Calculator!$E$18&lt;&gt;"YES",Calculator!$B$30&lt;Calculator!$G$18),"—",ROUND(MAX((50*POWER(80,POWER(COS(PI()*MOD(Calculator!$B$30/Calculator!$F$18,1)),2)))/$C95,$C95/(50*POWER(80,POWER(COS(PI()*MOD(Calculator!$B$30/Calculator!$F$18,1)),2)))),2))</f>
        <v>1.23</v>
      </c>
      <c r="L95" s="87" t="n">
        <f aca="false">IF(OR(Calculator!$E$19&lt;&gt;"YES",Calculator!$B$30&lt;Calculator!$G$19),"—",ROUND(MAX((50*POWER(80,POWER(COS(PI()*MOD(Calculator!$B$30/Calculator!$F$19,1)),2)))/$C95,$C95/(50*POWER(80,POWER(COS(PI()*MOD(Calculator!$B$30/Calculator!$F$19,1)),2)))),2))</f>
        <v>1.23</v>
      </c>
      <c r="M95" s="87" t="n">
        <f aca="false">IF(OR(Calculator!$E$20&lt;&gt;"YES",Calculator!$B$30&lt;Calculator!$G$20),"—",ROUND(MAX((50*POWER(80,POWER(COS(PI()*MOD(Calculator!$B$30/Calculator!$F$20,1)),2)))/$C95,$C95/(50*POWER(80,POWER(COS(PI()*MOD(Calculator!$B$30/Calculator!$F$20,1)),2)))),2))</f>
        <v>32.75</v>
      </c>
      <c r="N95" s="87" t="n">
        <f aca="false">IF(OR(Calculator!$E$21&lt;&gt;"YES",Calculator!$B$30&lt;Calculator!$G$21),"—",ROUND(MAX((50*POWER(80,POWER(COS(PI()*MOD(Calculator!$B$30/Calculator!$F$21,1)),2)))/$C95,$C95/(50*POWER(80,POWER(COS(PI()*MOD(Calculator!$B$30/Calculator!$F$21,1)),2)))),2))</f>
        <v>1.24</v>
      </c>
      <c r="O95" s="121" t="n">
        <f aca="false">IFERROR(ROUND((IF(ISNUMBER(D95),D95,0)+IF(ISNUMBER(E95),E95,0)+IF(ISNUMBER(F95),F95,0)+IF(ISNUMBER(G95),G95,0)+IF(ISNUMBER(H95),H95,0)+IF(ISNUMBER(I95),I95,0)+IF(ISNUMBER(J95),J95,0)+IF(ISNUMBER(K95),K95,0)+IF(ISNUMBER(L95),L95,0)+IF(ISNUMBER(M95),M95,0)+IF(ISNUMBER(N95),N95,0))/(IF(ISNUMBER(D95),1,0)+IF(ISNUMBER(E95),1,0)+IF(ISNUMBER(F95),1,0)+IF(ISNUMBER(G95),1,0)+IF(ISNUMBER(H95),1,0)+IF(ISNUMBER(I95),1,0)+IF(ISNUMBER(J95),1,0)+IF(ISNUMBER(K95),1,0)+IF(ISNUMBER(L95),1,0)+IF(ISNUMBER(M95),1,0)+IF(ISNUMBER(N95),1,0)),2),"")</f>
        <v>14.06</v>
      </c>
      <c r="P95" s="87" t="n">
        <f aca="false">IF(OR(Calculator!$E$11&lt;&gt;"YES",Calculator!$B$31&lt;Calculator!$G$11),"—",ROUND(MAX((50*POWER(80,POWER(COS(PI()*MOD(Calculator!$B$31/Calculator!$F$11,1)),2)))/$C95,$C95/(50*POWER(80,POWER(COS(PI()*MOD(Calculator!$B$31/Calculator!$F$11,1)),2)))),2))</f>
        <v>36.11</v>
      </c>
      <c r="Q95" s="87" t="n">
        <f aca="false">IF(OR(Calculator!$E$12&lt;&gt;"YES",Calculator!$B$31&lt;Calculator!$G$12),"—",ROUND(MAX((50*POWER(80,POWER(COS(PI()*MOD(Calculator!$B$31/Calculator!$F$12,1)),2)))/$C95,$C95/(50*POWER(80,POWER(COS(PI()*MOD(Calculator!$B$31/Calculator!$F$12,1)),2)))),2))</f>
        <v>2.89</v>
      </c>
      <c r="R95" s="87" t="n">
        <f aca="false">IF(OR(Calculator!$E$13&lt;&gt;"YES",Calculator!$B$31&lt;Calculator!$G$13),"—",ROUND(MAX((50*POWER(80,POWER(COS(PI()*MOD(Calculator!$B$31/Calculator!$F$13,1)),2)))/$C95,$C95/(50*POWER(80,POWER(COS(PI()*MOD(Calculator!$B$31/Calculator!$F$13,1)),2)))),2))</f>
        <v>8.37</v>
      </c>
      <c r="S95" s="87" t="n">
        <f aca="false">IF(OR(Calculator!$E$14&lt;&gt;"YES",Calculator!$B$31&lt;Calculator!$G$14),"—",ROUND(MAX((50*POWER(80,POWER(COS(PI()*MOD(Calculator!$B$31/Calculator!$F$14,1)),2)))/$C95,$C95/(50*POWER(80,POWER(COS(PI()*MOD(Calculator!$B$31/Calculator!$F$14,1)),2)))),2))</f>
        <v>17.48</v>
      </c>
      <c r="T95" s="87" t="n">
        <f aca="false">IF(OR(Calculator!$E$15&lt;&gt;"YES",Calculator!$B$31&lt;Calculator!$G$15),"—",ROUND(MAX((50*POWER(80,POWER(COS(PI()*MOD(Calculator!$B$31/Calculator!$F$15,1)),2)))/$C95,$C95/(50*POWER(80,POWER(COS(PI()*MOD(Calculator!$B$31/Calculator!$F$15,1)),2)))),2))</f>
        <v>11</v>
      </c>
      <c r="U95" s="87" t="n">
        <f aca="false">IF(OR(Calculator!$E$16&lt;&gt;"YES",Calculator!$B$31&lt;Calculator!$G$16),"—",ROUND(MAX((50*POWER(80,POWER(COS(PI()*MOD(Calculator!$B$31/Calculator!$F$16,1)),2)))/$C95,$C95/(50*POWER(80,POWER(COS(PI()*MOD(Calculator!$B$31/Calculator!$F$16,1)),2)))),2))</f>
        <v>42.9</v>
      </c>
      <c r="V95" s="87" t="n">
        <f aca="false">IF(OR(Calculator!$E$17&lt;&gt;"YES",Calculator!$B$31&lt;Calculator!$G$17),"—",ROUND(MAX((50*POWER(80,POWER(COS(PI()*MOD(Calculator!$B$31/Calculator!$F$17,1)),2)))/$C95,$C95/(50*POWER(80,POWER(COS(PI()*MOD(Calculator!$B$31/Calculator!$F$17,1)),2)))),2))</f>
        <v>1.51</v>
      </c>
      <c r="W95" s="87" t="n">
        <f aca="false">IF(OR(Calculator!$E$18&lt;&gt;"YES",Calculator!$B$31&lt;Calculator!$G$18),"—",ROUND(MAX((50*POWER(80,POWER(COS(PI()*MOD(Calculator!$B$31/Calculator!$F$18,1)),2)))/$C95,$C95/(50*POWER(80,POWER(COS(PI()*MOD(Calculator!$B$31/Calculator!$F$18,1)),2)))),2))</f>
        <v>1.41</v>
      </c>
      <c r="X95" s="87" t="n">
        <f aca="false">IF(OR(Calculator!$E$19&lt;&gt;"YES",Calculator!$B$31&lt;Calculator!$G$19),"—",ROUND(MAX((50*POWER(80,POWER(COS(PI()*MOD(Calculator!$B$31/Calculator!$F$19,1)),2)))/$C95,$C95/(50*POWER(80,POWER(COS(PI()*MOD(Calculator!$B$31/Calculator!$F$19,1)),2)))),2))</f>
        <v>1.07</v>
      </c>
      <c r="Y95" s="87" t="n">
        <f aca="false">IF(OR(Calculator!$E$20&lt;&gt;"YES",Calculator!$B$31&lt;Calculator!$G$20),"—",ROUND(MAX((50*POWER(80,POWER(COS(PI()*MOD(Calculator!$B$31/Calculator!$F$20,1)),2)))/$C95,$C95/(50*POWER(80,POWER(COS(PI()*MOD(Calculator!$B$31/Calculator!$F$20,1)),2)))),2))</f>
        <v>26.53</v>
      </c>
      <c r="Z95" s="87" t="n">
        <f aca="false">IF(OR(Calculator!$E$21&lt;&gt;"YES",Calculator!$B$31&lt;Calculator!$G$21),"—",ROUND(MAX((50*POWER(80,POWER(COS(PI()*MOD(Calculator!$B$31/Calculator!$F$21,1)),2)))/$C95,$C95/(50*POWER(80,POWER(COS(PI()*MOD(Calculator!$B$31/Calculator!$F$21,1)),2)))),2))</f>
        <v>1.76</v>
      </c>
      <c r="AA95" s="121" t="n">
        <f aca="false">IFERROR(ROUND((IF(ISNUMBER(P95),P95,0)+IF(ISNUMBER(Q95),Q95,0)+IF(ISNUMBER(R95),R95,0)+IF(ISNUMBER(S95),S95,0)+IF(ISNUMBER(T95),T95,0)+IF(ISNUMBER(U95),U95,0)+IF(ISNUMBER(V95),V95,0)+IF(ISNUMBER(W95),W95,0)+IF(ISNUMBER(X95),X95,0)+IF(ISNUMBER(Y95),Y95,0)+IF(ISNUMBER(Z95),Z95,0))/(IF(ISNUMBER(P95),1,0)+IF(ISNUMBER(Q95),1,0)+IF(ISNUMBER(R95),1,0)+IF(ISNUMBER(S95),1,0)+IF(ISNUMBER(T95),1,0)+IF(ISNUMBER(U95),1,0)+IF(ISNUMBER(V95),1,0)+IF(ISNUMBER(W95),1,0)+IF(ISNUMBER(X95),1,0)+IF(ISNUMBER(Y95),1,0)+IF(ISNUMBER(Z95),1,0)),2),"")</f>
        <v>13.73</v>
      </c>
      <c r="AB95" s="87" t="n">
        <f aca="false">IF(OR(Calculator!$E$11&lt;&gt;"YES",Calculator!$B$32&lt;Calculator!$G$11),"—",ROUND(MAX((50*POWER(80,POWER(COS(PI()*MOD(Calculator!$B$32/Calculator!$F$11,1)),2)))/$C95,$C95/(50*POWER(80,POWER(COS(PI()*MOD(Calculator!$B$32/Calculator!$F$11,1)),2)))),2))</f>
        <v>45.45</v>
      </c>
      <c r="AC95" s="87" t="n">
        <f aca="false">IF(OR(Calculator!$E$12&lt;&gt;"YES",Calculator!$B$32&lt;Calculator!$G$12),"—",ROUND(MAX((50*POWER(80,POWER(COS(PI()*MOD(Calculator!$B$32/Calculator!$F$12,1)),2)))/$C95,$C95/(50*POWER(80,POWER(COS(PI()*MOD(Calculator!$B$32/Calculator!$F$12,1)),2)))),2))</f>
        <v>1.57</v>
      </c>
      <c r="AD95" s="87" t="n">
        <f aca="false">IF(OR(Calculator!$E$13&lt;&gt;"YES",Calculator!$B$32&lt;Calculator!$G$13),"—",ROUND(MAX((50*POWER(80,POWER(COS(PI()*MOD(Calculator!$B$32/Calculator!$F$13,1)),2)))/$C95,$C95/(50*POWER(80,POWER(COS(PI()*MOD(Calculator!$B$32/Calculator!$F$13,1)),2)))),2))</f>
        <v>23.19</v>
      </c>
      <c r="AE95" s="87" t="n">
        <f aca="false">IF(OR(Calculator!$E$14&lt;&gt;"YES",Calculator!$B$32&lt;Calculator!$G$14),"—",ROUND(MAX((50*POWER(80,POWER(COS(PI()*MOD(Calculator!$B$32/Calculator!$F$14,1)),2)))/$C95,$C95/(50*POWER(80,POWER(COS(PI()*MOD(Calculator!$B$32/Calculator!$F$14,1)),2)))),2))</f>
        <v>4.24</v>
      </c>
      <c r="AF95" s="87" t="n">
        <f aca="false">IF(OR(Calculator!$E$15&lt;&gt;"YES",Calculator!$B$32&lt;Calculator!$G$15),"—",ROUND(MAX((50*POWER(80,POWER(COS(PI()*MOD(Calculator!$B$32/Calculator!$F$15,1)),2)))/$C95,$C95/(50*POWER(80,POWER(COS(PI()*MOD(Calculator!$B$32/Calculator!$F$15,1)),2)))),2))</f>
        <v>1.63</v>
      </c>
      <c r="AG95" s="87" t="n">
        <f aca="false">IF(OR(Calculator!$E$16&lt;&gt;"YES",Calculator!$B$32&lt;Calculator!$G$16),"—",ROUND(MAX((50*POWER(80,POWER(COS(PI()*MOD(Calculator!$B$32/Calculator!$F$16,1)),2)))/$C95,$C95/(50*POWER(80,POWER(COS(PI()*MOD(Calculator!$B$32/Calculator!$F$16,1)),2)))),2))</f>
        <v>37.03</v>
      </c>
      <c r="AH95" s="87" t="n">
        <f aca="false">IF(OR(Calculator!$E$17&lt;&gt;"YES",Calculator!$B$32&lt;Calculator!$G$17),"—",ROUND(MAX((50*POWER(80,POWER(COS(PI()*MOD(Calculator!$B$32/Calculator!$F$17,1)),2)))/$C95,$C95/(50*POWER(80,POWER(COS(PI()*MOD(Calculator!$B$32/Calculator!$F$17,1)),2)))),2))</f>
        <v>39.09</v>
      </c>
      <c r="AI95" s="87" t="n">
        <f aca="false">IF(OR(Calculator!$E$18&lt;&gt;"YES",Calculator!$B$32&lt;Calculator!$G$18),"—",ROUND(MAX((50*POWER(80,POWER(COS(PI()*MOD(Calculator!$B$32/Calculator!$F$18,1)),2)))/$C95,$C95/(50*POWER(80,POWER(COS(PI()*MOD(Calculator!$B$32/Calculator!$F$18,1)),2)))),2))</f>
        <v>51.57</v>
      </c>
      <c r="AJ95" s="87" t="n">
        <f aca="false">IF(OR(Calculator!$E$19&lt;&gt;"YES",Calculator!$B$32&lt;Calculator!$G$19),"—",ROUND(MAX((50*POWER(80,POWER(COS(PI()*MOD(Calculator!$B$32/Calculator!$F$19,1)),2)))/$C95,$C95/(50*POWER(80,POWER(COS(PI()*MOD(Calculator!$B$32/Calculator!$F$19,1)),2)))),2))</f>
        <v>10.87</v>
      </c>
      <c r="AK95" s="87" t="n">
        <f aca="false">IF(OR(Calculator!$E$20&lt;&gt;"YES",Calculator!$B$32&lt;Calculator!$G$20),"—",ROUND(MAX((50*POWER(80,POWER(COS(PI()*MOD(Calculator!$B$32/Calculator!$F$20,1)),2)))/$C95,$C95/(50*POWER(80,POWER(COS(PI()*MOD(Calculator!$B$32/Calculator!$F$20,1)),2)))),2))</f>
        <v>1.02</v>
      </c>
      <c r="AL95" s="87" t="n">
        <f aca="false">IF(OR(Calculator!$E$21&lt;&gt;"YES",Calculator!$B$32&lt;Calculator!$G$21),"—",ROUND(MAX((50*POWER(80,POWER(COS(PI()*MOD(Calculator!$B$32/Calculator!$F$21,1)),2)))/$C95,$C95/(50*POWER(80,POWER(COS(PI()*MOD(Calculator!$B$32/Calculator!$F$21,1)),2)))),2))</f>
        <v>1.13</v>
      </c>
      <c r="AM95" s="115" t="n">
        <f aca="false">IFERROR(ROUND((IF(ISNUMBER(AB95),AB95,0)+IF(ISNUMBER(AC95),AC95,0)+IF(ISNUMBER(AD95),AD95,0)+IF(ISNUMBER(AE95),AE95,0)+IF(ISNUMBER(AF95),AF95,0)+IF(ISNUMBER(AG95),AG95,0)+IF(ISNUMBER(AH95),AH95,0)+IF(ISNUMBER(AI95),AI95,0)+IF(ISNUMBER(AJ95),AJ95,0)+IF(ISNUMBER(AK95),AK95,0)+IF(ISNUMBER(AL95),AL95,0))/(IF(ISNUMBER(AB95),1,0)+IF(ISNUMBER(AC95),1,0)+IF(ISNUMBER(AD95),1,0)+IF(ISNUMBER(AE95),1,0)+IF(ISNUMBER(AF95),1,0)+IF(ISNUMBER(AG95),1,0)+IF(ISNUMBER(AH95),1,0)+IF(ISNUMBER(AI95),1,0)+IF(ISNUMBER(AJ95),1,0)+IF(ISNUMBER(AK95),1,0)+IF(ISNUMBER(AL95),1,0)),2),"")</f>
        <v>19.71</v>
      </c>
      <c r="AN95" s="116" t="n">
        <f aca="false">IF(OR(Calculator!$E$11&lt;&gt;"YES",Calculator!$B$33&lt;Calculator!$G$11),"—",ROUND(MAX((50*POWER(80,POWER(COS(PI()*MOD(Calculator!$B$33/Calculator!$F$11,1)),2)))/$C95,$C95/(50*POWER(80,POWER(COS(PI()*MOD(Calculator!$B$33/Calculator!$F$11,1)),2)))),2))</f>
        <v>36.55</v>
      </c>
      <c r="AO95" s="116" t="n">
        <f aca="false">IF(OR(Calculator!$E$12&lt;&gt;"YES",Calculator!$B$33&lt;Calculator!$G$12),"—",ROUND(MAX((50*POWER(80,POWER(COS(PI()*MOD(Calculator!$B$33/Calculator!$F$12,1)),2)))/$C95,$C95/(50*POWER(80,POWER(COS(PI()*MOD(Calculator!$B$33/Calculator!$F$12,1)),2)))),2))</f>
        <v>2.8</v>
      </c>
      <c r="AP95" s="116" t="n">
        <f aca="false">IF(OR(Calculator!$E$13&lt;&gt;"YES",Calculator!$B$33&lt;Calculator!$G$13),"—",ROUND(MAX((50*POWER(80,POWER(COS(PI()*MOD(Calculator!$B$33/Calculator!$F$13,1)),2)))/$C95,$C95/(50*POWER(80,POWER(COS(PI()*MOD(Calculator!$B$33/Calculator!$F$13,1)),2)))),2))</f>
        <v>8.81</v>
      </c>
      <c r="AQ95" s="116" t="n">
        <f aca="false">IF(OR(Calculator!$E$14&lt;&gt;"YES",Calculator!$B$33&lt;Calculator!$G$14),"—",ROUND(MAX((50*POWER(80,POWER(COS(PI()*MOD(Calculator!$B$33/Calculator!$F$14,1)),2)))/$C95,$C95/(50*POWER(80,POWER(COS(PI()*MOD(Calculator!$B$33/Calculator!$F$14,1)),2)))),2))</f>
        <v>16.41</v>
      </c>
      <c r="AR95" s="116" t="n">
        <f aca="false">IF(OR(Calculator!$E$15&lt;&gt;"YES",Calculator!$B$33&lt;Calculator!$G$15),"—",ROUND(MAX((50*POWER(80,POWER(COS(PI()*MOD(Calculator!$B$33/Calculator!$F$15,1)),2)))/$C95,$C95/(50*POWER(80,POWER(COS(PI()*MOD(Calculator!$B$33/Calculator!$F$15,1)),2)))),2))</f>
        <v>9.99</v>
      </c>
      <c r="AS95" s="116" t="n">
        <f aca="false">IF(OR(Calculator!$E$16&lt;&gt;"YES",Calculator!$B$33&lt;Calculator!$G$16),"—",ROUND(MAX((50*POWER(80,POWER(COS(PI()*MOD(Calculator!$B$33/Calculator!$F$16,1)),2)))/$C95,$C95/(50*POWER(80,POWER(COS(PI()*MOD(Calculator!$B$33/Calculator!$F$16,1)),2)))),2))</f>
        <v>46.19</v>
      </c>
      <c r="AT95" s="116" t="n">
        <f aca="false">IF(OR(Calculator!$E$17&lt;&gt;"YES",Calculator!$B$33&lt;Calculator!$G$17),"—",ROUND(MAX((50*POWER(80,POWER(COS(PI()*MOD(Calculator!$B$33/Calculator!$F$17,1)),2)))/$C95,$C95/(50*POWER(80,POWER(COS(PI()*MOD(Calculator!$B$33/Calculator!$F$17,1)),2)))),2))</f>
        <v>1.72</v>
      </c>
      <c r="AU95" s="116" t="n">
        <f aca="false">IF(OR(Calculator!$E$18&lt;&gt;"YES",Calculator!$B$33&lt;Calculator!$G$18),"—",ROUND(MAX((50*POWER(80,POWER(COS(PI()*MOD(Calculator!$B$33/Calculator!$F$18,1)),2)))/$C95,$C95/(50*POWER(80,POWER(COS(PI()*MOD(Calculator!$B$33/Calculator!$F$18,1)),2)))),2))</f>
        <v>1.63</v>
      </c>
      <c r="AV95" s="116" t="n">
        <f aca="false">IF(OR(Calculator!$E$19&lt;&gt;"YES",Calculator!$B$33&lt;Calculator!$G$19),"—",ROUND(MAX((50*POWER(80,POWER(COS(PI()*MOD(Calculator!$B$33/Calculator!$F$19,1)),2)))/$C95,$C95/(50*POWER(80,POWER(COS(PI()*MOD(Calculator!$B$33/Calculator!$F$19,1)),2)))),2))</f>
        <v>1.04</v>
      </c>
      <c r="AW95" s="116" t="n">
        <f aca="false">IF(OR(Calculator!$E$20&lt;&gt;"YES",Calculator!$B$33&lt;Calculator!$G$20),"—",ROUND(MAX((50*POWER(80,POWER(COS(PI()*MOD(Calculator!$B$33/Calculator!$F$20,1)),2)))/$C95,$C95/(50*POWER(80,POWER(COS(PI()*MOD(Calculator!$B$33/Calculator!$F$20,1)),2)))),2))</f>
        <v>21.04</v>
      </c>
      <c r="AX95" s="116" t="n">
        <f aca="false">IF(OR(Calculator!$E$21&lt;&gt;"YES",Calculator!$B$33&lt;Calculator!$G$21),"—",ROUND(MAX((50*POWER(80,POWER(COS(PI()*MOD(Calculator!$B$33/Calculator!$F$21,1)),2)))/$C95,$C95/(50*POWER(80,POWER(COS(PI()*MOD(Calculator!$B$33/Calculator!$F$21,1)),2)))),2))</f>
        <v>2.69</v>
      </c>
      <c r="AY95" s="115" t="n">
        <f aca="false">IFERROR(ROUND((IF(ISNUMBER(AN95),AN95,0)+IF(ISNUMBER(AO95),AO95,0)+IF(ISNUMBER(AP95),AP95,0)+IF(ISNUMBER(AQ95),AQ95,0)+IF(ISNUMBER(AR95),AR95,0)+IF(ISNUMBER(AS95),AS95,0)+IF(ISNUMBER(AT95),AT95,0)+IF(ISNUMBER(AU95),AU95,0)+IF(ISNUMBER(AV95),AV95,0)+IF(ISNUMBER(AW95),AW95,0)+IF(ISNUMBER(AX95),AX95,0))/(IF(ISNUMBER(AN95),1,0)+IF(ISNUMBER(AO95),1,0)+IF(ISNUMBER(AP95),1,0)+IF(ISNUMBER(AQ95),1,0)+IF(ISNUMBER(AR95),1,0)+IF(ISNUMBER(AS95),1,0)+IF(ISNUMBER(AT95),1,0)+IF(ISNUMBER(AU95),1,0)+IF(ISNUMBER(AV95),1,0)+IF(ISNUMBER(AW95),1,0)+IF(ISNUMBER(AX95),1,0)),2),"")</f>
        <v>13.53</v>
      </c>
      <c r="AZ95" s="116" t="n">
        <f aca="false">IF(OR(Calculator!$E$11&lt;&gt;"YES",Calculator!$B$34&lt;Calculator!$G$11),"—",ROUND(MAX((50*POWER(80,POWER(COS(PI()*MOD(Calculator!$B$34/Calculator!$F$11,1)),2)))/$C95,$C95/(50*POWER(80,POWER(COS(PI()*MOD(Calculator!$B$34/Calculator!$F$11,1)),2)))),2))</f>
        <v>35.23</v>
      </c>
      <c r="BA95" s="116" t="n">
        <f aca="false">IF(OR(Calculator!$E$12&lt;&gt;"YES",Calculator!$B$34&lt;Calculator!$G$12),"—",ROUND(MAX((50*POWER(80,POWER(COS(PI()*MOD(Calculator!$B$34/Calculator!$F$12,1)),2)))/$C95,$C95/(50*POWER(80,POWER(COS(PI()*MOD(Calculator!$B$34/Calculator!$F$12,1)),2)))),2))</f>
        <v>3.08</v>
      </c>
      <c r="BB95" s="116" t="n">
        <f aca="false">IF(OR(Calculator!$E$13&lt;&gt;"YES",Calculator!$B$34&lt;Calculator!$G$13),"—",ROUND(MAX((50*POWER(80,POWER(COS(PI()*MOD(Calculator!$B$34/Calculator!$F$13,1)),2)))/$C95,$C95/(50*POWER(80,POWER(COS(PI()*MOD(Calculator!$B$34/Calculator!$F$13,1)),2)))),2))</f>
        <v>7.55</v>
      </c>
      <c r="BC95" s="116" t="n">
        <f aca="false">IF(OR(Calculator!$E$14&lt;&gt;"YES",Calculator!$B$34&lt;Calculator!$G$14),"—",ROUND(MAX((50*POWER(80,POWER(COS(PI()*MOD(Calculator!$B$34/Calculator!$F$14,1)),2)))/$C95,$C95/(50*POWER(80,POWER(COS(PI()*MOD(Calculator!$B$34/Calculator!$F$14,1)),2)))),2))</f>
        <v>19.79</v>
      </c>
      <c r="BD95" s="116" t="n">
        <f aca="false">IF(OR(Calculator!$E$15&lt;&gt;"YES",Calculator!$B$34&lt;Calculator!$G$15),"—",ROUND(MAX((50*POWER(80,POWER(COS(PI()*MOD(Calculator!$B$34/Calculator!$F$15,1)),2)))/$C95,$C95/(50*POWER(80,POWER(COS(PI()*MOD(Calculator!$B$34/Calculator!$F$15,1)),2)))),2))</f>
        <v>13.3</v>
      </c>
      <c r="BE95" s="116" t="n">
        <f aca="false">IF(OR(Calculator!$E$16&lt;&gt;"YES",Calculator!$B$34&lt;Calculator!$G$16),"—",ROUND(MAX((50*POWER(80,POWER(COS(PI()*MOD(Calculator!$B$34/Calculator!$F$16,1)),2)))/$C95,$C95/(50*POWER(80,POWER(COS(PI()*MOD(Calculator!$B$34/Calculator!$F$16,1)),2)))),2))</f>
        <v>36.25</v>
      </c>
      <c r="BF95" s="116" t="n">
        <f aca="false">IF(OR(Calculator!$E$17&lt;&gt;"YES",Calculator!$B$34&lt;Calculator!$G$17),"—",ROUND(MAX((50*POWER(80,POWER(COS(PI()*MOD(Calculator!$B$34/Calculator!$F$17,1)),2)))/$C95,$C95/(50*POWER(80,POWER(COS(PI()*MOD(Calculator!$B$34/Calculator!$F$17,1)),2)))),2))</f>
        <v>1.2</v>
      </c>
      <c r="BG95" s="116" t="n">
        <f aca="false">IF(OR(Calculator!$E$18&lt;&gt;"YES",Calculator!$B$34&lt;Calculator!$G$18),"—",ROUND(MAX((50*POWER(80,POWER(COS(PI()*MOD(Calculator!$B$34/Calculator!$F$18,1)),2)))/$C95,$C95/(50*POWER(80,POWER(COS(PI()*MOD(Calculator!$B$34/Calculator!$F$18,1)),2)))),2))</f>
        <v>1.1</v>
      </c>
      <c r="BH95" s="116" t="n">
        <f aca="false">IF(OR(Calculator!$E$19&lt;&gt;"YES",Calculator!$B$34&lt;Calculator!$G$19),"—",ROUND(MAX((50*POWER(80,POWER(COS(PI()*MOD(Calculator!$B$34/Calculator!$F$19,1)),2)))/$C95,$C95/(50*POWER(80,POWER(COS(PI()*MOD(Calculator!$B$34/Calculator!$F$19,1)),2)))),2))</f>
        <v>1.44</v>
      </c>
      <c r="BI95" s="116" t="n">
        <f aca="false">IF(OR(Calculator!$E$20&lt;&gt;"YES",Calculator!$B$34&lt;Calculator!$G$20),"—",ROUND(MAX((50*POWER(80,POWER(COS(PI()*MOD(Calculator!$B$34/Calculator!$F$20,1)),2)))/$C95,$C95/(50*POWER(80,POWER(COS(PI()*MOD(Calculator!$B$34/Calculator!$F$20,1)),2)))),2))</f>
        <v>39.43</v>
      </c>
      <c r="BJ95" s="116" t="n">
        <f aca="false">IF(OR(Calculator!$E$21&lt;&gt;"YES",Calculator!$B$34&lt;Calculator!$G$21),"—",ROUND(MAX((50*POWER(80,POWER(COS(PI()*MOD(Calculator!$B$34/Calculator!$F$21,1)),2)))/$C95,$C95/(50*POWER(80,POWER(COS(PI()*MOD(Calculator!$B$34/Calculator!$F$21,1)),2)))),2))</f>
        <v>1.04</v>
      </c>
      <c r="BK95" s="115" t="n">
        <f aca="false">IFERROR(ROUND((IF(ISNUMBER(AZ95),AZ95,0)+IF(ISNUMBER(BA95),BA95,0)+IF(ISNUMBER(BB95),BB95,0)+IF(ISNUMBER(BC95),BC95,0)+IF(ISNUMBER(BD95),BD95,0)+IF(ISNUMBER(BE95),BE95,0)+IF(ISNUMBER(BF95),BF95,0)+IF(ISNUMBER(BG95),BG95,0)+IF(ISNUMBER(BH95),BH95,0)+IF(ISNUMBER(BI95),BI95,0)+IF(ISNUMBER(BJ95),BJ95,0))/(IF(ISNUMBER(AZ95),1,0)+IF(ISNUMBER(BA95),1,0)+IF(ISNUMBER(BB95),1,0)+IF(ISNUMBER(BC95),1,0)+IF(ISNUMBER(BD95),1,0)+IF(ISNUMBER(BE95),1,0)+IF(ISNUMBER(BF95),1,0)+IF(ISNUMBER(BG95),1,0)+IF(ISNUMBER(BH95),1,0)+IF(ISNUMBER(BI95),1,0)+IF(ISNUMBER(BJ95),1,0)),2),"")</f>
        <v>14.49</v>
      </c>
    </row>
    <row r="96" customFormat="false" ht="15" hidden="false" customHeight="false" outlineLevel="0" collapsed="false">
      <c r="A96" s="107" t="s">
        <v>154</v>
      </c>
      <c r="B96" s="123" t="s">
        <v>96</v>
      </c>
      <c r="C96" s="108" t="n">
        <v>3200</v>
      </c>
      <c r="D96" s="108" t="n">
        <f aca="false">IF(OR(Calculator!$E$11&lt;&gt;"YES",Calculator!$B$30&lt;Calculator!$G$11),"—",ROUND(MAX((50*POWER(80,POWER(COS(PI()*MOD(Calculator!$B$30/Calculator!$F$11,1)),2)))/$C96,$C96/(50*POWER(80,POWER(COS(PI()*MOD(Calculator!$B$30/Calculator!$F$11,1)),2)))),2))</f>
        <v>36.23</v>
      </c>
      <c r="E96" s="108" t="n">
        <f aca="false">IF(OR(Calculator!$E$12&lt;&gt;"YES",Calculator!$B$30&lt;Calculator!$G$12),"—",ROUND(MAX((50*POWER(80,POWER(COS(PI()*MOD(Calculator!$B$30/Calculator!$F$12,1)),2)))/$C96,$C96/(50*POWER(80,POWER(COS(PI()*MOD(Calculator!$B$30/Calculator!$F$12,1)),2)))),2))</f>
        <v>3.03</v>
      </c>
      <c r="F96" s="108" t="n">
        <f aca="false">IF(OR(Calculator!$E$13&lt;&gt;"YES",Calculator!$B$30&lt;Calculator!$G$13),"—",ROUND(MAX((50*POWER(80,POWER(COS(PI()*MOD(Calculator!$B$30/Calculator!$F$13,1)),2)))/$C96,$C96/(50*POWER(80,POWER(COS(PI()*MOD(Calculator!$B$30/Calculator!$F$13,1)),2)))),2))</f>
        <v>8.08</v>
      </c>
      <c r="G96" s="108" t="n">
        <f aca="false">IF(OR(Calculator!$E$14&lt;&gt;"YES",Calculator!$B$30&lt;Calculator!$G$14),"—",ROUND(MAX((50*POWER(80,POWER(COS(PI()*MOD(Calculator!$B$30/Calculator!$F$14,1)),2)))/$C96,$C96/(50*POWER(80,POWER(COS(PI()*MOD(Calculator!$B$30/Calculator!$F$14,1)),2)))),2))</f>
        <v>18.91</v>
      </c>
      <c r="H96" s="108" t="n">
        <f aca="false">IF(OR(Calculator!$E$15&lt;&gt;"YES",Calculator!$B$30&lt;Calculator!$G$15),"—",ROUND(MAX((50*POWER(80,POWER(COS(PI()*MOD(Calculator!$B$30/Calculator!$F$15,1)),2)))/$C96,$C96/(50*POWER(80,POWER(COS(PI()*MOD(Calculator!$B$30/Calculator!$F$15,1)),2)))),2))</f>
        <v>12.3</v>
      </c>
      <c r="I96" s="108" t="n">
        <f aca="false">IF(OR(Calculator!$E$16&lt;&gt;"YES",Calculator!$B$30&lt;Calculator!$G$16),"—",ROUND(MAX((50*POWER(80,POWER(COS(PI()*MOD(Calculator!$B$30/Calculator!$F$16,1)),2)))/$C96,$C96/(50*POWER(80,POWER(COS(PI()*MOD(Calculator!$B$30/Calculator!$F$16,1)),2)))),2))</f>
        <v>40.2</v>
      </c>
      <c r="J96" s="108" t="n">
        <f aca="false">IF(OR(Calculator!$E$17&lt;&gt;"YES",Calculator!$B$30&lt;Calculator!$G$17),"—",ROUND(MAX((50*POWER(80,POWER(COS(PI()*MOD(Calculator!$B$30/Calculator!$F$17,1)),2)))/$C96,$C96/(50*POWER(80,POWER(COS(PI()*MOD(Calculator!$B$30/Calculator!$F$17,1)),2)))),2))</f>
        <v>1.36</v>
      </c>
      <c r="K96" s="108" t="n">
        <f aca="false">IF(OR(Calculator!$E$18&lt;&gt;"YES",Calculator!$B$30&lt;Calculator!$G$18),"—",ROUND(MAX((50*POWER(80,POWER(COS(PI()*MOD(Calculator!$B$30/Calculator!$F$18,1)),2)))/$C96,$C96/(50*POWER(80,POWER(COS(PI()*MOD(Calculator!$B$30/Calculator!$F$18,1)),2)))),2))</f>
        <v>1.25</v>
      </c>
      <c r="L96" s="108" t="n">
        <f aca="false">IF(OR(Calculator!$E$19&lt;&gt;"YES",Calculator!$B$30&lt;Calculator!$G$19),"—",ROUND(MAX((50*POWER(80,POWER(COS(PI()*MOD(Calculator!$B$30/Calculator!$F$19,1)),2)))/$C96,$C96/(50*POWER(80,POWER(COS(PI()*MOD(Calculator!$B$30/Calculator!$F$19,1)),2)))),2))</f>
        <v>1.25</v>
      </c>
      <c r="M96" s="108" t="n">
        <f aca="false">IF(OR(Calculator!$E$20&lt;&gt;"YES",Calculator!$B$30&lt;Calculator!$G$20),"—",ROUND(MAX((50*POWER(80,POWER(COS(PI()*MOD(Calculator!$B$30/Calculator!$F$20,1)),2)))/$C96,$C96/(50*POWER(80,POWER(COS(PI()*MOD(Calculator!$B$30/Calculator!$F$20,1)),2)))),2))</f>
        <v>33.27</v>
      </c>
      <c r="N96" s="108" t="n">
        <f aca="false">IF(OR(Calculator!$E$21&lt;&gt;"YES",Calculator!$B$30&lt;Calculator!$G$21),"—",ROUND(MAX((50*POWER(80,POWER(COS(PI()*MOD(Calculator!$B$30/Calculator!$F$21,1)),2)))/$C96,$C96/(50*POWER(80,POWER(COS(PI()*MOD(Calculator!$B$30/Calculator!$F$21,1)),2)))),2))</f>
        <v>1.26</v>
      </c>
      <c r="O96" s="124" t="n">
        <f aca="false">IFERROR(ROUND((IF(ISNUMBER(D96),D96,0)+IF(ISNUMBER(E96),E96,0)+IF(ISNUMBER(F96),F96,0)+IF(ISNUMBER(G96),G96,0)+IF(ISNUMBER(H96),H96,0)+IF(ISNUMBER(I96),I96,0)+IF(ISNUMBER(J96),J96,0)+IF(ISNUMBER(K96),K96,0)+IF(ISNUMBER(L96),L96,0)+IF(ISNUMBER(M96),M96,0)+IF(ISNUMBER(N96),N96,0))/(IF(ISNUMBER(D96),1,0)+IF(ISNUMBER(E96),1,0)+IF(ISNUMBER(F96),1,0)+IF(ISNUMBER(G96),1,0)+IF(ISNUMBER(H96),1,0)+IF(ISNUMBER(I96),1,0)+IF(ISNUMBER(J96),1,0)+IF(ISNUMBER(K96),1,0)+IF(ISNUMBER(L96),1,0)+IF(ISNUMBER(M96),1,0)+IF(ISNUMBER(N96),1,0)),2),"")</f>
        <v>14.29</v>
      </c>
      <c r="P96" s="108" t="n">
        <f aca="false">IF(OR(Calculator!$E$11&lt;&gt;"YES",Calculator!$B$31&lt;Calculator!$G$11),"—",ROUND(MAX((50*POWER(80,POWER(COS(PI()*MOD(Calculator!$B$31/Calculator!$F$11,1)),2)))/$C96,$C96/(50*POWER(80,POWER(COS(PI()*MOD(Calculator!$B$31/Calculator!$F$11,1)),2)))),2))</f>
        <v>36.68</v>
      </c>
      <c r="Q96" s="108" t="n">
        <f aca="false">IF(OR(Calculator!$E$12&lt;&gt;"YES",Calculator!$B$31&lt;Calculator!$G$12),"—",ROUND(MAX((50*POWER(80,POWER(COS(PI()*MOD(Calculator!$B$31/Calculator!$F$12,1)),2)))/$C96,$C96/(50*POWER(80,POWER(COS(PI()*MOD(Calculator!$B$31/Calculator!$F$12,1)),2)))),2))</f>
        <v>2.94</v>
      </c>
      <c r="R96" s="108" t="n">
        <f aca="false">IF(OR(Calculator!$E$13&lt;&gt;"YES",Calculator!$B$31&lt;Calculator!$G$13),"—",ROUND(MAX((50*POWER(80,POWER(COS(PI()*MOD(Calculator!$B$31/Calculator!$F$13,1)),2)))/$C96,$C96/(50*POWER(80,POWER(COS(PI()*MOD(Calculator!$B$31/Calculator!$F$13,1)),2)))),2))</f>
        <v>8.5</v>
      </c>
      <c r="S96" s="108" t="n">
        <f aca="false">IF(OR(Calculator!$E$14&lt;&gt;"YES",Calculator!$B$31&lt;Calculator!$G$14),"—",ROUND(MAX((50*POWER(80,POWER(COS(PI()*MOD(Calculator!$B$31/Calculator!$F$14,1)),2)))/$C96,$C96/(50*POWER(80,POWER(COS(PI()*MOD(Calculator!$B$31/Calculator!$F$14,1)),2)))),2))</f>
        <v>17.76</v>
      </c>
      <c r="T96" s="108" t="n">
        <f aca="false">IF(OR(Calculator!$E$15&lt;&gt;"YES",Calculator!$B$31&lt;Calculator!$G$15),"—",ROUND(MAX((50*POWER(80,POWER(COS(PI()*MOD(Calculator!$B$31/Calculator!$F$15,1)),2)))/$C96,$C96/(50*POWER(80,POWER(COS(PI()*MOD(Calculator!$B$31/Calculator!$F$15,1)),2)))),2))</f>
        <v>11.18</v>
      </c>
      <c r="U96" s="108" t="n">
        <f aca="false">IF(OR(Calculator!$E$16&lt;&gt;"YES",Calculator!$B$31&lt;Calculator!$G$16),"—",ROUND(MAX((50*POWER(80,POWER(COS(PI()*MOD(Calculator!$B$31/Calculator!$F$16,1)),2)))/$C96,$C96/(50*POWER(80,POWER(COS(PI()*MOD(Calculator!$B$31/Calculator!$F$16,1)),2)))),2))</f>
        <v>43.58</v>
      </c>
      <c r="V96" s="108" t="n">
        <f aca="false">IF(OR(Calculator!$E$17&lt;&gt;"YES",Calculator!$B$31&lt;Calculator!$G$17),"—",ROUND(MAX((50*POWER(80,POWER(COS(PI()*MOD(Calculator!$B$31/Calculator!$F$17,1)),2)))/$C96,$C96/(50*POWER(80,POWER(COS(PI()*MOD(Calculator!$B$31/Calculator!$F$17,1)),2)))),2))</f>
        <v>1.53</v>
      </c>
      <c r="W96" s="108" t="n">
        <f aca="false">IF(OR(Calculator!$E$18&lt;&gt;"YES",Calculator!$B$31&lt;Calculator!$G$18),"—",ROUND(MAX((50*POWER(80,POWER(COS(PI()*MOD(Calculator!$B$31/Calculator!$F$18,1)),2)))/$C96,$C96/(50*POWER(80,POWER(COS(PI()*MOD(Calculator!$B$31/Calculator!$F$18,1)),2)))),2))</f>
        <v>1.43</v>
      </c>
      <c r="X96" s="108" t="n">
        <f aca="false">IF(OR(Calculator!$E$19&lt;&gt;"YES",Calculator!$B$31&lt;Calculator!$G$19),"—",ROUND(MAX((50*POWER(80,POWER(COS(PI()*MOD(Calculator!$B$31/Calculator!$F$19,1)),2)))/$C96,$C96/(50*POWER(80,POWER(COS(PI()*MOD(Calculator!$B$31/Calculator!$F$19,1)),2)))),2))</f>
        <v>1.09</v>
      </c>
      <c r="Y96" s="108" t="n">
        <f aca="false">IF(OR(Calculator!$E$20&lt;&gt;"YES",Calculator!$B$31&lt;Calculator!$G$20),"—",ROUND(MAX((50*POWER(80,POWER(COS(PI()*MOD(Calculator!$B$31/Calculator!$F$20,1)),2)))/$C96,$C96/(50*POWER(80,POWER(COS(PI()*MOD(Calculator!$B$31/Calculator!$F$20,1)),2)))),2))</f>
        <v>26.95</v>
      </c>
      <c r="Z96" s="108" t="n">
        <f aca="false">IF(OR(Calculator!$E$21&lt;&gt;"YES",Calculator!$B$31&lt;Calculator!$G$21),"—",ROUND(MAX((50*POWER(80,POWER(COS(PI()*MOD(Calculator!$B$31/Calculator!$F$21,1)),2)))/$C96,$C96/(50*POWER(80,POWER(COS(PI()*MOD(Calculator!$B$31/Calculator!$F$21,1)),2)))),2))</f>
        <v>1.79</v>
      </c>
      <c r="AA96" s="124" t="n">
        <f aca="false">IFERROR(ROUND((IF(ISNUMBER(P96),P96,0)+IF(ISNUMBER(Q96),Q96,0)+IF(ISNUMBER(R96),R96,0)+IF(ISNUMBER(S96),S96,0)+IF(ISNUMBER(T96),T96,0)+IF(ISNUMBER(U96),U96,0)+IF(ISNUMBER(V96),V96,0)+IF(ISNUMBER(W96),W96,0)+IF(ISNUMBER(X96),X96,0)+IF(ISNUMBER(Y96),Y96,0)+IF(ISNUMBER(Z96),Z96,0))/(IF(ISNUMBER(P96),1,0)+IF(ISNUMBER(Q96),1,0)+IF(ISNUMBER(R96),1,0)+IF(ISNUMBER(S96),1,0)+IF(ISNUMBER(T96),1,0)+IF(ISNUMBER(U96),1,0)+IF(ISNUMBER(V96),1,0)+IF(ISNUMBER(W96),1,0)+IF(ISNUMBER(X96),1,0)+IF(ISNUMBER(Y96),1,0)+IF(ISNUMBER(Z96),1,0)),2),"")</f>
        <v>13.95</v>
      </c>
      <c r="AB96" s="108" t="n">
        <f aca="false">IF(OR(Calculator!$E$11&lt;&gt;"YES",Calculator!$B$32&lt;Calculator!$G$11),"—",ROUND(MAX((50*POWER(80,POWER(COS(PI()*MOD(Calculator!$B$32/Calculator!$F$11,1)),2)))/$C96,$C96/(50*POWER(80,POWER(COS(PI()*MOD(Calculator!$B$32/Calculator!$F$11,1)),2)))),2))</f>
        <v>46.17</v>
      </c>
      <c r="AC96" s="108" t="n">
        <f aca="false">IF(OR(Calculator!$E$12&lt;&gt;"YES",Calculator!$B$32&lt;Calculator!$G$12),"—",ROUND(MAX((50*POWER(80,POWER(COS(PI()*MOD(Calculator!$B$32/Calculator!$F$12,1)),2)))/$C96,$C96/(50*POWER(80,POWER(COS(PI()*MOD(Calculator!$B$32/Calculator!$F$12,1)),2)))),2))</f>
        <v>1.59</v>
      </c>
      <c r="AD96" s="108" t="n">
        <f aca="false">IF(OR(Calculator!$E$13&lt;&gt;"YES",Calculator!$B$32&lt;Calculator!$G$13),"—",ROUND(MAX((50*POWER(80,POWER(COS(PI()*MOD(Calculator!$B$32/Calculator!$F$13,1)),2)))/$C96,$C96/(50*POWER(80,POWER(COS(PI()*MOD(Calculator!$B$32/Calculator!$F$13,1)),2)))),2))</f>
        <v>23.56</v>
      </c>
      <c r="AE96" s="108" t="n">
        <f aca="false">IF(OR(Calculator!$E$14&lt;&gt;"YES",Calculator!$B$32&lt;Calculator!$G$14),"—",ROUND(MAX((50*POWER(80,POWER(COS(PI()*MOD(Calculator!$B$32/Calculator!$F$14,1)),2)))/$C96,$C96/(50*POWER(80,POWER(COS(PI()*MOD(Calculator!$B$32/Calculator!$F$14,1)),2)))),2))</f>
        <v>4.3</v>
      </c>
      <c r="AF96" s="108" t="n">
        <f aca="false">IF(OR(Calculator!$E$15&lt;&gt;"YES",Calculator!$B$32&lt;Calculator!$G$15),"—",ROUND(MAX((50*POWER(80,POWER(COS(PI()*MOD(Calculator!$B$32/Calculator!$F$15,1)),2)))/$C96,$C96/(50*POWER(80,POWER(COS(PI()*MOD(Calculator!$B$32/Calculator!$F$15,1)),2)))),2))</f>
        <v>1.65</v>
      </c>
      <c r="AG96" s="108" t="n">
        <f aca="false">IF(OR(Calculator!$E$16&lt;&gt;"YES",Calculator!$B$32&lt;Calculator!$G$16),"—",ROUND(MAX((50*POWER(80,POWER(COS(PI()*MOD(Calculator!$B$32/Calculator!$F$16,1)),2)))/$C96,$C96/(50*POWER(80,POWER(COS(PI()*MOD(Calculator!$B$32/Calculator!$F$16,1)),2)))),2))</f>
        <v>37.62</v>
      </c>
      <c r="AH96" s="108" t="n">
        <f aca="false">IF(OR(Calculator!$E$17&lt;&gt;"YES",Calculator!$B$32&lt;Calculator!$G$17),"—",ROUND(MAX((50*POWER(80,POWER(COS(PI()*MOD(Calculator!$B$32/Calculator!$F$17,1)),2)))/$C96,$C96/(50*POWER(80,POWER(COS(PI()*MOD(Calculator!$B$32/Calculator!$F$17,1)),2)))),2))</f>
        <v>39.71</v>
      </c>
      <c r="AI96" s="108" t="n">
        <f aca="false">IF(OR(Calculator!$E$18&lt;&gt;"YES",Calculator!$B$32&lt;Calculator!$G$18),"—",ROUND(MAX((50*POWER(80,POWER(COS(PI()*MOD(Calculator!$B$32/Calculator!$F$18,1)),2)))/$C96,$C96/(50*POWER(80,POWER(COS(PI()*MOD(Calculator!$B$32/Calculator!$F$18,1)),2)))),2))</f>
        <v>52.38</v>
      </c>
      <c r="AJ96" s="108" t="n">
        <f aca="false">IF(OR(Calculator!$E$19&lt;&gt;"YES",Calculator!$B$32&lt;Calculator!$G$19),"—",ROUND(MAX((50*POWER(80,POWER(COS(PI()*MOD(Calculator!$B$32/Calculator!$F$19,1)),2)))/$C96,$C96/(50*POWER(80,POWER(COS(PI()*MOD(Calculator!$B$32/Calculator!$F$19,1)),2)))),2))</f>
        <v>11.04</v>
      </c>
      <c r="AK96" s="108" t="n">
        <f aca="false">IF(OR(Calculator!$E$20&lt;&gt;"YES",Calculator!$B$32&lt;Calculator!$G$20),"—",ROUND(MAX((50*POWER(80,POWER(COS(PI()*MOD(Calculator!$B$32/Calculator!$F$20,1)),2)))/$C96,$C96/(50*POWER(80,POWER(COS(PI()*MOD(Calculator!$B$32/Calculator!$F$20,1)),2)))),2))</f>
        <v>1</v>
      </c>
      <c r="AL96" s="108" t="n">
        <f aca="false">IF(OR(Calculator!$E$21&lt;&gt;"YES",Calculator!$B$32&lt;Calculator!$G$21),"—",ROUND(MAX((50*POWER(80,POWER(COS(PI()*MOD(Calculator!$B$32/Calculator!$F$21,1)),2)))/$C96,$C96/(50*POWER(80,POWER(COS(PI()*MOD(Calculator!$B$32/Calculator!$F$21,1)),2)))),2))</f>
        <v>1.15</v>
      </c>
      <c r="AM96" s="112" t="n">
        <f aca="false">IFERROR(ROUND((IF(ISNUMBER(AB96),AB96,0)+IF(ISNUMBER(AC96),AC96,0)+IF(ISNUMBER(AD96),AD96,0)+IF(ISNUMBER(AE96),AE96,0)+IF(ISNUMBER(AF96),AF96,0)+IF(ISNUMBER(AG96),AG96,0)+IF(ISNUMBER(AH96),AH96,0)+IF(ISNUMBER(AI96),AI96,0)+IF(ISNUMBER(AJ96),AJ96,0)+IF(ISNUMBER(AK96),AK96,0)+IF(ISNUMBER(AL96),AL96,0))/(IF(ISNUMBER(AB96),1,0)+IF(ISNUMBER(AC96),1,0)+IF(ISNUMBER(AD96),1,0)+IF(ISNUMBER(AE96),1,0)+IF(ISNUMBER(AF96),1,0)+IF(ISNUMBER(AG96),1,0)+IF(ISNUMBER(AH96),1,0)+IF(ISNUMBER(AI96),1,0)+IF(ISNUMBER(AJ96),1,0)+IF(ISNUMBER(AK96),1,0)+IF(ISNUMBER(AL96),1,0)),2),"")</f>
        <v>20.02</v>
      </c>
      <c r="AN96" s="113" t="n">
        <f aca="false">IF(OR(Calculator!$E$11&lt;&gt;"YES",Calculator!$B$33&lt;Calculator!$G$11),"—",ROUND(MAX((50*POWER(80,POWER(COS(PI()*MOD(Calculator!$B$33/Calculator!$F$11,1)),2)))/$C96,$C96/(50*POWER(80,POWER(COS(PI()*MOD(Calculator!$B$33/Calculator!$F$11,1)),2)))),2))</f>
        <v>37.13</v>
      </c>
      <c r="AO96" s="113" t="n">
        <f aca="false">IF(OR(Calculator!$E$12&lt;&gt;"YES",Calculator!$B$33&lt;Calculator!$G$12),"—",ROUND(MAX((50*POWER(80,POWER(COS(PI()*MOD(Calculator!$B$33/Calculator!$F$12,1)),2)))/$C96,$C96/(50*POWER(80,POWER(COS(PI()*MOD(Calculator!$B$33/Calculator!$F$12,1)),2)))),2))</f>
        <v>2.84</v>
      </c>
      <c r="AP96" s="113" t="n">
        <f aca="false">IF(OR(Calculator!$E$13&lt;&gt;"YES",Calculator!$B$33&lt;Calculator!$G$13),"—",ROUND(MAX((50*POWER(80,POWER(COS(PI()*MOD(Calculator!$B$33/Calculator!$F$13,1)),2)))/$C96,$C96/(50*POWER(80,POWER(COS(PI()*MOD(Calculator!$B$33/Calculator!$F$13,1)),2)))),2))</f>
        <v>8.95</v>
      </c>
      <c r="AQ96" s="113" t="n">
        <f aca="false">IF(OR(Calculator!$E$14&lt;&gt;"YES",Calculator!$B$33&lt;Calculator!$G$14),"—",ROUND(MAX((50*POWER(80,POWER(COS(PI()*MOD(Calculator!$B$33/Calculator!$F$14,1)),2)))/$C96,$C96/(50*POWER(80,POWER(COS(PI()*MOD(Calculator!$B$33/Calculator!$F$14,1)),2)))),2))</f>
        <v>16.67</v>
      </c>
      <c r="AR96" s="113" t="n">
        <f aca="false">IF(OR(Calculator!$E$15&lt;&gt;"YES",Calculator!$B$33&lt;Calculator!$G$15),"—",ROUND(MAX((50*POWER(80,POWER(COS(PI()*MOD(Calculator!$B$33/Calculator!$F$15,1)),2)))/$C96,$C96/(50*POWER(80,POWER(COS(PI()*MOD(Calculator!$B$33/Calculator!$F$15,1)),2)))),2))</f>
        <v>10.15</v>
      </c>
      <c r="AS96" s="113" t="n">
        <f aca="false">IF(OR(Calculator!$E$16&lt;&gt;"YES",Calculator!$B$33&lt;Calculator!$G$16),"—",ROUND(MAX((50*POWER(80,POWER(COS(PI()*MOD(Calculator!$B$33/Calculator!$F$16,1)),2)))/$C96,$C96/(50*POWER(80,POWER(COS(PI()*MOD(Calculator!$B$33/Calculator!$F$16,1)),2)))),2))</f>
        <v>46.93</v>
      </c>
      <c r="AT96" s="113" t="n">
        <f aca="false">IF(OR(Calculator!$E$17&lt;&gt;"YES",Calculator!$B$33&lt;Calculator!$G$17),"—",ROUND(MAX((50*POWER(80,POWER(COS(PI()*MOD(Calculator!$B$33/Calculator!$F$17,1)),2)))/$C96,$C96/(50*POWER(80,POWER(COS(PI()*MOD(Calculator!$B$33/Calculator!$F$17,1)),2)))),2))</f>
        <v>1.75</v>
      </c>
      <c r="AU96" s="113" t="n">
        <f aca="false">IF(OR(Calculator!$E$18&lt;&gt;"YES",Calculator!$B$33&lt;Calculator!$G$18),"—",ROUND(MAX((50*POWER(80,POWER(COS(PI()*MOD(Calculator!$B$33/Calculator!$F$18,1)),2)))/$C96,$C96/(50*POWER(80,POWER(COS(PI()*MOD(Calculator!$B$33/Calculator!$F$18,1)),2)))),2))</f>
        <v>1.65</v>
      </c>
      <c r="AV96" s="113" t="n">
        <f aca="false">IF(OR(Calculator!$E$19&lt;&gt;"YES",Calculator!$B$33&lt;Calculator!$G$19),"—",ROUND(MAX((50*POWER(80,POWER(COS(PI()*MOD(Calculator!$B$33/Calculator!$F$19,1)),2)))/$C96,$C96/(50*POWER(80,POWER(COS(PI()*MOD(Calculator!$B$33/Calculator!$F$19,1)),2)))),2))</f>
        <v>1.02</v>
      </c>
      <c r="AW96" s="113" t="n">
        <f aca="false">IF(OR(Calculator!$E$20&lt;&gt;"YES",Calculator!$B$33&lt;Calculator!$G$20),"—",ROUND(MAX((50*POWER(80,POWER(COS(PI()*MOD(Calculator!$B$33/Calculator!$F$20,1)),2)))/$C96,$C96/(50*POWER(80,POWER(COS(PI()*MOD(Calculator!$B$33/Calculator!$F$20,1)),2)))),2))</f>
        <v>21.37</v>
      </c>
      <c r="AX96" s="113" t="n">
        <f aca="false">IF(OR(Calculator!$E$21&lt;&gt;"YES",Calculator!$B$33&lt;Calculator!$G$21),"—",ROUND(MAX((50*POWER(80,POWER(COS(PI()*MOD(Calculator!$B$33/Calculator!$F$21,1)),2)))/$C96,$C96/(50*POWER(80,POWER(COS(PI()*MOD(Calculator!$B$33/Calculator!$F$21,1)),2)))),2))</f>
        <v>2.73</v>
      </c>
      <c r="AY96" s="112" t="n">
        <f aca="false">IFERROR(ROUND((IF(ISNUMBER(AN96),AN96,0)+IF(ISNUMBER(AO96),AO96,0)+IF(ISNUMBER(AP96),AP96,0)+IF(ISNUMBER(AQ96),AQ96,0)+IF(ISNUMBER(AR96),AR96,0)+IF(ISNUMBER(AS96),AS96,0)+IF(ISNUMBER(AT96),AT96,0)+IF(ISNUMBER(AU96),AU96,0)+IF(ISNUMBER(AV96),AV96,0)+IF(ISNUMBER(AW96),AW96,0)+IF(ISNUMBER(AX96),AX96,0))/(IF(ISNUMBER(AN96),1,0)+IF(ISNUMBER(AO96),1,0)+IF(ISNUMBER(AP96),1,0)+IF(ISNUMBER(AQ96),1,0)+IF(ISNUMBER(AR96),1,0)+IF(ISNUMBER(AS96),1,0)+IF(ISNUMBER(AT96),1,0)+IF(ISNUMBER(AU96),1,0)+IF(ISNUMBER(AV96),1,0)+IF(ISNUMBER(AW96),1,0)+IF(ISNUMBER(AX96),1,0)),2),"")</f>
        <v>13.74</v>
      </c>
      <c r="AZ96" s="113" t="n">
        <f aca="false">IF(OR(Calculator!$E$11&lt;&gt;"YES",Calculator!$B$34&lt;Calculator!$G$11),"—",ROUND(MAX((50*POWER(80,POWER(COS(PI()*MOD(Calculator!$B$34/Calculator!$F$11,1)),2)))/$C96,$C96/(50*POWER(80,POWER(COS(PI()*MOD(Calculator!$B$34/Calculator!$F$11,1)),2)))),2))</f>
        <v>35.79</v>
      </c>
      <c r="BA96" s="113" t="n">
        <f aca="false">IF(OR(Calculator!$E$12&lt;&gt;"YES",Calculator!$B$34&lt;Calculator!$G$12),"—",ROUND(MAX((50*POWER(80,POWER(COS(PI()*MOD(Calculator!$B$34/Calculator!$F$12,1)),2)))/$C96,$C96/(50*POWER(80,POWER(COS(PI()*MOD(Calculator!$B$34/Calculator!$F$12,1)),2)))),2))</f>
        <v>3.13</v>
      </c>
      <c r="BB96" s="113" t="n">
        <f aca="false">IF(OR(Calculator!$E$13&lt;&gt;"YES",Calculator!$B$34&lt;Calculator!$G$13),"—",ROUND(MAX((50*POWER(80,POWER(COS(PI()*MOD(Calculator!$B$34/Calculator!$F$13,1)),2)))/$C96,$C96/(50*POWER(80,POWER(COS(PI()*MOD(Calculator!$B$34/Calculator!$F$13,1)),2)))),2))</f>
        <v>7.67</v>
      </c>
      <c r="BC96" s="113" t="n">
        <f aca="false">IF(OR(Calculator!$E$14&lt;&gt;"YES",Calculator!$B$34&lt;Calculator!$G$14),"—",ROUND(MAX((50*POWER(80,POWER(COS(PI()*MOD(Calculator!$B$34/Calculator!$F$14,1)),2)))/$C96,$C96/(50*POWER(80,POWER(COS(PI()*MOD(Calculator!$B$34/Calculator!$F$14,1)),2)))),2))</f>
        <v>20.1</v>
      </c>
      <c r="BD96" s="113" t="n">
        <f aca="false">IF(OR(Calculator!$E$15&lt;&gt;"YES",Calculator!$B$34&lt;Calculator!$G$15),"—",ROUND(MAX((50*POWER(80,POWER(COS(PI()*MOD(Calculator!$B$34/Calculator!$F$15,1)),2)))/$C96,$C96/(50*POWER(80,POWER(COS(PI()*MOD(Calculator!$B$34/Calculator!$F$15,1)),2)))),2))</f>
        <v>13.51</v>
      </c>
      <c r="BE96" s="113" t="n">
        <f aca="false">IF(OR(Calculator!$E$16&lt;&gt;"YES",Calculator!$B$34&lt;Calculator!$G$16),"—",ROUND(MAX((50*POWER(80,POWER(COS(PI()*MOD(Calculator!$B$34/Calculator!$F$16,1)),2)))/$C96,$C96/(50*POWER(80,POWER(COS(PI()*MOD(Calculator!$B$34/Calculator!$F$16,1)),2)))),2))</f>
        <v>36.82</v>
      </c>
      <c r="BF96" s="113" t="n">
        <f aca="false">IF(OR(Calculator!$E$17&lt;&gt;"YES",Calculator!$B$34&lt;Calculator!$G$17),"—",ROUND(MAX((50*POWER(80,POWER(COS(PI()*MOD(Calculator!$B$34/Calculator!$F$17,1)),2)))/$C96,$C96/(50*POWER(80,POWER(COS(PI()*MOD(Calculator!$B$34/Calculator!$F$17,1)),2)))),2))</f>
        <v>1.22</v>
      </c>
      <c r="BG96" s="113" t="n">
        <f aca="false">IF(OR(Calculator!$E$18&lt;&gt;"YES",Calculator!$B$34&lt;Calculator!$G$18),"—",ROUND(MAX((50*POWER(80,POWER(COS(PI()*MOD(Calculator!$B$34/Calculator!$F$18,1)),2)))/$C96,$C96/(50*POWER(80,POWER(COS(PI()*MOD(Calculator!$B$34/Calculator!$F$18,1)),2)))),2))</f>
        <v>1.12</v>
      </c>
      <c r="BH96" s="113" t="n">
        <f aca="false">IF(OR(Calculator!$E$19&lt;&gt;"YES",Calculator!$B$34&lt;Calculator!$G$19),"—",ROUND(MAX((50*POWER(80,POWER(COS(PI()*MOD(Calculator!$B$34/Calculator!$F$19,1)),2)))/$C96,$C96/(50*POWER(80,POWER(COS(PI()*MOD(Calculator!$B$34/Calculator!$F$19,1)),2)))),2))</f>
        <v>1.46</v>
      </c>
      <c r="BI96" s="113" t="n">
        <f aca="false">IF(OR(Calculator!$E$20&lt;&gt;"YES",Calculator!$B$34&lt;Calculator!$G$20),"—",ROUND(MAX((50*POWER(80,POWER(COS(PI()*MOD(Calculator!$B$34/Calculator!$F$20,1)),2)))/$C96,$C96/(50*POWER(80,POWER(COS(PI()*MOD(Calculator!$B$34/Calculator!$F$20,1)),2)))),2))</f>
        <v>40.06</v>
      </c>
      <c r="BJ96" s="113" t="n">
        <f aca="false">IF(OR(Calculator!$E$21&lt;&gt;"YES",Calculator!$B$34&lt;Calculator!$G$21),"—",ROUND(MAX((50*POWER(80,POWER(COS(PI()*MOD(Calculator!$B$34/Calculator!$F$21,1)),2)))/$C96,$C96/(50*POWER(80,POWER(COS(PI()*MOD(Calculator!$B$34/Calculator!$F$21,1)),2)))),2))</f>
        <v>1.03</v>
      </c>
      <c r="BK96" s="112" t="n">
        <f aca="false">IFERROR(ROUND((IF(ISNUMBER(AZ96),AZ96,0)+IF(ISNUMBER(BA96),BA96,0)+IF(ISNUMBER(BB96),BB96,0)+IF(ISNUMBER(BC96),BC96,0)+IF(ISNUMBER(BD96),BD96,0)+IF(ISNUMBER(BE96),BE96,0)+IF(ISNUMBER(BF96),BF96,0)+IF(ISNUMBER(BG96),BG96,0)+IF(ISNUMBER(BH96),BH96,0)+IF(ISNUMBER(BI96),BI96,0)+IF(ISNUMBER(BJ96),BJ96,0))/(IF(ISNUMBER(AZ96),1,0)+IF(ISNUMBER(BA96),1,0)+IF(ISNUMBER(BB96),1,0)+IF(ISNUMBER(BC96),1,0)+IF(ISNUMBER(BD96),1,0)+IF(ISNUMBER(BE96),1,0)+IF(ISNUMBER(BF96),1,0)+IF(ISNUMBER(BG96),1,0)+IF(ISNUMBER(BH96),1,0)+IF(ISNUMBER(BI96),1,0)+IF(ISNUMBER(BJ96),1,0)),2),"")</f>
        <v>14.72</v>
      </c>
    </row>
    <row r="97" customFormat="false" ht="15" hidden="false" customHeight="false" outlineLevel="0" collapsed="false">
      <c r="A97" s="87" t="s">
        <v>155</v>
      </c>
      <c r="B97" s="122" t="s">
        <v>93</v>
      </c>
      <c r="C97" s="87" t="n">
        <v>3250</v>
      </c>
      <c r="D97" s="87" t="n">
        <f aca="false">IF(OR(Calculator!$E$11&lt;&gt;"YES",Calculator!$B$30&lt;Calculator!$G$11),"—",ROUND(MAX((50*POWER(80,POWER(COS(PI()*MOD(Calculator!$B$30/Calculator!$F$11,1)),2)))/$C97,$C97/(50*POWER(80,POWER(COS(PI()*MOD(Calculator!$B$30/Calculator!$F$11,1)),2)))),2))</f>
        <v>36.8</v>
      </c>
      <c r="E97" s="87" t="n">
        <f aca="false">IF(OR(Calculator!$E$12&lt;&gt;"YES",Calculator!$B$30&lt;Calculator!$G$12),"—",ROUND(MAX((50*POWER(80,POWER(COS(PI()*MOD(Calculator!$B$30/Calculator!$F$12,1)),2)))/$C97,$C97/(50*POWER(80,POWER(COS(PI()*MOD(Calculator!$B$30/Calculator!$F$12,1)),2)))),2))</f>
        <v>3.08</v>
      </c>
      <c r="F97" s="87" t="n">
        <f aca="false">IF(OR(Calculator!$E$13&lt;&gt;"YES",Calculator!$B$30&lt;Calculator!$G$13),"—",ROUND(MAX((50*POWER(80,POWER(COS(PI()*MOD(Calculator!$B$30/Calculator!$F$13,1)),2)))/$C97,$C97/(50*POWER(80,POWER(COS(PI()*MOD(Calculator!$B$30/Calculator!$F$13,1)),2)))),2))</f>
        <v>8.2</v>
      </c>
      <c r="G97" s="87" t="n">
        <f aca="false">IF(OR(Calculator!$E$14&lt;&gt;"YES",Calculator!$B$30&lt;Calculator!$G$14),"—",ROUND(MAX((50*POWER(80,POWER(COS(PI()*MOD(Calculator!$B$30/Calculator!$F$14,1)),2)))/$C97,$C97/(50*POWER(80,POWER(COS(PI()*MOD(Calculator!$B$30/Calculator!$F$14,1)),2)))),2))</f>
        <v>19.2</v>
      </c>
      <c r="H97" s="87" t="n">
        <f aca="false">IF(OR(Calculator!$E$15&lt;&gt;"YES",Calculator!$B$30&lt;Calculator!$G$15),"—",ROUND(MAX((50*POWER(80,POWER(COS(PI()*MOD(Calculator!$B$30/Calculator!$F$15,1)),2)))/$C97,$C97/(50*POWER(80,POWER(COS(PI()*MOD(Calculator!$B$30/Calculator!$F$15,1)),2)))),2))</f>
        <v>12.49</v>
      </c>
      <c r="I97" s="87" t="n">
        <f aca="false">IF(OR(Calculator!$E$16&lt;&gt;"YES",Calculator!$B$30&lt;Calculator!$G$16),"—",ROUND(MAX((50*POWER(80,POWER(COS(PI()*MOD(Calculator!$B$30/Calculator!$F$16,1)),2)))/$C97,$C97/(50*POWER(80,POWER(COS(PI()*MOD(Calculator!$B$30/Calculator!$F$16,1)),2)))),2))</f>
        <v>40.82</v>
      </c>
      <c r="J97" s="87" t="n">
        <f aca="false">IF(OR(Calculator!$E$17&lt;&gt;"YES",Calculator!$B$30&lt;Calculator!$G$17),"—",ROUND(MAX((50*POWER(80,POWER(COS(PI()*MOD(Calculator!$B$30/Calculator!$F$17,1)),2)))/$C97,$C97/(50*POWER(80,POWER(COS(PI()*MOD(Calculator!$B$30/Calculator!$F$17,1)),2)))),2))</f>
        <v>1.38</v>
      </c>
      <c r="K97" s="87" t="n">
        <f aca="false">IF(OR(Calculator!$E$18&lt;&gt;"YES",Calculator!$B$30&lt;Calculator!$G$18),"—",ROUND(MAX((50*POWER(80,POWER(COS(PI()*MOD(Calculator!$B$30/Calculator!$F$18,1)),2)))/$C97,$C97/(50*POWER(80,POWER(COS(PI()*MOD(Calculator!$B$30/Calculator!$F$18,1)),2)))),2))</f>
        <v>1.27</v>
      </c>
      <c r="L97" s="87" t="n">
        <f aca="false">IF(OR(Calculator!$E$19&lt;&gt;"YES",Calculator!$B$30&lt;Calculator!$G$19),"—",ROUND(MAX((50*POWER(80,POWER(COS(PI()*MOD(Calculator!$B$30/Calculator!$F$19,1)),2)))/$C97,$C97/(50*POWER(80,POWER(COS(PI()*MOD(Calculator!$B$30/Calculator!$F$19,1)),2)))),2))</f>
        <v>1.27</v>
      </c>
      <c r="M97" s="87" t="n">
        <f aca="false">IF(OR(Calculator!$E$20&lt;&gt;"YES",Calculator!$B$30&lt;Calculator!$G$20),"—",ROUND(MAX((50*POWER(80,POWER(COS(PI()*MOD(Calculator!$B$30/Calculator!$F$20,1)),2)))/$C97,$C97/(50*POWER(80,POWER(COS(PI()*MOD(Calculator!$B$30/Calculator!$F$20,1)),2)))),2))</f>
        <v>33.79</v>
      </c>
      <c r="N97" s="87" t="n">
        <f aca="false">IF(OR(Calculator!$E$21&lt;&gt;"YES",Calculator!$B$30&lt;Calculator!$G$21),"—",ROUND(MAX((50*POWER(80,POWER(COS(PI()*MOD(Calculator!$B$30/Calculator!$F$21,1)),2)))/$C97,$C97/(50*POWER(80,POWER(COS(PI()*MOD(Calculator!$B$30/Calculator!$F$21,1)),2)))),2))</f>
        <v>1.28</v>
      </c>
      <c r="O97" s="121" t="n">
        <f aca="false">IFERROR(ROUND((IF(ISNUMBER(D97),D97,0)+IF(ISNUMBER(E97),E97,0)+IF(ISNUMBER(F97),F97,0)+IF(ISNUMBER(G97),G97,0)+IF(ISNUMBER(H97),H97,0)+IF(ISNUMBER(I97),I97,0)+IF(ISNUMBER(J97),J97,0)+IF(ISNUMBER(K97),K97,0)+IF(ISNUMBER(L97),L97,0)+IF(ISNUMBER(M97),M97,0)+IF(ISNUMBER(N97),N97,0))/(IF(ISNUMBER(D97),1,0)+IF(ISNUMBER(E97),1,0)+IF(ISNUMBER(F97),1,0)+IF(ISNUMBER(G97),1,0)+IF(ISNUMBER(H97),1,0)+IF(ISNUMBER(I97),1,0)+IF(ISNUMBER(J97),1,0)+IF(ISNUMBER(K97),1,0)+IF(ISNUMBER(L97),1,0)+IF(ISNUMBER(M97),1,0)+IF(ISNUMBER(N97),1,0)),2),"")</f>
        <v>14.51</v>
      </c>
      <c r="P97" s="87" t="n">
        <f aca="false">IF(OR(Calculator!$E$11&lt;&gt;"YES",Calculator!$B$31&lt;Calculator!$G$11),"—",ROUND(MAX((50*POWER(80,POWER(COS(PI()*MOD(Calculator!$B$31/Calculator!$F$11,1)),2)))/$C97,$C97/(50*POWER(80,POWER(COS(PI()*MOD(Calculator!$B$31/Calculator!$F$11,1)),2)))),2))</f>
        <v>37.25</v>
      </c>
      <c r="Q97" s="87" t="n">
        <f aca="false">IF(OR(Calculator!$E$12&lt;&gt;"YES",Calculator!$B$31&lt;Calculator!$G$12),"—",ROUND(MAX((50*POWER(80,POWER(COS(PI()*MOD(Calculator!$B$31/Calculator!$F$12,1)),2)))/$C97,$C97/(50*POWER(80,POWER(COS(PI()*MOD(Calculator!$B$31/Calculator!$F$12,1)),2)))),2))</f>
        <v>2.98</v>
      </c>
      <c r="R97" s="87" t="n">
        <f aca="false">IF(OR(Calculator!$E$13&lt;&gt;"YES",Calculator!$B$31&lt;Calculator!$G$13),"—",ROUND(MAX((50*POWER(80,POWER(COS(PI()*MOD(Calculator!$B$31/Calculator!$F$13,1)),2)))/$C97,$C97/(50*POWER(80,POWER(COS(PI()*MOD(Calculator!$B$31/Calculator!$F$13,1)),2)))),2))</f>
        <v>8.64</v>
      </c>
      <c r="S97" s="87" t="n">
        <f aca="false">IF(OR(Calculator!$E$14&lt;&gt;"YES",Calculator!$B$31&lt;Calculator!$G$14),"—",ROUND(MAX((50*POWER(80,POWER(COS(PI()*MOD(Calculator!$B$31/Calculator!$F$14,1)),2)))/$C97,$C97/(50*POWER(80,POWER(COS(PI()*MOD(Calculator!$B$31/Calculator!$F$14,1)),2)))),2))</f>
        <v>18.04</v>
      </c>
      <c r="T97" s="87" t="n">
        <f aca="false">IF(OR(Calculator!$E$15&lt;&gt;"YES",Calculator!$B$31&lt;Calculator!$G$15),"—",ROUND(MAX((50*POWER(80,POWER(COS(PI()*MOD(Calculator!$B$31/Calculator!$F$15,1)),2)))/$C97,$C97/(50*POWER(80,POWER(COS(PI()*MOD(Calculator!$B$31/Calculator!$F$15,1)),2)))),2))</f>
        <v>11.35</v>
      </c>
      <c r="U97" s="87" t="n">
        <f aca="false">IF(OR(Calculator!$E$16&lt;&gt;"YES",Calculator!$B$31&lt;Calculator!$G$16),"—",ROUND(MAX((50*POWER(80,POWER(COS(PI()*MOD(Calculator!$B$31/Calculator!$F$16,1)),2)))/$C97,$C97/(50*POWER(80,POWER(COS(PI()*MOD(Calculator!$B$31/Calculator!$F$16,1)),2)))),2))</f>
        <v>44.27</v>
      </c>
      <c r="V97" s="87" t="n">
        <f aca="false">IF(OR(Calculator!$E$17&lt;&gt;"YES",Calculator!$B$31&lt;Calculator!$G$17),"—",ROUND(MAX((50*POWER(80,POWER(COS(PI()*MOD(Calculator!$B$31/Calculator!$F$17,1)),2)))/$C97,$C97/(50*POWER(80,POWER(COS(PI()*MOD(Calculator!$B$31/Calculator!$F$17,1)),2)))),2))</f>
        <v>1.56</v>
      </c>
      <c r="W97" s="87" t="n">
        <f aca="false">IF(OR(Calculator!$E$18&lt;&gt;"YES",Calculator!$B$31&lt;Calculator!$G$18),"—",ROUND(MAX((50*POWER(80,POWER(COS(PI()*MOD(Calculator!$B$31/Calculator!$F$18,1)),2)))/$C97,$C97/(50*POWER(80,POWER(COS(PI()*MOD(Calculator!$B$31/Calculator!$F$18,1)),2)))),2))</f>
        <v>1.45</v>
      </c>
      <c r="X97" s="87" t="n">
        <f aca="false">IF(OR(Calculator!$E$19&lt;&gt;"YES",Calculator!$B$31&lt;Calculator!$G$19),"—",ROUND(MAX((50*POWER(80,POWER(COS(PI()*MOD(Calculator!$B$31/Calculator!$F$19,1)),2)))/$C97,$C97/(50*POWER(80,POWER(COS(PI()*MOD(Calculator!$B$31/Calculator!$F$19,1)),2)))),2))</f>
        <v>1.11</v>
      </c>
      <c r="Y97" s="87" t="n">
        <f aca="false">IF(OR(Calculator!$E$20&lt;&gt;"YES",Calculator!$B$31&lt;Calculator!$G$20),"—",ROUND(MAX((50*POWER(80,POWER(COS(PI()*MOD(Calculator!$B$31/Calculator!$F$20,1)),2)))/$C97,$C97/(50*POWER(80,POWER(COS(PI()*MOD(Calculator!$B$31/Calculator!$F$20,1)),2)))),2))</f>
        <v>27.37</v>
      </c>
      <c r="Z97" s="87" t="n">
        <f aca="false">IF(OR(Calculator!$E$21&lt;&gt;"YES",Calculator!$B$31&lt;Calculator!$G$21),"—",ROUND(MAX((50*POWER(80,POWER(COS(PI()*MOD(Calculator!$B$31/Calculator!$F$21,1)),2)))/$C97,$C97/(50*POWER(80,POWER(COS(PI()*MOD(Calculator!$B$31/Calculator!$F$21,1)),2)))),2))</f>
        <v>1.82</v>
      </c>
      <c r="AA97" s="121" t="n">
        <f aca="false">IFERROR(ROUND((IF(ISNUMBER(P97),P97,0)+IF(ISNUMBER(Q97),Q97,0)+IF(ISNUMBER(R97),R97,0)+IF(ISNUMBER(S97),S97,0)+IF(ISNUMBER(T97),T97,0)+IF(ISNUMBER(U97),U97,0)+IF(ISNUMBER(V97),V97,0)+IF(ISNUMBER(W97),W97,0)+IF(ISNUMBER(X97),X97,0)+IF(ISNUMBER(Y97),Y97,0)+IF(ISNUMBER(Z97),Z97,0))/(IF(ISNUMBER(P97),1,0)+IF(ISNUMBER(Q97),1,0)+IF(ISNUMBER(R97),1,0)+IF(ISNUMBER(S97),1,0)+IF(ISNUMBER(T97),1,0)+IF(ISNUMBER(U97),1,0)+IF(ISNUMBER(V97),1,0)+IF(ISNUMBER(W97),1,0)+IF(ISNUMBER(X97),1,0)+IF(ISNUMBER(Y97),1,0)+IF(ISNUMBER(Z97),1,0)),2),"")</f>
        <v>14.17</v>
      </c>
      <c r="AB97" s="87" t="n">
        <f aca="false">IF(OR(Calculator!$E$11&lt;&gt;"YES",Calculator!$B$32&lt;Calculator!$G$11),"—",ROUND(MAX((50*POWER(80,POWER(COS(PI()*MOD(Calculator!$B$32/Calculator!$F$11,1)),2)))/$C97,$C97/(50*POWER(80,POWER(COS(PI()*MOD(Calculator!$B$32/Calculator!$F$11,1)),2)))),2))</f>
        <v>46.9</v>
      </c>
      <c r="AC97" s="87" t="n">
        <f aca="false">IF(OR(Calculator!$E$12&lt;&gt;"YES",Calculator!$B$32&lt;Calculator!$G$12),"—",ROUND(MAX((50*POWER(80,POWER(COS(PI()*MOD(Calculator!$B$32/Calculator!$F$12,1)),2)))/$C97,$C97/(50*POWER(80,POWER(COS(PI()*MOD(Calculator!$B$32/Calculator!$F$12,1)),2)))),2))</f>
        <v>1.61</v>
      </c>
      <c r="AD97" s="87" t="n">
        <f aca="false">IF(OR(Calculator!$E$13&lt;&gt;"YES",Calculator!$B$32&lt;Calculator!$G$13),"—",ROUND(MAX((50*POWER(80,POWER(COS(PI()*MOD(Calculator!$B$32/Calculator!$F$13,1)),2)))/$C97,$C97/(50*POWER(80,POWER(COS(PI()*MOD(Calculator!$B$32/Calculator!$F$13,1)),2)))),2))</f>
        <v>23.93</v>
      </c>
      <c r="AE97" s="87" t="n">
        <f aca="false">IF(OR(Calculator!$E$14&lt;&gt;"YES",Calculator!$B$32&lt;Calculator!$G$14),"—",ROUND(MAX((50*POWER(80,POWER(COS(PI()*MOD(Calculator!$B$32/Calculator!$F$14,1)),2)))/$C97,$C97/(50*POWER(80,POWER(COS(PI()*MOD(Calculator!$B$32/Calculator!$F$14,1)),2)))),2))</f>
        <v>4.37</v>
      </c>
      <c r="AF97" s="87" t="n">
        <f aca="false">IF(OR(Calculator!$E$15&lt;&gt;"YES",Calculator!$B$32&lt;Calculator!$G$15),"—",ROUND(MAX((50*POWER(80,POWER(COS(PI()*MOD(Calculator!$B$32/Calculator!$F$15,1)),2)))/$C97,$C97/(50*POWER(80,POWER(COS(PI()*MOD(Calculator!$B$32/Calculator!$F$15,1)),2)))),2))</f>
        <v>1.68</v>
      </c>
      <c r="AG97" s="87" t="n">
        <f aca="false">IF(OR(Calculator!$E$16&lt;&gt;"YES",Calculator!$B$32&lt;Calculator!$G$16),"—",ROUND(MAX((50*POWER(80,POWER(COS(PI()*MOD(Calculator!$B$32/Calculator!$F$16,1)),2)))/$C97,$C97/(50*POWER(80,POWER(COS(PI()*MOD(Calculator!$B$32/Calculator!$F$16,1)),2)))),2))</f>
        <v>38.21</v>
      </c>
      <c r="AH97" s="87" t="n">
        <f aca="false">IF(OR(Calculator!$E$17&lt;&gt;"YES",Calculator!$B$32&lt;Calculator!$G$17),"—",ROUND(MAX((50*POWER(80,POWER(COS(PI()*MOD(Calculator!$B$32/Calculator!$F$17,1)),2)))/$C97,$C97/(50*POWER(80,POWER(COS(PI()*MOD(Calculator!$B$32/Calculator!$F$17,1)),2)))),2))</f>
        <v>40.34</v>
      </c>
      <c r="AI97" s="87" t="n">
        <f aca="false">IF(OR(Calculator!$E$18&lt;&gt;"YES",Calculator!$B$32&lt;Calculator!$G$18),"—",ROUND(MAX((50*POWER(80,POWER(COS(PI()*MOD(Calculator!$B$32/Calculator!$F$18,1)),2)))/$C97,$C97/(50*POWER(80,POWER(COS(PI()*MOD(Calculator!$B$32/Calculator!$F$18,1)),2)))),2))</f>
        <v>53.2</v>
      </c>
      <c r="AJ97" s="87" t="n">
        <f aca="false">IF(OR(Calculator!$E$19&lt;&gt;"YES",Calculator!$B$32&lt;Calculator!$G$19),"—",ROUND(MAX((50*POWER(80,POWER(COS(PI()*MOD(Calculator!$B$32/Calculator!$F$19,1)),2)))/$C97,$C97/(50*POWER(80,POWER(COS(PI()*MOD(Calculator!$B$32/Calculator!$F$19,1)),2)))),2))</f>
        <v>11.21</v>
      </c>
      <c r="AK97" s="87" t="n">
        <f aca="false">IF(OR(Calculator!$E$20&lt;&gt;"YES",Calculator!$B$32&lt;Calculator!$G$20),"—",ROUND(MAX((50*POWER(80,POWER(COS(PI()*MOD(Calculator!$B$32/Calculator!$F$20,1)),2)))/$C97,$C97/(50*POWER(80,POWER(COS(PI()*MOD(Calculator!$B$32/Calculator!$F$20,1)),2)))),2))</f>
        <v>1.01</v>
      </c>
      <c r="AL97" s="87" t="n">
        <f aca="false">IF(OR(Calculator!$E$21&lt;&gt;"YES",Calculator!$B$32&lt;Calculator!$G$21),"—",ROUND(MAX((50*POWER(80,POWER(COS(PI()*MOD(Calculator!$B$32/Calculator!$F$21,1)),2)))/$C97,$C97/(50*POWER(80,POWER(COS(PI()*MOD(Calculator!$B$32/Calculator!$F$21,1)),2)))),2))</f>
        <v>1.17</v>
      </c>
      <c r="AM97" s="115" t="n">
        <f aca="false">IFERROR(ROUND((IF(ISNUMBER(AB97),AB97,0)+IF(ISNUMBER(AC97),AC97,0)+IF(ISNUMBER(AD97),AD97,0)+IF(ISNUMBER(AE97),AE97,0)+IF(ISNUMBER(AF97),AF97,0)+IF(ISNUMBER(AG97),AG97,0)+IF(ISNUMBER(AH97),AH97,0)+IF(ISNUMBER(AI97),AI97,0)+IF(ISNUMBER(AJ97),AJ97,0)+IF(ISNUMBER(AK97),AK97,0)+IF(ISNUMBER(AL97),AL97,0))/(IF(ISNUMBER(AB97),1,0)+IF(ISNUMBER(AC97),1,0)+IF(ISNUMBER(AD97),1,0)+IF(ISNUMBER(AE97),1,0)+IF(ISNUMBER(AF97),1,0)+IF(ISNUMBER(AG97),1,0)+IF(ISNUMBER(AH97),1,0)+IF(ISNUMBER(AI97),1,0)+IF(ISNUMBER(AJ97),1,0)+IF(ISNUMBER(AK97),1,0)+IF(ISNUMBER(AL97),1,0)),2),"")</f>
        <v>20.33</v>
      </c>
      <c r="AN97" s="116" t="n">
        <f aca="false">IF(OR(Calculator!$E$11&lt;&gt;"YES",Calculator!$B$33&lt;Calculator!$G$11),"—",ROUND(MAX((50*POWER(80,POWER(COS(PI()*MOD(Calculator!$B$33/Calculator!$F$11,1)),2)))/$C97,$C97/(50*POWER(80,POWER(COS(PI()*MOD(Calculator!$B$33/Calculator!$F$11,1)),2)))),2))</f>
        <v>37.71</v>
      </c>
      <c r="AO97" s="116" t="n">
        <f aca="false">IF(OR(Calculator!$E$12&lt;&gt;"YES",Calculator!$B$33&lt;Calculator!$G$12),"—",ROUND(MAX((50*POWER(80,POWER(COS(PI()*MOD(Calculator!$B$33/Calculator!$F$12,1)),2)))/$C97,$C97/(50*POWER(80,POWER(COS(PI()*MOD(Calculator!$B$33/Calculator!$F$12,1)),2)))),2))</f>
        <v>2.89</v>
      </c>
      <c r="AP97" s="116" t="n">
        <f aca="false">IF(OR(Calculator!$E$13&lt;&gt;"YES",Calculator!$B$33&lt;Calculator!$G$13),"—",ROUND(MAX((50*POWER(80,POWER(COS(PI()*MOD(Calculator!$B$33/Calculator!$F$13,1)),2)))/$C97,$C97/(50*POWER(80,POWER(COS(PI()*MOD(Calculator!$B$33/Calculator!$F$13,1)),2)))),2))</f>
        <v>9.09</v>
      </c>
      <c r="AQ97" s="116" t="n">
        <f aca="false">IF(OR(Calculator!$E$14&lt;&gt;"YES",Calculator!$B$33&lt;Calculator!$G$14),"—",ROUND(MAX((50*POWER(80,POWER(COS(PI()*MOD(Calculator!$B$33/Calculator!$F$14,1)),2)))/$C97,$C97/(50*POWER(80,POWER(COS(PI()*MOD(Calculator!$B$33/Calculator!$F$14,1)),2)))),2))</f>
        <v>16.93</v>
      </c>
      <c r="AR97" s="116" t="n">
        <f aca="false">IF(OR(Calculator!$E$15&lt;&gt;"YES",Calculator!$B$33&lt;Calculator!$G$15),"—",ROUND(MAX((50*POWER(80,POWER(COS(PI()*MOD(Calculator!$B$33/Calculator!$F$15,1)),2)))/$C97,$C97/(50*POWER(80,POWER(COS(PI()*MOD(Calculator!$B$33/Calculator!$F$15,1)),2)))),2))</f>
        <v>10.31</v>
      </c>
      <c r="AS97" s="116" t="n">
        <f aca="false">IF(OR(Calculator!$E$16&lt;&gt;"YES",Calculator!$B$33&lt;Calculator!$G$16),"—",ROUND(MAX((50*POWER(80,POWER(COS(PI()*MOD(Calculator!$B$33/Calculator!$F$16,1)),2)))/$C97,$C97/(50*POWER(80,POWER(COS(PI()*MOD(Calculator!$B$33/Calculator!$F$16,1)),2)))),2))</f>
        <v>47.66</v>
      </c>
      <c r="AT97" s="116" t="n">
        <f aca="false">IF(OR(Calculator!$E$17&lt;&gt;"YES",Calculator!$B$33&lt;Calculator!$G$17),"—",ROUND(MAX((50*POWER(80,POWER(COS(PI()*MOD(Calculator!$B$33/Calculator!$F$17,1)),2)))/$C97,$C97/(50*POWER(80,POWER(COS(PI()*MOD(Calculator!$B$33/Calculator!$F$17,1)),2)))),2))</f>
        <v>1.77</v>
      </c>
      <c r="AU97" s="116" t="n">
        <f aca="false">IF(OR(Calculator!$E$18&lt;&gt;"YES",Calculator!$B$33&lt;Calculator!$G$18),"—",ROUND(MAX((50*POWER(80,POWER(COS(PI()*MOD(Calculator!$B$33/Calculator!$F$18,1)),2)))/$C97,$C97/(50*POWER(80,POWER(COS(PI()*MOD(Calculator!$B$33/Calculator!$F$18,1)),2)))),2))</f>
        <v>1.68</v>
      </c>
      <c r="AV97" s="116" t="n">
        <f aca="false">IF(OR(Calculator!$E$19&lt;&gt;"YES",Calculator!$B$33&lt;Calculator!$G$19),"—",ROUND(MAX((50*POWER(80,POWER(COS(PI()*MOD(Calculator!$B$33/Calculator!$F$19,1)),2)))/$C97,$C97/(50*POWER(80,POWER(COS(PI()*MOD(Calculator!$B$33/Calculator!$F$19,1)),2)))),2))</f>
        <v>1.01</v>
      </c>
      <c r="AW97" s="116" t="n">
        <f aca="false">IF(OR(Calculator!$E$20&lt;&gt;"YES",Calculator!$B$33&lt;Calculator!$G$20),"—",ROUND(MAX((50*POWER(80,POWER(COS(PI()*MOD(Calculator!$B$33/Calculator!$F$20,1)),2)))/$C97,$C97/(50*POWER(80,POWER(COS(PI()*MOD(Calculator!$B$33/Calculator!$F$20,1)),2)))),2))</f>
        <v>21.71</v>
      </c>
      <c r="AX97" s="116" t="n">
        <f aca="false">IF(OR(Calculator!$E$21&lt;&gt;"YES",Calculator!$B$33&lt;Calculator!$G$21),"—",ROUND(MAX((50*POWER(80,POWER(COS(PI()*MOD(Calculator!$B$33/Calculator!$F$21,1)),2)))/$C97,$C97/(50*POWER(80,POWER(COS(PI()*MOD(Calculator!$B$33/Calculator!$F$21,1)),2)))),2))</f>
        <v>2.77</v>
      </c>
      <c r="AY97" s="115" t="n">
        <f aca="false">IFERROR(ROUND((IF(ISNUMBER(AN97),AN97,0)+IF(ISNUMBER(AO97),AO97,0)+IF(ISNUMBER(AP97),AP97,0)+IF(ISNUMBER(AQ97),AQ97,0)+IF(ISNUMBER(AR97),AR97,0)+IF(ISNUMBER(AS97),AS97,0)+IF(ISNUMBER(AT97),AT97,0)+IF(ISNUMBER(AU97),AU97,0)+IF(ISNUMBER(AV97),AV97,0)+IF(ISNUMBER(AW97),AW97,0)+IF(ISNUMBER(AX97),AX97,0))/(IF(ISNUMBER(AN97),1,0)+IF(ISNUMBER(AO97),1,0)+IF(ISNUMBER(AP97),1,0)+IF(ISNUMBER(AQ97),1,0)+IF(ISNUMBER(AR97),1,0)+IF(ISNUMBER(AS97),1,0)+IF(ISNUMBER(AT97),1,0)+IF(ISNUMBER(AU97),1,0)+IF(ISNUMBER(AV97),1,0)+IF(ISNUMBER(AW97),1,0)+IF(ISNUMBER(AX97),1,0)),2),"")</f>
        <v>13.96</v>
      </c>
      <c r="AZ97" s="116" t="n">
        <f aca="false">IF(OR(Calculator!$E$11&lt;&gt;"YES",Calculator!$B$34&lt;Calculator!$G$11),"—",ROUND(MAX((50*POWER(80,POWER(COS(PI()*MOD(Calculator!$B$34/Calculator!$F$11,1)),2)))/$C97,$C97/(50*POWER(80,POWER(COS(PI()*MOD(Calculator!$B$34/Calculator!$F$11,1)),2)))),2))</f>
        <v>36.35</v>
      </c>
      <c r="BA97" s="116" t="n">
        <f aca="false">IF(OR(Calculator!$E$12&lt;&gt;"YES",Calculator!$B$34&lt;Calculator!$G$12),"—",ROUND(MAX((50*POWER(80,POWER(COS(PI()*MOD(Calculator!$B$34/Calculator!$F$12,1)),2)))/$C97,$C97/(50*POWER(80,POWER(COS(PI()*MOD(Calculator!$B$34/Calculator!$F$12,1)),2)))),2))</f>
        <v>3.18</v>
      </c>
      <c r="BB97" s="116" t="n">
        <f aca="false">IF(OR(Calculator!$E$13&lt;&gt;"YES",Calculator!$B$34&lt;Calculator!$G$13),"—",ROUND(MAX((50*POWER(80,POWER(COS(PI()*MOD(Calculator!$B$34/Calculator!$F$13,1)),2)))/$C97,$C97/(50*POWER(80,POWER(COS(PI()*MOD(Calculator!$B$34/Calculator!$F$13,1)),2)))),2))</f>
        <v>7.79</v>
      </c>
      <c r="BC97" s="116" t="n">
        <f aca="false">IF(OR(Calculator!$E$14&lt;&gt;"YES",Calculator!$B$34&lt;Calculator!$G$14),"—",ROUND(MAX((50*POWER(80,POWER(COS(PI()*MOD(Calculator!$B$34/Calculator!$F$14,1)),2)))/$C97,$C97/(50*POWER(80,POWER(COS(PI()*MOD(Calculator!$B$34/Calculator!$F$14,1)),2)))),2))</f>
        <v>20.42</v>
      </c>
      <c r="BD97" s="116" t="n">
        <f aca="false">IF(OR(Calculator!$E$15&lt;&gt;"YES",Calculator!$B$34&lt;Calculator!$G$15),"—",ROUND(MAX((50*POWER(80,POWER(COS(PI()*MOD(Calculator!$B$34/Calculator!$F$15,1)),2)))/$C97,$C97/(50*POWER(80,POWER(COS(PI()*MOD(Calculator!$B$34/Calculator!$F$15,1)),2)))),2))</f>
        <v>13.72</v>
      </c>
      <c r="BE97" s="116" t="n">
        <f aca="false">IF(OR(Calculator!$E$16&lt;&gt;"YES",Calculator!$B$34&lt;Calculator!$G$16),"—",ROUND(MAX((50*POWER(80,POWER(COS(PI()*MOD(Calculator!$B$34/Calculator!$F$16,1)),2)))/$C97,$C97/(50*POWER(80,POWER(COS(PI()*MOD(Calculator!$B$34/Calculator!$F$16,1)),2)))),2))</f>
        <v>37.4</v>
      </c>
      <c r="BF97" s="116" t="n">
        <f aca="false">IF(OR(Calculator!$E$17&lt;&gt;"YES",Calculator!$B$34&lt;Calculator!$G$17),"—",ROUND(MAX((50*POWER(80,POWER(COS(PI()*MOD(Calculator!$B$34/Calculator!$F$17,1)),2)))/$C97,$C97/(50*POWER(80,POWER(COS(PI()*MOD(Calculator!$B$34/Calculator!$F$17,1)),2)))),2))</f>
        <v>1.24</v>
      </c>
      <c r="BG97" s="116" t="n">
        <f aca="false">IF(OR(Calculator!$E$18&lt;&gt;"YES",Calculator!$B$34&lt;Calculator!$G$18),"—",ROUND(MAX((50*POWER(80,POWER(COS(PI()*MOD(Calculator!$B$34/Calculator!$F$18,1)),2)))/$C97,$C97/(50*POWER(80,POWER(COS(PI()*MOD(Calculator!$B$34/Calculator!$F$18,1)),2)))),2))</f>
        <v>1.13</v>
      </c>
      <c r="BH97" s="116" t="n">
        <f aca="false">IF(OR(Calculator!$E$19&lt;&gt;"YES",Calculator!$B$34&lt;Calculator!$G$19),"—",ROUND(MAX((50*POWER(80,POWER(COS(PI()*MOD(Calculator!$B$34/Calculator!$F$19,1)),2)))/$C97,$C97/(50*POWER(80,POWER(COS(PI()*MOD(Calculator!$B$34/Calculator!$F$19,1)),2)))),2))</f>
        <v>1.48</v>
      </c>
      <c r="BI97" s="116" t="n">
        <f aca="false">IF(OR(Calculator!$E$20&lt;&gt;"YES",Calculator!$B$34&lt;Calculator!$G$20),"—",ROUND(MAX((50*POWER(80,POWER(COS(PI()*MOD(Calculator!$B$34/Calculator!$F$20,1)),2)))/$C97,$C97/(50*POWER(80,POWER(COS(PI()*MOD(Calculator!$B$34/Calculator!$F$20,1)),2)))),2))</f>
        <v>40.68</v>
      </c>
      <c r="BJ97" s="116" t="n">
        <f aca="false">IF(OR(Calculator!$E$21&lt;&gt;"YES",Calculator!$B$34&lt;Calculator!$G$21),"—",ROUND(MAX((50*POWER(80,POWER(COS(PI()*MOD(Calculator!$B$34/Calculator!$F$21,1)),2)))/$C97,$C97/(50*POWER(80,POWER(COS(PI()*MOD(Calculator!$B$34/Calculator!$F$21,1)),2)))),2))</f>
        <v>1.01</v>
      </c>
      <c r="BK97" s="115" t="n">
        <f aca="false">IFERROR(ROUND((IF(ISNUMBER(AZ97),AZ97,0)+IF(ISNUMBER(BA97),BA97,0)+IF(ISNUMBER(BB97),BB97,0)+IF(ISNUMBER(BC97),BC97,0)+IF(ISNUMBER(BD97),BD97,0)+IF(ISNUMBER(BE97),BE97,0)+IF(ISNUMBER(BF97),BF97,0)+IF(ISNUMBER(BG97),BG97,0)+IF(ISNUMBER(BH97),BH97,0)+IF(ISNUMBER(BI97),BI97,0)+IF(ISNUMBER(BJ97),BJ97,0))/(IF(ISNUMBER(AZ97),1,0)+IF(ISNUMBER(BA97),1,0)+IF(ISNUMBER(BB97),1,0)+IF(ISNUMBER(BC97),1,0)+IF(ISNUMBER(BD97),1,0)+IF(ISNUMBER(BE97),1,0)+IF(ISNUMBER(BF97),1,0)+IF(ISNUMBER(BG97),1,0)+IF(ISNUMBER(BH97),1,0)+IF(ISNUMBER(BI97),1,0)+IF(ISNUMBER(BJ97),1,0)),2),"")</f>
        <v>14.95</v>
      </c>
    </row>
    <row r="98" customFormat="false" ht="15" hidden="false" customHeight="false" outlineLevel="0" collapsed="false">
      <c r="A98" s="117" t="s">
        <v>156</v>
      </c>
      <c r="B98" s="125" t="s">
        <v>93</v>
      </c>
      <c r="C98" s="117" t="n">
        <v>3300</v>
      </c>
      <c r="D98" s="117" t="n">
        <f aca="false">IF(OR(Calculator!$E$11&lt;&gt;"YES",Calculator!$B$30&lt;Calculator!$G$11),"—",ROUND(MAX((50*POWER(80,POWER(COS(PI()*MOD(Calculator!$B$30/Calculator!$F$11,1)),2)))/$C98,$C98/(50*POWER(80,POWER(COS(PI()*MOD(Calculator!$B$30/Calculator!$F$11,1)),2)))),2))</f>
        <v>37.36</v>
      </c>
      <c r="E98" s="117" t="n">
        <f aca="false">IF(OR(Calculator!$E$12&lt;&gt;"YES",Calculator!$B$30&lt;Calculator!$G$12),"—",ROUND(MAX((50*POWER(80,POWER(COS(PI()*MOD(Calculator!$B$30/Calculator!$F$12,1)),2)))/$C98,$C98/(50*POWER(80,POWER(COS(PI()*MOD(Calculator!$B$30/Calculator!$F$12,1)),2)))),2))</f>
        <v>3.13</v>
      </c>
      <c r="F98" s="117" t="n">
        <f aca="false">IF(OR(Calculator!$E$13&lt;&gt;"YES",Calculator!$B$30&lt;Calculator!$G$13),"—",ROUND(MAX((50*POWER(80,POWER(COS(PI()*MOD(Calculator!$B$30/Calculator!$F$13,1)),2)))/$C98,$C98/(50*POWER(80,POWER(COS(PI()*MOD(Calculator!$B$30/Calculator!$F$13,1)),2)))),2))</f>
        <v>8.33</v>
      </c>
      <c r="G98" s="117" t="n">
        <f aca="false">IF(OR(Calculator!$E$14&lt;&gt;"YES",Calculator!$B$30&lt;Calculator!$G$14),"—",ROUND(MAX((50*POWER(80,POWER(COS(PI()*MOD(Calculator!$B$30/Calculator!$F$14,1)),2)))/$C98,$C98/(50*POWER(80,POWER(COS(PI()*MOD(Calculator!$B$30/Calculator!$F$14,1)),2)))),2))</f>
        <v>19.5</v>
      </c>
      <c r="H98" s="117" t="n">
        <f aca="false">IF(OR(Calculator!$E$15&lt;&gt;"YES",Calculator!$B$30&lt;Calculator!$G$15),"—",ROUND(MAX((50*POWER(80,POWER(COS(PI()*MOD(Calculator!$B$30/Calculator!$F$15,1)),2)))/$C98,$C98/(50*POWER(80,POWER(COS(PI()*MOD(Calculator!$B$30/Calculator!$F$15,1)),2)))),2))</f>
        <v>12.68</v>
      </c>
      <c r="I98" s="117" t="n">
        <f aca="false">IF(OR(Calculator!$E$16&lt;&gt;"YES",Calculator!$B$30&lt;Calculator!$G$16),"—",ROUND(MAX((50*POWER(80,POWER(COS(PI()*MOD(Calculator!$B$30/Calculator!$F$16,1)),2)))/$C98,$C98/(50*POWER(80,POWER(COS(PI()*MOD(Calculator!$B$30/Calculator!$F$16,1)),2)))),2))</f>
        <v>41.45</v>
      </c>
      <c r="J98" s="117" t="n">
        <f aca="false">IF(OR(Calculator!$E$17&lt;&gt;"YES",Calculator!$B$30&lt;Calculator!$G$17),"—",ROUND(MAX((50*POWER(80,POWER(COS(PI()*MOD(Calculator!$B$30/Calculator!$F$17,1)),2)))/$C98,$C98/(50*POWER(80,POWER(COS(PI()*MOD(Calculator!$B$30/Calculator!$F$17,1)),2)))),2))</f>
        <v>1.4</v>
      </c>
      <c r="K98" s="117" t="n">
        <f aca="false">IF(OR(Calculator!$E$18&lt;&gt;"YES",Calculator!$B$30&lt;Calculator!$G$18),"—",ROUND(MAX((50*POWER(80,POWER(COS(PI()*MOD(Calculator!$B$30/Calculator!$F$18,1)),2)))/$C98,$C98/(50*POWER(80,POWER(COS(PI()*MOD(Calculator!$B$30/Calculator!$F$18,1)),2)))),2))</f>
        <v>1.29</v>
      </c>
      <c r="L98" s="117" t="n">
        <f aca="false">IF(OR(Calculator!$E$19&lt;&gt;"YES",Calculator!$B$30&lt;Calculator!$G$19),"—",ROUND(MAX((50*POWER(80,POWER(COS(PI()*MOD(Calculator!$B$30/Calculator!$F$19,1)),2)))/$C98,$C98/(50*POWER(80,POWER(COS(PI()*MOD(Calculator!$B$30/Calculator!$F$19,1)),2)))),2))</f>
        <v>1.29</v>
      </c>
      <c r="M98" s="117" t="n">
        <f aca="false">IF(OR(Calculator!$E$20&lt;&gt;"YES",Calculator!$B$30&lt;Calculator!$G$20),"—",ROUND(MAX((50*POWER(80,POWER(COS(PI()*MOD(Calculator!$B$30/Calculator!$F$20,1)),2)))/$C98,$C98/(50*POWER(80,POWER(COS(PI()*MOD(Calculator!$B$30/Calculator!$F$20,1)),2)))),2))</f>
        <v>34.31</v>
      </c>
      <c r="N98" s="117" t="n">
        <f aca="false">IF(OR(Calculator!$E$21&lt;&gt;"YES",Calculator!$B$30&lt;Calculator!$G$21),"—",ROUND(MAX((50*POWER(80,POWER(COS(PI()*MOD(Calculator!$B$30/Calculator!$F$21,1)),2)))/$C98,$C98/(50*POWER(80,POWER(COS(PI()*MOD(Calculator!$B$30/Calculator!$F$21,1)),2)))),2))</f>
        <v>1.3</v>
      </c>
      <c r="O98" s="121" t="n">
        <f aca="false">IFERROR(ROUND((IF(ISNUMBER(D98),D98,0)+IF(ISNUMBER(E98),E98,0)+IF(ISNUMBER(F98),F98,0)+IF(ISNUMBER(G98),G98,0)+IF(ISNUMBER(H98),H98,0)+IF(ISNUMBER(I98),I98,0)+IF(ISNUMBER(J98),J98,0)+IF(ISNUMBER(K98),K98,0)+IF(ISNUMBER(L98),L98,0)+IF(ISNUMBER(M98),M98,0)+IF(ISNUMBER(N98),N98,0))/(IF(ISNUMBER(D98),1,0)+IF(ISNUMBER(E98),1,0)+IF(ISNUMBER(F98),1,0)+IF(ISNUMBER(G98),1,0)+IF(ISNUMBER(H98),1,0)+IF(ISNUMBER(I98),1,0)+IF(ISNUMBER(J98),1,0)+IF(ISNUMBER(K98),1,0)+IF(ISNUMBER(L98),1,0)+IF(ISNUMBER(M98),1,0)+IF(ISNUMBER(N98),1,0)),2),"")</f>
        <v>14.73</v>
      </c>
      <c r="P98" s="117" t="n">
        <f aca="false">IF(OR(Calculator!$E$11&lt;&gt;"YES",Calculator!$B$31&lt;Calculator!$G$11),"—",ROUND(MAX((50*POWER(80,POWER(COS(PI()*MOD(Calculator!$B$31/Calculator!$F$11,1)),2)))/$C98,$C98/(50*POWER(80,POWER(COS(PI()*MOD(Calculator!$B$31/Calculator!$F$11,1)),2)))),2))</f>
        <v>37.83</v>
      </c>
      <c r="Q98" s="117" t="n">
        <f aca="false">IF(OR(Calculator!$E$12&lt;&gt;"YES",Calculator!$B$31&lt;Calculator!$G$12),"—",ROUND(MAX((50*POWER(80,POWER(COS(PI()*MOD(Calculator!$B$31/Calculator!$F$12,1)),2)))/$C98,$C98/(50*POWER(80,POWER(COS(PI()*MOD(Calculator!$B$31/Calculator!$F$12,1)),2)))),2))</f>
        <v>3.03</v>
      </c>
      <c r="R98" s="117" t="n">
        <f aca="false">IF(OR(Calculator!$E$13&lt;&gt;"YES",Calculator!$B$31&lt;Calculator!$G$13),"—",ROUND(MAX((50*POWER(80,POWER(COS(PI()*MOD(Calculator!$B$31/Calculator!$F$13,1)),2)))/$C98,$C98/(50*POWER(80,POWER(COS(PI()*MOD(Calculator!$B$31/Calculator!$F$13,1)),2)))),2))</f>
        <v>8.77</v>
      </c>
      <c r="S98" s="117" t="n">
        <f aca="false">IF(OR(Calculator!$E$14&lt;&gt;"YES",Calculator!$B$31&lt;Calculator!$G$14),"—",ROUND(MAX((50*POWER(80,POWER(COS(PI()*MOD(Calculator!$B$31/Calculator!$F$14,1)),2)))/$C98,$C98/(50*POWER(80,POWER(COS(PI()*MOD(Calculator!$B$31/Calculator!$F$14,1)),2)))),2))</f>
        <v>18.32</v>
      </c>
      <c r="T98" s="117" t="n">
        <f aca="false">IF(OR(Calculator!$E$15&lt;&gt;"YES",Calculator!$B$31&lt;Calculator!$G$15),"—",ROUND(MAX((50*POWER(80,POWER(COS(PI()*MOD(Calculator!$B$31/Calculator!$F$15,1)),2)))/$C98,$C98/(50*POWER(80,POWER(COS(PI()*MOD(Calculator!$B$31/Calculator!$F$15,1)),2)))),2))</f>
        <v>11.53</v>
      </c>
      <c r="U98" s="117" t="n">
        <f aca="false">IF(OR(Calculator!$E$16&lt;&gt;"YES",Calculator!$B$31&lt;Calculator!$G$16),"—",ROUND(MAX((50*POWER(80,POWER(COS(PI()*MOD(Calculator!$B$31/Calculator!$F$16,1)),2)))/$C98,$C98/(50*POWER(80,POWER(COS(PI()*MOD(Calculator!$B$31/Calculator!$F$16,1)),2)))),2))</f>
        <v>44.95</v>
      </c>
      <c r="V98" s="117" t="n">
        <f aca="false">IF(OR(Calculator!$E$17&lt;&gt;"YES",Calculator!$B$31&lt;Calculator!$G$17),"—",ROUND(MAX((50*POWER(80,POWER(COS(PI()*MOD(Calculator!$B$31/Calculator!$F$17,1)),2)))/$C98,$C98/(50*POWER(80,POWER(COS(PI()*MOD(Calculator!$B$31/Calculator!$F$17,1)),2)))),2))</f>
        <v>1.58</v>
      </c>
      <c r="W98" s="117" t="n">
        <f aca="false">IF(OR(Calculator!$E$18&lt;&gt;"YES",Calculator!$B$31&lt;Calculator!$G$18),"—",ROUND(MAX((50*POWER(80,POWER(COS(PI()*MOD(Calculator!$B$31/Calculator!$F$18,1)),2)))/$C98,$C98/(50*POWER(80,POWER(COS(PI()*MOD(Calculator!$B$31/Calculator!$F$18,1)),2)))),2))</f>
        <v>1.47</v>
      </c>
      <c r="X98" s="117" t="n">
        <f aca="false">IF(OR(Calculator!$E$19&lt;&gt;"YES",Calculator!$B$31&lt;Calculator!$G$19),"—",ROUND(MAX((50*POWER(80,POWER(COS(PI()*MOD(Calculator!$B$31/Calculator!$F$19,1)),2)))/$C98,$C98/(50*POWER(80,POWER(COS(PI()*MOD(Calculator!$B$31/Calculator!$F$19,1)),2)))),2))</f>
        <v>1.13</v>
      </c>
      <c r="Y98" s="117" t="n">
        <f aca="false">IF(OR(Calculator!$E$20&lt;&gt;"YES",Calculator!$B$31&lt;Calculator!$G$20),"—",ROUND(MAX((50*POWER(80,POWER(COS(PI()*MOD(Calculator!$B$31/Calculator!$F$20,1)),2)))/$C98,$C98/(50*POWER(80,POWER(COS(PI()*MOD(Calculator!$B$31/Calculator!$F$20,1)),2)))),2))</f>
        <v>27.8</v>
      </c>
      <c r="Z98" s="117" t="n">
        <f aca="false">IF(OR(Calculator!$E$21&lt;&gt;"YES",Calculator!$B$31&lt;Calculator!$G$21),"—",ROUND(MAX((50*POWER(80,POWER(COS(PI()*MOD(Calculator!$B$31/Calculator!$F$21,1)),2)))/$C98,$C98/(50*POWER(80,POWER(COS(PI()*MOD(Calculator!$B$31/Calculator!$F$21,1)),2)))),2))</f>
        <v>1.85</v>
      </c>
      <c r="AA98" s="121" t="n">
        <f aca="false">IFERROR(ROUND((IF(ISNUMBER(P98),P98,0)+IF(ISNUMBER(Q98),Q98,0)+IF(ISNUMBER(R98),R98,0)+IF(ISNUMBER(S98),S98,0)+IF(ISNUMBER(T98),T98,0)+IF(ISNUMBER(U98),U98,0)+IF(ISNUMBER(V98),V98,0)+IF(ISNUMBER(W98),W98,0)+IF(ISNUMBER(X98),X98,0)+IF(ISNUMBER(Y98),Y98,0)+IF(ISNUMBER(Z98),Z98,0))/(IF(ISNUMBER(P98),1,0)+IF(ISNUMBER(Q98),1,0)+IF(ISNUMBER(R98),1,0)+IF(ISNUMBER(S98),1,0)+IF(ISNUMBER(T98),1,0)+IF(ISNUMBER(U98),1,0)+IF(ISNUMBER(V98),1,0)+IF(ISNUMBER(W98),1,0)+IF(ISNUMBER(X98),1,0)+IF(ISNUMBER(Y98),1,0)+IF(ISNUMBER(Z98),1,0)),2),"")</f>
        <v>14.39</v>
      </c>
      <c r="AB98" s="117" t="n">
        <f aca="false">IF(OR(Calculator!$E$11&lt;&gt;"YES",Calculator!$B$32&lt;Calculator!$G$11),"—",ROUND(MAX((50*POWER(80,POWER(COS(PI()*MOD(Calculator!$B$32/Calculator!$F$11,1)),2)))/$C98,$C98/(50*POWER(80,POWER(COS(PI()*MOD(Calculator!$B$32/Calculator!$F$11,1)),2)))),2))</f>
        <v>47.62</v>
      </c>
      <c r="AC98" s="117" t="n">
        <f aca="false">IF(OR(Calculator!$E$12&lt;&gt;"YES",Calculator!$B$32&lt;Calculator!$G$12),"—",ROUND(MAX((50*POWER(80,POWER(COS(PI()*MOD(Calculator!$B$32/Calculator!$F$12,1)),2)))/$C98,$C98/(50*POWER(80,POWER(COS(PI()*MOD(Calculator!$B$32/Calculator!$F$12,1)),2)))),2))</f>
        <v>1.64</v>
      </c>
      <c r="AD98" s="117" t="n">
        <f aca="false">IF(OR(Calculator!$E$13&lt;&gt;"YES",Calculator!$B$32&lt;Calculator!$G$13),"—",ROUND(MAX((50*POWER(80,POWER(COS(PI()*MOD(Calculator!$B$32/Calculator!$F$13,1)),2)))/$C98,$C98/(50*POWER(80,POWER(COS(PI()*MOD(Calculator!$B$32/Calculator!$F$13,1)),2)))),2))</f>
        <v>24.3</v>
      </c>
      <c r="AE98" s="117" t="n">
        <f aca="false">IF(OR(Calculator!$E$14&lt;&gt;"YES",Calculator!$B$32&lt;Calculator!$G$14),"—",ROUND(MAX((50*POWER(80,POWER(COS(PI()*MOD(Calculator!$B$32/Calculator!$F$14,1)),2)))/$C98,$C98/(50*POWER(80,POWER(COS(PI()*MOD(Calculator!$B$32/Calculator!$F$14,1)),2)))),2))</f>
        <v>4.44</v>
      </c>
      <c r="AF98" s="117" t="n">
        <f aca="false">IF(OR(Calculator!$E$15&lt;&gt;"YES",Calculator!$B$32&lt;Calculator!$G$15),"—",ROUND(MAX((50*POWER(80,POWER(COS(PI()*MOD(Calculator!$B$32/Calculator!$F$15,1)),2)))/$C98,$C98/(50*POWER(80,POWER(COS(PI()*MOD(Calculator!$B$32/Calculator!$F$15,1)),2)))),2))</f>
        <v>1.7</v>
      </c>
      <c r="AG98" s="117" t="n">
        <f aca="false">IF(OR(Calculator!$E$16&lt;&gt;"YES",Calculator!$B$32&lt;Calculator!$G$16),"—",ROUND(MAX((50*POWER(80,POWER(COS(PI()*MOD(Calculator!$B$32/Calculator!$F$16,1)),2)))/$C98,$C98/(50*POWER(80,POWER(COS(PI()*MOD(Calculator!$B$32/Calculator!$F$16,1)),2)))),2))</f>
        <v>38.8</v>
      </c>
      <c r="AH98" s="117" t="n">
        <f aca="false">IF(OR(Calculator!$E$17&lt;&gt;"YES",Calculator!$B$32&lt;Calculator!$G$17),"—",ROUND(MAX((50*POWER(80,POWER(COS(PI()*MOD(Calculator!$B$32/Calculator!$F$17,1)),2)))/$C98,$C98/(50*POWER(80,POWER(COS(PI()*MOD(Calculator!$B$32/Calculator!$F$17,1)),2)))),2))</f>
        <v>40.96</v>
      </c>
      <c r="AI98" s="117" t="n">
        <f aca="false">IF(OR(Calculator!$E$18&lt;&gt;"YES",Calculator!$B$32&lt;Calculator!$G$18),"—",ROUND(MAX((50*POWER(80,POWER(COS(PI()*MOD(Calculator!$B$32/Calculator!$F$18,1)),2)))/$C98,$C98/(50*POWER(80,POWER(COS(PI()*MOD(Calculator!$B$32/Calculator!$F$18,1)),2)))),2))</f>
        <v>54.02</v>
      </c>
      <c r="AJ98" s="117" t="n">
        <f aca="false">IF(OR(Calculator!$E$19&lt;&gt;"YES",Calculator!$B$32&lt;Calculator!$G$19),"—",ROUND(MAX((50*POWER(80,POWER(COS(PI()*MOD(Calculator!$B$32/Calculator!$F$19,1)),2)))/$C98,$C98/(50*POWER(80,POWER(COS(PI()*MOD(Calculator!$B$32/Calculator!$F$19,1)),2)))),2))</f>
        <v>11.39</v>
      </c>
      <c r="AK98" s="117" t="n">
        <f aca="false">IF(OR(Calculator!$E$20&lt;&gt;"YES",Calculator!$B$32&lt;Calculator!$G$20),"—",ROUND(MAX((50*POWER(80,POWER(COS(PI()*MOD(Calculator!$B$32/Calculator!$F$20,1)),2)))/$C98,$C98/(50*POWER(80,POWER(COS(PI()*MOD(Calculator!$B$32/Calculator!$F$20,1)),2)))),2))</f>
        <v>1.03</v>
      </c>
      <c r="AL98" s="117" t="n">
        <f aca="false">IF(OR(Calculator!$E$21&lt;&gt;"YES",Calculator!$B$32&lt;Calculator!$G$21),"—",ROUND(MAX((50*POWER(80,POWER(COS(PI()*MOD(Calculator!$B$32/Calculator!$F$21,1)),2)))/$C98,$C98/(50*POWER(80,POWER(COS(PI()*MOD(Calculator!$B$32/Calculator!$F$21,1)),2)))),2))</f>
        <v>1.18</v>
      </c>
      <c r="AM98" s="115" t="n">
        <f aca="false">IFERROR(ROUND((IF(ISNUMBER(AB98),AB98,0)+IF(ISNUMBER(AC98),AC98,0)+IF(ISNUMBER(AD98),AD98,0)+IF(ISNUMBER(AE98),AE98,0)+IF(ISNUMBER(AF98),AF98,0)+IF(ISNUMBER(AG98),AG98,0)+IF(ISNUMBER(AH98),AH98,0)+IF(ISNUMBER(AI98),AI98,0)+IF(ISNUMBER(AJ98),AJ98,0)+IF(ISNUMBER(AK98),AK98,0)+IF(ISNUMBER(AL98),AL98,0))/(IF(ISNUMBER(AB98),1,0)+IF(ISNUMBER(AC98),1,0)+IF(ISNUMBER(AD98),1,0)+IF(ISNUMBER(AE98),1,0)+IF(ISNUMBER(AF98),1,0)+IF(ISNUMBER(AG98),1,0)+IF(ISNUMBER(AH98),1,0)+IF(ISNUMBER(AI98),1,0)+IF(ISNUMBER(AJ98),1,0)+IF(ISNUMBER(AK98),1,0)+IF(ISNUMBER(AL98),1,0)),2),"")</f>
        <v>20.64</v>
      </c>
      <c r="AN98" s="120" t="n">
        <f aca="false">IF(OR(Calculator!$E$11&lt;&gt;"YES",Calculator!$B$33&lt;Calculator!$G$11),"—",ROUND(MAX((50*POWER(80,POWER(COS(PI()*MOD(Calculator!$B$33/Calculator!$F$11,1)),2)))/$C98,$C98/(50*POWER(80,POWER(COS(PI()*MOD(Calculator!$B$33/Calculator!$F$11,1)),2)))),2))</f>
        <v>38.29</v>
      </c>
      <c r="AO98" s="120" t="n">
        <f aca="false">IF(OR(Calculator!$E$12&lt;&gt;"YES",Calculator!$B$33&lt;Calculator!$G$12),"—",ROUND(MAX((50*POWER(80,POWER(COS(PI()*MOD(Calculator!$B$33/Calculator!$F$12,1)),2)))/$C98,$C98/(50*POWER(80,POWER(COS(PI()*MOD(Calculator!$B$33/Calculator!$F$12,1)),2)))),2))</f>
        <v>2.93</v>
      </c>
      <c r="AP98" s="120" t="n">
        <f aca="false">IF(OR(Calculator!$E$13&lt;&gt;"YES",Calculator!$B$33&lt;Calculator!$G$13),"—",ROUND(MAX((50*POWER(80,POWER(COS(PI()*MOD(Calculator!$B$33/Calculator!$F$13,1)),2)))/$C98,$C98/(50*POWER(80,POWER(COS(PI()*MOD(Calculator!$B$33/Calculator!$F$13,1)),2)))),2))</f>
        <v>9.23</v>
      </c>
      <c r="AQ98" s="120" t="n">
        <f aca="false">IF(OR(Calculator!$E$14&lt;&gt;"YES",Calculator!$B$33&lt;Calculator!$G$14),"—",ROUND(MAX((50*POWER(80,POWER(COS(PI()*MOD(Calculator!$B$33/Calculator!$F$14,1)),2)))/$C98,$C98/(50*POWER(80,POWER(COS(PI()*MOD(Calculator!$B$33/Calculator!$F$14,1)),2)))),2))</f>
        <v>17.19</v>
      </c>
      <c r="AR98" s="120" t="n">
        <f aca="false">IF(OR(Calculator!$E$15&lt;&gt;"YES",Calculator!$B$33&lt;Calculator!$G$15),"—",ROUND(MAX((50*POWER(80,POWER(COS(PI()*MOD(Calculator!$B$33/Calculator!$F$15,1)),2)))/$C98,$C98/(50*POWER(80,POWER(COS(PI()*MOD(Calculator!$B$33/Calculator!$F$15,1)),2)))),2))</f>
        <v>10.47</v>
      </c>
      <c r="AS98" s="120" t="n">
        <f aca="false">IF(OR(Calculator!$E$16&lt;&gt;"YES",Calculator!$B$33&lt;Calculator!$G$16),"—",ROUND(MAX((50*POWER(80,POWER(COS(PI()*MOD(Calculator!$B$33/Calculator!$F$16,1)),2)))/$C98,$C98/(50*POWER(80,POWER(COS(PI()*MOD(Calculator!$B$33/Calculator!$F$16,1)),2)))),2))</f>
        <v>48.39</v>
      </c>
      <c r="AT98" s="120" t="n">
        <f aca="false">IF(OR(Calculator!$E$17&lt;&gt;"YES",Calculator!$B$33&lt;Calculator!$G$17),"—",ROUND(MAX((50*POWER(80,POWER(COS(PI()*MOD(Calculator!$B$33/Calculator!$F$17,1)),2)))/$C98,$C98/(50*POWER(80,POWER(COS(PI()*MOD(Calculator!$B$33/Calculator!$F$17,1)),2)))),2))</f>
        <v>1.8</v>
      </c>
      <c r="AU98" s="120" t="n">
        <f aca="false">IF(OR(Calculator!$E$18&lt;&gt;"YES",Calculator!$B$33&lt;Calculator!$G$18),"—",ROUND(MAX((50*POWER(80,POWER(COS(PI()*MOD(Calculator!$B$33/Calculator!$F$18,1)),2)))/$C98,$C98/(50*POWER(80,POWER(COS(PI()*MOD(Calculator!$B$33/Calculator!$F$18,1)),2)))),2))</f>
        <v>1.71</v>
      </c>
      <c r="AV98" s="120" t="n">
        <f aca="false">IF(OR(Calculator!$E$19&lt;&gt;"YES",Calculator!$B$33&lt;Calculator!$G$19),"—",ROUND(MAX((50*POWER(80,POWER(COS(PI()*MOD(Calculator!$B$33/Calculator!$F$19,1)),2)))/$C98,$C98/(50*POWER(80,POWER(COS(PI()*MOD(Calculator!$B$33/Calculator!$F$19,1)),2)))),2))</f>
        <v>1.01</v>
      </c>
      <c r="AW98" s="120" t="n">
        <f aca="false">IF(OR(Calculator!$E$20&lt;&gt;"YES",Calculator!$B$33&lt;Calculator!$G$20),"—",ROUND(MAX((50*POWER(80,POWER(COS(PI()*MOD(Calculator!$B$33/Calculator!$F$20,1)),2)))/$C98,$C98/(50*POWER(80,POWER(COS(PI()*MOD(Calculator!$B$33/Calculator!$F$20,1)),2)))),2))</f>
        <v>22.04</v>
      </c>
      <c r="AX98" s="120" t="n">
        <f aca="false">IF(OR(Calculator!$E$21&lt;&gt;"YES",Calculator!$B$33&lt;Calculator!$G$21),"—",ROUND(MAX((50*POWER(80,POWER(COS(PI()*MOD(Calculator!$B$33/Calculator!$F$21,1)),2)))/$C98,$C98/(50*POWER(80,POWER(COS(PI()*MOD(Calculator!$B$33/Calculator!$F$21,1)),2)))),2))</f>
        <v>2.82</v>
      </c>
      <c r="AY98" s="115" t="n">
        <f aca="false">IFERROR(ROUND((IF(ISNUMBER(AN98),AN98,0)+IF(ISNUMBER(AO98),AO98,0)+IF(ISNUMBER(AP98),AP98,0)+IF(ISNUMBER(AQ98),AQ98,0)+IF(ISNUMBER(AR98),AR98,0)+IF(ISNUMBER(AS98),AS98,0)+IF(ISNUMBER(AT98),AT98,0)+IF(ISNUMBER(AU98),AU98,0)+IF(ISNUMBER(AV98),AV98,0)+IF(ISNUMBER(AW98),AW98,0)+IF(ISNUMBER(AX98),AX98,0))/(IF(ISNUMBER(AN98),1,0)+IF(ISNUMBER(AO98),1,0)+IF(ISNUMBER(AP98),1,0)+IF(ISNUMBER(AQ98),1,0)+IF(ISNUMBER(AR98),1,0)+IF(ISNUMBER(AS98),1,0)+IF(ISNUMBER(AT98),1,0)+IF(ISNUMBER(AU98),1,0)+IF(ISNUMBER(AV98),1,0)+IF(ISNUMBER(AW98),1,0)+IF(ISNUMBER(AX98),1,0)),2),"")</f>
        <v>14.17</v>
      </c>
      <c r="AZ98" s="120" t="n">
        <f aca="false">IF(OR(Calculator!$E$11&lt;&gt;"YES",Calculator!$B$34&lt;Calculator!$G$11),"—",ROUND(MAX((50*POWER(80,POWER(COS(PI()*MOD(Calculator!$B$34/Calculator!$F$11,1)),2)))/$C98,$C98/(50*POWER(80,POWER(COS(PI()*MOD(Calculator!$B$34/Calculator!$F$11,1)),2)))),2))</f>
        <v>36.9</v>
      </c>
      <c r="BA98" s="120" t="n">
        <f aca="false">IF(OR(Calculator!$E$12&lt;&gt;"YES",Calculator!$B$34&lt;Calculator!$G$12),"—",ROUND(MAX((50*POWER(80,POWER(COS(PI()*MOD(Calculator!$B$34/Calculator!$F$12,1)),2)))/$C98,$C98/(50*POWER(80,POWER(COS(PI()*MOD(Calculator!$B$34/Calculator!$F$12,1)),2)))),2))</f>
        <v>3.23</v>
      </c>
      <c r="BB98" s="120" t="n">
        <f aca="false">IF(OR(Calculator!$E$13&lt;&gt;"YES",Calculator!$B$34&lt;Calculator!$G$13),"—",ROUND(MAX((50*POWER(80,POWER(COS(PI()*MOD(Calculator!$B$34/Calculator!$F$13,1)),2)))/$C98,$C98/(50*POWER(80,POWER(COS(PI()*MOD(Calculator!$B$34/Calculator!$F$13,1)),2)))),2))</f>
        <v>7.91</v>
      </c>
      <c r="BC98" s="120" t="n">
        <f aca="false">IF(OR(Calculator!$E$14&lt;&gt;"YES",Calculator!$B$34&lt;Calculator!$G$14),"—",ROUND(MAX((50*POWER(80,POWER(COS(PI()*MOD(Calculator!$B$34/Calculator!$F$14,1)),2)))/$C98,$C98/(50*POWER(80,POWER(COS(PI()*MOD(Calculator!$B$34/Calculator!$F$14,1)),2)))),2))</f>
        <v>20.73</v>
      </c>
      <c r="BD98" s="120" t="n">
        <f aca="false">IF(OR(Calculator!$E$15&lt;&gt;"YES",Calculator!$B$34&lt;Calculator!$G$15),"—",ROUND(MAX((50*POWER(80,POWER(COS(PI()*MOD(Calculator!$B$34/Calculator!$F$15,1)),2)))/$C98,$C98/(50*POWER(80,POWER(COS(PI()*MOD(Calculator!$B$34/Calculator!$F$15,1)),2)))),2))</f>
        <v>13.93</v>
      </c>
      <c r="BE98" s="120" t="n">
        <f aca="false">IF(OR(Calculator!$E$16&lt;&gt;"YES",Calculator!$B$34&lt;Calculator!$G$16),"—",ROUND(MAX((50*POWER(80,POWER(COS(PI()*MOD(Calculator!$B$34/Calculator!$F$16,1)),2)))/$C98,$C98/(50*POWER(80,POWER(COS(PI()*MOD(Calculator!$B$34/Calculator!$F$16,1)),2)))),2))</f>
        <v>37.97</v>
      </c>
      <c r="BF98" s="120" t="n">
        <f aca="false">IF(OR(Calculator!$E$17&lt;&gt;"YES",Calculator!$B$34&lt;Calculator!$G$17),"—",ROUND(MAX((50*POWER(80,POWER(COS(PI()*MOD(Calculator!$B$34/Calculator!$F$17,1)),2)))/$C98,$C98/(50*POWER(80,POWER(COS(PI()*MOD(Calculator!$B$34/Calculator!$F$17,1)),2)))),2))</f>
        <v>1.26</v>
      </c>
      <c r="BG98" s="120" t="n">
        <f aca="false">IF(OR(Calculator!$E$18&lt;&gt;"YES",Calculator!$B$34&lt;Calculator!$G$18),"—",ROUND(MAX((50*POWER(80,POWER(COS(PI()*MOD(Calculator!$B$34/Calculator!$F$18,1)),2)))/$C98,$C98/(50*POWER(80,POWER(COS(PI()*MOD(Calculator!$B$34/Calculator!$F$18,1)),2)))),2))</f>
        <v>1.15</v>
      </c>
      <c r="BH98" s="120" t="n">
        <f aca="false">IF(OR(Calculator!$E$19&lt;&gt;"YES",Calculator!$B$34&lt;Calculator!$G$19),"—",ROUND(MAX((50*POWER(80,POWER(COS(PI()*MOD(Calculator!$B$34/Calculator!$F$19,1)),2)))/$C98,$C98/(50*POWER(80,POWER(COS(PI()*MOD(Calculator!$B$34/Calculator!$F$19,1)),2)))),2))</f>
        <v>1.51</v>
      </c>
      <c r="BI98" s="120" t="n">
        <f aca="false">IF(OR(Calculator!$E$20&lt;&gt;"YES",Calculator!$B$34&lt;Calculator!$G$20),"—",ROUND(MAX((50*POWER(80,POWER(COS(PI()*MOD(Calculator!$B$34/Calculator!$F$20,1)),2)))/$C98,$C98/(50*POWER(80,POWER(COS(PI()*MOD(Calculator!$B$34/Calculator!$F$20,1)),2)))),2))</f>
        <v>41.31</v>
      </c>
      <c r="BJ98" s="120" t="n">
        <f aca="false">IF(OR(Calculator!$E$21&lt;&gt;"YES",Calculator!$B$34&lt;Calculator!$G$21),"—",ROUND(MAX((50*POWER(80,POWER(COS(PI()*MOD(Calculator!$B$34/Calculator!$F$21,1)),2)))/$C98,$C98/(50*POWER(80,POWER(COS(PI()*MOD(Calculator!$B$34/Calculator!$F$21,1)),2)))),2))</f>
        <v>1.01</v>
      </c>
      <c r="BK98" s="115" t="n">
        <f aca="false">IFERROR(ROUND((IF(ISNUMBER(AZ98),AZ98,0)+IF(ISNUMBER(BA98),BA98,0)+IF(ISNUMBER(BB98),BB98,0)+IF(ISNUMBER(BC98),BC98,0)+IF(ISNUMBER(BD98),BD98,0)+IF(ISNUMBER(BE98),BE98,0)+IF(ISNUMBER(BF98),BF98,0)+IF(ISNUMBER(BG98),BG98,0)+IF(ISNUMBER(BH98),BH98,0)+IF(ISNUMBER(BI98),BI98,0)+IF(ISNUMBER(BJ98),BJ98,0))/(IF(ISNUMBER(AZ98),1,0)+IF(ISNUMBER(BA98),1,0)+IF(ISNUMBER(BB98),1,0)+IF(ISNUMBER(BC98),1,0)+IF(ISNUMBER(BD98),1,0)+IF(ISNUMBER(BE98),1,0)+IF(ISNUMBER(BF98),1,0)+IF(ISNUMBER(BG98),1,0)+IF(ISNUMBER(BH98),1,0)+IF(ISNUMBER(BI98),1,0)+IF(ISNUMBER(BJ98),1,0)),2),"")</f>
        <v>15.17</v>
      </c>
    </row>
    <row r="99" customFormat="false" ht="15" hidden="false" customHeight="false" outlineLevel="0" collapsed="false">
      <c r="A99" s="87" t="s">
        <v>157</v>
      </c>
      <c r="B99" s="122" t="s">
        <v>93</v>
      </c>
      <c r="C99" s="87" t="n">
        <v>3350</v>
      </c>
      <c r="D99" s="87" t="n">
        <f aca="false">IF(OR(Calculator!$E$11&lt;&gt;"YES",Calculator!$B$30&lt;Calculator!$G$11),"—",ROUND(MAX((50*POWER(80,POWER(COS(PI()*MOD(Calculator!$B$30/Calculator!$F$11,1)),2)))/$C99,$C99/(50*POWER(80,POWER(COS(PI()*MOD(Calculator!$B$30/Calculator!$F$11,1)),2)))),2))</f>
        <v>37.93</v>
      </c>
      <c r="E99" s="87" t="n">
        <f aca="false">IF(OR(Calculator!$E$12&lt;&gt;"YES",Calculator!$B$30&lt;Calculator!$G$12),"—",ROUND(MAX((50*POWER(80,POWER(COS(PI()*MOD(Calculator!$B$30/Calculator!$F$12,1)),2)))/$C99,$C99/(50*POWER(80,POWER(COS(PI()*MOD(Calculator!$B$30/Calculator!$F$12,1)),2)))),2))</f>
        <v>3.17</v>
      </c>
      <c r="F99" s="87" t="n">
        <f aca="false">IF(OR(Calculator!$E$13&lt;&gt;"YES",Calculator!$B$30&lt;Calculator!$G$13),"—",ROUND(MAX((50*POWER(80,POWER(COS(PI()*MOD(Calculator!$B$30/Calculator!$F$13,1)),2)))/$C99,$C99/(50*POWER(80,POWER(COS(PI()*MOD(Calculator!$B$30/Calculator!$F$13,1)),2)))),2))</f>
        <v>8.45</v>
      </c>
      <c r="G99" s="87" t="n">
        <f aca="false">IF(OR(Calculator!$E$14&lt;&gt;"YES",Calculator!$B$30&lt;Calculator!$G$14),"—",ROUND(MAX((50*POWER(80,POWER(COS(PI()*MOD(Calculator!$B$30/Calculator!$F$14,1)),2)))/$C99,$C99/(50*POWER(80,POWER(COS(PI()*MOD(Calculator!$B$30/Calculator!$F$14,1)),2)))),2))</f>
        <v>19.79</v>
      </c>
      <c r="H99" s="87" t="n">
        <f aca="false">IF(OR(Calculator!$E$15&lt;&gt;"YES",Calculator!$B$30&lt;Calculator!$G$15),"—",ROUND(MAX((50*POWER(80,POWER(COS(PI()*MOD(Calculator!$B$30/Calculator!$F$15,1)),2)))/$C99,$C99/(50*POWER(80,POWER(COS(PI()*MOD(Calculator!$B$30/Calculator!$F$15,1)),2)))),2))</f>
        <v>12.87</v>
      </c>
      <c r="I99" s="87" t="n">
        <f aca="false">IF(OR(Calculator!$E$16&lt;&gt;"YES",Calculator!$B$30&lt;Calculator!$G$16),"—",ROUND(MAX((50*POWER(80,POWER(COS(PI()*MOD(Calculator!$B$30/Calculator!$F$16,1)),2)))/$C99,$C99/(50*POWER(80,POWER(COS(PI()*MOD(Calculator!$B$30/Calculator!$F$16,1)),2)))),2))</f>
        <v>42.08</v>
      </c>
      <c r="J99" s="87" t="n">
        <f aca="false">IF(OR(Calculator!$E$17&lt;&gt;"YES",Calculator!$B$30&lt;Calculator!$G$17),"—",ROUND(MAX((50*POWER(80,POWER(COS(PI()*MOD(Calculator!$B$30/Calculator!$F$17,1)),2)))/$C99,$C99/(50*POWER(80,POWER(COS(PI()*MOD(Calculator!$B$30/Calculator!$F$17,1)),2)))),2))</f>
        <v>1.43</v>
      </c>
      <c r="K99" s="87" t="n">
        <f aca="false">IF(OR(Calculator!$E$18&lt;&gt;"YES",Calculator!$B$30&lt;Calculator!$G$18),"—",ROUND(MAX((50*POWER(80,POWER(COS(PI()*MOD(Calculator!$B$30/Calculator!$F$18,1)),2)))/$C99,$C99/(50*POWER(80,POWER(COS(PI()*MOD(Calculator!$B$30/Calculator!$F$18,1)),2)))),2))</f>
        <v>1.31</v>
      </c>
      <c r="L99" s="87" t="n">
        <f aca="false">IF(OR(Calculator!$E$19&lt;&gt;"YES",Calculator!$B$30&lt;Calculator!$G$19),"—",ROUND(MAX((50*POWER(80,POWER(COS(PI()*MOD(Calculator!$B$30/Calculator!$F$19,1)),2)))/$C99,$C99/(50*POWER(80,POWER(COS(PI()*MOD(Calculator!$B$30/Calculator!$F$19,1)),2)))),2))</f>
        <v>1.31</v>
      </c>
      <c r="M99" s="87" t="n">
        <f aca="false">IF(OR(Calculator!$E$20&lt;&gt;"YES",Calculator!$B$30&lt;Calculator!$G$20),"—",ROUND(MAX((50*POWER(80,POWER(COS(PI()*MOD(Calculator!$B$30/Calculator!$F$20,1)),2)))/$C99,$C99/(50*POWER(80,POWER(COS(PI()*MOD(Calculator!$B$30/Calculator!$F$20,1)),2)))),2))</f>
        <v>34.83</v>
      </c>
      <c r="N99" s="87" t="n">
        <f aca="false">IF(OR(Calculator!$E$21&lt;&gt;"YES",Calculator!$B$30&lt;Calculator!$G$21),"—",ROUND(MAX((50*POWER(80,POWER(COS(PI()*MOD(Calculator!$B$30/Calculator!$F$21,1)),2)))/$C99,$C99/(50*POWER(80,POWER(COS(PI()*MOD(Calculator!$B$30/Calculator!$F$21,1)),2)))),2))</f>
        <v>1.32</v>
      </c>
      <c r="O99" s="121" t="n">
        <f aca="false">IFERROR(ROUND((IF(ISNUMBER(D99),D99,0)+IF(ISNUMBER(E99),E99,0)+IF(ISNUMBER(F99),F99,0)+IF(ISNUMBER(G99),G99,0)+IF(ISNUMBER(H99),H99,0)+IF(ISNUMBER(I99),I99,0)+IF(ISNUMBER(J99),J99,0)+IF(ISNUMBER(K99),K99,0)+IF(ISNUMBER(L99),L99,0)+IF(ISNUMBER(M99),M99,0)+IF(ISNUMBER(N99),N99,0))/(IF(ISNUMBER(D99),1,0)+IF(ISNUMBER(E99),1,0)+IF(ISNUMBER(F99),1,0)+IF(ISNUMBER(G99),1,0)+IF(ISNUMBER(H99),1,0)+IF(ISNUMBER(I99),1,0)+IF(ISNUMBER(J99),1,0)+IF(ISNUMBER(K99),1,0)+IF(ISNUMBER(L99),1,0)+IF(ISNUMBER(M99),1,0)+IF(ISNUMBER(N99),1,0)),2),"")</f>
        <v>14.95</v>
      </c>
      <c r="P99" s="87" t="n">
        <f aca="false">IF(OR(Calculator!$E$11&lt;&gt;"YES",Calculator!$B$31&lt;Calculator!$G$11),"—",ROUND(MAX((50*POWER(80,POWER(COS(PI()*MOD(Calculator!$B$31/Calculator!$F$11,1)),2)))/$C99,$C99/(50*POWER(80,POWER(COS(PI()*MOD(Calculator!$B$31/Calculator!$F$11,1)),2)))),2))</f>
        <v>38.4</v>
      </c>
      <c r="Q99" s="87" t="n">
        <f aca="false">IF(OR(Calculator!$E$12&lt;&gt;"YES",Calculator!$B$31&lt;Calculator!$G$12),"—",ROUND(MAX((50*POWER(80,POWER(COS(PI()*MOD(Calculator!$B$31/Calculator!$F$12,1)),2)))/$C99,$C99/(50*POWER(80,POWER(COS(PI()*MOD(Calculator!$B$31/Calculator!$F$12,1)),2)))),2))</f>
        <v>3.07</v>
      </c>
      <c r="R99" s="87" t="n">
        <f aca="false">IF(OR(Calculator!$E$13&lt;&gt;"YES",Calculator!$B$31&lt;Calculator!$G$13),"—",ROUND(MAX((50*POWER(80,POWER(COS(PI()*MOD(Calculator!$B$31/Calculator!$F$13,1)),2)))/$C99,$C99/(50*POWER(80,POWER(COS(PI()*MOD(Calculator!$B$31/Calculator!$F$13,1)),2)))),2))</f>
        <v>8.9</v>
      </c>
      <c r="S99" s="87" t="n">
        <f aca="false">IF(OR(Calculator!$E$14&lt;&gt;"YES",Calculator!$B$31&lt;Calculator!$G$14),"—",ROUND(MAX((50*POWER(80,POWER(COS(PI()*MOD(Calculator!$B$31/Calculator!$F$14,1)),2)))/$C99,$C99/(50*POWER(80,POWER(COS(PI()*MOD(Calculator!$B$31/Calculator!$F$14,1)),2)))),2))</f>
        <v>18.6</v>
      </c>
      <c r="T99" s="87" t="n">
        <f aca="false">IF(OR(Calculator!$E$15&lt;&gt;"YES",Calculator!$B$31&lt;Calculator!$G$15),"—",ROUND(MAX((50*POWER(80,POWER(COS(PI()*MOD(Calculator!$B$31/Calculator!$F$15,1)),2)))/$C99,$C99/(50*POWER(80,POWER(COS(PI()*MOD(Calculator!$B$31/Calculator!$F$15,1)),2)))),2))</f>
        <v>11.7</v>
      </c>
      <c r="U99" s="87" t="n">
        <f aca="false">IF(OR(Calculator!$E$16&lt;&gt;"YES",Calculator!$B$31&lt;Calculator!$G$16),"—",ROUND(MAX((50*POWER(80,POWER(COS(PI()*MOD(Calculator!$B$31/Calculator!$F$16,1)),2)))/$C99,$C99/(50*POWER(80,POWER(COS(PI()*MOD(Calculator!$B$31/Calculator!$F$16,1)),2)))),2))</f>
        <v>45.63</v>
      </c>
      <c r="V99" s="87" t="n">
        <f aca="false">IF(OR(Calculator!$E$17&lt;&gt;"YES",Calculator!$B$31&lt;Calculator!$G$17),"—",ROUND(MAX((50*POWER(80,POWER(COS(PI()*MOD(Calculator!$B$31/Calculator!$F$17,1)),2)))/$C99,$C99/(50*POWER(80,POWER(COS(PI()*MOD(Calculator!$B$31/Calculator!$F$17,1)),2)))),2))</f>
        <v>1.61</v>
      </c>
      <c r="W99" s="87" t="n">
        <f aca="false">IF(OR(Calculator!$E$18&lt;&gt;"YES",Calculator!$B$31&lt;Calculator!$G$18),"—",ROUND(MAX((50*POWER(80,POWER(COS(PI()*MOD(Calculator!$B$31/Calculator!$F$18,1)),2)))/$C99,$C99/(50*POWER(80,POWER(COS(PI()*MOD(Calculator!$B$31/Calculator!$F$18,1)),2)))),2))</f>
        <v>1.5</v>
      </c>
      <c r="X99" s="87" t="n">
        <f aca="false">IF(OR(Calculator!$E$19&lt;&gt;"YES",Calculator!$B$31&lt;Calculator!$G$19),"—",ROUND(MAX((50*POWER(80,POWER(COS(PI()*MOD(Calculator!$B$31/Calculator!$F$19,1)),2)))/$C99,$C99/(50*POWER(80,POWER(COS(PI()*MOD(Calculator!$B$31/Calculator!$F$19,1)),2)))),2))</f>
        <v>1.14</v>
      </c>
      <c r="Y99" s="87" t="n">
        <f aca="false">IF(OR(Calculator!$E$20&lt;&gt;"YES",Calculator!$B$31&lt;Calculator!$G$20),"—",ROUND(MAX((50*POWER(80,POWER(COS(PI()*MOD(Calculator!$B$31/Calculator!$F$20,1)),2)))/$C99,$C99/(50*POWER(80,POWER(COS(PI()*MOD(Calculator!$B$31/Calculator!$F$20,1)),2)))),2))</f>
        <v>28.22</v>
      </c>
      <c r="Z99" s="87" t="n">
        <f aca="false">IF(OR(Calculator!$E$21&lt;&gt;"YES",Calculator!$B$31&lt;Calculator!$G$21),"—",ROUND(MAX((50*POWER(80,POWER(COS(PI()*MOD(Calculator!$B$31/Calculator!$F$21,1)),2)))/$C99,$C99/(50*POWER(80,POWER(COS(PI()*MOD(Calculator!$B$31/Calculator!$F$21,1)),2)))),2))</f>
        <v>1.87</v>
      </c>
      <c r="AA99" s="121" t="n">
        <f aca="false">IFERROR(ROUND((IF(ISNUMBER(P99),P99,0)+IF(ISNUMBER(Q99),Q99,0)+IF(ISNUMBER(R99),R99,0)+IF(ISNUMBER(S99),S99,0)+IF(ISNUMBER(T99),T99,0)+IF(ISNUMBER(U99),U99,0)+IF(ISNUMBER(V99),V99,0)+IF(ISNUMBER(W99),W99,0)+IF(ISNUMBER(X99),X99,0)+IF(ISNUMBER(Y99),Y99,0)+IF(ISNUMBER(Z99),Z99,0))/(IF(ISNUMBER(P99),1,0)+IF(ISNUMBER(Q99),1,0)+IF(ISNUMBER(R99),1,0)+IF(ISNUMBER(S99),1,0)+IF(ISNUMBER(T99),1,0)+IF(ISNUMBER(U99),1,0)+IF(ISNUMBER(V99),1,0)+IF(ISNUMBER(W99),1,0)+IF(ISNUMBER(X99),1,0)+IF(ISNUMBER(Y99),1,0)+IF(ISNUMBER(Z99),1,0)),2),"")</f>
        <v>14.6</v>
      </c>
      <c r="AB99" s="87" t="n">
        <f aca="false">IF(OR(Calculator!$E$11&lt;&gt;"YES",Calculator!$B$32&lt;Calculator!$G$11),"—",ROUND(MAX((50*POWER(80,POWER(COS(PI()*MOD(Calculator!$B$32/Calculator!$F$11,1)),2)))/$C99,$C99/(50*POWER(80,POWER(COS(PI()*MOD(Calculator!$B$32/Calculator!$F$11,1)),2)))),2))</f>
        <v>48.34</v>
      </c>
      <c r="AC99" s="87" t="n">
        <f aca="false">IF(OR(Calculator!$E$12&lt;&gt;"YES",Calculator!$B$32&lt;Calculator!$G$12),"—",ROUND(MAX((50*POWER(80,POWER(COS(PI()*MOD(Calculator!$B$32/Calculator!$F$12,1)),2)))/$C99,$C99/(50*POWER(80,POWER(COS(PI()*MOD(Calculator!$B$32/Calculator!$F$12,1)),2)))),2))</f>
        <v>1.66</v>
      </c>
      <c r="AD99" s="87" t="n">
        <f aca="false">IF(OR(Calculator!$E$13&lt;&gt;"YES",Calculator!$B$32&lt;Calculator!$G$13),"—",ROUND(MAX((50*POWER(80,POWER(COS(PI()*MOD(Calculator!$B$32/Calculator!$F$13,1)),2)))/$C99,$C99/(50*POWER(80,POWER(COS(PI()*MOD(Calculator!$B$32/Calculator!$F$13,1)),2)))),2))</f>
        <v>24.67</v>
      </c>
      <c r="AE99" s="87" t="n">
        <f aca="false">IF(OR(Calculator!$E$14&lt;&gt;"YES",Calculator!$B$32&lt;Calculator!$G$14),"—",ROUND(MAX((50*POWER(80,POWER(COS(PI()*MOD(Calculator!$B$32/Calculator!$F$14,1)),2)))/$C99,$C99/(50*POWER(80,POWER(COS(PI()*MOD(Calculator!$B$32/Calculator!$F$14,1)),2)))),2))</f>
        <v>4.51</v>
      </c>
      <c r="AF99" s="87" t="n">
        <f aca="false">IF(OR(Calculator!$E$15&lt;&gt;"YES",Calculator!$B$32&lt;Calculator!$G$15),"—",ROUND(MAX((50*POWER(80,POWER(COS(PI()*MOD(Calculator!$B$32/Calculator!$F$15,1)),2)))/$C99,$C99/(50*POWER(80,POWER(COS(PI()*MOD(Calculator!$B$32/Calculator!$F$15,1)),2)))),2))</f>
        <v>1.73</v>
      </c>
      <c r="AG99" s="87" t="n">
        <f aca="false">IF(OR(Calculator!$E$16&lt;&gt;"YES",Calculator!$B$32&lt;Calculator!$G$16),"—",ROUND(MAX((50*POWER(80,POWER(COS(PI()*MOD(Calculator!$B$32/Calculator!$F$16,1)),2)))/$C99,$C99/(50*POWER(80,POWER(COS(PI()*MOD(Calculator!$B$32/Calculator!$F$16,1)),2)))),2))</f>
        <v>39.38</v>
      </c>
      <c r="AH99" s="87" t="n">
        <f aca="false">IF(OR(Calculator!$E$17&lt;&gt;"YES",Calculator!$B$32&lt;Calculator!$G$17),"—",ROUND(MAX((50*POWER(80,POWER(COS(PI()*MOD(Calculator!$B$32/Calculator!$F$17,1)),2)))/$C99,$C99/(50*POWER(80,POWER(COS(PI()*MOD(Calculator!$B$32/Calculator!$F$17,1)),2)))),2))</f>
        <v>41.58</v>
      </c>
      <c r="AI99" s="87" t="n">
        <f aca="false">IF(OR(Calculator!$E$18&lt;&gt;"YES",Calculator!$B$32&lt;Calculator!$G$18),"—",ROUND(MAX((50*POWER(80,POWER(COS(PI()*MOD(Calculator!$B$32/Calculator!$F$18,1)),2)))/$C99,$C99/(50*POWER(80,POWER(COS(PI()*MOD(Calculator!$B$32/Calculator!$F$18,1)),2)))),2))</f>
        <v>54.84</v>
      </c>
      <c r="AJ99" s="87" t="n">
        <f aca="false">IF(OR(Calculator!$E$19&lt;&gt;"YES",Calculator!$B$32&lt;Calculator!$G$19),"—",ROUND(MAX((50*POWER(80,POWER(COS(PI()*MOD(Calculator!$B$32/Calculator!$F$19,1)),2)))/$C99,$C99/(50*POWER(80,POWER(COS(PI()*MOD(Calculator!$B$32/Calculator!$F$19,1)),2)))),2))</f>
        <v>11.56</v>
      </c>
      <c r="AK99" s="87" t="n">
        <f aca="false">IF(OR(Calculator!$E$20&lt;&gt;"YES",Calculator!$B$32&lt;Calculator!$G$20),"—",ROUND(MAX((50*POWER(80,POWER(COS(PI()*MOD(Calculator!$B$32/Calculator!$F$20,1)),2)))/$C99,$C99/(50*POWER(80,POWER(COS(PI()*MOD(Calculator!$B$32/Calculator!$F$20,1)),2)))),2))</f>
        <v>1.04</v>
      </c>
      <c r="AL99" s="87" t="n">
        <f aca="false">IF(OR(Calculator!$E$21&lt;&gt;"YES",Calculator!$B$32&lt;Calculator!$G$21),"—",ROUND(MAX((50*POWER(80,POWER(COS(PI()*MOD(Calculator!$B$32/Calculator!$F$21,1)),2)))/$C99,$C99/(50*POWER(80,POWER(COS(PI()*MOD(Calculator!$B$32/Calculator!$F$21,1)),2)))),2))</f>
        <v>1.2</v>
      </c>
      <c r="AM99" s="115" t="n">
        <f aca="false">IFERROR(ROUND((IF(ISNUMBER(AB99),AB99,0)+IF(ISNUMBER(AC99),AC99,0)+IF(ISNUMBER(AD99),AD99,0)+IF(ISNUMBER(AE99),AE99,0)+IF(ISNUMBER(AF99),AF99,0)+IF(ISNUMBER(AG99),AG99,0)+IF(ISNUMBER(AH99),AH99,0)+IF(ISNUMBER(AI99),AI99,0)+IF(ISNUMBER(AJ99),AJ99,0)+IF(ISNUMBER(AK99),AK99,0)+IF(ISNUMBER(AL99),AL99,0))/(IF(ISNUMBER(AB99),1,0)+IF(ISNUMBER(AC99),1,0)+IF(ISNUMBER(AD99),1,0)+IF(ISNUMBER(AE99),1,0)+IF(ISNUMBER(AF99),1,0)+IF(ISNUMBER(AG99),1,0)+IF(ISNUMBER(AH99),1,0)+IF(ISNUMBER(AI99),1,0)+IF(ISNUMBER(AJ99),1,0)+IF(ISNUMBER(AK99),1,0)+IF(ISNUMBER(AL99),1,0)),2),"")</f>
        <v>20.96</v>
      </c>
      <c r="AN99" s="116" t="n">
        <f aca="false">IF(OR(Calculator!$E$11&lt;&gt;"YES",Calculator!$B$33&lt;Calculator!$G$11),"—",ROUND(MAX((50*POWER(80,POWER(COS(PI()*MOD(Calculator!$B$33/Calculator!$F$11,1)),2)))/$C99,$C99/(50*POWER(80,POWER(COS(PI()*MOD(Calculator!$B$33/Calculator!$F$11,1)),2)))),2))</f>
        <v>38.87</v>
      </c>
      <c r="AO99" s="116" t="n">
        <f aca="false">IF(OR(Calculator!$E$12&lt;&gt;"YES",Calculator!$B$33&lt;Calculator!$G$12),"—",ROUND(MAX((50*POWER(80,POWER(COS(PI()*MOD(Calculator!$B$33/Calculator!$F$12,1)),2)))/$C99,$C99/(50*POWER(80,POWER(COS(PI()*MOD(Calculator!$B$33/Calculator!$F$12,1)),2)))),2))</f>
        <v>2.98</v>
      </c>
      <c r="AP99" s="116" t="n">
        <f aca="false">IF(OR(Calculator!$E$13&lt;&gt;"YES",Calculator!$B$33&lt;Calculator!$G$13),"—",ROUND(MAX((50*POWER(80,POWER(COS(PI()*MOD(Calculator!$B$33/Calculator!$F$13,1)),2)))/$C99,$C99/(50*POWER(80,POWER(COS(PI()*MOD(Calculator!$B$33/Calculator!$F$13,1)),2)))),2))</f>
        <v>9.37</v>
      </c>
      <c r="AQ99" s="116" t="n">
        <f aca="false">IF(OR(Calculator!$E$14&lt;&gt;"YES",Calculator!$B$33&lt;Calculator!$G$14),"—",ROUND(MAX((50*POWER(80,POWER(COS(PI()*MOD(Calculator!$B$33/Calculator!$F$14,1)),2)))/$C99,$C99/(50*POWER(80,POWER(COS(PI()*MOD(Calculator!$B$33/Calculator!$F$14,1)),2)))),2))</f>
        <v>17.45</v>
      </c>
      <c r="AR99" s="116" t="n">
        <f aca="false">IF(OR(Calculator!$E$15&lt;&gt;"YES",Calculator!$B$33&lt;Calculator!$G$15),"—",ROUND(MAX((50*POWER(80,POWER(COS(PI()*MOD(Calculator!$B$33/Calculator!$F$15,1)),2)))/$C99,$C99/(50*POWER(80,POWER(COS(PI()*MOD(Calculator!$B$33/Calculator!$F$15,1)),2)))),2))</f>
        <v>10.63</v>
      </c>
      <c r="AS99" s="116" t="n">
        <f aca="false">IF(OR(Calculator!$E$16&lt;&gt;"YES",Calculator!$B$33&lt;Calculator!$G$16),"—",ROUND(MAX((50*POWER(80,POWER(COS(PI()*MOD(Calculator!$B$33/Calculator!$F$16,1)),2)))/$C99,$C99/(50*POWER(80,POWER(COS(PI()*MOD(Calculator!$B$33/Calculator!$F$16,1)),2)))),2))</f>
        <v>49.13</v>
      </c>
      <c r="AT99" s="116" t="n">
        <f aca="false">IF(OR(Calculator!$E$17&lt;&gt;"YES",Calculator!$B$33&lt;Calculator!$G$17),"—",ROUND(MAX((50*POWER(80,POWER(COS(PI()*MOD(Calculator!$B$33/Calculator!$F$17,1)),2)))/$C99,$C99/(50*POWER(80,POWER(COS(PI()*MOD(Calculator!$B$33/Calculator!$F$17,1)),2)))),2))</f>
        <v>1.83</v>
      </c>
      <c r="AU99" s="116" t="n">
        <f aca="false">IF(OR(Calculator!$E$18&lt;&gt;"YES",Calculator!$B$33&lt;Calculator!$G$18),"—",ROUND(MAX((50*POWER(80,POWER(COS(PI()*MOD(Calculator!$B$33/Calculator!$F$18,1)),2)))/$C99,$C99/(50*POWER(80,POWER(COS(PI()*MOD(Calculator!$B$33/Calculator!$F$18,1)),2)))),2))</f>
        <v>1.73</v>
      </c>
      <c r="AV99" s="116" t="n">
        <f aca="false">IF(OR(Calculator!$E$19&lt;&gt;"YES",Calculator!$B$33&lt;Calculator!$G$19),"—",ROUND(MAX((50*POWER(80,POWER(COS(PI()*MOD(Calculator!$B$33/Calculator!$F$19,1)),2)))/$C99,$C99/(50*POWER(80,POWER(COS(PI()*MOD(Calculator!$B$33/Calculator!$F$19,1)),2)))),2))</f>
        <v>1.02</v>
      </c>
      <c r="AW99" s="116" t="n">
        <f aca="false">IF(OR(Calculator!$E$20&lt;&gt;"YES",Calculator!$B$33&lt;Calculator!$G$20),"—",ROUND(MAX((50*POWER(80,POWER(COS(PI()*MOD(Calculator!$B$33/Calculator!$F$20,1)),2)))/$C99,$C99/(50*POWER(80,POWER(COS(PI()*MOD(Calculator!$B$33/Calculator!$F$20,1)),2)))),2))</f>
        <v>22.37</v>
      </c>
      <c r="AX99" s="116" t="n">
        <f aca="false">IF(OR(Calculator!$E$21&lt;&gt;"YES",Calculator!$B$33&lt;Calculator!$G$21),"—",ROUND(MAX((50*POWER(80,POWER(COS(PI()*MOD(Calculator!$B$33/Calculator!$F$21,1)),2)))/$C99,$C99/(50*POWER(80,POWER(COS(PI()*MOD(Calculator!$B$33/Calculator!$F$21,1)),2)))),2))</f>
        <v>2.86</v>
      </c>
      <c r="AY99" s="115" t="n">
        <f aca="false">IFERROR(ROUND((IF(ISNUMBER(AN99),AN99,0)+IF(ISNUMBER(AO99),AO99,0)+IF(ISNUMBER(AP99),AP99,0)+IF(ISNUMBER(AQ99),AQ99,0)+IF(ISNUMBER(AR99),AR99,0)+IF(ISNUMBER(AS99),AS99,0)+IF(ISNUMBER(AT99),AT99,0)+IF(ISNUMBER(AU99),AU99,0)+IF(ISNUMBER(AV99),AV99,0)+IF(ISNUMBER(AW99),AW99,0)+IF(ISNUMBER(AX99),AX99,0))/(IF(ISNUMBER(AN99),1,0)+IF(ISNUMBER(AO99),1,0)+IF(ISNUMBER(AP99),1,0)+IF(ISNUMBER(AQ99),1,0)+IF(ISNUMBER(AR99),1,0)+IF(ISNUMBER(AS99),1,0)+IF(ISNUMBER(AT99),1,0)+IF(ISNUMBER(AU99),1,0)+IF(ISNUMBER(AV99),1,0)+IF(ISNUMBER(AW99),1,0)+IF(ISNUMBER(AX99),1,0)),2),"")</f>
        <v>14.39</v>
      </c>
      <c r="AZ99" s="116" t="n">
        <f aca="false">IF(OR(Calculator!$E$11&lt;&gt;"YES",Calculator!$B$34&lt;Calculator!$G$11),"—",ROUND(MAX((50*POWER(80,POWER(COS(PI()*MOD(Calculator!$B$34/Calculator!$F$11,1)),2)))/$C99,$C99/(50*POWER(80,POWER(COS(PI()*MOD(Calculator!$B$34/Calculator!$F$11,1)),2)))),2))</f>
        <v>37.46</v>
      </c>
      <c r="BA99" s="116" t="n">
        <f aca="false">IF(OR(Calculator!$E$12&lt;&gt;"YES",Calculator!$B$34&lt;Calculator!$G$12),"—",ROUND(MAX((50*POWER(80,POWER(COS(PI()*MOD(Calculator!$B$34/Calculator!$F$12,1)),2)))/$C99,$C99/(50*POWER(80,POWER(COS(PI()*MOD(Calculator!$B$34/Calculator!$F$12,1)),2)))),2))</f>
        <v>3.28</v>
      </c>
      <c r="BB99" s="116" t="n">
        <f aca="false">IF(OR(Calculator!$E$13&lt;&gt;"YES",Calculator!$B$34&lt;Calculator!$G$13),"—",ROUND(MAX((50*POWER(80,POWER(COS(PI()*MOD(Calculator!$B$34/Calculator!$F$13,1)),2)))/$C99,$C99/(50*POWER(80,POWER(COS(PI()*MOD(Calculator!$B$34/Calculator!$F$13,1)),2)))),2))</f>
        <v>8.03</v>
      </c>
      <c r="BC99" s="116" t="n">
        <f aca="false">IF(OR(Calculator!$E$14&lt;&gt;"YES",Calculator!$B$34&lt;Calculator!$G$14),"—",ROUND(MAX((50*POWER(80,POWER(COS(PI()*MOD(Calculator!$B$34/Calculator!$F$14,1)),2)))/$C99,$C99/(50*POWER(80,POWER(COS(PI()*MOD(Calculator!$B$34/Calculator!$F$14,1)),2)))),2))</f>
        <v>21.05</v>
      </c>
      <c r="BD99" s="116" t="n">
        <f aca="false">IF(OR(Calculator!$E$15&lt;&gt;"YES",Calculator!$B$34&lt;Calculator!$G$15),"—",ROUND(MAX((50*POWER(80,POWER(COS(PI()*MOD(Calculator!$B$34/Calculator!$F$15,1)),2)))/$C99,$C99/(50*POWER(80,POWER(COS(PI()*MOD(Calculator!$B$34/Calculator!$F$15,1)),2)))),2))</f>
        <v>14.14</v>
      </c>
      <c r="BE99" s="116" t="n">
        <f aca="false">IF(OR(Calculator!$E$16&lt;&gt;"YES",Calculator!$B$34&lt;Calculator!$G$16),"—",ROUND(MAX((50*POWER(80,POWER(COS(PI()*MOD(Calculator!$B$34/Calculator!$F$16,1)),2)))/$C99,$C99/(50*POWER(80,POWER(COS(PI()*MOD(Calculator!$B$34/Calculator!$F$16,1)),2)))),2))</f>
        <v>38.55</v>
      </c>
      <c r="BF99" s="116" t="n">
        <f aca="false">IF(OR(Calculator!$E$17&lt;&gt;"YES",Calculator!$B$34&lt;Calculator!$G$17),"—",ROUND(MAX((50*POWER(80,POWER(COS(PI()*MOD(Calculator!$B$34/Calculator!$F$17,1)),2)))/$C99,$C99/(50*POWER(80,POWER(COS(PI()*MOD(Calculator!$B$34/Calculator!$F$17,1)),2)))),2))</f>
        <v>1.28</v>
      </c>
      <c r="BG99" s="116" t="n">
        <f aca="false">IF(OR(Calculator!$E$18&lt;&gt;"YES",Calculator!$B$34&lt;Calculator!$G$18),"—",ROUND(MAX((50*POWER(80,POWER(COS(PI()*MOD(Calculator!$B$34/Calculator!$F$18,1)),2)))/$C99,$C99/(50*POWER(80,POWER(COS(PI()*MOD(Calculator!$B$34/Calculator!$F$18,1)),2)))),2))</f>
        <v>1.17</v>
      </c>
      <c r="BH99" s="116" t="n">
        <f aca="false">IF(OR(Calculator!$E$19&lt;&gt;"YES",Calculator!$B$34&lt;Calculator!$G$19),"—",ROUND(MAX((50*POWER(80,POWER(COS(PI()*MOD(Calculator!$B$34/Calculator!$F$19,1)),2)))/$C99,$C99/(50*POWER(80,POWER(COS(PI()*MOD(Calculator!$B$34/Calculator!$F$19,1)),2)))),2))</f>
        <v>1.53</v>
      </c>
      <c r="BI99" s="116" t="n">
        <f aca="false">IF(OR(Calculator!$E$20&lt;&gt;"YES",Calculator!$B$34&lt;Calculator!$G$20),"—",ROUND(MAX((50*POWER(80,POWER(COS(PI()*MOD(Calculator!$B$34/Calculator!$F$20,1)),2)))/$C99,$C99/(50*POWER(80,POWER(COS(PI()*MOD(Calculator!$B$34/Calculator!$F$20,1)),2)))),2))</f>
        <v>41.94</v>
      </c>
      <c r="BJ99" s="116" t="n">
        <f aca="false">IF(OR(Calculator!$E$21&lt;&gt;"YES",Calculator!$B$34&lt;Calculator!$G$21),"—",ROUND(MAX((50*POWER(80,POWER(COS(PI()*MOD(Calculator!$B$34/Calculator!$F$21,1)),2)))/$C99,$C99/(50*POWER(80,POWER(COS(PI()*MOD(Calculator!$B$34/Calculator!$F$21,1)),2)))),2))</f>
        <v>1.02</v>
      </c>
      <c r="BK99" s="115" t="n">
        <f aca="false">IFERROR(ROUND((IF(ISNUMBER(AZ99),AZ99,0)+IF(ISNUMBER(BA99),BA99,0)+IF(ISNUMBER(BB99),BB99,0)+IF(ISNUMBER(BC99),BC99,0)+IF(ISNUMBER(BD99),BD99,0)+IF(ISNUMBER(BE99),BE99,0)+IF(ISNUMBER(BF99),BF99,0)+IF(ISNUMBER(BG99),BG99,0)+IF(ISNUMBER(BH99),BH99,0)+IF(ISNUMBER(BI99),BI99,0)+IF(ISNUMBER(BJ99),BJ99,0))/(IF(ISNUMBER(AZ99),1,0)+IF(ISNUMBER(BA99),1,0)+IF(ISNUMBER(BB99),1,0)+IF(ISNUMBER(BC99),1,0)+IF(ISNUMBER(BD99),1,0)+IF(ISNUMBER(BE99),1,0)+IF(ISNUMBER(BF99),1,0)+IF(ISNUMBER(BG99),1,0)+IF(ISNUMBER(BH99),1,0)+IF(ISNUMBER(BI99),1,0)+IF(ISNUMBER(BJ99),1,0)),2),"")</f>
        <v>15.4</v>
      </c>
    </row>
    <row r="100" customFormat="false" ht="15" hidden="false" customHeight="false" outlineLevel="0" collapsed="false">
      <c r="A100" s="117" t="s">
        <v>158</v>
      </c>
      <c r="B100" s="120" t="s">
        <v>93</v>
      </c>
      <c r="C100" s="120" t="n">
        <v>3400</v>
      </c>
      <c r="D100" s="120" t="n">
        <f aca="false">IF(OR(Calculator!$E$11&lt;&gt;"YES",Calculator!$B$30&lt;Calculator!$G$11),"—",ROUND(MAX((50*POWER(80,POWER(COS(PI()*MOD(Calculator!$B$30/Calculator!$F$11,1)),2)))/$C100,$C100/(50*POWER(80,POWER(COS(PI()*MOD(Calculator!$B$30/Calculator!$F$11,1)),2)))),2))</f>
        <v>38.5</v>
      </c>
      <c r="E100" s="120" t="n">
        <f aca="false">IF(OR(Calculator!$E$12&lt;&gt;"YES",Calculator!$B$30&lt;Calculator!$G$12),"—",ROUND(MAX((50*POWER(80,POWER(COS(PI()*MOD(Calculator!$B$30/Calculator!$F$12,1)),2)))/$C100,$C100/(50*POWER(80,POWER(COS(PI()*MOD(Calculator!$B$30/Calculator!$F$12,1)),2)))),2))</f>
        <v>3.22</v>
      </c>
      <c r="F100" s="120" t="n">
        <f aca="false">IF(OR(Calculator!$E$13&lt;&gt;"YES",Calculator!$B$30&lt;Calculator!$G$13),"—",ROUND(MAX((50*POWER(80,POWER(COS(PI()*MOD(Calculator!$B$30/Calculator!$F$13,1)),2)))/$C100,$C100/(50*POWER(80,POWER(COS(PI()*MOD(Calculator!$B$30/Calculator!$F$13,1)),2)))),2))</f>
        <v>8.58</v>
      </c>
      <c r="G100" s="120" t="n">
        <f aca="false">IF(OR(Calculator!$E$14&lt;&gt;"YES",Calculator!$B$30&lt;Calculator!$G$14),"—",ROUND(MAX((50*POWER(80,POWER(COS(PI()*MOD(Calculator!$B$30/Calculator!$F$14,1)),2)))/$C100,$C100/(50*POWER(80,POWER(COS(PI()*MOD(Calculator!$B$30/Calculator!$F$14,1)),2)))),2))</f>
        <v>20.09</v>
      </c>
      <c r="H100" s="120" t="n">
        <f aca="false">IF(OR(Calculator!$E$15&lt;&gt;"YES",Calculator!$B$30&lt;Calculator!$G$15),"—",ROUND(MAX((50*POWER(80,POWER(COS(PI()*MOD(Calculator!$B$30/Calculator!$F$15,1)),2)))/$C100,$C100/(50*POWER(80,POWER(COS(PI()*MOD(Calculator!$B$30/Calculator!$F$15,1)),2)))),2))</f>
        <v>13.06</v>
      </c>
      <c r="I100" s="120" t="n">
        <f aca="false">IF(OR(Calculator!$E$16&lt;&gt;"YES",Calculator!$B$30&lt;Calculator!$G$16),"—",ROUND(MAX((50*POWER(80,POWER(COS(PI()*MOD(Calculator!$B$30/Calculator!$F$16,1)),2)))/$C100,$C100/(50*POWER(80,POWER(COS(PI()*MOD(Calculator!$B$30/Calculator!$F$16,1)),2)))),2))</f>
        <v>42.71</v>
      </c>
      <c r="J100" s="120" t="n">
        <f aca="false">IF(OR(Calculator!$E$17&lt;&gt;"YES",Calculator!$B$30&lt;Calculator!$G$17),"—",ROUND(MAX((50*POWER(80,POWER(COS(PI()*MOD(Calculator!$B$30/Calculator!$F$17,1)),2)))/$C100,$C100/(50*POWER(80,POWER(COS(PI()*MOD(Calculator!$B$30/Calculator!$F$17,1)),2)))),2))</f>
        <v>1.45</v>
      </c>
      <c r="K100" s="120" t="n">
        <f aca="false">IF(OR(Calculator!$E$18&lt;&gt;"YES",Calculator!$B$30&lt;Calculator!$G$18),"—",ROUND(MAX((50*POWER(80,POWER(COS(PI()*MOD(Calculator!$B$30/Calculator!$F$18,1)),2)))/$C100,$C100/(50*POWER(80,POWER(COS(PI()*MOD(Calculator!$B$30/Calculator!$F$18,1)),2)))),2))</f>
        <v>1.33</v>
      </c>
      <c r="L100" s="120" t="n">
        <f aca="false">IF(OR(Calculator!$E$19&lt;&gt;"YES",Calculator!$B$30&lt;Calculator!$G$19),"—",ROUND(MAX((50*POWER(80,POWER(COS(PI()*MOD(Calculator!$B$30/Calculator!$F$19,1)),2)))/$C100,$C100/(50*POWER(80,POWER(COS(PI()*MOD(Calculator!$B$30/Calculator!$F$19,1)),2)))),2))</f>
        <v>1.33</v>
      </c>
      <c r="M100" s="120" t="n">
        <f aca="false">IF(OR(Calculator!$E$20&lt;&gt;"YES",Calculator!$B$30&lt;Calculator!$G$20),"—",ROUND(MAX((50*POWER(80,POWER(COS(PI()*MOD(Calculator!$B$30/Calculator!$F$20,1)),2)))/$C100,$C100/(50*POWER(80,POWER(COS(PI()*MOD(Calculator!$B$30/Calculator!$F$20,1)),2)))),2))</f>
        <v>35.35</v>
      </c>
      <c r="N100" s="120" t="n">
        <f aca="false">IF(OR(Calculator!$E$21&lt;&gt;"YES",Calculator!$B$30&lt;Calculator!$G$21),"—",ROUND(MAX((50*POWER(80,POWER(COS(PI()*MOD(Calculator!$B$30/Calculator!$F$21,1)),2)))/$C100,$C100/(50*POWER(80,POWER(COS(PI()*MOD(Calculator!$B$30/Calculator!$F$21,1)),2)))),2))</f>
        <v>1.34</v>
      </c>
      <c r="O100" s="115" t="n">
        <f aca="false">IFERROR(ROUND((IF(ISNUMBER(D100),D100,0)+IF(ISNUMBER(E100),E100,0)+IF(ISNUMBER(F100),F100,0)+IF(ISNUMBER(G100),G100,0)+IF(ISNUMBER(H100),H100,0)+IF(ISNUMBER(I100),I100,0)+IF(ISNUMBER(J100),J100,0)+IF(ISNUMBER(K100),K100,0)+IF(ISNUMBER(L100),L100,0)+IF(ISNUMBER(M100),M100,0)+IF(ISNUMBER(N100),N100,0))/(IF(ISNUMBER(D100),1,0)+IF(ISNUMBER(E100),1,0)+IF(ISNUMBER(F100),1,0)+IF(ISNUMBER(G100),1,0)+IF(ISNUMBER(H100),1,0)+IF(ISNUMBER(I100),1,0)+IF(ISNUMBER(J100),1,0)+IF(ISNUMBER(K100),1,0)+IF(ISNUMBER(L100),1,0)+IF(ISNUMBER(M100),1,0)+IF(ISNUMBER(N100),1,0)),2),"")</f>
        <v>15.18</v>
      </c>
      <c r="P100" s="120" t="n">
        <f aca="false">IF(OR(Calculator!$E$11&lt;&gt;"YES",Calculator!$B$31&lt;Calculator!$G$11),"—",ROUND(MAX((50*POWER(80,POWER(COS(PI()*MOD(Calculator!$B$31/Calculator!$F$11,1)),2)))/$C100,$C100/(50*POWER(80,POWER(COS(PI()*MOD(Calculator!$B$31/Calculator!$F$11,1)),2)))),2))</f>
        <v>38.97</v>
      </c>
      <c r="Q100" s="120" t="n">
        <f aca="false">IF(OR(Calculator!$E$12&lt;&gt;"YES",Calculator!$B$31&lt;Calculator!$G$12),"—",ROUND(MAX((50*POWER(80,POWER(COS(PI()*MOD(Calculator!$B$31/Calculator!$F$12,1)),2)))/$C100,$C100/(50*POWER(80,POWER(COS(PI()*MOD(Calculator!$B$31/Calculator!$F$12,1)),2)))),2))</f>
        <v>3.12</v>
      </c>
      <c r="R100" s="120" t="n">
        <f aca="false">IF(OR(Calculator!$E$13&lt;&gt;"YES",Calculator!$B$31&lt;Calculator!$G$13),"—",ROUND(MAX((50*POWER(80,POWER(COS(PI()*MOD(Calculator!$B$31/Calculator!$F$13,1)),2)))/$C100,$C100/(50*POWER(80,POWER(COS(PI()*MOD(Calculator!$B$31/Calculator!$F$13,1)),2)))),2))</f>
        <v>9.04</v>
      </c>
      <c r="S100" s="120" t="n">
        <f aca="false">IF(OR(Calculator!$E$14&lt;&gt;"YES",Calculator!$B$31&lt;Calculator!$G$14),"—",ROUND(MAX((50*POWER(80,POWER(COS(PI()*MOD(Calculator!$B$31/Calculator!$F$14,1)),2)))/$C100,$C100/(50*POWER(80,POWER(COS(PI()*MOD(Calculator!$B$31/Calculator!$F$14,1)),2)))),2))</f>
        <v>18.87</v>
      </c>
      <c r="T100" s="120" t="n">
        <f aca="false">IF(OR(Calculator!$E$15&lt;&gt;"YES",Calculator!$B$31&lt;Calculator!$G$15),"—",ROUND(MAX((50*POWER(80,POWER(COS(PI()*MOD(Calculator!$B$31/Calculator!$F$15,1)),2)))/$C100,$C100/(50*POWER(80,POWER(COS(PI()*MOD(Calculator!$B$31/Calculator!$F$15,1)),2)))),2))</f>
        <v>11.88</v>
      </c>
      <c r="U100" s="120" t="n">
        <f aca="false">IF(OR(Calculator!$E$16&lt;&gt;"YES",Calculator!$B$31&lt;Calculator!$G$16),"—",ROUND(MAX((50*POWER(80,POWER(COS(PI()*MOD(Calculator!$B$31/Calculator!$F$16,1)),2)))/$C100,$C100/(50*POWER(80,POWER(COS(PI()*MOD(Calculator!$B$31/Calculator!$F$16,1)),2)))),2))</f>
        <v>46.31</v>
      </c>
      <c r="V100" s="120" t="n">
        <f aca="false">IF(OR(Calculator!$E$17&lt;&gt;"YES",Calculator!$B$31&lt;Calculator!$G$17),"—",ROUND(MAX((50*POWER(80,POWER(COS(PI()*MOD(Calculator!$B$31/Calculator!$F$17,1)),2)))/$C100,$C100/(50*POWER(80,POWER(COS(PI()*MOD(Calculator!$B$31/Calculator!$F$17,1)),2)))),2))</f>
        <v>1.63</v>
      </c>
      <c r="W100" s="120" t="n">
        <f aca="false">IF(OR(Calculator!$E$18&lt;&gt;"YES",Calculator!$B$31&lt;Calculator!$G$18),"—",ROUND(MAX((50*POWER(80,POWER(COS(PI()*MOD(Calculator!$B$31/Calculator!$F$18,1)),2)))/$C100,$C100/(50*POWER(80,POWER(COS(PI()*MOD(Calculator!$B$31/Calculator!$F$18,1)),2)))),2))</f>
        <v>1.52</v>
      </c>
      <c r="X100" s="120" t="n">
        <f aca="false">IF(OR(Calculator!$E$19&lt;&gt;"YES",Calculator!$B$31&lt;Calculator!$G$19),"—",ROUND(MAX((50*POWER(80,POWER(COS(PI()*MOD(Calculator!$B$31/Calculator!$F$19,1)),2)))/$C100,$C100/(50*POWER(80,POWER(COS(PI()*MOD(Calculator!$B$31/Calculator!$F$19,1)),2)))),2))</f>
        <v>1.16</v>
      </c>
      <c r="Y100" s="120" t="n">
        <f aca="false">IF(OR(Calculator!$E$20&lt;&gt;"YES",Calculator!$B$31&lt;Calculator!$G$20),"—",ROUND(MAX((50*POWER(80,POWER(COS(PI()*MOD(Calculator!$B$31/Calculator!$F$20,1)),2)))/$C100,$C100/(50*POWER(80,POWER(COS(PI()*MOD(Calculator!$B$31/Calculator!$F$20,1)),2)))),2))</f>
        <v>28.64</v>
      </c>
      <c r="Z100" s="120" t="n">
        <f aca="false">IF(OR(Calculator!$E$21&lt;&gt;"YES",Calculator!$B$31&lt;Calculator!$G$21),"—",ROUND(MAX((50*POWER(80,POWER(COS(PI()*MOD(Calculator!$B$31/Calculator!$F$21,1)),2)))/$C100,$C100/(50*POWER(80,POWER(COS(PI()*MOD(Calculator!$B$31/Calculator!$F$21,1)),2)))),2))</f>
        <v>1.9</v>
      </c>
      <c r="AA100" s="115" t="n">
        <f aca="false">IFERROR(ROUND((IF(ISNUMBER(P100),P100,0)+IF(ISNUMBER(Q100),Q100,0)+IF(ISNUMBER(R100),R100,0)+IF(ISNUMBER(S100),S100,0)+IF(ISNUMBER(T100),T100,0)+IF(ISNUMBER(U100),U100,0)+IF(ISNUMBER(V100),V100,0)+IF(ISNUMBER(W100),W100,0)+IF(ISNUMBER(X100),X100,0)+IF(ISNUMBER(Y100),Y100,0)+IF(ISNUMBER(Z100),Z100,0))/(IF(ISNUMBER(P100),1,0)+IF(ISNUMBER(Q100),1,0)+IF(ISNUMBER(R100),1,0)+IF(ISNUMBER(S100),1,0)+IF(ISNUMBER(T100),1,0)+IF(ISNUMBER(U100),1,0)+IF(ISNUMBER(V100),1,0)+IF(ISNUMBER(W100),1,0)+IF(ISNUMBER(X100),1,0)+IF(ISNUMBER(Y100),1,0)+IF(ISNUMBER(Z100),1,0)),2),"")</f>
        <v>14.82</v>
      </c>
      <c r="AB100" s="120" t="n">
        <f aca="false">IF(OR(Calculator!$E$11&lt;&gt;"YES",Calculator!$B$32&lt;Calculator!$G$11),"—",ROUND(MAX((50*POWER(80,POWER(COS(PI()*MOD(Calculator!$B$32/Calculator!$F$11,1)),2)))/$C100,$C100/(50*POWER(80,POWER(COS(PI()*MOD(Calculator!$B$32/Calculator!$F$11,1)),2)))),2))</f>
        <v>49.06</v>
      </c>
      <c r="AC100" s="120" t="n">
        <f aca="false">IF(OR(Calculator!$E$12&lt;&gt;"YES",Calculator!$B$32&lt;Calculator!$G$12),"—",ROUND(MAX((50*POWER(80,POWER(COS(PI()*MOD(Calculator!$B$32/Calculator!$F$12,1)),2)))/$C100,$C100/(50*POWER(80,POWER(COS(PI()*MOD(Calculator!$B$32/Calculator!$F$12,1)),2)))),2))</f>
        <v>1.69</v>
      </c>
      <c r="AD100" s="120" t="n">
        <f aca="false">IF(OR(Calculator!$E$13&lt;&gt;"YES",Calculator!$B$32&lt;Calculator!$G$13),"—",ROUND(MAX((50*POWER(80,POWER(COS(PI()*MOD(Calculator!$B$32/Calculator!$F$13,1)),2)))/$C100,$C100/(50*POWER(80,POWER(COS(PI()*MOD(Calculator!$B$32/Calculator!$F$13,1)),2)))),2))</f>
        <v>25.03</v>
      </c>
      <c r="AE100" s="120" t="n">
        <f aca="false">IF(OR(Calculator!$E$14&lt;&gt;"YES",Calculator!$B$32&lt;Calculator!$G$14),"—",ROUND(MAX((50*POWER(80,POWER(COS(PI()*MOD(Calculator!$B$32/Calculator!$F$14,1)),2)))/$C100,$C100/(50*POWER(80,POWER(COS(PI()*MOD(Calculator!$B$32/Calculator!$F$14,1)),2)))),2))</f>
        <v>4.57</v>
      </c>
      <c r="AF100" s="120" t="n">
        <f aca="false">IF(OR(Calculator!$E$15&lt;&gt;"YES",Calculator!$B$32&lt;Calculator!$G$15),"—",ROUND(MAX((50*POWER(80,POWER(COS(PI()*MOD(Calculator!$B$32/Calculator!$F$15,1)),2)))/$C100,$C100/(50*POWER(80,POWER(COS(PI()*MOD(Calculator!$B$32/Calculator!$F$15,1)),2)))),2))</f>
        <v>1.76</v>
      </c>
      <c r="AG100" s="120" t="n">
        <f aca="false">IF(OR(Calculator!$E$16&lt;&gt;"YES",Calculator!$B$32&lt;Calculator!$G$16),"—",ROUND(MAX((50*POWER(80,POWER(COS(PI()*MOD(Calculator!$B$32/Calculator!$F$16,1)),2)))/$C100,$C100/(50*POWER(80,POWER(COS(PI()*MOD(Calculator!$B$32/Calculator!$F$16,1)),2)))),2))</f>
        <v>39.97</v>
      </c>
      <c r="AH100" s="120" t="n">
        <f aca="false">IF(OR(Calculator!$E$17&lt;&gt;"YES",Calculator!$B$32&lt;Calculator!$G$17),"—",ROUND(MAX((50*POWER(80,POWER(COS(PI()*MOD(Calculator!$B$32/Calculator!$F$17,1)),2)))/$C100,$C100/(50*POWER(80,POWER(COS(PI()*MOD(Calculator!$B$32/Calculator!$F$17,1)),2)))),2))</f>
        <v>42.2</v>
      </c>
      <c r="AI100" s="120" t="n">
        <f aca="false">IF(OR(Calculator!$E$18&lt;&gt;"YES",Calculator!$B$32&lt;Calculator!$G$18),"—",ROUND(MAX((50*POWER(80,POWER(COS(PI()*MOD(Calculator!$B$32/Calculator!$F$18,1)),2)))/$C100,$C100/(50*POWER(80,POWER(COS(PI()*MOD(Calculator!$B$32/Calculator!$F$18,1)),2)))),2))</f>
        <v>55.66</v>
      </c>
      <c r="AJ100" s="120" t="n">
        <f aca="false">IF(OR(Calculator!$E$19&lt;&gt;"YES",Calculator!$B$32&lt;Calculator!$G$19),"—",ROUND(MAX((50*POWER(80,POWER(COS(PI()*MOD(Calculator!$B$32/Calculator!$F$19,1)),2)))/$C100,$C100/(50*POWER(80,POWER(COS(PI()*MOD(Calculator!$B$32/Calculator!$F$19,1)),2)))),2))</f>
        <v>11.73</v>
      </c>
      <c r="AK100" s="120" t="n">
        <f aca="false">IF(OR(Calculator!$E$20&lt;&gt;"YES",Calculator!$B$32&lt;Calculator!$G$20),"—",ROUND(MAX((50*POWER(80,POWER(COS(PI()*MOD(Calculator!$B$32/Calculator!$F$20,1)),2)))/$C100,$C100/(50*POWER(80,POWER(COS(PI()*MOD(Calculator!$B$32/Calculator!$F$20,1)),2)))),2))</f>
        <v>1.06</v>
      </c>
      <c r="AL100" s="120" t="n">
        <f aca="false">IF(OR(Calculator!$E$21&lt;&gt;"YES",Calculator!$B$32&lt;Calculator!$G$21),"—",ROUND(MAX((50*POWER(80,POWER(COS(PI()*MOD(Calculator!$B$32/Calculator!$F$21,1)),2)))/$C100,$C100/(50*POWER(80,POWER(COS(PI()*MOD(Calculator!$B$32/Calculator!$F$21,1)),2)))),2))</f>
        <v>1.22</v>
      </c>
      <c r="AM100" s="115" t="n">
        <f aca="false">IFERROR(ROUND((IF(ISNUMBER(AB100),AB100,0)+IF(ISNUMBER(AC100),AC100,0)+IF(ISNUMBER(AD100),AD100,0)+IF(ISNUMBER(AE100),AE100,0)+IF(ISNUMBER(AF100),AF100,0)+IF(ISNUMBER(AG100),AG100,0)+IF(ISNUMBER(AH100),AH100,0)+IF(ISNUMBER(AI100),AI100,0)+IF(ISNUMBER(AJ100),AJ100,0)+IF(ISNUMBER(AK100),AK100,0)+IF(ISNUMBER(AL100),AL100,0))/(IF(ISNUMBER(AB100),1,0)+IF(ISNUMBER(AC100),1,0)+IF(ISNUMBER(AD100),1,0)+IF(ISNUMBER(AE100),1,0)+IF(ISNUMBER(AF100),1,0)+IF(ISNUMBER(AG100),1,0)+IF(ISNUMBER(AH100),1,0)+IF(ISNUMBER(AI100),1,0)+IF(ISNUMBER(AJ100),1,0)+IF(ISNUMBER(AK100),1,0)+IF(ISNUMBER(AL100),1,0)),2),"")</f>
        <v>21.27</v>
      </c>
      <c r="AN100" s="120" t="n">
        <f aca="false">IF(OR(Calculator!$E$11&lt;&gt;"YES",Calculator!$B$33&lt;Calculator!$G$11),"—",ROUND(MAX((50*POWER(80,POWER(COS(PI()*MOD(Calculator!$B$33/Calculator!$F$11,1)),2)))/$C100,$C100/(50*POWER(80,POWER(COS(PI()*MOD(Calculator!$B$33/Calculator!$F$11,1)),2)))),2))</f>
        <v>39.45</v>
      </c>
      <c r="AO100" s="120" t="n">
        <f aca="false">IF(OR(Calculator!$E$12&lt;&gt;"YES",Calculator!$B$33&lt;Calculator!$G$12),"—",ROUND(MAX((50*POWER(80,POWER(COS(PI()*MOD(Calculator!$B$33/Calculator!$F$12,1)),2)))/$C100,$C100/(50*POWER(80,POWER(COS(PI()*MOD(Calculator!$B$33/Calculator!$F$12,1)),2)))),2))</f>
        <v>3.02</v>
      </c>
      <c r="AP100" s="120" t="n">
        <f aca="false">IF(OR(Calculator!$E$13&lt;&gt;"YES",Calculator!$B$33&lt;Calculator!$G$13),"—",ROUND(MAX((50*POWER(80,POWER(COS(PI()*MOD(Calculator!$B$33/Calculator!$F$13,1)),2)))/$C100,$C100/(50*POWER(80,POWER(COS(PI()*MOD(Calculator!$B$33/Calculator!$F$13,1)),2)))),2))</f>
        <v>9.51</v>
      </c>
      <c r="AQ100" s="120" t="n">
        <f aca="false">IF(OR(Calculator!$E$14&lt;&gt;"YES",Calculator!$B$33&lt;Calculator!$G$14),"—",ROUND(MAX((50*POWER(80,POWER(COS(PI()*MOD(Calculator!$B$33/Calculator!$F$14,1)),2)))/$C100,$C100/(50*POWER(80,POWER(COS(PI()*MOD(Calculator!$B$33/Calculator!$F$14,1)),2)))),2))</f>
        <v>17.72</v>
      </c>
      <c r="AR100" s="120" t="n">
        <f aca="false">IF(OR(Calculator!$E$15&lt;&gt;"YES",Calculator!$B$33&lt;Calculator!$G$15),"—",ROUND(MAX((50*POWER(80,POWER(COS(PI()*MOD(Calculator!$B$33/Calculator!$F$15,1)),2)))/$C100,$C100/(50*POWER(80,POWER(COS(PI()*MOD(Calculator!$B$33/Calculator!$F$15,1)),2)))),2))</f>
        <v>10.79</v>
      </c>
      <c r="AS100" s="120" t="n">
        <f aca="false">IF(OR(Calculator!$E$16&lt;&gt;"YES",Calculator!$B$33&lt;Calculator!$G$16),"—",ROUND(MAX((50*POWER(80,POWER(COS(PI()*MOD(Calculator!$B$33/Calculator!$F$16,1)),2)))/$C100,$C100/(50*POWER(80,POWER(COS(PI()*MOD(Calculator!$B$33/Calculator!$F$16,1)),2)))),2))</f>
        <v>49.86</v>
      </c>
      <c r="AT100" s="120" t="n">
        <f aca="false">IF(OR(Calculator!$E$17&lt;&gt;"YES",Calculator!$B$33&lt;Calculator!$G$17),"—",ROUND(MAX((50*POWER(80,POWER(COS(PI()*MOD(Calculator!$B$33/Calculator!$F$17,1)),2)))/$C100,$C100/(50*POWER(80,POWER(COS(PI()*MOD(Calculator!$B$33/Calculator!$F$17,1)),2)))),2))</f>
        <v>1.85</v>
      </c>
      <c r="AU100" s="120" t="n">
        <f aca="false">IF(OR(Calculator!$E$18&lt;&gt;"YES",Calculator!$B$33&lt;Calculator!$G$18),"—",ROUND(MAX((50*POWER(80,POWER(COS(PI()*MOD(Calculator!$B$33/Calculator!$F$18,1)),2)))/$C100,$C100/(50*POWER(80,POWER(COS(PI()*MOD(Calculator!$B$33/Calculator!$F$18,1)),2)))),2))</f>
        <v>1.76</v>
      </c>
      <c r="AV100" s="120" t="n">
        <f aca="false">IF(OR(Calculator!$E$19&lt;&gt;"YES",Calculator!$B$33&lt;Calculator!$G$19),"—",ROUND(MAX((50*POWER(80,POWER(COS(PI()*MOD(Calculator!$B$33/Calculator!$F$19,1)),2)))/$C100,$C100/(50*POWER(80,POWER(COS(PI()*MOD(Calculator!$B$33/Calculator!$F$19,1)),2)))),2))</f>
        <v>1.04</v>
      </c>
      <c r="AW100" s="120" t="n">
        <f aca="false">IF(OR(Calculator!$E$20&lt;&gt;"YES",Calculator!$B$33&lt;Calculator!$G$20),"—",ROUND(MAX((50*POWER(80,POWER(COS(PI()*MOD(Calculator!$B$33/Calculator!$F$20,1)),2)))/$C100,$C100/(50*POWER(80,POWER(COS(PI()*MOD(Calculator!$B$33/Calculator!$F$20,1)),2)))),2))</f>
        <v>22.71</v>
      </c>
      <c r="AX100" s="120" t="n">
        <f aca="false">IF(OR(Calculator!$E$21&lt;&gt;"YES",Calculator!$B$33&lt;Calculator!$G$21),"—",ROUND(MAX((50*POWER(80,POWER(COS(PI()*MOD(Calculator!$B$33/Calculator!$F$21,1)),2)))/$C100,$C100/(50*POWER(80,POWER(COS(PI()*MOD(Calculator!$B$33/Calculator!$F$21,1)),2)))),2))</f>
        <v>2.9</v>
      </c>
      <c r="AY100" s="115" t="n">
        <f aca="false">IFERROR(ROUND((IF(ISNUMBER(AN100),AN100,0)+IF(ISNUMBER(AO100),AO100,0)+IF(ISNUMBER(AP100),AP100,0)+IF(ISNUMBER(AQ100),AQ100,0)+IF(ISNUMBER(AR100),AR100,0)+IF(ISNUMBER(AS100),AS100,0)+IF(ISNUMBER(AT100),AT100,0)+IF(ISNUMBER(AU100),AU100,0)+IF(ISNUMBER(AV100),AV100,0)+IF(ISNUMBER(AW100),AW100,0)+IF(ISNUMBER(AX100),AX100,0))/(IF(ISNUMBER(AN100),1,0)+IF(ISNUMBER(AO100),1,0)+IF(ISNUMBER(AP100),1,0)+IF(ISNUMBER(AQ100),1,0)+IF(ISNUMBER(AR100),1,0)+IF(ISNUMBER(AS100),1,0)+IF(ISNUMBER(AT100),1,0)+IF(ISNUMBER(AU100),1,0)+IF(ISNUMBER(AV100),1,0)+IF(ISNUMBER(AW100),1,0)+IF(ISNUMBER(AX100),1,0)),2),"")</f>
        <v>14.6</v>
      </c>
      <c r="AZ100" s="120" t="n">
        <f aca="false">IF(OR(Calculator!$E$11&lt;&gt;"YES",Calculator!$B$34&lt;Calculator!$G$11),"—",ROUND(MAX((50*POWER(80,POWER(COS(PI()*MOD(Calculator!$B$34/Calculator!$F$11,1)),2)))/$C100,$C100/(50*POWER(80,POWER(COS(PI()*MOD(Calculator!$B$34/Calculator!$F$11,1)),2)))),2))</f>
        <v>38.02</v>
      </c>
      <c r="BA100" s="120" t="n">
        <f aca="false">IF(OR(Calculator!$E$12&lt;&gt;"YES",Calculator!$B$34&lt;Calculator!$G$12),"—",ROUND(MAX((50*POWER(80,POWER(COS(PI()*MOD(Calculator!$B$34/Calculator!$F$12,1)),2)))/$C100,$C100/(50*POWER(80,POWER(COS(PI()*MOD(Calculator!$B$34/Calculator!$F$12,1)),2)))),2))</f>
        <v>3.33</v>
      </c>
      <c r="BB100" s="120" t="n">
        <f aca="false">IF(OR(Calculator!$E$13&lt;&gt;"YES",Calculator!$B$34&lt;Calculator!$G$13),"—",ROUND(MAX((50*POWER(80,POWER(COS(PI()*MOD(Calculator!$B$34/Calculator!$F$13,1)),2)))/$C100,$C100/(50*POWER(80,POWER(COS(PI()*MOD(Calculator!$B$34/Calculator!$F$13,1)),2)))),2))</f>
        <v>8.15</v>
      </c>
      <c r="BC100" s="120" t="n">
        <f aca="false">IF(OR(Calculator!$E$14&lt;&gt;"YES",Calculator!$B$34&lt;Calculator!$G$14),"—",ROUND(MAX((50*POWER(80,POWER(COS(PI()*MOD(Calculator!$B$34/Calculator!$F$14,1)),2)))/$C100,$C100/(50*POWER(80,POWER(COS(PI()*MOD(Calculator!$B$34/Calculator!$F$14,1)),2)))),2))</f>
        <v>21.36</v>
      </c>
      <c r="BD100" s="120" t="n">
        <f aca="false">IF(OR(Calculator!$E$15&lt;&gt;"YES",Calculator!$B$34&lt;Calculator!$G$15),"—",ROUND(MAX((50*POWER(80,POWER(COS(PI()*MOD(Calculator!$B$34/Calculator!$F$15,1)),2)))/$C100,$C100/(50*POWER(80,POWER(COS(PI()*MOD(Calculator!$B$34/Calculator!$F$15,1)),2)))),2))</f>
        <v>14.35</v>
      </c>
      <c r="BE100" s="120" t="n">
        <f aca="false">IF(OR(Calculator!$E$16&lt;&gt;"YES",Calculator!$B$34&lt;Calculator!$G$16),"—",ROUND(MAX((50*POWER(80,POWER(COS(PI()*MOD(Calculator!$B$34/Calculator!$F$16,1)),2)))/$C100,$C100/(50*POWER(80,POWER(COS(PI()*MOD(Calculator!$B$34/Calculator!$F$16,1)),2)))),2))</f>
        <v>39.12</v>
      </c>
      <c r="BF100" s="120" t="n">
        <f aca="false">IF(OR(Calculator!$E$17&lt;&gt;"YES",Calculator!$B$34&lt;Calculator!$G$17),"—",ROUND(MAX((50*POWER(80,POWER(COS(PI()*MOD(Calculator!$B$34/Calculator!$F$17,1)),2)))/$C100,$C100/(50*POWER(80,POWER(COS(PI()*MOD(Calculator!$B$34/Calculator!$F$17,1)),2)))),2))</f>
        <v>1.3</v>
      </c>
      <c r="BG100" s="120" t="n">
        <f aca="false">IF(OR(Calculator!$E$18&lt;&gt;"YES",Calculator!$B$34&lt;Calculator!$G$18),"—",ROUND(MAX((50*POWER(80,POWER(COS(PI()*MOD(Calculator!$B$34/Calculator!$F$18,1)),2)))/$C100,$C100/(50*POWER(80,POWER(COS(PI()*MOD(Calculator!$B$34/Calculator!$F$18,1)),2)))),2))</f>
        <v>1.19</v>
      </c>
      <c r="BH100" s="120" t="n">
        <f aca="false">IF(OR(Calculator!$E$19&lt;&gt;"YES",Calculator!$B$34&lt;Calculator!$G$19),"—",ROUND(MAX((50*POWER(80,POWER(COS(PI()*MOD(Calculator!$B$34/Calculator!$F$19,1)),2)))/$C100,$C100/(50*POWER(80,POWER(COS(PI()*MOD(Calculator!$B$34/Calculator!$F$19,1)),2)))),2))</f>
        <v>1.55</v>
      </c>
      <c r="BI100" s="120" t="n">
        <f aca="false">IF(OR(Calculator!$E$20&lt;&gt;"YES",Calculator!$B$34&lt;Calculator!$G$20),"—",ROUND(MAX((50*POWER(80,POWER(COS(PI()*MOD(Calculator!$B$34/Calculator!$F$20,1)),2)))/$C100,$C100/(50*POWER(80,POWER(COS(PI()*MOD(Calculator!$B$34/Calculator!$F$20,1)),2)))),2))</f>
        <v>42.56</v>
      </c>
      <c r="BJ100" s="120" t="n">
        <f aca="false">IF(OR(Calculator!$E$21&lt;&gt;"YES",Calculator!$B$34&lt;Calculator!$G$21),"—",ROUND(MAX((50*POWER(80,POWER(COS(PI()*MOD(Calculator!$B$34/Calculator!$F$21,1)),2)))/$C100,$C100/(50*POWER(80,POWER(COS(PI()*MOD(Calculator!$B$34/Calculator!$F$21,1)),2)))),2))</f>
        <v>1.04</v>
      </c>
      <c r="BK100" s="115" t="n">
        <f aca="false">IFERROR(ROUND((IF(ISNUMBER(AZ100),AZ100,0)+IF(ISNUMBER(BA100),BA100,0)+IF(ISNUMBER(BB100),BB100,0)+IF(ISNUMBER(BC100),BC100,0)+IF(ISNUMBER(BD100),BD100,0)+IF(ISNUMBER(BE100),BE100,0)+IF(ISNUMBER(BF100),BF100,0)+IF(ISNUMBER(BG100),BG100,0)+IF(ISNUMBER(BH100),BH100,0)+IF(ISNUMBER(BI100),BI100,0)+IF(ISNUMBER(BJ100),BJ100,0))/(IF(ISNUMBER(AZ100),1,0)+IF(ISNUMBER(BA100),1,0)+IF(ISNUMBER(BB100),1,0)+IF(ISNUMBER(BC100),1,0)+IF(ISNUMBER(BD100),1,0)+IF(ISNUMBER(BE100),1,0)+IF(ISNUMBER(BF100),1,0)+IF(ISNUMBER(BG100),1,0)+IF(ISNUMBER(BH100),1,0)+IF(ISNUMBER(BI100),1,0)+IF(ISNUMBER(BJ100),1,0)),2),"")</f>
        <v>15.63</v>
      </c>
    </row>
    <row r="101" customFormat="false" ht="15" hidden="false" customHeight="false" outlineLevel="0" collapsed="false">
      <c r="A101" s="87" t="s">
        <v>159</v>
      </c>
      <c r="B101" s="116" t="s">
        <v>93</v>
      </c>
      <c r="C101" s="116" t="n">
        <v>3450</v>
      </c>
      <c r="D101" s="116" t="n">
        <f aca="false">IF(OR(Calculator!$E$11&lt;&gt;"YES",Calculator!$B$30&lt;Calculator!$G$11),"—",ROUND(MAX((50*POWER(80,POWER(COS(PI()*MOD(Calculator!$B$30/Calculator!$F$11,1)),2)))/$C101,$C101/(50*POWER(80,POWER(COS(PI()*MOD(Calculator!$B$30/Calculator!$F$11,1)),2)))),2))</f>
        <v>39.06</v>
      </c>
      <c r="E101" s="116" t="n">
        <f aca="false">IF(OR(Calculator!$E$12&lt;&gt;"YES",Calculator!$B$30&lt;Calculator!$G$12),"—",ROUND(MAX((50*POWER(80,POWER(COS(PI()*MOD(Calculator!$B$30/Calculator!$F$12,1)),2)))/$C101,$C101/(50*POWER(80,POWER(COS(PI()*MOD(Calculator!$B$30/Calculator!$F$12,1)),2)))),2))</f>
        <v>3.27</v>
      </c>
      <c r="F101" s="116" t="n">
        <f aca="false">IF(OR(Calculator!$E$13&lt;&gt;"YES",Calculator!$B$30&lt;Calculator!$G$13),"—",ROUND(MAX((50*POWER(80,POWER(COS(PI()*MOD(Calculator!$B$30/Calculator!$F$13,1)),2)))/$C101,$C101/(50*POWER(80,POWER(COS(PI()*MOD(Calculator!$B$30/Calculator!$F$13,1)),2)))),2))</f>
        <v>8.71</v>
      </c>
      <c r="G101" s="116" t="n">
        <f aca="false">IF(OR(Calculator!$E$14&lt;&gt;"YES",Calculator!$B$30&lt;Calculator!$G$14),"—",ROUND(MAX((50*POWER(80,POWER(COS(PI()*MOD(Calculator!$B$30/Calculator!$F$14,1)),2)))/$C101,$C101/(50*POWER(80,POWER(COS(PI()*MOD(Calculator!$B$30/Calculator!$F$14,1)),2)))),2))</f>
        <v>20.38</v>
      </c>
      <c r="H101" s="116" t="n">
        <f aca="false">IF(OR(Calculator!$E$15&lt;&gt;"YES",Calculator!$B$30&lt;Calculator!$G$15),"—",ROUND(MAX((50*POWER(80,POWER(COS(PI()*MOD(Calculator!$B$30/Calculator!$F$15,1)),2)))/$C101,$C101/(50*POWER(80,POWER(COS(PI()*MOD(Calculator!$B$30/Calculator!$F$15,1)),2)))),2))</f>
        <v>13.26</v>
      </c>
      <c r="I101" s="116" t="n">
        <f aca="false">IF(OR(Calculator!$E$16&lt;&gt;"YES",Calculator!$B$30&lt;Calculator!$G$16),"—",ROUND(MAX((50*POWER(80,POWER(COS(PI()*MOD(Calculator!$B$30/Calculator!$F$16,1)),2)))/$C101,$C101/(50*POWER(80,POWER(COS(PI()*MOD(Calculator!$B$30/Calculator!$F$16,1)),2)))),2))</f>
        <v>43.34</v>
      </c>
      <c r="J101" s="116" t="n">
        <f aca="false">IF(OR(Calculator!$E$17&lt;&gt;"YES",Calculator!$B$30&lt;Calculator!$G$17),"—",ROUND(MAX((50*POWER(80,POWER(COS(PI()*MOD(Calculator!$B$30/Calculator!$F$17,1)),2)))/$C101,$C101/(50*POWER(80,POWER(COS(PI()*MOD(Calculator!$B$30/Calculator!$F$17,1)),2)))),2))</f>
        <v>1.47</v>
      </c>
      <c r="K101" s="116" t="n">
        <f aca="false">IF(OR(Calculator!$E$18&lt;&gt;"YES",Calculator!$B$30&lt;Calculator!$G$18),"—",ROUND(MAX((50*POWER(80,POWER(COS(PI()*MOD(Calculator!$B$30/Calculator!$F$18,1)),2)))/$C101,$C101/(50*POWER(80,POWER(COS(PI()*MOD(Calculator!$B$30/Calculator!$F$18,1)),2)))),2))</f>
        <v>1.35</v>
      </c>
      <c r="L101" s="116" t="n">
        <f aca="false">IF(OR(Calculator!$E$19&lt;&gt;"YES",Calculator!$B$30&lt;Calculator!$G$19),"—",ROUND(MAX((50*POWER(80,POWER(COS(PI()*MOD(Calculator!$B$30/Calculator!$F$19,1)),2)))/$C101,$C101/(50*POWER(80,POWER(COS(PI()*MOD(Calculator!$B$30/Calculator!$F$19,1)),2)))),2))</f>
        <v>1.35</v>
      </c>
      <c r="M101" s="116" t="n">
        <f aca="false">IF(OR(Calculator!$E$20&lt;&gt;"YES",Calculator!$B$30&lt;Calculator!$G$20),"—",ROUND(MAX((50*POWER(80,POWER(COS(PI()*MOD(Calculator!$B$30/Calculator!$F$20,1)),2)))/$C101,$C101/(50*POWER(80,POWER(COS(PI()*MOD(Calculator!$B$30/Calculator!$F$20,1)),2)))),2))</f>
        <v>35.87</v>
      </c>
      <c r="N101" s="116" t="n">
        <f aca="false">IF(OR(Calculator!$E$21&lt;&gt;"YES",Calculator!$B$30&lt;Calculator!$G$21),"—",ROUND(MAX((50*POWER(80,POWER(COS(PI()*MOD(Calculator!$B$30/Calculator!$F$21,1)),2)))/$C101,$C101/(50*POWER(80,POWER(COS(PI()*MOD(Calculator!$B$30/Calculator!$F$21,1)),2)))),2))</f>
        <v>1.36</v>
      </c>
      <c r="O101" s="115" t="n">
        <f aca="false">IFERROR(ROUND((IF(ISNUMBER(D101),D101,0)+IF(ISNUMBER(E101),E101,0)+IF(ISNUMBER(F101),F101,0)+IF(ISNUMBER(G101),G101,0)+IF(ISNUMBER(H101),H101,0)+IF(ISNUMBER(I101),I101,0)+IF(ISNUMBER(J101),J101,0)+IF(ISNUMBER(K101),K101,0)+IF(ISNUMBER(L101),L101,0)+IF(ISNUMBER(M101),M101,0)+IF(ISNUMBER(N101),N101,0))/(IF(ISNUMBER(D101),1,0)+IF(ISNUMBER(E101),1,0)+IF(ISNUMBER(F101),1,0)+IF(ISNUMBER(G101),1,0)+IF(ISNUMBER(H101),1,0)+IF(ISNUMBER(I101),1,0)+IF(ISNUMBER(J101),1,0)+IF(ISNUMBER(K101),1,0)+IF(ISNUMBER(L101),1,0)+IF(ISNUMBER(M101),1,0)+IF(ISNUMBER(N101),1,0)),2),"")</f>
        <v>15.4</v>
      </c>
      <c r="P101" s="116" t="n">
        <f aca="false">IF(OR(Calculator!$E$11&lt;&gt;"YES",Calculator!$B$31&lt;Calculator!$G$11),"—",ROUND(MAX((50*POWER(80,POWER(COS(PI()*MOD(Calculator!$B$31/Calculator!$F$11,1)),2)))/$C101,$C101/(50*POWER(80,POWER(COS(PI()*MOD(Calculator!$B$31/Calculator!$F$11,1)),2)))),2))</f>
        <v>39.55</v>
      </c>
      <c r="Q101" s="116" t="n">
        <f aca="false">IF(OR(Calculator!$E$12&lt;&gt;"YES",Calculator!$B$31&lt;Calculator!$G$12),"—",ROUND(MAX((50*POWER(80,POWER(COS(PI()*MOD(Calculator!$B$31/Calculator!$F$12,1)),2)))/$C101,$C101/(50*POWER(80,POWER(COS(PI()*MOD(Calculator!$B$31/Calculator!$F$12,1)),2)))),2))</f>
        <v>3.17</v>
      </c>
      <c r="R101" s="116" t="n">
        <f aca="false">IF(OR(Calculator!$E$13&lt;&gt;"YES",Calculator!$B$31&lt;Calculator!$G$13),"—",ROUND(MAX((50*POWER(80,POWER(COS(PI()*MOD(Calculator!$B$31/Calculator!$F$13,1)),2)))/$C101,$C101/(50*POWER(80,POWER(COS(PI()*MOD(Calculator!$B$31/Calculator!$F$13,1)),2)))),2))</f>
        <v>9.17</v>
      </c>
      <c r="S101" s="116" t="n">
        <f aca="false">IF(OR(Calculator!$E$14&lt;&gt;"YES",Calculator!$B$31&lt;Calculator!$G$14),"—",ROUND(MAX((50*POWER(80,POWER(COS(PI()*MOD(Calculator!$B$31/Calculator!$F$14,1)),2)))/$C101,$C101/(50*POWER(80,POWER(COS(PI()*MOD(Calculator!$B$31/Calculator!$F$14,1)),2)))),2))</f>
        <v>19.15</v>
      </c>
      <c r="T101" s="116" t="n">
        <f aca="false">IF(OR(Calculator!$E$15&lt;&gt;"YES",Calculator!$B$31&lt;Calculator!$G$15),"—",ROUND(MAX((50*POWER(80,POWER(COS(PI()*MOD(Calculator!$B$31/Calculator!$F$15,1)),2)))/$C101,$C101/(50*POWER(80,POWER(COS(PI()*MOD(Calculator!$B$31/Calculator!$F$15,1)),2)))),2))</f>
        <v>12.05</v>
      </c>
      <c r="U101" s="116" t="n">
        <f aca="false">IF(OR(Calculator!$E$16&lt;&gt;"YES",Calculator!$B$31&lt;Calculator!$G$16),"—",ROUND(MAX((50*POWER(80,POWER(COS(PI()*MOD(Calculator!$B$31/Calculator!$F$16,1)),2)))/$C101,$C101/(50*POWER(80,POWER(COS(PI()*MOD(Calculator!$B$31/Calculator!$F$16,1)),2)))),2))</f>
        <v>46.99</v>
      </c>
      <c r="V101" s="116" t="n">
        <f aca="false">IF(OR(Calculator!$E$17&lt;&gt;"YES",Calculator!$B$31&lt;Calculator!$G$17),"—",ROUND(MAX((50*POWER(80,POWER(COS(PI()*MOD(Calculator!$B$31/Calculator!$F$17,1)),2)))/$C101,$C101/(50*POWER(80,POWER(COS(PI()*MOD(Calculator!$B$31/Calculator!$F$17,1)),2)))),2))</f>
        <v>1.65</v>
      </c>
      <c r="W101" s="116" t="n">
        <f aca="false">IF(OR(Calculator!$E$18&lt;&gt;"YES",Calculator!$B$31&lt;Calculator!$G$18),"—",ROUND(MAX((50*POWER(80,POWER(COS(PI()*MOD(Calculator!$B$31/Calculator!$F$18,1)),2)))/$C101,$C101/(50*POWER(80,POWER(COS(PI()*MOD(Calculator!$B$31/Calculator!$F$18,1)),2)))),2))</f>
        <v>1.54</v>
      </c>
      <c r="X101" s="116" t="n">
        <f aca="false">IF(OR(Calculator!$E$19&lt;&gt;"YES",Calculator!$B$31&lt;Calculator!$G$19),"—",ROUND(MAX((50*POWER(80,POWER(COS(PI()*MOD(Calculator!$B$31/Calculator!$F$19,1)),2)))/$C101,$C101/(50*POWER(80,POWER(COS(PI()*MOD(Calculator!$B$31/Calculator!$F$19,1)),2)))),2))</f>
        <v>1.18</v>
      </c>
      <c r="Y101" s="116" t="n">
        <f aca="false">IF(OR(Calculator!$E$20&lt;&gt;"YES",Calculator!$B$31&lt;Calculator!$G$20),"—",ROUND(MAX((50*POWER(80,POWER(COS(PI()*MOD(Calculator!$B$31/Calculator!$F$20,1)),2)))/$C101,$C101/(50*POWER(80,POWER(COS(PI()*MOD(Calculator!$B$31/Calculator!$F$20,1)),2)))),2))</f>
        <v>29.06</v>
      </c>
      <c r="Z101" s="116" t="n">
        <f aca="false">IF(OR(Calculator!$E$21&lt;&gt;"YES",Calculator!$B$31&lt;Calculator!$G$21),"—",ROUND(MAX((50*POWER(80,POWER(COS(PI()*MOD(Calculator!$B$31/Calculator!$F$21,1)),2)))/$C101,$C101/(50*POWER(80,POWER(COS(PI()*MOD(Calculator!$B$31/Calculator!$F$21,1)),2)))),2))</f>
        <v>1.93</v>
      </c>
      <c r="AA101" s="115" t="n">
        <f aca="false">IFERROR(ROUND((IF(ISNUMBER(P101),P101,0)+IF(ISNUMBER(Q101),Q101,0)+IF(ISNUMBER(R101),R101,0)+IF(ISNUMBER(S101),S101,0)+IF(ISNUMBER(T101),T101,0)+IF(ISNUMBER(U101),U101,0)+IF(ISNUMBER(V101),V101,0)+IF(ISNUMBER(W101),W101,0)+IF(ISNUMBER(X101),X101,0)+IF(ISNUMBER(Y101),Y101,0)+IF(ISNUMBER(Z101),Z101,0))/(IF(ISNUMBER(P101),1,0)+IF(ISNUMBER(Q101),1,0)+IF(ISNUMBER(R101),1,0)+IF(ISNUMBER(S101),1,0)+IF(ISNUMBER(T101),1,0)+IF(ISNUMBER(U101),1,0)+IF(ISNUMBER(V101),1,0)+IF(ISNUMBER(W101),1,0)+IF(ISNUMBER(X101),1,0)+IF(ISNUMBER(Y101),1,0)+IF(ISNUMBER(Z101),1,0)),2),"")</f>
        <v>15.04</v>
      </c>
      <c r="AB101" s="116" t="n">
        <f aca="false">IF(OR(Calculator!$E$11&lt;&gt;"YES",Calculator!$B$32&lt;Calculator!$G$11),"—",ROUND(MAX((50*POWER(80,POWER(COS(PI()*MOD(Calculator!$B$32/Calculator!$F$11,1)),2)))/$C101,$C101/(50*POWER(80,POWER(COS(PI()*MOD(Calculator!$B$32/Calculator!$F$11,1)),2)))),2))</f>
        <v>49.78</v>
      </c>
      <c r="AC101" s="116" t="n">
        <f aca="false">IF(OR(Calculator!$E$12&lt;&gt;"YES",Calculator!$B$32&lt;Calculator!$G$12),"—",ROUND(MAX((50*POWER(80,POWER(COS(PI()*MOD(Calculator!$B$32/Calculator!$F$12,1)),2)))/$C101,$C101/(50*POWER(80,POWER(COS(PI()*MOD(Calculator!$B$32/Calculator!$F$12,1)),2)))),2))</f>
        <v>1.71</v>
      </c>
      <c r="AD101" s="116" t="n">
        <f aca="false">IF(OR(Calculator!$E$13&lt;&gt;"YES",Calculator!$B$32&lt;Calculator!$G$13),"—",ROUND(MAX((50*POWER(80,POWER(COS(PI()*MOD(Calculator!$B$32/Calculator!$F$13,1)),2)))/$C101,$C101/(50*POWER(80,POWER(COS(PI()*MOD(Calculator!$B$32/Calculator!$F$13,1)),2)))),2))</f>
        <v>25.4</v>
      </c>
      <c r="AE101" s="116" t="n">
        <f aca="false">IF(OR(Calculator!$E$14&lt;&gt;"YES",Calculator!$B$32&lt;Calculator!$G$14),"—",ROUND(MAX((50*POWER(80,POWER(COS(PI()*MOD(Calculator!$B$32/Calculator!$F$14,1)),2)))/$C101,$C101/(50*POWER(80,POWER(COS(PI()*MOD(Calculator!$B$32/Calculator!$F$14,1)),2)))),2))</f>
        <v>4.64</v>
      </c>
      <c r="AF101" s="116" t="n">
        <f aca="false">IF(OR(Calculator!$E$15&lt;&gt;"YES",Calculator!$B$32&lt;Calculator!$G$15),"—",ROUND(MAX((50*POWER(80,POWER(COS(PI()*MOD(Calculator!$B$32/Calculator!$F$15,1)),2)))/$C101,$C101/(50*POWER(80,POWER(COS(PI()*MOD(Calculator!$B$32/Calculator!$F$15,1)),2)))),2))</f>
        <v>1.78</v>
      </c>
      <c r="AG101" s="116" t="n">
        <f aca="false">IF(OR(Calculator!$E$16&lt;&gt;"YES",Calculator!$B$32&lt;Calculator!$G$16),"—",ROUND(MAX((50*POWER(80,POWER(COS(PI()*MOD(Calculator!$B$32/Calculator!$F$16,1)),2)))/$C101,$C101/(50*POWER(80,POWER(COS(PI()*MOD(Calculator!$B$32/Calculator!$F$16,1)),2)))),2))</f>
        <v>40.56</v>
      </c>
      <c r="AH101" s="116" t="n">
        <f aca="false">IF(OR(Calculator!$E$17&lt;&gt;"YES",Calculator!$B$32&lt;Calculator!$G$17),"—",ROUND(MAX((50*POWER(80,POWER(COS(PI()*MOD(Calculator!$B$32/Calculator!$F$17,1)),2)))/$C101,$C101/(50*POWER(80,POWER(COS(PI()*MOD(Calculator!$B$32/Calculator!$F$17,1)),2)))),2))</f>
        <v>42.82</v>
      </c>
      <c r="AI101" s="116" t="n">
        <f aca="false">IF(OR(Calculator!$E$18&lt;&gt;"YES",Calculator!$B$32&lt;Calculator!$G$18),"—",ROUND(MAX((50*POWER(80,POWER(COS(PI()*MOD(Calculator!$B$32/Calculator!$F$18,1)),2)))/$C101,$C101/(50*POWER(80,POWER(COS(PI()*MOD(Calculator!$B$32/Calculator!$F$18,1)),2)))),2))</f>
        <v>56.48</v>
      </c>
      <c r="AJ101" s="116" t="n">
        <f aca="false">IF(OR(Calculator!$E$19&lt;&gt;"YES",Calculator!$B$32&lt;Calculator!$G$19),"—",ROUND(MAX((50*POWER(80,POWER(COS(PI()*MOD(Calculator!$B$32/Calculator!$F$19,1)),2)))/$C101,$C101/(50*POWER(80,POWER(COS(PI()*MOD(Calculator!$B$32/Calculator!$F$19,1)),2)))),2))</f>
        <v>11.91</v>
      </c>
      <c r="AK101" s="116" t="n">
        <f aca="false">IF(OR(Calculator!$E$20&lt;&gt;"YES",Calculator!$B$32&lt;Calculator!$G$20),"—",ROUND(MAX((50*POWER(80,POWER(COS(PI()*MOD(Calculator!$B$32/Calculator!$F$20,1)),2)))/$C101,$C101/(50*POWER(80,POWER(COS(PI()*MOD(Calculator!$B$32/Calculator!$F$20,1)),2)))),2))</f>
        <v>1.07</v>
      </c>
      <c r="AL101" s="116" t="n">
        <f aca="false">IF(OR(Calculator!$E$21&lt;&gt;"YES",Calculator!$B$32&lt;Calculator!$G$21),"—",ROUND(MAX((50*POWER(80,POWER(COS(PI()*MOD(Calculator!$B$32/Calculator!$F$21,1)),2)))/$C101,$C101/(50*POWER(80,POWER(COS(PI()*MOD(Calculator!$B$32/Calculator!$F$21,1)),2)))),2))</f>
        <v>1.24</v>
      </c>
      <c r="AM101" s="115" t="n">
        <f aca="false">IFERROR(ROUND((IF(ISNUMBER(AB101),AB101,0)+IF(ISNUMBER(AC101),AC101,0)+IF(ISNUMBER(AD101),AD101,0)+IF(ISNUMBER(AE101),AE101,0)+IF(ISNUMBER(AF101),AF101,0)+IF(ISNUMBER(AG101),AG101,0)+IF(ISNUMBER(AH101),AH101,0)+IF(ISNUMBER(AI101),AI101,0)+IF(ISNUMBER(AJ101),AJ101,0)+IF(ISNUMBER(AK101),AK101,0)+IF(ISNUMBER(AL101),AL101,0))/(IF(ISNUMBER(AB101),1,0)+IF(ISNUMBER(AC101),1,0)+IF(ISNUMBER(AD101),1,0)+IF(ISNUMBER(AE101),1,0)+IF(ISNUMBER(AF101),1,0)+IF(ISNUMBER(AG101),1,0)+IF(ISNUMBER(AH101),1,0)+IF(ISNUMBER(AI101),1,0)+IF(ISNUMBER(AJ101),1,0)+IF(ISNUMBER(AK101),1,0)+IF(ISNUMBER(AL101),1,0)),2),"")</f>
        <v>21.58</v>
      </c>
      <c r="AN101" s="116" t="n">
        <f aca="false">IF(OR(Calculator!$E$11&lt;&gt;"YES",Calculator!$B$33&lt;Calculator!$G$11),"—",ROUND(MAX((50*POWER(80,POWER(COS(PI()*MOD(Calculator!$B$33/Calculator!$F$11,1)),2)))/$C101,$C101/(50*POWER(80,POWER(COS(PI()*MOD(Calculator!$B$33/Calculator!$F$11,1)),2)))),2))</f>
        <v>40.03</v>
      </c>
      <c r="AO101" s="116" t="n">
        <f aca="false">IF(OR(Calculator!$E$12&lt;&gt;"YES",Calculator!$B$33&lt;Calculator!$G$12),"—",ROUND(MAX((50*POWER(80,POWER(COS(PI()*MOD(Calculator!$B$33/Calculator!$F$12,1)),2)))/$C101,$C101/(50*POWER(80,POWER(COS(PI()*MOD(Calculator!$B$33/Calculator!$F$12,1)),2)))),2))</f>
        <v>3.07</v>
      </c>
      <c r="AP101" s="116" t="n">
        <f aca="false">IF(OR(Calculator!$E$13&lt;&gt;"YES",Calculator!$B$33&lt;Calculator!$G$13),"—",ROUND(MAX((50*POWER(80,POWER(COS(PI()*MOD(Calculator!$B$33/Calculator!$F$13,1)),2)))/$C101,$C101/(50*POWER(80,POWER(COS(PI()*MOD(Calculator!$B$33/Calculator!$F$13,1)),2)))),2))</f>
        <v>9.65</v>
      </c>
      <c r="AQ101" s="116" t="n">
        <f aca="false">IF(OR(Calculator!$E$14&lt;&gt;"YES",Calculator!$B$33&lt;Calculator!$G$14),"—",ROUND(MAX((50*POWER(80,POWER(COS(PI()*MOD(Calculator!$B$33/Calculator!$F$14,1)),2)))/$C101,$C101/(50*POWER(80,POWER(COS(PI()*MOD(Calculator!$B$33/Calculator!$F$14,1)),2)))),2))</f>
        <v>17.98</v>
      </c>
      <c r="AR101" s="116" t="n">
        <f aca="false">IF(OR(Calculator!$E$15&lt;&gt;"YES",Calculator!$B$33&lt;Calculator!$G$15),"—",ROUND(MAX((50*POWER(80,POWER(COS(PI()*MOD(Calculator!$B$33/Calculator!$F$15,1)),2)))/$C101,$C101/(50*POWER(80,POWER(COS(PI()*MOD(Calculator!$B$33/Calculator!$F$15,1)),2)))),2))</f>
        <v>10.95</v>
      </c>
      <c r="AS101" s="116" t="n">
        <f aca="false">IF(OR(Calculator!$E$16&lt;&gt;"YES",Calculator!$B$33&lt;Calculator!$G$16),"—",ROUND(MAX((50*POWER(80,POWER(COS(PI()*MOD(Calculator!$B$33/Calculator!$F$16,1)),2)))/$C101,$C101/(50*POWER(80,POWER(COS(PI()*MOD(Calculator!$B$33/Calculator!$F$16,1)),2)))),2))</f>
        <v>50.59</v>
      </c>
      <c r="AT101" s="116" t="n">
        <f aca="false">IF(OR(Calculator!$E$17&lt;&gt;"YES",Calculator!$B$33&lt;Calculator!$G$17),"—",ROUND(MAX((50*POWER(80,POWER(COS(PI()*MOD(Calculator!$B$33/Calculator!$F$17,1)),2)))/$C101,$C101/(50*POWER(80,POWER(COS(PI()*MOD(Calculator!$B$33/Calculator!$F$17,1)),2)))),2))</f>
        <v>1.88</v>
      </c>
      <c r="AU101" s="116" t="n">
        <f aca="false">IF(OR(Calculator!$E$18&lt;&gt;"YES",Calculator!$B$33&lt;Calculator!$G$18),"—",ROUND(MAX((50*POWER(80,POWER(COS(PI()*MOD(Calculator!$B$33/Calculator!$F$18,1)),2)))/$C101,$C101/(50*POWER(80,POWER(COS(PI()*MOD(Calculator!$B$33/Calculator!$F$18,1)),2)))),2))</f>
        <v>1.78</v>
      </c>
      <c r="AV101" s="116" t="n">
        <f aca="false">IF(OR(Calculator!$E$19&lt;&gt;"YES",Calculator!$B$33&lt;Calculator!$G$19),"—",ROUND(MAX((50*POWER(80,POWER(COS(PI()*MOD(Calculator!$B$33/Calculator!$F$19,1)),2)))/$C101,$C101/(50*POWER(80,POWER(COS(PI()*MOD(Calculator!$B$33/Calculator!$F$19,1)),2)))),2))</f>
        <v>1.05</v>
      </c>
      <c r="AW101" s="116" t="n">
        <f aca="false">IF(OR(Calculator!$E$20&lt;&gt;"YES",Calculator!$B$33&lt;Calculator!$G$20),"—",ROUND(MAX((50*POWER(80,POWER(COS(PI()*MOD(Calculator!$B$33/Calculator!$F$20,1)),2)))/$C101,$C101/(50*POWER(80,POWER(COS(PI()*MOD(Calculator!$B$33/Calculator!$F$20,1)),2)))),2))</f>
        <v>23.04</v>
      </c>
      <c r="AX101" s="116" t="n">
        <f aca="false">IF(OR(Calculator!$E$21&lt;&gt;"YES",Calculator!$B$33&lt;Calculator!$G$21),"—",ROUND(MAX((50*POWER(80,POWER(COS(PI()*MOD(Calculator!$B$33/Calculator!$F$21,1)),2)))/$C101,$C101/(50*POWER(80,POWER(COS(PI()*MOD(Calculator!$B$33/Calculator!$F$21,1)),2)))),2))</f>
        <v>2.94</v>
      </c>
      <c r="AY101" s="115" t="n">
        <f aca="false">IFERROR(ROUND((IF(ISNUMBER(AN101),AN101,0)+IF(ISNUMBER(AO101),AO101,0)+IF(ISNUMBER(AP101),AP101,0)+IF(ISNUMBER(AQ101),AQ101,0)+IF(ISNUMBER(AR101),AR101,0)+IF(ISNUMBER(AS101),AS101,0)+IF(ISNUMBER(AT101),AT101,0)+IF(ISNUMBER(AU101),AU101,0)+IF(ISNUMBER(AV101),AV101,0)+IF(ISNUMBER(AW101),AW101,0)+IF(ISNUMBER(AX101),AX101,0))/(IF(ISNUMBER(AN101),1,0)+IF(ISNUMBER(AO101),1,0)+IF(ISNUMBER(AP101),1,0)+IF(ISNUMBER(AQ101),1,0)+IF(ISNUMBER(AR101),1,0)+IF(ISNUMBER(AS101),1,0)+IF(ISNUMBER(AT101),1,0)+IF(ISNUMBER(AU101),1,0)+IF(ISNUMBER(AV101),1,0)+IF(ISNUMBER(AW101),1,0)+IF(ISNUMBER(AX101),1,0)),2),"")</f>
        <v>14.81</v>
      </c>
      <c r="AZ101" s="116" t="n">
        <f aca="false">IF(OR(Calculator!$E$11&lt;&gt;"YES",Calculator!$B$34&lt;Calculator!$G$11),"—",ROUND(MAX((50*POWER(80,POWER(COS(PI()*MOD(Calculator!$B$34/Calculator!$F$11,1)),2)))/$C101,$C101/(50*POWER(80,POWER(COS(PI()*MOD(Calculator!$B$34/Calculator!$F$11,1)),2)))),2))</f>
        <v>38.58</v>
      </c>
      <c r="BA101" s="116" t="n">
        <f aca="false">IF(OR(Calculator!$E$12&lt;&gt;"YES",Calculator!$B$34&lt;Calculator!$G$12),"—",ROUND(MAX((50*POWER(80,POWER(COS(PI()*MOD(Calculator!$B$34/Calculator!$F$12,1)),2)))/$C101,$C101/(50*POWER(80,POWER(COS(PI()*MOD(Calculator!$B$34/Calculator!$F$12,1)),2)))),2))</f>
        <v>3.38</v>
      </c>
      <c r="BB101" s="116" t="n">
        <f aca="false">IF(OR(Calculator!$E$13&lt;&gt;"YES",Calculator!$B$34&lt;Calculator!$G$13),"—",ROUND(MAX((50*POWER(80,POWER(COS(PI()*MOD(Calculator!$B$34/Calculator!$F$13,1)),2)))/$C101,$C101/(50*POWER(80,POWER(COS(PI()*MOD(Calculator!$B$34/Calculator!$F$13,1)),2)))),2))</f>
        <v>8.27</v>
      </c>
      <c r="BC101" s="116" t="n">
        <f aca="false">IF(OR(Calculator!$E$14&lt;&gt;"YES",Calculator!$B$34&lt;Calculator!$G$14),"—",ROUND(MAX((50*POWER(80,POWER(COS(PI()*MOD(Calculator!$B$34/Calculator!$F$14,1)),2)))/$C101,$C101/(50*POWER(80,POWER(COS(PI()*MOD(Calculator!$B$34/Calculator!$F$14,1)),2)))),2))</f>
        <v>21.67</v>
      </c>
      <c r="BD101" s="116" t="n">
        <f aca="false">IF(OR(Calculator!$E$15&lt;&gt;"YES",Calculator!$B$34&lt;Calculator!$G$15),"—",ROUND(MAX((50*POWER(80,POWER(COS(PI()*MOD(Calculator!$B$34/Calculator!$F$15,1)),2)))/$C101,$C101/(50*POWER(80,POWER(COS(PI()*MOD(Calculator!$B$34/Calculator!$F$15,1)),2)))),2))</f>
        <v>14.57</v>
      </c>
      <c r="BE101" s="116" t="n">
        <f aca="false">IF(OR(Calculator!$E$16&lt;&gt;"YES",Calculator!$B$34&lt;Calculator!$G$16),"—",ROUND(MAX((50*POWER(80,POWER(COS(PI()*MOD(Calculator!$B$34/Calculator!$F$16,1)),2)))/$C101,$C101/(50*POWER(80,POWER(COS(PI()*MOD(Calculator!$B$34/Calculator!$F$16,1)),2)))),2))</f>
        <v>39.7</v>
      </c>
      <c r="BF101" s="116" t="n">
        <f aca="false">IF(OR(Calculator!$E$17&lt;&gt;"YES",Calculator!$B$34&lt;Calculator!$G$17),"—",ROUND(MAX((50*POWER(80,POWER(COS(PI()*MOD(Calculator!$B$34/Calculator!$F$17,1)),2)))/$C101,$C101/(50*POWER(80,POWER(COS(PI()*MOD(Calculator!$B$34/Calculator!$F$17,1)),2)))),2))</f>
        <v>1.32</v>
      </c>
      <c r="BG101" s="116" t="n">
        <f aca="false">IF(OR(Calculator!$E$18&lt;&gt;"YES",Calculator!$B$34&lt;Calculator!$G$18),"—",ROUND(MAX((50*POWER(80,POWER(COS(PI()*MOD(Calculator!$B$34/Calculator!$F$18,1)),2)))/$C101,$C101/(50*POWER(80,POWER(COS(PI()*MOD(Calculator!$B$34/Calculator!$F$18,1)),2)))),2))</f>
        <v>1.2</v>
      </c>
      <c r="BH101" s="116" t="n">
        <f aca="false">IF(OR(Calculator!$E$19&lt;&gt;"YES",Calculator!$B$34&lt;Calculator!$G$19),"—",ROUND(MAX((50*POWER(80,POWER(COS(PI()*MOD(Calculator!$B$34/Calculator!$F$19,1)),2)))/$C101,$C101/(50*POWER(80,POWER(COS(PI()*MOD(Calculator!$B$34/Calculator!$F$19,1)),2)))),2))</f>
        <v>1.57</v>
      </c>
      <c r="BI101" s="116" t="n">
        <f aca="false">IF(OR(Calculator!$E$20&lt;&gt;"YES",Calculator!$B$34&lt;Calculator!$G$20),"—",ROUND(MAX((50*POWER(80,POWER(COS(PI()*MOD(Calculator!$B$34/Calculator!$F$20,1)),2)))/$C101,$C101/(50*POWER(80,POWER(COS(PI()*MOD(Calculator!$B$34/Calculator!$F$20,1)),2)))),2))</f>
        <v>43.19</v>
      </c>
      <c r="BJ101" s="116" t="n">
        <f aca="false">IF(OR(Calculator!$E$21&lt;&gt;"YES",Calculator!$B$34&lt;Calculator!$G$21),"—",ROUND(MAX((50*POWER(80,POWER(COS(PI()*MOD(Calculator!$B$34/Calculator!$F$21,1)),2)))/$C101,$C101/(50*POWER(80,POWER(COS(PI()*MOD(Calculator!$B$34/Calculator!$F$21,1)),2)))),2))</f>
        <v>1.05</v>
      </c>
      <c r="BK101" s="115" t="n">
        <f aca="false">IFERROR(ROUND((IF(ISNUMBER(AZ101),AZ101,0)+IF(ISNUMBER(BA101),BA101,0)+IF(ISNUMBER(BB101),BB101,0)+IF(ISNUMBER(BC101),BC101,0)+IF(ISNUMBER(BD101),BD101,0)+IF(ISNUMBER(BE101),BE101,0)+IF(ISNUMBER(BF101),BF101,0)+IF(ISNUMBER(BG101),BG101,0)+IF(ISNUMBER(BH101),BH101,0)+IF(ISNUMBER(BI101),BI101,0)+IF(ISNUMBER(BJ101),BJ101,0))/(IF(ISNUMBER(AZ101),1,0)+IF(ISNUMBER(BA101),1,0)+IF(ISNUMBER(BB101),1,0)+IF(ISNUMBER(BC101),1,0)+IF(ISNUMBER(BD101),1,0)+IF(ISNUMBER(BE101),1,0)+IF(ISNUMBER(BF101),1,0)+IF(ISNUMBER(BG101),1,0)+IF(ISNUMBER(BH101),1,0)+IF(ISNUMBER(BI101),1,0)+IF(ISNUMBER(BJ101),1,0)),2),"")</f>
        <v>15.86</v>
      </c>
    </row>
    <row r="103" customFormat="false" ht="15" hidden="false" customHeight="false" outlineLevel="0" collapsed="false">
      <c r="A103" s="126" t="s">
        <v>160</v>
      </c>
      <c r="B103" s="126"/>
      <c r="C103" s="126"/>
      <c r="D103" s="126"/>
      <c r="E103" s="126"/>
      <c r="F103" s="126"/>
      <c r="G103" s="126"/>
      <c r="H103" s="126"/>
    </row>
    <row r="104" customFormat="false" ht="15" hidden="false" customHeight="false" outlineLevel="0" collapsed="false">
      <c r="A104" s="126" t="s">
        <v>161</v>
      </c>
      <c r="B104" s="126"/>
      <c r="C104" s="126"/>
      <c r="D104" s="126"/>
      <c r="E104" s="126"/>
      <c r="F104" s="126"/>
      <c r="G104" s="126"/>
      <c r="H104" s="126"/>
    </row>
    <row r="105" customFormat="false" ht="23.85" hidden="false" customHeight="false" outlineLevel="0" collapsed="false">
      <c r="A105" s="86" t="s">
        <v>162</v>
      </c>
      <c r="B105" s="86" t="s">
        <v>163</v>
      </c>
      <c r="C105" s="86" t="s">
        <v>43</v>
      </c>
      <c r="D105" s="86" t="s">
        <v>164</v>
      </c>
      <c r="E105" s="86" t="s">
        <v>165</v>
      </c>
      <c r="F105" s="86" t="s">
        <v>166</v>
      </c>
      <c r="G105" s="86" t="s">
        <v>167</v>
      </c>
      <c r="H105" s="86" t="s">
        <v>168</v>
      </c>
      <c r="I105" s="127"/>
    </row>
    <row r="106" customFormat="false" ht="35.05" hidden="false" customHeight="false" outlineLevel="0" collapsed="false">
      <c r="A106" s="116" t="s">
        <v>169</v>
      </c>
      <c r="B106" s="128" t="n">
        <f aca="false">Calculator!$B$30</f>
        <v>46.3</v>
      </c>
      <c r="C106" s="129" t="str">
        <f aca="false">Calculator!$H$30</f>
        <v>Long wire – max performance</v>
      </c>
      <c r="D106" s="116" t="str">
        <f aca="false">IFERROR(INDEX(A36:A101,MATCH(MIN(O36:O101),O36:O101,0)),"")</f>
        <v>10:1</v>
      </c>
      <c r="E106" s="116" t="n">
        <f aca="false">IFERROR(ROUND(MIN(O36:O101),2),"")</f>
        <v>4.13</v>
      </c>
      <c r="F106" s="116" t="str">
        <f aca="false">IFERROR(INDEX({"4:1★","9:1★","16:1★","25:1★","36:1★","49:1★","64:1★"},MATCH(MIN(O36,O41,O48,O57,O68,O81,O96),INDEX(O$36:O$101,{1,6,13,22,33,46,61}),0)),"—")</f>
        <v>9:1★</v>
      </c>
      <c r="G106" s="116" t="n">
        <f aca="false">IFERROR(ROUND(MIN(O36,O41,O48,O57,O68,O81,O96),2),"—")</f>
        <v>4.14</v>
      </c>
      <c r="H106" s="130" t="str">
        <f aca="false">IFERROR(TEXT(MIN(D6:D16),"0")&amp;" – "&amp;TEXT(MAX(D6:D16),"0")&amp;" Ω","N/A")</f>
        <v>80 – 2562 Ω</v>
      </c>
      <c r="I106" s="131"/>
    </row>
    <row r="107" customFormat="false" ht="35.05" hidden="false" customHeight="false" outlineLevel="0" collapsed="false">
      <c r="A107" s="116" t="s">
        <v>170</v>
      </c>
      <c r="B107" s="128" t="n">
        <f aca="false">Calculator!$B$31</f>
        <v>46.2</v>
      </c>
      <c r="C107" s="129" t="str">
        <f aca="false">Calculator!$H$31</f>
        <v>Long wire – max performance</v>
      </c>
      <c r="D107" s="116" t="str">
        <f aca="false">IFERROR(INDEX(A36:A101,MATCH(MIN(AA36:AA101),AA36:AA101,0)),"")</f>
        <v>9:1★</v>
      </c>
      <c r="E107" s="116" t="n">
        <f aca="false">IFERROR(ROUND(MIN(AA36:AA101),2),"")</f>
        <v>3.9</v>
      </c>
      <c r="F107" s="116" t="str">
        <f aca="false">IFERROR(INDEX({"4:1★","9:1★","16:1★","25:1★","36:1★","49:1★","64:1★"},MATCH(MIN(AA36,AA41,AA48,AA57,AA68,AA81,AA96),INDEX(AA$36:AA$101,{1,6,13,22,33,46,61}),0)),"—")</f>
        <v>9:1★</v>
      </c>
      <c r="G107" s="116" t="n">
        <f aca="false">IFERROR(ROUND(MIN(AA36,AA41,AA48,AA57,AA68,AA81,AA96),2),"—")</f>
        <v>3.9</v>
      </c>
      <c r="H107" s="130" t="str">
        <f aca="false">IFERROR(TEXT(MIN(E6:E16),"0")&amp;" – "&amp;TEXT(MAX(E6:E16),"0")&amp;" Ω","N/A")</f>
        <v>73 – 2931 Ω</v>
      </c>
      <c r="I107" s="131"/>
    </row>
    <row r="108" customFormat="false" ht="23.85" hidden="false" customHeight="false" outlineLevel="0" collapsed="false">
      <c r="A108" s="116" t="s">
        <v>171</v>
      </c>
      <c r="B108" s="128" t="n">
        <f aca="false">Calculator!$B$32</f>
        <v>44.1</v>
      </c>
      <c r="C108" s="129" t="str">
        <f aca="false">Calculator!$H$32</f>
        <v>Excellent home station</v>
      </c>
      <c r="D108" s="116" t="str">
        <f aca="false">IFERROR(INDEX(A36:A101,MATCH(MIN(AM36:AM101),AM36:AM101,0)),"")</f>
        <v>8:1</v>
      </c>
      <c r="E108" s="116" t="n">
        <f aca="false">IFERROR(ROUND(MIN(AM36:AM101),2),"")</f>
        <v>4.82</v>
      </c>
      <c r="F108" s="116" t="str">
        <f aca="false">IFERROR(INDEX({"4:1★","9:1★","16:1★","25:1★","36:1★","49:1★","64:1★"},MATCH(MIN(AM36,AM41,AM48,AM57,AM68,AM81,AM96),INDEX(AM$36:AM$101,{1,6,13,22,33,46,61}),0)),"—")</f>
        <v>9:1★</v>
      </c>
      <c r="G108" s="116" t="n">
        <f aca="false">IFERROR(ROUND(MIN(AM36,AM41,AM48,AM57,AM68,AM81,AM96),2),"—")</f>
        <v>4.85</v>
      </c>
      <c r="H108" s="130" t="str">
        <f aca="false">IFERROR(TEXT(MIN(F6:F16),"0")&amp;" – "&amp;TEXT(MAX(F6:F16),"0")&amp;" Ω","N/A")</f>
        <v>61 – 3215 Ω</v>
      </c>
      <c r="I108" s="131"/>
    </row>
    <row r="109" customFormat="false" ht="35.05" hidden="false" customHeight="false" outlineLevel="0" collapsed="false">
      <c r="A109" s="116" t="s">
        <v>172</v>
      </c>
      <c r="B109" s="128" t="n">
        <f aca="false">Calculator!$B$33</f>
        <v>46.1</v>
      </c>
      <c r="C109" s="129" t="str">
        <f aca="false">Calculator!$H$33</f>
        <v>Long wire – max performance</v>
      </c>
      <c r="D109" s="116" t="str">
        <f aca="false">IFERROR(INDEX(A36:A101,MATCH(MIN(AY36:AY101),AY36:AY101,0)),"")</f>
        <v>9:1★</v>
      </c>
      <c r="E109" s="116" t="n">
        <f aca="false">IFERROR(ROUND(MIN(AY36:AY101),2),"")</f>
        <v>3.69</v>
      </c>
      <c r="F109" s="116" t="str">
        <f aca="false">IFERROR(INDEX({"4:1★","9:1★","16:1★","25:1★","36:1★","49:1★","64:1★"},MATCH(MIN(AY36,AY41,AY48,AY57,AY68,AY81,AY96),INDEX(AY$36:AY$101,{1,6,13,22,33,46,61}),0)),"—")</f>
        <v>9:1★</v>
      </c>
      <c r="G109" s="116" t="n">
        <f aca="false">IFERROR(ROUND(MIN(AY36,AY41,AY48,AY57,AY68,AY81,AY96),2),"—")</f>
        <v>3.69</v>
      </c>
      <c r="H109" s="130" t="str">
        <f aca="false">IFERROR(TEXT(MIN(G6:G16),"0")&amp;" – "&amp;TEXT(MAX(G6:G16),"0")&amp;" Ω","N/A")</f>
        <v>68 – 3279 Ω</v>
      </c>
      <c r="I109" s="131"/>
    </row>
    <row r="110" customFormat="false" ht="35.05" hidden="false" customHeight="false" outlineLevel="0" collapsed="false">
      <c r="A110" s="116" t="s">
        <v>173</v>
      </c>
      <c r="B110" s="128" t="n">
        <f aca="false">Calculator!$B$34</f>
        <v>46.4</v>
      </c>
      <c r="C110" s="129" t="str">
        <f aca="false">Calculator!$H$34</f>
        <v>Long wire – max performance</v>
      </c>
      <c r="D110" s="116" t="str">
        <f aca="false">IFERROR(INDEX(A36:A101,MATCH(MIN(BK36:BK101),BK36:BK101,0)),"")</f>
        <v>10:1</v>
      </c>
      <c r="E110" s="116" t="n">
        <f aca="false">IFERROR(ROUND(MIN(BK36:BK101),2),"")</f>
        <v>4.37</v>
      </c>
      <c r="F110" s="116" t="str">
        <f aca="false">IFERROR(INDEX({"4:1★","9:1★","16:1★","25:1★","36:1★","49:1★","64:1★"},MATCH(MIN(BK36,BK41,BK48,BK57,BK68,BK81,BK96),INDEX(BK$36:BK$101,{1,6,13,22,33,46,61}),0)),"—")</f>
        <v>9:1★</v>
      </c>
      <c r="G110" s="116" t="n">
        <f aca="false">IFERROR(ROUND(MIN(BK36,BK41,BK48,BK57,BK68,BK81,BK96),2),"—")</f>
        <v>4.39</v>
      </c>
      <c r="H110" s="130" t="str">
        <f aca="false">IFERROR(TEXT(MIN(H6:H16),"0")&amp;" – "&amp;TEXT(MAX(H6:H16),"0")&amp;" Ω","N/A")</f>
        <v>80 – 3284 Ω</v>
      </c>
      <c r="I110" s="131"/>
    </row>
  </sheetData>
  <mergeCells count="10">
    <mergeCell ref="A1:BK1"/>
    <mergeCell ref="A4:I4"/>
    <mergeCell ref="A18:K18"/>
    <mergeCell ref="A32:BK32"/>
    <mergeCell ref="A33:BK33"/>
    <mergeCell ref="D34:O34"/>
    <mergeCell ref="P34:AA34"/>
    <mergeCell ref="AB34:AM34"/>
    <mergeCell ref="AN34:AY34"/>
    <mergeCell ref="AZ34:BK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55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" ySplit="4" topLeftCell="B53" activePane="bottomRight" state="frozen"/>
      <selection pane="topLeft" activeCell="A1" activeCellId="0" sqref="A1"/>
      <selection pane="topRight" activeCell="B1" activeCellId="0" sqref="B1"/>
      <selection pane="bottomLeft" activeCell="A53" activeCellId="0" sqref="A53"/>
      <selection pane="bottomRight" activeCell="I15" activeCellId="0" sqref="I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12" min="2" style="1" width="9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6"/>
  </cols>
  <sheetData>
    <row r="1" customFormat="false" ht="15" hidden="false" customHeight="true" outlineLevel="0" collapsed="false">
      <c r="A1" s="132" t="s">
        <v>174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</row>
    <row r="2" customFormat="false" ht="31.5" hidden="false" customHeight="true" outlineLevel="0" collapsed="false">
      <c r="A2" s="133" t="s">
        <v>175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</row>
    <row r="3" customFormat="false" ht="15" hidden="false" customHeight="true" outlineLevel="0" collapsed="false">
      <c r="A3" s="10" t="s">
        <v>176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customFormat="false" ht="35.05" hidden="false" customHeight="false" outlineLevel="0" collapsed="false">
      <c r="A4" s="134" t="s">
        <v>177</v>
      </c>
      <c r="B4" s="134" t="s">
        <v>178</v>
      </c>
      <c r="C4" s="134" t="s">
        <v>179</v>
      </c>
      <c r="D4" s="134" t="s">
        <v>180</v>
      </c>
      <c r="E4" s="134" t="s">
        <v>181</v>
      </c>
      <c r="F4" s="134" t="s">
        <v>182</v>
      </c>
      <c r="G4" s="134" t="s">
        <v>183</v>
      </c>
      <c r="H4" s="134" t="s">
        <v>184</v>
      </c>
      <c r="I4" s="134" t="s">
        <v>185</v>
      </c>
      <c r="J4" s="134" t="s">
        <v>186</v>
      </c>
      <c r="K4" s="134" t="s">
        <v>187</v>
      </c>
      <c r="L4" s="134" t="s">
        <v>188</v>
      </c>
      <c r="M4" s="134" t="s">
        <v>189</v>
      </c>
      <c r="N4" s="134" t="s">
        <v>36</v>
      </c>
      <c r="O4" s="134" t="s">
        <v>190</v>
      </c>
    </row>
    <row r="5" customFormat="false" ht="15" hidden="false" customHeight="false" outlineLevel="0" collapsed="false">
      <c r="A5" s="135" t="n">
        <v>5</v>
      </c>
      <c r="B5" s="136" t="n">
        <f aca="false">IF(Calculator!$E$11="YES",IF(A5&lt;Calculator!$G$11,0,MIN(MIN(MOD(A5/Calculator!$F$11,1),1-MOD(A5/Calculator!$F$11,1)),ABS(MOD(A5/Calculator!$F$11,1)-0.5))),1)</f>
        <v>0</v>
      </c>
      <c r="C5" s="136" t="n">
        <f aca="false">IF(Calculator!$E$12="YES",IF(A5&lt;Calculator!$G$12,0,MIN(MIN(MOD(A5/Calculator!$F$12,1),1-MOD(A5/Calculator!$F$12,1)),ABS(MOD(A5/Calculator!$F$12,1)-0.5))),1)</f>
        <v>0</v>
      </c>
      <c r="D5" s="136" t="n">
        <f aca="false">IF(Calculator!$E$13="YES",IF(A5&lt;Calculator!$G$13,0,MIN(MIN(MOD(A5/Calculator!$F$13,1),1-MOD(A5/Calculator!$F$13,1)),ABS(MOD(A5/Calculator!$F$13,1)-0.5))),1)</f>
        <v>0</v>
      </c>
      <c r="E5" s="136" t="n">
        <f aca="false">IF(Calculator!$E$14="YES",IF(A5&lt;Calculator!$G$14,0,MIN(MIN(MOD(A5/Calculator!$F$14,1),1-MOD(A5/Calculator!$F$14,1)),ABS(MOD(A5/Calculator!$F$14,1)-0.5))),1)</f>
        <v>0</v>
      </c>
      <c r="F5" s="136" t="n">
        <f aca="false">IF(Calculator!$E$15="YES",IF(A5&lt;Calculator!$G$15,0,MIN(MIN(MOD(A5/Calculator!$F$15,1),1-MOD(A5/Calculator!$F$15,1)),ABS(MOD(A5/Calculator!$F$15,1)-0.5))),1)</f>
        <v>0</v>
      </c>
      <c r="G5" s="136" t="n">
        <f aca="false">IF(Calculator!$E$16="YES",IF(A5&lt;Calculator!$G$16,0,MIN(MIN(MOD(A5/Calculator!$F$16,1),1-MOD(A5/Calculator!$F$16,1)),ABS(MOD(A5/Calculator!$F$16,1)-0.5))),1)</f>
        <v>0</v>
      </c>
      <c r="H5" s="136" t="n">
        <f aca="false">IF(Calculator!$E$17="YES",IF(A5&lt;Calculator!$G$17,0,MIN(MIN(MOD(A5/Calculator!$F$17,1),1-MOD(A5/Calculator!$F$17,1)),ABS(MOD(A5/Calculator!$F$17,1)-0.5))),1)</f>
        <v>0.135719298245614</v>
      </c>
      <c r="I5" s="136" t="n">
        <f aca="false">IF(Calculator!$E$18="YES",IF(A5&lt;Calculator!$G$18,0,MIN(MIN(MOD(A5/Calculator!$F$18,1),1-MOD(A5/Calculator!$F$18,1)),ABS(MOD(A5/Calculator!$F$18,1)-0.5))),1)</f>
        <v>0.244736842105263</v>
      </c>
      <c r="J5" s="136" t="n">
        <f aca="false">IF(Calculator!$E$19="YES",IF(A5&lt;Calculator!$G$19,0,MIN(MIN(MOD(A5/Calculator!$F$19,1),1-MOD(A5/Calculator!$F$19,1)),ABS(MOD(A5/Calculator!$F$19,1)-0.5))),1)</f>
        <v>0.124912280701755</v>
      </c>
      <c r="K5" s="136" t="n">
        <f aca="false">IF(Calculator!$E$20="YES",IF(A5&lt;Calculator!$G$20,0,MIN(MIN(MOD(A5/Calculator!$F$20,1),1-MOD(A5/Calculator!$F$20,1)),ABS(MOD(A5/Calculator!$F$20,1)-0.5))),1)</f>
        <v>0.012280701754386</v>
      </c>
      <c r="L5" s="136" t="n">
        <f aca="false">IF(Calculator!$E$21="YES",IF(A5&lt;Calculator!$G$21,0,MIN(MIN(MOD(A5/Calculator!$F$21,1),1-MOD(A5/Calculator!$F$21,1)),ABS(MOD(A5/Calculator!$F$21,1)-0.5))),1)</f>
        <v>0.175438596491228</v>
      </c>
      <c r="M5" s="136" t="n">
        <f aca="false">MIN(B5:L5)</f>
        <v>0</v>
      </c>
      <c r="N5" s="136" t="n">
        <f aca="false">SUMPRODUCT(($M$5:$M$555&gt;M5)*1)+SUMPRODUCT(($M$5:$M$555=M5)*(ROW($M$5:$M$555)&lt;ROW(M5)))+1</f>
        <v>226</v>
      </c>
      <c r="O5" s="136" t="str">
        <f aca="false">IF(M5&gt;=0.2,"★★★ EXCELLENT",IF(M5&gt;=0.12,"★★  GOOD",IF(M5&gt;=0.07,"★  FAIR",IF(M5&gt;=0.025,"⚠  MARGINAL","✗  AVOID"))))</f>
        <v>✗  AVOID</v>
      </c>
    </row>
    <row r="6" customFormat="false" ht="15" hidden="false" customHeight="false" outlineLevel="0" collapsed="false">
      <c r="A6" s="137" t="n">
        <v>5.1</v>
      </c>
      <c r="B6" s="138" t="n">
        <f aca="false">IF(Calculator!$E$11="YES",IF(A6&lt;Calculator!$G$11,0,MIN(MIN(MOD(A6/Calculator!$F$11,1),1-MOD(A6/Calculator!$F$11,1)),ABS(MOD(A6/Calculator!$F$11,1)-0.5))),1)</f>
        <v>0</v>
      </c>
      <c r="C6" s="138" t="n">
        <f aca="false">IF(Calculator!$E$12="YES",IF(A6&lt;Calculator!$G$12,0,MIN(MIN(MOD(A6/Calculator!$F$12,1),1-MOD(A6/Calculator!$F$12,1)),ABS(MOD(A6/Calculator!$F$12,1)-0.5))),1)</f>
        <v>0</v>
      </c>
      <c r="D6" s="138" t="n">
        <f aca="false">IF(Calculator!$E$13="YES",IF(A6&lt;Calculator!$G$13,0,MIN(MIN(MOD(A6/Calculator!$F$13,1),1-MOD(A6/Calculator!$F$13,1)),ABS(MOD(A6/Calculator!$F$13,1)-0.5))),1)</f>
        <v>0</v>
      </c>
      <c r="E6" s="138" t="n">
        <f aca="false">IF(Calculator!$E$14="YES",IF(A6&lt;Calculator!$G$14,0,MIN(MIN(MOD(A6/Calculator!$F$14,1),1-MOD(A6/Calculator!$F$14,1)),ABS(MOD(A6/Calculator!$F$14,1)-0.5))),1)</f>
        <v>0</v>
      </c>
      <c r="F6" s="138" t="n">
        <f aca="false">IF(Calculator!$E$15="YES",IF(A6&lt;Calculator!$G$15,0,MIN(MIN(MOD(A6/Calculator!$F$15,1),1-MOD(A6/Calculator!$F$15,1)),ABS(MOD(A6/Calculator!$F$15,1)-0.5))),1)</f>
        <v>0</v>
      </c>
      <c r="G6" s="138" t="n">
        <f aca="false">IF(Calculator!$E$16="YES",IF(A6&lt;Calculator!$G$16,0,MIN(MIN(MOD(A6/Calculator!$F$16,1),1-MOD(A6/Calculator!$F$16,1)),ABS(MOD(A6/Calculator!$F$16,1)-0.5))),1)</f>
        <v>0.00731578947368416</v>
      </c>
      <c r="H6" s="138" t="n">
        <f aca="false">IF(Calculator!$E$17="YES",IF(A6&lt;Calculator!$G$17,0,MIN(MIN(MOD(A6/Calculator!$F$17,1),1-MOD(A6/Calculator!$F$17,1)),ABS(MOD(A6/Calculator!$F$17,1)-0.5))),1)</f>
        <v>0.148433684210526</v>
      </c>
      <c r="I6" s="138" t="n">
        <f aca="false">IF(Calculator!$E$18="YES",IF(A6&lt;Calculator!$G$18,0,MIN(MIN(MOD(A6/Calculator!$F$18,1),1-MOD(A6/Calculator!$F$18,1)),ABS(MOD(A6/Calculator!$F$18,1)-0.5))),1)</f>
        <v>0.240368421052632</v>
      </c>
      <c r="J6" s="138" t="n">
        <f aca="false">IF(Calculator!$E$19="YES",IF(A6&lt;Calculator!$G$19,0,MIN(MIN(MOD(A6/Calculator!$F$19,1),1-MOD(A6/Calculator!$F$19,1)),ABS(MOD(A6/Calculator!$F$19,1)-0.5))),1)</f>
        <v>0.10741052631579</v>
      </c>
      <c r="K6" s="138" t="n">
        <f aca="false">IF(Calculator!$E$20="YES",IF(A6&lt;Calculator!$G$20,0,MIN(MIN(MOD(A6/Calculator!$F$20,1),1-MOD(A6/Calculator!$F$20,1)),ABS(MOD(A6/Calculator!$F$20,1)-0.5))),1)</f>
        <v>0.0325263157894735</v>
      </c>
      <c r="L6" s="138" t="n">
        <f aca="false">IF(Calculator!$E$21="YES",IF(A6&lt;Calculator!$G$21,0,MIN(MIN(MOD(A6/Calculator!$F$21,1),1-MOD(A6/Calculator!$F$21,1)),ABS(MOD(A6/Calculator!$F$21,1)-0.5))),1)</f>
        <v>0.138947368421053</v>
      </c>
      <c r="M6" s="138" t="n">
        <f aca="false">MIN(B6:L6)</f>
        <v>0</v>
      </c>
      <c r="N6" s="138" t="n">
        <f aca="false">SUMPRODUCT(($M$5:$M$555&gt;M6)*1)+SUMPRODUCT(($M$5:$M$555=M6)*(ROW($M$5:$M$555)&lt;ROW(M6)))+1</f>
        <v>227</v>
      </c>
      <c r="O6" s="138" t="str">
        <f aca="false">IF(M6&gt;=0.2,"★★★ EXCELLENT",IF(M6&gt;=0.12,"★★  GOOD",IF(M6&gt;=0.07,"★  FAIR",IF(M6&gt;=0.025,"⚠  MARGINAL","✗  AVOID"))))</f>
        <v>✗  AVOID</v>
      </c>
    </row>
    <row r="7" customFormat="false" ht="15" hidden="false" customHeight="false" outlineLevel="0" collapsed="false">
      <c r="A7" s="135" t="n">
        <v>5.2</v>
      </c>
      <c r="B7" s="136" t="n">
        <f aca="false">IF(Calculator!$E$11="YES",IF(A7&lt;Calculator!$G$11,0,MIN(MIN(MOD(A7/Calculator!$F$11,1),1-MOD(A7/Calculator!$F$11,1)),ABS(MOD(A7/Calculator!$F$11,1)-0.5))),1)</f>
        <v>0</v>
      </c>
      <c r="C7" s="136" t="n">
        <f aca="false">IF(Calculator!$E$12="YES",IF(A7&lt;Calculator!$G$12,0,MIN(MIN(MOD(A7/Calculator!$F$12,1),1-MOD(A7/Calculator!$F$12,1)),ABS(MOD(A7/Calculator!$F$12,1)-0.5))),1)</f>
        <v>0</v>
      </c>
      <c r="D7" s="136" t="n">
        <f aca="false">IF(Calculator!$E$13="YES",IF(A7&lt;Calculator!$G$13,0,MIN(MIN(MOD(A7/Calculator!$F$13,1),1-MOD(A7/Calculator!$F$13,1)),ABS(MOD(A7/Calculator!$F$13,1)-0.5))),1)</f>
        <v>0</v>
      </c>
      <c r="E7" s="136" t="n">
        <f aca="false">IF(Calculator!$E$14="YES",IF(A7&lt;Calculator!$G$14,0,MIN(MIN(MOD(A7/Calculator!$F$14,1),1-MOD(A7/Calculator!$F$14,1)),ABS(MOD(A7/Calculator!$F$14,1)-0.5))),1)</f>
        <v>0</v>
      </c>
      <c r="F7" s="136" t="n">
        <f aca="false">IF(Calculator!$E$15="YES",IF(A7&lt;Calculator!$G$15,0,MIN(MIN(MOD(A7/Calculator!$F$15,1),1-MOD(A7/Calculator!$F$15,1)),ABS(MOD(A7/Calculator!$F$15,1)-0.5))),1)</f>
        <v>0</v>
      </c>
      <c r="G7" s="136" t="n">
        <f aca="false">IF(Calculator!$E$16="YES",IF(A7&lt;Calculator!$G$16,0,MIN(MIN(MOD(A7/Calculator!$F$16,1),1-MOD(A7/Calculator!$F$16,1)),ABS(MOD(A7/Calculator!$F$16,1)-0.5))),1)</f>
        <v>0.0172631578947369</v>
      </c>
      <c r="H7" s="136" t="n">
        <f aca="false">IF(Calculator!$E$17="YES",IF(A7&lt;Calculator!$G$17,0,MIN(MIN(MOD(A7/Calculator!$F$17,1),1-MOD(A7/Calculator!$F$17,1)),ABS(MOD(A7/Calculator!$F$17,1)-0.5))),1)</f>
        <v>0.161148070175439</v>
      </c>
      <c r="I7" s="136" t="n">
        <f aca="false">IF(Calculator!$E$18="YES",IF(A7&lt;Calculator!$G$18,0,MIN(MIN(MOD(A7/Calculator!$F$18,1),1-MOD(A7/Calculator!$F$18,1)),ABS(MOD(A7/Calculator!$F$18,1)-0.5))),1)</f>
        <v>0.225473684210526</v>
      </c>
      <c r="J7" s="136" t="n">
        <f aca="false">IF(Calculator!$E$19="YES",IF(A7&lt;Calculator!$G$19,0,MIN(MIN(MOD(A7/Calculator!$F$19,1),1-MOD(A7/Calculator!$F$19,1)),ABS(MOD(A7/Calculator!$F$19,1)-0.5))),1)</f>
        <v>0.0899087719298247</v>
      </c>
      <c r="K7" s="136" t="n">
        <f aca="false">IF(Calculator!$E$20="YES",IF(A7&lt;Calculator!$G$20,0,MIN(MIN(MOD(A7/Calculator!$F$20,1),1-MOD(A7/Calculator!$F$20,1)),ABS(MOD(A7/Calculator!$F$20,1)-0.5))),1)</f>
        <v>0.0527719298245615</v>
      </c>
      <c r="L7" s="136" t="n">
        <f aca="false">IF(Calculator!$E$21="YES",IF(A7&lt;Calculator!$G$21,0,MIN(MIN(MOD(A7/Calculator!$F$21,1),1-MOD(A7/Calculator!$F$21,1)),ABS(MOD(A7/Calculator!$F$21,1)-0.5))),1)</f>
        <v>0.102456140350877</v>
      </c>
      <c r="M7" s="136" t="n">
        <f aca="false">MIN(B7:L7)</f>
        <v>0</v>
      </c>
      <c r="N7" s="136" t="n">
        <f aca="false">SUMPRODUCT(($M$5:$M$555&gt;M7)*1)+SUMPRODUCT(($M$5:$M$555=M7)*(ROW($M$5:$M$555)&lt;ROW(M7)))+1</f>
        <v>228</v>
      </c>
      <c r="O7" s="136" t="str">
        <f aca="false">IF(M7&gt;=0.2,"★★★ EXCELLENT",IF(M7&gt;=0.12,"★★  GOOD",IF(M7&gt;=0.07,"★  FAIR",IF(M7&gt;=0.025,"⚠  MARGINAL","✗  AVOID"))))</f>
        <v>✗  AVOID</v>
      </c>
    </row>
    <row r="8" customFormat="false" ht="15" hidden="false" customHeight="false" outlineLevel="0" collapsed="false">
      <c r="A8" s="137" t="n">
        <v>5.3</v>
      </c>
      <c r="B8" s="138" t="n">
        <f aca="false">IF(Calculator!$E$11="YES",IF(A8&lt;Calculator!$G$11,0,MIN(MIN(MOD(A8/Calculator!$F$11,1),1-MOD(A8/Calculator!$F$11,1)),ABS(MOD(A8/Calculator!$F$11,1)-0.5))),1)</f>
        <v>0</v>
      </c>
      <c r="C8" s="138" t="n">
        <f aca="false">IF(Calculator!$E$12="YES",IF(A8&lt;Calculator!$G$12,0,MIN(MIN(MOD(A8/Calculator!$F$12,1),1-MOD(A8/Calculator!$F$12,1)),ABS(MOD(A8/Calculator!$F$12,1)-0.5))),1)</f>
        <v>0</v>
      </c>
      <c r="D8" s="138" t="n">
        <f aca="false">IF(Calculator!$E$13="YES",IF(A8&lt;Calculator!$G$13,0,MIN(MIN(MOD(A8/Calculator!$F$13,1),1-MOD(A8/Calculator!$F$13,1)),ABS(MOD(A8/Calculator!$F$13,1)-0.5))),1)</f>
        <v>0</v>
      </c>
      <c r="E8" s="138" t="n">
        <f aca="false">IF(Calculator!$E$14="YES",IF(A8&lt;Calculator!$G$14,0,MIN(MIN(MOD(A8/Calculator!$F$14,1),1-MOD(A8/Calculator!$F$14,1)),ABS(MOD(A8/Calculator!$F$14,1)-0.5))),1)</f>
        <v>0</v>
      </c>
      <c r="F8" s="138" t="n">
        <f aca="false">IF(Calculator!$E$15="YES",IF(A8&lt;Calculator!$G$15,0,MIN(MIN(MOD(A8/Calculator!$F$15,1),1-MOD(A8/Calculator!$F$15,1)),ABS(MOD(A8/Calculator!$F$15,1)-0.5))),1)</f>
        <v>0</v>
      </c>
      <c r="G8" s="138" t="n">
        <f aca="false">IF(Calculator!$E$16="YES",IF(A8&lt;Calculator!$G$16,0,MIN(MIN(MOD(A8/Calculator!$F$16,1),1-MOD(A8/Calculator!$F$16,1)),ABS(MOD(A8/Calculator!$F$16,1)-0.5))),1)</f>
        <v>0.0272105263157895</v>
      </c>
      <c r="H8" s="138" t="n">
        <f aca="false">IF(Calculator!$E$17="YES",IF(A8&lt;Calculator!$G$17,0,MIN(MIN(MOD(A8/Calculator!$F$17,1),1-MOD(A8/Calculator!$F$17,1)),ABS(MOD(A8/Calculator!$F$17,1)-0.5))),1)</f>
        <v>0.173862456140351</v>
      </c>
      <c r="I8" s="138" t="n">
        <f aca="false">IF(Calculator!$E$18="YES",IF(A8&lt;Calculator!$G$18,0,MIN(MIN(MOD(A8/Calculator!$F$18,1),1-MOD(A8/Calculator!$F$18,1)),ABS(MOD(A8/Calculator!$F$18,1)-0.5))),1)</f>
        <v>0.210578947368421</v>
      </c>
      <c r="J8" s="138" t="n">
        <f aca="false">IF(Calculator!$E$19="YES",IF(A8&lt;Calculator!$G$19,0,MIN(MIN(MOD(A8/Calculator!$F$19,1),1-MOD(A8/Calculator!$F$19,1)),ABS(MOD(A8/Calculator!$F$19,1)-0.5))),1)</f>
        <v>0.0724070175438598</v>
      </c>
      <c r="K8" s="138" t="n">
        <f aca="false">IF(Calculator!$E$20="YES",IF(A8&lt;Calculator!$G$20,0,MIN(MIN(MOD(A8/Calculator!$F$20,1),1-MOD(A8/Calculator!$F$20,1)),ABS(MOD(A8/Calculator!$F$20,1)-0.5))),1)</f>
        <v>0.073017543859649</v>
      </c>
      <c r="L8" s="138" t="n">
        <f aca="false">IF(Calculator!$E$21="YES",IF(A8&lt;Calculator!$G$21,0,MIN(MIN(MOD(A8/Calculator!$F$21,1),1-MOD(A8/Calculator!$F$21,1)),ABS(MOD(A8/Calculator!$F$21,1)-0.5))),1)</f>
        <v>0.0659649122807018</v>
      </c>
      <c r="M8" s="138" t="n">
        <f aca="false">MIN(B8:L8)</f>
        <v>0</v>
      </c>
      <c r="N8" s="138" t="n">
        <f aca="false">SUMPRODUCT(($M$5:$M$555&gt;M8)*1)+SUMPRODUCT(($M$5:$M$555=M8)*(ROW($M$5:$M$555)&lt;ROW(M8)))+1</f>
        <v>229</v>
      </c>
      <c r="O8" s="138" t="str">
        <f aca="false">IF(M8&gt;=0.2,"★★★ EXCELLENT",IF(M8&gt;=0.12,"★★  GOOD",IF(M8&gt;=0.07,"★  FAIR",IF(M8&gt;=0.025,"⚠  MARGINAL","✗  AVOID"))))</f>
        <v>✗  AVOID</v>
      </c>
    </row>
    <row r="9" customFormat="false" ht="15" hidden="false" customHeight="false" outlineLevel="0" collapsed="false">
      <c r="A9" s="135" t="n">
        <v>5.4</v>
      </c>
      <c r="B9" s="136" t="n">
        <f aca="false">IF(Calculator!$E$11="YES",IF(A9&lt;Calculator!$G$11,0,MIN(MIN(MOD(A9/Calculator!$F$11,1),1-MOD(A9/Calculator!$F$11,1)),ABS(MOD(A9/Calculator!$F$11,1)-0.5))),1)</f>
        <v>0</v>
      </c>
      <c r="C9" s="136" t="n">
        <f aca="false">IF(Calculator!$E$12="YES",IF(A9&lt;Calculator!$G$12,0,MIN(MIN(MOD(A9/Calculator!$F$12,1),1-MOD(A9/Calculator!$F$12,1)),ABS(MOD(A9/Calculator!$F$12,1)-0.5))),1)</f>
        <v>0</v>
      </c>
      <c r="D9" s="136" t="n">
        <f aca="false">IF(Calculator!$E$13="YES",IF(A9&lt;Calculator!$G$13,0,MIN(MIN(MOD(A9/Calculator!$F$13,1),1-MOD(A9/Calculator!$F$13,1)),ABS(MOD(A9/Calculator!$F$13,1)-0.5))),1)</f>
        <v>0</v>
      </c>
      <c r="E9" s="136" t="n">
        <f aca="false">IF(Calculator!$E$14="YES",IF(A9&lt;Calculator!$G$14,0,MIN(MIN(MOD(A9/Calculator!$F$14,1),1-MOD(A9/Calculator!$F$14,1)),ABS(MOD(A9/Calculator!$F$14,1)-0.5))),1)</f>
        <v>0</v>
      </c>
      <c r="F9" s="136" t="n">
        <f aca="false">IF(Calculator!$E$15="YES",IF(A9&lt;Calculator!$G$15,0,MIN(MIN(MOD(A9/Calculator!$F$15,1),1-MOD(A9/Calculator!$F$15,1)),ABS(MOD(A9/Calculator!$F$15,1)-0.5))),1)</f>
        <v>0</v>
      </c>
      <c r="G9" s="136" t="n">
        <f aca="false">IF(Calculator!$E$16="YES",IF(A9&lt;Calculator!$G$16,0,MIN(MIN(MOD(A9/Calculator!$F$16,1),1-MOD(A9/Calculator!$F$16,1)),ABS(MOD(A9/Calculator!$F$16,1)-0.5))),1)</f>
        <v>0.0371578947368422</v>
      </c>
      <c r="H9" s="136" t="n">
        <f aca="false">IF(Calculator!$E$17="YES",IF(A9&lt;Calculator!$G$17,0,MIN(MIN(MOD(A9/Calculator!$F$17,1),1-MOD(A9/Calculator!$F$17,1)),ABS(MOD(A9/Calculator!$F$17,1)-0.5))),1)</f>
        <v>0.186576842105263</v>
      </c>
      <c r="I9" s="136" t="n">
        <f aca="false">IF(Calculator!$E$18="YES",IF(A9&lt;Calculator!$G$18,0,MIN(MIN(MOD(A9/Calculator!$F$18,1),1-MOD(A9/Calculator!$F$18,1)),ABS(MOD(A9/Calculator!$F$18,1)-0.5))),1)</f>
        <v>0.195684210526316</v>
      </c>
      <c r="J9" s="136" t="n">
        <f aca="false">IF(Calculator!$E$19="YES",IF(A9&lt;Calculator!$G$19,0,MIN(MIN(MOD(A9/Calculator!$F$19,1),1-MOD(A9/Calculator!$F$19,1)),ABS(MOD(A9/Calculator!$F$19,1)-0.5))),1)</f>
        <v>0.0549052631578948</v>
      </c>
      <c r="K9" s="136" t="n">
        <f aca="false">IF(Calculator!$E$20="YES",IF(A9&lt;Calculator!$G$20,0,MIN(MIN(MOD(A9/Calculator!$F$20,1),1-MOD(A9/Calculator!$F$20,1)),ABS(MOD(A9/Calculator!$F$20,1)-0.5))),1)</f>
        <v>0.0932631578947369</v>
      </c>
      <c r="L9" s="136" t="n">
        <f aca="false">IF(Calculator!$E$21="YES",IF(A9&lt;Calculator!$G$21,0,MIN(MIN(MOD(A9/Calculator!$F$21,1),1-MOD(A9/Calculator!$F$21,1)),ABS(MOD(A9/Calculator!$F$21,1)-0.5))),1)</f>
        <v>0.0294736842105263</v>
      </c>
      <c r="M9" s="136" t="n">
        <f aca="false">MIN(B9:L9)</f>
        <v>0</v>
      </c>
      <c r="N9" s="136" t="n">
        <f aca="false">SUMPRODUCT(($M$5:$M$555&gt;M9)*1)+SUMPRODUCT(($M$5:$M$555=M9)*(ROW($M$5:$M$555)&lt;ROW(M9)))+1</f>
        <v>230</v>
      </c>
      <c r="O9" s="136" t="str">
        <f aca="false">IF(M9&gt;=0.2,"★★★ EXCELLENT",IF(M9&gt;=0.12,"★★  GOOD",IF(M9&gt;=0.07,"★  FAIR",IF(M9&gt;=0.025,"⚠  MARGINAL","✗  AVOID"))))</f>
        <v>✗  AVOID</v>
      </c>
    </row>
    <row r="10" customFormat="false" ht="15" hidden="false" customHeight="false" outlineLevel="0" collapsed="false">
      <c r="A10" s="137" t="n">
        <v>5.5</v>
      </c>
      <c r="B10" s="138" t="n">
        <f aca="false">IF(Calculator!$E$11="YES",IF(A10&lt;Calculator!$G$11,0,MIN(MIN(MOD(A10/Calculator!$F$11,1),1-MOD(A10/Calculator!$F$11,1)),ABS(MOD(A10/Calculator!$F$11,1)-0.5))),1)</f>
        <v>0</v>
      </c>
      <c r="C10" s="138" t="n">
        <f aca="false">IF(Calculator!$E$12="YES",IF(A10&lt;Calculator!$G$12,0,MIN(MIN(MOD(A10/Calculator!$F$12,1),1-MOD(A10/Calculator!$F$12,1)),ABS(MOD(A10/Calculator!$F$12,1)-0.5))),1)</f>
        <v>0</v>
      </c>
      <c r="D10" s="138" t="n">
        <f aca="false">IF(Calculator!$E$13="YES",IF(A10&lt;Calculator!$G$13,0,MIN(MIN(MOD(A10/Calculator!$F$13,1),1-MOD(A10/Calculator!$F$13,1)),ABS(MOD(A10/Calculator!$F$13,1)-0.5))),1)</f>
        <v>0</v>
      </c>
      <c r="E10" s="138" t="n">
        <f aca="false">IF(Calculator!$E$14="YES",IF(A10&lt;Calculator!$G$14,0,MIN(MIN(MOD(A10/Calculator!$F$14,1),1-MOD(A10/Calculator!$F$14,1)),ABS(MOD(A10/Calculator!$F$14,1)-0.5))),1)</f>
        <v>0</v>
      </c>
      <c r="F10" s="138" t="n">
        <f aca="false">IF(Calculator!$E$15="YES",IF(A10&lt;Calculator!$G$15,0,MIN(MIN(MOD(A10/Calculator!$F$15,1),1-MOD(A10/Calculator!$F$15,1)),ABS(MOD(A10/Calculator!$F$15,1)-0.5))),1)</f>
        <v>0</v>
      </c>
      <c r="G10" s="138" t="n">
        <f aca="false">IF(Calculator!$E$16="YES",IF(A10&lt;Calculator!$G$16,0,MIN(MIN(MOD(A10/Calculator!$F$16,1),1-MOD(A10/Calculator!$F$16,1)),ABS(MOD(A10/Calculator!$F$16,1)-0.5))),1)</f>
        <v>0.0471052631578948</v>
      </c>
      <c r="H10" s="138" t="n">
        <f aca="false">IF(Calculator!$E$17="YES",IF(A10&lt;Calculator!$G$17,0,MIN(MIN(MOD(A10/Calculator!$F$17,1),1-MOD(A10/Calculator!$F$17,1)),ABS(MOD(A10/Calculator!$F$17,1)-0.5))),1)</f>
        <v>0.199291228070176</v>
      </c>
      <c r="I10" s="138" t="n">
        <f aca="false">IF(Calculator!$E$18="YES",IF(A10&lt;Calculator!$G$18,0,MIN(MIN(MOD(A10/Calculator!$F$18,1),1-MOD(A10/Calculator!$F$18,1)),ABS(MOD(A10/Calculator!$F$18,1)-0.5))),1)</f>
        <v>0.180789473684211</v>
      </c>
      <c r="J10" s="138" t="n">
        <f aca="false">IF(Calculator!$E$19="YES",IF(A10&lt;Calculator!$G$19,0,MIN(MIN(MOD(A10/Calculator!$F$19,1),1-MOD(A10/Calculator!$F$19,1)),ABS(MOD(A10/Calculator!$F$19,1)-0.5))),1)</f>
        <v>0.03740350877193</v>
      </c>
      <c r="K10" s="138" t="n">
        <f aca="false">IF(Calculator!$E$20="YES",IF(A10&lt;Calculator!$G$20,0,MIN(MIN(MOD(A10/Calculator!$F$20,1),1-MOD(A10/Calculator!$F$20,1)),ABS(MOD(A10/Calculator!$F$20,1)-0.5))),1)</f>
        <v>0.113508771929824</v>
      </c>
      <c r="L10" s="138" t="n">
        <f aca="false">IF(Calculator!$E$21="YES",IF(A10&lt;Calculator!$G$21,0,MIN(MIN(MOD(A10/Calculator!$F$21,1),1-MOD(A10/Calculator!$F$21,1)),ABS(MOD(A10/Calculator!$F$21,1)-0.5))),1)</f>
        <v>0.00701754385964915</v>
      </c>
      <c r="M10" s="138" t="n">
        <f aca="false">MIN(B10:L10)</f>
        <v>0</v>
      </c>
      <c r="N10" s="138" t="n">
        <f aca="false">SUMPRODUCT(($M$5:$M$555&gt;M10)*1)+SUMPRODUCT(($M$5:$M$555=M10)*(ROW($M$5:$M$555)&lt;ROW(M10)))+1</f>
        <v>231</v>
      </c>
      <c r="O10" s="138" t="str">
        <f aca="false">IF(M10&gt;=0.2,"★★★ EXCELLENT",IF(M10&gt;=0.12,"★★  GOOD",IF(M10&gt;=0.07,"★  FAIR",IF(M10&gt;=0.025,"⚠  MARGINAL","✗  AVOID"))))</f>
        <v>✗  AVOID</v>
      </c>
    </row>
    <row r="11" customFormat="false" ht="15" hidden="false" customHeight="false" outlineLevel="0" collapsed="false">
      <c r="A11" s="135" t="n">
        <v>5.6</v>
      </c>
      <c r="B11" s="136" t="n">
        <f aca="false">IF(Calculator!$E$11="YES",IF(A11&lt;Calculator!$G$11,0,MIN(MIN(MOD(A11/Calculator!$F$11,1),1-MOD(A11/Calculator!$F$11,1)),ABS(MOD(A11/Calculator!$F$11,1)-0.5))),1)</f>
        <v>0</v>
      </c>
      <c r="C11" s="136" t="n">
        <f aca="false">IF(Calculator!$E$12="YES",IF(A11&lt;Calculator!$G$12,0,MIN(MIN(MOD(A11/Calculator!$F$12,1),1-MOD(A11/Calculator!$F$12,1)),ABS(MOD(A11/Calculator!$F$12,1)-0.5))),1)</f>
        <v>0</v>
      </c>
      <c r="D11" s="136" t="n">
        <f aca="false">IF(Calculator!$E$13="YES",IF(A11&lt;Calculator!$G$13,0,MIN(MIN(MOD(A11/Calculator!$F$13,1),1-MOD(A11/Calculator!$F$13,1)),ABS(MOD(A11/Calculator!$F$13,1)-0.5))),1)</f>
        <v>0</v>
      </c>
      <c r="E11" s="136" t="n">
        <f aca="false">IF(Calculator!$E$14="YES",IF(A11&lt;Calculator!$G$14,0,MIN(MIN(MOD(A11/Calculator!$F$14,1),1-MOD(A11/Calculator!$F$14,1)),ABS(MOD(A11/Calculator!$F$14,1)-0.5))),1)</f>
        <v>0</v>
      </c>
      <c r="F11" s="136" t="n">
        <f aca="false">IF(Calculator!$E$15="YES",IF(A11&lt;Calculator!$G$15,0,MIN(MIN(MOD(A11/Calculator!$F$15,1),1-MOD(A11/Calculator!$F$15,1)),ABS(MOD(A11/Calculator!$F$15,1)-0.5))),1)</f>
        <v>0</v>
      </c>
      <c r="G11" s="136" t="n">
        <f aca="false">IF(Calculator!$E$16="YES",IF(A11&lt;Calculator!$G$16,0,MIN(MIN(MOD(A11/Calculator!$F$16,1),1-MOD(A11/Calculator!$F$16,1)),ABS(MOD(A11/Calculator!$F$16,1)-0.5))),1)</f>
        <v>0.0570526315789474</v>
      </c>
      <c r="H11" s="136" t="n">
        <f aca="false">IF(Calculator!$E$17="YES",IF(A11&lt;Calculator!$G$17,0,MIN(MIN(MOD(A11/Calculator!$F$17,1),1-MOD(A11/Calculator!$F$17,1)),ABS(MOD(A11/Calculator!$F$17,1)-0.5))),1)</f>
        <v>0.212005614035088</v>
      </c>
      <c r="I11" s="136" t="n">
        <f aca="false">IF(Calculator!$E$18="YES",IF(A11&lt;Calculator!$G$18,0,MIN(MIN(MOD(A11/Calculator!$F$18,1),1-MOD(A11/Calculator!$F$18,1)),ABS(MOD(A11/Calculator!$F$18,1)-0.5))),1)</f>
        <v>0.165894736842105</v>
      </c>
      <c r="J11" s="136" t="n">
        <f aca="false">IF(Calculator!$E$19="YES",IF(A11&lt;Calculator!$G$19,0,MIN(MIN(MOD(A11/Calculator!$F$19,1),1-MOD(A11/Calculator!$F$19,1)),ABS(MOD(A11/Calculator!$F$19,1)-0.5))),1)</f>
        <v>0.0199017543859651</v>
      </c>
      <c r="K11" s="136" t="n">
        <f aca="false">IF(Calculator!$E$20="YES",IF(A11&lt;Calculator!$G$20,0,MIN(MIN(MOD(A11/Calculator!$F$20,1),1-MOD(A11/Calculator!$F$20,1)),ABS(MOD(A11/Calculator!$F$20,1)-0.5))),1)</f>
        <v>0.133754385964912</v>
      </c>
      <c r="L11" s="136" t="n">
        <f aca="false">IF(Calculator!$E$21="YES",IF(A11&lt;Calculator!$G$21,0,MIN(MIN(MOD(A11/Calculator!$F$21,1),1-MOD(A11/Calculator!$F$21,1)),ABS(MOD(A11/Calculator!$F$21,1)-0.5))),1)</f>
        <v>0.0435087719298246</v>
      </c>
      <c r="M11" s="136" t="n">
        <f aca="false">MIN(B11:L11)</f>
        <v>0</v>
      </c>
      <c r="N11" s="136" t="n">
        <f aca="false">SUMPRODUCT(($M$5:$M$555&gt;M11)*1)+SUMPRODUCT(($M$5:$M$555=M11)*(ROW($M$5:$M$555)&lt;ROW(M11)))+1</f>
        <v>232</v>
      </c>
      <c r="O11" s="136" t="str">
        <f aca="false">IF(M11&gt;=0.2,"★★★ EXCELLENT",IF(M11&gt;=0.12,"★★  GOOD",IF(M11&gt;=0.07,"★  FAIR",IF(M11&gt;=0.025,"⚠  MARGINAL","✗  AVOID"))))</f>
        <v>✗  AVOID</v>
      </c>
    </row>
    <row r="12" customFormat="false" ht="15" hidden="false" customHeight="false" outlineLevel="0" collapsed="false">
      <c r="A12" s="137" t="n">
        <v>5.7</v>
      </c>
      <c r="B12" s="138" t="n">
        <f aca="false">IF(Calculator!$E$11="YES",IF(A12&lt;Calculator!$G$11,0,MIN(MIN(MOD(A12/Calculator!$F$11,1),1-MOD(A12/Calculator!$F$11,1)),ABS(MOD(A12/Calculator!$F$11,1)-0.5))),1)</f>
        <v>0</v>
      </c>
      <c r="C12" s="138" t="n">
        <f aca="false">IF(Calculator!$E$12="YES",IF(A12&lt;Calculator!$G$12,0,MIN(MIN(MOD(A12/Calculator!$F$12,1),1-MOD(A12/Calculator!$F$12,1)),ABS(MOD(A12/Calculator!$F$12,1)-0.5))),1)</f>
        <v>0</v>
      </c>
      <c r="D12" s="138" t="n">
        <f aca="false">IF(Calculator!$E$13="YES",IF(A12&lt;Calculator!$G$13,0,MIN(MIN(MOD(A12/Calculator!$F$13,1),1-MOD(A12/Calculator!$F$13,1)),ABS(MOD(A12/Calculator!$F$13,1)-0.5))),1)</f>
        <v>0</v>
      </c>
      <c r="E12" s="138" t="n">
        <f aca="false">IF(Calculator!$E$14="YES",IF(A12&lt;Calculator!$G$14,0,MIN(MIN(MOD(A12/Calculator!$F$14,1),1-MOD(A12/Calculator!$F$14,1)),ABS(MOD(A12/Calculator!$F$14,1)-0.5))),1)</f>
        <v>0</v>
      </c>
      <c r="F12" s="138" t="n">
        <f aca="false">IF(Calculator!$E$15="YES",IF(A12&lt;Calculator!$G$15,0,MIN(MIN(MOD(A12/Calculator!$F$15,1),1-MOD(A12/Calculator!$F$15,1)),ABS(MOD(A12/Calculator!$F$15,1)-0.5))),1)</f>
        <v>0</v>
      </c>
      <c r="G12" s="138" t="n">
        <f aca="false">IF(Calculator!$E$16="YES",IF(A12&lt;Calculator!$G$16,0,MIN(MIN(MOD(A12/Calculator!$F$16,1),1-MOD(A12/Calculator!$F$16,1)),ABS(MOD(A12/Calculator!$F$16,1)-0.5))),1)</f>
        <v>0.0670000000000001</v>
      </c>
      <c r="H12" s="138" t="n">
        <f aca="false">IF(Calculator!$E$17="YES",IF(A12&lt;Calculator!$G$17,0,MIN(MIN(MOD(A12/Calculator!$F$17,1),1-MOD(A12/Calculator!$F$17,1)),ABS(MOD(A12/Calculator!$F$17,1)-0.5))),1)</f>
        <v>0.22472</v>
      </c>
      <c r="I12" s="138" t="n">
        <f aca="false">IF(Calculator!$E$18="YES",IF(A12&lt;Calculator!$G$18,0,MIN(MIN(MOD(A12/Calculator!$F$18,1),1-MOD(A12/Calculator!$F$18,1)),ABS(MOD(A12/Calculator!$F$18,1)-0.5))),1)</f>
        <v>0.151</v>
      </c>
      <c r="J12" s="138" t="n">
        <f aca="false">IF(Calculator!$E$19="YES",IF(A12&lt;Calculator!$G$19,0,MIN(MIN(MOD(A12/Calculator!$F$19,1),1-MOD(A12/Calculator!$F$19,1)),ABS(MOD(A12/Calculator!$F$19,1)-0.5))),1)</f>
        <v>0.00240000000000018</v>
      </c>
      <c r="K12" s="138" t="n">
        <f aca="false">IF(Calculator!$E$20="YES",IF(A12&lt;Calculator!$G$20,0,MIN(MIN(MOD(A12/Calculator!$F$20,1),1-MOD(A12/Calculator!$F$20,1)),ABS(MOD(A12/Calculator!$F$20,1)-0.5))),1)</f>
        <v>0.154</v>
      </c>
      <c r="L12" s="138" t="n">
        <f aca="false">IF(Calculator!$E$21="YES",IF(A12&lt;Calculator!$G$21,0,MIN(MIN(MOD(A12/Calculator!$F$21,1),1-MOD(A12/Calculator!$F$21,1)),ABS(MOD(A12/Calculator!$F$21,1)-0.5))),1)</f>
        <v>0.0800000000000001</v>
      </c>
      <c r="M12" s="138" t="n">
        <f aca="false">MIN(B12:L12)</f>
        <v>0</v>
      </c>
      <c r="N12" s="138" t="n">
        <f aca="false">SUMPRODUCT(($M$5:$M$555&gt;M12)*1)+SUMPRODUCT(($M$5:$M$555=M12)*(ROW($M$5:$M$555)&lt;ROW(M12)))+1</f>
        <v>233</v>
      </c>
      <c r="O12" s="138" t="str">
        <f aca="false">IF(M12&gt;=0.2,"★★★ EXCELLENT",IF(M12&gt;=0.12,"★★  GOOD",IF(M12&gt;=0.07,"★  FAIR",IF(M12&gt;=0.025,"⚠  MARGINAL","✗  AVOID"))))</f>
        <v>✗  AVOID</v>
      </c>
    </row>
    <row r="13" customFormat="false" ht="15" hidden="false" customHeight="false" outlineLevel="0" collapsed="false">
      <c r="A13" s="135" t="n">
        <v>5.8</v>
      </c>
      <c r="B13" s="136" t="n">
        <f aca="false">IF(Calculator!$E$11="YES",IF(A13&lt;Calculator!$G$11,0,MIN(MIN(MOD(A13/Calculator!$F$11,1),1-MOD(A13/Calculator!$F$11,1)),ABS(MOD(A13/Calculator!$F$11,1)-0.5))),1)</f>
        <v>0</v>
      </c>
      <c r="C13" s="136" t="n">
        <f aca="false">IF(Calculator!$E$12="YES",IF(A13&lt;Calculator!$G$12,0,MIN(MIN(MOD(A13/Calculator!$F$12,1),1-MOD(A13/Calculator!$F$12,1)),ABS(MOD(A13/Calculator!$F$12,1)-0.5))),1)</f>
        <v>0</v>
      </c>
      <c r="D13" s="136" t="n">
        <f aca="false">IF(Calculator!$E$13="YES",IF(A13&lt;Calculator!$G$13,0,MIN(MIN(MOD(A13/Calculator!$F$13,1),1-MOD(A13/Calculator!$F$13,1)),ABS(MOD(A13/Calculator!$F$13,1)-0.5))),1)</f>
        <v>0</v>
      </c>
      <c r="E13" s="136" t="n">
        <f aca="false">IF(Calculator!$E$14="YES",IF(A13&lt;Calculator!$G$14,0,MIN(MIN(MOD(A13/Calculator!$F$14,1),1-MOD(A13/Calculator!$F$14,1)),ABS(MOD(A13/Calculator!$F$14,1)-0.5))),1)</f>
        <v>0</v>
      </c>
      <c r="F13" s="136" t="n">
        <f aca="false">IF(Calculator!$E$15="YES",IF(A13&lt;Calculator!$G$15,0,MIN(MIN(MOD(A13/Calculator!$F$15,1),1-MOD(A13/Calculator!$F$15,1)),ABS(MOD(A13/Calculator!$F$15,1)-0.5))),1)</f>
        <v>0</v>
      </c>
      <c r="G13" s="136" t="n">
        <f aca="false">IF(Calculator!$E$16="YES",IF(A13&lt;Calculator!$G$16,0,MIN(MIN(MOD(A13/Calculator!$F$16,1),1-MOD(A13/Calculator!$F$16,1)),ABS(MOD(A13/Calculator!$F$16,1)-0.5))),1)</f>
        <v>0.0769473684210527</v>
      </c>
      <c r="H13" s="136" t="n">
        <f aca="false">IF(Calculator!$E$17="YES",IF(A13&lt;Calculator!$G$17,0,MIN(MIN(MOD(A13/Calculator!$F$17,1),1-MOD(A13/Calculator!$F$17,1)),ABS(MOD(A13/Calculator!$F$17,1)-0.5))),1)</f>
        <v>0.237434385964912</v>
      </c>
      <c r="I13" s="136" t="n">
        <f aca="false">IF(Calculator!$E$18="YES",IF(A13&lt;Calculator!$G$18,0,MIN(MIN(MOD(A13/Calculator!$F$18,1),1-MOD(A13/Calculator!$F$18,1)),ABS(MOD(A13/Calculator!$F$18,1)-0.5))),1)</f>
        <v>0.136105263157895</v>
      </c>
      <c r="J13" s="136" t="n">
        <f aca="false">IF(Calculator!$E$19="YES",IF(A13&lt;Calculator!$G$19,0,MIN(MIN(MOD(A13/Calculator!$F$19,1),1-MOD(A13/Calculator!$F$19,1)),ABS(MOD(A13/Calculator!$F$19,1)-0.5))),1)</f>
        <v>0.0151017543859646</v>
      </c>
      <c r="K13" s="136" t="n">
        <f aca="false">IF(Calculator!$E$20="YES",IF(A13&lt;Calculator!$G$20,0,MIN(MIN(MOD(A13/Calculator!$F$20,1),1-MOD(A13/Calculator!$F$20,1)),ABS(MOD(A13/Calculator!$F$20,1)-0.5))),1)</f>
        <v>0.174245614035088</v>
      </c>
      <c r="L13" s="136" t="n">
        <f aca="false">IF(Calculator!$E$21="YES",IF(A13&lt;Calculator!$G$21,0,MIN(MIN(MOD(A13/Calculator!$F$21,1),1-MOD(A13/Calculator!$F$21,1)),ABS(MOD(A13/Calculator!$F$21,1)-0.5))),1)</f>
        <v>0.116491228070176</v>
      </c>
      <c r="M13" s="136" t="n">
        <f aca="false">MIN(B13:L13)</f>
        <v>0</v>
      </c>
      <c r="N13" s="136" t="n">
        <f aca="false">SUMPRODUCT(($M$5:$M$555&gt;M13)*1)+SUMPRODUCT(($M$5:$M$555=M13)*(ROW($M$5:$M$555)&lt;ROW(M13)))+1</f>
        <v>234</v>
      </c>
      <c r="O13" s="136" t="str">
        <f aca="false">IF(M13&gt;=0.2,"★★★ EXCELLENT",IF(M13&gt;=0.12,"★★  GOOD",IF(M13&gt;=0.07,"★  FAIR",IF(M13&gt;=0.025,"⚠  MARGINAL","✗  AVOID"))))</f>
        <v>✗  AVOID</v>
      </c>
    </row>
    <row r="14" customFormat="false" ht="15" hidden="false" customHeight="false" outlineLevel="0" collapsed="false">
      <c r="A14" s="137" t="n">
        <v>5.9</v>
      </c>
      <c r="B14" s="138" t="n">
        <f aca="false">IF(Calculator!$E$11="YES",IF(A14&lt;Calculator!$G$11,0,MIN(MIN(MOD(A14/Calculator!$F$11,1),1-MOD(A14/Calculator!$F$11,1)),ABS(MOD(A14/Calculator!$F$11,1)-0.5))),1)</f>
        <v>0</v>
      </c>
      <c r="C14" s="138" t="n">
        <f aca="false">IF(Calculator!$E$12="YES",IF(A14&lt;Calculator!$G$12,0,MIN(MIN(MOD(A14/Calculator!$F$12,1),1-MOD(A14/Calculator!$F$12,1)),ABS(MOD(A14/Calculator!$F$12,1)-0.5))),1)</f>
        <v>0</v>
      </c>
      <c r="D14" s="138" t="n">
        <f aca="false">IF(Calculator!$E$13="YES",IF(A14&lt;Calculator!$G$13,0,MIN(MIN(MOD(A14/Calculator!$F$13,1),1-MOD(A14/Calculator!$F$13,1)),ABS(MOD(A14/Calculator!$F$13,1)-0.5))),1)</f>
        <v>0</v>
      </c>
      <c r="E14" s="138" t="n">
        <f aca="false">IF(Calculator!$E$14="YES",IF(A14&lt;Calculator!$G$14,0,MIN(MIN(MOD(A14/Calculator!$F$14,1),1-MOD(A14/Calculator!$F$14,1)),ABS(MOD(A14/Calculator!$F$14,1)-0.5))),1)</f>
        <v>0</v>
      </c>
      <c r="F14" s="138" t="n">
        <f aca="false">IF(Calculator!$E$15="YES",IF(A14&lt;Calculator!$G$15,0,MIN(MIN(MOD(A14/Calculator!$F$15,1),1-MOD(A14/Calculator!$F$15,1)),ABS(MOD(A14/Calculator!$F$15,1)-0.5))),1)</f>
        <v>0</v>
      </c>
      <c r="G14" s="138" t="n">
        <f aca="false">IF(Calculator!$E$16="YES",IF(A14&lt;Calculator!$G$16,0,MIN(MIN(MOD(A14/Calculator!$F$16,1),1-MOD(A14/Calculator!$F$16,1)),ABS(MOD(A14/Calculator!$F$16,1)-0.5))),1)</f>
        <v>0.0868947368421054</v>
      </c>
      <c r="H14" s="138" t="n">
        <f aca="false">IF(Calculator!$E$17="YES",IF(A14&lt;Calculator!$G$17,0,MIN(MIN(MOD(A14/Calculator!$F$17,1),1-MOD(A14/Calculator!$F$17,1)),ABS(MOD(A14/Calculator!$F$17,1)-0.5))),1)</f>
        <v>0.249851228070175</v>
      </c>
      <c r="I14" s="138" t="n">
        <f aca="false">IF(Calculator!$E$18="YES",IF(A14&lt;Calculator!$G$18,0,MIN(MIN(MOD(A14/Calculator!$F$18,1),1-MOD(A14/Calculator!$F$18,1)),ABS(MOD(A14/Calculator!$F$18,1)-0.5))),1)</f>
        <v>0.121210526315789</v>
      </c>
      <c r="J14" s="138" t="n">
        <f aca="false">IF(Calculator!$E$19="YES",IF(A14&lt;Calculator!$G$19,0,MIN(MIN(MOD(A14/Calculator!$F$19,1),1-MOD(A14/Calculator!$F$19,1)),ABS(MOD(A14/Calculator!$F$19,1)-0.5))),1)</f>
        <v>0.0326035087719296</v>
      </c>
      <c r="K14" s="138" t="n">
        <f aca="false">IF(Calculator!$E$20="YES",IF(A14&lt;Calculator!$G$20,0,MIN(MIN(MOD(A14/Calculator!$F$20,1),1-MOD(A14/Calculator!$F$20,1)),ABS(MOD(A14/Calculator!$F$20,1)-0.5))),1)</f>
        <v>0.194491228070176</v>
      </c>
      <c r="L14" s="138" t="n">
        <f aca="false">IF(Calculator!$E$21="YES",IF(A14&lt;Calculator!$G$21,0,MIN(MIN(MOD(A14/Calculator!$F$21,1),1-MOD(A14/Calculator!$F$21,1)),ABS(MOD(A14/Calculator!$F$21,1)-0.5))),1)</f>
        <v>0.152982456140351</v>
      </c>
      <c r="M14" s="138" t="n">
        <f aca="false">MIN(B14:L14)</f>
        <v>0</v>
      </c>
      <c r="N14" s="138" t="n">
        <f aca="false">SUMPRODUCT(($M$5:$M$555&gt;M14)*1)+SUMPRODUCT(($M$5:$M$555=M14)*(ROW($M$5:$M$555)&lt;ROW(M14)))+1</f>
        <v>235</v>
      </c>
      <c r="O14" s="138" t="str">
        <f aca="false">IF(M14&gt;=0.2,"★★★ EXCELLENT",IF(M14&gt;=0.12,"★★  GOOD",IF(M14&gt;=0.07,"★  FAIR",IF(M14&gt;=0.025,"⚠  MARGINAL","✗  AVOID"))))</f>
        <v>✗  AVOID</v>
      </c>
    </row>
    <row r="15" customFormat="false" ht="15" hidden="false" customHeight="false" outlineLevel="0" collapsed="false">
      <c r="A15" s="135" t="n">
        <v>6</v>
      </c>
      <c r="B15" s="136" t="n">
        <f aca="false">IF(Calculator!$E$11="YES",IF(A15&lt;Calculator!$G$11,0,MIN(MIN(MOD(A15/Calculator!$F$11,1),1-MOD(A15/Calculator!$F$11,1)),ABS(MOD(A15/Calculator!$F$11,1)-0.5))),1)</f>
        <v>0</v>
      </c>
      <c r="C15" s="136" t="n">
        <f aca="false">IF(Calculator!$E$12="YES",IF(A15&lt;Calculator!$G$12,0,MIN(MIN(MOD(A15/Calculator!$F$12,1),1-MOD(A15/Calculator!$F$12,1)),ABS(MOD(A15/Calculator!$F$12,1)-0.5))),1)</f>
        <v>0</v>
      </c>
      <c r="D15" s="136" t="n">
        <f aca="false">IF(Calculator!$E$13="YES",IF(A15&lt;Calculator!$G$13,0,MIN(MIN(MOD(A15/Calculator!$F$13,1),1-MOD(A15/Calculator!$F$13,1)),ABS(MOD(A15/Calculator!$F$13,1)-0.5))),1)</f>
        <v>0</v>
      </c>
      <c r="E15" s="136" t="n">
        <f aca="false">IF(Calculator!$E$14="YES",IF(A15&lt;Calculator!$G$14,0,MIN(MIN(MOD(A15/Calculator!$F$14,1),1-MOD(A15/Calculator!$F$14,1)),ABS(MOD(A15/Calculator!$F$14,1)-0.5))),1)</f>
        <v>0</v>
      </c>
      <c r="F15" s="136" t="n">
        <f aca="false">IF(Calculator!$E$15="YES",IF(A15&lt;Calculator!$G$15,0,MIN(MIN(MOD(A15/Calculator!$F$15,1),1-MOD(A15/Calculator!$F$15,1)),ABS(MOD(A15/Calculator!$F$15,1)-0.5))),1)</f>
        <v>0</v>
      </c>
      <c r="G15" s="136" t="n">
        <f aca="false">IF(Calculator!$E$16="YES",IF(A15&lt;Calculator!$G$16,0,MIN(MIN(MOD(A15/Calculator!$F$16,1),1-MOD(A15/Calculator!$F$16,1)),ABS(MOD(A15/Calculator!$F$16,1)-0.5))),1)</f>
        <v>0.096842105263158</v>
      </c>
      <c r="H15" s="136" t="n">
        <f aca="false">IF(Calculator!$E$17="YES",IF(A15&lt;Calculator!$G$17,0,MIN(MIN(MOD(A15/Calculator!$F$17,1),1-MOD(A15/Calculator!$F$17,1)),ABS(MOD(A15/Calculator!$F$17,1)-0.5))),1)</f>
        <v>0.237136842105263</v>
      </c>
      <c r="I15" s="136" t="n">
        <f aca="false">IF(Calculator!$E$18="YES",IF(A15&lt;Calculator!$G$18,0,MIN(MIN(MOD(A15/Calculator!$F$18,1),1-MOD(A15/Calculator!$F$18,1)),ABS(MOD(A15/Calculator!$F$18,1)-0.5))),1)</f>
        <v>0.106315789473684</v>
      </c>
      <c r="J15" s="136" t="n">
        <f aca="false">IF(Calculator!$E$19="YES",IF(A15&lt;Calculator!$G$19,0,MIN(MIN(MOD(A15/Calculator!$F$19,1),1-MOD(A15/Calculator!$F$19,1)),ABS(MOD(A15/Calculator!$F$19,1)-0.5))),1)</f>
        <v>0.0501052631578947</v>
      </c>
      <c r="K15" s="136" t="n">
        <f aca="false">IF(Calculator!$E$20="YES",IF(A15&lt;Calculator!$G$20,0,MIN(MIN(MOD(A15/Calculator!$F$20,1),1-MOD(A15/Calculator!$F$20,1)),ABS(MOD(A15/Calculator!$F$20,1)-0.5))),1)</f>
        <v>0.214736842105263</v>
      </c>
      <c r="L15" s="136" t="n">
        <f aca="false">IF(Calculator!$E$21="YES",IF(A15&lt;Calculator!$G$21,0,MIN(MIN(MOD(A15/Calculator!$F$21,1),1-MOD(A15/Calculator!$F$21,1)),ABS(MOD(A15/Calculator!$F$21,1)-0.5))),1)</f>
        <v>0.189473684210526</v>
      </c>
      <c r="M15" s="136" t="n">
        <f aca="false">MIN(B15:L15)</f>
        <v>0</v>
      </c>
      <c r="N15" s="136" t="n">
        <f aca="false">SUMPRODUCT(($M$5:$M$555&gt;M15)*1)+SUMPRODUCT(($M$5:$M$555=M15)*(ROW($M$5:$M$555)&lt;ROW(M15)))+1</f>
        <v>236</v>
      </c>
      <c r="O15" s="136" t="str">
        <f aca="false">IF(M15&gt;=0.2,"★★★ EXCELLENT",IF(M15&gt;=0.12,"★★  GOOD",IF(M15&gt;=0.07,"★  FAIR",IF(M15&gt;=0.025,"⚠  MARGINAL","✗  AVOID"))))</f>
        <v>✗  AVOID</v>
      </c>
    </row>
    <row r="16" customFormat="false" ht="15" hidden="false" customHeight="false" outlineLevel="0" collapsed="false">
      <c r="A16" s="137" t="n">
        <v>6.1</v>
      </c>
      <c r="B16" s="138" t="n">
        <f aca="false">IF(Calculator!$E$11="YES",IF(A16&lt;Calculator!$G$11,0,MIN(MIN(MOD(A16/Calculator!$F$11,1),1-MOD(A16/Calculator!$F$11,1)),ABS(MOD(A16/Calculator!$F$11,1)-0.5))),1)</f>
        <v>0</v>
      </c>
      <c r="C16" s="138" t="n">
        <f aca="false">IF(Calculator!$E$12="YES",IF(A16&lt;Calculator!$G$12,0,MIN(MIN(MOD(A16/Calculator!$F$12,1),1-MOD(A16/Calculator!$F$12,1)),ABS(MOD(A16/Calculator!$F$12,1)-0.5))),1)</f>
        <v>0</v>
      </c>
      <c r="D16" s="138" t="n">
        <f aca="false">IF(Calculator!$E$13="YES",IF(A16&lt;Calculator!$G$13,0,MIN(MIN(MOD(A16/Calculator!$F$13,1),1-MOD(A16/Calculator!$F$13,1)),ABS(MOD(A16/Calculator!$F$13,1)-0.5))),1)</f>
        <v>0</v>
      </c>
      <c r="E16" s="138" t="n">
        <f aca="false">IF(Calculator!$E$14="YES",IF(A16&lt;Calculator!$G$14,0,MIN(MIN(MOD(A16/Calculator!$F$14,1),1-MOD(A16/Calculator!$F$14,1)),ABS(MOD(A16/Calculator!$F$14,1)-0.5))),1)</f>
        <v>0</v>
      </c>
      <c r="F16" s="138" t="n">
        <f aca="false">IF(Calculator!$E$15="YES",IF(A16&lt;Calculator!$G$15,0,MIN(MIN(MOD(A16/Calculator!$F$15,1),1-MOD(A16/Calculator!$F$15,1)),ABS(MOD(A16/Calculator!$F$15,1)-0.5))),1)</f>
        <v>0</v>
      </c>
      <c r="G16" s="138" t="n">
        <f aca="false">IF(Calculator!$E$16="YES",IF(A16&lt;Calculator!$G$16,0,MIN(MIN(MOD(A16/Calculator!$F$16,1),1-MOD(A16/Calculator!$F$16,1)),ABS(MOD(A16/Calculator!$F$16,1)-0.5))),1)</f>
        <v>0.106789473684211</v>
      </c>
      <c r="H16" s="138" t="n">
        <f aca="false">IF(Calculator!$E$17="YES",IF(A16&lt;Calculator!$G$17,0,MIN(MIN(MOD(A16/Calculator!$F$17,1),1-MOD(A16/Calculator!$F$17,1)),ABS(MOD(A16/Calculator!$F$17,1)-0.5))),1)</f>
        <v>0.224422456140351</v>
      </c>
      <c r="I16" s="138" t="n">
        <f aca="false">IF(Calculator!$E$18="YES",IF(A16&lt;Calculator!$G$18,0,MIN(MIN(MOD(A16/Calculator!$F$18,1),1-MOD(A16/Calculator!$F$18,1)),ABS(MOD(A16/Calculator!$F$18,1)-0.5))),1)</f>
        <v>0.091421052631579</v>
      </c>
      <c r="J16" s="138" t="n">
        <f aca="false">IF(Calculator!$E$19="YES",IF(A16&lt;Calculator!$G$19,0,MIN(MIN(MOD(A16/Calculator!$F$19,1),1-MOD(A16/Calculator!$F$19,1)),ABS(MOD(A16/Calculator!$F$19,1)-0.5))),1)</f>
        <v>0.0676070175438595</v>
      </c>
      <c r="K16" s="138" t="n">
        <f aca="false">IF(Calculator!$E$20="YES",IF(A16&lt;Calculator!$G$20,0,MIN(MIN(MOD(A16/Calculator!$F$20,1),1-MOD(A16/Calculator!$F$20,1)),ABS(MOD(A16/Calculator!$F$20,1)-0.5))),1)</f>
        <v>0.234982456140351</v>
      </c>
      <c r="L16" s="138" t="n">
        <f aca="false">IF(Calculator!$E$21="YES",IF(A16&lt;Calculator!$G$21,0,MIN(MIN(MOD(A16/Calculator!$F$21,1),1-MOD(A16/Calculator!$F$21,1)),ABS(MOD(A16/Calculator!$F$21,1)-0.5))),1)</f>
        <v>0.225964912280701</v>
      </c>
      <c r="M16" s="138" t="n">
        <f aca="false">MIN(B16:L16)</f>
        <v>0</v>
      </c>
      <c r="N16" s="138" t="n">
        <f aca="false">SUMPRODUCT(($M$5:$M$555&gt;M16)*1)+SUMPRODUCT(($M$5:$M$555=M16)*(ROW($M$5:$M$555)&lt;ROW(M16)))+1</f>
        <v>237</v>
      </c>
      <c r="O16" s="138" t="str">
        <f aca="false">IF(M16&gt;=0.2,"★★★ EXCELLENT",IF(M16&gt;=0.12,"★★  GOOD",IF(M16&gt;=0.07,"★  FAIR",IF(M16&gt;=0.025,"⚠  MARGINAL","✗  AVOID"))))</f>
        <v>✗  AVOID</v>
      </c>
    </row>
    <row r="17" customFormat="false" ht="15" hidden="false" customHeight="false" outlineLevel="0" collapsed="false">
      <c r="A17" s="135" t="n">
        <v>6.2</v>
      </c>
      <c r="B17" s="136" t="n">
        <f aca="false">IF(Calculator!$E$11="YES",IF(A17&lt;Calculator!$G$11,0,MIN(MIN(MOD(A17/Calculator!$F$11,1),1-MOD(A17/Calculator!$F$11,1)),ABS(MOD(A17/Calculator!$F$11,1)-0.5))),1)</f>
        <v>0</v>
      </c>
      <c r="C17" s="136" t="n">
        <f aca="false">IF(Calculator!$E$12="YES",IF(A17&lt;Calculator!$G$12,0,MIN(MIN(MOD(A17/Calculator!$F$12,1),1-MOD(A17/Calculator!$F$12,1)),ABS(MOD(A17/Calculator!$F$12,1)-0.5))),1)</f>
        <v>0</v>
      </c>
      <c r="D17" s="136" t="n">
        <f aca="false">IF(Calculator!$E$13="YES",IF(A17&lt;Calculator!$G$13,0,MIN(MIN(MOD(A17/Calculator!$F$13,1),1-MOD(A17/Calculator!$F$13,1)),ABS(MOD(A17/Calculator!$F$13,1)-0.5))),1)</f>
        <v>0</v>
      </c>
      <c r="E17" s="136" t="n">
        <f aca="false">IF(Calculator!$E$14="YES",IF(A17&lt;Calculator!$G$14,0,MIN(MIN(MOD(A17/Calculator!$F$14,1),1-MOD(A17/Calculator!$F$14,1)),ABS(MOD(A17/Calculator!$F$14,1)-0.5))),1)</f>
        <v>0</v>
      </c>
      <c r="F17" s="136" t="n">
        <f aca="false">IF(Calculator!$E$15="YES",IF(A17&lt;Calculator!$G$15,0,MIN(MIN(MOD(A17/Calculator!$F$15,1),1-MOD(A17/Calculator!$F$15,1)),ABS(MOD(A17/Calculator!$F$15,1)-0.5))),1)</f>
        <v>0</v>
      </c>
      <c r="G17" s="136" t="n">
        <f aca="false">IF(Calculator!$E$16="YES",IF(A17&lt;Calculator!$G$16,0,MIN(MIN(MOD(A17/Calculator!$F$16,1),1-MOD(A17/Calculator!$F$16,1)),ABS(MOD(A17/Calculator!$F$16,1)-0.5))),1)</f>
        <v>0.116736842105263</v>
      </c>
      <c r="H17" s="136" t="n">
        <f aca="false">IF(Calculator!$E$17="YES",IF(A17&lt;Calculator!$G$17,0,MIN(MIN(MOD(A17/Calculator!$F$17,1),1-MOD(A17/Calculator!$F$17,1)),ABS(MOD(A17/Calculator!$F$17,1)-0.5))),1)</f>
        <v>0.211708070175438</v>
      </c>
      <c r="I17" s="136" t="n">
        <f aca="false">IF(Calculator!$E$18="YES",IF(A17&lt;Calculator!$G$18,0,MIN(MIN(MOD(A17/Calculator!$F$18,1),1-MOD(A17/Calculator!$F$18,1)),ABS(MOD(A17/Calculator!$F$18,1)-0.5))),1)</f>
        <v>0.0765263157894737</v>
      </c>
      <c r="J17" s="136" t="n">
        <f aca="false">IF(Calculator!$E$19="YES",IF(A17&lt;Calculator!$G$19,0,MIN(MIN(MOD(A17/Calculator!$F$19,1),1-MOD(A17/Calculator!$F$19,1)),ABS(MOD(A17/Calculator!$F$19,1)-0.5))),1)</f>
        <v>0.0851087719298245</v>
      </c>
      <c r="K17" s="136" t="n">
        <f aca="false">IF(Calculator!$E$20="YES",IF(A17&lt;Calculator!$G$20,0,MIN(MIN(MOD(A17/Calculator!$F$20,1),1-MOD(A17/Calculator!$F$20,1)),ABS(MOD(A17/Calculator!$F$20,1)-0.5))),1)</f>
        <v>0.244771929824561</v>
      </c>
      <c r="L17" s="136" t="n">
        <f aca="false">IF(Calculator!$E$21="YES",IF(A17&lt;Calculator!$G$21,0,MIN(MIN(MOD(A17/Calculator!$F$21,1),1-MOD(A17/Calculator!$F$21,1)),ABS(MOD(A17/Calculator!$F$21,1)-0.5))),1)</f>
        <v>0.237543859649123</v>
      </c>
      <c r="M17" s="136" t="n">
        <f aca="false">MIN(B17:L17)</f>
        <v>0</v>
      </c>
      <c r="N17" s="136" t="n">
        <f aca="false">SUMPRODUCT(($M$5:$M$555&gt;M17)*1)+SUMPRODUCT(($M$5:$M$555=M17)*(ROW($M$5:$M$555)&lt;ROW(M17)))+1</f>
        <v>238</v>
      </c>
      <c r="O17" s="136" t="str">
        <f aca="false">IF(M17&gt;=0.2,"★★★ EXCELLENT",IF(M17&gt;=0.12,"★★  GOOD",IF(M17&gt;=0.07,"★  FAIR",IF(M17&gt;=0.025,"⚠  MARGINAL","✗  AVOID"))))</f>
        <v>✗  AVOID</v>
      </c>
    </row>
    <row r="18" customFormat="false" ht="15" hidden="false" customHeight="false" outlineLevel="0" collapsed="false">
      <c r="A18" s="137" t="n">
        <v>6.3</v>
      </c>
      <c r="B18" s="138" t="n">
        <f aca="false">IF(Calculator!$E$11="YES",IF(A18&lt;Calculator!$G$11,0,MIN(MIN(MOD(A18/Calculator!$F$11,1),1-MOD(A18/Calculator!$F$11,1)),ABS(MOD(A18/Calculator!$F$11,1)-0.5))),1)</f>
        <v>0</v>
      </c>
      <c r="C18" s="138" t="n">
        <f aca="false">IF(Calculator!$E$12="YES",IF(A18&lt;Calculator!$G$12,0,MIN(MIN(MOD(A18/Calculator!$F$12,1),1-MOD(A18/Calculator!$F$12,1)),ABS(MOD(A18/Calculator!$F$12,1)-0.5))),1)</f>
        <v>0</v>
      </c>
      <c r="D18" s="138" t="n">
        <f aca="false">IF(Calculator!$E$13="YES",IF(A18&lt;Calculator!$G$13,0,MIN(MIN(MOD(A18/Calculator!$F$13,1),1-MOD(A18/Calculator!$F$13,1)),ABS(MOD(A18/Calculator!$F$13,1)-0.5))),1)</f>
        <v>0</v>
      </c>
      <c r="E18" s="138" t="n">
        <f aca="false">IF(Calculator!$E$14="YES",IF(A18&lt;Calculator!$G$14,0,MIN(MIN(MOD(A18/Calculator!$F$14,1),1-MOD(A18/Calculator!$F$14,1)),ABS(MOD(A18/Calculator!$F$14,1)-0.5))),1)</f>
        <v>0</v>
      </c>
      <c r="F18" s="138" t="n">
        <f aca="false">IF(Calculator!$E$15="YES",IF(A18&lt;Calculator!$G$15,0,MIN(MIN(MOD(A18/Calculator!$F$15,1),1-MOD(A18/Calculator!$F$15,1)),ABS(MOD(A18/Calculator!$F$15,1)-0.5))),1)</f>
        <v>0</v>
      </c>
      <c r="G18" s="138" t="n">
        <f aca="false">IF(Calculator!$E$16="YES",IF(A18&lt;Calculator!$G$16,0,MIN(MIN(MOD(A18/Calculator!$F$16,1),1-MOD(A18/Calculator!$F$16,1)),ABS(MOD(A18/Calculator!$F$16,1)-0.5))),1)</f>
        <v>0.126684210526316</v>
      </c>
      <c r="H18" s="138" t="n">
        <f aca="false">IF(Calculator!$E$17="YES",IF(A18&lt;Calculator!$G$17,0,MIN(MIN(MOD(A18/Calculator!$F$17,1),1-MOD(A18/Calculator!$F$17,1)),ABS(MOD(A18/Calculator!$F$17,1)-0.5))),1)</f>
        <v>0.198993684210526</v>
      </c>
      <c r="I18" s="138" t="n">
        <f aca="false">IF(Calculator!$E$18="YES",IF(A18&lt;Calculator!$G$18,0,MIN(MIN(MOD(A18/Calculator!$F$18,1),1-MOD(A18/Calculator!$F$18,1)),ABS(MOD(A18/Calculator!$F$18,1)-0.5))),1)</f>
        <v>0.0616315789473684</v>
      </c>
      <c r="J18" s="138" t="n">
        <f aca="false">IF(Calculator!$E$19="YES",IF(A18&lt;Calculator!$G$19,0,MIN(MIN(MOD(A18/Calculator!$F$19,1),1-MOD(A18/Calculator!$F$19,1)),ABS(MOD(A18/Calculator!$F$19,1)-0.5))),1)</f>
        <v>0.102610526315789</v>
      </c>
      <c r="K18" s="138" t="n">
        <f aca="false">IF(Calculator!$E$20="YES",IF(A18&lt;Calculator!$G$20,0,MIN(MIN(MOD(A18/Calculator!$F$20,1),1-MOD(A18/Calculator!$F$20,1)),ABS(MOD(A18/Calculator!$F$20,1)-0.5))),1)</f>
        <v>0.224526315789474</v>
      </c>
      <c r="L18" s="138" t="n">
        <f aca="false">IF(Calculator!$E$21="YES",IF(A18&lt;Calculator!$G$21,0,MIN(MIN(MOD(A18/Calculator!$F$21,1),1-MOD(A18/Calculator!$F$21,1)),ABS(MOD(A18/Calculator!$F$21,1)-0.5))),1)</f>
        <v>0.201052631578948</v>
      </c>
      <c r="M18" s="138" t="n">
        <f aca="false">MIN(B18:L18)</f>
        <v>0</v>
      </c>
      <c r="N18" s="138" t="n">
        <f aca="false">SUMPRODUCT(($M$5:$M$555&gt;M18)*1)+SUMPRODUCT(($M$5:$M$555=M18)*(ROW($M$5:$M$555)&lt;ROW(M18)))+1</f>
        <v>239</v>
      </c>
      <c r="O18" s="138" t="str">
        <f aca="false">IF(M18&gt;=0.2,"★★★ EXCELLENT",IF(M18&gt;=0.12,"★★  GOOD",IF(M18&gt;=0.07,"★  FAIR",IF(M18&gt;=0.025,"⚠  MARGINAL","✗  AVOID"))))</f>
        <v>✗  AVOID</v>
      </c>
    </row>
    <row r="19" customFormat="false" ht="15" hidden="false" customHeight="false" outlineLevel="0" collapsed="false">
      <c r="A19" s="135" t="n">
        <v>6.4</v>
      </c>
      <c r="B19" s="136" t="n">
        <f aca="false">IF(Calculator!$E$11="YES",IF(A19&lt;Calculator!$G$11,0,MIN(MIN(MOD(A19/Calculator!$F$11,1),1-MOD(A19/Calculator!$F$11,1)),ABS(MOD(A19/Calculator!$F$11,1)-0.5))),1)</f>
        <v>0</v>
      </c>
      <c r="C19" s="136" t="n">
        <f aca="false">IF(Calculator!$E$12="YES",IF(A19&lt;Calculator!$G$12,0,MIN(MIN(MOD(A19/Calculator!$F$12,1),1-MOD(A19/Calculator!$F$12,1)),ABS(MOD(A19/Calculator!$F$12,1)-0.5))),1)</f>
        <v>0</v>
      </c>
      <c r="D19" s="136" t="n">
        <f aca="false">IF(Calculator!$E$13="YES",IF(A19&lt;Calculator!$G$13,0,MIN(MIN(MOD(A19/Calculator!$F$13,1),1-MOD(A19/Calculator!$F$13,1)),ABS(MOD(A19/Calculator!$F$13,1)-0.5))),1)</f>
        <v>0</v>
      </c>
      <c r="E19" s="136" t="n">
        <f aca="false">IF(Calculator!$E$14="YES",IF(A19&lt;Calculator!$G$14,0,MIN(MIN(MOD(A19/Calculator!$F$14,1),1-MOD(A19/Calculator!$F$14,1)),ABS(MOD(A19/Calculator!$F$14,1)-0.5))),1)</f>
        <v>0</v>
      </c>
      <c r="F19" s="136" t="n">
        <f aca="false">IF(Calculator!$E$15="YES",IF(A19&lt;Calculator!$G$15,0,MIN(MIN(MOD(A19/Calculator!$F$15,1),1-MOD(A19/Calculator!$F$15,1)),ABS(MOD(A19/Calculator!$F$15,1)-0.5))),1)</f>
        <v>0</v>
      </c>
      <c r="G19" s="136" t="n">
        <f aca="false">IF(Calculator!$E$16="YES",IF(A19&lt;Calculator!$G$16,0,MIN(MIN(MOD(A19/Calculator!$F$16,1),1-MOD(A19/Calculator!$F$16,1)),ABS(MOD(A19/Calculator!$F$16,1)-0.5))),1)</f>
        <v>0.136631578947369</v>
      </c>
      <c r="H19" s="136" t="n">
        <f aca="false">IF(Calculator!$E$17="YES",IF(A19&lt;Calculator!$G$17,0,MIN(MIN(MOD(A19/Calculator!$F$17,1),1-MOD(A19/Calculator!$F$17,1)),ABS(MOD(A19/Calculator!$F$17,1)-0.5))),1)</f>
        <v>0.186279298245614</v>
      </c>
      <c r="I19" s="136" t="n">
        <f aca="false">IF(Calculator!$E$18="YES",IF(A19&lt;Calculator!$G$18,0,MIN(MIN(MOD(A19/Calculator!$F$18,1),1-MOD(A19/Calculator!$F$18,1)),ABS(MOD(A19/Calculator!$F$18,1)-0.5))),1)</f>
        <v>0.0467368421052631</v>
      </c>
      <c r="J19" s="136" t="n">
        <f aca="false">IF(Calculator!$E$19="YES",IF(A19&lt;Calculator!$G$19,0,MIN(MIN(MOD(A19/Calculator!$F$19,1),1-MOD(A19/Calculator!$F$19,1)),ABS(MOD(A19/Calculator!$F$19,1)-0.5))),1)</f>
        <v>0.120112280701754</v>
      </c>
      <c r="K19" s="136" t="n">
        <f aca="false">IF(Calculator!$E$20="YES",IF(A19&lt;Calculator!$G$20,0,MIN(MIN(MOD(A19/Calculator!$F$20,1),1-MOD(A19/Calculator!$F$20,1)),ABS(MOD(A19/Calculator!$F$20,1)-0.5))),1)</f>
        <v>0.204280701754386</v>
      </c>
      <c r="L19" s="136" t="n">
        <f aca="false">IF(Calculator!$E$21="YES",IF(A19&lt;Calculator!$G$21,0,MIN(MIN(MOD(A19/Calculator!$F$21,1),1-MOD(A19/Calculator!$F$21,1)),ABS(MOD(A19/Calculator!$F$21,1)-0.5))),1)</f>
        <v>0.164561403508772</v>
      </c>
      <c r="M19" s="136" t="n">
        <f aca="false">MIN(B19:L19)</f>
        <v>0</v>
      </c>
      <c r="N19" s="136" t="n">
        <f aca="false">SUMPRODUCT(($M$5:$M$555&gt;M19)*1)+SUMPRODUCT(($M$5:$M$555=M19)*(ROW($M$5:$M$555)&lt;ROW(M19)))+1</f>
        <v>240</v>
      </c>
      <c r="O19" s="136" t="str">
        <f aca="false">IF(M19&gt;=0.2,"★★★ EXCELLENT",IF(M19&gt;=0.12,"★★  GOOD",IF(M19&gt;=0.07,"★  FAIR",IF(M19&gt;=0.025,"⚠  MARGINAL","✗  AVOID"))))</f>
        <v>✗  AVOID</v>
      </c>
    </row>
    <row r="20" customFormat="false" ht="15" hidden="false" customHeight="false" outlineLevel="0" collapsed="false">
      <c r="A20" s="137" t="n">
        <v>6.5</v>
      </c>
      <c r="B20" s="138" t="n">
        <f aca="false">IF(Calculator!$E$11="YES",IF(A20&lt;Calculator!$G$11,0,MIN(MIN(MOD(A20/Calculator!$F$11,1),1-MOD(A20/Calculator!$F$11,1)),ABS(MOD(A20/Calculator!$F$11,1)-0.5))),1)</f>
        <v>0</v>
      </c>
      <c r="C20" s="138" t="n">
        <f aca="false">IF(Calculator!$E$12="YES",IF(A20&lt;Calculator!$G$12,0,MIN(MIN(MOD(A20/Calculator!$F$12,1),1-MOD(A20/Calculator!$F$12,1)),ABS(MOD(A20/Calculator!$F$12,1)-0.5))),1)</f>
        <v>0</v>
      </c>
      <c r="D20" s="138" t="n">
        <f aca="false">IF(Calculator!$E$13="YES",IF(A20&lt;Calculator!$G$13,0,MIN(MIN(MOD(A20/Calculator!$F$13,1),1-MOD(A20/Calculator!$F$13,1)),ABS(MOD(A20/Calculator!$F$13,1)-0.5))),1)</f>
        <v>0</v>
      </c>
      <c r="E20" s="138" t="n">
        <f aca="false">IF(Calculator!$E$14="YES",IF(A20&lt;Calculator!$G$14,0,MIN(MIN(MOD(A20/Calculator!$F$14,1),1-MOD(A20/Calculator!$F$14,1)),ABS(MOD(A20/Calculator!$F$14,1)-0.5))),1)</f>
        <v>0</v>
      </c>
      <c r="F20" s="138" t="n">
        <f aca="false">IF(Calculator!$E$15="YES",IF(A20&lt;Calculator!$G$15,0,MIN(MIN(MOD(A20/Calculator!$F$15,1),1-MOD(A20/Calculator!$F$15,1)),ABS(MOD(A20/Calculator!$F$15,1)-0.5))),1)</f>
        <v>0</v>
      </c>
      <c r="G20" s="138" t="n">
        <f aca="false">IF(Calculator!$E$16="YES",IF(A20&lt;Calculator!$G$16,0,MIN(MIN(MOD(A20/Calculator!$F$16,1),1-MOD(A20/Calculator!$F$16,1)),ABS(MOD(A20/Calculator!$F$16,1)-0.5))),1)</f>
        <v>0.146578947368421</v>
      </c>
      <c r="H20" s="138" t="n">
        <f aca="false">IF(Calculator!$E$17="YES",IF(A20&lt;Calculator!$G$17,0,MIN(MIN(MOD(A20/Calculator!$F$17,1),1-MOD(A20/Calculator!$F$17,1)),ABS(MOD(A20/Calculator!$F$17,1)-0.5))),1)</f>
        <v>0.173564912280702</v>
      </c>
      <c r="I20" s="138" t="n">
        <f aca="false">IF(Calculator!$E$18="YES",IF(A20&lt;Calculator!$G$18,0,MIN(MIN(MOD(A20/Calculator!$F$18,1),1-MOD(A20/Calculator!$F$18,1)),ABS(MOD(A20/Calculator!$F$18,1)-0.5))),1)</f>
        <v>0.0318421052631579</v>
      </c>
      <c r="J20" s="138" t="n">
        <f aca="false">IF(Calculator!$E$19="YES",IF(A20&lt;Calculator!$G$19,0,MIN(MIN(MOD(A20/Calculator!$F$19,1),1-MOD(A20/Calculator!$F$19,1)),ABS(MOD(A20/Calculator!$F$19,1)-0.5))),1)</f>
        <v>0.137614035087719</v>
      </c>
      <c r="K20" s="138" t="n">
        <f aca="false">IF(Calculator!$E$20="YES",IF(A20&lt;Calculator!$G$20,0,MIN(MIN(MOD(A20/Calculator!$F$20,1),1-MOD(A20/Calculator!$F$20,1)),ABS(MOD(A20/Calculator!$F$20,1)-0.5))),1)</f>
        <v>0.184035087719298</v>
      </c>
      <c r="L20" s="138" t="n">
        <f aca="false">IF(Calculator!$E$21="YES",IF(A20&lt;Calculator!$G$21,0,MIN(MIN(MOD(A20/Calculator!$F$21,1),1-MOD(A20/Calculator!$F$21,1)),ABS(MOD(A20/Calculator!$F$21,1)-0.5))),1)</f>
        <v>0.128070175438597</v>
      </c>
      <c r="M20" s="138" t="n">
        <f aca="false">MIN(B20:L20)</f>
        <v>0</v>
      </c>
      <c r="N20" s="138" t="n">
        <f aca="false">SUMPRODUCT(($M$5:$M$555&gt;M20)*1)+SUMPRODUCT(($M$5:$M$555=M20)*(ROW($M$5:$M$555)&lt;ROW(M20)))+1</f>
        <v>241</v>
      </c>
      <c r="O20" s="138" t="str">
        <f aca="false">IF(M20&gt;=0.2,"★★★ EXCELLENT",IF(M20&gt;=0.12,"★★  GOOD",IF(M20&gt;=0.07,"★  FAIR",IF(M20&gt;=0.025,"⚠  MARGINAL","✗  AVOID"))))</f>
        <v>✗  AVOID</v>
      </c>
    </row>
    <row r="21" customFormat="false" ht="15" hidden="false" customHeight="false" outlineLevel="0" collapsed="false">
      <c r="A21" s="135" t="n">
        <v>6.6</v>
      </c>
      <c r="B21" s="136" t="n">
        <f aca="false">IF(Calculator!$E$11="YES",IF(A21&lt;Calculator!$G$11,0,MIN(MIN(MOD(A21/Calculator!$F$11,1),1-MOD(A21/Calculator!$F$11,1)),ABS(MOD(A21/Calculator!$F$11,1)-0.5))),1)</f>
        <v>0</v>
      </c>
      <c r="C21" s="136" t="n">
        <f aca="false">IF(Calculator!$E$12="YES",IF(A21&lt;Calculator!$G$12,0,MIN(MIN(MOD(A21/Calculator!$F$12,1),1-MOD(A21/Calculator!$F$12,1)),ABS(MOD(A21/Calculator!$F$12,1)-0.5))),1)</f>
        <v>0</v>
      </c>
      <c r="D21" s="136" t="n">
        <f aca="false">IF(Calculator!$E$13="YES",IF(A21&lt;Calculator!$G$13,0,MIN(MIN(MOD(A21/Calculator!$F$13,1),1-MOD(A21/Calculator!$F$13,1)),ABS(MOD(A21/Calculator!$F$13,1)-0.5))),1)</f>
        <v>0</v>
      </c>
      <c r="E21" s="136" t="n">
        <f aca="false">IF(Calculator!$E$14="YES",IF(A21&lt;Calculator!$G$14,0,MIN(MIN(MOD(A21/Calculator!$F$14,1),1-MOD(A21/Calculator!$F$14,1)),ABS(MOD(A21/Calculator!$F$14,1)-0.5))),1)</f>
        <v>0</v>
      </c>
      <c r="F21" s="136" t="n">
        <f aca="false">IF(Calculator!$E$15="YES",IF(A21&lt;Calculator!$G$15,0,MIN(MIN(MOD(A21/Calculator!$F$15,1),1-MOD(A21/Calculator!$F$15,1)),ABS(MOD(A21/Calculator!$F$15,1)-0.5))),1)</f>
        <v>0</v>
      </c>
      <c r="G21" s="136" t="n">
        <f aca="false">IF(Calculator!$E$16="YES",IF(A21&lt;Calculator!$G$16,0,MIN(MIN(MOD(A21/Calculator!$F$16,1),1-MOD(A21/Calculator!$F$16,1)),ABS(MOD(A21/Calculator!$F$16,1)-0.5))),1)</f>
        <v>0.156526315789474</v>
      </c>
      <c r="H21" s="136" t="n">
        <f aca="false">IF(Calculator!$E$17="YES",IF(A21&lt;Calculator!$G$17,0,MIN(MIN(MOD(A21/Calculator!$F$17,1),1-MOD(A21/Calculator!$F$17,1)),ABS(MOD(A21/Calculator!$F$17,1)-0.5))),1)</f>
        <v>0.160850526315789</v>
      </c>
      <c r="I21" s="136" t="n">
        <f aca="false">IF(Calculator!$E$18="YES",IF(A21&lt;Calculator!$G$18,0,MIN(MIN(MOD(A21/Calculator!$F$18,1),1-MOD(A21/Calculator!$F$18,1)),ABS(MOD(A21/Calculator!$F$18,1)-0.5))),1)</f>
        <v>0.0169473684210526</v>
      </c>
      <c r="J21" s="136" t="n">
        <f aca="false">IF(Calculator!$E$19="YES",IF(A21&lt;Calculator!$G$19,0,MIN(MIN(MOD(A21/Calculator!$F$19,1),1-MOD(A21/Calculator!$F$19,1)),ABS(MOD(A21/Calculator!$F$19,1)-0.5))),1)</f>
        <v>0.155115789473684</v>
      </c>
      <c r="K21" s="136" t="n">
        <f aca="false">IF(Calculator!$E$20="YES",IF(A21&lt;Calculator!$G$20,0,MIN(MIN(MOD(A21/Calculator!$F$20,1),1-MOD(A21/Calculator!$F$20,1)),ABS(MOD(A21/Calculator!$F$20,1)-0.5))),1)</f>
        <v>0.163789473684211</v>
      </c>
      <c r="L21" s="136" t="n">
        <f aca="false">IF(Calculator!$E$21="YES",IF(A21&lt;Calculator!$G$21,0,MIN(MIN(MOD(A21/Calculator!$F$21,1),1-MOD(A21/Calculator!$F$21,1)),ABS(MOD(A21/Calculator!$F$21,1)-0.5))),1)</f>
        <v>0.0915789473684212</v>
      </c>
      <c r="M21" s="136" t="n">
        <f aca="false">MIN(B21:L21)</f>
        <v>0</v>
      </c>
      <c r="N21" s="136" t="n">
        <f aca="false">SUMPRODUCT(($M$5:$M$555&gt;M21)*1)+SUMPRODUCT(($M$5:$M$555=M21)*(ROW($M$5:$M$555)&lt;ROW(M21)))+1</f>
        <v>242</v>
      </c>
      <c r="O21" s="136" t="str">
        <f aca="false">IF(M21&gt;=0.2,"★★★ EXCELLENT",IF(M21&gt;=0.12,"★★  GOOD",IF(M21&gt;=0.07,"★  FAIR",IF(M21&gt;=0.025,"⚠  MARGINAL","✗  AVOID"))))</f>
        <v>✗  AVOID</v>
      </c>
    </row>
    <row r="22" customFormat="false" ht="15" hidden="false" customHeight="false" outlineLevel="0" collapsed="false">
      <c r="A22" s="137" t="n">
        <v>6.7</v>
      </c>
      <c r="B22" s="138" t="n">
        <f aca="false">IF(Calculator!$E$11="YES",IF(A22&lt;Calculator!$G$11,0,MIN(MIN(MOD(A22/Calculator!$F$11,1),1-MOD(A22/Calculator!$F$11,1)),ABS(MOD(A22/Calculator!$F$11,1)-0.5))),1)</f>
        <v>0</v>
      </c>
      <c r="C22" s="138" t="n">
        <f aca="false">IF(Calculator!$E$12="YES",IF(A22&lt;Calculator!$G$12,0,MIN(MIN(MOD(A22/Calculator!$F$12,1),1-MOD(A22/Calculator!$F$12,1)),ABS(MOD(A22/Calculator!$F$12,1)-0.5))),1)</f>
        <v>0</v>
      </c>
      <c r="D22" s="138" t="n">
        <f aca="false">IF(Calculator!$E$13="YES",IF(A22&lt;Calculator!$G$13,0,MIN(MIN(MOD(A22/Calculator!$F$13,1),1-MOD(A22/Calculator!$F$13,1)),ABS(MOD(A22/Calculator!$F$13,1)-0.5))),1)</f>
        <v>0</v>
      </c>
      <c r="E22" s="138" t="n">
        <f aca="false">IF(Calculator!$E$14="YES",IF(A22&lt;Calculator!$G$14,0,MIN(MIN(MOD(A22/Calculator!$F$14,1),1-MOD(A22/Calculator!$F$14,1)),ABS(MOD(A22/Calculator!$F$14,1)-0.5))),1)</f>
        <v>0</v>
      </c>
      <c r="F22" s="138" t="n">
        <f aca="false">IF(Calculator!$E$15="YES",IF(A22&lt;Calculator!$G$15,0,MIN(MIN(MOD(A22/Calculator!$F$15,1),1-MOD(A22/Calculator!$F$15,1)),ABS(MOD(A22/Calculator!$F$15,1)-0.5))),1)</f>
        <v>0</v>
      </c>
      <c r="G22" s="138" t="n">
        <f aca="false">IF(Calculator!$E$16="YES",IF(A22&lt;Calculator!$G$16,0,MIN(MIN(MOD(A22/Calculator!$F$16,1),1-MOD(A22/Calculator!$F$16,1)),ABS(MOD(A22/Calculator!$F$16,1)-0.5))),1)</f>
        <v>0.166473684210526</v>
      </c>
      <c r="H22" s="138" t="n">
        <f aca="false">IF(Calculator!$E$17="YES",IF(A22&lt;Calculator!$G$17,0,MIN(MIN(MOD(A22/Calculator!$F$17,1),1-MOD(A22/Calculator!$F$17,1)),ABS(MOD(A22/Calculator!$F$17,1)-0.5))),1)</f>
        <v>0.148136140350877</v>
      </c>
      <c r="I22" s="138" t="n">
        <f aca="false">IF(Calculator!$E$18="YES",IF(A22&lt;Calculator!$G$18,0,MIN(MIN(MOD(A22/Calculator!$F$18,1),1-MOD(A22/Calculator!$F$18,1)),ABS(MOD(A22/Calculator!$F$18,1)-0.5))),1)</f>
        <v>0.00205263157894731</v>
      </c>
      <c r="J22" s="138" t="n">
        <f aca="false">IF(Calculator!$E$19="YES",IF(A22&lt;Calculator!$G$19,0,MIN(MIN(MOD(A22/Calculator!$F$19,1),1-MOD(A22/Calculator!$F$19,1)),ABS(MOD(A22/Calculator!$F$19,1)-0.5))),1)</f>
        <v>0.172617543859649</v>
      </c>
      <c r="K22" s="138" t="n">
        <f aca="false">IF(Calculator!$E$20="YES",IF(A22&lt;Calculator!$G$20,0,MIN(MIN(MOD(A22/Calculator!$F$20,1),1-MOD(A22/Calculator!$F$20,1)),ABS(MOD(A22/Calculator!$F$20,1)-0.5))),1)</f>
        <v>0.143543859649123</v>
      </c>
      <c r="L22" s="138" t="n">
        <f aca="false">IF(Calculator!$E$21="YES",IF(A22&lt;Calculator!$G$21,0,MIN(MIN(MOD(A22/Calculator!$F$21,1),1-MOD(A22/Calculator!$F$21,1)),ABS(MOD(A22/Calculator!$F$21,1)-0.5))),1)</f>
        <v>0.0550877192982457</v>
      </c>
      <c r="M22" s="138" t="n">
        <f aca="false">MIN(B22:L22)</f>
        <v>0</v>
      </c>
      <c r="N22" s="138" t="n">
        <f aca="false">SUMPRODUCT(($M$5:$M$555&gt;M22)*1)+SUMPRODUCT(($M$5:$M$555=M22)*(ROW($M$5:$M$555)&lt;ROW(M22)))+1</f>
        <v>243</v>
      </c>
      <c r="O22" s="138" t="str">
        <f aca="false">IF(M22&gt;=0.2,"★★★ EXCELLENT",IF(M22&gt;=0.12,"★★  GOOD",IF(M22&gt;=0.07,"★  FAIR",IF(M22&gt;=0.025,"⚠  MARGINAL","✗  AVOID"))))</f>
        <v>✗  AVOID</v>
      </c>
    </row>
    <row r="23" customFormat="false" ht="15" hidden="false" customHeight="false" outlineLevel="0" collapsed="false">
      <c r="A23" s="135" t="n">
        <v>6.8</v>
      </c>
      <c r="B23" s="136" t="n">
        <f aca="false">IF(Calculator!$E$11="YES",IF(A23&lt;Calculator!$G$11,0,MIN(MIN(MOD(A23/Calculator!$F$11,1),1-MOD(A23/Calculator!$F$11,1)),ABS(MOD(A23/Calculator!$F$11,1)-0.5))),1)</f>
        <v>0</v>
      </c>
      <c r="C23" s="136" t="n">
        <f aca="false">IF(Calculator!$E$12="YES",IF(A23&lt;Calculator!$G$12,0,MIN(MIN(MOD(A23/Calculator!$F$12,1),1-MOD(A23/Calculator!$F$12,1)),ABS(MOD(A23/Calculator!$F$12,1)-0.5))),1)</f>
        <v>0</v>
      </c>
      <c r="D23" s="136" t="n">
        <f aca="false">IF(Calculator!$E$13="YES",IF(A23&lt;Calculator!$G$13,0,MIN(MIN(MOD(A23/Calculator!$F$13,1),1-MOD(A23/Calculator!$F$13,1)),ABS(MOD(A23/Calculator!$F$13,1)-0.5))),1)</f>
        <v>0</v>
      </c>
      <c r="E23" s="136" t="n">
        <f aca="false">IF(Calculator!$E$14="YES",IF(A23&lt;Calculator!$G$14,0,MIN(MIN(MOD(A23/Calculator!$F$14,1),1-MOD(A23/Calculator!$F$14,1)),ABS(MOD(A23/Calculator!$F$14,1)-0.5))),1)</f>
        <v>0</v>
      </c>
      <c r="F23" s="136" t="n">
        <f aca="false">IF(Calculator!$E$15="YES",IF(A23&lt;Calculator!$G$15,0,MIN(MIN(MOD(A23/Calculator!$F$15,1),1-MOD(A23/Calculator!$F$15,1)),ABS(MOD(A23/Calculator!$F$15,1)-0.5))),1)</f>
        <v>0</v>
      </c>
      <c r="G23" s="136" t="n">
        <f aca="false">IF(Calculator!$E$16="YES",IF(A23&lt;Calculator!$G$16,0,MIN(MIN(MOD(A23/Calculator!$F$16,1),1-MOD(A23/Calculator!$F$16,1)),ABS(MOD(A23/Calculator!$F$16,1)-0.5))),1)</f>
        <v>0.176421052631579</v>
      </c>
      <c r="H23" s="136" t="n">
        <f aca="false">IF(Calculator!$E$17="YES",IF(A23&lt;Calculator!$G$17,0,MIN(MIN(MOD(A23/Calculator!$F$17,1),1-MOD(A23/Calculator!$F$17,1)),ABS(MOD(A23/Calculator!$F$17,1)-0.5))),1)</f>
        <v>0.135421754385965</v>
      </c>
      <c r="I23" s="136" t="n">
        <f aca="false">IF(Calculator!$E$18="YES",IF(A23&lt;Calculator!$G$18,0,MIN(MIN(MOD(A23/Calculator!$F$18,1),1-MOD(A23/Calculator!$F$18,1)),ABS(MOD(A23/Calculator!$F$18,1)-0.5))),1)</f>
        <v>0.012842105263158</v>
      </c>
      <c r="J23" s="136" t="n">
        <f aca="false">IF(Calculator!$E$19="YES",IF(A23&lt;Calculator!$G$19,0,MIN(MIN(MOD(A23/Calculator!$F$19,1),1-MOD(A23/Calculator!$F$19,1)),ABS(MOD(A23/Calculator!$F$19,1)-0.5))),1)</f>
        <v>0.190119298245614</v>
      </c>
      <c r="K23" s="136" t="n">
        <f aca="false">IF(Calculator!$E$20="YES",IF(A23&lt;Calculator!$G$20,0,MIN(MIN(MOD(A23/Calculator!$F$20,1),1-MOD(A23/Calculator!$F$20,1)),ABS(MOD(A23/Calculator!$F$20,1)-0.5))),1)</f>
        <v>0.123298245614035</v>
      </c>
      <c r="L23" s="136" t="n">
        <f aca="false">IF(Calculator!$E$21="YES",IF(A23&lt;Calculator!$G$21,0,MIN(MIN(MOD(A23/Calculator!$F$21,1),1-MOD(A23/Calculator!$F$21,1)),ABS(MOD(A23/Calculator!$F$21,1)-0.5))),1)</f>
        <v>0.0185964912280703</v>
      </c>
      <c r="M23" s="136" t="n">
        <f aca="false">MIN(B23:L23)</f>
        <v>0</v>
      </c>
      <c r="N23" s="136" t="n">
        <f aca="false">SUMPRODUCT(($M$5:$M$555&gt;M23)*1)+SUMPRODUCT(($M$5:$M$555=M23)*(ROW($M$5:$M$555)&lt;ROW(M23)))+1</f>
        <v>244</v>
      </c>
      <c r="O23" s="136" t="str">
        <f aca="false">IF(M23&gt;=0.2,"★★★ EXCELLENT",IF(M23&gt;=0.12,"★★  GOOD",IF(M23&gt;=0.07,"★  FAIR",IF(M23&gt;=0.025,"⚠  MARGINAL","✗  AVOID"))))</f>
        <v>✗  AVOID</v>
      </c>
    </row>
    <row r="24" customFormat="false" ht="15" hidden="false" customHeight="false" outlineLevel="0" collapsed="false">
      <c r="A24" s="137" t="n">
        <v>6.9</v>
      </c>
      <c r="B24" s="138" t="n">
        <f aca="false">IF(Calculator!$E$11="YES",IF(A24&lt;Calculator!$G$11,0,MIN(MIN(MOD(A24/Calculator!$F$11,1),1-MOD(A24/Calculator!$F$11,1)),ABS(MOD(A24/Calculator!$F$11,1)-0.5))),1)</f>
        <v>0</v>
      </c>
      <c r="C24" s="138" t="n">
        <f aca="false">IF(Calculator!$E$12="YES",IF(A24&lt;Calculator!$G$12,0,MIN(MIN(MOD(A24/Calculator!$F$12,1),1-MOD(A24/Calculator!$F$12,1)),ABS(MOD(A24/Calculator!$F$12,1)-0.5))),1)</f>
        <v>0</v>
      </c>
      <c r="D24" s="138" t="n">
        <f aca="false">IF(Calculator!$E$13="YES",IF(A24&lt;Calculator!$G$13,0,MIN(MIN(MOD(A24/Calculator!$F$13,1),1-MOD(A24/Calculator!$F$13,1)),ABS(MOD(A24/Calculator!$F$13,1)-0.5))),1)</f>
        <v>0</v>
      </c>
      <c r="E24" s="138" t="n">
        <f aca="false">IF(Calculator!$E$14="YES",IF(A24&lt;Calculator!$G$14,0,MIN(MIN(MOD(A24/Calculator!$F$14,1),1-MOD(A24/Calculator!$F$14,1)),ABS(MOD(A24/Calculator!$F$14,1)-0.5))),1)</f>
        <v>0</v>
      </c>
      <c r="F24" s="138" t="n">
        <f aca="false">IF(Calculator!$E$15="YES",IF(A24&lt;Calculator!$G$15,0,MIN(MIN(MOD(A24/Calculator!$F$15,1),1-MOD(A24/Calculator!$F$15,1)),ABS(MOD(A24/Calculator!$F$15,1)-0.5))),1)</f>
        <v>0</v>
      </c>
      <c r="G24" s="138" t="n">
        <f aca="false">IF(Calculator!$E$16="YES",IF(A24&lt;Calculator!$G$16,0,MIN(MIN(MOD(A24/Calculator!$F$16,1),1-MOD(A24/Calculator!$F$16,1)),ABS(MOD(A24/Calculator!$F$16,1)-0.5))),1)</f>
        <v>0.186368421052632</v>
      </c>
      <c r="H24" s="138" t="n">
        <f aca="false">IF(Calculator!$E$17="YES",IF(A24&lt;Calculator!$G$17,0,MIN(MIN(MOD(A24/Calculator!$F$17,1),1-MOD(A24/Calculator!$F$17,1)),ABS(MOD(A24/Calculator!$F$17,1)-0.5))),1)</f>
        <v>0.122707368421052</v>
      </c>
      <c r="I24" s="138" t="n">
        <f aca="false">IF(Calculator!$E$18="YES",IF(A24&lt;Calculator!$G$18,0,MIN(MIN(MOD(A24/Calculator!$F$18,1),1-MOD(A24/Calculator!$F$18,1)),ABS(MOD(A24/Calculator!$F$18,1)-0.5))),1)</f>
        <v>0.0277368421052633</v>
      </c>
      <c r="J24" s="138" t="n">
        <f aca="false">IF(Calculator!$E$19="YES",IF(A24&lt;Calculator!$G$19,0,MIN(MIN(MOD(A24/Calculator!$F$19,1),1-MOD(A24/Calculator!$F$19,1)),ABS(MOD(A24/Calculator!$F$19,1)-0.5))),1)</f>
        <v>0.207621052631579</v>
      </c>
      <c r="K24" s="138" t="n">
        <f aca="false">IF(Calculator!$E$20="YES",IF(A24&lt;Calculator!$G$20,0,MIN(MIN(MOD(A24/Calculator!$F$20,1),1-MOD(A24/Calculator!$F$20,1)),ABS(MOD(A24/Calculator!$F$20,1)-0.5))),1)</f>
        <v>0.103052631578947</v>
      </c>
      <c r="L24" s="138" t="n">
        <f aca="false">IF(Calculator!$E$21="YES",IF(A24&lt;Calculator!$G$21,0,MIN(MIN(MOD(A24/Calculator!$F$21,1),1-MOD(A24/Calculator!$F$21,1)),ABS(MOD(A24/Calculator!$F$21,1)-0.5))),1)</f>
        <v>0.0178947368421052</v>
      </c>
      <c r="M24" s="138" t="n">
        <f aca="false">MIN(B24:L24)</f>
        <v>0</v>
      </c>
      <c r="N24" s="138" t="n">
        <f aca="false">SUMPRODUCT(($M$5:$M$555&gt;M24)*1)+SUMPRODUCT(($M$5:$M$555=M24)*(ROW($M$5:$M$555)&lt;ROW(M24)))+1</f>
        <v>245</v>
      </c>
      <c r="O24" s="138" t="str">
        <f aca="false">IF(M24&gt;=0.2,"★★★ EXCELLENT",IF(M24&gt;=0.12,"★★  GOOD",IF(M24&gt;=0.07,"★  FAIR",IF(M24&gt;=0.025,"⚠  MARGINAL","✗  AVOID"))))</f>
        <v>✗  AVOID</v>
      </c>
    </row>
    <row r="25" customFormat="false" ht="15" hidden="false" customHeight="false" outlineLevel="0" collapsed="false">
      <c r="A25" s="135" t="n">
        <v>7</v>
      </c>
      <c r="B25" s="136" t="n">
        <f aca="false">IF(Calculator!$E$11="YES",IF(A25&lt;Calculator!$G$11,0,MIN(MIN(MOD(A25/Calculator!$F$11,1),1-MOD(A25/Calculator!$F$11,1)),ABS(MOD(A25/Calculator!$F$11,1)-0.5))),1)</f>
        <v>0</v>
      </c>
      <c r="C25" s="136" t="n">
        <f aca="false">IF(Calculator!$E$12="YES",IF(A25&lt;Calculator!$G$12,0,MIN(MIN(MOD(A25/Calculator!$F$12,1),1-MOD(A25/Calculator!$F$12,1)),ABS(MOD(A25/Calculator!$F$12,1)-0.5))),1)</f>
        <v>0</v>
      </c>
      <c r="D25" s="136" t="n">
        <f aca="false">IF(Calculator!$E$13="YES",IF(A25&lt;Calculator!$G$13,0,MIN(MIN(MOD(A25/Calculator!$F$13,1),1-MOD(A25/Calculator!$F$13,1)),ABS(MOD(A25/Calculator!$F$13,1)-0.5))),1)</f>
        <v>0</v>
      </c>
      <c r="E25" s="136" t="n">
        <f aca="false">IF(Calculator!$E$14="YES",IF(A25&lt;Calculator!$G$14,0,MIN(MIN(MOD(A25/Calculator!$F$14,1),1-MOD(A25/Calculator!$F$14,1)),ABS(MOD(A25/Calculator!$F$14,1)-0.5))),1)</f>
        <v>0</v>
      </c>
      <c r="F25" s="136" t="n">
        <f aca="false">IF(Calculator!$E$15="YES",IF(A25&lt;Calculator!$G$15,0,MIN(MIN(MOD(A25/Calculator!$F$15,1),1-MOD(A25/Calculator!$F$15,1)),ABS(MOD(A25/Calculator!$F$15,1)-0.5))),1)</f>
        <v>0</v>
      </c>
      <c r="G25" s="136" t="n">
        <f aca="false">IF(Calculator!$E$16="YES",IF(A25&lt;Calculator!$G$16,0,MIN(MIN(MOD(A25/Calculator!$F$16,1),1-MOD(A25/Calculator!$F$16,1)),ABS(MOD(A25/Calculator!$F$16,1)-0.5))),1)</f>
        <v>0.196315789473684</v>
      </c>
      <c r="H25" s="136" t="n">
        <f aca="false">IF(Calculator!$E$17="YES",IF(A25&lt;Calculator!$G$17,0,MIN(MIN(MOD(A25/Calculator!$F$17,1),1-MOD(A25/Calculator!$F$17,1)),ABS(MOD(A25/Calculator!$F$17,1)-0.5))),1)</f>
        <v>0.10999298245614</v>
      </c>
      <c r="I25" s="136" t="n">
        <f aca="false">IF(Calculator!$E$18="YES",IF(A25&lt;Calculator!$G$18,0,MIN(MIN(MOD(A25/Calculator!$F$18,1),1-MOD(A25/Calculator!$F$18,1)),ABS(MOD(A25/Calculator!$F$18,1)-0.5))),1)</f>
        <v>0.0426315789473684</v>
      </c>
      <c r="J25" s="136" t="n">
        <f aca="false">IF(Calculator!$E$19="YES",IF(A25&lt;Calculator!$G$19,0,MIN(MIN(MOD(A25/Calculator!$F$19,1),1-MOD(A25/Calculator!$F$19,1)),ABS(MOD(A25/Calculator!$F$19,1)-0.5))),1)</f>
        <v>0.225122807017544</v>
      </c>
      <c r="K25" s="136" t="n">
        <f aca="false">IF(Calculator!$E$20="YES",IF(A25&lt;Calculator!$G$20,0,MIN(MIN(MOD(A25/Calculator!$F$20,1),1-MOD(A25/Calculator!$F$20,1)),ABS(MOD(A25/Calculator!$F$20,1)-0.5))),1)</f>
        <v>0.0828070175438598</v>
      </c>
      <c r="L25" s="136" t="n">
        <f aca="false">IF(Calculator!$E$21="YES",IF(A25&lt;Calculator!$G$21,0,MIN(MIN(MOD(A25/Calculator!$F$21,1),1-MOD(A25/Calculator!$F$21,1)),ABS(MOD(A25/Calculator!$F$21,1)-0.5))),1)</f>
        <v>0.0543859649122807</v>
      </c>
      <c r="M25" s="136" t="n">
        <f aca="false">MIN(B25:L25)</f>
        <v>0</v>
      </c>
      <c r="N25" s="136" t="n">
        <f aca="false">SUMPRODUCT(($M$5:$M$555&gt;M25)*1)+SUMPRODUCT(($M$5:$M$555=M25)*(ROW($M$5:$M$555)&lt;ROW(M25)))+1</f>
        <v>246</v>
      </c>
      <c r="O25" s="136" t="str">
        <f aca="false">IF(M25&gt;=0.2,"★★★ EXCELLENT",IF(M25&gt;=0.12,"★★  GOOD",IF(M25&gt;=0.07,"★  FAIR",IF(M25&gt;=0.025,"⚠  MARGINAL","✗  AVOID"))))</f>
        <v>✗  AVOID</v>
      </c>
    </row>
    <row r="26" customFormat="false" ht="15" hidden="false" customHeight="false" outlineLevel="0" collapsed="false">
      <c r="A26" s="137" t="n">
        <v>7.1</v>
      </c>
      <c r="B26" s="138" t="n">
        <f aca="false">IF(Calculator!$E$11="YES",IF(A26&lt;Calculator!$G$11,0,MIN(MIN(MOD(A26/Calculator!$F$11,1),1-MOD(A26/Calculator!$F$11,1)),ABS(MOD(A26/Calculator!$F$11,1)-0.5))),1)</f>
        <v>0</v>
      </c>
      <c r="C26" s="138" t="n">
        <f aca="false">IF(Calculator!$E$12="YES",IF(A26&lt;Calculator!$G$12,0,MIN(MIN(MOD(A26/Calculator!$F$12,1),1-MOD(A26/Calculator!$F$12,1)),ABS(MOD(A26/Calculator!$F$12,1)-0.5))),1)</f>
        <v>0</v>
      </c>
      <c r="D26" s="138" t="n">
        <f aca="false">IF(Calculator!$E$13="YES",IF(A26&lt;Calculator!$G$13,0,MIN(MIN(MOD(A26/Calculator!$F$13,1),1-MOD(A26/Calculator!$F$13,1)),ABS(MOD(A26/Calculator!$F$13,1)-0.5))),1)</f>
        <v>0</v>
      </c>
      <c r="E26" s="138" t="n">
        <f aca="false">IF(Calculator!$E$14="YES",IF(A26&lt;Calculator!$G$14,0,MIN(MIN(MOD(A26/Calculator!$F$14,1),1-MOD(A26/Calculator!$F$14,1)),ABS(MOD(A26/Calculator!$F$14,1)-0.5))),1)</f>
        <v>0</v>
      </c>
      <c r="F26" s="138" t="n">
        <f aca="false">IF(Calculator!$E$15="YES",IF(A26&lt;Calculator!$G$15,0,MIN(MIN(MOD(A26/Calculator!$F$15,1),1-MOD(A26/Calculator!$F$15,1)),ABS(MOD(A26/Calculator!$F$15,1)-0.5))),1)</f>
        <v>0.0044736842105263</v>
      </c>
      <c r="G26" s="138" t="n">
        <f aca="false">IF(Calculator!$E$16="YES",IF(A26&lt;Calculator!$G$16,0,MIN(MIN(MOD(A26/Calculator!$F$16,1),1-MOD(A26/Calculator!$F$16,1)),ABS(MOD(A26/Calculator!$F$16,1)-0.5))),1)</f>
        <v>0.206263157894737</v>
      </c>
      <c r="H26" s="138" t="n">
        <f aca="false">IF(Calculator!$E$17="YES",IF(A26&lt;Calculator!$G$17,0,MIN(MIN(MOD(A26/Calculator!$F$17,1),1-MOD(A26/Calculator!$F$17,1)),ABS(MOD(A26/Calculator!$F$17,1)-0.5))),1)</f>
        <v>0.0972785964912281</v>
      </c>
      <c r="I26" s="138" t="n">
        <f aca="false">IF(Calculator!$E$18="YES",IF(A26&lt;Calculator!$G$18,0,MIN(MIN(MOD(A26/Calculator!$F$18,1),1-MOD(A26/Calculator!$F$18,1)),ABS(MOD(A26/Calculator!$F$18,1)-0.5))),1)</f>
        <v>0.0575263157894737</v>
      </c>
      <c r="J26" s="138" t="n">
        <f aca="false">IF(Calculator!$E$19="YES",IF(A26&lt;Calculator!$G$19,0,MIN(MIN(MOD(A26/Calculator!$F$19,1),1-MOD(A26/Calculator!$F$19,1)),ABS(MOD(A26/Calculator!$F$19,1)-0.5))),1)</f>
        <v>0.242624561403509</v>
      </c>
      <c r="K26" s="138" t="n">
        <f aca="false">IF(Calculator!$E$20="YES",IF(A26&lt;Calculator!$G$20,0,MIN(MIN(MOD(A26/Calculator!$F$20,1),1-MOD(A26/Calculator!$F$20,1)),ABS(MOD(A26/Calculator!$F$20,1)-0.5))),1)</f>
        <v>0.062561403508772</v>
      </c>
      <c r="L26" s="138" t="n">
        <f aca="false">IF(Calculator!$E$21="YES",IF(A26&lt;Calculator!$G$21,0,MIN(MIN(MOD(A26/Calculator!$F$21,1),1-MOD(A26/Calculator!$F$21,1)),ABS(MOD(A26/Calculator!$F$21,1)-0.5))),1)</f>
        <v>0.0908771929824561</v>
      </c>
      <c r="M26" s="138" t="n">
        <f aca="false">MIN(B26:L26)</f>
        <v>0</v>
      </c>
      <c r="N26" s="138" t="n">
        <f aca="false">SUMPRODUCT(($M$5:$M$555&gt;M26)*1)+SUMPRODUCT(($M$5:$M$555=M26)*(ROW($M$5:$M$555)&lt;ROW(M26)))+1</f>
        <v>247</v>
      </c>
      <c r="O26" s="138" t="str">
        <f aca="false">IF(M26&gt;=0.2,"★★★ EXCELLENT",IF(M26&gt;=0.12,"★★  GOOD",IF(M26&gt;=0.07,"★  FAIR",IF(M26&gt;=0.025,"⚠  MARGINAL","✗  AVOID"))))</f>
        <v>✗  AVOID</v>
      </c>
    </row>
    <row r="27" customFormat="false" ht="15" hidden="false" customHeight="false" outlineLevel="0" collapsed="false">
      <c r="A27" s="135" t="n">
        <v>7.2</v>
      </c>
      <c r="B27" s="136" t="n">
        <f aca="false">IF(Calculator!$E$11="YES",IF(A27&lt;Calculator!$G$11,0,MIN(MIN(MOD(A27/Calculator!$F$11,1),1-MOD(A27/Calculator!$F$11,1)),ABS(MOD(A27/Calculator!$F$11,1)-0.5))),1)</f>
        <v>0</v>
      </c>
      <c r="C27" s="136" t="n">
        <f aca="false">IF(Calculator!$E$12="YES",IF(A27&lt;Calculator!$G$12,0,MIN(MIN(MOD(A27/Calculator!$F$12,1),1-MOD(A27/Calculator!$F$12,1)),ABS(MOD(A27/Calculator!$F$12,1)-0.5))),1)</f>
        <v>0</v>
      </c>
      <c r="D27" s="136" t="n">
        <f aca="false">IF(Calculator!$E$13="YES",IF(A27&lt;Calculator!$G$13,0,MIN(MIN(MOD(A27/Calculator!$F$13,1),1-MOD(A27/Calculator!$F$13,1)),ABS(MOD(A27/Calculator!$F$13,1)-0.5))),1)</f>
        <v>0</v>
      </c>
      <c r="E27" s="136" t="n">
        <f aca="false">IF(Calculator!$E$14="YES",IF(A27&lt;Calculator!$G$14,0,MIN(MIN(MOD(A27/Calculator!$F$14,1),1-MOD(A27/Calculator!$F$14,1)),ABS(MOD(A27/Calculator!$F$14,1)-0.5))),1)</f>
        <v>0</v>
      </c>
      <c r="F27" s="136" t="n">
        <f aca="false">IF(Calculator!$E$15="YES",IF(A27&lt;Calculator!$G$15,0,MIN(MIN(MOD(A27/Calculator!$F$15,1),1-MOD(A27/Calculator!$F$15,1)),ABS(MOD(A27/Calculator!$F$15,1)-0.5))),1)</f>
        <v>0.011578947368421</v>
      </c>
      <c r="G27" s="136" t="n">
        <f aca="false">IF(Calculator!$E$16="YES",IF(A27&lt;Calculator!$G$16,0,MIN(MIN(MOD(A27/Calculator!$F$16,1),1-MOD(A27/Calculator!$F$16,1)),ABS(MOD(A27/Calculator!$F$16,1)-0.5))),1)</f>
        <v>0.21621052631579</v>
      </c>
      <c r="H27" s="136" t="n">
        <f aca="false">IF(Calculator!$E$17="YES",IF(A27&lt;Calculator!$G$17,0,MIN(MIN(MOD(A27/Calculator!$F$17,1),1-MOD(A27/Calculator!$F$17,1)),ABS(MOD(A27/Calculator!$F$17,1)-0.5))),1)</f>
        <v>0.0845642105263157</v>
      </c>
      <c r="I27" s="136" t="n">
        <f aca="false">IF(Calculator!$E$18="YES",IF(A27&lt;Calculator!$G$18,0,MIN(MIN(MOD(A27/Calculator!$F$18,1),1-MOD(A27/Calculator!$F$18,1)),ABS(MOD(A27/Calculator!$F$18,1)-0.5))),1)</f>
        <v>0.0724210526315789</v>
      </c>
      <c r="J27" s="136" t="n">
        <f aca="false">IF(Calculator!$E$19="YES",IF(A27&lt;Calculator!$G$19,0,MIN(MIN(MOD(A27/Calculator!$F$19,1),1-MOD(A27/Calculator!$F$19,1)),ABS(MOD(A27/Calculator!$F$19,1)-0.5))),1)</f>
        <v>0.239873684210526</v>
      </c>
      <c r="K27" s="136" t="n">
        <f aca="false">IF(Calculator!$E$20="YES",IF(A27&lt;Calculator!$G$20,0,MIN(MIN(MOD(A27/Calculator!$F$20,1),1-MOD(A27/Calculator!$F$20,1)),ABS(MOD(A27/Calculator!$F$20,1)-0.5))),1)</f>
        <v>0.0423157894736841</v>
      </c>
      <c r="L27" s="136" t="n">
        <f aca="false">IF(Calculator!$E$21="YES",IF(A27&lt;Calculator!$G$21,0,MIN(MIN(MOD(A27/Calculator!$F$21,1),1-MOD(A27/Calculator!$F$21,1)),ABS(MOD(A27/Calculator!$F$21,1)-0.5))),1)</f>
        <v>0.127368421052632</v>
      </c>
      <c r="M27" s="136" t="n">
        <f aca="false">MIN(B27:L27)</f>
        <v>0</v>
      </c>
      <c r="N27" s="136" t="n">
        <f aca="false">SUMPRODUCT(($M$5:$M$555&gt;M27)*1)+SUMPRODUCT(($M$5:$M$555=M27)*(ROW($M$5:$M$555)&lt;ROW(M27)))+1</f>
        <v>248</v>
      </c>
      <c r="O27" s="136" t="str">
        <f aca="false">IF(M27&gt;=0.2,"★★★ EXCELLENT",IF(M27&gt;=0.12,"★★  GOOD",IF(M27&gt;=0.07,"★  FAIR",IF(M27&gt;=0.025,"⚠  MARGINAL","✗  AVOID"))))</f>
        <v>✗  AVOID</v>
      </c>
    </row>
    <row r="28" customFormat="false" ht="15" hidden="false" customHeight="false" outlineLevel="0" collapsed="false">
      <c r="A28" s="137" t="n">
        <v>7.3</v>
      </c>
      <c r="B28" s="138" t="n">
        <f aca="false">IF(Calculator!$E$11="YES",IF(A28&lt;Calculator!$G$11,0,MIN(MIN(MOD(A28/Calculator!$F$11,1),1-MOD(A28/Calculator!$F$11,1)),ABS(MOD(A28/Calculator!$F$11,1)-0.5))),1)</f>
        <v>0</v>
      </c>
      <c r="C28" s="138" t="n">
        <f aca="false">IF(Calculator!$E$12="YES",IF(A28&lt;Calculator!$G$12,0,MIN(MIN(MOD(A28/Calculator!$F$12,1),1-MOD(A28/Calculator!$F$12,1)),ABS(MOD(A28/Calculator!$F$12,1)-0.5))),1)</f>
        <v>0</v>
      </c>
      <c r="D28" s="138" t="n">
        <f aca="false">IF(Calculator!$E$13="YES",IF(A28&lt;Calculator!$G$13,0,MIN(MIN(MOD(A28/Calculator!$F$13,1),1-MOD(A28/Calculator!$F$13,1)),ABS(MOD(A28/Calculator!$F$13,1)-0.5))),1)</f>
        <v>0</v>
      </c>
      <c r="E28" s="138" t="n">
        <f aca="false">IF(Calculator!$E$14="YES",IF(A28&lt;Calculator!$G$14,0,MIN(MIN(MOD(A28/Calculator!$F$14,1),1-MOD(A28/Calculator!$F$14,1)),ABS(MOD(A28/Calculator!$F$14,1)-0.5))),1)</f>
        <v>0</v>
      </c>
      <c r="F28" s="138" t="n">
        <f aca="false">IF(Calculator!$E$15="YES",IF(A28&lt;Calculator!$G$15,0,MIN(MIN(MOD(A28/Calculator!$F$15,1),1-MOD(A28/Calculator!$F$15,1)),ABS(MOD(A28/Calculator!$F$15,1)-0.5))),1)</f>
        <v>0.0186842105263157</v>
      </c>
      <c r="G28" s="138" t="n">
        <f aca="false">IF(Calculator!$E$16="YES",IF(A28&lt;Calculator!$G$16,0,MIN(MIN(MOD(A28/Calculator!$F$16,1),1-MOD(A28/Calculator!$F$16,1)),ABS(MOD(A28/Calculator!$F$16,1)-0.5))),1)</f>
        <v>0.226157894736842</v>
      </c>
      <c r="H28" s="138" t="n">
        <f aca="false">IF(Calculator!$E$17="YES",IF(A28&lt;Calculator!$G$17,0,MIN(MIN(MOD(A28/Calculator!$F$17,1),1-MOD(A28/Calculator!$F$17,1)),ABS(MOD(A28/Calculator!$F$17,1)-0.5))),1)</f>
        <v>0.0718498245614034</v>
      </c>
      <c r="I28" s="138" t="n">
        <f aca="false">IF(Calculator!$E$18="YES",IF(A28&lt;Calculator!$G$18,0,MIN(MIN(MOD(A28/Calculator!$F$18,1),1-MOD(A28/Calculator!$F$18,1)),ABS(MOD(A28/Calculator!$F$18,1)-0.5))),1)</f>
        <v>0.0873157894736842</v>
      </c>
      <c r="J28" s="138" t="n">
        <f aca="false">IF(Calculator!$E$19="YES",IF(A28&lt;Calculator!$G$19,0,MIN(MIN(MOD(A28/Calculator!$F$19,1),1-MOD(A28/Calculator!$F$19,1)),ABS(MOD(A28/Calculator!$F$19,1)-0.5))),1)</f>
        <v>0.222371929824562</v>
      </c>
      <c r="K28" s="138" t="n">
        <f aca="false">IF(Calculator!$E$20="YES",IF(A28&lt;Calculator!$G$20,0,MIN(MIN(MOD(A28/Calculator!$F$20,1),1-MOD(A28/Calculator!$F$20,1)),ABS(MOD(A28/Calculator!$F$20,1)-0.5))),1)</f>
        <v>0.0220701754385966</v>
      </c>
      <c r="L28" s="138" t="n">
        <f aca="false">IF(Calculator!$E$21="YES",IF(A28&lt;Calculator!$G$21,0,MIN(MIN(MOD(A28/Calculator!$F$21,1),1-MOD(A28/Calculator!$F$21,1)),ABS(MOD(A28/Calculator!$F$21,1)-0.5))),1)</f>
        <v>0.163859649122807</v>
      </c>
      <c r="M28" s="138" t="n">
        <f aca="false">MIN(B28:L28)</f>
        <v>0</v>
      </c>
      <c r="N28" s="138" t="n">
        <f aca="false">SUMPRODUCT(($M$5:$M$555&gt;M28)*1)+SUMPRODUCT(($M$5:$M$555=M28)*(ROW($M$5:$M$555)&lt;ROW(M28)))+1</f>
        <v>249</v>
      </c>
      <c r="O28" s="138" t="str">
        <f aca="false">IF(M28&gt;=0.2,"★★★ EXCELLENT",IF(M28&gt;=0.12,"★★  GOOD",IF(M28&gt;=0.07,"★  FAIR",IF(M28&gt;=0.025,"⚠  MARGINAL","✗  AVOID"))))</f>
        <v>✗  AVOID</v>
      </c>
    </row>
    <row r="29" customFormat="false" ht="15" hidden="false" customHeight="false" outlineLevel="0" collapsed="false">
      <c r="A29" s="135" t="n">
        <v>7.4</v>
      </c>
      <c r="B29" s="136" t="n">
        <f aca="false">IF(Calculator!$E$11="YES",IF(A29&lt;Calculator!$G$11,0,MIN(MIN(MOD(A29/Calculator!$F$11,1),1-MOD(A29/Calculator!$F$11,1)),ABS(MOD(A29/Calculator!$F$11,1)-0.5))),1)</f>
        <v>0</v>
      </c>
      <c r="C29" s="136" t="n">
        <f aca="false">IF(Calculator!$E$12="YES",IF(A29&lt;Calculator!$G$12,0,MIN(MIN(MOD(A29/Calculator!$F$12,1),1-MOD(A29/Calculator!$F$12,1)),ABS(MOD(A29/Calculator!$F$12,1)-0.5))),1)</f>
        <v>0</v>
      </c>
      <c r="D29" s="136" t="n">
        <f aca="false">IF(Calculator!$E$13="YES",IF(A29&lt;Calculator!$G$13,0,MIN(MIN(MOD(A29/Calculator!$F$13,1),1-MOD(A29/Calculator!$F$13,1)),ABS(MOD(A29/Calculator!$F$13,1)-0.5))),1)</f>
        <v>0</v>
      </c>
      <c r="E29" s="136" t="n">
        <f aca="false">IF(Calculator!$E$14="YES",IF(A29&lt;Calculator!$G$14,0,MIN(MIN(MOD(A29/Calculator!$F$14,1),1-MOD(A29/Calculator!$F$14,1)),ABS(MOD(A29/Calculator!$F$14,1)-0.5))),1)</f>
        <v>0</v>
      </c>
      <c r="F29" s="136" t="n">
        <f aca="false">IF(Calculator!$E$15="YES",IF(A29&lt;Calculator!$G$15,0,MIN(MIN(MOD(A29/Calculator!$F$15,1),1-MOD(A29/Calculator!$F$15,1)),ABS(MOD(A29/Calculator!$F$15,1)-0.5))),1)</f>
        <v>0.0257894736842106</v>
      </c>
      <c r="G29" s="136" t="n">
        <f aca="false">IF(Calculator!$E$16="YES",IF(A29&lt;Calculator!$G$16,0,MIN(MIN(MOD(A29/Calculator!$F$16,1),1-MOD(A29/Calculator!$F$16,1)),ABS(MOD(A29/Calculator!$F$16,1)-0.5))),1)</f>
        <v>0.236105263157895</v>
      </c>
      <c r="H29" s="136" t="n">
        <f aca="false">IF(Calculator!$E$17="YES",IF(A29&lt;Calculator!$G$17,0,MIN(MIN(MOD(A29/Calculator!$F$17,1),1-MOD(A29/Calculator!$F$17,1)),ABS(MOD(A29/Calculator!$F$17,1)-0.5))),1)</f>
        <v>0.0591354385964911</v>
      </c>
      <c r="I29" s="136" t="n">
        <f aca="false">IF(Calculator!$E$18="YES",IF(A29&lt;Calculator!$G$18,0,MIN(MIN(MOD(A29/Calculator!$F$18,1),1-MOD(A29/Calculator!$F$18,1)),ABS(MOD(A29/Calculator!$F$18,1)-0.5))),1)</f>
        <v>0.10221052631579</v>
      </c>
      <c r="J29" s="136" t="n">
        <f aca="false">IF(Calculator!$E$19="YES",IF(A29&lt;Calculator!$G$19,0,MIN(MIN(MOD(A29/Calculator!$F$19,1),1-MOD(A29/Calculator!$F$19,1)),ABS(MOD(A29/Calculator!$F$19,1)-0.5))),1)</f>
        <v>0.204870175438597</v>
      </c>
      <c r="K29" s="136" t="n">
        <f aca="false">IF(Calculator!$E$20="YES",IF(A29&lt;Calculator!$G$20,0,MIN(MIN(MOD(A29/Calculator!$F$20,1),1-MOD(A29/Calculator!$F$20,1)),ABS(MOD(A29/Calculator!$F$20,1)-0.5))),1)</f>
        <v>0.00182456140350862</v>
      </c>
      <c r="L29" s="136" t="n">
        <f aca="false">IF(Calculator!$E$21="YES",IF(A29&lt;Calculator!$G$21,0,MIN(MIN(MOD(A29/Calculator!$F$21,1),1-MOD(A29/Calculator!$F$21,1)),ABS(MOD(A29/Calculator!$F$21,1)-0.5))),1)</f>
        <v>0.200350877192983</v>
      </c>
      <c r="M29" s="136" t="n">
        <f aca="false">MIN(B29:L29)</f>
        <v>0</v>
      </c>
      <c r="N29" s="136" t="n">
        <f aca="false">SUMPRODUCT(($M$5:$M$555&gt;M29)*1)+SUMPRODUCT(($M$5:$M$555=M29)*(ROW($M$5:$M$555)&lt;ROW(M29)))+1</f>
        <v>250</v>
      </c>
      <c r="O29" s="136" t="str">
        <f aca="false">IF(M29&gt;=0.2,"★★★ EXCELLENT",IF(M29&gt;=0.12,"★★  GOOD",IF(M29&gt;=0.07,"★  FAIR",IF(M29&gt;=0.025,"⚠  MARGINAL","✗  AVOID"))))</f>
        <v>✗  AVOID</v>
      </c>
    </row>
    <row r="30" customFormat="false" ht="15" hidden="false" customHeight="false" outlineLevel="0" collapsed="false">
      <c r="A30" s="137" t="n">
        <v>7.5</v>
      </c>
      <c r="B30" s="138" t="n">
        <f aca="false">IF(Calculator!$E$11="YES",IF(A30&lt;Calculator!$G$11,0,MIN(MIN(MOD(A30/Calculator!$F$11,1),1-MOD(A30/Calculator!$F$11,1)),ABS(MOD(A30/Calculator!$F$11,1)-0.5))),1)</f>
        <v>0</v>
      </c>
      <c r="C30" s="138" t="n">
        <f aca="false">IF(Calculator!$E$12="YES",IF(A30&lt;Calculator!$G$12,0,MIN(MIN(MOD(A30/Calculator!$F$12,1),1-MOD(A30/Calculator!$F$12,1)),ABS(MOD(A30/Calculator!$F$12,1)-0.5))),1)</f>
        <v>0</v>
      </c>
      <c r="D30" s="138" t="n">
        <f aca="false">IF(Calculator!$E$13="YES",IF(A30&lt;Calculator!$G$13,0,MIN(MIN(MOD(A30/Calculator!$F$13,1),1-MOD(A30/Calculator!$F$13,1)),ABS(MOD(A30/Calculator!$F$13,1)-0.5))),1)</f>
        <v>0</v>
      </c>
      <c r="E30" s="138" t="n">
        <f aca="false">IF(Calculator!$E$14="YES",IF(A30&lt;Calculator!$G$14,0,MIN(MIN(MOD(A30/Calculator!$F$14,1),1-MOD(A30/Calculator!$F$14,1)),ABS(MOD(A30/Calculator!$F$14,1)-0.5))),1)</f>
        <v>0</v>
      </c>
      <c r="F30" s="138" t="n">
        <f aca="false">IF(Calculator!$E$15="YES",IF(A30&lt;Calculator!$G$15,0,MIN(MIN(MOD(A30/Calculator!$F$15,1),1-MOD(A30/Calculator!$F$15,1)),ABS(MOD(A30/Calculator!$F$15,1)-0.5))),1)</f>
        <v>0.0328947368421052</v>
      </c>
      <c r="G30" s="138" t="n">
        <f aca="false">IF(Calculator!$E$16="YES",IF(A30&lt;Calculator!$G$16,0,MIN(MIN(MOD(A30/Calculator!$F$16,1),1-MOD(A30/Calculator!$F$16,1)),ABS(MOD(A30/Calculator!$F$16,1)-0.5))),1)</f>
        <v>0.246052631578947</v>
      </c>
      <c r="H30" s="138" t="n">
        <f aca="false">IF(Calculator!$E$17="YES",IF(A30&lt;Calculator!$G$17,0,MIN(MIN(MOD(A30/Calculator!$F$17,1),1-MOD(A30/Calculator!$F$17,1)),ABS(MOD(A30/Calculator!$F$17,1)-0.5))),1)</f>
        <v>0.0464210526315788</v>
      </c>
      <c r="I30" s="138" t="n">
        <f aca="false">IF(Calculator!$E$18="YES",IF(A30&lt;Calculator!$G$18,0,MIN(MIN(MOD(A30/Calculator!$F$18,1),1-MOD(A30/Calculator!$F$18,1)),ABS(MOD(A30/Calculator!$F$18,1)-0.5))),1)</f>
        <v>0.117105263157895</v>
      </c>
      <c r="J30" s="138" t="n">
        <f aca="false">IF(Calculator!$E$19="YES",IF(A30&lt;Calculator!$G$19,0,MIN(MIN(MOD(A30/Calculator!$F$19,1),1-MOD(A30/Calculator!$F$19,1)),ABS(MOD(A30/Calculator!$F$19,1)-0.5))),1)</f>
        <v>0.187368421052632</v>
      </c>
      <c r="K30" s="138" t="n">
        <f aca="false">IF(Calculator!$E$20="YES",IF(A30&lt;Calculator!$G$20,0,MIN(MIN(MOD(A30/Calculator!$F$20,1),1-MOD(A30/Calculator!$F$20,1)),ABS(MOD(A30/Calculator!$F$20,1)-0.5))),1)</f>
        <v>0.0184210526315789</v>
      </c>
      <c r="L30" s="138" t="n">
        <f aca="false">IF(Calculator!$E$21="YES",IF(A30&lt;Calculator!$G$21,0,MIN(MIN(MOD(A30/Calculator!$F$21,1),1-MOD(A30/Calculator!$F$21,1)),ABS(MOD(A30/Calculator!$F$21,1)-0.5))),1)</f>
        <v>0.236842105263158</v>
      </c>
      <c r="M30" s="138" t="n">
        <f aca="false">MIN(B30:L30)</f>
        <v>0</v>
      </c>
      <c r="N30" s="138" t="n">
        <f aca="false">SUMPRODUCT(($M$5:$M$555&gt;M30)*1)+SUMPRODUCT(($M$5:$M$555=M30)*(ROW($M$5:$M$555)&lt;ROW(M30)))+1</f>
        <v>251</v>
      </c>
      <c r="O30" s="138" t="str">
        <f aca="false">IF(M30&gt;=0.2,"★★★ EXCELLENT",IF(M30&gt;=0.12,"★★  GOOD",IF(M30&gt;=0.07,"★  FAIR",IF(M30&gt;=0.025,"⚠  MARGINAL","✗  AVOID"))))</f>
        <v>✗  AVOID</v>
      </c>
    </row>
    <row r="31" customFormat="false" ht="15" hidden="false" customHeight="false" outlineLevel="0" collapsed="false">
      <c r="A31" s="135" t="n">
        <v>7.6</v>
      </c>
      <c r="B31" s="136" t="n">
        <f aca="false">IF(Calculator!$E$11="YES",IF(A31&lt;Calculator!$G$11,0,MIN(MIN(MOD(A31/Calculator!$F$11,1),1-MOD(A31/Calculator!$F$11,1)),ABS(MOD(A31/Calculator!$F$11,1)-0.5))),1)</f>
        <v>0</v>
      </c>
      <c r="C31" s="136" t="n">
        <f aca="false">IF(Calculator!$E$12="YES",IF(A31&lt;Calculator!$G$12,0,MIN(MIN(MOD(A31/Calculator!$F$12,1),1-MOD(A31/Calculator!$F$12,1)),ABS(MOD(A31/Calculator!$F$12,1)-0.5))),1)</f>
        <v>0</v>
      </c>
      <c r="D31" s="136" t="n">
        <f aca="false">IF(Calculator!$E$13="YES",IF(A31&lt;Calculator!$G$13,0,MIN(MIN(MOD(A31/Calculator!$F$13,1),1-MOD(A31/Calculator!$F$13,1)),ABS(MOD(A31/Calculator!$F$13,1)-0.5))),1)</f>
        <v>0</v>
      </c>
      <c r="E31" s="136" t="n">
        <f aca="false">IF(Calculator!$E$14="YES",IF(A31&lt;Calculator!$G$14,0,MIN(MIN(MOD(A31/Calculator!$F$14,1),1-MOD(A31/Calculator!$F$14,1)),ABS(MOD(A31/Calculator!$F$14,1)-0.5))),1)</f>
        <v>0</v>
      </c>
      <c r="F31" s="136" t="n">
        <f aca="false">IF(Calculator!$E$15="YES",IF(A31&lt;Calculator!$G$15,0,MIN(MIN(MOD(A31/Calculator!$F$15,1),1-MOD(A31/Calculator!$F$15,1)),ABS(MOD(A31/Calculator!$F$15,1)-0.5))),1)</f>
        <v>0.0399999999999999</v>
      </c>
      <c r="G31" s="136" t="n">
        <f aca="false">IF(Calculator!$E$16="YES",IF(A31&lt;Calculator!$G$16,0,MIN(MIN(MOD(A31/Calculator!$F$16,1),1-MOD(A31/Calculator!$F$16,1)),ABS(MOD(A31/Calculator!$F$16,1)-0.5))),1)</f>
        <v>0.244</v>
      </c>
      <c r="H31" s="136" t="n">
        <f aca="false">IF(Calculator!$E$17="YES",IF(A31&lt;Calculator!$G$17,0,MIN(MIN(MOD(A31/Calculator!$F$17,1),1-MOD(A31/Calculator!$F$17,1)),ABS(MOD(A31/Calculator!$F$17,1)-0.5))),1)</f>
        <v>0.0337066666666666</v>
      </c>
      <c r="I31" s="136" t="n">
        <f aca="false">IF(Calculator!$E$18="YES",IF(A31&lt;Calculator!$G$18,0,MIN(MIN(MOD(A31/Calculator!$F$18,1),1-MOD(A31/Calculator!$F$18,1)),ABS(MOD(A31/Calculator!$F$18,1)-0.5))),1)</f>
        <v>0.132</v>
      </c>
      <c r="J31" s="136" t="n">
        <f aca="false">IF(Calculator!$E$19="YES",IF(A31&lt;Calculator!$G$19,0,MIN(MIN(MOD(A31/Calculator!$F$19,1),1-MOD(A31/Calculator!$F$19,1)),ABS(MOD(A31/Calculator!$F$19,1)-0.5))),1)</f>
        <v>0.169866666666667</v>
      </c>
      <c r="K31" s="136" t="n">
        <f aca="false">IF(Calculator!$E$20="YES",IF(A31&lt;Calculator!$G$20,0,MIN(MIN(MOD(A31/Calculator!$F$20,1),1-MOD(A31/Calculator!$F$20,1)),ABS(MOD(A31/Calculator!$F$20,1)-0.5))),1)</f>
        <v>0.0386666666666666</v>
      </c>
      <c r="L31" s="136" t="n">
        <f aca="false">IF(Calculator!$E$21="YES",IF(A31&lt;Calculator!$G$21,0,MIN(MIN(MOD(A31/Calculator!$F$21,1),1-MOD(A31/Calculator!$F$21,1)),ABS(MOD(A31/Calculator!$F$21,1)-0.5))),1)</f>
        <v>0.226666666666667</v>
      </c>
      <c r="M31" s="136" t="n">
        <f aca="false">MIN(B31:L31)</f>
        <v>0</v>
      </c>
      <c r="N31" s="136" t="n">
        <f aca="false">SUMPRODUCT(($M$5:$M$555&gt;M31)*1)+SUMPRODUCT(($M$5:$M$555=M31)*(ROW($M$5:$M$555)&lt;ROW(M31)))+1</f>
        <v>252</v>
      </c>
      <c r="O31" s="136" t="str">
        <f aca="false">IF(M31&gt;=0.2,"★★★ EXCELLENT",IF(M31&gt;=0.12,"★★  GOOD",IF(M31&gt;=0.07,"★  FAIR",IF(M31&gt;=0.025,"⚠  MARGINAL","✗  AVOID"))))</f>
        <v>✗  AVOID</v>
      </c>
    </row>
    <row r="32" customFormat="false" ht="15" hidden="false" customHeight="false" outlineLevel="0" collapsed="false">
      <c r="A32" s="137" t="n">
        <v>7.7</v>
      </c>
      <c r="B32" s="138" t="n">
        <f aca="false">IF(Calculator!$E$11="YES",IF(A32&lt;Calculator!$G$11,0,MIN(MIN(MOD(A32/Calculator!$F$11,1),1-MOD(A32/Calculator!$F$11,1)),ABS(MOD(A32/Calculator!$F$11,1)-0.5))),1)</f>
        <v>0</v>
      </c>
      <c r="C32" s="138" t="n">
        <f aca="false">IF(Calculator!$E$12="YES",IF(A32&lt;Calculator!$G$12,0,MIN(MIN(MOD(A32/Calculator!$F$12,1),1-MOD(A32/Calculator!$F$12,1)),ABS(MOD(A32/Calculator!$F$12,1)-0.5))),1)</f>
        <v>0</v>
      </c>
      <c r="D32" s="138" t="n">
        <f aca="false">IF(Calculator!$E$13="YES",IF(A32&lt;Calculator!$G$13,0,MIN(MIN(MOD(A32/Calculator!$F$13,1),1-MOD(A32/Calculator!$F$13,1)),ABS(MOD(A32/Calculator!$F$13,1)-0.5))),1)</f>
        <v>0</v>
      </c>
      <c r="E32" s="138" t="n">
        <f aca="false">IF(Calculator!$E$14="YES",IF(A32&lt;Calculator!$G$14,0,MIN(MIN(MOD(A32/Calculator!$F$14,1),1-MOD(A32/Calculator!$F$14,1)),ABS(MOD(A32/Calculator!$F$14,1)-0.5))),1)</f>
        <v>0</v>
      </c>
      <c r="F32" s="138" t="n">
        <f aca="false">IF(Calculator!$E$15="YES",IF(A32&lt;Calculator!$G$15,0,MIN(MIN(MOD(A32/Calculator!$F$15,1),1-MOD(A32/Calculator!$F$15,1)),ABS(MOD(A32/Calculator!$F$15,1)-0.5))),1)</f>
        <v>0.0471052631578948</v>
      </c>
      <c r="G32" s="138" t="n">
        <f aca="false">IF(Calculator!$E$16="YES",IF(A32&lt;Calculator!$G$16,0,MIN(MIN(MOD(A32/Calculator!$F$16,1),1-MOD(A32/Calculator!$F$16,1)),ABS(MOD(A32/Calculator!$F$16,1)-0.5))),1)</f>
        <v>0.234052631578947</v>
      </c>
      <c r="H32" s="138" t="n">
        <f aca="false">IF(Calculator!$E$17="YES",IF(A32&lt;Calculator!$G$17,0,MIN(MIN(MOD(A32/Calculator!$F$17,1),1-MOD(A32/Calculator!$F$17,1)),ABS(MOD(A32/Calculator!$F$17,1)-0.5))),1)</f>
        <v>0.0209922807017543</v>
      </c>
      <c r="I32" s="138" t="n">
        <f aca="false">IF(Calculator!$E$18="YES",IF(A32&lt;Calculator!$G$18,0,MIN(MIN(MOD(A32/Calculator!$F$18,1),1-MOD(A32/Calculator!$F$18,1)),ABS(MOD(A32/Calculator!$F$18,1)-0.5))),1)</f>
        <v>0.146894736842105</v>
      </c>
      <c r="J32" s="138" t="n">
        <f aca="false">IF(Calculator!$E$19="YES",IF(A32&lt;Calculator!$G$19,0,MIN(MIN(MOD(A32/Calculator!$F$19,1),1-MOD(A32/Calculator!$F$19,1)),ABS(MOD(A32/Calculator!$F$19,1)-0.5))),1)</f>
        <v>0.152364912280702</v>
      </c>
      <c r="K32" s="138" t="n">
        <f aca="false">IF(Calculator!$E$20="YES",IF(A32&lt;Calculator!$G$20,0,MIN(MIN(MOD(A32/Calculator!$F$20,1),1-MOD(A32/Calculator!$F$20,1)),ABS(MOD(A32/Calculator!$F$20,1)-0.5))),1)</f>
        <v>0.0589122807017544</v>
      </c>
      <c r="L32" s="138" t="n">
        <f aca="false">IF(Calculator!$E$21="YES",IF(A32&lt;Calculator!$G$21,0,MIN(MIN(MOD(A32/Calculator!$F$21,1),1-MOD(A32/Calculator!$F$21,1)),ABS(MOD(A32/Calculator!$F$21,1)-0.5))),1)</f>
        <v>0.190175438596491</v>
      </c>
      <c r="M32" s="138" t="n">
        <f aca="false">MIN(B32:L32)</f>
        <v>0</v>
      </c>
      <c r="N32" s="138" t="n">
        <f aca="false">SUMPRODUCT(($M$5:$M$555&gt;M32)*1)+SUMPRODUCT(($M$5:$M$555=M32)*(ROW($M$5:$M$555)&lt;ROW(M32)))+1</f>
        <v>253</v>
      </c>
      <c r="O32" s="138" t="str">
        <f aca="false">IF(M32&gt;=0.2,"★★★ EXCELLENT",IF(M32&gt;=0.12,"★★  GOOD",IF(M32&gt;=0.07,"★  FAIR",IF(M32&gt;=0.025,"⚠  MARGINAL","✗  AVOID"))))</f>
        <v>✗  AVOID</v>
      </c>
    </row>
    <row r="33" customFormat="false" ht="15" hidden="false" customHeight="false" outlineLevel="0" collapsed="false">
      <c r="A33" s="135" t="n">
        <v>7.8</v>
      </c>
      <c r="B33" s="136" t="n">
        <f aca="false">IF(Calculator!$E$11="YES",IF(A33&lt;Calculator!$G$11,0,MIN(MIN(MOD(A33/Calculator!$F$11,1),1-MOD(A33/Calculator!$F$11,1)),ABS(MOD(A33/Calculator!$F$11,1)-0.5))),1)</f>
        <v>0</v>
      </c>
      <c r="C33" s="136" t="n">
        <f aca="false">IF(Calculator!$E$12="YES",IF(A33&lt;Calculator!$G$12,0,MIN(MIN(MOD(A33/Calculator!$F$12,1),1-MOD(A33/Calculator!$F$12,1)),ABS(MOD(A33/Calculator!$F$12,1)-0.5))),1)</f>
        <v>0</v>
      </c>
      <c r="D33" s="136" t="n">
        <f aca="false">IF(Calculator!$E$13="YES",IF(A33&lt;Calculator!$G$13,0,MIN(MIN(MOD(A33/Calculator!$F$13,1),1-MOD(A33/Calculator!$F$13,1)),ABS(MOD(A33/Calculator!$F$13,1)-0.5))),1)</f>
        <v>0</v>
      </c>
      <c r="E33" s="136" t="n">
        <f aca="false">IF(Calculator!$E$14="YES",IF(A33&lt;Calculator!$G$14,0,MIN(MIN(MOD(A33/Calculator!$F$14,1),1-MOD(A33/Calculator!$F$14,1)),ABS(MOD(A33/Calculator!$F$14,1)-0.5))),1)</f>
        <v>0</v>
      </c>
      <c r="F33" s="136" t="n">
        <f aca="false">IF(Calculator!$E$15="YES",IF(A33&lt;Calculator!$G$15,0,MIN(MIN(MOD(A33/Calculator!$F$15,1),1-MOD(A33/Calculator!$F$15,1)),ABS(MOD(A33/Calculator!$F$15,1)-0.5))),1)</f>
        <v>0.0542105263157895</v>
      </c>
      <c r="G33" s="136" t="n">
        <f aca="false">IF(Calculator!$E$16="YES",IF(A33&lt;Calculator!$G$16,0,MIN(MIN(MOD(A33/Calculator!$F$16,1),1-MOD(A33/Calculator!$F$16,1)),ABS(MOD(A33/Calculator!$F$16,1)-0.5))),1)</f>
        <v>0.224105263157895</v>
      </c>
      <c r="H33" s="136" t="n">
        <f aca="false">IF(Calculator!$E$17="YES",IF(A33&lt;Calculator!$G$17,0,MIN(MIN(MOD(A33/Calculator!$F$17,1),1-MOD(A33/Calculator!$F$17,1)),ABS(MOD(A33/Calculator!$F$17,1)-0.5))),1)</f>
        <v>0.00827789473684204</v>
      </c>
      <c r="I33" s="136" t="n">
        <f aca="false">IF(Calculator!$E$18="YES",IF(A33&lt;Calculator!$G$18,0,MIN(MIN(MOD(A33/Calculator!$F$18,1),1-MOD(A33/Calculator!$F$18,1)),ABS(MOD(A33/Calculator!$F$18,1)-0.5))),1)</f>
        <v>0.16178947368421</v>
      </c>
      <c r="J33" s="136" t="n">
        <f aca="false">IF(Calculator!$E$19="YES",IF(A33&lt;Calculator!$G$19,0,MIN(MIN(MOD(A33/Calculator!$F$19,1),1-MOD(A33/Calculator!$F$19,1)),ABS(MOD(A33/Calculator!$F$19,1)-0.5))),1)</f>
        <v>0.134863157894737</v>
      </c>
      <c r="K33" s="136" t="n">
        <f aca="false">IF(Calculator!$E$20="YES",IF(A33&lt;Calculator!$G$20,0,MIN(MIN(MOD(A33/Calculator!$F$20,1),1-MOD(A33/Calculator!$F$20,1)),ABS(MOD(A33/Calculator!$F$20,1)-0.5))),1)</f>
        <v>0.0791578947368421</v>
      </c>
      <c r="L33" s="136" t="n">
        <f aca="false">IF(Calculator!$E$21="YES",IF(A33&lt;Calculator!$G$21,0,MIN(MIN(MOD(A33/Calculator!$F$21,1),1-MOD(A33/Calculator!$F$21,1)),ABS(MOD(A33/Calculator!$F$21,1)-0.5))),1)</f>
        <v>0.153684210526316</v>
      </c>
      <c r="M33" s="136" t="n">
        <f aca="false">MIN(B33:L33)</f>
        <v>0</v>
      </c>
      <c r="N33" s="136" t="n">
        <f aca="false">SUMPRODUCT(($M$5:$M$555&gt;M33)*1)+SUMPRODUCT(($M$5:$M$555=M33)*(ROW($M$5:$M$555)&lt;ROW(M33)))+1</f>
        <v>254</v>
      </c>
      <c r="O33" s="136" t="str">
        <f aca="false">IF(M33&gt;=0.2,"★★★ EXCELLENT",IF(M33&gt;=0.12,"★★  GOOD",IF(M33&gt;=0.07,"★  FAIR",IF(M33&gt;=0.025,"⚠  MARGINAL","✗  AVOID"))))</f>
        <v>✗  AVOID</v>
      </c>
    </row>
    <row r="34" customFormat="false" ht="15" hidden="false" customHeight="false" outlineLevel="0" collapsed="false">
      <c r="A34" s="137" t="n">
        <v>7.9</v>
      </c>
      <c r="B34" s="138" t="n">
        <f aca="false">IF(Calculator!$E$11="YES",IF(A34&lt;Calculator!$G$11,0,MIN(MIN(MOD(A34/Calculator!$F$11,1),1-MOD(A34/Calculator!$F$11,1)),ABS(MOD(A34/Calculator!$F$11,1)-0.5))),1)</f>
        <v>0</v>
      </c>
      <c r="C34" s="138" t="n">
        <f aca="false">IF(Calculator!$E$12="YES",IF(A34&lt;Calculator!$G$12,0,MIN(MIN(MOD(A34/Calculator!$F$12,1),1-MOD(A34/Calculator!$F$12,1)),ABS(MOD(A34/Calculator!$F$12,1)-0.5))),1)</f>
        <v>0</v>
      </c>
      <c r="D34" s="138" t="n">
        <f aca="false">IF(Calculator!$E$13="YES",IF(A34&lt;Calculator!$G$13,0,MIN(MIN(MOD(A34/Calculator!$F$13,1),1-MOD(A34/Calculator!$F$13,1)),ABS(MOD(A34/Calculator!$F$13,1)-0.5))),1)</f>
        <v>0</v>
      </c>
      <c r="E34" s="138" t="n">
        <f aca="false">IF(Calculator!$E$14="YES",IF(A34&lt;Calculator!$G$14,0,MIN(MIN(MOD(A34/Calculator!$F$14,1),1-MOD(A34/Calculator!$F$14,1)),ABS(MOD(A34/Calculator!$F$14,1)-0.5))),1)</f>
        <v>0</v>
      </c>
      <c r="F34" s="138" t="n">
        <f aca="false">IF(Calculator!$E$15="YES",IF(A34&lt;Calculator!$G$15,0,MIN(MIN(MOD(A34/Calculator!$F$15,1),1-MOD(A34/Calculator!$F$15,1)),ABS(MOD(A34/Calculator!$F$15,1)-0.5))),1)</f>
        <v>0.0613157894736842</v>
      </c>
      <c r="G34" s="138" t="n">
        <f aca="false">IF(Calculator!$E$16="YES",IF(A34&lt;Calculator!$G$16,0,MIN(MIN(MOD(A34/Calculator!$F$16,1),1-MOD(A34/Calculator!$F$16,1)),ABS(MOD(A34/Calculator!$F$16,1)-0.5))),1)</f>
        <v>0.214157894736842</v>
      </c>
      <c r="H34" s="138" t="n">
        <f aca="false">IF(Calculator!$E$17="YES",IF(A34&lt;Calculator!$G$17,0,MIN(MIN(MOD(A34/Calculator!$F$17,1),1-MOD(A34/Calculator!$F$17,1)),ABS(MOD(A34/Calculator!$F$17,1)-0.5))),1)</f>
        <v>0.00443649122807033</v>
      </c>
      <c r="I34" s="138" t="n">
        <f aca="false">IF(Calculator!$E$18="YES",IF(A34&lt;Calculator!$G$18,0,MIN(MIN(MOD(A34/Calculator!$F$18,1),1-MOD(A34/Calculator!$F$18,1)),ABS(MOD(A34/Calculator!$F$18,1)-0.5))),1)</f>
        <v>0.176684210526316</v>
      </c>
      <c r="J34" s="138" t="n">
        <f aca="false">IF(Calculator!$E$19="YES",IF(A34&lt;Calculator!$G$19,0,MIN(MIN(MOD(A34/Calculator!$F$19,1),1-MOD(A34/Calculator!$F$19,1)),ABS(MOD(A34/Calculator!$F$19,1)-0.5))),1)</f>
        <v>0.117361403508772</v>
      </c>
      <c r="K34" s="138" t="n">
        <f aca="false">IF(Calculator!$E$20="YES",IF(A34&lt;Calculator!$G$20,0,MIN(MIN(MOD(A34/Calculator!$F$20,1),1-MOD(A34/Calculator!$F$20,1)),ABS(MOD(A34/Calculator!$F$20,1)-0.5))),1)</f>
        <v>0.0994035087719298</v>
      </c>
      <c r="L34" s="138" t="n">
        <f aca="false">IF(Calculator!$E$21="YES",IF(A34&lt;Calculator!$G$21,0,MIN(MIN(MOD(A34/Calculator!$F$21,1),1-MOD(A34/Calculator!$F$21,1)),ABS(MOD(A34/Calculator!$F$21,1)-0.5))),1)</f>
        <v>0.11719298245614</v>
      </c>
      <c r="M34" s="138" t="n">
        <f aca="false">MIN(B34:L34)</f>
        <v>0</v>
      </c>
      <c r="N34" s="138" t="n">
        <f aca="false">SUMPRODUCT(($M$5:$M$555&gt;M34)*1)+SUMPRODUCT(($M$5:$M$555=M34)*(ROW($M$5:$M$555)&lt;ROW(M34)))+1</f>
        <v>255</v>
      </c>
      <c r="O34" s="138" t="str">
        <f aca="false">IF(M34&gt;=0.2,"★★★ EXCELLENT",IF(M34&gt;=0.12,"★★  GOOD",IF(M34&gt;=0.07,"★  FAIR",IF(M34&gt;=0.025,"⚠  MARGINAL","✗  AVOID"))))</f>
        <v>✗  AVOID</v>
      </c>
    </row>
    <row r="35" customFormat="false" ht="15" hidden="false" customHeight="false" outlineLevel="0" collapsed="false">
      <c r="A35" s="135" t="n">
        <v>8</v>
      </c>
      <c r="B35" s="136" t="n">
        <f aca="false">IF(Calculator!$E$11="YES",IF(A35&lt;Calculator!$G$11,0,MIN(MIN(MOD(A35/Calculator!$F$11,1),1-MOD(A35/Calculator!$F$11,1)),ABS(MOD(A35/Calculator!$F$11,1)-0.5))),1)</f>
        <v>0</v>
      </c>
      <c r="C35" s="136" t="n">
        <f aca="false">IF(Calculator!$E$12="YES",IF(A35&lt;Calculator!$G$12,0,MIN(MIN(MOD(A35/Calculator!$F$12,1),1-MOD(A35/Calculator!$F$12,1)),ABS(MOD(A35/Calculator!$F$12,1)-0.5))),1)</f>
        <v>0</v>
      </c>
      <c r="D35" s="136" t="n">
        <f aca="false">IF(Calculator!$E$13="YES",IF(A35&lt;Calculator!$G$13,0,MIN(MIN(MOD(A35/Calculator!$F$13,1),1-MOD(A35/Calculator!$F$13,1)),ABS(MOD(A35/Calculator!$F$13,1)-0.5))),1)</f>
        <v>0</v>
      </c>
      <c r="E35" s="136" t="n">
        <f aca="false">IF(Calculator!$E$14="YES",IF(A35&lt;Calculator!$G$14,0,MIN(MIN(MOD(A35/Calculator!$F$14,1),1-MOD(A35/Calculator!$F$14,1)),ABS(MOD(A35/Calculator!$F$14,1)-0.5))),1)</f>
        <v>0</v>
      </c>
      <c r="F35" s="136" t="n">
        <f aca="false">IF(Calculator!$E$15="YES",IF(A35&lt;Calculator!$G$15,0,MIN(MIN(MOD(A35/Calculator!$F$15,1),1-MOD(A35/Calculator!$F$15,1)),ABS(MOD(A35/Calculator!$F$15,1)-0.5))),1)</f>
        <v>0.0684210526315789</v>
      </c>
      <c r="G35" s="136" t="n">
        <f aca="false">IF(Calculator!$E$16="YES",IF(A35&lt;Calculator!$G$16,0,MIN(MIN(MOD(A35/Calculator!$F$16,1),1-MOD(A35/Calculator!$F$16,1)),ABS(MOD(A35/Calculator!$F$16,1)-0.5))),1)</f>
        <v>0.204210526315789</v>
      </c>
      <c r="H35" s="136" t="n">
        <f aca="false">IF(Calculator!$E$17="YES",IF(A35&lt;Calculator!$G$17,0,MIN(MIN(MOD(A35/Calculator!$F$17,1),1-MOD(A35/Calculator!$F$17,1)),ABS(MOD(A35/Calculator!$F$17,1)-0.5))),1)</f>
        <v>0.0171508771929825</v>
      </c>
      <c r="I35" s="136" t="n">
        <f aca="false">IF(Calculator!$E$18="YES",IF(A35&lt;Calculator!$G$18,0,MIN(MIN(MOD(A35/Calculator!$F$18,1),1-MOD(A35/Calculator!$F$18,1)),ABS(MOD(A35/Calculator!$F$18,1)-0.5))),1)</f>
        <v>0.191578947368421</v>
      </c>
      <c r="J35" s="136" t="n">
        <f aca="false">IF(Calculator!$E$19="YES",IF(A35&lt;Calculator!$G$19,0,MIN(MIN(MOD(A35/Calculator!$F$19,1),1-MOD(A35/Calculator!$F$19,1)),ABS(MOD(A35/Calculator!$F$19,1)-0.5))),1)</f>
        <v>0.0998596491228072</v>
      </c>
      <c r="K35" s="136" t="n">
        <f aca="false">IF(Calculator!$E$20="YES",IF(A35&lt;Calculator!$G$20,0,MIN(MIN(MOD(A35/Calculator!$F$20,1),1-MOD(A35/Calculator!$F$20,1)),ABS(MOD(A35/Calculator!$F$20,1)-0.5))),1)</f>
        <v>0.119649122807018</v>
      </c>
      <c r="L35" s="136" t="n">
        <f aca="false">IF(Calculator!$E$21="YES",IF(A35&lt;Calculator!$G$21,0,MIN(MIN(MOD(A35/Calculator!$F$21,1),1-MOD(A35/Calculator!$F$21,1)),ABS(MOD(A35/Calculator!$F$21,1)-0.5))),1)</f>
        <v>0.0807017543859652</v>
      </c>
      <c r="M35" s="136" t="n">
        <f aca="false">MIN(B35:L35)</f>
        <v>0</v>
      </c>
      <c r="N35" s="136" t="n">
        <f aca="false">SUMPRODUCT(($M$5:$M$555&gt;M35)*1)+SUMPRODUCT(($M$5:$M$555=M35)*(ROW($M$5:$M$555)&lt;ROW(M35)))+1</f>
        <v>256</v>
      </c>
      <c r="O35" s="136" t="str">
        <f aca="false">IF(M35&gt;=0.2,"★★★ EXCELLENT",IF(M35&gt;=0.12,"★★  GOOD",IF(M35&gt;=0.07,"★  FAIR",IF(M35&gt;=0.025,"⚠  MARGINAL","✗  AVOID"))))</f>
        <v>✗  AVOID</v>
      </c>
    </row>
    <row r="36" customFormat="false" ht="15" hidden="false" customHeight="false" outlineLevel="0" collapsed="false">
      <c r="A36" s="137" t="n">
        <v>8.1</v>
      </c>
      <c r="B36" s="138" t="n">
        <f aca="false">IF(Calculator!$E$11="YES",IF(A36&lt;Calculator!$G$11,0,MIN(MIN(MOD(A36/Calculator!$F$11,1),1-MOD(A36/Calculator!$F$11,1)),ABS(MOD(A36/Calculator!$F$11,1)-0.5))),1)</f>
        <v>0</v>
      </c>
      <c r="C36" s="138" t="n">
        <f aca="false">IF(Calculator!$E$12="YES",IF(A36&lt;Calculator!$G$12,0,MIN(MIN(MOD(A36/Calculator!$F$12,1),1-MOD(A36/Calculator!$F$12,1)),ABS(MOD(A36/Calculator!$F$12,1)-0.5))),1)</f>
        <v>0</v>
      </c>
      <c r="D36" s="138" t="n">
        <f aca="false">IF(Calculator!$E$13="YES",IF(A36&lt;Calculator!$G$13,0,MIN(MIN(MOD(A36/Calculator!$F$13,1),1-MOD(A36/Calculator!$F$13,1)),ABS(MOD(A36/Calculator!$F$13,1)-0.5))),1)</f>
        <v>0</v>
      </c>
      <c r="E36" s="138" t="n">
        <f aca="false">IF(Calculator!$E$14="YES",IF(A36&lt;Calculator!$G$14,0,MIN(MIN(MOD(A36/Calculator!$F$14,1),1-MOD(A36/Calculator!$F$14,1)),ABS(MOD(A36/Calculator!$F$14,1)-0.5))),1)</f>
        <v>0</v>
      </c>
      <c r="F36" s="138" t="n">
        <f aca="false">IF(Calculator!$E$15="YES",IF(A36&lt;Calculator!$G$15,0,MIN(MIN(MOD(A36/Calculator!$F$15,1),1-MOD(A36/Calculator!$F$15,1)),ABS(MOD(A36/Calculator!$F$15,1)-0.5))),1)</f>
        <v>0.0755263157894737</v>
      </c>
      <c r="G36" s="138" t="n">
        <f aca="false">IF(Calculator!$E$16="YES",IF(A36&lt;Calculator!$G$16,0,MIN(MIN(MOD(A36/Calculator!$F$16,1),1-MOD(A36/Calculator!$F$16,1)),ABS(MOD(A36/Calculator!$F$16,1)-0.5))),1)</f>
        <v>0.194263157894737</v>
      </c>
      <c r="H36" s="138" t="n">
        <f aca="false">IF(Calculator!$E$17="YES",IF(A36&lt;Calculator!$G$17,0,MIN(MIN(MOD(A36/Calculator!$F$17,1),1-MOD(A36/Calculator!$F$17,1)),ABS(MOD(A36/Calculator!$F$17,1)-0.5))),1)</f>
        <v>0.0298652631578948</v>
      </c>
      <c r="I36" s="138" t="n">
        <f aca="false">IF(Calculator!$E$18="YES",IF(A36&lt;Calculator!$G$18,0,MIN(MIN(MOD(A36/Calculator!$F$18,1),1-MOD(A36/Calculator!$F$18,1)),ABS(MOD(A36/Calculator!$F$18,1)-0.5))),1)</f>
        <v>0.206473684210526</v>
      </c>
      <c r="J36" s="138" t="n">
        <f aca="false">IF(Calculator!$E$19="YES",IF(A36&lt;Calculator!$G$19,0,MIN(MIN(MOD(A36/Calculator!$F$19,1),1-MOD(A36/Calculator!$F$19,1)),ABS(MOD(A36/Calculator!$F$19,1)-0.5))),1)</f>
        <v>0.0823578947368424</v>
      </c>
      <c r="K36" s="138" t="n">
        <f aca="false">IF(Calculator!$E$20="YES",IF(A36&lt;Calculator!$G$20,0,MIN(MIN(MOD(A36/Calculator!$F$20,1),1-MOD(A36/Calculator!$F$20,1)),ABS(MOD(A36/Calculator!$F$20,1)-0.5))),1)</f>
        <v>0.139894736842105</v>
      </c>
      <c r="L36" s="138" t="n">
        <f aca="false">IF(Calculator!$E$21="YES",IF(A36&lt;Calculator!$G$21,0,MIN(MIN(MOD(A36/Calculator!$F$21,1),1-MOD(A36/Calculator!$F$21,1)),ABS(MOD(A36/Calculator!$F$21,1)-0.5))),1)</f>
        <v>0.0442105263157897</v>
      </c>
      <c r="M36" s="138" t="n">
        <f aca="false">MIN(B36:L36)</f>
        <v>0</v>
      </c>
      <c r="N36" s="138" t="n">
        <f aca="false">SUMPRODUCT(($M$5:$M$555&gt;M36)*1)+SUMPRODUCT(($M$5:$M$555=M36)*(ROW($M$5:$M$555)&lt;ROW(M36)))+1</f>
        <v>257</v>
      </c>
      <c r="O36" s="138" t="str">
        <f aca="false">IF(M36&gt;=0.2,"★★★ EXCELLENT",IF(M36&gt;=0.12,"★★  GOOD",IF(M36&gt;=0.07,"★  FAIR",IF(M36&gt;=0.025,"⚠  MARGINAL","✗  AVOID"))))</f>
        <v>✗  AVOID</v>
      </c>
    </row>
    <row r="37" customFormat="false" ht="15" hidden="false" customHeight="false" outlineLevel="0" collapsed="false">
      <c r="A37" s="135" t="n">
        <v>8.2</v>
      </c>
      <c r="B37" s="136" t="n">
        <f aca="false">IF(Calculator!$E$11="YES",IF(A37&lt;Calculator!$G$11,0,MIN(MIN(MOD(A37/Calculator!$F$11,1),1-MOD(A37/Calculator!$F$11,1)),ABS(MOD(A37/Calculator!$F$11,1)-0.5))),1)</f>
        <v>0</v>
      </c>
      <c r="C37" s="136" t="n">
        <f aca="false">IF(Calculator!$E$12="YES",IF(A37&lt;Calculator!$G$12,0,MIN(MIN(MOD(A37/Calculator!$F$12,1),1-MOD(A37/Calculator!$F$12,1)),ABS(MOD(A37/Calculator!$F$12,1)-0.5))),1)</f>
        <v>0</v>
      </c>
      <c r="D37" s="136" t="n">
        <f aca="false">IF(Calculator!$E$13="YES",IF(A37&lt;Calculator!$G$13,0,MIN(MIN(MOD(A37/Calculator!$F$13,1),1-MOD(A37/Calculator!$F$13,1)),ABS(MOD(A37/Calculator!$F$13,1)-0.5))),1)</f>
        <v>0</v>
      </c>
      <c r="E37" s="136" t="n">
        <f aca="false">IF(Calculator!$E$14="YES",IF(A37&lt;Calculator!$G$14,0,MIN(MIN(MOD(A37/Calculator!$F$14,1),1-MOD(A37/Calculator!$F$14,1)),ABS(MOD(A37/Calculator!$F$14,1)-0.5))),1)</f>
        <v>0</v>
      </c>
      <c r="F37" s="136" t="n">
        <f aca="false">IF(Calculator!$E$15="YES",IF(A37&lt;Calculator!$G$15,0,MIN(MIN(MOD(A37/Calculator!$F$15,1),1-MOD(A37/Calculator!$F$15,1)),ABS(MOD(A37/Calculator!$F$15,1)-0.5))),1)</f>
        <v>0.0826315789473684</v>
      </c>
      <c r="G37" s="136" t="n">
        <f aca="false">IF(Calculator!$E$16="YES",IF(A37&lt;Calculator!$G$16,0,MIN(MIN(MOD(A37/Calculator!$F$16,1),1-MOD(A37/Calculator!$F$16,1)),ABS(MOD(A37/Calculator!$F$16,1)-0.5))),1)</f>
        <v>0.184315789473684</v>
      </c>
      <c r="H37" s="136" t="n">
        <f aca="false">IF(Calculator!$E$17="YES",IF(A37&lt;Calculator!$G$17,0,MIN(MIN(MOD(A37/Calculator!$F$17,1),1-MOD(A37/Calculator!$F$17,1)),ABS(MOD(A37/Calculator!$F$17,1)-0.5))),1)</f>
        <v>0.042579649122807</v>
      </c>
      <c r="I37" s="136" t="n">
        <f aca="false">IF(Calculator!$E$18="YES",IF(A37&lt;Calculator!$G$18,0,MIN(MIN(MOD(A37/Calculator!$F$18,1),1-MOD(A37/Calculator!$F$18,1)),ABS(MOD(A37/Calculator!$F$18,1)-0.5))),1)</f>
        <v>0.221368421052631</v>
      </c>
      <c r="J37" s="136" t="n">
        <f aca="false">IF(Calculator!$E$19="YES",IF(A37&lt;Calculator!$G$19,0,MIN(MIN(MOD(A37/Calculator!$F$19,1),1-MOD(A37/Calculator!$F$19,1)),ABS(MOD(A37/Calculator!$F$19,1)-0.5))),1)</f>
        <v>0.0648561403508776</v>
      </c>
      <c r="K37" s="136" t="n">
        <f aca="false">IF(Calculator!$E$20="YES",IF(A37&lt;Calculator!$G$20,0,MIN(MIN(MOD(A37/Calculator!$F$20,1),1-MOD(A37/Calculator!$F$20,1)),ABS(MOD(A37/Calculator!$F$20,1)-0.5))),1)</f>
        <v>0.160140350877193</v>
      </c>
      <c r="L37" s="136" t="n">
        <f aca="false">IF(Calculator!$E$21="YES",IF(A37&lt;Calculator!$G$21,0,MIN(MIN(MOD(A37/Calculator!$F$21,1),1-MOD(A37/Calculator!$F$21,1)),ABS(MOD(A37/Calculator!$F$21,1)-0.5))),1)</f>
        <v>0.00771929824561424</v>
      </c>
      <c r="M37" s="136" t="n">
        <f aca="false">MIN(B37:L37)</f>
        <v>0</v>
      </c>
      <c r="N37" s="136" t="n">
        <f aca="false">SUMPRODUCT(($M$5:$M$555&gt;M37)*1)+SUMPRODUCT(($M$5:$M$555=M37)*(ROW($M$5:$M$555)&lt;ROW(M37)))+1</f>
        <v>258</v>
      </c>
      <c r="O37" s="136" t="str">
        <f aca="false">IF(M37&gt;=0.2,"★★★ EXCELLENT",IF(M37&gt;=0.12,"★★  GOOD",IF(M37&gt;=0.07,"★  FAIR",IF(M37&gt;=0.025,"⚠  MARGINAL","✗  AVOID"))))</f>
        <v>✗  AVOID</v>
      </c>
    </row>
    <row r="38" customFormat="false" ht="15" hidden="false" customHeight="false" outlineLevel="0" collapsed="false">
      <c r="A38" s="137" t="n">
        <v>8.3</v>
      </c>
      <c r="B38" s="138" t="n">
        <f aca="false">IF(Calculator!$E$11="YES",IF(A38&lt;Calculator!$G$11,0,MIN(MIN(MOD(A38/Calculator!$F$11,1),1-MOD(A38/Calculator!$F$11,1)),ABS(MOD(A38/Calculator!$F$11,1)-0.5))),1)</f>
        <v>0</v>
      </c>
      <c r="C38" s="138" t="n">
        <f aca="false">IF(Calculator!$E$12="YES",IF(A38&lt;Calculator!$G$12,0,MIN(MIN(MOD(A38/Calculator!$F$12,1),1-MOD(A38/Calculator!$F$12,1)),ABS(MOD(A38/Calculator!$F$12,1)-0.5))),1)</f>
        <v>0</v>
      </c>
      <c r="D38" s="138" t="n">
        <f aca="false">IF(Calculator!$E$13="YES",IF(A38&lt;Calculator!$G$13,0,MIN(MIN(MOD(A38/Calculator!$F$13,1),1-MOD(A38/Calculator!$F$13,1)),ABS(MOD(A38/Calculator!$F$13,1)-0.5))),1)</f>
        <v>0</v>
      </c>
      <c r="E38" s="138" t="n">
        <f aca="false">IF(Calculator!$E$14="YES",IF(A38&lt;Calculator!$G$14,0,MIN(MIN(MOD(A38/Calculator!$F$14,1),1-MOD(A38/Calculator!$F$14,1)),ABS(MOD(A38/Calculator!$F$14,1)-0.5))),1)</f>
        <v>0</v>
      </c>
      <c r="F38" s="138" t="n">
        <f aca="false">IF(Calculator!$E$15="YES",IF(A38&lt;Calculator!$G$15,0,MIN(MIN(MOD(A38/Calculator!$F$15,1),1-MOD(A38/Calculator!$F$15,1)),ABS(MOD(A38/Calculator!$F$15,1)-0.5))),1)</f>
        <v>0.0897368421052632</v>
      </c>
      <c r="G38" s="138" t="n">
        <f aca="false">IF(Calculator!$E$16="YES",IF(A38&lt;Calculator!$G$16,0,MIN(MIN(MOD(A38/Calculator!$F$16,1),1-MOD(A38/Calculator!$F$16,1)),ABS(MOD(A38/Calculator!$F$16,1)-0.5))),1)</f>
        <v>0.174368421052631</v>
      </c>
      <c r="H38" s="138" t="n">
        <f aca="false">IF(Calculator!$E$17="YES",IF(A38&lt;Calculator!$G$17,0,MIN(MIN(MOD(A38/Calculator!$F$17,1),1-MOD(A38/Calculator!$F$17,1)),ABS(MOD(A38/Calculator!$F$17,1)-0.5))),1)</f>
        <v>0.0552940350877196</v>
      </c>
      <c r="I38" s="138" t="n">
        <f aca="false">IF(Calculator!$E$18="YES",IF(A38&lt;Calculator!$G$18,0,MIN(MIN(MOD(A38/Calculator!$F$18,1),1-MOD(A38/Calculator!$F$18,1)),ABS(MOD(A38/Calculator!$F$18,1)-0.5))),1)</f>
        <v>0.236263157894737</v>
      </c>
      <c r="J38" s="138" t="n">
        <f aca="false">IF(Calculator!$E$19="YES",IF(A38&lt;Calculator!$G$19,0,MIN(MIN(MOD(A38/Calculator!$F$19,1),1-MOD(A38/Calculator!$F$19,1)),ABS(MOD(A38/Calculator!$F$19,1)-0.5))),1)</f>
        <v>0.0473543859649124</v>
      </c>
      <c r="K38" s="138" t="n">
        <f aca="false">IF(Calculator!$E$20="YES",IF(A38&lt;Calculator!$G$20,0,MIN(MIN(MOD(A38/Calculator!$F$20,1),1-MOD(A38/Calculator!$F$20,1)),ABS(MOD(A38/Calculator!$F$20,1)-0.5))),1)</f>
        <v>0.180385964912281</v>
      </c>
      <c r="L38" s="138" t="n">
        <f aca="false">IF(Calculator!$E$21="YES",IF(A38&lt;Calculator!$G$21,0,MIN(MIN(MOD(A38/Calculator!$F$21,1),1-MOD(A38/Calculator!$F$21,1)),ABS(MOD(A38/Calculator!$F$21,1)-0.5))),1)</f>
        <v>0.0287719298245617</v>
      </c>
      <c r="M38" s="138" t="n">
        <f aca="false">MIN(B38:L38)</f>
        <v>0</v>
      </c>
      <c r="N38" s="138" t="n">
        <f aca="false">SUMPRODUCT(($M$5:$M$555&gt;M38)*1)+SUMPRODUCT(($M$5:$M$555=M38)*(ROW($M$5:$M$555)&lt;ROW(M38)))+1</f>
        <v>259</v>
      </c>
      <c r="O38" s="138" t="str">
        <f aca="false">IF(M38&gt;=0.2,"★★★ EXCELLENT",IF(M38&gt;=0.12,"★★  GOOD",IF(M38&gt;=0.07,"★  FAIR",IF(M38&gt;=0.025,"⚠  MARGINAL","✗  AVOID"))))</f>
        <v>✗  AVOID</v>
      </c>
    </row>
    <row r="39" customFormat="false" ht="15" hidden="false" customHeight="false" outlineLevel="0" collapsed="false">
      <c r="A39" s="135" t="n">
        <v>8.4</v>
      </c>
      <c r="B39" s="136" t="n">
        <f aca="false">IF(Calculator!$E$11="YES",IF(A39&lt;Calculator!$G$11,0,MIN(MIN(MOD(A39/Calculator!$F$11,1),1-MOD(A39/Calculator!$F$11,1)),ABS(MOD(A39/Calculator!$F$11,1)-0.5))),1)</f>
        <v>0</v>
      </c>
      <c r="C39" s="136" t="n">
        <f aca="false">IF(Calculator!$E$12="YES",IF(A39&lt;Calculator!$G$12,0,MIN(MIN(MOD(A39/Calculator!$F$12,1),1-MOD(A39/Calculator!$F$12,1)),ABS(MOD(A39/Calculator!$F$12,1)-0.5))),1)</f>
        <v>0</v>
      </c>
      <c r="D39" s="136" t="n">
        <f aca="false">IF(Calculator!$E$13="YES",IF(A39&lt;Calculator!$G$13,0,MIN(MIN(MOD(A39/Calculator!$F$13,1),1-MOD(A39/Calculator!$F$13,1)),ABS(MOD(A39/Calculator!$F$13,1)-0.5))),1)</f>
        <v>0</v>
      </c>
      <c r="E39" s="136" t="n">
        <f aca="false">IF(Calculator!$E$14="YES",IF(A39&lt;Calculator!$G$14,0,MIN(MIN(MOD(A39/Calculator!$F$14,1),1-MOD(A39/Calculator!$F$14,1)),ABS(MOD(A39/Calculator!$F$14,1)-0.5))),1)</f>
        <v>0</v>
      </c>
      <c r="F39" s="136" t="n">
        <f aca="false">IF(Calculator!$E$15="YES",IF(A39&lt;Calculator!$G$15,0,MIN(MIN(MOD(A39/Calculator!$F$15,1),1-MOD(A39/Calculator!$F$15,1)),ABS(MOD(A39/Calculator!$F$15,1)-0.5))),1)</f>
        <v>0.096842105263158</v>
      </c>
      <c r="G39" s="136" t="n">
        <f aca="false">IF(Calculator!$E$16="YES",IF(A39&lt;Calculator!$G$16,0,MIN(MIN(MOD(A39/Calculator!$F$16,1),1-MOD(A39/Calculator!$F$16,1)),ABS(MOD(A39/Calculator!$F$16,1)-0.5))),1)</f>
        <v>0.164421052631579</v>
      </c>
      <c r="H39" s="136" t="n">
        <f aca="false">IF(Calculator!$E$17="YES",IF(A39&lt;Calculator!$G$17,0,MIN(MIN(MOD(A39/Calculator!$F$17,1),1-MOD(A39/Calculator!$F$17,1)),ABS(MOD(A39/Calculator!$F$17,1)-0.5))),1)</f>
        <v>0.0680084210526317</v>
      </c>
      <c r="I39" s="136" t="n">
        <f aca="false">IF(Calculator!$E$18="YES",IF(A39&lt;Calculator!$G$18,0,MIN(MIN(MOD(A39/Calculator!$F$18,1),1-MOD(A39/Calculator!$F$18,1)),ABS(MOD(A39/Calculator!$F$18,1)-0.5))),1)</f>
        <v>0.248842105263158</v>
      </c>
      <c r="J39" s="136" t="n">
        <f aca="false">IF(Calculator!$E$19="YES",IF(A39&lt;Calculator!$G$19,0,MIN(MIN(MOD(A39/Calculator!$F$19,1),1-MOD(A39/Calculator!$F$19,1)),ABS(MOD(A39/Calculator!$F$19,1)-0.5))),1)</f>
        <v>0.0298526315789476</v>
      </c>
      <c r="K39" s="136" t="n">
        <f aca="false">IF(Calculator!$E$20="YES",IF(A39&lt;Calculator!$G$20,0,MIN(MIN(MOD(A39/Calculator!$F$20,1),1-MOD(A39/Calculator!$F$20,1)),ABS(MOD(A39/Calculator!$F$20,1)-0.5))),1)</f>
        <v>0.200631578947369</v>
      </c>
      <c r="L39" s="136" t="n">
        <f aca="false">IF(Calculator!$E$21="YES",IF(A39&lt;Calculator!$G$21,0,MIN(MIN(MOD(A39/Calculator!$F$21,1),1-MOD(A39/Calculator!$F$21,1)),ABS(MOD(A39/Calculator!$F$21,1)-0.5))),1)</f>
        <v>0.0652631578947371</v>
      </c>
      <c r="M39" s="136" t="n">
        <f aca="false">MIN(B39:L39)</f>
        <v>0</v>
      </c>
      <c r="N39" s="136" t="n">
        <f aca="false">SUMPRODUCT(($M$5:$M$555&gt;M39)*1)+SUMPRODUCT(($M$5:$M$555=M39)*(ROW($M$5:$M$555)&lt;ROW(M39)))+1</f>
        <v>260</v>
      </c>
      <c r="O39" s="136" t="str">
        <f aca="false">IF(M39&gt;=0.2,"★★★ EXCELLENT",IF(M39&gt;=0.12,"★★  GOOD",IF(M39&gt;=0.07,"★  FAIR",IF(M39&gt;=0.025,"⚠  MARGINAL","✗  AVOID"))))</f>
        <v>✗  AVOID</v>
      </c>
    </row>
    <row r="40" customFormat="false" ht="15" hidden="false" customHeight="false" outlineLevel="0" collapsed="false">
      <c r="A40" s="137" t="n">
        <v>8.5</v>
      </c>
      <c r="B40" s="138" t="n">
        <f aca="false">IF(Calculator!$E$11="YES",IF(A40&lt;Calculator!$G$11,0,MIN(MIN(MOD(A40/Calculator!$F$11,1),1-MOD(A40/Calculator!$F$11,1)),ABS(MOD(A40/Calculator!$F$11,1)-0.5))),1)</f>
        <v>0</v>
      </c>
      <c r="C40" s="138" t="n">
        <f aca="false">IF(Calculator!$E$12="YES",IF(A40&lt;Calculator!$G$12,0,MIN(MIN(MOD(A40/Calculator!$F$12,1),1-MOD(A40/Calculator!$F$12,1)),ABS(MOD(A40/Calculator!$F$12,1)-0.5))),1)</f>
        <v>0</v>
      </c>
      <c r="D40" s="138" t="n">
        <f aca="false">IF(Calculator!$E$13="YES",IF(A40&lt;Calculator!$G$13,0,MIN(MIN(MOD(A40/Calculator!$F$13,1),1-MOD(A40/Calculator!$F$13,1)),ABS(MOD(A40/Calculator!$F$13,1)-0.5))),1)</f>
        <v>0</v>
      </c>
      <c r="E40" s="138" t="n">
        <f aca="false">IF(Calculator!$E$14="YES",IF(A40&lt;Calculator!$G$14,0,MIN(MIN(MOD(A40/Calculator!$F$14,1),1-MOD(A40/Calculator!$F$14,1)),ABS(MOD(A40/Calculator!$F$14,1)-0.5))),1)</f>
        <v>0</v>
      </c>
      <c r="F40" s="138" t="n">
        <f aca="false">IF(Calculator!$E$15="YES",IF(A40&lt;Calculator!$G$15,0,MIN(MIN(MOD(A40/Calculator!$F$15,1),1-MOD(A40/Calculator!$F$15,1)),ABS(MOD(A40/Calculator!$F$15,1)-0.5))),1)</f>
        <v>0.103947368421053</v>
      </c>
      <c r="G40" s="138" t="n">
        <f aca="false">IF(Calculator!$E$16="YES",IF(A40&lt;Calculator!$G$16,0,MIN(MIN(MOD(A40/Calculator!$F$16,1),1-MOD(A40/Calculator!$F$16,1)),ABS(MOD(A40/Calculator!$F$16,1)-0.5))),1)</f>
        <v>0.154473684210526</v>
      </c>
      <c r="H40" s="138" t="n">
        <f aca="false">IF(Calculator!$E$17="YES",IF(A40&lt;Calculator!$G$17,0,MIN(MIN(MOD(A40/Calculator!$F$17,1),1-MOD(A40/Calculator!$F$17,1)),ABS(MOD(A40/Calculator!$F$17,1)-0.5))),1)</f>
        <v>0.0807228070175441</v>
      </c>
      <c r="I40" s="138" t="n">
        <f aca="false">IF(Calculator!$E$18="YES",IF(A40&lt;Calculator!$G$18,0,MIN(MIN(MOD(A40/Calculator!$F$18,1),1-MOD(A40/Calculator!$F$18,1)),ABS(MOD(A40/Calculator!$F$18,1)-0.5))),1)</f>
        <v>0.233947368421053</v>
      </c>
      <c r="J40" s="138" t="n">
        <f aca="false">IF(Calculator!$E$19="YES",IF(A40&lt;Calculator!$G$19,0,MIN(MIN(MOD(A40/Calculator!$F$19,1),1-MOD(A40/Calculator!$F$19,1)),ABS(MOD(A40/Calculator!$F$19,1)-0.5))),1)</f>
        <v>0.0123508771929828</v>
      </c>
      <c r="K40" s="138" t="n">
        <f aca="false">IF(Calculator!$E$20="YES",IF(A40&lt;Calculator!$G$20,0,MIN(MIN(MOD(A40/Calculator!$F$20,1),1-MOD(A40/Calculator!$F$20,1)),ABS(MOD(A40/Calculator!$F$20,1)-0.5))),1)</f>
        <v>0.220877192982456</v>
      </c>
      <c r="L40" s="138" t="n">
        <f aca="false">IF(Calculator!$E$21="YES",IF(A40&lt;Calculator!$G$21,0,MIN(MIN(MOD(A40/Calculator!$F$21,1),1-MOD(A40/Calculator!$F$21,1)),ABS(MOD(A40/Calculator!$F$21,1)-0.5))),1)</f>
        <v>0.101754385964912</v>
      </c>
      <c r="M40" s="138" t="n">
        <f aca="false">MIN(B40:L40)</f>
        <v>0</v>
      </c>
      <c r="N40" s="138" t="n">
        <f aca="false">SUMPRODUCT(($M$5:$M$555&gt;M40)*1)+SUMPRODUCT(($M$5:$M$555=M40)*(ROW($M$5:$M$555)&lt;ROW(M40)))+1</f>
        <v>261</v>
      </c>
      <c r="O40" s="138" t="str">
        <f aca="false">IF(M40&gt;=0.2,"★★★ EXCELLENT",IF(M40&gt;=0.12,"★★  GOOD",IF(M40&gt;=0.07,"★  FAIR",IF(M40&gt;=0.025,"⚠  MARGINAL","✗  AVOID"))))</f>
        <v>✗  AVOID</v>
      </c>
    </row>
    <row r="41" customFormat="false" ht="15" hidden="false" customHeight="false" outlineLevel="0" collapsed="false">
      <c r="A41" s="135" t="n">
        <v>8.6</v>
      </c>
      <c r="B41" s="136" t="n">
        <f aca="false">IF(Calculator!$E$11="YES",IF(A41&lt;Calculator!$G$11,0,MIN(MIN(MOD(A41/Calculator!$F$11,1),1-MOD(A41/Calculator!$F$11,1)),ABS(MOD(A41/Calculator!$F$11,1)-0.5))),1)</f>
        <v>0</v>
      </c>
      <c r="C41" s="136" t="n">
        <f aca="false">IF(Calculator!$E$12="YES",IF(A41&lt;Calculator!$G$12,0,MIN(MIN(MOD(A41/Calculator!$F$12,1),1-MOD(A41/Calculator!$F$12,1)),ABS(MOD(A41/Calculator!$F$12,1)-0.5))),1)</f>
        <v>0</v>
      </c>
      <c r="D41" s="136" t="n">
        <f aca="false">IF(Calculator!$E$13="YES",IF(A41&lt;Calculator!$G$13,0,MIN(MIN(MOD(A41/Calculator!$F$13,1),1-MOD(A41/Calculator!$F$13,1)),ABS(MOD(A41/Calculator!$F$13,1)-0.5))),1)</f>
        <v>0</v>
      </c>
      <c r="E41" s="136" t="n">
        <f aca="false">IF(Calculator!$E$14="YES",IF(A41&lt;Calculator!$G$14,0,MIN(MIN(MOD(A41/Calculator!$F$14,1),1-MOD(A41/Calculator!$F$14,1)),ABS(MOD(A41/Calculator!$F$14,1)-0.5))),1)</f>
        <v>0</v>
      </c>
      <c r="F41" s="136" t="n">
        <f aca="false">IF(Calculator!$E$15="YES",IF(A41&lt;Calculator!$G$15,0,MIN(MIN(MOD(A41/Calculator!$F$15,1),1-MOD(A41/Calculator!$F$15,1)),ABS(MOD(A41/Calculator!$F$15,1)-0.5))),1)</f>
        <v>0.111052631578947</v>
      </c>
      <c r="G41" s="136" t="n">
        <f aca="false">IF(Calculator!$E$16="YES",IF(A41&lt;Calculator!$G$16,0,MIN(MIN(MOD(A41/Calculator!$F$16,1),1-MOD(A41/Calculator!$F$16,1)),ABS(MOD(A41/Calculator!$F$16,1)-0.5))),1)</f>
        <v>0.144526315789474</v>
      </c>
      <c r="H41" s="136" t="n">
        <f aca="false">IF(Calculator!$E$17="YES",IF(A41&lt;Calculator!$G$17,0,MIN(MIN(MOD(A41/Calculator!$F$17,1),1-MOD(A41/Calculator!$F$17,1)),ABS(MOD(A41/Calculator!$F$17,1)-0.5))),1)</f>
        <v>0.0934371929824562</v>
      </c>
      <c r="I41" s="136" t="n">
        <f aca="false">IF(Calculator!$E$18="YES",IF(A41&lt;Calculator!$G$18,0,MIN(MIN(MOD(A41/Calculator!$F$18,1),1-MOD(A41/Calculator!$F$18,1)),ABS(MOD(A41/Calculator!$F$18,1)-0.5))),1)</f>
        <v>0.219052631578947</v>
      </c>
      <c r="J41" s="136" t="n">
        <f aca="false">IF(Calculator!$E$19="YES",IF(A41&lt;Calculator!$G$19,0,MIN(MIN(MOD(A41/Calculator!$F$19,1),1-MOD(A41/Calculator!$F$19,1)),ABS(MOD(A41/Calculator!$F$19,1)-0.5))),1)</f>
        <v>0.00515087719298224</v>
      </c>
      <c r="K41" s="136" t="n">
        <f aca="false">IF(Calculator!$E$20="YES",IF(A41&lt;Calculator!$G$20,0,MIN(MIN(MOD(A41/Calculator!$F$20,1),1-MOD(A41/Calculator!$F$20,1)),ABS(MOD(A41/Calculator!$F$20,1)-0.5))),1)</f>
        <v>0.241122807017544</v>
      </c>
      <c r="L41" s="136" t="n">
        <f aca="false">IF(Calculator!$E$21="YES",IF(A41&lt;Calculator!$G$21,0,MIN(MIN(MOD(A41/Calculator!$F$21,1),1-MOD(A41/Calculator!$F$21,1)),ABS(MOD(A41/Calculator!$F$21,1)-0.5))),1)</f>
        <v>0.138245614035088</v>
      </c>
      <c r="M41" s="136" t="n">
        <f aca="false">MIN(B41:L41)</f>
        <v>0</v>
      </c>
      <c r="N41" s="136" t="n">
        <f aca="false">SUMPRODUCT(($M$5:$M$555&gt;M41)*1)+SUMPRODUCT(($M$5:$M$555=M41)*(ROW($M$5:$M$555)&lt;ROW(M41)))+1</f>
        <v>262</v>
      </c>
      <c r="O41" s="136" t="str">
        <f aca="false">IF(M41&gt;=0.2,"★★★ EXCELLENT",IF(M41&gt;=0.12,"★★  GOOD",IF(M41&gt;=0.07,"★  FAIR",IF(M41&gt;=0.025,"⚠  MARGINAL","✗  AVOID"))))</f>
        <v>✗  AVOID</v>
      </c>
    </row>
    <row r="42" customFormat="false" ht="15" hidden="false" customHeight="false" outlineLevel="0" collapsed="false">
      <c r="A42" s="137" t="n">
        <v>8.7</v>
      </c>
      <c r="B42" s="138" t="n">
        <f aca="false">IF(Calculator!$E$11="YES",IF(A42&lt;Calculator!$G$11,0,MIN(MIN(MOD(A42/Calculator!$F$11,1),1-MOD(A42/Calculator!$F$11,1)),ABS(MOD(A42/Calculator!$F$11,1)-0.5))),1)</f>
        <v>0</v>
      </c>
      <c r="C42" s="138" t="n">
        <f aca="false">IF(Calculator!$E$12="YES",IF(A42&lt;Calculator!$G$12,0,MIN(MIN(MOD(A42/Calculator!$F$12,1),1-MOD(A42/Calculator!$F$12,1)),ABS(MOD(A42/Calculator!$F$12,1)-0.5))),1)</f>
        <v>0</v>
      </c>
      <c r="D42" s="138" t="n">
        <f aca="false">IF(Calculator!$E$13="YES",IF(A42&lt;Calculator!$G$13,0,MIN(MIN(MOD(A42/Calculator!$F$13,1),1-MOD(A42/Calculator!$F$13,1)),ABS(MOD(A42/Calculator!$F$13,1)-0.5))),1)</f>
        <v>0</v>
      </c>
      <c r="E42" s="138" t="n">
        <f aca="false">IF(Calculator!$E$14="YES",IF(A42&lt;Calculator!$G$14,0,MIN(MIN(MOD(A42/Calculator!$F$14,1),1-MOD(A42/Calculator!$F$14,1)),ABS(MOD(A42/Calculator!$F$14,1)-0.5))),1)</f>
        <v>0</v>
      </c>
      <c r="F42" s="138" t="n">
        <f aca="false">IF(Calculator!$E$15="YES",IF(A42&lt;Calculator!$G$15,0,MIN(MIN(MOD(A42/Calculator!$F$15,1),1-MOD(A42/Calculator!$F$15,1)),ABS(MOD(A42/Calculator!$F$15,1)-0.5))),1)</f>
        <v>0.118157894736842</v>
      </c>
      <c r="G42" s="138" t="n">
        <f aca="false">IF(Calculator!$E$16="YES",IF(A42&lt;Calculator!$G$16,0,MIN(MIN(MOD(A42/Calculator!$F$16,1),1-MOD(A42/Calculator!$F$16,1)),ABS(MOD(A42/Calculator!$F$16,1)-0.5))),1)</f>
        <v>0.134578947368421</v>
      </c>
      <c r="H42" s="138" t="n">
        <f aca="false">IF(Calculator!$E$17="YES",IF(A42&lt;Calculator!$G$17,0,MIN(MIN(MOD(A42/Calculator!$F$17,1),1-MOD(A42/Calculator!$F$17,1)),ABS(MOD(A42/Calculator!$F$17,1)-0.5))),1)</f>
        <v>0.106151578947368</v>
      </c>
      <c r="I42" s="138" t="n">
        <f aca="false">IF(Calculator!$E$18="YES",IF(A42&lt;Calculator!$G$18,0,MIN(MIN(MOD(A42/Calculator!$F$18,1),1-MOD(A42/Calculator!$F$18,1)),ABS(MOD(A42/Calculator!$F$18,1)-0.5))),1)</f>
        <v>0.204157894736842</v>
      </c>
      <c r="J42" s="138" t="n">
        <f aca="false">IF(Calculator!$E$19="YES",IF(A42&lt;Calculator!$G$19,0,MIN(MIN(MOD(A42/Calculator!$F$19,1),1-MOD(A42/Calculator!$F$19,1)),ABS(MOD(A42/Calculator!$F$19,1)-0.5))),1)</f>
        <v>0.022652631578947</v>
      </c>
      <c r="K42" s="138" t="n">
        <f aca="false">IF(Calculator!$E$20="YES",IF(A42&lt;Calculator!$G$20,0,MIN(MIN(MOD(A42/Calculator!$F$20,1),1-MOD(A42/Calculator!$F$20,1)),ABS(MOD(A42/Calculator!$F$20,1)-0.5))),1)</f>
        <v>0.238631578947369</v>
      </c>
      <c r="L42" s="138" t="n">
        <f aca="false">IF(Calculator!$E$21="YES",IF(A42&lt;Calculator!$G$21,0,MIN(MIN(MOD(A42/Calculator!$F$21,1),1-MOD(A42/Calculator!$F$21,1)),ABS(MOD(A42/Calculator!$F$21,1)-0.5))),1)</f>
        <v>0.174736842105263</v>
      </c>
      <c r="M42" s="138" t="n">
        <f aca="false">MIN(B42:L42)</f>
        <v>0</v>
      </c>
      <c r="N42" s="138" t="n">
        <f aca="false">SUMPRODUCT(($M$5:$M$555&gt;M42)*1)+SUMPRODUCT(($M$5:$M$555=M42)*(ROW($M$5:$M$555)&lt;ROW(M42)))+1</f>
        <v>263</v>
      </c>
      <c r="O42" s="138" t="str">
        <f aca="false">IF(M42&gt;=0.2,"★★★ EXCELLENT",IF(M42&gt;=0.12,"★★  GOOD",IF(M42&gt;=0.07,"★  FAIR",IF(M42&gt;=0.025,"⚠  MARGINAL","✗  AVOID"))))</f>
        <v>✗  AVOID</v>
      </c>
    </row>
    <row r="43" customFormat="false" ht="15" hidden="false" customHeight="false" outlineLevel="0" collapsed="false">
      <c r="A43" s="135" t="n">
        <v>8.8</v>
      </c>
      <c r="B43" s="136" t="n">
        <f aca="false">IF(Calculator!$E$11="YES",IF(A43&lt;Calculator!$G$11,0,MIN(MIN(MOD(A43/Calculator!$F$11,1),1-MOD(A43/Calculator!$F$11,1)),ABS(MOD(A43/Calculator!$F$11,1)-0.5))),1)</f>
        <v>0</v>
      </c>
      <c r="C43" s="136" t="n">
        <f aca="false">IF(Calculator!$E$12="YES",IF(A43&lt;Calculator!$G$12,0,MIN(MIN(MOD(A43/Calculator!$F$12,1),1-MOD(A43/Calculator!$F$12,1)),ABS(MOD(A43/Calculator!$F$12,1)-0.5))),1)</f>
        <v>0</v>
      </c>
      <c r="D43" s="136" t="n">
        <f aca="false">IF(Calculator!$E$13="YES",IF(A43&lt;Calculator!$G$13,0,MIN(MIN(MOD(A43/Calculator!$F$13,1),1-MOD(A43/Calculator!$F$13,1)),ABS(MOD(A43/Calculator!$F$13,1)-0.5))),1)</f>
        <v>0</v>
      </c>
      <c r="E43" s="136" t="n">
        <f aca="false">IF(Calculator!$E$14="YES",IF(A43&lt;Calculator!$G$14,0,MIN(MIN(MOD(A43/Calculator!$F$14,1),1-MOD(A43/Calculator!$F$14,1)),ABS(MOD(A43/Calculator!$F$14,1)-0.5))),1)</f>
        <v>0</v>
      </c>
      <c r="F43" s="136" t="n">
        <f aca="false">IF(Calculator!$E$15="YES",IF(A43&lt;Calculator!$G$15,0,MIN(MIN(MOD(A43/Calculator!$F$15,1),1-MOD(A43/Calculator!$F$15,1)),ABS(MOD(A43/Calculator!$F$15,1)-0.5))),1)</f>
        <v>0.125263157894737</v>
      </c>
      <c r="G43" s="136" t="n">
        <f aca="false">IF(Calculator!$E$16="YES",IF(A43&lt;Calculator!$G$16,0,MIN(MIN(MOD(A43/Calculator!$F$16,1),1-MOD(A43/Calculator!$F$16,1)),ABS(MOD(A43/Calculator!$F$16,1)-0.5))),1)</f>
        <v>0.124631578947368</v>
      </c>
      <c r="H43" s="136" t="n">
        <f aca="false">IF(Calculator!$E$17="YES",IF(A43&lt;Calculator!$G$17,0,MIN(MIN(MOD(A43/Calculator!$F$17,1),1-MOD(A43/Calculator!$F$17,1)),ABS(MOD(A43/Calculator!$F$17,1)-0.5))),1)</f>
        <v>0.118865964912281</v>
      </c>
      <c r="I43" s="136" t="n">
        <f aca="false">IF(Calculator!$E$18="YES",IF(A43&lt;Calculator!$G$18,0,MIN(MIN(MOD(A43/Calculator!$F$18,1),1-MOD(A43/Calculator!$F$18,1)),ABS(MOD(A43/Calculator!$F$18,1)-0.5))),1)</f>
        <v>0.189263157894737</v>
      </c>
      <c r="J43" s="136" t="n">
        <f aca="false">IF(Calculator!$E$19="YES",IF(A43&lt;Calculator!$G$19,0,MIN(MIN(MOD(A43/Calculator!$F$19,1),1-MOD(A43/Calculator!$F$19,1)),ABS(MOD(A43/Calculator!$F$19,1)-0.5))),1)</f>
        <v>0.0401543859649121</v>
      </c>
      <c r="K43" s="136" t="n">
        <f aca="false">IF(Calculator!$E$20="YES",IF(A43&lt;Calculator!$G$20,0,MIN(MIN(MOD(A43/Calculator!$F$20,1),1-MOD(A43/Calculator!$F$20,1)),ABS(MOD(A43/Calculator!$F$20,1)-0.5))),1)</f>
        <v>0.218385964912281</v>
      </c>
      <c r="L43" s="136" t="n">
        <f aca="false">IF(Calculator!$E$21="YES",IF(A43&lt;Calculator!$G$21,0,MIN(MIN(MOD(A43/Calculator!$F$21,1),1-MOD(A43/Calculator!$F$21,1)),ABS(MOD(A43/Calculator!$F$21,1)-0.5))),1)</f>
        <v>0.211228070175439</v>
      </c>
      <c r="M43" s="136" t="n">
        <f aca="false">MIN(B43:L43)</f>
        <v>0</v>
      </c>
      <c r="N43" s="136" t="n">
        <f aca="false">SUMPRODUCT(($M$5:$M$555&gt;M43)*1)+SUMPRODUCT(($M$5:$M$555=M43)*(ROW($M$5:$M$555)&lt;ROW(M43)))+1</f>
        <v>264</v>
      </c>
      <c r="O43" s="136" t="str">
        <f aca="false">IF(M43&gt;=0.2,"★★★ EXCELLENT",IF(M43&gt;=0.12,"★★  GOOD",IF(M43&gt;=0.07,"★  FAIR",IF(M43&gt;=0.025,"⚠  MARGINAL","✗  AVOID"))))</f>
        <v>✗  AVOID</v>
      </c>
    </row>
    <row r="44" customFormat="false" ht="15" hidden="false" customHeight="false" outlineLevel="0" collapsed="false">
      <c r="A44" s="137" t="n">
        <v>8.9</v>
      </c>
      <c r="B44" s="138" t="n">
        <f aca="false">IF(Calculator!$E$11="YES",IF(A44&lt;Calculator!$G$11,0,MIN(MIN(MOD(A44/Calculator!$F$11,1),1-MOD(A44/Calculator!$F$11,1)),ABS(MOD(A44/Calculator!$F$11,1)-0.5))),1)</f>
        <v>0</v>
      </c>
      <c r="C44" s="138" t="n">
        <f aca="false">IF(Calculator!$E$12="YES",IF(A44&lt;Calculator!$G$12,0,MIN(MIN(MOD(A44/Calculator!$F$12,1),1-MOD(A44/Calculator!$F$12,1)),ABS(MOD(A44/Calculator!$F$12,1)-0.5))),1)</f>
        <v>0</v>
      </c>
      <c r="D44" s="138" t="n">
        <f aca="false">IF(Calculator!$E$13="YES",IF(A44&lt;Calculator!$G$13,0,MIN(MIN(MOD(A44/Calculator!$F$13,1),1-MOD(A44/Calculator!$F$13,1)),ABS(MOD(A44/Calculator!$F$13,1)-0.5))),1)</f>
        <v>0</v>
      </c>
      <c r="E44" s="138" t="n">
        <f aca="false">IF(Calculator!$E$14="YES",IF(A44&lt;Calculator!$G$14,0,MIN(MIN(MOD(A44/Calculator!$F$14,1),1-MOD(A44/Calculator!$F$14,1)),ABS(MOD(A44/Calculator!$F$14,1)-0.5))),1)</f>
        <v>0</v>
      </c>
      <c r="F44" s="138" t="n">
        <f aca="false">IF(Calculator!$E$15="YES",IF(A44&lt;Calculator!$G$15,0,MIN(MIN(MOD(A44/Calculator!$F$15,1),1-MOD(A44/Calculator!$F$15,1)),ABS(MOD(A44/Calculator!$F$15,1)-0.5))),1)</f>
        <v>0.132368421052632</v>
      </c>
      <c r="G44" s="138" t="n">
        <f aca="false">IF(Calculator!$E$16="YES",IF(A44&lt;Calculator!$G$16,0,MIN(MIN(MOD(A44/Calculator!$F$16,1),1-MOD(A44/Calculator!$F$16,1)),ABS(MOD(A44/Calculator!$F$16,1)-0.5))),1)</f>
        <v>0.114684210526316</v>
      </c>
      <c r="H44" s="138" t="n">
        <f aca="false">IF(Calculator!$E$17="YES",IF(A44&lt;Calculator!$G$17,0,MIN(MIN(MOD(A44/Calculator!$F$17,1),1-MOD(A44/Calculator!$F$17,1)),ABS(MOD(A44/Calculator!$F$17,1)-0.5))),1)</f>
        <v>0.131580350877193</v>
      </c>
      <c r="I44" s="138" t="n">
        <f aca="false">IF(Calculator!$E$18="YES",IF(A44&lt;Calculator!$G$18,0,MIN(MIN(MOD(A44/Calculator!$F$18,1),1-MOD(A44/Calculator!$F$18,1)),ABS(MOD(A44/Calculator!$F$18,1)-0.5))),1)</f>
        <v>0.174368421052632</v>
      </c>
      <c r="J44" s="138" t="n">
        <f aca="false">IF(Calculator!$E$19="YES",IF(A44&lt;Calculator!$G$19,0,MIN(MIN(MOD(A44/Calculator!$F$19,1),1-MOD(A44/Calculator!$F$19,1)),ABS(MOD(A44/Calculator!$F$19,1)-0.5))),1)</f>
        <v>0.0576561403508771</v>
      </c>
      <c r="K44" s="138" t="n">
        <f aca="false">IF(Calculator!$E$20="YES",IF(A44&lt;Calculator!$G$20,0,MIN(MIN(MOD(A44/Calculator!$F$20,1),1-MOD(A44/Calculator!$F$20,1)),ABS(MOD(A44/Calculator!$F$20,1)-0.5))),1)</f>
        <v>0.198140350877193</v>
      </c>
      <c r="L44" s="138" t="n">
        <f aca="false">IF(Calculator!$E$21="YES",IF(A44&lt;Calculator!$G$21,0,MIN(MIN(MOD(A44/Calculator!$F$21,1),1-MOD(A44/Calculator!$F$21,1)),ABS(MOD(A44/Calculator!$F$21,1)-0.5))),1)</f>
        <v>0.247719298245614</v>
      </c>
      <c r="M44" s="138" t="n">
        <f aca="false">MIN(B44:L44)</f>
        <v>0</v>
      </c>
      <c r="N44" s="138" t="n">
        <f aca="false">SUMPRODUCT(($M$5:$M$555&gt;M44)*1)+SUMPRODUCT(($M$5:$M$555=M44)*(ROW($M$5:$M$555)&lt;ROW(M44)))+1</f>
        <v>265</v>
      </c>
      <c r="O44" s="138" t="str">
        <f aca="false">IF(M44&gt;=0.2,"★★★ EXCELLENT",IF(M44&gt;=0.12,"★★  GOOD",IF(M44&gt;=0.07,"★  FAIR",IF(M44&gt;=0.025,"⚠  MARGINAL","✗  AVOID"))))</f>
        <v>✗  AVOID</v>
      </c>
    </row>
    <row r="45" customFormat="false" ht="15" hidden="false" customHeight="false" outlineLevel="0" collapsed="false">
      <c r="A45" s="135" t="n">
        <v>9</v>
      </c>
      <c r="B45" s="136" t="n">
        <f aca="false">IF(Calculator!$E$11="YES",IF(A45&lt;Calculator!$G$11,0,MIN(MIN(MOD(A45/Calculator!$F$11,1),1-MOD(A45/Calculator!$F$11,1)),ABS(MOD(A45/Calculator!$F$11,1)-0.5))),1)</f>
        <v>0</v>
      </c>
      <c r="C45" s="136" t="n">
        <f aca="false">IF(Calculator!$E$12="YES",IF(A45&lt;Calculator!$G$12,0,MIN(MIN(MOD(A45/Calculator!$F$12,1),1-MOD(A45/Calculator!$F$12,1)),ABS(MOD(A45/Calculator!$F$12,1)-0.5))),1)</f>
        <v>0</v>
      </c>
      <c r="D45" s="136" t="n">
        <f aca="false">IF(Calculator!$E$13="YES",IF(A45&lt;Calculator!$G$13,0,MIN(MIN(MOD(A45/Calculator!$F$13,1),1-MOD(A45/Calculator!$F$13,1)),ABS(MOD(A45/Calculator!$F$13,1)-0.5))),1)</f>
        <v>0</v>
      </c>
      <c r="E45" s="136" t="n">
        <f aca="false">IF(Calculator!$E$14="YES",IF(A45&lt;Calculator!$G$14,0,MIN(MIN(MOD(A45/Calculator!$F$14,1),1-MOD(A45/Calculator!$F$14,1)),ABS(MOD(A45/Calculator!$F$14,1)-0.5))),1)</f>
        <v>0</v>
      </c>
      <c r="F45" s="136" t="n">
        <f aca="false">IF(Calculator!$E$15="YES",IF(A45&lt;Calculator!$G$15,0,MIN(MIN(MOD(A45/Calculator!$F$15,1),1-MOD(A45/Calculator!$F$15,1)),ABS(MOD(A45/Calculator!$F$15,1)-0.5))),1)</f>
        <v>0.139473684210526</v>
      </c>
      <c r="G45" s="136" t="n">
        <f aca="false">IF(Calculator!$E$16="YES",IF(A45&lt;Calculator!$G$16,0,MIN(MIN(MOD(A45/Calculator!$F$16,1),1-MOD(A45/Calculator!$F$16,1)),ABS(MOD(A45/Calculator!$F$16,1)-0.5))),1)</f>
        <v>0.104736842105263</v>
      </c>
      <c r="H45" s="136" t="n">
        <f aca="false">IF(Calculator!$E$17="YES",IF(A45&lt;Calculator!$G$17,0,MIN(MIN(MOD(A45/Calculator!$F$17,1),1-MOD(A45/Calculator!$F$17,1)),ABS(MOD(A45/Calculator!$F$17,1)-0.5))),1)</f>
        <v>0.144294736842105</v>
      </c>
      <c r="I45" s="136" t="n">
        <f aca="false">IF(Calculator!$E$18="YES",IF(A45&lt;Calculator!$G$18,0,MIN(MIN(MOD(A45/Calculator!$F$18,1),1-MOD(A45/Calculator!$F$18,1)),ABS(MOD(A45/Calculator!$F$18,1)-0.5))),1)</f>
        <v>0.159473684210526</v>
      </c>
      <c r="J45" s="136" t="n">
        <f aca="false">IF(Calculator!$E$19="YES",IF(A45&lt;Calculator!$G$19,0,MIN(MIN(MOD(A45/Calculator!$F$19,1),1-MOD(A45/Calculator!$F$19,1)),ABS(MOD(A45/Calculator!$F$19,1)-0.5))),1)</f>
        <v>0.0751578947368419</v>
      </c>
      <c r="K45" s="136" t="n">
        <f aca="false">IF(Calculator!$E$20="YES",IF(A45&lt;Calculator!$G$20,0,MIN(MIN(MOD(A45/Calculator!$F$20,1),1-MOD(A45/Calculator!$F$20,1)),ABS(MOD(A45/Calculator!$F$20,1)-0.5))),1)</f>
        <v>0.177894736842105</v>
      </c>
      <c r="L45" s="136" t="n">
        <f aca="false">IF(Calculator!$E$21="YES",IF(A45&lt;Calculator!$G$21,0,MIN(MIN(MOD(A45/Calculator!$F$21,1),1-MOD(A45/Calculator!$F$21,1)),ABS(MOD(A45/Calculator!$F$21,1)-0.5))),1)</f>
        <v>0.215789473684211</v>
      </c>
      <c r="M45" s="136" t="n">
        <f aca="false">MIN(B45:L45)</f>
        <v>0</v>
      </c>
      <c r="N45" s="136" t="n">
        <f aca="false">SUMPRODUCT(($M$5:$M$555&gt;M45)*1)+SUMPRODUCT(($M$5:$M$555=M45)*(ROW($M$5:$M$555)&lt;ROW(M45)))+1</f>
        <v>266</v>
      </c>
      <c r="O45" s="136" t="str">
        <f aca="false">IF(M45&gt;=0.2,"★★★ EXCELLENT",IF(M45&gt;=0.12,"★★  GOOD",IF(M45&gt;=0.07,"★  FAIR",IF(M45&gt;=0.025,"⚠  MARGINAL","✗  AVOID"))))</f>
        <v>✗  AVOID</v>
      </c>
    </row>
    <row r="46" customFormat="false" ht="15" hidden="false" customHeight="false" outlineLevel="0" collapsed="false">
      <c r="A46" s="137" t="n">
        <v>9.1</v>
      </c>
      <c r="B46" s="138" t="n">
        <f aca="false">IF(Calculator!$E$11="YES",IF(A46&lt;Calculator!$G$11,0,MIN(MIN(MOD(A46/Calculator!$F$11,1),1-MOD(A46/Calculator!$F$11,1)),ABS(MOD(A46/Calculator!$F$11,1)-0.5))),1)</f>
        <v>0</v>
      </c>
      <c r="C46" s="138" t="n">
        <f aca="false">IF(Calculator!$E$12="YES",IF(A46&lt;Calculator!$G$12,0,MIN(MIN(MOD(A46/Calculator!$F$12,1),1-MOD(A46/Calculator!$F$12,1)),ABS(MOD(A46/Calculator!$F$12,1)-0.5))),1)</f>
        <v>0</v>
      </c>
      <c r="D46" s="138" t="n">
        <f aca="false">IF(Calculator!$E$13="YES",IF(A46&lt;Calculator!$G$13,0,MIN(MIN(MOD(A46/Calculator!$F$13,1),1-MOD(A46/Calculator!$F$13,1)),ABS(MOD(A46/Calculator!$F$13,1)-0.5))),1)</f>
        <v>0</v>
      </c>
      <c r="E46" s="138" t="n">
        <f aca="false">IF(Calculator!$E$14="YES",IF(A46&lt;Calculator!$G$14,0,MIN(MIN(MOD(A46/Calculator!$F$14,1),1-MOD(A46/Calculator!$F$14,1)),ABS(MOD(A46/Calculator!$F$14,1)-0.5))),1)</f>
        <v>0</v>
      </c>
      <c r="F46" s="138" t="n">
        <f aca="false">IF(Calculator!$E$15="YES",IF(A46&lt;Calculator!$G$15,0,MIN(MIN(MOD(A46/Calculator!$F$15,1),1-MOD(A46/Calculator!$F$15,1)),ABS(MOD(A46/Calculator!$F$15,1)-0.5))),1)</f>
        <v>0.146578947368421</v>
      </c>
      <c r="G46" s="138" t="n">
        <f aca="false">IF(Calculator!$E$16="YES",IF(A46&lt;Calculator!$G$16,0,MIN(MIN(MOD(A46/Calculator!$F$16,1),1-MOD(A46/Calculator!$F$16,1)),ABS(MOD(A46/Calculator!$F$16,1)-0.5))),1)</f>
        <v>0.0947894736842105</v>
      </c>
      <c r="H46" s="138" t="n">
        <f aca="false">IF(Calculator!$E$17="YES",IF(A46&lt;Calculator!$G$17,0,MIN(MIN(MOD(A46/Calculator!$F$17,1),1-MOD(A46/Calculator!$F$17,1)),ABS(MOD(A46/Calculator!$F$17,1)-0.5))),1)</f>
        <v>0.157009122807018</v>
      </c>
      <c r="I46" s="138" t="n">
        <f aca="false">IF(Calculator!$E$18="YES",IF(A46&lt;Calculator!$G$18,0,MIN(MIN(MOD(A46/Calculator!$F$18,1),1-MOD(A46/Calculator!$F$18,1)),ABS(MOD(A46/Calculator!$F$18,1)-0.5))),1)</f>
        <v>0.144578947368421</v>
      </c>
      <c r="J46" s="138" t="n">
        <f aca="false">IF(Calculator!$E$19="YES",IF(A46&lt;Calculator!$G$19,0,MIN(MIN(MOD(A46/Calculator!$F$19,1),1-MOD(A46/Calculator!$F$19,1)),ABS(MOD(A46/Calculator!$F$19,1)-0.5))),1)</f>
        <v>0.0926596491228067</v>
      </c>
      <c r="K46" s="138" t="n">
        <f aca="false">IF(Calculator!$E$20="YES",IF(A46&lt;Calculator!$G$20,0,MIN(MIN(MOD(A46/Calculator!$F$20,1),1-MOD(A46/Calculator!$F$20,1)),ABS(MOD(A46/Calculator!$F$20,1)-0.5))),1)</f>
        <v>0.157649122807018</v>
      </c>
      <c r="L46" s="138" t="n">
        <f aca="false">IF(Calculator!$E$21="YES",IF(A46&lt;Calculator!$G$21,0,MIN(MIN(MOD(A46/Calculator!$F$21,1),1-MOD(A46/Calculator!$F$21,1)),ABS(MOD(A46/Calculator!$F$21,1)-0.5))),1)</f>
        <v>0.179298245614035</v>
      </c>
      <c r="M46" s="138" t="n">
        <f aca="false">MIN(B46:L46)</f>
        <v>0</v>
      </c>
      <c r="N46" s="138" t="n">
        <f aca="false">SUMPRODUCT(($M$5:$M$555&gt;M46)*1)+SUMPRODUCT(($M$5:$M$555=M46)*(ROW($M$5:$M$555)&lt;ROW(M46)))+1</f>
        <v>267</v>
      </c>
      <c r="O46" s="138" t="str">
        <f aca="false">IF(M46&gt;=0.2,"★★★ EXCELLENT",IF(M46&gt;=0.12,"★★  GOOD",IF(M46&gt;=0.07,"★  FAIR",IF(M46&gt;=0.025,"⚠  MARGINAL","✗  AVOID"))))</f>
        <v>✗  AVOID</v>
      </c>
    </row>
    <row r="47" customFormat="false" ht="15" hidden="false" customHeight="false" outlineLevel="0" collapsed="false">
      <c r="A47" s="135" t="n">
        <v>9.2</v>
      </c>
      <c r="B47" s="136" t="n">
        <f aca="false">IF(Calculator!$E$11="YES",IF(A47&lt;Calculator!$G$11,0,MIN(MIN(MOD(A47/Calculator!$F$11,1),1-MOD(A47/Calculator!$F$11,1)),ABS(MOD(A47/Calculator!$F$11,1)-0.5))),1)</f>
        <v>0</v>
      </c>
      <c r="C47" s="136" t="n">
        <f aca="false">IF(Calculator!$E$12="YES",IF(A47&lt;Calculator!$G$12,0,MIN(MIN(MOD(A47/Calculator!$F$12,1),1-MOD(A47/Calculator!$F$12,1)),ABS(MOD(A47/Calculator!$F$12,1)-0.5))),1)</f>
        <v>0</v>
      </c>
      <c r="D47" s="136" t="n">
        <f aca="false">IF(Calculator!$E$13="YES",IF(A47&lt;Calculator!$G$13,0,MIN(MIN(MOD(A47/Calculator!$F$13,1),1-MOD(A47/Calculator!$F$13,1)),ABS(MOD(A47/Calculator!$F$13,1)-0.5))),1)</f>
        <v>0</v>
      </c>
      <c r="E47" s="136" t="n">
        <f aca="false">IF(Calculator!$E$14="YES",IF(A47&lt;Calculator!$G$14,0,MIN(MIN(MOD(A47/Calculator!$F$14,1),1-MOD(A47/Calculator!$F$14,1)),ABS(MOD(A47/Calculator!$F$14,1)-0.5))),1)</f>
        <v>0</v>
      </c>
      <c r="F47" s="136" t="n">
        <f aca="false">IF(Calculator!$E$15="YES",IF(A47&lt;Calculator!$G$15,0,MIN(MIN(MOD(A47/Calculator!$F$15,1),1-MOD(A47/Calculator!$F$15,1)),ABS(MOD(A47/Calculator!$F$15,1)-0.5))),1)</f>
        <v>0.153684210526316</v>
      </c>
      <c r="G47" s="136" t="n">
        <f aca="false">IF(Calculator!$E$16="YES",IF(A47&lt;Calculator!$G$16,0,MIN(MIN(MOD(A47/Calculator!$F$16,1),1-MOD(A47/Calculator!$F$16,1)),ABS(MOD(A47/Calculator!$F$16,1)-0.5))),1)</f>
        <v>0.0848421052631579</v>
      </c>
      <c r="H47" s="136" t="n">
        <f aca="false">IF(Calculator!$E$17="YES",IF(A47&lt;Calculator!$G$17,0,MIN(MIN(MOD(A47/Calculator!$F$17,1),1-MOD(A47/Calculator!$F$17,1)),ABS(MOD(A47/Calculator!$F$17,1)-0.5))),1)</f>
        <v>0.16972350877193</v>
      </c>
      <c r="I47" s="136" t="n">
        <f aca="false">IF(Calculator!$E$18="YES",IF(A47&lt;Calculator!$G$18,0,MIN(MIN(MOD(A47/Calculator!$F$18,1),1-MOD(A47/Calculator!$F$18,1)),ABS(MOD(A47/Calculator!$F$18,1)-0.5))),1)</f>
        <v>0.129684210526316</v>
      </c>
      <c r="J47" s="136" t="n">
        <f aca="false">IF(Calculator!$E$19="YES",IF(A47&lt;Calculator!$G$19,0,MIN(MIN(MOD(A47/Calculator!$F$19,1),1-MOD(A47/Calculator!$F$19,1)),ABS(MOD(A47/Calculator!$F$19,1)-0.5))),1)</f>
        <v>0.110161403508771</v>
      </c>
      <c r="K47" s="136" t="n">
        <f aca="false">IF(Calculator!$E$20="YES",IF(A47&lt;Calculator!$G$20,0,MIN(MIN(MOD(A47/Calculator!$F$20,1),1-MOD(A47/Calculator!$F$20,1)),ABS(MOD(A47/Calculator!$F$20,1)-0.5))),1)</f>
        <v>0.13740350877193</v>
      </c>
      <c r="L47" s="136" t="n">
        <f aca="false">IF(Calculator!$E$21="YES",IF(A47&lt;Calculator!$G$21,0,MIN(MIN(MOD(A47/Calculator!$F$21,1),1-MOD(A47/Calculator!$F$21,1)),ABS(MOD(A47/Calculator!$F$21,1)-0.5))),1)</f>
        <v>0.14280701754386</v>
      </c>
      <c r="M47" s="136" t="n">
        <f aca="false">MIN(B47:L47)</f>
        <v>0</v>
      </c>
      <c r="N47" s="136" t="n">
        <f aca="false">SUMPRODUCT(($M$5:$M$555&gt;M47)*1)+SUMPRODUCT(($M$5:$M$555=M47)*(ROW($M$5:$M$555)&lt;ROW(M47)))+1</f>
        <v>268</v>
      </c>
      <c r="O47" s="136" t="str">
        <f aca="false">IF(M47&gt;=0.2,"★★★ EXCELLENT",IF(M47&gt;=0.12,"★★  GOOD",IF(M47&gt;=0.07,"★  FAIR",IF(M47&gt;=0.025,"⚠  MARGINAL","✗  AVOID"))))</f>
        <v>✗  AVOID</v>
      </c>
    </row>
    <row r="48" customFormat="false" ht="15" hidden="false" customHeight="false" outlineLevel="0" collapsed="false">
      <c r="A48" s="137" t="n">
        <v>9.3</v>
      </c>
      <c r="B48" s="138" t="n">
        <f aca="false">IF(Calculator!$E$11="YES",IF(A48&lt;Calculator!$G$11,0,MIN(MIN(MOD(A48/Calculator!$F$11,1),1-MOD(A48/Calculator!$F$11,1)),ABS(MOD(A48/Calculator!$F$11,1)-0.5))),1)</f>
        <v>0</v>
      </c>
      <c r="C48" s="138" t="n">
        <f aca="false">IF(Calculator!$E$12="YES",IF(A48&lt;Calculator!$G$12,0,MIN(MIN(MOD(A48/Calculator!$F$12,1),1-MOD(A48/Calculator!$F$12,1)),ABS(MOD(A48/Calculator!$F$12,1)-0.5))),1)</f>
        <v>0</v>
      </c>
      <c r="D48" s="138" t="n">
        <f aca="false">IF(Calculator!$E$13="YES",IF(A48&lt;Calculator!$G$13,0,MIN(MIN(MOD(A48/Calculator!$F$13,1),1-MOD(A48/Calculator!$F$13,1)),ABS(MOD(A48/Calculator!$F$13,1)-0.5))),1)</f>
        <v>0</v>
      </c>
      <c r="E48" s="138" t="n">
        <f aca="false">IF(Calculator!$E$14="YES",IF(A48&lt;Calculator!$G$14,0,MIN(MIN(MOD(A48/Calculator!$F$14,1),1-MOD(A48/Calculator!$F$14,1)),ABS(MOD(A48/Calculator!$F$14,1)-0.5))),1)</f>
        <v>0</v>
      </c>
      <c r="F48" s="138" t="n">
        <f aca="false">IF(Calculator!$E$15="YES",IF(A48&lt;Calculator!$G$15,0,MIN(MIN(MOD(A48/Calculator!$F$15,1),1-MOD(A48/Calculator!$F$15,1)),ABS(MOD(A48/Calculator!$F$15,1)-0.5))),1)</f>
        <v>0.160789473684211</v>
      </c>
      <c r="G48" s="138" t="n">
        <f aca="false">IF(Calculator!$E$16="YES",IF(A48&lt;Calculator!$G$16,0,MIN(MIN(MOD(A48/Calculator!$F$16,1),1-MOD(A48/Calculator!$F$16,1)),ABS(MOD(A48/Calculator!$F$16,1)-0.5))),1)</f>
        <v>0.0748947368421051</v>
      </c>
      <c r="H48" s="138" t="n">
        <f aca="false">IF(Calculator!$E$17="YES",IF(A48&lt;Calculator!$G$17,0,MIN(MIN(MOD(A48/Calculator!$F$17,1),1-MOD(A48/Calculator!$F$17,1)),ABS(MOD(A48/Calculator!$F$17,1)-0.5))),1)</f>
        <v>0.182437894736842</v>
      </c>
      <c r="I48" s="138" t="n">
        <f aca="false">IF(Calculator!$E$18="YES",IF(A48&lt;Calculator!$G$18,0,MIN(MIN(MOD(A48/Calculator!$F$18,1),1-MOD(A48/Calculator!$F$18,1)),ABS(MOD(A48/Calculator!$F$18,1)-0.5))),1)</f>
        <v>0.11478947368421</v>
      </c>
      <c r="J48" s="138" t="n">
        <f aca="false">IF(Calculator!$E$19="YES",IF(A48&lt;Calculator!$G$19,0,MIN(MIN(MOD(A48/Calculator!$F$19,1),1-MOD(A48/Calculator!$F$19,1)),ABS(MOD(A48/Calculator!$F$19,1)-0.5))),1)</f>
        <v>0.127663157894737</v>
      </c>
      <c r="K48" s="138" t="n">
        <f aca="false">IF(Calculator!$E$20="YES",IF(A48&lt;Calculator!$G$20,0,MIN(MIN(MOD(A48/Calculator!$F$20,1),1-MOD(A48/Calculator!$F$20,1)),ABS(MOD(A48/Calculator!$F$20,1)-0.5))),1)</f>
        <v>0.117157894736842</v>
      </c>
      <c r="L48" s="138" t="n">
        <f aca="false">IF(Calculator!$E$21="YES",IF(A48&lt;Calculator!$G$21,0,MIN(MIN(MOD(A48/Calculator!$F$21,1),1-MOD(A48/Calculator!$F$21,1)),ABS(MOD(A48/Calculator!$F$21,1)-0.5))),1)</f>
        <v>0.106315789473684</v>
      </c>
      <c r="M48" s="138" t="n">
        <f aca="false">MIN(B48:L48)</f>
        <v>0</v>
      </c>
      <c r="N48" s="138" t="n">
        <f aca="false">SUMPRODUCT(($M$5:$M$555&gt;M48)*1)+SUMPRODUCT(($M$5:$M$555=M48)*(ROW($M$5:$M$555)&lt;ROW(M48)))+1</f>
        <v>269</v>
      </c>
      <c r="O48" s="138" t="str">
        <f aca="false">IF(M48&gt;=0.2,"★★★ EXCELLENT",IF(M48&gt;=0.12,"★★  GOOD",IF(M48&gt;=0.07,"★  FAIR",IF(M48&gt;=0.025,"⚠  MARGINAL","✗  AVOID"))))</f>
        <v>✗  AVOID</v>
      </c>
    </row>
    <row r="49" customFormat="false" ht="15" hidden="false" customHeight="false" outlineLevel="0" collapsed="false">
      <c r="A49" s="135" t="n">
        <v>9.4</v>
      </c>
      <c r="B49" s="136" t="n">
        <f aca="false">IF(Calculator!$E$11="YES",IF(A49&lt;Calculator!$G$11,0,MIN(MIN(MOD(A49/Calculator!$F$11,1),1-MOD(A49/Calculator!$F$11,1)),ABS(MOD(A49/Calculator!$F$11,1)-0.5))),1)</f>
        <v>0</v>
      </c>
      <c r="C49" s="136" t="n">
        <f aca="false">IF(Calculator!$E$12="YES",IF(A49&lt;Calculator!$G$12,0,MIN(MIN(MOD(A49/Calculator!$F$12,1),1-MOD(A49/Calculator!$F$12,1)),ABS(MOD(A49/Calculator!$F$12,1)-0.5))),1)</f>
        <v>0</v>
      </c>
      <c r="D49" s="136" t="n">
        <f aca="false">IF(Calculator!$E$13="YES",IF(A49&lt;Calculator!$G$13,0,MIN(MIN(MOD(A49/Calculator!$F$13,1),1-MOD(A49/Calculator!$F$13,1)),ABS(MOD(A49/Calculator!$F$13,1)-0.5))),1)</f>
        <v>0</v>
      </c>
      <c r="E49" s="136" t="n">
        <f aca="false">IF(Calculator!$E$14="YES",IF(A49&lt;Calculator!$G$14,0,MIN(MIN(MOD(A49/Calculator!$F$14,1),1-MOD(A49/Calculator!$F$14,1)),ABS(MOD(A49/Calculator!$F$14,1)-0.5))),1)</f>
        <v>0</v>
      </c>
      <c r="F49" s="136" t="n">
        <f aca="false">IF(Calculator!$E$15="YES",IF(A49&lt;Calculator!$G$15,0,MIN(MIN(MOD(A49/Calculator!$F$15,1),1-MOD(A49/Calculator!$F$15,1)),ABS(MOD(A49/Calculator!$F$15,1)-0.5))),1)</f>
        <v>0.167894736842105</v>
      </c>
      <c r="G49" s="136" t="n">
        <f aca="false">IF(Calculator!$E$16="YES",IF(A49&lt;Calculator!$G$16,0,MIN(MIN(MOD(A49/Calculator!$F$16,1),1-MOD(A49/Calculator!$F$16,1)),ABS(MOD(A49/Calculator!$F$16,1)-0.5))),1)</f>
        <v>0.0649473684210525</v>
      </c>
      <c r="H49" s="136" t="n">
        <f aca="false">IF(Calculator!$E$17="YES",IF(A49&lt;Calculator!$G$17,0,MIN(MIN(MOD(A49/Calculator!$F$17,1),1-MOD(A49/Calculator!$F$17,1)),ABS(MOD(A49/Calculator!$F$17,1)-0.5))),1)</f>
        <v>0.195152280701755</v>
      </c>
      <c r="I49" s="136" t="n">
        <f aca="false">IF(Calculator!$E$18="YES",IF(A49&lt;Calculator!$G$18,0,MIN(MIN(MOD(A49/Calculator!$F$18,1),1-MOD(A49/Calculator!$F$18,1)),ABS(MOD(A49/Calculator!$F$18,1)-0.5))),1)</f>
        <v>0.0998947368421053</v>
      </c>
      <c r="J49" s="136" t="n">
        <f aca="false">IF(Calculator!$E$19="YES",IF(A49&lt;Calculator!$G$19,0,MIN(MIN(MOD(A49/Calculator!$F$19,1),1-MOD(A49/Calculator!$F$19,1)),ABS(MOD(A49/Calculator!$F$19,1)-0.5))),1)</f>
        <v>0.145164912280702</v>
      </c>
      <c r="K49" s="136" t="n">
        <f aca="false">IF(Calculator!$E$20="YES",IF(A49&lt;Calculator!$G$20,0,MIN(MIN(MOD(A49/Calculator!$F$20,1),1-MOD(A49/Calculator!$F$20,1)),ABS(MOD(A49/Calculator!$F$20,1)-0.5))),1)</f>
        <v>0.0969122807017544</v>
      </c>
      <c r="L49" s="136" t="n">
        <f aca="false">IF(Calculator!$E$21="YES",IF(A49&lt;Calculator!$G$21,0,MIN(MIN(MOD(A49/Calculator!$F$21,1),1-MOD(A49/Calculator!$F$21,1)),ABS(MOD(A49/Calculator!$F$21,1)-0.5))),1)</f>
        <v>0.0698245614035087</v>
      </c>
      <c r="M49" s="136" t="n">
        <f aca="false">MIN(B49:L49)</f>
        <v>0</v>
      </c>
      <c r="N49" s="136" t="n">
        <f aca="false">SUMPRODUCT(($M$5:$M$555&gt;M49)*1)+SUMPRODUCT(($M$5:$M$555=M49)*(ROW($M$5:$M$555)&lt;ROW(M49)))+1</f>
        <v>270</v>
      </c>
      <c r="O49" s="136" t="str">
        <f aca="false">IF(M49&gt;=0.2,"★★★ EXCELLENT",IF(M49&gt;=0.12,"★★  GOOD",IF(M49&gt;=0.07,"★  FAIR",IF(M49&gt;=0.025,"⚠  MARGINAL","✗  AVOID"))))</f>
        <v>✗  AVOID</v>
      </c>
    </row>
    <row r="50" customFormat="false" ht="15" hidden="false" customHeight="false" outlineLevel="0" collapsed="false">
      <c r="A50" s="137" t="n">
        <v>9.5</v>
      </c>
      <c r="B50" s="138" t="n">
        <f aca="false">IF(Calculator!$E$11="YES",IF(A50&lt;Calculator!$G$11,0,MIN(MIN(MOD(A50/Calculator!$F$11,1),1-MOD(A50/Calculator!$F$11,1)),ABS(MOD(A50/Calculator!$F$11,1)-0.5))),1)</f>
        <v>0</v>
      </c>
      <c r="C50" s="138" t="n">
        <f aca="false">IF(Calculator!$E$12="YES",IF(A50&lt;Calculator!$G$12,0,MIN(MIN(MOD(A50/Calculator!$F$12,1),1-MOD(A50/Calculator!$F$12,1)),ABS(MOD(A50/Calculator!$F$12,1)-0.5))),1)</f>
        <v>0</v>
      </c>
      <c r="D50" s="138" t="n">
        <f aca="false">IF(Calculator!$E$13="YES",IF(A50&lt;Calculator!$G$13,0,MIN(MIN(MOD(A50/Calculator!$F$13,1),1-MOD(A50/Calculator!$F$13,1)),ABS(MOD(A50/Calculator!$F$13,1)-0.5))),1)</f>
        <v>0</v>
      </c>
      <c r="E50" s="138" t="n">
        <f aca="false">IF(Calculator!$E$14="YES",IF(A50&lt;Calculator!$G$14,0,MIN(MIN(MOD(A50/Calculator!$F$14,1),1-MOD(A50/Calculator!$F$14,1)),ABS(MOD(A50/Calculator!$F$14,1)-0.5))),1)</f>
        <v>0</v>
      </c>
      <c r="F50" s="138" t="n">
        <f aca="false">IF(Calculator!$E$15="YES",IF(A50&lt;Calculator!$G$15,0,MIN(MIN(MOD(A50/Calculator!$F$15,1),1-MOD(A50/Calculator!$F$15,1)),ABS(MOD(A50/Calculator!$F$15,1)-0.5))),1)</f>
        <v>0.175</v>
      </c>
      <c r="G50" s="138" t="n">
        <f aca="false">IF(Calculator!$E$16="YES",IF(A50&lt;Calculator!$G$16,0,MIN(MIN(MOD(A50/Calculator!$F$16,1),1-MOD(A50/Calculator!$F$16,1)),ABS(MOD(A50/Calculator!$F$16,1)-0.5))),1)</f>
        <v>0.0549999999999999</v>
      </c>
      <c r="H50" s="138" t="n">
        <f aca="false">IF(Calculator!$E$17="YES",IF(A50&lt;Calculator!$G$17,0,MIN(MIN(MOD(A50/Calculator!$F$17,1),1-MOD(A50/Calculator!$F$17,1)),ABS(MOD(A50/Calculator!$F$17,1)-0.5))),1)</f>
        <v>0.207866666666667</v>
      </c>
      <c r="I50" s="138" t="n">
        <f aca="false">IF(Calculator!$E$18="YES",IF(A50&lt;Calculator!$G$18,0,MIN(MIN(MOD(A50/Calculator!$F$18,1),1-MOD(A50/Calculator!$F$18,1)),ABS(MOD(A50/Calculator!$F$18,1)-0.5))),1)</f>
        <v>0.085</v>
      </c>
      <c r="J50" s="138" t="n">
        <f aca="false">IF(Calculator!$E$19="YES",IF(A50&lt;Calculator!$G$19,0,MIN(MIN(MOD(A50/Calculator!$F$19,1),1-MOD(A50/Calculator!$F$19,1)),ABS(MOD(A50/Calculator!$F$19,1)-0.5))),1)</f>
        <v>0.162666666666666</v>
      </c>
      <c r="K50" s="138" t="n">
        <f aca="false">IF(Calculator!$E$20="YES",IF(A50&lt;Calculator!$G$20,0,MIN(MIN(MOD(A50/Calculator!$F$20,1),1-MOD(A50/Calculator!$F$20,1)),ABS(MOD(A50/Calculator!$F$20,1)-0.5))),1)</f>
        <v>0.0766666666666667</v>
      </c>
      <c r="L50" s="138" t="n">
        <f aca="false">IF(Calculator!$E$21="YES",IF(A50&lt;Calculator!$G$21,0,MIN(MIN(MOD(A50/Calculator!$F$21,1),1-MOD(A50/Calculator!$F$21,1)),ABS(MOD(A50/Calculator!$F$21,1)-0.5))),1)</f>
        <v>0.0333333333333332</v>
      </c>
      <c r="M50" s="138" t="n">
        <f aca="false">MIN(B50:L50)</f>
        <v>0</v>
      </c>
      <c r="N50" s="138" t="n">
        <f aca="false">SUMPRODUCT(($M$5:$M$555&gt;M50)*1)+SUMPRODUCT(($M$5:$M$555=M50)*(ROW($M$5:$M$555)&lt;ROW(M50)))+1</f>
        <v>271</v>
      </c>
      <c r="O50" s="138" t="str">
        <f aca="false">IF(M50&gt;=0.2,"★★★ EXCELLENT",IF(M50&gt;=0.12,"★★  GOOD",IF(M50&gt;=0.07,"★  FAIR",IF(M50&gt;=0.025,"⚠  MARGINAL","✗  AVOID"))))</f>
        <v>✗  AVOID</v>
      </c>
    </row>
    <row r="51" customFormat="false" ht="15" hidden="false" customHeight="false" outlineLevel="0" collapsed="false">
      <c r="A51" s="135" t="n">
        <v>9.6</v>
      </c>
      <c r="B51" s="136" t="n">
        <f aca="false">IF(Calculator!$E$11="YES",IF(A51&lt;Calculator!$G$11,0,MIN(MIN(MOD(A51/Calculator!$F$11,1),1-MOD(A51/Calculator!$F$11,1)),ABS(MOD(A51/Calculator!$F$11,1)-0.5))),1)</f>
        <v>0</v>
      </c>
      <c r="C51" s="136" t="n">
        <f aca="false">IF(Calculator!$E$12="YES",IF(A51&lt;Calculator!$G$12,0,MIN(MIN(MOD(A51/Calculator!$F$12,1),1-MOD(A51/Calculator!$F$12,1)),ABS(MOD(A51/Calculator!$F$12,1)-0.5))),1)</f>
        <v>0</v>
      </c>
      <c r="D51" s="136" t="n">
        <f aca="false">IF(Calculator!$E$13="YES",IF(A51&lt;Calculator!$G$13,0,MIN(MIN(MOD(A51/Calculator!$F$13,1),1-MOD(A51/Calculator!$F$13,1)),ABS(MOD(A51/Calculator!$F$13,1)-0.5))),1)</f>
        <v>0</v>
      </c>
      <c r="E51" s="136" t="n">
        <f aca="false">IF(Calculator!$E$14="YES",IF(A51&lt;Calculator!$G$14,0,MIN(MIN(MOD(A51/Calculator!$F$14,1),1-MOD(A51/Calculator!$F$14,1)),ABS(MOD(A51/Calculator!$F$14,1)-0.5))),1)</f>
        <v>0</v>
      </c>
      <c r="F51" s="136" t="n">
        <f aca="false">IF(Calculator!$E$15="YES",IF(A51&lt;Calculator!$G$15,0,MIN(MIN(MOD(A51/Calculator!$F$15,1),1-MOD(A51/Calculator!$F$15,1)),ABS(MOD(A51/Calculator!$F$15,1)-0.5))),1)</f>
        <v>0.182105263157895</v>
      </c>
      <c r="G51" s="136" t="n">
        <f aca="false">IF(Calculator!$E$16="YES",IF(A51&lt;Calculator!$G$16,0,MIN(MIN(MOD(A51/Calculator!$F$16,1),1-MOD(A51/Calculator!$F$16,1)),ABS(MOD(A51/Calculator!$F$16,1)-0.5))),1)</f>
        <v>0.0450526315789473</v>
      </c>
      <c r="H51" s="136" t="n">
        <f aca="false">IF(Calculator!$E$17="YES",IF(A51&lt;Calculator!$G$17,0,MIN(MIN(MOD(A51/Calculator!$F$17,1),1-MOD(A51/Calculator!$F$17,1)),ABS(MOD(A51/Calculator!$F$17,1)-0.5))),1)</f>
        <v>0.220581052631579</v>
      </c>
      <c r="I51" s="136" t="n">
        <f aca="false">IF(Calculator!$E$18="YES",IF(A51&lt;Calculator!$G$18,0,MIN(MIN(MOD(A51/Calculator!$F$18,1),1-MOD(A51/Calculator!$F$18,1)),ABS(MOD(A51/Calculator!$F$18,1)-0.5))),1)</f>
        <v>0.0701052631578947</v>
      </c>
      <c r="J51" s="136" t="n">
        <f aca="false">IF(Calculator!$E$19="YES",IF(A51&lt;Calculator!$G$19,0,MIN(MIN(MOD(A51/Calculator!$F$19,1),1-MOD(A51/Calculator!$F$19,1)),ABS(MOD(A51/Calculator!$F$19,1)-0.5))),1)</f>
        <v>0.180168421052631</v>
      </c>
      <c r="K51" s="136" t="n">
        <f aca="false">IF(Calculator!$E$20="YES",IF(A51&lt;Calculator!$G$20,0,MIN(MIN(MOD(A51/Calculator!$F$20,1),1-MOD(A51/Calculator!$F$20,1)),ABS(MOD(A51/Calculator!$F$20,1)-0.5))),1)</f>
        <v>0.0564210526315792</v>
      </c>
      <c r="L51" s="136" t="n">
        <f aca="false">IF(Calculator!$E$21="YES",IF(A51&lt;Calculator!$G$21,0,MIN(MIN(MOD(A51/Calculator!$F$21,1),1-MOD(A51/Calculator!$F$21,1)),ABS(MOD(A51/Calculator!$F$21,1)-0.5))),1)</f>
        <v>0.0031578947368418</v>
      </c>
      <c r="M51" s="136" t="n">
        <f aca="false">MIN(B51:L51)</f>
        <v>0</v>
      </c>
      <c r="N51" s="136" t="n">
        <f aca="false">SUMPRODUCT(($M$5:$M$555&gt;M51)*1)+SUMPRODUCT(($M$5:$M$555=M51)*(ROW($M$5:$M$555)&lt;ROW(M51)))+1</f>
        <v>272</v>
      </c>
      <c r="O51" s="136" t="str">
        <f aca="false">IF(M51&gt;=0.2,"★★★ EXCELLENT",IF(M51&gt;=0.12,"★★  GOOD",IF(M51&gt;=0.07,"★  FAIR",IF(M51&gt;=0.025,"⚠  MARGINAL","✗  AVOID"))))</f>
        <v>✗  AVOID</v>
      </c>
    </row>
    <row r="52" customFormat="false" ht="15" hidden="false" customHeight="false" outlineLevel="0" collapsed="false">
      <c r="A52" s="137" t="n">
        <v>9.7</v>
      </c>
      <c r="B52" s="138" t="n">
        <f aca="false">IF(Calculator!$E$11="YES",IF(A52&lt;Calculator!$G$11,0,MIN(MIN(MOD(A52/Calculator!$F$11,1),1-MOD(A52/Calculator!$F$11,1)),ABS(MOD(A52/Calculator!$F$11,1)-0.5))),1)</f>
        <v>0</v>
      </c>
      <c r="C52" s="138" t="n">
        <f aca="false">IF(Calculator!$E$12="YES",IF(A52&lt;Calculator!$G$12,0,MIN(MIN(MOD(A52/Calculator!$F$12,1),1-MOD(A52/Calculator!$F$12,1)),ABS(MOD(A52/Calculator!$F$12,1)-0.5))),1)</f>
        <v>0</v>
      </c>
      <c r="D52" s="138" t="n">
        <f aca="false">IF(Calculator!$E$13="YES",IF(A52&lt;Calculator!$G$13,0,MIN(MIN(MOD(A52/Calculator!$F$13,1),1-MOD(A52/Calculator!$F$13,1)),ABS(MOD(A52/Calculator!$F$13,1)-0.5))),1)</f>
        <v>0</v>
      </c>
      <c r="E52" s="138" t="n">
        <f aca="false">IF(Calculator!$E$14="YES",IF(A52&lt;Calculator!$G$14,0,MIN(MIN(MOD(A52/Calculator!$F$14,1),1-MOD(A52/Calculator!$F$14,1)),ABS(MOD(A52/Calculator!$F$14,1)-0.5))),1)</f>
        <v>0</v>
      </c>
      <c r="F52" s="138" t="n">
        <f aca="false">IF(Calculator!$E$15="YES",IF(A52&lt;Calculator!$G$15,0,MIN(MIN(MOD(A52/Calculator!$F$15,1),1-MOD(A52/Calculator!$F$15,1)),ABS(MOD(A52/Calculator!$F$15,1)-0.5))),1)</f>
        <v>0.189210526315789</v>
      </c>
      <c r="G52" s="138" t="n">
        <f aca="false">IF(Calculator!$E$16="YES",IF(A52&lt;Calculator!$G$16,0,MIN(MIN(MOD(A52/Calculator!$F$16,1),1-MOD(A52/Calculator!$F$16,1)),ABS(MOD(A52/Calculator!$F$16,1)-0.5))),1)</f>
        <v>0.0351052631578948</v>
      </c>
      <c r="H52" s="138" t="n">
        <f aca="false">IF(Calculator!$E$17="YES",IF(A52&lt;Calculator!$G$17,0,MIN(MIN(MOD(A52/Calculator!$F$17,1),1-MOD(A52/Calculator!$F$17,1)),ABS(MOD(A52/Calculator!$F$17,1)-0.5))),1)</f>
        <v>0.233295438596491</v>
      </c>
      <c r="I52" s="138" t="n">
        <f aca="false">IF(Calculator!$E$18="YES",IF(A52&lt;Calculator!$G$18,0,MIN(MIN(MOD(A52/Calculator!$F$18,1),1-MOD(A52/Calculator!$F$18,1)),ABS(MOD(A52/Calculator!$F$18,1)-0.5))),1)</f>
        <v>0.0552105263157896</v>
      </c>
      <c r="J52" s="138" t="n">
        <f aca="false">IF(Calculator!$E$19="YES",IF(A52&lt;Calculator!$G$19,0,MIN(MIN(MOD(A52/Calculator!$F$19,1),1-MOD(A52/Calculator!$F$19,1)),ABS(MOD(A52/Calculator!$F$19,1)-0.5))),1)</f>
        <v>0.197670175438596</v>
      </c>
      <c r="K52" s="138" t="n">
        <f aca="false">IF(Calculator!$E$20="YES",IF(A52&lt;Calculator!$G$20,0,MIN(MIN(MOD(A52/Calculator!$F$20,1),1-MOD(A52/Calculator!$F$20,1)),ABS(MOD(A52/Calculator!$F$20,1)-0.5))),1)</f>
        <v>0.0361754385964914</v>
      </c>
      <c r="L52" s="138" t="n">
        <f aca="false">IF(Calculator!$E$21="YES",IF(A52&lt;Calculator!$G$21,0,MIN(MIN(MOD(A52/Calculator!$F$21,1),1-MOD(A52/Calculator!$F$21,1)),ABS(MOD(A52/Calculator!$F$21,1)-0.5))),1)</f>
        <v>0.0396491228070173</v>
      </c>
      <c r="M52" s="138" t="n">
        <f aca="false">MIN(B52:L52)</f>
        <v>0</v>
      </c>
      <c r="N52" s="138" t="n">
        <f aca="false">SUMPRODUCT(($M$5:$M$555&gt;M52)*1)+SUMPRODUCT(($M$5:$M$555=M52)*(ROW($M$5:$M$555)&lt;ROW(M52)))+1</f>
        <v>273</v>
      </c>
      <c r="O52" s="138" t="str">
        <f aca="false">IF(M52&gt;=0.2,"★★★ EXCELLENT",IF(M52&gt;=0.12,"★★  GOOD",IF(M52&gt;=0.07,"★  FAIR",IF(M52&gt;=0.025,"⚠  MARGINAL","✗  AVOID"))))</f>
        <v>✗  AVOID</v>
      </c>
    </row>
    <row r="53" customFormat="false" ht="15" hidden="false" customHeight="false" outlineLevel="0" collapsed="false">
      <c r="A53" s="135" t="n">
        <v>9.8</v>
      </c>
      <c r="B53" s="136" t="n">
        <f aca="false">IF(Calculator!$E$11="YES",IF(A53&lt;Calculator!$G$11,0,MIN(MIN(MOD(A53/Calculator!$F$11,1),1-MOD(A53/Calculator!$F$11,1)),ABS(MOD(A53/Calculator!$F$11,1)-0.5))),1)</f>
        <v>0</v>
      </c>
      <c r="C53" s="136" t="n">
        <f aca="false">IF(Calculator!$E$12="YES",IF(A53&lt;Calculator!$G$12,0,MIN(MIN(MOD(A53/Calculator!$F$12,1),1-MOD(A53/Calculator!$F$12,1)),ABS(MOD(A53/Calculator!$F$12,1)-0.5))),1)</f>
        <v>0</v>
      </c>
      <c r="D53" s="136" t="n">
        <f aca="false">IF(Calculator!$E$13="YES",IF(A53&lt;Calculator!$G$13,0,MIN(MIN(MOD(A53/Calculator!$F$13,1),1-MOD(A53/Calculator!$F$13,1)),ABS(MOD(A53/Calculator!$F$13,1)-0.5))),1)</f>
        <v>0</v>
      </c>
      <c r="E53" s="136" t="n">
        <f aca="false">IF(Calculator!$E$14="YES",IF(A53&lt;Calculator!$G$14,0,MIN(MIN(MOD(A53/Calculator!$F$14,1),1-MOD(A53/Calculator!$F$14,1)),ABS(MOD(A53/Calculator!$F$14,1)-0.5))),1)</f>
        <v>0</v>
      </c>
      <c r="F53" s="136" t="n">
        <f aca="false">IF(Calculator!$E$15="YES",IF(A53&lt;Calculator!$G$15,0,MIN(MIN(MOD(A53/Calculator!$F$15,1),1-MOD(A53/Calculator!$F$15,1)),ABS(MOD(A53/Calculator!$F$15,1)-0.5))),1)</f>
        <v>0.196315789473684</v>
      </c>
      <c r="G53" s="136" t="n">
        <f aca="false">IF(Calculator!$E$16="YES",IF(A53&lt;Calculator!$G$16,0,MIN(MIN(MOD(A53/Calculator!$F$16,1),1-MOD(A53/Calculator!$F$16,1)),ABS(MOD(A53/Calculator!$F$16,1)-0.5))),1)</f>
        <v>0.0251578947368419</v>
      </c>
      <c r="H53" s="136" t="n">
        <f aca="false">IF(Calculator!$E$17="YES",IF(A53&lt;Calculator!$G$17,0,MIN(MIN(MOD(A53/Calculator!$F$17,1),1-MOD(A53/Calculator!$F$17,1)),ABS(MOD(A53/Calculator!$F$17,1)-0.5))),1)</f>
        <v>0.246009824561404</v>
      </c>
      <c r="I53" s="136" t="n">
        <f aca="false">IF(Calculator!$E$18="YES",IF(A53&lt;Calculator!$G$18,0,MIN(MIN(MOD(A53/Calculator!$F$18,1),1-MOD(A53/Calculator!$F$18,1)),ABS(MOD(A53/Calculator!$F$18,1)-0.5))),1)</f>
        <v>0.0403157894736841</v>
      </c>
      <c r="J53" s="136" t="n">
        <f aca="false">IF(Calculator!$E$19="YES",IF(A53&lt;Calculator!$G$19,0,MIN(MIN(MOD(A53/Calculator!$F$19,1),1-MOD(A53/Calculator!$F$19,1)),ABS(MOD(A53/Calculator!$F$19,1)-0.5))),1)</f>
        <v>0.215171929824561</v>
      </c>
      <c r="K53" s="136" t="n">
        <f aca="false">IF(Calculator!$E$20="YES",IF(A53&lt;Calculator!$G$20,0,MIN(MIN(MOD(A53/Calculator!$F$20,1),1-MOD(A53/Calculator!$F$20,1)),ABS(MOD(A53/Calculator!$F$20,1)-0.5))),1)</f>
        <v>0.0159298245614035</v>
      </c>
      <c r="L53" s="136" t="n">
        <f aca="false">IF(Calculator!$E$21="YES",IF(A53&lt;Calculator!$G$21,0,MIN(MIN(MOD(A53/Calculator!$F$21,1),1-MOD(A53/Calculator!$F$21,1)),ABS(MOD(A53/Calculator!$F$21,1)-0.5))),1)</f>
        <v>0.0761403508771932</v>
      </c>
      <c r="M53" s="136" t="n">
        <f aca="false">MIN(B53:L53)</f>
        <v>0</v>
      </c>
      <c r="N53" s="136" t="n">
        <f aca="false">SUMPRODUCT(($M$5:$M$555&gt;M53)*1)+SUMPRODUCT(($M$5:$M$555=M53)*(ROW($M$5:$M$555)&lt;ROW(M53)))+1</f>
        <v>274</v>
      </c>
      <c r="O53" s="136" t="str">
        <f aca="false">IF(M53&gt;=0.2,"★★★ EXCELLENT",IF(M53&gt;=0.12,"★★  GOOD",IF(M53&gt;=0.07,"★  FAIR",IF(M53&gt;=0.025,"⚠  MARGINAL","✗  AVOID"))))</f>
        <v>✗  AVOID</v>
      </c>
    </row>
    <row r="54" customFormat="false" ht="15" hidden="false" customHeight="false" outlineLevel="0" collapsed="false">
      <c r="A54" s="137" t="n">
        <v>9.9</v>
      </c>
      <c r="B54" s="138" t="n">
        <f aca="false">IF(Calculator!$E$11="YES",IF(A54&lt;Calculator!$G$11,0,MIN(MIN(MOD(A54/Calculator!$F$11,1),1-MOD(A54/Calculator!$F$11,1)),ABS(MOD(A54/Calculator!$F$11,1)-0.5))),1)</f>
        <v>0</v>
      </c>
      <c r="C54" s="138" t="n">
        <f aca="false">IF(Calculator!$E$12="YES",IF(A54&lt;Calculator!$G$12,0,MIN(MIN(MOD(A54/Calculator!$F$12,1),1-MOD(A54/Calculator!$F$12,1)),ABS(MOD(A54/Calculator!$F$12,1)-0.5))),1)</f>
        <v>0</v>
      </c>
      <c r="D54" s="138" t="n">
        <f aca="false">IF(Calculator!$E$13="YES",IF(A54&lt;Calculator!$G$13,0,MIN(MIN(MOD(A54/Calculator!$F$13,1),1-MOD(A54/Calculator!$F$13,1)),ABS(MOD(A54/Calculator!$F$13,1)-0.5))),1)</f>
        <v>0</v>
      </c>
      <c r="E54" s="138" t="n">
        <f aca="false">IF(Calculator!$E$14="YES",IF(A54&lt;Calculator!$G$14,0,MIN(MIN(MOD(A54/Calculator!$F$14,1),1-MOD(A54/Calculator!$F$14,1)),ABS(MOD(A54/Calculator!$F$14,1)-0.5))),1)</f>
        <v>0</v>
      </c>
      <c r="F54" s="138" t="n">
        <f aca="false">IF(Calculator!$E$15="YES",IF(A54&lt;Calculator!$G$15,0,MIN(MIN(MOD(A54/Calculator!$F$15,1),1-MOD(A54/Calculator!$F$15,1)),ABS(MOD(A54/Calculator!$F$15,1)-0.5))),1)</f>
        <v>0.203421052631579</v>
      </c>
      <c r="G54" s="138" t="n">
        <f aca="false">IF(Calculator!$E$16="YES",IF(A54&lt;Calculator!$G$16,0,MIN(MIN(MOD(A54/Calculator!$F$16,1),1-MOD(A54/Calculator!$F$16,1)),ABS(MOD(A54/Calculator!$F$16,1)-0.5))),1)</f>
        <v>0.0152105263157893</v>
      </c>
      <c r="H54" s="138" t="n">
        <f aca="false">IF(Calculator!$E$17="YES",IF(A54&lt;Calculator!$G$17,0,MIN(MIN(MOD(A54/Calculator!$F$17,1),1-MOD(A54/Calculator!$F$17,1)),ABS(MOD(A54/Calculator!$F$17,1)-0.5))),1)</f>
        <v>0.241275789473684</v>
      </c>
      <c r="I54" s="138" t="n">
        <f aca="false">IF(Calculator!$E$18="YES",IF(A54&lt;Calculator!$G$18,0,MIN(MIN(MOD(A54/Calculator!$F$18,1),1-MOD(A54/Calculator!$F$18,1)),ABS(MOD(A54/Calculator!$F$18,1)-0.5))),1)</f>
        <v>0.0254210526315788</v>
      </c>
      <c r="J54" s="138" t="n">
        <f aca="false">IF(Calculator!$E$19="YES",IF(A54&lt;Calculator!$G$19,0,MIN(MIN(MOD(A54/Calculator!$F$19,1),1-MOD(A54/Calculator!$F$19,1)),ABS(MOD(A54/Calculator!$F$19,1)-0.5))),1)</f>
        <v>0.232673684210526</v>
      </c>
      <c r="K54" s="138" t="n">
        <f aca="false">IF(Calculator!$E$20="YES",IF(A54&lt;Calculator!$G$20,0,MIN(MIN(MOD(A54/Calculator!$F$20,1),1-MOD(A54/Calculator!$F$20,1)),ABS(MOD(A54/Calculator!$F$20,1)-0.5))),1)</f>
        <v>0.00431578947368427</v>
      </c>
      <c r="L54" s="138" t="n">
        <f aca="false">IF(Calculator!$E$21="YES",IF(A54&lt;Calculator!$G$21,0,MIN(MIN(MOD(A54/Calculator!$F$21,1),1-MOD(A54/Calculator!$F$21,1)),ABS(MOD(A54/Calculator!$F$21,1)-0.5))),1)</f>
        <v>0.112631578947369</v>
      </c>
      <c r="M54" s="138" t="n">
        <f aca="false">MIN(B54:L54)</f>
        <v>0</v>
      </c>
      <c r="N54" s="138" t="n">
        <f aca="false">SUMPRODUCT(($M$5:$M$555&gt;M54)*1)+SUMPRODUCT(($M$5:$M$555=M54)*(ROW($M$5:$M$555)&lt;ROW(M54)))+1</f>
        <v>275</v>
      </c>
      <c r="O54" s="138" t="str">
        <f aca="false">IF(M54&gt;=0.2,"★★★ EXCELLENT",IF(M54&gt;=0.12,"★★  GOOD",IF(M54&gt;=0.07,"★  FAIR",IF(M54&gt;=0.025,"⚠  MARGINAL","✗  AVOID"))))</f>
        <v>✗  AVOID</v>
      </c>
    </row>
    <row r="55" customFormat="false" ht="15" hidden="false" customHeight="false" outlineLevel="0" collapsed="false">
      <c r="A55" s="135" t="n">
        <v>10</v>
      </c>
      <c r="B55" s="136" t="n">
        <f aca="false">IF(Calculator!$E$11="YES",IF(A55&lt;Calculator!$G$11,0,MIN(MIN(MOD(A55/Calculator!$F$11,1),1-MOD(A55/Calculator!$F$11,1)),ABS(MOD(A55/Calculator!$F$11,1)-0.5))),1)</f>
        <v>0</v>
      </c>
      <c r="C55" s="136" t="n">
        <f aca="false">IF(Calculator!$E$12="YES",IF(A55&lt;Calculator!$G$12,0,MIN(MIN(MOD(A55/Calculator!$F$12,1),1-MOD(A55/Calculator!$F$12,1)),ABS(MOD(A55/Calculator!$F$12,1)-0.5))),1)</f>
        <v>0</v>
      </c>
      <c r="D55" s="136" t="n">
        <f aca="false">IF(Calculator!$E$13="YES",IF(A55&lt;Calculator!$G$13,0,MIN(MIN(MOD(A55/Calculator!$F$13,1),1-MOD(A55/Calculator!$F$13,1)),ABS(MOD(A55/Calculator!$F$13,1)-0.5))),1)</f>
        <v>0</v>
      </c>
      <c r="E55" s="136" t="n">
        <f aca="false">IF(Calculator!$E$14="YES",IF(A55&lt;Calculator!$G$14,0,MIN(MIN(MOD(A55/Calculator!$F$14,1),1-MOD(A55/Calculator!$F$14,1)),ABS(MOD(A55/Calculator!$F$14,1)-0.5))),1)</f>
        <v>0.00175438596491229</v>
      </c>
      <c r="F55" s="136" t="n">
        <f aca="false">IF(Calculator!$E$15="YES",IF(A55&lt;Calculator!$G$15,0,MIN(MIN(MOD(A55/Calculator!$F$15,1),1-MOD(A55/Calculator!$F$15,1)),ABS(MOD(A55/Calculator!$F$15,1)-0.5))),1)</f>
        <v>0.210526315789474</v>
      </c>
      <c r="G55" s="136" t="n">
        <f aca="false">IF(Calculator!$E$16="YES",IF(A55&lt;Calculator!$G$16,0,MIN(MIN(MOD(A55/Calculator!$F$16,1),1-MOD(A55/Calculator!$F$16,1)),ABS(MOD(A55/Calculator!$F$16,1)-0.5))),1)</f>
        <v>0.00526315789473675</v>
      </c>
      <c r="H55" s="136" t="n">
        <f aca="false">IF(Calculator!$E$17="YES",IF(A55&lt;Calculator!$G$17,0,MIN(MIN(MOD(A55/Calculator!$F$17,1),1-MOD(A55/Calculator!$F$17,1)),ABS(MOD(A55/Calculator!$F$17,1)-0.5))),1)</f>
        <v>0.228561403508772</v>
      </c>
      <c r="I55" s="136" t="n">
        <f aca="false">IF(Calculator!$E$18="YES",IF(A55&lt;Calculator!$G$18,0,MIN(MIN(MOD(A55/Calculator!$F$18,1),1-MOD(A55/Calculator!$F$18,1)),ABS(MOD(A55/Calculator!$F$18,1)-0.5))),1)</f>
        <v>0.0105263157894737</v>
      </c>
      <c r="J55" s="136" t="n">
        <f aca="false">IF(Calculator!$E$19="YES",IF(A55&lt;Calculator!$G$19,0,MIN(MIN(MOD(A55/Calculator!$F$19,1),1-MOD(A55/Calculator!$F$19,1)),ABS(MOD(A55/Calculator!$F$19,1)-0.5))),1)</f>
        <v>0.249824561403509</v>
      </c>
      <c r="K55" s="136" t="n">
        <f aca="false">IF(Calculator!$E$20="YES",IF(A55&lt;Calculator!$G$20,0,MIN(MIN(MOD(A55/Calculator!$F$20,1),1-MOD(A55/Calculator!$F$20,1)),ABS(MOD(A55/Calculator!$F$20,1)-0.5))),1)</f>
        <v>0.024561403508772</v>
      </c>
      <c r="L55" s="136" t="n">
        <f aca="false">IF(Calculator!$E$21="YES",IF(A55&lt;Calculator!$G$21,0,MIN(MIN(MOD(A55/Calculator!$F$21,1),1-MOD(A55/Calculator!$F$21,1)),ABS(MOD(A55/Calculator!$F$21,1)-0.5))),1)</f>
        <v>0.149122807017544</v>
      </c>
      <c r="M55" s="136" t="n">
        <f aca="false">MIN(B55:L55)</f>
        <v>0</v>
      </c>
      <c r="N55" s="136" t="n">
        <f aca="false">SUMPRODUCT(($M$5:$M$555&gt;M55)*1)+SUMPRODUCT(($M$5:$M$555=M55)*(ROW($M$5:$M$555)&lt;ROW(M55)))+1</f>
        <v>276</v>
      </c>
      <c r="O55" s="136" t="str">
        <f aca="false">IF(M55&gt;=0.2,"★★★ EXCELLENT",IF(M55&gt;=0.12,"★★  GOOD",IF(M55&gt;=0.07,"★  FAIR",IF(M55&gt;=0.025,"⚠  MARGINAL","✗  AVOID"))))</f>
        <v>✗  AVOID</v>
      </c>
    </row>
    <row r="56" customFormat="false" ht="15" hidden="false" customHeight="false" outlineLevel="0" collapsed="false">
      <c r="A56" s="137" t="n">
        <v>10.1</v>
      </c>
      <c r="B56" s="138" t="n">
        <f aca="false">IF(Calculator!$E$11="YES",IF(A56&lt;Calculator!$G$11,0,MIN(MIN(MOD(A56/Calculator!$F$11,1),1-MOD(A56/Calculator!$F$11,1)),ABS(MOD(A56/Calculator!$F$11,1)-0.5))),1)</f>
        <v>0</v>
      </c>
      <c r="C56" s="138" t="n">
        <f aca="false">IF(Calculator!$E$12="YES",IF(A56&lt;Calculator!$G$12,0,MIN(MIN(MOD(A56/Calculator!$F$12,1),1-MOD(A56/Calculator!$F$12,1)),ABS(MOD(A56/Calculator!$F$12,1)-0.5))),1)</f>
        <v>0</v>
      </c>
      <c r="D56" s="138" t="n">
        <f aca="false">IF(Calculator!$E$13="YES",IF(A56&lt;Calculator!$G$13,0,MIN(MIN(MOD(A56/Calculator!$F$13,1),1-MOD(A56/Calculator!$F$13,1)),ABS(MOD(A56/Calculator!$F$13,1)-0.5))),1)</f>
        <v>0</v>
      </c>
      <c r="E56" s="138" t="n">
        <f aca="false">IF(Calculator!$E$14="YES",IF(A56&lt;Calculator!$G$14,0,MIN(MIN(MOD(A56/Calculator!$F$14,1),1-MOD(A56/Calculator!$F$14,1)),ABS(MOD(A56/Calculator!$F$14,1)-0.5))),1)</f>
        <v>0.00677192982456143</v>
      </c>
      <c r="F56" s="138" t="n">
        <f aca="false">IF(Calculator!$E$15="YES",IF(A56&lt;Calculator!$G$15,0,MIN(MIN(MOD(A56/Calculator!$F$15,1),1-MOD(A56/Calculator!$F$15,1)),ABS(MOD(A56/Calculator!$F$15,1)-0.5))),1)</f>
        <v>0.217631578947368</v>
      </c>
      <c r="G56" s="138" t="n">
        <f aca="false">IF(Calculator!$E$16="YES",IF(A56&lt;Calculator!$G$16,0,MIN(MIN(MOD(A56/Calculator!$F$16,1),1-MOD(A56/Calculator!$F$16,1)),ABS(MOD(A56/Calculator!$F$16,1)-0.5))),1)</f>
        <v>0.00468421052631585</v>
      </c>
      <c r="H56" s="138" t="n">
        <f aca="false">IF(Calculator!$E$17="YES",IF(A56&lt;Calculator!$G$17,0,MIN(MIN(MOD(A56/Calculator!$F$17,1),1-MOD(A56/Calculator!$F$17,1)),ABS(MOD(A56/Calculator!$F$17,1)-0.5))),1)</f>
        <v>0.21584701754386</v>
      </c>
      <c r="I56" s="138" t="n">
        <f aca="false">IF(Calculator!$E$18="YES",IF(A56&lt;Calculator!$G$18,0,MIN(MIN(MOD(A56/Calculator!$F$18,1),1-MOD(A56/Calculator!$F$18,1)),ABS(MOD(A56/Calculator!$F$18,1)-0.5))),1)</f>
        <v>0.00436842105263158</v>
      </c>
      <c r="J56" s="138" t="n">
        <f aca="false">IF(Calculator!$E$19="YES",IF(A56&lt;Calculator!$G$19,0,MIN(MIN(MOD(A56/Calculator!$F$19,1),1-MOD(A56/Calculator!$F$19,1)),ABS(MOD(A56/Calculator!$F$19,1)-0.5))),1)</f>
        <v>0.232322807017544</v>
      </c>
      <c r="K56" s="138" t="n">
        <f aca="false">IF(Calculator!$E$20="YES",IF(A56&lt;Calculator!$G$20,0,MIN(MIN(MOD(A56/Calculator!$F$20,1),1-MOD(A56/Calculator!$F$20,1)),ABS(MOD(A56/Calculator!$F$20,1)-0.5))),1)</f>
        <v>0.0448070175438597</v>
      </c>
      <c r="L56" s="138" t="n">
        <f aca="false">IF(Calculator!$E$21="YES",IF(A56&lt;Calculator!$G$21,0,MIN(MIN(MOD(A56/Calculator!$F$21,1),1-MOD(A56/Calculator!$F$21,1)),ABS(MOD(A56/Calculator!$F$21,1)-0.5))),1)</f>
        <v>0.185614035087719</v>
      </c>
      <c r="M56" s="138" t="n">
        <f aca="false">MIN(B56:L56)</f>
        <v>0</v>
      </c>
      <c r="N56" s="138" t="n">
        <f aca="false">SUMPRODUCT(($M$5:$M$555&gt;M56)*1)+SUMPRODUCT(($M$5:$M$555=M56)*(ROW($M$5:$M$555)&lt;ROW(M56)))+1</f>
        <v>277</v>
      </c>
      <c r="O56" s="138" t="str">
        <f aca="false">IF(M56&gt;=0.2,"★★★ EXCELLENT",IF(M56&gt;=0.12,"★★  GOOD",IF(M56&gt;=0.07,"★  FAIR",IF(M56&gt;=0.025,"⚠  MARGINAL","✗  AVOID"))))</f>
        <v>✗  AVOID</v>
      </c>
    </row>
    <row r="57" customFormat="false" ht="15" hidden="false" customHeight="false" outlineLevel="0" collapsed="false">
      <c r="A57" s="135" t="n">
        <v>10.2</v>
      </c>
      <c r="B57" s="136" t="n">
        <f aca="false">IF(Calculator!$E$11="YES",IF(A57&lt;Calculator!$G$11,0,MIN(MIN(MOD(A57/Calculator!$F$11,1),1-MOD(A57/Calculator!$F$11,1)),ABS(MOD(A57/Calculator!$F$11,1)-0.5))),1)</f>
        <v>0</v>
      </c>
      <c r="C57" s="136" t="n">
        <f aca="false">IF(Calculator!$E$12="YES",IF(A57&lt;Calculator!$G$12,0,MIN(MIN(MOD(A57/Calculator!$F$12,1),1-MOD(A57/Calculator!$F$12,1)),ABS(MOD(A57/Calculator!$F$12,1)-0.5))),1)</f>
        <v>0</v>
      </c>
      <c r="D57" s="136" t="n">
        <f aca="false">IF(Calculator!$E$13="YES",IF(A57&lt;Calculator!$G$13,0,MIN(MIN(MOD(A57/Calculator!$F$13,1),1-MOD(A57/Calculator!$F$13,1)),ABS(MOD(A57/Calculator!$F$13,1)-0.5))),1)</f>
        <v>0</v>
      </c>
      <c r="E57" s="136" t="n">
        <f aca="false">IF(Calculator!$E$14="YES",IF(A57&lt;Calculator!$G$14,0,MIN(MIN(MOD(A57/Calculator!$F$14,1),1-MOD(A57/Calculator!$F$14,1)),ABS(MOD(A57/Calculator!$F$14,1)-0.5))),1)</f>
        <v>0.0117894736842105</v>
      </c>
      <c r="F57" s="136" t="n">
        <f aca="false">IF(Calculator!$E$15="YES",IF(A57&lt;Calculator!$G$15,0,MIN(MIN(MOD(A57/Calculator!$F$15,1),1-MOD(A57/Calculator!$F$15,1)),ABS(MOD(A57/Calculator!$F$15,1)-0.5))),1)</f>
        <v>0.224736842105263</v>
      </c>
      <c r="G57" s="136" t="n">
        <f aca="false">IF(Calculator!$E$16="YES",IF(A57&lt;Calculator!$G$16,0,MIN(MIN(MOD(A57/Calculator!$F$16,1),1-MOD(A57/Calculator!$F$16,1)),ABS(MOD(A57/Calculator!$F$16,1)-0.5))),1)</f>
        <v>0.0146315789473683</v>
      </c>
      <c r="H57" s="136" t="n">
        <f aca="false">IF(Calculator!$E$17="YES",IF(A57&lt;Calculator!$G$17,0,MIN(MIN(MOD(A57/Calculator!$F$17,1),1-MOD(A57/Calculator!$F$17,1)),ABS(MOD(A57/Calculator!$F$17,1)-0.5))),1)</f>
        <v>0.203132631578947</v>
      </c>
      <c r="I57" s="136" t="n">
        <f aca="false">IF(Calculator!$E$18="YES",IF(A57&lt;Calculator!$G$18,0,MIN(MIN(MOD(A57/Calculator!$F$18,1),1-MOD(A57/Calculator!$F$18,1)),ABS(MOD(A57/Calculator!$F$18,1)-0.5))),1)</f>
        <v>0.0192631578947369</v>
      </c>
      <c r="J57" s="136" t="n">
        <f aca="false">IF(Calculator!$E$19="YES",IF(A57&lt;Calculator!$G$19,0,MIN(MIN(MOD(A57/Calculator!$F$19,1),1-MOD(A57/Calculator!$F$19,1)),ABS(MOD(A57/Calculator!$F$19,1)-0.5))),1)</f>
        <v>0.214821052631579</v>
      </c>
      <c r="K57" s="136" t="n">
        <f aca="false">IF(Calculator!$E$20="YES",IF(A57&lt;Calculator!$G$20,0,MIN(MIN(MOD(A57/Calculator!$F$20,1),1-MOD(A57/Calculator!$F$20,1)),ABS(MOD(A57/Calculator!$F$20,1)-0.5))),1)</f>
        <v>0.065052631578947</v>
      </c>
      <c r="L57" s="136" t="n">
        <f aca="false">IF(Calculator!$E$21="YES",IF(A57&lt;Calculator!$G$21,0,MIN(MIN(MOD(A57/Calculator!$F$21,1),1-MOD(A57/Calculator!$F$21,1)),ABS(MOD(A57/Calculator!$F$21,1)-0.5))),1)</f>
        <v>0.222105263157895</v>
      </c>
      <c r="M57" s="136" t="n">
        <f aca="false">MIN(B57:L57)</f>
        <v>0</v>
      </c>
      <c r="N57" s="136" t="n">
        <f aca="false">SUMPRODUCT(($M$5:$M$555&gt;M57)*1)+SUMPRODUCT(($M$5:$M$555=M57)*(ROW($M$5:$M$555)&lt;ROW(M57)))+1</f>
        <v>278</v>
      </c>
      <c r="O57" s="136" t="str">
        <f aca="false">IF(M57&gt;=0.2,"★★★ EXCELLENT",IF(M57&gt;=0.12,"★★  GOOD",IF(M57&gt;=0.07,"★  FAIR",IF(M57&gt;=0.025,"⚠  MARGINAL","✗  AVOID"))))</f>
        <v>✗  AVOID</v>
      </c>
    </row>
    <row r="58" customFormat="false" ht="15" hidden="false" customHeight="false" outlineLevel="0" collapsed="false">
      <c r="A58" s="137" t="n">
        <v>10.3</v>
      </c>
      <c r="B58" s="138" t="n">
        <f aca="false">IF(Calculator!$E$11="YES",IF(A58&lt;Calculator!$G$11,0,MIN(MIN(MOD(A58/Calculator!$F$11,1),1-MOD(A58/Calculator!$F$11,1)),ABS(MOD(A58/Calculator!$F$11,1)-0.5))),1)</f>
        <v>0</v>
      </c>
      <c r="C58" s="138" t="n">
        <f aca="false">IF(Calculator!$E$12="YES",IF(A58&lt;Calculator!$G$12,0,MIN(MIN(MOD(A58/Calculator!$F$12,1),1-MOD(A58/Calculator!$F$12,1)),ABS(MOD(A58/Calculator!$F$12,1)-0.5))),1)</f>
        <v>0</v>
      </c>
      <c r="D58" s="138" t="n">
        <f aca="false">IF(Calculator!$E$13="YES",IF(A58&lt;Calculator!$G$13,0,MIN(MIN(MOD(A58/Calculator!$F$13,1),1-MOD(A58/Calculator!$F$13,1)),ABS(MOD(A58/Calculator!$F$13,1)-0.5))),1)</f>
        <v>0</v>
      </c>
      <c r="E58" s="138" t="n">
        <f aca="false">IF(Calculator!$E$14="YES",IF(A58&lt;Calculator!$G$14,0,MIN(MIN(MOD(A58/Calculator!$F$14,1),1-MOD(A58/Calculator!$F$14,1)),ABS(MOD(A58/Calculator!$F$14,1)-0.5))),1)</f>
        <v>0.0168070175438597</v>
      </c>
      <c r="F58" s="138" t="n">
        <f aca="false">IF(Calculator!$E$15="YES",IF(A58&lt;Calculator!$G$15,0,MIN(MIN(MOD(A58/Calculator!$F$15,1),1-MOD(A58/Calculator!$F$15,1)),ABS(MOD(A58/Calculator!$F$15,1)-0.5))),1)</f>
        <v>0.231842105263158</v>
      </c>
      <c r="G58" s="138" t="n">
        <f aca="false">IF(Calculator!$E$16="YES",IF(A58&lt;Calculator!$G$16,0,MIN(MIN(MOD(A58/Calculator!$F$16,1),1-MOD(A58/Calculator!$F$16,1)),ABS(MOD(A58/Calculator!$F$16,1)-0.5))),1)</f>
        <v>0.0245789473684213</v>
      </c>
      <c r="H58" s="138" t="n">
        <f aca="false">IF(Calculator!$E$17="YES",IF(A58&lt;Calculator!$G$17,0,MIN(MIN(MOD(A58/Calculator!$F$17,1),1-MOD(A58/Calculator!$F$17,1)),ABS(MOD(A58/Calculator!$F$17,1)-0.5))),1)</f>
        <v>0.190418245614035</v>
      </c>
      <c r="I58" s="138" t="n">
        <f aca="false">IF(Calculator!$E$18="YES",IF(A58&lt;Calculator!$G$18,0,MIN(MIN(MOD(A58/Calculator!$F$18,1),1-MOD(A58/Calculator!$F$18,1)),ABS(MOD(A58/Calculator!$F$18,1)-0.5))),1)</f>
        <v>0.0341578947368422</v>
      </c>
      <c r="J58" s="138" t="n">
        <f aca="false">IF(Calculator!$E$19="YES",IF(A58&lt;Calculator!$G$19,0,MIN(MIN(MOD(A58/Calculator!$F$19,1),1-MOD(A58/Calculator!$F$19,1)),ABS(MOD(A58/Calculator!$F$19,1)-0.5))),1)</f>
        <v>0.197319298245614</v>
      </c>
      <c r="K58" s="138" t="n">
        <f aca="false">IF(Calculator!$E$20="YES",IF(A58&lt;Calculator!$G$20,0,MIN(MIN(MOD(A58/Calculator!$F$20,1),1-MOD(A58/Calculator!$F$20,1)),ABS(MOD(A58/Calculator!$F$20,1)-0.5))),1)</f>
        <v>0.0852982456140352</v>
      </c>
      <c r="L58" s="138" t="n">
        <f aca="false">IF(Calculator!$E$21="YES",IF(A58&lt;Calculator!$G$21,0,MIN(MIN(MOD(A58/Calculator!$F$21,1),1-MOD(A58/Calculator!$F$21,1)),ABS(MOD(A58/Calculator!$F$21,1)-0.5))),1)</f>
        <v>0.24140350877193</v>
      </c>
      <c r="M58" s="138" t="n">
        <f aca="false">MIN(B58:L58)</f>
        <v>0</v>
      </c>
      <c r="N58" s="138" t="n">
        <f aca="false">SUMPRODUCT(($M$5:$M$555&gt;M58)*1)+SUMPRODUCT(($M$5:$M$555=M58)*(ROW($M$5:$M$555)&lt;ROW(M58)))+1</f>
        <v>279</v>
      </c>
      <c r="O58" s="138" t="str">
        <f aca="false">IF(M58&gt;=0.2,"★★★ EXCELLENT",IF(M58&gt;=0.12,"★★  GOOD",IF(M58&gt;=0.07,"★  FAIR",IF(M58&gt;=0.025,"⚠  MARGINAL","✗  AVOID"))))</f>
        <v>✗  AVOID</v>
      </c>
    </row>
    <row r="59" customFormat="false" ht="15" hidden="false" customHeight="false" outlineLevel="0" collapsed="false">
      <c r="A59" s="135" t="n">
        <v>10.4</v>
      </c>
      <c r="B59" s="136" t="n">
        <f aca="false">IF(Calculator!$E$11="YES",IF(A59&lt;Calculator!$G$11,0,MIN(MIN(MOD(A59/Calculator!$F$11,1),1-MOD(A59/Calculator!$F$11,1)),ABS(MOD(A59/Calculator!$F$11,1)-0.5))),1)</f>
        <v>0</v>
      </c>
      <c r="C59" s="136" t="n">
        <f aca="false">IF(Calculator!$E$12="YES",IF(A59&lt;Calculator!$G$12,0,MIN(MIN(MOD(A59/Calculator!$F$12,1),1-MOD(A59/Calculator!$F$12,1)),ABS(MOD(A59/Calculator!$F$12,1)-0.5))),1)</f>
        <v>0</v>
      </c>
      <c r="D59" s="136" t="n">
        <f aca="false">IF(Calculator!$E$13="YES",IF(A59&lt;Calculator!$G$13,0,MIN(MIN(MOD(A59/Calculator!$F$13,1),1-MOD(A59/Calculator!$F$13,1)),ABS(MOD(A59/Calculator!$F$13,1)-0.5))),1)</f>
        <v>0</v>
      </c>
      <c r="E59" s="136" t="n">
        <f aca="false">IF(Calculator!$E$14="YES",IF(A59&lt;Calculator!$G$14,0,MIN(MIN(MOD(A59/Calculator!$F$14,1),1-MOD(A59/Calculator!$F$14,1)),ABS(MOD(A59/Calculator!$F$14,1)-0.5))),1)</f>
        <v>0.0218245614035087</v>
      </c>
      <c r="F59" s="136" t="n">
        <f aca="false">IF(Calculator!$E$15="YES",IF(A59&lt;Calculator!$G$15,0,MIN(MIN(MOD(A59/Calculator!$F$15,1),1-MOD(A59/Calculator!$F$15,1)),ABS(MOD(A59/Calculator!$F$15,1)-0.5))),1)</f>
        <v>0.238947368421053</v>
      </c>
      <c r="G59" s="136" t="n">
        <f aca="false">IF(Calculator!$E$16="YES",IF(A59&lt;Calculator!$G$16,0,MIN(MIN(MOD(A59/Calculator!$F$16,1),1-MOD(A59/Calculator!$F$16,1)),ABS(MOD(A59/Calculator!$F$16,1)-0.5))),1)</f>
        <v>0.0345263157894737</v>
      </c>
      <c r="H59" s="136" t="n">
        <f aca="false">IF(Calculator!$E$17="YES",IF(A59&lt;Calculator!$G$17,0,MIN(MIN(MOD(A59/Calculator!$F$17,1),1-MOD(A59/Calculator!$F$17,1)),ABS(MOD(A59/Calculator!$F$17,1)-0.5))),1)</f>
        <v>0.177703859649123</v>
      </c>
      <c r="I59" s="136" t="n">
        <f aca="false">IF(Calculator!$E$18="YES",IF(A59&lt;Calculator!$G$18,0,MIN(MIN(MOD(A59/Calculator!$F$18,1),1-MOD(A59/Calculator!$F$18,1)),ABS(MOD(A59/Calculator!$F$18,1)-0.5))),1)</f>
        <v>0.0490526315789475</v>
      </c>
      <c r="J59" s="136" t="n">
        <f aca="false">IF(Calculator!$E$19="YES",IF(A59&lt;Calculator!$G$19,0,MIN(MIN(MOD(A59/Calculator!$F$19,1),1-MOD(A59/Calculator!$F$19,1)),ABS(MOD(A59/Calculator!$F$19,1)-0.5))),1)</f>
        <v>0.179817543859649</v>
      </c>
      <c r="K59" s="136" t="n">
        <f aca="false">IF(Calculator!$E$20="YES",IF(A59&lt;Calculator!$G$20,0,MIN(MIN(MOD(A59/Calculator!$F$20,1),1-MOD(A59/Calculator!$F$20,1)),ABS(MOD(A59/Calculator!$F$20,1)-0.5))),1)</f>
        <v>0.105543859649123</v>
      </c>
      <c r="L59" s="136" t="n">
        <f aca="false">IF(Calculator!$E$21="YES",IF(A59&lt;Calculator!$G$21,0,MIN(MIN(MOD(A59/Calculator!$F$21,1),1-MOD(A59/Calculator!$F$21,1)),ABS(MOD(A59/Calculator!$F$21,1)-0.5))),1)</f>
        <v>0.204912280701755</v>
      </c>
      <c r="M59" s="136" t="n">
        <f aca="false">MIN(B59:L59)</f>
        <v>0</v>
      </c>
      <c r="N59" s="136" t="n">
        <f aca="false">SUMPRODUCT(($M$5:$M$555&gt;M59)*1)+SUMPRODUCT(($M$5:$M$555=M59)*(ROW($M$5:$M$555)&lt;ROW(M59)))+1</f>
        <v>280</v>
      </c>
      <c r="O59" s="136" t="str">
        <f aca="false">IF(M59&gt;=0.2,"★★★ EXCELLENT",IF(M59&gt;=0.12,"★★  GOOD",IF(M59&gt;=0.07,"★  FAIR",IF(M59&gt;=0.025,"⚠  MARGINAL","✗  AVOID"))))</f>
        <v>✗  AVOID</v>
      </c>
    </row>
    <row r="60" customFormat="false" ht="15" hidden="false" customHeight="false" outlineLevel="0" collapsed="false">
      <c r="A60" s="137" t="n">
        <v>10.5</v>
      </c>
      <c r="B60" s="138" t="n">
        <f aca="false">IF(Calculator!$E$11="YES",IF(A60&lt;Calculator!$G$11,0,MIN(MIN(MOD(A60/Calculator!$F$11,1),1-MOD(A60/Calculator!$F$11,1)),ABS(MOD(A60/Calculator!$F$11,1)-0.5))),1)</f>
        <v>0</v>
      </c>
      <c r="C60" s="138" t="n">
        <f aca="false">IF(Calculator!$E$12="YES",IF(A60&lt;Calculator!$G$12,0,MIN(MIN(MOD(A60/Calculator!$F$12,1),1-MOD(A60/Calculator!$F$12,1)),ABS(MOD(A60/Calculator!$F$12,1)-0.5))),1)</f>
        <v>0</v>
      </c>
      <c r="D60" s="138" t="n">
        <f aca="false">IF(Calculator!$E$13="YES",IF(A60&lt;Calculator!$G$13,0,MIN(MIN(MOD(A60/Calculator!$F$13,1),1-MOD(A60/Calculator!$F$13,1)),ABS(MOD(A60/Calculator!$F$13,1)-0.5))),1)</f>
        <v>0</v>
      </c>
      <c r="E60" s="138" t="n">
        <f aca="false">IF(Calculator!$E$14="YES",IF(A60&lt;Calculator!$G$14,0,MIN(MIN(MOD(A60/Calculator!$F$14,1),1-MOD(A60/Calculator!$F$14,1)),ABS(MOD(A60/Calculator!$F$14,1)-0.5))),1)</f>
        <v>0.0268421052631579</v>
      </c>
      <c r="F60" s="138" t="n">
        <f aca="false">IF(Calculator!$E$15="YES",IF(A60&lt;Calculator!$G$15,0,MIN(MIN(MOD(A60/Calculator!$F$15,1),1-MOD(A60/Calculator!$F$15,1)),ABS(MOD(A60/Calculator!$F$15,1)-0.5))),1)</f>
        <v>0.246052631578947</v>
      </c>
      <c r="G60" s="138" t="n">
        <f aca="false">IF(Calculator!$E$16="YES",IF(A60&lt;Calculator!$G$16,0,MIN(MIN(MOD(A60/Calculator!$F$16,1),1-MOD(A60/Calculator!$F$16,1)),ABS(MOD(A60/Calculator!$F$16,1)-0.5))),1)</f>
        <v>0.0444736842105264</v>
      </c>
      <c r="H60" s="138" t="n">
        <f aca="false">IF(Calculator!$E$17="YES",IF(A60&lt;Calculator!$G$17,0,MIN(MIN(MOD(A60/Calculator!$F$17,1),1-MOD(A60/Calculator!$F$17,1)),ABS(MOD(A60/Calculator!$F$17,1)-0.5))),1)</f>
        <v>0.16498947368421</v>
      </c>
      <c r="I60" s="138" t="n">
        <f aca="false">IF(Calculator!$E$18="YES",IF(A60&lt;Calculator!$G$18,0,MIN(MIN(MOD(A60/Calculator!$F$18,1),1-MOD(A60/Calculator!$F$18,1)),ABS(MOD(A60/Calculator!$F$18,1)-0.5))),1)</f>
        <v>0.0639473684210528</v>
      </c>
      <c r="J60" s="138" t="n">
        <f aca="false">IF(Calculator!$E$19="YES",IF(A60&lt;Calculator!$G$19,0,MIN(MIN(MOD(A60/Calculator!$F$19,1),1-MOD(A60/Calculator!$F$19,1)),ABS(MOD(A60/Calculator!$F$19,1)-0.5))),1)</f>
        <v>0.162315789473684</v>
      </c>
      <c r="K60" s="138" t="n">
        <f aca="false">IF(Calculator!$E$20="YES",IF(A60&lt;Calculator!$G$20,0,MIN(MIN(MOD(A60/Calculator!$F$20,1),1-MOD(A60/Calculator!$F$20,1)),ABS(MOD(A60/Calculator!$F$20,1)-0.5))),1)</f>
        <v>0.125789473684211</v>
      </c>
      <c r="L60" s="138" t="n">
        <f aca="false">IF(Calculator!$E$21="YES",IF(A60&lt;Calculator!$G$21,0,MIN(MIN(MOD(A60/Calculator!$F$21,1),1-MOD(A60/Calculator!$F$21,1)),ABS(MOD(A60/Calculator!$F$21,1)-0.5))),1)</f>
        <v>0.168421052631579</v>
      </c>
      <c r="M60" s="138" t="n">
        <f aca="false">MIN(B60:L60)</f>
        <v>0</v>
      </c>
      <c r="N60" s="138" t="n">
        <f aca="false">SUMPRODUCT(($M$5:$M$555&gt;M60)*1)+SUMPRODUCT(($M$5:$M$555=M60)*(ROW($M$5:$M$555)&lt;ROW(M60)))+1</f>
        <v>281</v>
      </c>
      <c r="O60" s="138" t="str">
        <f aca="false">IF(M60&gt;=0.2,"★★★ EXCELLENT",IF(M60&gt;=0.12,"★★  GOOD",IF(M60&gt;=0.07,"★  FAIR",IF(M60&gt;=0.025,"⚠  MARGINAL","✗  AVOID"))))</f>
        <v>✗  AVOID</v>
      </c>
    </row>
    <row r="61" customFormat="false" ht="15" hidden="false" customHeight="false" outlineLevel="0" collapsed="false">
      <c r="A61" s="135" t="n">
        <v>10.6</v>
      </c>
      <c r="B61" s="136" t="n">
        <f aca="false">IF(Calculator!$E$11="YES",IF(A61&lt;Calculator!$G$11,0,MIN(MIN(MOD(A61/Calculator!$F$11,1),1-MOD(A61/Calculator!$F$11,1)),ABS(MOD(A61/Calculator!$F$11,1)-0.5))),1)</f>
        <v>0</v>
      </c>
      <c r="C61" s="136" t="n">
        <f aca="false">IF(Calculator!$E$12="YES",IF(A61&lt;Calculator!$G$12,0,MIN(MIN(MOD(A61/Calculator!$F$12,1),1-MOD(A61/Calculator!$F$12,1)),ABS(MOD(A61/Calculator!$F$12,1)-0.5))),1)</f>
        <v>0</v>
      </c>
      <c r="D61" s="136" t="n">
        <f aca="false">IF(Calculator!$E$13="YES",IF(A61&lt;Calculator!$G$13,0,MIN(MIN(MOD(A61/Calculator!$F$13,1),1-MOD(A61/Calculator!$F$13,1)),ABS(MOD(A61/Calculator!$F$13,1)-0.5))),1)</f>
        <v>0</v>
      </c>
      <c r="E61" s="136" t="n">
        <f aca="false">IF(Calculator!$E$14="YES",IF(A61&lt;Calculator!$G$14,0,MIN(MIN(MOD(A61/Calculator!$F$14,1),1-MOD(A61/Calculator!$F$14,1)),ABS(MOD(A61/Calculator!$F$14,1)-0.5))),1)</f>
        <v>0.031859649122807</v>
      </c>
      <c r="F61" s="136" t="n">
        <f aca="false">IF(Calculator!$E$15="YES",IF(A61&lt;Calculator!$G$15,0,MIN(MIN(MOD(A61/Calculator!$F$15,1),1-MOD(A61/Calculator!$F$15,1)),ABS(MOD(A61/Calculator!$F$15,1)-0.5))),1)</f>
        <v>0.246842105263158</v>
      </c>
      <c r="G61" s="136" t="n">
        <f aca="false">IF(Calculator!$E$16="YES",IF(A61&lt;Calculator!$G$16,0,MIN(MIN(MOD(A61/Calculator!$F$16,1),1-MOD(A61/Calculator!$F$16,1)),ABS(MOD(A61/Calculator!$F$16,1)-0.5))),1)</f>
        <v>0.0544210526315789</v>
      </c>
      <c r="H61" s="136" t="n">
        <f aca="false">IF(Calculator!$E$17="YES",IF(A61&lt;Calculator!$G$17,0,MIN(MIN(MOD(A61/Calculator!$F$17,1),1-MOD(A61/Calculator!$F$17,1)),ABS(MOD(A61/Calculator!$F$17,1)-0.5))),1)</f>
        <v>0.152275087719298</v>
      </c>
      <c r="I61" s="136" t="n">
        <f aca="false">IF(Calculator!$E$18="YES",IF(A61&lt;Calculator!$G$18,0,MIN(MIN(MOD(A61/Calculator!$F$18,1),1-MOD(A61/Calculator!$F$18,1)),ABS(MOD(A61/Calculator!$F$18,1)-0.5))),1)</f>
        <v>0.0788421052631578</v>
      </c>
      <c r="J61" s="136" t="n">
        <f aca="false">IF(Calculator!$E$19="YES",IF(A61&lt;Calculator!$G$19,0,MIN(MIN(MOD(A61/Calculator!$F$19,1),1-MOD(A61/Calculator!$F$19,1)),ABS(MOD(A61/Calculator!$F$19,1)-0.5))),1)</f>
        <v>0.14481403508772</v>
      </c>
      <c r="K61" s="136" t="n">
        <f aca="false">IF(Calculator!$E$20="YES",IF(A61&lt;Calculator!$G$20,0,MIN(MIN(MOD(A61/Calculator!$F$20,1),1-MOD(A61/Calculator!$F$20,1)),ABS(MOD(A61/Calculator!$F$20,1)-0.5))),1)</f>
        <v>0.146035087719298</v>
      </c>
      <c r="L61" s="136" t="n">
        <f aca="false">IF(Calculator!$E$21="YES",IF(A61&lt;Calculator!$G$21,0,MIN(MIN(MOD(A61/Calculator!$F$21,1),1-MOD(A61/Calculator!$F$21,1)),ABS(MOD(A61/Calculator!$F$21,1)-0.5))),1)</f>
        <v>0.131929824561404</v>
      </c>
      <c r="M61" s="136" t="n">
        <f aca="false">MIN(B61:L61)</f>
        <v>0</v>
      </c>
      <c r="N61" s="136" t="n">
        <f aca="false">SUMPRODUCT(($M$5:$M$555&gt;M61)*1)+SUMPRODUCT(($M$5:$M$555=M61)*(ROW($M$5:$M$555)&lt;ROW(M61)))+1</f>
        <v>282</v>
      </c>
      <c r="O61" s="136" t="str">
        <f aca="false">IF(M61&gt;=0.2,"★★★ EXCELLENT",IF(M61&gt;=0.12,"★★  GOOD",IF(M61&gt;=0.07,"★  FAIR",IF(M61&gt;=0.025,"⚠  MARGINAL","✗  AVOID"))))</f>
        <v>✗  AVOID</v>
      </c>
    </row>
    <row r="62" customFormat="false" ht="15" hidden="false" customHeight="false" outlineLevel="0" collapsed="false">
      <c r="A62" s="137" t="n">
        <v>10.7</v>
      </c>
      <c r="B62" s="138" t="n">
        <f aca="false">IF(Calculator!$E$11="YES",IF(A62&lt;Calculator!$G$11,0,MIN(MIN(MOD(A62/Calculator!$F$11,1),1-MOD(A62/Calculator!$F$11,1)),ABS(MOD(A62/Calculator!$F$11,1)-0.5))),1)</f>
        <v>0</v>
      </c>
      <c r="C62" s="138" t="n">
        <f aca="false">IF(Calculator!$E$12="YES",IF(A62&lt;Calculator!$G$12,0,MIN(MIN(MOD(A62/Calculator!$F$12,1),1-MOD(A62/Calculator!$F$12,1)),ABS(MOD(A62/Calculator!$F$12,1)-0.5))),1)</f>
        <v>0</v>
      </c>
      <c r="D62" s="138" t="n">
        <f aca="false">IF(Calculator!$E$13="YES",IF(A62&lt;Calculator!$G$13,0,MIN(MIN(MOD(A62/Calculator!$F$13,1),1-MOD(A62/Calculator!$F$13,1)),ABS(MOD(A62/Calculator!$F$13,1)-0.5))),1)</f>
        <v>0</v>
      </c>
      <c r="E62" s="138" t="n">
        <f aca="false">IF(Calculator!$E$14="YES",IF(A62&lt;Calculator!$G$14,0,MIN(MIN(MOD(A62/Calculator!$F$14,1),1-MOD(A62/Calculator!$F$14,1)),ABS(MOD(A62/Calculator!$F$14,1)-0.5))),1)</f>
        <v>0.0368771929824561</v>
      </c>
      <c r="F62" s="138" t="n">
        <f aca="false">IF(Calculator!$E$15="YES",IF(A62&lt;Calculator!$G$15,0,MIN(MIN(MOD(A62/Calculator!$F$15,1),1-MOD(A62/Calculator!$F$15,1)),ABS(MOD(A62/Calculator!$F$15,1)-0.5))),1)</f>
        <v>0.239736842105263</v>
      </c>
      <c r="G62" s="138" t="n">
        <f aca="false">IF(Calculator!$E$16="YES",IF(A62&lt;Calculator!$G$16,0,MIN(MIN(MOD(A62/Calculator!$F$16,1),1-MOD(A62/Calculator!$F$16,1)),ABS(MOD(A62/Calculator!$F$16,1)-0.5))),1)</f>
        <v>0.0643684210526316</v>
      </c>
      <c r="H62" s="138" t="n">
        <f aca="false">IF(Calculator!$E$17="YES",IF(A62&lt;Calculator!$G$17,0,MIN(MIN(MOD(A62/Calculator!$F$17,1),1-MOD(A62/Calculator!$F$17,1)),ABS(MOD(A62/Calculator!$F$17,1)-0.5))),1)</f>
        <v>0.139560701754386</v>
      </c>
      <c r="I62" s="138" t="n">
        <f aca="false">IF(Calculator!$E$18="YES",IF(A62&lt;Calculator!$G$18,0,MIN(MIN(MOD(A62/Calculator!$F$18,1),1-MOD(A62/Calculator!$F$18,1)),ABS(MOD(A62/Calculator!$F$18,1)-0.5))),1)</f>
        <v>0.0937368421052631</v>
      </c>
      <c r="J62" s="138" t="n">
        <f aca="false">IF(Calculator!$E$19="YES",IF(A62&lt;Calculator!$G$19,0,MIN(MIN(MOD(A62/Calculator!$F$19,1),1-MOD(A62/Calculator!$F$19,1)),ABS(MOD(A62/Calculator!$F$19,1)-0.5))),1)</f>
        <v>0.127312280701755</v>
      </c>
      <c r="K62" s="138" t="n">
        <f aca="false">IF(Calculator!$E$20="YES",IF(A62&lt;Calculator!$G$20,0,MIN(MIN(MOD(A62/Calculator!$F$20,1),1-MOD(A62/Calculator!$F$20,1)),ABS(MOD(A62/Calculator!$F$20,1)-0.5))),1)</f>
        <v>0.166280701754386</v>
      </c>
      <c r="L62" s="138" t="n">
        <f aca="false">IF(Calculator!$E$21="YES",IF(A62&lt;Calculator!$G$21,0,MIN(MIN(MOD(A62/Calculator!$F$21,1),1-MOD(A62/Calculator!$F$21,1)),ABS(MOD(A62/Calculator!$F$21,1)-0.5))),1)</f>
        <v>0.0954385964912285</v>
      </c>
      <c r="M62" s="138" t="n">
        <f aca="false">MIN(B62:L62)</f>
        <v>0</v>
      </c>
      <c r="N62" s="138" t="n">
        <f aca="false">SUMPRODUCT(($M$5:$M$555&gt;M62)*1)+SUMPRODUCT(($M$5:$M$555=M62)*(ROW($M$5:$M$555)&lt;ROW(M62)))+1</f>
        <v>283</v>
      </c>
      <c r="O62" s="138" t="str">
        <f aca="false">IF(M62&gt;=0.2,"★★★ EXCELLENT",IF(M62&gt;=0.12,"★★  GOOD",IF(M62&gt;=0.07,"★  FAIR",IF(M62&gt;=0.025,"⚠  MARGINAL","✗  AVOID"))))</f>
        <v>✗  AVOID</v>
      </c>
    </row>
    <row r="63" customFormat="false" ht="15" hidden="false" customHeight="false" outlineLevel="0" collapsed="false">
      <c r="A63" s="135" t="n">
        <v>10.8</v>
      </c>
      <c r="B63" s="136" t="n">
        <f aca="false">IF(Calculator!$E$11="YES",IF(A63&lt;Calculator!$G$11,0,MIN(MIN(MOD(A63/Calculator!$F$11,1),1-MOD(A63/Calculator!$F$11,1)),ABS(MOD(A63/Calculator!$F$11,1)-0.5))),1)</f>
        <v>0</v>
      </c>
      <c r="C63" s="136" t="n">
        <f aca="false">IF(Calculator!$E$12="YES",IF(A63&lt;Calculator!$G$12,0,MIN(MIN(MOD(A63/Calculator!$F$12,1),1-MOD(A63/Calculator!$F$12,1)),ABS(MOD(A63/Calculator!$F$12,1)-0.5))),1)</f>
        <v>0</v>
      </c>
      <c r="D63" s="136" t="n">
        <f aca="false">IF(Calculator!$E$13="YES",IF(A63&lt;Calculator!$G$13,0,MIN(MIN(MOD(A63/Calculator!$F$13,1),1-MOD(A63/Calculator!$F$13,1)),ABS(MOD(A63/Calculator!$F$13,1)-0.5))),1)</f>
        <v>0</v>
      </c>
      <c r="E63" s="136" t="n">
        <f aca="false">IF(Calculator!$E$14="YES",IF(A63&lt;Calculator!$G$14,0,MIN(MIN(MOD(A63/Calculator!$F$14,1),1-MOD(A63/Calculator!$F$14,1)),ABS(MOD(A63/Calculator!$F$14,1)-0.5))),1)</f>
        <v>0.0418947368421053</v>
      </c>
      <c r="F63" s="136" t="n">
        <f aca="false">IF(Calculator!$E$15="YES",IF(A63&lt;Calculator!$G$15,0,MIN(MIN(MOD(A63/Calculator!$F$15,1),1-MOD(A63/Calculator!$F$15,1)),ABS(MOD(A63/Calculator!$F$15,1)-0.5))),1)</f>
        <v>0.232631578947368</v>
      </c>
      <c r="G63" s="136" t="n">
        <f aca="false">IF(Calculator!$E$16="YES",IF(A63&lt;Calculator!$G$16,0,MIN(MIN(MOD(A63/Calculator!$F$16,1),1-MOD(A63/Calculator!$F$16,1)),ABS(MOD(A63/Calculator!$F$16,1)-0.5))),1)</f>
        <v>0.0743157894736843</v>
      </c>
      <c r="H63" s="136" t="n">
        <f aca="false">IF(Calculator!$E$17="YES",IF(A63&lt;Calculator!$G$17,0,MIN(MIN(MOD(A63/Calculator!$F$17,1),1-MOD(A63/Calculator!$F$17,1)),ABS(MOD(A63/Calculator!$F$17,1)-0.5))),1)</f>
        <v>0.126846315789473</v>
      </c>
      <c r="I63" s="136" t="n">
        <f aca="false">IF(Calculator!$E$18="YES",IF(A63&lt;Calculator!$G$18,0,MIN(MIN(MOD(A63/Calculator!$F$18,1),1-MOD(A63/Calculator!$F$18,1)),ABS(MOD(A63/Calculator!$F$18,1)-0.5))),1)</f>
        <v>0.108631578947369</v>
      </c>
      <c r="J63" s="136" t="n">
        <f aca="false">IF(Calculator!$E$19="YES",IF(A63&lt;Calculator!$G$19,0,MIN(MIN(MOD(A63/Calculator!$F$19,1),1-MOD(A63/Calculator!$F$19,1)),ABS(MOD(A63/Calculator!$F$19,1)-0.5))),1)</f>
        <v>0.10981052631579</v>
      </c>
      <c r="K63" s="136" t="n">
        <f aca="false">IF(Calculator!$E$20="YES",IF(A63&lt;Calculator!$G$20,0,MIN(MIN(MOD(A63/Calculator!$F$20,1),1-MOD(A63/Calculator!$F$20,1)),ABS(MOD(A63/Calculator!$F$20,1)-0.5))),1)</f>
        <v>0.186526315789474</v>
      </c>
      <c r="L63" s="136" t="n">
        <f aca="false">IF(Calculator!$E$21="YES",IF(A63&lt;Calculator!$G$21,0,MIN(MIN(MOD(A63/Calculator!$F$21,1),1-MOD(A63/Calculator!$F$21,1)),ABS(MOD(A63/Calculator!$F$21,1)-0.5))),1)</f>
        <v>0.0589473684210526</v>
      </c>
      <c r="M63" s="136" t="n">
        <f aca="false">MIN(B63:L63)</f>
        <v>0</v>
      </c>
      <c r="N63" s="136" t="n">
        <f aca="false">SUMPRODUCT(($M$5:$M$555&gt;M63)*1)+SUMPRODUCT(($M$5:$M$555=M63)*(ROW($M$5:$M$555)&lt;ROW(M63)))+1</f>
        <v>284</v>
      </c>
      <c r="O63" s="136" t="str">
        <f aca="false">IF(M63&gt;=0.2,"★★★ EXCELLENT",IF(M63&gt;=0.12,"★★  GOOD",IF(M63&gt;=0.07,"★  FAIR",IF(M63&gt;=0.025,"⚠  MARGINAL","✗  AVOID"))))</f>
        <v>✗  AVOID</v>
      </c>
    </row>
    <row r="64" customFormat="false" ht="15" hidden="false" customHeight="false" outlineLevel="0" collapsed="false">
      <c r="A64" s="137" t="n">
        <v>10.9</v>
      </c>
      <c r="B64" s="138" t="n">
        <f aca="false">IF(Calculator!$E$11="YES",IF(A64&lt;Calculator!$G$11,0,MIN(MIN(MOD(A64/Calculator!$F$11,1),1-MOD(A64/Calculator!$F$11,1)),ABS(MOD(A64/Calculator!$F$11,1)-0.5))),1)</f>
        <v>0</v>
      </c>
      <c r="C64" s="138" t="n">
        <f aca="false">IF(Calculator!$E$12="YES",IF(A64&lt;Calculator!$G$12,0,MIN(MIN(MOD(A64/Calculator!$F$12,1),1-MOD(A64/Calculator!$F$12,1)),ABS(MOD(A64/Calculator!$F$12,1)-0.5))),1)</f>
        <v>0</v>
      </c>
      <c r="D64" s="138" t="n">
        <f aca="false">IF(Calculator!$E$13="YES",IF(A64&lt;Calculator!$G$13,0,MIN(MIN(MOD(A64/Calculator!$F$13,1),1-MOD(A64/Calculator!$F$13,1)),ABS(MOD(A64/Calculator!$F$13,1)-0.5))),1)</f>
        <v>0</v>
      </c>
      <c r="E64" s="138" t="n">
        <f aca="false">IF(Calculator!$E$14="YES",IF(A64&lt;Calculator!$G$14,0,MIN(MIN(MOD(A64/Calculator!$F$14,1),1-MOD(A64/Calculator!$F$14,1)),ABS(MOD(A64/Calculator!$F$14,1)-0.5))),1)</f>
        <v>0.0469122807017545</v>
      </c>
      <c r="F64" s="138" t="n">
        <f aca="false">IF(Calculator!$E$15="YES",IF(A64&lt;Calculator!$G$15,0,MIN(MIN(MOD(A64/Calculator!$F$15,1),1-MOD(A64/Calculator!$F$15,1)),ABS(MOD(A64/Calculator!$F$15,1)-0.5))),1)</f>
        <v>0.225526315789474</v>
      </c>
      <c r="G64" s="138" t="n">
        <f aca="false">IF(Calculator!$E$16="YES",IF(A64&lt;Calculator!$G$16,0,MIN(MIN(MOD(A64/Calculator!$F$16,1),1-MOD(A64/Calculator!$F$16,1)),ABS(MOD(A64/Calculator!$F$16,1)-0.5))),1)</f>
        <v>0.084263157894737</v>
      </c>
      <c r="H64" s="138" t="n">
        <f aca="false">IF(Calculator!$E$17="YES",IF(A64&lt;Calculator!$G$17,0,MIN(MIN(MOD(A64/Calculator!$F$17,1),1-MOD(A64/Calculator!$F$17,1)),ABS(MOD(A64/Calculator!$F$17,1)-0.5))),1)</f>
        <v>0.114131929824561</v>
      </c>
      <c r="I64" s="138" t="n">
        <f aca="false">IF(Calculator!$E$18="YES",IF(A64&lt;Calculator!$G$18,0,MIN(MIN(MOD(A64/Calculator!$F$18,1),1-MOD(A64/Calculator!$F$18,1)),ABS(MOD(A64/Calculator!$F$18,1)-0.5))),1)</f>
        <v>0.123526315789474</v>
      </c>
      <c r="J64" s="138" t="n">
        <f aca="false">IF(Calculator!$E$19="YES",IF(A64&lt;Calculator!$G$19,0,MIN(MIN(MOD(A64/Calculator!$F$19,1),1-MOD(A64/Calculator!$F$19,1)),ABS(MOD(A64/Calculator!$F$19,1)-0.5))),1)</f>
        <v>0.0923087719298248</v>
      </c>
      <c r="K64" s="138" t="n">
        <f aca="false">IF(Calculator!$E$20="YES",IF(A64&lt;Calculator!$G$20,0,MIN(MIN(MOD(A64/Calculator!$F$20,1),1-MOD(A64/Calculator!$F$20,1)),ABS(MOD(A64/Calculator!$F$20,1)-0.5))),1)</f>
        <v>0.206771929824562</v>
      </c>
      <c r="L64" s="138" t="n">
        <f aca="false">IF(Calculator!$E$21="YES",IF(A64&lt;Calculator!$G$21,0,MIN(MIN(MOD(A64/Calculator!$F$21,1),1-MOD(A64/Calculator!$F$21,1)),ABS(MOD(A64/Calculator!$F$21,1)-0.5))),1)</f>
        <v>0.0224561403508772</v>
      </c>
      <c r="M64" s="138" t="n">
        <f aca="false">MIN(B64:L64)</f>
        <v>0</v>
      </c>
      <c r="N64" s="138" t="n">
        <f aca="false">SUMPRODUCT(($M$5:$M$555&gt;M64)*1)+SUMPRODUCT(($M$5:$M$555=M64)*(ROW($M$5:$M$555)&lt;ROW(M64)))+1</f>
        <v>285</v>
      </c>
      <c r="O64" s="138" t="str">
        <f aca="false">IF(M64&gt;=0.2,"★★★ EXCELLENT",IF(M64&gt;=0.12,"★★  GOOD",IF(M64&gt;=0.07,"★  FAIR",IF(M64&gt;=0.025,"⚠  MARGINAL","✗  AVOID"))))</f>
        <v>✗  AVOID</v>
      </c>
    </row>
    <row r="65" customFormat="false" ht="15" hidden="false" customHeight="false" outlineLevel="0" collapsed="false">
      <c r="A65" s="135" t="n">
        <v>11</v>
      </c>
      <c r="B65" s="136" t="n">
        <f aca="false">IF(Calculator!$E$11="YES",IF(A65&lt;Calculator!$G$11,0,MIN(MIN(MOD(A65/Calculator!$F$11,1),1-MOD(A65/Calculator!$F$11,1)),ABS(MOD(A65/Calculator!$F$11,1)-0.5))),1)</f>
        <v>0</v>
      </c>
      <c r="C65" s="136" t="n">
        <f aca="false">IF(Calculator!$E$12="YES",IF(A65&lt;Calculator!$G$12,0,MIN(MIN(MOD(A65/Calculator!$F$12,1),1-MOD(A65/Calculator!$F$12,1)),ABS(MOD(A65/Calculator!$F$12,1)-0.5))),1)</f>
        <v>0</v>
      </c>
      <c r="D65" s="136" t="n">
        <f aca="false">IF(Calculator!$E$13="YES",IF(A65&lt;Calculator!$G$13,0,MIN(MIN(MOD(A65/Calculator!$F$13,1),1-MOD(A65/Calculator!$F$13,1)),ABS(MOD(A65/Calculator!$F$13,1)-0.5))),1)</f>
        <v>0</v>
      </c>
      <c r="E65" s="136" t="n">
        <f aca="false">IF(Calculator!$E$14="YES",IF(A65&lt;Calculator!$G$14,0,MIN(MIN(MOD(A65/Calculator!$F$14,1),1-MOD(A65/Calculator!$F$14,1)),ABS(MOD(A65/Calculator!$F$14,1)-0.5))),1)</f>
        <v>0.0519298245614035</v>
      </c>
      <c r="F65" s="136" t="n">
        <f aca="false">IF(Calculator!$E$15="YES",IF(A65&lt;Calculator!$G$15,0,MIN(MIN(MOD(A65/Calculator!$F$15,1),1-MOD(A65/Calculator!$F$15,1)),ABS(MOD(A65/Calculator!$F$15,1)-0.5))),1)</f>
        <v>0.218421052631579</v>
      </c>
      <c r="G65" s="136" t="n">
        <f aca="false">IF(Calculator!$E$16="YES",IF(A65&lt;Calculator!$G$16,0,MIN(MIN(MOD(A65/Calculator!$F$16,1),1-MOD(A65/Calculator!$F$16,1)),ABS(MOD(A65/Calculator!$F$16,1)-0.5))),1)</f>
        <v>0.0942105263157895</v>
      </c>
      <c r="H65" s="136" t="n">
        <f aca="false">IF(Calculator!$E$17="YES",IF(A65&lt;Calculator!$G$17,0,MIN(MIN(MOD(A65/Calculator!$F$17,1),1-MOD(A65/Calculator!$F$17,1)),ABS(MOD(A65/Calculator!$F$17,1)-0.5))),1)</f>
        <v>0.101417543859649</v>
      </c>
      <c r="I65" s="136" t="n">
        <f aca="false">IF(Calculator!$E$18="YES",IF(A65&lt;Calculator!$G$18,0,MIN(MIN(MOD(A65/Calculator!$F$18,1),1-MOD(A65/Calculator!$F$18,1)),ABS(MOD(A65/Calculator!$F$18,1)-0.5))),1)</f>
        <v>0.138421052631579</v>
      </c>
      <c r="J65" s="136" t="n">
        <f aca="false">IF(Calculator!$E$19="YES",IF(A65&lt;Calculator!$G$19,0,MIN(MIN(MOD(A65/Calculator!$F$19,1),1-MOD(A65/Calculator!$F$19,1)),ABS(MOD(A65/Calculator!$F$19,1)-0.5))),1)</f>
        <v>0.07480701754386</v>
      </c>
      <c r="K65" s="136" t="n">
        <f aca="false">IF(Calculator!$E$20="YES",IF(A65&lt;Calculator!$G$20,0,MIN(MIN(MOD(A65/Calculator!$F$20,1),1-MOD(A65/Calculator!$F$20,1)),ABS(MOD(A65/Calculator!$F$20,1)-0.5))),1)</f>
        <v>0.227017543859649</v>
      </c>
      <c r="L65" s="136" t="n">
        <f aca="false">IF(Calculator!$E$21="YES",IF(A65&lt;Calculator!$G$21,0,MIN(MIN(MOD(A65/Calculator!$F$21,1),1-MOD(A65/Calculator!$F$21,1)),ABS(MOD(A65/Calculator!$F$21,1)-0.5))),1)</f>
        <v>0.0140350877192983</v>
      </c>
      <c r="M65" s="136" t="n">
        <f aca="false">MIN(B65:L65)</f>
        <v>0</v>
      </c>
      <c r="N65" s="136" t="n">
        <f aca="false">SUMPRODUCT(($M$5:$M$555&gt;M65)*1)+SUMPRODUCT(($M$5:$M$555=M65)*(ROW($M$5:$M$555)&lt;ROW(M65)))+1</f>
        <v>286</v>
      </c>
      <c r="O65" s="136" t="str">
        <f aca="false">IF(M65&gt;=0.2,"★★★ EXCELLENT",IF(M65&gt;=0.12,"★★  GOOD",IF(M65&gt;=0.07,"★  FAIR",IF(M65&gt;=0.025,"⚠  MARGINAL","✗  AVOID"))))</f>
        <v>✗  AVOID</v>
      </c>
    </row>
    <row r="66" customFormat="false" ht="15" hidden="false" customHeight="false" outlineLevel="0" collapsed="false">
      <c r="A66" s="137" t="n">
        <v>11.1</v>
      </c>
      <c r="B66" s="138" t="n">
        <f aca="false">IF(Calculator!$E$11="YES",IF(A66&lt;Calculator!$G$11,0,MIN(MIN(MOD(A66/Calculator!$F$11,1),1-MOD(A66/Calculator!$F$11,1)),ABS(MOD(A66/Calculator!$F$11,1)-0.5))),1)</f>
        <v>0</v>
      </c>
      <c r="C66" s="138" t="n">
        <f aca="false">IF(Calculator!$E$12="YES",IF(A66&lt;Calculator!$G$12,0,MIN(MIN(MOD(A66/Calculator!$F$12,1),1-MOD(A66/Calculator!$F$12,1)),ABS(MOD(A66/Calculator!$F$12,1)-0.5))),1)</f>
        <v>0</v>
      </c>
      <c r="D66" s="138" t="n">
        <f aca="false">IF(Calculator!$E$13="YES",IF(A66&lt;Calculator!$G$13,0,MIN(MIN(MOD(A66/Calculator!$F$13,1),1-MOD(A66/Calculator!$F$13,1)),ABS(MOD(A66/Calculator!$F$13,1)-0.5))),1)</f>
        <v>0</v>
      </c>
      <c r="E66" s="138" t="n">
        <f aca="false">IF(Calculator!$E$14="YES",IF(A66&lt;Calculator!$G$14,0,MIN(MIN(MOD(A66/Calculator!$F$14,1),1-MOD(A66/Calculator!$F$14,1)),ABS(MOD(A66/Calculator!$F$14,1)-0.5))),1)</f>
        <v>0.0569473684210526</v>
      </c>
      <c r="F66" s="138" t="n">
        <f aca="false">IF(Calculator!$E$15="YES",IF(A66&lt;Calculator!$G$15,0,MIN(MIN(MOD(A66/Calculator!$F$15,1),1-MOD(A66/Calculator!$F$15,1)),ABS(MOD(A66/Calculator!$F$15,1)-0.5))),1)</f>
        <v>0.211315789473684</v>
      </c>
      <c r="G66" s="138" t="n">
        <f aca="false">IF(Calculator!$E$16="YES",IF(A66&lt;Calculator!$G$16,0,MIN(MIN(MOD(A66/Calculator!$F$16,1),1-MOD(A66/Calculator!$F$16,1)),ABS(MOD(A66/Calculator!$F$16,1)-0.5))),1)</f>
        <v>0.104157894736842</v>
      </c>
      <c r="H66" s="138" t="n">
        <f aca="false">IF(Calculator!$E$17="YES",IF(A66&lt;Calculator!$G$17,0,MIN(MIN(MOD(A66/Calculator!$F$17,1),1-MOD(A66/Calculator!$F$17,1)),ABS(MOD(A66/Calculator!$F$17,1)-0.5))),1)</f>
        <v>0.0887031578947368</v>
      </c>
      <c r="I66" s="138" t="n">
        <f aca="false">IF(Calculator!$E$18="YES",IF(A66&lt;Calculator!$G$18,0,MIN(MIN(MOD(A66/Calculator!$F$18,1),1-MOD(A66/Calculator!$F$18,1)),ABS(MOD(A66/Calculator!$F$18,1)-0.5))),1)</f>
        <v>0.153315789473684</v>
      </c>
      <c r="J66" s="138" t="n">
        <f aca="false">IF(Calculator!$E$19="YES",IF(A66&lt;Calculator!$G$19,0,MIN(MIN(MOD(A66/Calculator!$F$19,1),1-MOD(A66/Calculator!$F$19,1)),ABS(MOD(A66/Calculator!$F$19,1)-0.5))),1)</f>
        <v>0.0573052631578952</v>
      </c>
      <c r="K66" s="138" t="n">
        <f aca="false">IF(Calculator!$E$20="YES",IF(A66&lt;Calculator!$G$20,0,MIN(MIN(MOD(A66/Calculator!$F$20,1),1-MOD(A66/Calculator!$F$20,1)),ABS(MOD(A66/Calculator!$F$20,1)-0.5))),1)</f>
        <v>0.247263157894737</v>
      </c>
      <c r="L66" s="138" t="n">
        <f aca="false">IF(Calculator!$E$21="YES",IF(A66&lt;Calculator!$G$21,0,MIN(MIN(MOD(A66/Calculator!$F$21,1),1-MOD(A66/Calculator!$F$21,1)),ABS(MOD(A66/Calculator!$F$21,1)-0.5))),1)</f>
        <v>0.0505263157894733</v>
      </c>
      <c r="M66" s="138" t="n">
        <f aca="false">MIN(B66:L66)</f>
        <v>0</v>
      </c>
      <c r="N66" s="138" t="n">
        <f aca="false">SUMPRODUCT(($M$5:$M$555&gt;M66)*1)+SUMPRODUCT(($M$5:$M$555=M66)*(ROW($M$5:$M$555)&lt;ROW(M66)))+1</f>
        <v>287</v>
      </c>
      <c r="O66" s="138" t="str">
        <f aca="false">IF(M66&gt;=0.2,"★★★ EXCELLENT",IF(M66&gt;=0.12,"★★  GOOD",IF(M66&gt;=0.07,"★  FAIR",IF(M66&gt;=0.025,"⚠  MARGINAL","✗  AVOID"))))</f>
        <v>✗  AVOID</v>
      </c>
    </row>
    <row r="67" customFormat="false" ht="15" hidden="false" customHeight="false" outlineLevel="0" collapsed="false">
      <c r="A67" s="135" t="n">
        <v>11.2</v>
      </c>
      <c r="B67" s="136" t="n">
        <f aca="false">IF(Calculator!$E$11="YES",IF(A67&lt;Calculator!$G$11,0,MIN(MIN(MOD(A67/Calculator!$F$11,1),1-MOD(A67/Calculator!$F$11,1)),ABS(MOD(A67/Calculator!$F$11,1)-0.5))),1)</f>
        <v>0</v>
      </c>
      <c r="C67" s="136" t="n">
        <f aca="false">IF(Calculator!$E$12="YES",IF(A67&lt;Calculator!$G$12,0,MIN(MIN(MOD(A67/Calculator!$F$12,1),1-MOD(A67/Calculator!$F$12,1)),ABS(MOD(A67/Calculator!$F$12,1)-0.5))),1)</f>
        <v>0</v>
      </c>
      <c r="D67" s="136" t="n">
        <f aca="false">IF(Calculator!$E$13="YES",IF(A67&lt;Calculator!$G$13,0,MIN(MIN(MOD(A67/Calculator!$F$13,1),1-MOD(A67/Calculator!$F$13,1)),ABS(MOD(A67/Calculator!$F$13,1)-0.5))),1)</f>
        <v>0</v>
      </c>
      <c r="E67" s="136" t="n">
        <f aca="false">IF(Calculator!$E$14="YES",IF(A67&lt;Calculator!$G$14,0,MIN(MIN(MOD(A67/Calculator!$F$14,1),1-MOD(A67/Calculator!$F$14,1)),ABS(MOD(A67/Calculator!$F$14,1)-0.5))),1)</f>
        <v>0.0619649122807017</v>
      </c>
      <c r="F67" s="136" t="n">
        <f aca="false">IF(Calculator!$E$15="YES",IF(A67&lt;Calculator!$G$15,0,MIN(MIN(MOD(A67/Calculator!$F$15,1),1-MOD(A67/Calculator!$F$15,1)),ABS(MOD(A67/Calculator!$F$15,1)-0.5))),1)</f>
        <v>0.20421052631579</v>
      </c>
      <c r="G67" s="136" t="n">
        <f aca="false">IF(Calculator!$E$16="YES",IF(A67&lt;Calculator!$G$16,0,MIN(MIN(MOD(A67/Calculator!$F$16,1),1-MOD(A67/Calculator!$F$16,1)),ABS(MOD(A67/Calculator!$F$16,1)-0.5))),1)</f>
        <v>0.114105263157895</v>
      </c>
      <c r="H67" s="136" t="n">
        <f aca="false">IF(Calculator!$E$17="YES",IF(A67&lt;Calculator!$G$17,0,MIN(MIN(MOD(A67/Calculator!$F$17,1),1-MOD(A67/Calculator!$F$17,1)),ABS(MOD(A67/Calculator!$F$17,1)-0.5))),1)</f>
        <v>0.0759887719298245</v>
      </c>
      <c r="I67" s="136" t="n">
        <f aca="false">IF(Calculator!$E$18="YES",IF(A67&lt;Calculator!$G$18,0,MIN(MIN(MOD(A67/Calculator!$F$18,1),1-MOD(A67/Calculator!$F$18,1)),ABS(MOD(A67/Calculator!$F$18,1)-0.5))),1)</f>
        <v>0.168210526315789</v>
      </c>
      <c r="J67" s="136" t="n">
        <f aca="false">IF(Calculator!$E$19="YES",IF(A67&lt;Calculator!$G$19,0,MIN(MIN(MOD(A67/Calculator!$F$19,1),1-MOD(A67/Calculator!$F$19,1)),ABS(MOD(A67/Calculator!$F$19,1)-0.5))),1)</f>
        <v>0.0398035087719302</v>
      </c>
      <c r="K67" s="136" t="n">
        <f aca="false">IF(Calculator!$E$20="YES",IF(A67&lt;Calculator!$G$20,0,MIN(MIN(MOD(A67/Calculator!$F$20,1),1-MOD(A67/Calculator!$F$20,1)),ABS(MOD(A67/Calculator!$F$20,1)-0.5))),1)</f>
        <v>0.232491228070176</v>
      </c>
      <c r="L67" s="136" t="n">
        <f aca="false">IF(Calculator!$E$21="YES",IF(A67&lt;Calculator!$G$21,0,MIN(MIN(MOD(A67/Calculator!$F$21,1),1-MOD(A67/Calculator!$F$21,1)),ABS(MOD(A67/Calculator!$F$21,1)-0.5))),1)</f>
        <v>0.0870175438596492</v>
      </c>
      <c r="M67" s="136" t="n">
        <f aca="false">MIN(B67:L67)</f>
        <v>0</v>
      </c>
      <c r="N67" s="136" t="n">
        <f aca="false">SUMPRODUCT(($M$5:$M$555&gt;M67)*1)+SUMPRODUCT(($M$5:$M$555=M67)*(ROW($M$5:$M$555)&lt;ROW(M67)))+1</f>
        <v>288</v>
      </c>
      <c r="O67" s="136" t="str">
        <f aca="false">IF(M67&gt;=0.2,"★★★ EXCELLENT",IF(M67&gt;=0.12,"★★  GOOD",IF(M67&gt;=0.07,"★  FAIR",IF(M67&gt;=0.025,"⚠  MARGINAL","✗  AVOID"))))</f>
        <v>✗  AVOID</v>
      </c>
    </row>
    <row r="68" customFormat="false" ht="15" hidden="false" customHeight="false" outlineLevel="0" collapsed="false">
      <c r="A68" s="137" t="n">
        <v>11.3</v>
      </c>
      <c r="B68" s="138" t="n">
        <f aca="false">IF(Calculator!$E$11="YES",IF(A68&lt;Calculator!$G$11,0,MIN(MIN(MOD(A68/Calculator!$F$11,1),1-MOD(A68/Calculator!$F$11,1)),ABS(MOD(A68/Calculator!$F$11,1)-0.5))),1)</f>
        <v>0</v>
      </c>
      <c r="C68" s="138" t="n">
        <f aca="false">IF(Calculator!$E$12="YES",IF(A68&lt;Calculator!$G$12,0,MIN(MIN(MOD(A68/Calculator!$F$12,1),1-MOD(A68/Calculator!$F$12,1)),ABS(MOD(A68/Calculator!$F$12,1)-0.5))),1)</f>
        <v>0</v>
      </c>
      <c r="D68" s="138" t="n">
        <f aca="false">IF(Calculator!$E$13="YES",IF(A68&lt;Calculator!$G$13,0,MIN(MIN(MOD(A68/Calculator!$F$13,1),1-MOD(A68/Calculator!$F$13,1)),ABS(MOD(A68/Calculator!$F$13,1)-0.5))),1)</f>
        <v>0</v>
      </c>
      <c r="E68" s="138" t="n">
        <f aca="false">IF(Calculator!$E$14="YES",IF(A68&lt;Calculator!$G$14,0,MIN(MIN(MOD(A68/Calculator!$F$14,1),1-MOD(A68/Calculator!$F$14,1)),ABS(MOD(A68/Calculator!$F$14,1)-0.5))),1)</f>
        <v>0.0669824561403509</v>
      </c>
      <c r="F68" s="138" t="n">
        <f aca="false">IF(Calculator!$E$15="YES",IF(A68&lt;Calculator!$G$15,0,MIN(MIN(MOD(A68/Calculator!$F$15,1),1-MOD(A68/Calculator!$F$15,1)),ABS(MOD(A68/Calculator!$F$15,1)-0.5))),1)</f>
        <v>0.197105263157895</v>
      </c>
      <c r="G68" s="138" t="n">
        <f aca="false">IF(Calculator!$E$16="YES",IF(A68&lt;Calculator!$G$16,0,MIN(MIN(MOD(A68/Calculator!$F$16,1),1-MOD(A68/Calculator!$F$16,1)),ABS(MOD(A68/Calculator!$F$16,1)-0.5))),1)</f>
        <v>0.124052631578948</v>
      </c>
      <c r="H68" s="138" t="n">
        <f aca="false">IF(Calculator!$E$17="YES",IF(A68&lt;Calculator!$G$17,0,MIN(MIN(MOD(A68/Calculator!$F$17,1),1-MOD(A68/Calculator!$F$17,1)),ABS(MOD(A68/Calculator!$F$17,1)-0.5))),1)</f>
        <v>0.0632743859649121</v>
      </c>
      <c r="I68" s="138" t="n">
        <f aca="false">IF(Calculator!$E$18="YES",IF(A68&lt;Calculator!$G$18,0,MIN(MIN(MOD(A68/Calculator!$F$18,1),1-MOD(A68/Calculator!$F$18,1)),ABS(MOD(A68/Calculator!$F$18,1)-0.5))),1)</f>
        <v>0.183105263157895</v>
      </c>
      <c r="J68" s="138" t="n">
        <f aca="false">IF(Calculator!$E$19="YES",IF(A68&lt;Calculator!$G$19,0,MIN(MIN(MOD(A68/Calculator!$F$19,1),1-MOD(A68/Calculator!$F$19,1)),ABS(MOD(A68/Calculator!$F$19,1)-0.5))),1)</f>
        <v>0.0223017543859652</v>
      </c>
      <c r="K68" s="138" t="n">
        <f aca="false">IF(Calculator!$E$20="YES",IF(A68&lt;Calculator!$G$20,0,MIN(MIN(MOD(A68/Calculator!$F$20,1),1-MOD(A68/Calculator!$F$20,1)),ABS(MOD(A68/Calculator!$F$20,1)-0.5))),1)</f>
        <v>0.212245614035087</v>
      </c>
      <c r="L68" s="138" t="n">
        <f aca="false">IF(Calculator!$E$21="YES",IF(A68&lt;Calculator!$G$21,0,MIN(MIN(MOD(A68/Calculator!$F$21,1),1-MOD(A68/Calculator!$F$21,1)),ABS(MOD(A68/Calculator!$F$21,1)-0.5))),1)</f>
        <v>0.123508771929825</v>
      </c>
      <c r="M68" s="138" t="n">
        <f aca="false">MIN(B68:L68)</f>
        <v>0</v>
      </c>
      <c r="N68" s="138" t="n">
        <f aca="false">SUMPRODUCT(($M$5:$M$555&gt;M68)*1)+SUMPRODUCT(($M$5:$M$555=M68)*(ROW($M$5:$M$555)&lt;ROW(M68)))+1</f>
        <v>289</v>
      </c>
      <c r="O68" s="138" t="str">
        <f aca="false">IF(M68&gt;=0.2,"★★★ EXCELLENT",IF(M68&gt;=0.12,"★★  GOOD",IF(M68&gt;=0.07,"★  FAIR",IF(M68&gt;=0.025,"⚠  MARGINAL","✗  AVOID"))))</f>
        <v>✗  AVOID</v>
      </c>
    </row>
    <row r="69" customFormat="false" ht="15" hidden="false" customHeight="false" outlineLevel="0" collapsed="false">
      <c r="A69" s="135" t="n">
        <v>11.4</v>
      </c>
      <c r="B69" s="136" t="n">
        <f aca="false">IF(Calculator!$E$11="YES",IF(A69&lt;Calculator!$G$11,0,MIN(MIN(MOD(A69/Calculator!$F$11,1),1-MOD(A69/Calculator!$F$11,1)),ABS(MOD(A69/Calculator!$F$11,1)-0.5))),1)</f>
        <v>0</v>
      </c>
      <c r="C69" s="136" t="n">
        <f aca="false">IF(Calculator!$E$12="YES",IF(A69&lt;Calculator!$G$12,0,MIN(MIN(MOD(A69/Calculator!$F$12,1),1-MOD(A69/Calculator!$F$12,1)),ABS(MOD(A69/Calculator!$F$12,1)-0.5))),1)</f>
        <v>0</v>
      </c>
      <c r="D69" s="136" t="n">
        <f aca="false">IF(Calculator!$E$13="YES",IF(A69&lt;Calculator!$G$13,0,MIN(MIN(MOD(A69/Calculator!$F$13,1),1-MOD(A69/Calculator!$F$13,1)),ABS(MOD(A69/Calculator!$F$13,1)-0.5))),1)</f>
        <v>0</v>
      </c>
      <c r="E69" s="136" t="n">
        <f aca="false">IF(Calculator!$E$14="YES",IF(A69&lt;Calculator!$G$14,0,MIN(MIN(MOD(A69/Calculator!$F$14,1),1-MOD(A69/Calculator!$F$14,1)),ABS(MOD(A69/Calculator!$F$14,1)-0.5))),1)</f>
        <v>0.0720000000000001</v>
      </c>
      <c r="F69" s="136" t="n">
        <f aca="false">IF(Calculator!$E$15="YES",IF(A69&lt;Calculator!$G$15,0,MIN(MIN(MOD(A69/Calculator!$F$15,1),1-MOD(A69/Calculator!$F$15,1)),ABS(MOD(A69/Calculator!$F$15,1)-0.5))),1)</f>
        <v>0.19</v>
      </c>
      <c r="G69" s="136" t="n">
        <f aca="false">IF(Calculator!$E$16="YES",IF(A69&lt;Calculator!$G$16,0,MIN(MIN(MOD(A69/Calculator!$F$16,1),1-MOD(A69/Calculator!$F$16,1)),ABS(MOD(A69/Calculator!$F$16,1)-0.5))),1)</f>
        <v>0.134</v>
      </c>
      <c r="H69" s="136" t="n">
        <f aca="false">IF(Calculator!$E$17="YES",IF(A69&lt;Calculator!$G$17,0,MIN(MIN(MOD(A69/Calculator!$F$17,1),1-MOD(A69/Calculator!$F$17,1)),ABS(MOD(A69/Calculator!$F$17,1)-0.5))),1)</f>
        <v>0.0505599999999997</v>
      </c>
      <c r="I69" s="136" t="n">
        <f aca="false">IF(Calculator!$E$18="YES",IF(A69&lt;Calculator!$G$18,0,MIN(MIN(MOD(A69/Calculator!$F$18,1),1-MOD(A69/Calculator!$F$18,1)),ABS(MOD(A69/Calculator!$F$18,1)-0.5))),1)</f>
        <v>0.198</v>
      </c>
      <c r="J69" s="136" t="n">
        <f aca="false">IF(Calculator!$E$19="YES",IF(A69&lt;Calculator!$G$19,0,MIN(MIN(MOD(A69/Calculator!$F$19,1),1-MOD(A69/Calculator!$F$19,1)),ABS(MOD(A69/Calculator!$F$19,1)-0.5))),1)</f>
        <v>0.00480000000000036</v>
      </c>
      <c r="K69" s="136" t="n">
        <f aca="false">IF(Calculator!$E$20="YES",IF(A69&lt;Calculator!$G$20,0,MIN(MIN(MOD(A69/Calculator!$F$20,1),1-MOD(A69/Calculator!$F$20,1)),ABS(MOD(A69/Calculator!$F$20,1)-0.5))),1)</f>
        <v>0.192</v>
      </c>
      <c r="L69" s="136" t="n">
        <f aca="false">IF(Calculator!$E$21="YES",IF(A69&lt;Calculator!$G$21,0,MIN(MIN(MOD(A69/Calculator!$F$21,1),1-MOD(A69/Calculator!$F$21,1)),ABS(MOD(A69/Calculator!$F$21,1)-0.5))),1)</f>
        <v>0.16</v>
      </c>
      <c r="M69" s="136" t="n">
        <f aca="false">MIN(B69:L69)</f>
        <v>0</v>
      </c>
      <c r="N69" s="136" t="n">
        <f aca="false">SUMPRODUCT(($M$5:$M$555&gt;M69)*1)+SUMPRODUCT(($M$5:$M$555=M69)*(ROW($M$5:$M$555)&lt;ROW(M69)))+1</f>
        <v>290</v>
      </c>
      <c r="O69" s="136" t="str">
        <f aca="false">IF(M69&gt;=0.2,"★★★ EXCELLENT",IF(M69&gt;=0.12,"★★  GOOD",IF(M69&gt;=0.07,"★  FAIR",IF(M69&gt;=0.025,"⚠  MARGINAL","✗  AVOID"))))</f>
        <v>✗  AVOID</v>
      </c>
    </row>
    <row r="70" customFormat="false" ht="15" hidden="false" customHeight="false" outlineLevel="0" collapsed="false">
      <c r="A70" s="137" t="n">
        <v>11.5</v>
      </c>
      <c r="B70" s="138" t="n">
        <f aca="false">IF(Calculator!$E$11="YES",IF(A70&lt;Calculator!$G$11,0,MIN(MIN(MOD(A70/Calculator!$F$11,1),1-MOD(A70/Calculator!$F$11,1)),ABS(MOD(A70/Calculator!$F$11,1)-0.5))),1)</f>
        <v>0</v>
      </c>
      <c r="C70" s="138" t="n">
        <f aca="false">IF(Calculator!$E$12="YES",IF(A70&lt;Calculator!$G$12,0,MIN(MIN(MOD(A70/Calculator!$F$12,1),1-MOD(A70/Calculator!$F$12,1)),ABS(MOD(A70/Calculator!$F$12,1)-0.5))),1)</f>
        <v>0</v>
      </c>
      <c r="D70" s="138" t="n">
        <f aca="false">IF(Calculator!$E$13="YES",IF(A70&lt;Calculator!$G$13,0,MIN(MIN(MOD(A70/Calculator!$F$13,1),1-MOD(A70/Calculator!$F$13,1)),ABS(MOD(A70/Calculator!$F$13,1)-0.5))),1)</f>
        <v>0</v>
      </c>
      <c r="E70" s="138" t="n">
        <f aca="false">IF(Calculator!$E$14="YES",IF(A70&lt;Calculator!$G$14,0,MIN(MIN(MOD(A70/Calculator!$F$14,1),1-MOD(A70/Calculator!$F$14,1)),ABS(MOD(A70/Calculator!$F$14,1)-0.5))),1)</f>
        <v>0.0770175438596491</v>
      </c>
      <c r="F70" s="138" t="n">
        <f aca="false">IF(Calculator!$E$15="YES",IF(A70&lt;Calculator!$G$15,0,MIN(MIN(MOD(A70/Calculator!$F$15,1),1-MOD(A70/Calculator!$F$15,1)),ABS(MOD(A70/Calculator!$F$15,1)-0.5))),1)</f>
        <v>0.182894736842105</v>
      </c>
      <c r="G70" s="138" t="n">
        <f aca="false">IF(Calculator!$E$16="YES",IF(A70&lt;Calculator!$G$16,0,MIN(MIN(MOD(A70/Calculator!$F$16,1),1-MOD(A70/Calculator!$F$16,1)),ABS(MOD(A70/Calculator!$F$16,1)-0.5))),1)</f>
        <v>0.143947368421053</v>
      </c>
      <c r="H70" s="138" t="n">
        <f aca="false">IF(Calculator!$E$17="YES",IF(A70&lt;Calculator!$G$17,0,MIN(MIN(MOD(A70/Calculator!$F$17,1),1-MOD(A70/Calculator!$F$17,1)),ABS(MOD(A70/Calculator!$F$17,1)-0.5))),1)</f>
        <v>0.0378456140350876</v>
      </c>
      <c r="I70" s="138" t="n">
        <f aca="false">IF(Calculator!$E$18="YES",IF(A70&lt;Calculator!$G$18,0,MIN(MIN(MOD(A70/Calculator!$F$18,1),1-MOD(A70/Calculator!$F$18,1)),ABS(MOD(A70/Calculator!$F$18,1)-0.5))),1)</f>
        <v>0.212894736842105</v>
      </c>
      <c r="J70" s="138" t="n">
        <f aca="false">IF(Calculator!$E$19="YES",IF(A70&lt;Calculator!$G$19,0,MIN(MIN(MOD(A70/Calculator!$F$19,1),1-MOD(A70/Calculator!$F$19,1)),ABS(MOD(A70/Calculator!$F$19,1)-0.5))),1)</f>
        <v>0.0127017543859647</v>
      </c>
      <c r="K70" s="138" t="n">
        <f aca="false">IF(Calculator!$E$20="YES",IF(A70&lt;Calculator!$G$20,0,MIN(MIN(MOD(A70/Calculator!$F$20,1),1-MOD(A70/Calculator!$F$20,1)),ABS(MOD(A70/Calculator!$F$20,1)-0.5))),1)</f>
        <v>0.171754385964912</v>
      </c>
      <c r="L70" s="138" t="n">
        <f aca="false">IF(Calculator!$E$21="YES",IF(A70&lt;Calculator!$G$21,0,MIN(MIN(MOD(A70/Calculator!$F$21,1),1-MOD(A70/Calculator!$F$21,1)),ABS(MOD(A70/Calculator!$F$21,1)-0.5))),1)</f>
        <v>0.196491228070175</v>
      </c>
      <c r="M70" s="138" t="n">
        <f aca="false">MIN(B70:L70)</f>
        <v>0</v>
      </c>
      <c r="N70" s="138" t="n">
        <f aca="false">SUMPRODUCT(($M$5:$M$555&gt;M70)*1)+SUMPRODUCT(($M$5:$M$555=M70)*(ROW($M$5:$M$555)&lt;ROW(M70)))+1</f>
        <v>291</v>
      </c>
      <c r="O70" s="138" t="str">
        <f aca="false">IF(M70&gt;=0.2,"★★★ EXCELLENT",IF(M70&gt;=0.12,"★★  GOOD",IF(M70&gt;=0.07,"★  FAIR",IF(M70&gt;=0.025,"⚠  MARGINAL","✗  AVOID"))))</f>
        <v>✗  AVOID</v>
      </c>
    </row>
    <row r="71" customFormat="false" ht="15" hidden="false" customHeight="false" outlineLevel="0" collapsed="false">
      <c r="A71" s="135" t="n">
        <v>11.6</v>
      </c>
      <c r="B71" s="136" t="n">
        <f aca="false">IF(Calculator!$E$11="YES",IF(A71&lt;Calculator!$G$11,0,MIN(MIN(MOD(A71/Calculator!$F$11,1),1-MOD(A71/Calculator!$F$11,1)),ABS(MOD(A71/Calculator!$F$11,1)-0.5))),1)</f>
        <v>0</v>
      </c>
      <c r="C71" s="136" t="n">
        <f aca="false">IF(Calculator!$E$12="YES",IF(A71&lt;Calculator!$G$12,0,MIN(MIN(MOD(A71/Calculator!$F$12,1),1-MOD(A71/Calculator!$F$12,1)),ABS(MOD(A71/Calculator!$F$12,1)-0.5))),1)</f>
        <v>0</v>
      </c>
      <c r="D71" s="136" t="n">
        <f aca="false">IF(Calculator!$E$13="YES",IF(A71&lt;Calculator!$G$13,0,MIN(MIN(MOD(A71/Calculator!$F$13,1),1-MOD(A71/Calculator!$F$13,1)),ABS(MOD(A71/Calculator!$F$13,1)-0.5))),1)</f>
        <v>0</v>
      </c>
      <c r="E71" s="136" t="n">
        <f aca="false">IF(Calculator!$E$14="YES",IF(A71&lt;Calculator!$G$14,0,MIN(MIN(MOD(A71/Calculator!$F$14,1),1-MOD(A71/Calculator!$F$14,1)),ABS(MOD(A71/Calculator!$F$14,1)-0.5))),1)</f>
        <v>0.0820350877192982</v>
      </c>
      <c r="F71" s="136" t="n">
        <f aca="false">IF(Calculator!$E$15="YES",IF(A71&lt;Calculator!$G$15,0,MIN(MIN(MOD(A71/Calculator!$F$15,1),1-MOD(A71/Calculator!$F$15,1)),ABS(MOD(A71/Calculator!$F$15,1)-0.5))),1)</f>
        <v>0.175789473684211</v>
      </c>
      <c r="G71" s="136" t="n">
        <f aca="false">IF(Calculator!$E$16="YES",IF(A71&lt;Calculator!$G$16,0,MIN(MIN(MOD(A71/Calculator!$F$16,1),1-MOD(A71/Calculator!$F$16,1)),ABS(MOD(A71/Calculator!$F$16,1)-0.5))),1)</f>
        <v>0.153894736842105</v>
      </c>
      <c r="H71" s="136" t="n">
        <f aca="false">IF(Calculator!$E$17="YES",IF(A71&lt;Calculator!$G$17,0,MIN(MIN(MOD(A71/Calculator!$F$17,1),1-MOD(A71/Calculator!$F$17,1)),ABS(MOD(A71/Calculator!$F$17,1)-0.5))),1)</f>
        <v>0.0251312280701754</v>
      </c>
      <c r="I71" s="136" t="n">
        <f aca="false">IF(Calculator!$E$18="YES",IF(A71&lt;Calculator!$G$18,0,MIN(MIN(MOD(A71/Calculator!$F$18,1),1-MOD(A71/Calculator!$F$18,1)),ABS(MOD(A71/Calculator!$F$18,1)-0.5))),1)</f>
        <v>0.227789473684211</v>
      </c>
      <c r="J71" s="136" t="n">
        <f aca="false">IF(Calculator!$E$19="YES",IF(A71&lt;Calculator!$G$19,0,MIN(MIN(MOD(A71/Calculator!$F$19,1),1-MOD(A71/Calculator!$F$19,1)),ABS(MOD(A71/Calculator!$F$19,1)-0.5))),1)</f>
        <v>0.0302035087719292</v>
      </c>
      <c r="K71" s="136" t="n">
        <f aca="false">IF(Calculator!$E$20="YES",IF(A71&lt;Calculator!$G$20,0,MIN(MIN(MOD(A71/Calculator!$F$20,1),1-MOD(A71/Calculator!$F$20,1)),ABS(MOD(A71/Calculator!$F$20,1)-0.5))),1)</f>
        <v>0.151508771929825</v>
      </c>
      <c r="L71" s="136" t="n">
        <f aca="false">IF(Calculator!$E$21="YES",IF(A71&lt;Calculator!$G$21,0,MIN(MIN(MOD(A71/Calculator!$F$21,1),1-MOD(A71/Calculator!$F$21,1)),ABS(MOD(A71/Calculator!$F$21,1)-0.5))),1)</f>
        <v>0.232982456140351</v>
      </c>
      <c r="M71" s="136" t="n">
        <f aca="false">MIN(B71:L71)</f>
        <v>0</v>
      </c>
      <c r="N71" s="136" t="n">
        <f aca="false">SUMPRODUCT(($M$5:$M$555&gt;M71)*1)+SUMPRODUCT(($M$5:$M$555=M71)*(ROW($M$5:$M$555)&lt;ROW(M71)))+1</f>
        <v>292</v>
      </c>
      <c r="O71" s="136" t="str">
        <f aca="false">IF(M71&gt;=0.2,"★★★ EXCELLENT",IF(M71&gt;=0.12,"★★  GOOD",IF(M71&gt;=0.07,"★  FAIR",IF(M71&gt;=0.025,"⚠  MARGINAL","✗  AVOID"))))</f>
        <v>✗  AVOID</v>
      </c>
    </row>
    <row r="72" customFormat="false" ht="15" hidden="false" customHeight="false" outlineLevel="0" collapsed="false">
      <c r="A72" s="137" t="n">
        <v>11.7</v>
      </c>
      <c r="B72" s="138" t="n">
        <f aca="false">IF(Calculator!$E$11="YES",IF(A72&lt;Calculator!$G$11,0,MIN(MIN(MOD(A72/Calculator!$F$11,1),1-MOD(A72/Calculator!$F$11,1)),ABS(MOD(A72/Calculator!$F$11,1)-0.5))),1)</f>
        <v>0</v>
      </c>
      <c r="C72" s="138" t="n">
        <f aca="false">IF(Calculator!$E$12="YES",IF(A72&lt;Calculator!$G$12,0,MIN(MIN(MOD(A72/Calculator!$F$12,1),1-MOD(A72/Calculator!$F$12,1)),ABS(MOD(A72/Calculator!$F$12,1)-0.5))),1)</f>
        <v>0</v>
      </c>
      <c r="D72" s="138" t="n">
        <f aca="false">IF(Calculator!$E$13="YES",IF(A72&lt;Calculator!$G$13,0,MIN(MIN(MOD(A72/Calculator!$F$13,1),1-MOD(A72/Calculator!$F$13,1)),ABS(MOD(A72/Calculator!$F$13,1)-0.5))),1)</f>
        <v>0</v>
      </c>
      <c r="E72" s="138" t="n">
        <f aca="false">IF(Calculator!$E$14="YES",IF(A72&lt;Calculator!$G$14,0,MIN(MIN(MOD(A72/Calculator!$F$14,1),1-MOD(A72/Calculator!$F$14,1)),ABS(MOD(A72/Calculator!$F$14,1)-0.5))),1)</f>
        <v>0.0870526315789474</v>
      </c>
      <c r="F72" s="138" t="n">
        <f aca="false">IF(Calculator!$E$15="YES",IF(A72&lt;Calculator!$G$15,0,MIN(MIN(MOD(A72/Calculator!$F$15,1),1-MOD(A72/Calculator!$F$15,1)),ABS(MOD(A72/Calculator!$F$15,1)-0.5))),1)</f>
        <v>0.168684210526316</v>
      </c>
      <c r="G72" s="138" t="n">
        <f aca="false">IF(Calculator!$E$16="YES",IF(A72&lt;Calculator!$G$16,0,MIN(MIN(MOD(A72/Calculator!$F$16,1),1-MOD(A72/Calculator!$F$16,1)),ABS(MOD(A72/Calculator!$F$16,1)-0.5))),1)</f>
        <v>0.163842105263158</v>
      </c>
      <c r="H72" s="138" t="n">
        <f aca="false">IF(Calculator!$E$17="YES",IF(A72&lt;Calculator!$G$17,0,MIN(MIN(MOD(A72/Calculator!$F$17,1),1-MOD(A72/Calculator!$F$17,1)),ABS(MOD(A72/Calculator!$F$17,1)-0.5))),1)</f>
        <v>0.0124168421052631</v>
      </c>
      <c r="I72" s="138" t="n">
        <f aca="false">IF(Calculator!$E$18="YES",IF(A72&lt;Calculator!$G$18,0,MIN(MIN(MOD(A72/Calculator!$F$18,1),1-MOD(A72/Calculator!$F$18,1)),ABS(MOD(A72/Calculator!$F$18,1)-0.5))),1)</f>
        <v>0.242684210526316</v>
      </c>
      <c r="J72" s="138" t="n">
        <f aca="false">IF(Calculator!$E$19="YES",IF(A72&lt;Calculator!$G$19,0,MIN(MIN(MOD(A72/Calculator!$F$19,1),1-MOD(A72/Calculator!$F$19,1)),ABS(MOD(A72/Calculator!$F$19,1)-0.5))),1)</f>
        <v>0.0477052631578943</v>
      </c>
      <c r="K72" s="138" t="n">
        <f aca="false">IF(Calculator!$E$20="YES",IF(A72&lt;Calculator!$G$20,0,MIN(MIN(MOD(A72/Calculator!$F$20,1),1-MOD(A72/Calculator!$F$20,1)),ABS(MOD(A72/Calculator!$F$20,1)-0.5))),1)</f>
        <v>0.131263157894737</v>
      </c>
      <c r="L72" s="138" t="n">
        <f aca="false">IF(Calculator!$E$21="YES",IF(A72&lt;Calculator!$G$21,0,MIN(MIN(MOD(A72/Calculator!$F$21,1),1-MOD(A72/Calculator!$F$21,1)),ABS(MOD(A72/Calculator!$F$21,1)-0.5))),1)</f>
        <v>0.230526315789474</v>
      </c>
      <c r="M72" s="138" t="n">
        <f aca="false">MIN(B72:L72)</f>
        <v>0</v>
      </c>
      <c r="N72" s="138" t="n">
        <f aca="false">SUMPRODUCT(($M$5:$M$555&gt;M72)*1)+SUMPRODUCT(($M$5:$M$555=M72)*(ROW($M$5:$M$555)&lt;ROW(M72)))+1</f>
        <v>293</v>
      </c>
      <c r="O72" s="138" t="str">
        <f aca="false">IF(M72&gt;=0.2,"★★★ EXCELLENT",IF(M72&gt;=0.12,"★★  GOOD",IF(M72&gt;=0.07,"★  FAIR",IF(M72&gt;=0.025,"⚠  MARGINAL","✗  AVOID"))))</f>
        <v>✗  AVOID</v>
      </c>
    </row>
    <row r="73" customFormat="false" ht="15" hidden="false" customHeight="false" outlineLevel="0" collapsed="false">
      <c r="A73" s="135" t="n">
        <v>11.8</v>
      </c>
      <c r="B73" s="136" t="n">
        <f aca="false">IF(Calculator!$E$11="YES",IF(A73&lt;Calculator!$G$11,0,MIN(MIN(MOD(A73/Calculator!$F$11,1),1-MOD(A73/Calculator!$F$11,1)),ABS(MOD(A73/Calculator!$F$11,1)-0.5))),1)</f>
        <v>0</v>
      </c>
      <c r="C73" s="136" t="n">
        <f aca="false">IF(Calculator!$E$12="YES",IF(A73&lt;Calculator!$G$12,0,MIN(MIN(MOD(A73/Calculator!$F$12,1),1-MOD(A73/Calculator!$F$12,1)),ABS(MOD(A73/Calculator!$F$12,1)-0.5))),1)</f>
        <v>0</v>
      </c>
      <c r="D73" s="136" t="n">
        <f aca="false">IF(Calculator!$E$13="YES",IF(A73&lt;Calculator!$G$13,0,MIN(MIN(MOD(A73/Calculator!$F$13,1),1-MOD(A73/Calculator!$F$13,1)),ABS(MOD(A73/Calculator!$F$13,1)-0.5))),1)</f>
        <v>0</v>
      </c>
      <c r="E73" s="136" t="n">
        <f aca="false">IF(Calculator!$E$14="YES",IF(A73&lt;Calculator!$G$14,0,MIN(MIN(MOD(A73/Calculator!$F$14,1),1-MOD(A73/Calculator!$F$14,1)),ABS(MOD(A73/Calculator!$F$14,1)-0.5))),1)</f>
        <v>0.0920701754385965</v>
      </c>
      <c r="F73" s="136" t="n">
        <f aca="false">IF(Calculator!$E$15="YES",IF(A73&lt;Calculator!$G$15,0,MIN(MIN(MOD(A73/Calculator!$F$15,1),1-MOD(A73/Calculator!$F$15,1)),ABS(MOD(A73/Calculator!$F$15,1)-0.5))),1)</f>
        <v>0.161578947368421</v>
      </c>
      <c r="G73" s="136" t="n">
        <f aca="false">IF(Calculator!$E$16="YES",IF(A73&lt;Calculator!$G$16,0,MIN(MIN(MOD(A73/Calculator!$F$16,1),1-MOD(A73/Calculator!$F$16,1)),ABS(MOD(A73/Calculator!$F$16,1)-0.5))),1)</f>
        <v>0.173789473684211</v>
      </c>
      <c r="H73" s="136" t="n">
        <f aca="false">IF(Calculator!$E$17="YES",IF(A73&lt;Calculator!$G$17,0,MIN(MIN(MOD(A73/Calculator!$F$17,1),1-MOD(A73/Calculator!$F$17,1)),ABS(MOD(A73/Calculator!$F$17,1)-0.5))),1)</f>
        <v>0.000297543859649307</v>
      </c>
      <c r="I73" s="136" t="n">
        <f aca="false">IF(Calculator!$E$18="YES",IF(A73&lt;Calculator!$G$18,0,MIN(MIN(MOD(A73/Calculator!$F$18,1),1-MOD(A73/Calculator!$F$18,1)),ABS(MOD(A73/Calculator!$F$18,1)-0.5))),1)</f>
        <v>0.242421052631579</v>
      </c>
      <c r="J73" s="136" t="n">
        <f aca="false">IF(Calculator!$E$19="YES",IF(A73&lt;Calculator!$G$19,0,MIN(MIN(MOD(A73/Calculator!$F$19,1),1-MOD(A73/Calculator!$F$19,1)),ABS(MOD(A73/Calculator!$F$19,1)-0.5))),1)</f>
        <v>0.0652070175438593</v>
      </c>
      <c r="K73" s="136" t="n">
        <f aca="false">IF(Calculator!$E$20="YES",IF(A73&lt;Calculator!$G$20,0,MIN(MIN(MOD(A73/Calculator!$F$20,1),1-MOD(A73/Calculator!$F$20,1)),ABS(MOD(A73/Calculator!$F$20,1)-0.5))),1)</f>
        <v>0.111017543859649</v>
      </c>
      <c r="L73" s="136" t="n">
        <f aca="false">IF(Calculator!$E$21="YES",IF(A73&lt;Calculator!$G$21,0,MIN(MIN(MOD(A73/Calculator!$F$21,1),1-MOD(A73/Calculator!$F$21,1)),ABS(MOD(A73/Calculator!$F$21,1)-0.5))),1)</f>
        <v>0.194035087719298</v>
      </c>
      <c r="M73" s="136" t="n">
        <f aca="false">MIN(B73:L73)</f>
        <v>0</v>
      </c>
      <c r="N73" s="136" t="n">
        <f aca="false">SUMPRODUCT(($M$5:$M$555&gt;M73)*1)+SUMPRODUCT(($M$5:$M$555=M73)*(ROW($M$5:$M$555)&lt;ROW(M73)))+1</f>
        <v>294</v>
      </c>
      <c r="O73" s="136" t="str">
        <f aca="false">IF(M73&gt;=0.2,"★★★ EXCELLENT",IF(M73&gt;=0.12,"★★  GOOD",IF(M73&gt;=0.07,"★  FAIR",IF(M73&gt;=0.025,"⚠  MARGINAL","✗  AVOID"))))</f>
        <v>✗  AVOID</v>
      </c>
    </row>
    <row r="74" customFormat="false" ht="15" hidden="false" customHeight="false" outlineLevel="0" collapsed="false">
      <c r="A74" s="137" t="n">
        <v>11.9</v>
      </c>
      <c r="B74" s="138" t="n">
        <f aca="false">IF(Calculator!$E$11="YES",IF(A74&lt;Calculator!$G$11,0,MIN(MIN(MOD(A74/Calculator!$F$11,1),1-MOD(A74/Calculator!$F$11,1)),ABS(MOD(A74/Calculator!$F$11,1)-0.5))),1)</f>
        <v>0</v>
      </c>
      <c r="C74" s="138" t="n">
        <f aca="false">IF(Calculator!$E$12="YES",IF(A74&lt;Calculator!$G$12,0,MIN(MIN(MOD(A74/Calculator!$F$12,1),1-MOD(A74/Calculator!$F$12,1)),ABS(MOD(A74/Calculator!$F$12,1)-0.5))),1)</f>
        <v>0</v>
      </c>
      <c r="D74" s="138" t="n">
        <f aca="false">IF(Calculator!$E$13="YES",IF(A74&lt;Calculator!$G$13,0,MIN(MIN(MOD(A74/Calculator!$F$13,1),1-MOD(A74/Calculator!$F$13,1)),ABS(MOD(A74/Calculator!$F$13,1)-0.5))),1)</f>
        <v>0</v>
      </c>
      <c r="E74" s="138" t="n">
        <f aca="false">IF(Calculator!$E$14="YES",IF(A74&lt;Calculator!$G$14,0,MIN(MIN(MOD(A74/Calculator!$F$14,1),1-MOD(A74/Calculator!$F$14,1)),ABS(MOD(A74/Calculator!$F$14,1)-0.5))),1)</f>
        <v>0.0970877192982457</v>
      </c>
      <c r="F74" s="138" t="n">
        <f aca="false">IF(Calculator!$E$15="YES",IF(A74&lt;Calculator!$G$15,0,MIN(MIN(MOD(A74/Calculator!$F$15,1),1-MOD(A74/Calculator!$F$15,1)),ABS(MOD(A74/Calculator!$F$15,1)-0.5))),1)</f>
        <v>0.154473684210526</v>
      </c>
      <c r="G74" s="138" t="n">
        <f aca="false">IF(Calculator!$E$16="YES",IF(A74&lt;Calculator!$G$16,0,MIN(MIN(MOD(A74/Calculator!$F$16,1),1-MOD(A74/Calculator!$F$16,1)),ABS(MOD(A74/Calculator!$F$16,1)-0.5))),1)</f>
        <v>0.183736842105263</v>
      </c>
      <c r="H74" s="138" t="n">
        <f aca="false">IF(Calculator!$E$17="YES",IF(A74&lt;Calculator!$G$17,0,MIN(MIN(MOD(A74/Calculator!$F$17,1),1-MOD(A74/Calculator!$F$17,1)),ABS(MOD(A74/Calculator!$F$17,1)-0.5))),1)</f>
        <v>0.0130119298245617</v>
      </c>
      <c r="I74" s="138" t="n">
        <f aca="false">IF(Calculator!$E$18="YES",IF(A74&lt;Calculator!$G$18,0,MIN(MIN(MOD(A74/Calculator!$F$18,1),1-MOD(A74/Calculator!$F$18,1)),ABS(MOD(A74/Calculator!$F$18,1)-0.5))),1)</f>
        <v>0.227526315789474</v>
      </c>
      <c r="J74" s="138" t="n">
        <f aca="false">IF(Calculator!$E$19="YES",IF(A74&lt;Calculator!$G$19,0,MIN(MIN(MOD(A74/Calculator!$F$19,1),1-MOD(A74/Calculator!$F$19,1)),ABS(MOD(A74/Calculator!$F$19,1)-0.5))),1)</f>
        <v>0.0827087719298243</v>
      </c>
      <c r="K74" s="138" t="n">
        <f aca="false">IF(Calculator!$E$20="YES",IF(A74&lt;Calculator!$G$20,0,MIN(MIN(MOD(A74/Calculator!$F$20,1),1-MOD(A74/Calculator!$F$20,1)),ABS(MOD(A74/Calculator!$F$20,1)-0.5))),1)</f>
        <v>0.0907719298245615</v>
      </c>
      <c r="L74" s="138" t="n">
        <f aca="false">IF(Calculator!$E$21="YES",IF(A74&lt;Calculator!$G$21,0,MIN(MIN(MOD(A74/Calculator!$F$21,1),1-MOD(A74/Calculator!$F$21,1)),ABS(MOD(A74/Calculator!$F$21,1)-0.5))),1)</f>
        <v>0.157543859649123</v>
      </c>
      <c r="M74" s="138" t="n">
        <f aca="false">MIN(B74:L74)</f>
        <v>0</v>
      </c>
      <c r="N74" s="138" t="n">
        <f aca="false">SUMPRODUCT(($M$5:$M$555&gt;M74)*1)+SUMPRODUCT(($M$5:$M$555=M74)*(ROW($M$5:$M$555)&lt;ROW(M74)))+1</f>
        <v>295</v>
      </c>
      <c r="O74" s="138" t="str">
        <f aca="false">IF(M74&gt;=0.2,"★★★ EXCELLENT",IF(M74&gt;=0.12,"★★  GOOD",IF(M74&gt;=0.07,"★  FAIR",IF(M74&gt;=0.025,"⚠  MARGINAL","✗  AVOID"))))</f>
        <v>✗  AVOID</v>
      </c>
    </row>
    <row r="75" customFormat="false" ht="15" hidden="false" customHeight="false" outlineLevel="0" collapsed="false">
      <c r="A75" s="135" t="n">
        <v>12</v>
      </c>
      <c r="B75" s="136" t="n">
        <f aca="false">IF(Calculator!$E$11="YES",IF(A75&lt;Calculator!$G$11,0,MIN(MIN(MOD(A75/Calculator!$F$11,1),1-MOD(A75/Calculator!$F$11,1)),ABS(MOD(A75/Calculator!$F$11,1)-0.5))),1)</f>
        <v>0</v>
      </c>
      <c r="C75" s="136" t="n">
        <f aca="false">IF(Calculator!$E$12="YES",IF(A75&lt;Calculator!$G$12,0,MIN(MIN(MOD(A75/Calculator!$F$12,1),1-MOD(A75/Calculator!$F$12,1)),ABS(MOD(A75/Calculator!$F$12,1)-0.5))),1)</f>
        <v>0</v>
      </c>
      <c r="D75" s="136" t="n">
        <f aca="false">IF(Calculator!$E$13="YES",IF(A75&lt;Calculator!$G$13,0,MIN(MIN(MOD(A75/Calculator!$F$13,1),1-MOD(A75/Calculator!$F$13,1)),ABS(MOD(A75/Calculator!$F$13,1)-0.5))),1)</f>
        <v>0</v>
      </c>
      <c r="E75" s="136" t="n">
        <f aca="false">IF(Calculator!$E$14="YES",IF(A75&lt;Calculator!$G$14,0,MIN(MIN(MOD(A75/Calculator!$F$14,1),1-MOD(A75/Calculator!$F$14,1)),ABS(MOD(A75/Calculator!$F$14,1)-0.5))),1)</f>
        <v>0.102105263157895</v>
      </c>
      <c r="F75" s="136" t="n">
        <f aca="false">IF(Calculator!$E$15="YES",IF(A75&lt;Calculator!$G$15,0,MIN(MIN(MOD(A75/Calculator!$F$15,1),1-MOD(A75/Calculator!$F$15,1)),ABS(MOD(A75/Calculator!$F$15,1)-0.5))),1)</f>
        <v>0.147368421052632</v>
      </c>
      <c r="G75" s="136" t="n">
        <f aca="false">IF(Calculator!$E$16="YES",IF(A75&lt;Calculator!$G$16,0,MIN(MIN(MOD(A75/Calculator!$F$16,1),1-MOD(A75/Calculator!$F$16,1)),ABS(MOD(A75/Calculator!$F$16,1)-0.5))),1)</f>
        <v>0.193684210526316</v>
      </c>
      <c r="H75" s="136" t="n">
        <f aca="false">IF(Calculator!$E$17="YES",IF(A75&lt;Calculator!$G$17,0,MIN(MIN(MOD(A75/Calculator!$F$17,1),1-MOD(A75/Calculator!$F$17,1)),ABS(MOD(A75/Calculator!$F$17,1)-0.5))),1)</f>
        <v>0.0257263157894738</v>
      </c>
      <c r="I75" s="136" t="n">
        <f aca="false">IF(Calculator!$E$18="YES",IF(A75&lt;Calculator!$G$18,0,MIN(MIN(MOD(A75/Calculator!$F$18,1),1-MOD(A75/Calculator!$F$18,1)),ABS(MOD(A75/Calculator!$F$18,1)-0.5))),1)</f>
        <v>0.212631578947368</v>
      </c>
      <c r="J75" s="136" t="n">
        <f aca="false">IF(Calculator!$E$19="YES",IF(A75&lt;Calculator!$G$19,0,MIN(MIN(MOD(A75/Calculator!$F$19,1),1-MOD(A75/Calculator!$F$19,1)),ABS(MOD(A75/Calculator!$F$19,1)-0.5))),1)</f>
        <v>0.100210526315789</v>
      </c>
      <c r="K75" s="136" t="n">
        <f aca="false">IF(Calculator!$E$20="YES",IF(A75&lt;Calculator!$G$20,0,MIN(MIN(MOD(A75/Calculator!$F$20,1),1-MOD(A75/Calculator!$F$20,1)),ABS(MOD(A75/Calculator!$F$20,1)-0.5))),1)</f>
        <v>0.0705263157894738</v>
      </c>
      <c r="L75" s="136" t="n">
        <f aca="false">IF(Calculator!$E$21="YES",IF(A75&lt;Calculator!$G$21,0,MIN(MIN(MOD(A75/Calculator!$F$21,1),1-MOD(A75/Calculator!$F$21,1)),ABS(MOD(A75/Calculator!$F$21,1)-0.5))),1)</f>
        <v>0.121052631578947</v>
      </c>
      <c r="M75" s="136" t="n">
        <f aca="false">MIN(B75:L75)</f>
        <v>0</v>
      </c>
      <c r="N75" s="136" t="n">
        <f aca="false">SUMPRODUCT(($M$5:$M$555&gt;M75)*1)+SUMPRODUCT(($M$5:$M$555=M75)*(ROW($M$5:$M$555)&lt;ROW(M75)))+1</f>
        <v>296</v>
      </c>
      <c r="O75" s="136" t="str">
        <f aca="false">IF(M75&gt;=0.2,"★★★ EXCELLENT",IF(M75&gt;=0.12,"★★  GOOD",IF(M75&gt;=0.07,"★  FAIR",IF(M75&gt;=0.025,"⚠  MARGINAL","✗  AVOID"))))</f>
        <v>✗  AVOID</v>
      </c>
    </row>
    <row r="76" customFormat="false" ht="15" hidden="false" customHeight="false" outlineLevel="0" collapsed="false">
      <c r="A76" s="137" t="n">
        <v>12.1</v>
      </c>
      <c r="B76" s="138" t="n">
        <f aca="false">IF(Calculator!$E$11="YES",IF(A76&lt;Calculator!$G$11,0,MIN(MIN(MOD(A76/Calculator!$F$11,1),1-MOD(A76/Calculator!$F$11,1)),ABS(MOD(A76/Calculator!$F$11,1)-0.5))),1)</f>
        <v>0</v>
      </c>
      <c r="C76" s="138" t="n">
        <f aca="false">IF(Calculator!$E$12="YES",IF(A76&lt;Calculator!$G$12,0,MIN(MIN(MOD(A76/Calculator!$F$12,1),1-MOD(A76/Calculator!$F$12,1)),ABS(MOD(A76/Calculator!$F$12,1)-0.5))),1)</f>
        <v>0</v>
      </c>
      <c r="D76" s="138" t="n">
        <f aca="false">IF(Calculator!$E$13="YES",IF(A76&lt;Calculator!$G$13,0,MIN(MIN(MOD(A76/Calculator!$F$13,1),1-MOD(A76/Calculator!$F$13,1)),ABS(MOD(A76/Calculator!$F$13,1)-0.5))),1)</f>
        <v>0</v>
      </c>
      <c r="E76" s="138" t="n">
        <f aca="false">IF(Calculator!$E$14="YES",IF(A76&lt;Calculator!$G$14,0,MIN(MIN(MOD(A76/Calculator!$F$14,1),1-MOD(A76/Calculator!$F$14,1)),ABS(MOD(A76/Calculator!$F$14,1)-0.5))),1)</f>
        <v>0.107122807017544</v>
      </c>
      <c r="F76" s="138" t="n">
        <f aca="false">IF(Calculator!$E$15="YES",IF(A76&lt;Calculator!$G$15,0,MIN(MIN(MOD(A76/Calculator!$F$15,1),1-MOD(A76/Calculator!$F$15,1)),ABS(MOD(A76/Calculator!$F$15,1)-0.5))),1)</f>
        <v>0.140263157894737</v>
      </c>
      <c r="G76" s="138" t="n">
        <f aca="false">IF(Calculator!$E$16="YES",IF(A76&lt;Calculator!$G$16,0,MIN(MIN(MOD(A76/Calculator!$F$16,1),1-MOD(A76/Calculator!$F$16,1)),ABS(MOD(A76/Calculator!$F$16,1)-0.5))),1)</f>
        <v>0.203631578947368</v>
      </c>
      <c r="H76" s="138" t="n">
        <f aca="false">IF(Calculator!$E$17="YES",IF(A76&lt;Calculator!$G$17,0,MIN(MIN(MOD(A76/Calculator!$F$17,1),1-MOD(A76/Calculator!$F$17,1)),ABS(MOD(A76/Calculator!$F$17,1)-0.5))),1)</f>
        <v>0.0384407017543862</v>
      </c>
      <c r="I76" s="138" t="n">
        <f aca="false">IF(Calculator!$E$18="YES",IF(A76&lt;Calculator!$G$18,0,MIN(MIN(MOD(A76/Calculator!$F$18,1),1-MOD(A76/Calculator!$F$18,1)),ABS(MOD(A76/Calculator!$F$18,1)-0.5))),1)</f>
        <v>0.197736842105263</v>
      </c>
      <c r="J76" s="138" t="n">
        <f aca="false">IF(Calculator!$E$19="YES",IF(A76&lt;Calculator!$G$19,0,MIN(MIN(MOD(A76/Calculator!$F$19,1),1-MOD(A76/Calculator!$F$19,1)),ABS(MOD(A76/Calculator!$F$19,1)-0.5))),1)</f>
        <v>0.117712280701754</v>
      </c>
      <c r="K76" s="138" t="n">
        <f aca="false">IF(Calculator!$E$20="YES",IF(A76&lt;Calculator!$G$20,0,MIN(MIN(MOD(A76/Calculator!$F$20,1),1-MOD(A76/Calculator!$F$20,1)),ABS(MOD(A76/Calculator!$F$20,1)-0.5))),1)</f>
        <v>0.050280701754386</v>
      </c>
      <c r="L76" s="138" t="n">
        <f aca="false">IF(Calculator!$E$21="YES",IF(A76&lt;Calculator!$G$21,0,MIN(MIN(MOD(A76/Calculator!$F$21,1),1-MOD(A76/Calculator!$F$21,1)),ABS(MOD(A76/Calculator!$F$21,1)-0.5))),1)</f>
        <v>0.0845614035087721</v>
      </c>
      <c r="M76" s="138" t="n">
        <f aca="false">MIN(B76:L76)</f>
        <v>0</v>
      </c>
      <c r="N76" s="138" t="n">
        <f aca="false">SUMPRODUCT(($M$5:$M$555&gt;M76)*1)+SUMPRODUCT(($M$5:$M$555=M76)*(ROW($M$5:$M$555)&lt;ROW(M76)))+1</f>
        <v>297</v>
      </c>
      <c r="O76" s="138" t="str">
        <f aca="false">IF(M76&gt;=0.2,"★★★ EXCELLENT",IF(M76&gt;=0.12,"★★  GOOD",IF(M76&gt;=0.07,"★  FAIR",IF(M76&gt;=0.025,"⚠  MARGINAL","✗  AVOID"))))</f>
        <v>✗  AVOID</v>
      </c>
    </row>
    <row r="77" customFormat="false" ht="15" hidden="false" customHeight="false" outlineLevel="0" collapsed="false">
      <c r="A77" s="135" t="n">
        <v>12.2</v>
      </c>
      <c r="B77" s="136" t="n">
        <f aca="false">IF(Calculator!$E$11="YES",IF(A77&lt;Calculator!$G$11,0,MIN(MIN(MOD(A77/Calculator!$F$11,1),1-MOD(A77/Calculator!$F$11,1)),ABS(MOD(A77/Calculator!$F$11,1)-0.5))),1)</f>
        <v>0</v>
      </c>
      <c r="C77" s="136" t="n">
        <f aca="false">IF(Calculator!$E$12="YES",IF(A77&lt;Calculator!$G$12,0,MIN(MIN(MOD(A77/Calculator!$F$12,1),1-MOD(A77/Calculator!$F$12,1)),ABS(MOD(A77/Calculator!$F$12,1)-0.5))),1)</f>
        <v>0</v>
      </c>
      <c r="D77" s="136" t="n">
        <f aca="false">IF(Calculator!$E$13="YES",IF(A77&lt;Calculator!$G$13,0,MIN(MIN(MOD(A77/Calculator!$F$13,1),1-MOD(A77/Calculator!$F$13,1)),ABS(MOD(A77/Calculator!$F$13,1)-0.5))),1)</f>
        <v>0</v>
      </c>
      <c r="E77" s="136" t="n">
        <f aca="false">IF(Calculator!$E$14="YES",IF(A77&lt;Calculator!$G$14,0,MIN(MIN(MOD(A77/Calculator!$F$14,1),1-MOD(A77/Calculator!$F$14,1)),ABS(MOD(A77/Calculator!$F$14,1)-0.5))),1)</f>
        <v>0.112140350877193</v>
      </c>
      <c r="F77" s="136" t="n">
        <f aca="false">IF(Calculator!$E$15="YES",IF(A77&lt;Calculator!$G$15,0,MIN(MIN(MOD(A77/Calculator!$F$15,1),1-MOD(A77/Calculator!$F$15,1)),ABS(MOD(A77/Calculator!$F$15,1)-0.5))),1)</f>
        <v>0.133157894736842</v>
      </c>
      <c r="G77" s="136" t="n">
        <f aca="false">IF(Calculator!$E$16="YES",IF(A77&lt;Calculator!$G$16,0,MIN(MIN(MOD(A77/Calculator!$F$16,1),1-MOD(A77/Calculator!$F$16,1)),ABS(MOD(A77/Calculator!$F$16,1)-0.5))),1)</f>
        <v>0.213578947368421</v>
      </c>
      <c r="H77" s="136" t="n">
        <f aca="false">IF(Calculator!$E$17="YES",IF(A77&lt;Calculator!$G$17,0,MIN(MIN(MOD(A77/Calculator!$F$17,1),1-MOD(A77/Calculator!$F$17,1)),ABS(MOD(A77/Calculator!$F$17,1)-0.5))),1)</f>
        <v>0.0511550877192983</v>
      </c>
      <c r="I77" s="136" t="n">
        <f aca="false">IF(Calculator!$E$18="YES",IF(A77&lt;Calculator!$G$18,0,MIN(MIN(MOD(A77/Calculator!$F$18,1),1-MOD(A77/Calculator!$F$18,1)),ABS(MOD(A77/Calculator!$F$18,1)-0.5))),1)</f>
        <v>0.182842105263158</v>
      </c>
      <c r="J77" s="136" t="n">
        <f aca="false">IF(Calculator!$E$19="YES",IF(A77&lt;Calculator!$G$19,0,MIN(MIN(MOD(A77/Calculator!$F$19,1),1-MOD(A77/Calculator!$F$19,1)),ABS(MOD(A77/Calculator!$F$19,1)-0.5))),1)</f>
        <v>0.135214035087719</v>
      </c>
      <c r="K77" s="136" t="n">
        <f aca="false">IF(Calculator!$E$20="YES",IF(A77&lt;Calculator!$G$20,0,MIN(MIN(MOD(A77/Calculator!$F$20,1),1-MOD(A77/Calculator!$F$20,1)),ABS(MOD(A77/Calculator!$F$20,1)-0.5))),1)</f>
        <v>0.0300350877192983</v>
      </c>
      <c r="L77" s="136" t="n">
        <f aca="false">IF(Calculator!$E$21="YES",IF(A77&lt;Calculator!$G$21,0,MIN(MIN(MOD(A77/Calculator!$F$21,1),1-MOD(A77/Calculator!$F$21,1)),ABS(MOD(A77/Calculator!$F$21,1)-0.5))),1)</f>
        <v>0.048070175438597</v>
      </c>
      <c r="M77" s="136" t="n">
        <f aca="false">MIN(B77:L77)</f>
        <v>0</v>
      </c>
      <c r="N77" s="136" t="n">
        <f aca="false">SUMPRODUCT(($M$5:$M$555&gt;M77)*1)+SUMPRODUCT(($M$5:$M$555=M77)*(ROW($M$5:$M$555)&lt;ROW(M77)))+1</f>
        <v>298</v>
      </c>
      <c r="O77" s="136" t="str">
        <f aca="false">IF(M77&gt;=0.2,"★★★ EXCELLENT",IF(M77&gt;=0.12,"★★  GOOD",IF(M77&gt;=0.07,"★  FAIR",IF(M77&gt;=0.025,"⚠  MARGINAL","✗  AVOID"))))</f>
        <v>✗  AVOID</v>
      </c>
    </row>
    <row r="78" customFormat="false" ht="15" hidden="false" customHeight="false" outlineLevel="0" collapsed="false">
      <c r="A78" s="137" t="n">
        <v>12.3</v>
      </c>
      <c r="B78" s="138" t="n">
        <f aca="false">IF(Calculator!$E$11="YES",IF(A78&lt;Calculator!$G$11,0,MIN(MIN(MOD(A78/Calculator!$F$11,1),1-MOD(A78/Calculator!$F$11,1)),ABS(MOD(A78/Calculator!$F$11,1)-0.5))),1)</f>
        <v>0</v>
      </c>
      <c r="C78" s="138" t="n">
        <f aca="false">IF(Calculator!$E$12="YES",IF(A78&lt;Calculator!$G$12,0,MIN(MIN(MOD(A78/Calculator!$F$12,1),1-MOD(A78/Calculator!$F$12,1)),ABS(MOD(A78/Calculator!$F$12,1)-0.5))),1)</f>
        <v>0</v>
      </c>
      <c r="D78" s="138" t="n">
        <f aca="false">IF(Calculator!$E$13="YES",IF(A78&lt;Calculator!$G$13,0,MIN(MIN(MOD(A78/Calculator!$F$13,1),1-MOD(A78/Calculator!$F$13,1)),ABS(MOD(A78/Calculator!$F$13,1)-0.5))),1)</f>
        <v>0</v>
      </c>
      <c r="E78" s="138" t="n">
        <f aca="false">IF(Calculator!$E$14="YES",IF(A78&lt;Calculator!$G$14,0,MIN(MIN(MOD(A78/Calculator!$F$14,1),1-MOD(A78/Calculator!$F$14,1)),ABS(MOD(A78/Calculator!$F$14,1)-0.5))),1)</f>
        <v>0.117157894736842</v>
      </c>
      <c r="F78" s="138" t="n">
        <f aca="false">IF(Calculator!$E$15="YES",IF(A78&lt;Calculator!$G$15,0,MIN(MIN(MOD(A78/Calculator!$F$15,1),1-MOD(A78/Calculator!$F$15,1)),ABS(MOD(A78/Calculator!$F$15,1)-0.5))),1)</f>
        <v>0.126052631578947</v>
      </c>
      <c r="G78" s="138" t="n">
        <f aca="false">IF(Calculator!$E$16="YES",IF(A78&lt;Calculator!$G$16,0,MIN(MIN(MOD(A78/Calculator!$F$16,1),1-MOD(A78/Calculator!$F$16,1)),ABS(MOD(A78/Calculator!$F$16,1)-0.5))),1)</f>
        <v>0.223526315789474</v>
      </c>
      <c r="H78" s="138" t="n">
        <f aca="false">IF(Calculator!$E$17="YES",IF(A78&lt;Calculator!$G$17,0,MIN(MIN(MOD(A78/Calculator!$F$17,1),1-MOD(A78/Calculator!$F$17,1)),ABS(MOD(A78/Calculator!$F$17,1)-0.5))),1)</f>
        <v>0.0638694736842107</v>
      </c>
      <c r="I78" s="138" t="n">
        <f aca="false">IF(Calculator!$E$18="YES",IF(A78&lt;Calculator!$G$18,0,MIN(MIN(MOD(A78/Calculator!$F$18,1),1-MOD(A78/Calculator!$F$18,1)),ABS(MOD(A78/Calculator!$F$18,1)-0.5))),1)</f>
        <v>0.167947368421052</v>
      </c>
      <c r="J78" s="138" t="n">
        <f aca="false">IF(Calculator!$E$19="YES",IF(A78&lt;Calculator!$G$19,0,MIN(MIN(MOD(A78/Calculator!$F$19,1),1-MOD(A78/Calculator!$F$19,1)),ABS(MOD(A78/Calculator!$F$19,1)-0.5))),1)</f>
        <v>0.152715789473684</v>
      </c>
      <c r="K78" s="138" t="n">
        <f aca="false">IF(Calculator!$E$20="YES",IF(A78&lt;Calculator!$G$20,0,MIN(MIN(MOD(A78/Calculator!$F$20,1),1-MOD(A78/Calculator!$F$20,1)),ABS(MOD(A78/Calculator!$F$20,1)-0.5))),1)</f>
        <v>0.00978947368421057</v>
      </c>
      <c r="L78" s="138" t="n">
        <f aca="false">IF(Calculator!$E$21="YES",IF(A78&lt;Calculator!$G$21,0,MIN(MIN(MOD(A78/Calculator!$F$21,1),1-MOD(A78/Calculator!$F$21,1)),ABS(MOD(A78/Calculator!$F$21,1)-0.5))),1)</f>
        <v>0.0115789473684211</v>
      </c>
      <c r="M78" s="138" t="n">
        <f aca="false">MIN(B78:L78)</f>
        <v>0</v>
      </c>
      <c r="N78" s="138" t="n">
        <f aca="false">SUMPRODUCT(($M$5:$M$555&gt;M78)*1)+SUMPRODUCT(($M$5:$M$555=M78)*(ROW($M$5:$M$555)&lt;ROW(M78)))+1</f>
        <v>299</v>
      </c>
      <c r="O78" s="138" t="str">
        <f aca="false">IF(M78&gt;=0.2,"★★★ EXCELLENT",IF(M78&gt;=0.12,"★★  GOOD",IF(M78&gt;=0.07,"★  FAIR",IF(M78&gt;=0.025,"⚠  MARGINAL","✗  AVOID"))))</f>
        <v>✗  AVOID</v>
      </c>
    </row>
    <row r="79" customFormat="false" ht="15" hidden="false" customHeight="false" outlineLevel="0" collapsed="false">
      <c r="A79" s="135" t="n">
        <v>12.4</v>
      </c>
      <c r="B79" s="136" t="n">
        <f aca="false">IF(Calculator!$E$11="YES",IF(A79&lt;Calculator!$G$11,0,MIN(MIN(MOD(A79/Calculator!$F$11,1),1-MOD(A79/Calculator!$F$11,1)),ABS(MOD(A79/Calculator!$F$11,1)-0.5))),1)</f>
        <v>0</v>
      </c>
      <c r="C79" s="136" t="n">
        <f aca="false">IF(Calculator!$E$12="YES",IF(A79&lt;Calculator!$G$12,0,MIN(MIN(MOD(A79/Calculator!$F$12,1),1-MOD(A79/Calculator!$F$12,1)),ABS(MOD(A79/Calculator!$F$12,1)-0.5))),1)</f>
        <v>0</v>
      </c>
      <c r="D79" s="136" t="n">
        <f aca="false">IF(Calculator!$E$13="YES",IF(A79&lt;Calculator!$G$13,0,MIN(MIN(MOD(A79/Calculator!$F$13,1),1-MOD(A79/Calculator!$F$13,1)),ABS(MOD(A79/Calculator!$F$13,1)-0.5))),1)</f>
        <v>0</v>
      </c>
      <c r="E79" s="136" t="n">
        <f aca="false">IF(Calculator!$E$14="YES",IF(A79&lt;Calculator!$G$14,0,MIN(MIN(MOD(A79/Calculator!$F$14,1),1-MOD(A79/Calculator!$F$14,1)),ABS(MOD(A79/Calculator!$F$14,1)-0.5))),1)</f>
        <v>0.122175438596491</v>
      </c>
      <c r="F79" s="136" t="n">
        <f aca="false">IF(Calculator!$E$15="YES",IF(A79&lt;Calculator!$G$15,0,MIN(MIN(MOD(A79/Calculator!$F$15,1),1-MOD(A79/Calculator!$F$15,1)),ABS(MOD(A79/Calculator!$F$15,1)-0.5))),1)</f>
        <v>0.118947368421053</v>
      </c>
      <c r="G79" s="136" t="n">
        <f aca="false">IF(Calculator!$E$16="YES",IF(A79&lt;Calculator!$G$16,0,MIN(MIN(MOD(A79/Calculator!$F$16,1),1-MOD(A79/Calculator!$F$16,1)),ABS(MOD(A79/Calculator!$F$16,1)-0.5))),1)</f>
        <v>0.233473684210527</v>
      </c>
      <c r="H79" s="136" t="n">
        <f aca="false">IF(Calculator!$E$17="YES",IF(A79&lt;Calculator!$G$17,0,MIN(MIN(MOD(A79/Calculator!$F$17,1),1-MOD(A79/Calculator!$F$17,1)),ABS(MOD(A79/Calculator!$F$17,1)-0.5))),1)</f>
        <v>0.0765838596491231</v>
      </c>
      <c r="I79" s="136" t="n">
        <f aca="false">IF(Calculator!$E$18="YES",IF(A79&lt;Calculator!$G$18,0,MIN(MIN(MOD(A79/Calculator!$F$18,1),1-MOD(A79/Calculator!$F$18,1)),ABS(MOD(A79/Calculator!$F$18,1)-0.5))),1)</f>
        <v>0.153052631578947</v>
      </c>
      <c r="J79" s="136" t="n">
        <f aca="false">IF(Calculator!$E$19="YES",IF(A79&lt;Calculator!$G$19,0,MIN(MIN(MOD(A79/Calculator!$F$19,1),1-MOD(A79/Calculator!$F$19,1)),ABS(MOD(A79/Calculator!$F$19,1)-0.5))),1)</f>
        <v>0.170217543859649</v>
      </c>
      <c r="K79" s="136" t="n">
        <f aca="false">IF(Calculator!$E$20="YES",IF(A79&lt;Calculator!$G$20,0,MIN(MIN(MOD(A79/Calculator!$F$20,1),1-MOD(A79/Calculator!$F$20,1)),ABS(MOD(A79/Calculator!$F$20,1)-0.5))),1)</f>
        <v>0.0104561403508772</v>
      </c>
      <c r="L79" s="136" t="n">
        <f aca="false">IF(Calculator!$E$21="YES",IF(A79&lt;Calculator!$G$21,0,MIN(MIN(MOD(A79/Calculator!$F$21,1),1-MOD(A79/Calculator!$F$21,1)),ABS(MOD(A79/Calculator!$F$21,1)-0.5))),1)</f>
        <v>0.0249122807017548</v>
      </c>
      <c r="M79" s="136" t="n">
        <f aca="false">MIN(B79:L79)</f>
        <v>0</v>
      </c>
      <c r="N79" s="136" t="n">
        <f aca="false">SUMPRODUCT(($M$5:$M$555&gt;M79)*1)+SUMPRODUCT(($M$5:$M$555=M79)*(ROW($M$5:$M$555)&lt;ROW(M79)))+1</f>
        <v>300</v>
      </c>
      <c r="O79" s="136" t="str">
        <f aca="false">IF(M79&gt;=0.2,"★★★ EXCELLENT",IF(M79&gt;=0.12,"★★  GOOD",IF(M79&gt;=0.07,"★  FAIR",IF(M79&gt;=0.025,"⚠  MARGINAL","✗  AVOID"))))</f>
        <v>✗  AVOID</v>
      </c>
    </row>
    <row r="80" customFormat="false" ht="15" hidden="false" customHeight="false" outlineLevel="0" collapsed="false">
      <c r="A80" s="137" t="n">
        <v>12.5</v>
      </c>
      <c r="B80" s="138" t="n">
        <f aca="false">IF(Calculator!$E$11="YES",IF(A80&lt;Calculator!$G$11,0,MIN(MIN(MOD(A80/Calculator!$F$11,1),1-MOD(A80/Calculator!$F$11,1)),ABS(MOD(A80/Calculator!$F$11,1)-0.5))),1)</f>
        <v>0</v>
      </c>
      <c r="C80" s="138" t="n">
        <f aca="false">IF(Calculator!$E$12="YES",IF(A80&lt;Calculator!$G$12,0,MIN(MIN(MOD(A80/Calculator!$F$12,1),1-MOD(A80/Calculator!$F$12,1)),ABS(MOD(A80/Calculator!$F$12,1)-0.5))),1)</f>
        <v>0</v>
      </c>
      <c r="D80" s="138" t="n">
        <f aca="false">IF(Calculator!$E$13="YES",IF(A80&lt;Calculator!$G$13,0,MIN(MIN(MOD(A80/Calculator!$F$13,1),1-MOD(A80/Calculator!$F$13,1)),ABS(MOD(A80/Calculator!$F$13,1)-0.5))),1)</f>
        <v>0</v>
      </c>
      <c r="E80" s="138" t="n">
        <f aca="false">IF(Calculator!$E$14="YES",IF(A80&lt;Calculator!$G$14,0,MIN(MIN(MOD(A80/Calculator!$F$14,1),1-MOD(A80/Calculator!$F$14,1)),ABS(MOD(A80/Calculator!$F$14,1)-0.5))),1)</f>
        <v>0.12719298245614</v>
      </c>
      <c r="F80" s="138" t="n">
        <f aca="false">IF(Calculator!$E$15="YES",IF(A80&lt;Calculator!$G$15,0,MIN(MIN(MOD(A80/Calculator!$F$15,1),1-MOD(A80/Calculator!$F$15,1)),ABS(MOD(A80/Calculator!$F$15,1)-0.5))),1)</f>
        <v>0.111842105263158</v>
      </c>
      <c r="G80" s="138" t="n">
        <f aca="false">IF(Calculator!$E$16="YES",IF(A80&lt;Calculator!$G$16,0,MIN(MIN(MOD(A80/Calculator!$F$16,1),1-MOD(A80/Calculator!$F$16,1)),ABS(MOD(A80/Calculator!$F$16,1)-0.5))),1)</f>
        <v>0.243421052631579</v>
      </c>
      <c r="H80" s="138" t="n">
        <f aca="false">IF(Calculator!$E$17="YES",IF(A80&lt;Calculator!$G$17,0,MIN(MIN(MOD(A80/Calculator!$F$17,1),1-MOD(A80/Calculator!$F$17,1)),ABS(MOD(A80/Calculator!$F$17,1)-0.5))),1)</f>
        <v>0.0892982456140352</v>
      </c>
      <c r="I80" s="138" t="n">
        <f aca="false">IF(Calculator!$E$18="YES",IF(A80&lt;Calculator!$G$18,0,MIN(MIN(MOD(A80/Calculator!$F$18,1),1-MOD(A80/Calculator!$F$18,1)),ABS(MOD(A80/Calculator!$F$18,1)-0.5))),1)</f>
        <v>0.138157894736842</v>
      </c>
      <c r="J80" s="138" t="n">
        <f aca="false">IF(Calculator!$E$19="YES",IF(A80&lt;Calculator!$G$19,0,MIN(MIN(MOD(A80/Calculator!$F$19,1),1-MOD(A80/Calculator!$F$19,1)),ABS(MOD(A80/Calculator!$F$19,1)-0.5))),1)</f>
        <v>0.187719298245614</v>
      </c>
      <c r="K80" s="138" t="n">
        <f aca="false">IF(Calculator!$E$20="YES",IF(A80&lt;Calculator!$G$20,0,MIN(MIN(MOD(A80/Calculator!$F$20,1),1-MOD(A80/Calculator!$F$20,1)),ABS(MOD(A80/Calculator!$F$20,1)-0.5))),1)</f>
        <v>0.0307017543859649</v>
      </c>
      <c r="L80" s="138" t="n">
        <f aca="false">IF(Calculator!$E$21="YES",IF(A80&lt;Calculator!$G$21,0,MIN(MIN(MOD(A80/Calculator!$F$21,1),1-MOD(A80/Calculator!$F$21,1)),ABS(MOD(A80/Calculator!$F$21,1)-0.5))),1)</f>
        <v>0.0614035087719298</v>
      </c>
      <c r="M80" s="138" t="n">
        <f aca="false">MIN(B80:L80)</f>
        <v>0</v>
      </c>
      <c r="N80" s="138" t="n">
        <f aca="false">SUMPRODUCT(($M$5:$M$555&gt;M80)*1)+SUMPRODUCT(($M$5:$M$555=M80)*(ROW($M$5:$M$555)&lt;ROW(M80)))+1</f>
        <v>301</v>
      </c>
      <c r="O80" s="138" t="str">
        <f aca="false">IF(M80&gt;=0.2,"★★★ EXCELLENT",IF(M80&gt;=0.12,"★★  GOOD",IF(M80&gt;=0.07,"★  FAIR",IF(M80&gt;=0.025,"⚠  MARGINAL","✗  AVOID"))))</f>
        <v>✗  AVOID</v>
      </c>
    </row>
    <row r="81" customFormat="false" ht="15" hidden="false" customHeight="false" outlineLevel="0" collapsed="false">
      <c r="A81" s="135" t="n">
        <v>12.6</v>
      </c>
      <c r="B81" s="136" t="n">
        <f aca="false">IF(Calculator!$E$11="YES",IF(A81&lt;Calculator!$G$11,0,MIN(MIN(MOD(A81/Calculator!$F$11,1),1-MOD(A81/Calculator!$F$11,1)),ABS(MOD(A81/Calculator!$F$11,1)-0.5))),1)</f>
        <v>0</v>
      </c>
      <c r="C81" s="136" t="n">
        <f aca="false">IF(Calculator!$E$12="YES",IF(A81&lt;Calculator!$G$12,0,MIN(MIN(MOD(A81/Calculator!$F$12,1),1-MOD(A81/Calculator!$F$12,1)),ABS(MOD(A81/Calculator!$F$12,1)-0.5))),1)</f>
        <v>0</v>
      </c>
      <c r="D81" s="136" t="n">
        <f aca="false">IF(Calculator!$E$13="YES",IF(A81&lt;Calculator!$G$13,0,MIN(MIN(MOD(A81/Calculator!$F$13,1),1-MOD(A81/Calculator!$F$13,1)),ABS(MOD(A81/Calculator!$F$13,1)-0.5))),1)</f>
        <v>0</v>
      </c>
      <c r="E81" s="136" t="n">
        <f aca="false">IF(Calculator!$E$14="YES",IF(A81&lt;Calculator!$G$14,0,MIN(MIN(MOD(A81/Calculator!$F$14,1),1-MOD(A81/Calculator!$F$14,1)),ABS(MOD(A81/Calculator!$F$14,1)-0.5))),1)</f>
        <v>0.132210526315789</v>
      </c>
      <c r="F81" s="136" t="n">
        <f aca="false">IF(Calculator!$E$15="YES",IF(A81&lt;Calculator!$G$15,0,MIN(MIN(MOD(A81/Calculator!$F$15,1),1-MOD(A81/Calculator!$F$15,1)),ABS(MOD(A81/Calculator!$F$15,1)-0.5))),1)</f>
        <v>0.104736842105263</v>
      </c>
      <c r="G81" s="136" t="n">
        <f aca="false">IF(Calculator!$E$16="YES",IF(A81&lt;Calculator!$G$16,0,MIN(MIN(MOD(A81/Calculator!$F$16,1),1-MOD(A81/Calculator!$F$16,1)),ABS(MOD(A81/Calculator!$F$16,1)-0.5))),1)</f>
        <v>0.246631578947368</v>
      </c>
      <c r="H81" s="136" t="n">
        <f aca="false">IF(Calculator!$E$17="YES",IF(A81&lt;Calculator!$G$17,0,MIN(MIN(MOD(A81/Calculator!$F$17,1),1-MOD(A81/Calculator!$F$17,1)),ABS(MOD(A81/Calculator!$F$17,1)-0.5))),1)</f>
        <v>0.102012631578948</v>
      </c>
      <c r="I81" s="136" t="n">
        <f aca="false">IF(Calculator!$E$18="YES",IF(A81&lt;Calculator!$G$18,0,MIN(MIN(MOD(A81/Calculator!$F$18,1),1-MOD(A81/Calculator!$F$18,1)),ABS(MOD(A81/Calculator!$F$18,1)-0.5))),1)</f>
        <v>0.123263157894737</v>
      </c>
      <c r="J81" s="136" t="n">
        <f aca="false">IF(Calculator!$E$19="YES",IF(A81&lt;Calculator!$G$19,0,MIN(MIN(MOD(A81/Calculator!$F$19,1),1-MOD(A81/Calculator!$F$19,1)),ABS(MOD(A81/Calculator!$F$19,1)-0.5))),1)</f>
        <v>0.205221052631579</v>
      </c>
      <c r="K81" s="136" t="n">
        <f aca="false">IF(Calculator!$E$20="YES",IF(A81&lt;Calculator!$G$20,0,MIN(MIN(MOD(A81/Calculator!$F$20,1),1-MOD(A81/Calculator!$F$20,1)),ABS(MOD(A81/Calculator!$F$20,1)-0.5))),1)</f>
        <v>0.0509473684210526</v>
      </c>
      <c r="L81" s="136" t="n">
        <f aca="false">IF(Calculator!$E$21="YES",IF(A81&lt;Calculator!$G$21,0,MIN(MIN(MOD(A81/Calculator!$F$21,1),1-MOD(A81/Calculator!$F$21,1)),ABS(MOD(A81/Calculator!$F$21,1)-0.5))),1)</f>
        <v>0.0978947368421048</v>
      </c>
      <c r="M81" s="136" t="n">
        <f aca="false">MIN(B81:L81)</f>
        <v>0</v>
      </c>
      <c r="N81" s="136" t="n">
        <f aca="false">SUMPRODUCT(($M$5:$M$555&gt;M81)*1)+SUMPRODUCT(($M$5:$M$555=M81)*(ROW($M$5:$M$555)&lt;ROW(M81)))+1</f>
        <v>302</v>
      </c>
      <c r="O81" s="136" t="str">
        <f aca="false">IF(M81&gt;=0.2,"★★★ EXCELLENT",IF(M81&gt;=0.12,"★★  GOOD",IF(M81&gt;=0.07,"★  FAIR",IF(M81&gt;=0.025,"⚠  MARGINAL","✗  AVOID"))))</f>
        <v>✗  AVOID</v>
      </c>
    </row>
    <row r="82" customFormat="false" ht="15" hidden="false" customHeight="false" outlineLevel="0" collapsed="false">
      <c r="A82" s="137" t="n">
        <v>12.7</v>
      </c>
      <c r="B82" s="138" t="n">
        <f aca="false">IF(Calculator!$E$11="YES",IF(A82&lt;Calculator!$G$11,0,MIN(MIN(MOD(A82/Calculator!$F$11,1),1-MOD(A82/Calculator!$F$11,1)),ABS(MOD(A82/Calculator!$F$11,1)-0.5))),1)</f>
        <v>0</v>
      </c>
      <c r="C82" s="138" t="n">
        <f aca="false">IF(Calculator!$E$12="YES",IF(A82&lt;Calculator!$G$12,0,MIN(MIN(MOD(A82/Calculator!$F$12,1),1-MOD(A82/Calculator!$F$12,1)),ABS(MOD(A82/Calculator!$F$12,1)-0.5))),1)</f>
        <v>0</v>
      </c>
      <c r="D82" s="138" t="n">
        <f aca="false">IF(Calculator!$E$13="YES",IF(A82&lt;Calculator!$G$13,0,MIN(MIN(MOD(A82/Calculator!$F$13,1),1-MOD(A82/Calculator!$F$13,1)),ABS(MOD(A82/Calculator!$F$13,1)-0.5))),1)</f>
        <v>0</v>
      </c>
      <c r="E82" s="138" t="n">
        <f aca="false">IF(Calculator!$E$14="YES",IF(A82&lt;Calculator!$G$14,0,MIN(MIN(MOD(A82/Calculator!$F$14,1),1-MOD(A82/Calculator!$F$14,1)),ABS(MOD(A82/Calculator!$F$14,1)-0.5))),1)</f>
        <v>0.137228070175439</v>
      </c>
      <c r="F82" s="138" t="n">
        <f aca="false">IF(Calculator!$E$15="YES",IF(A82&lt;Calculator!$G$15,0,MIN(MIN(MOD(A82/Calculator!$F$15,1),1-MOD(A82/Calculator!$F$15,1)),ABS(MOD(A82/Calculator!$F$15,1)-0.5))),1)</f>
        <v>0.0976315789473685</v>
      </c>
      <c r="G82" s="138" t="n">
        <f aca="false">IF(Calculator!$E$16="YES",IF(A82&lt;Calculator!$G$16,0,MIN(MIN(MOD(A82/Calculator!$F$16,1),1-MOD(A82/Calculator!$F$16,1)),ABS(MOD(A82/Calculator!$F$16,1)-0.5))),1)</f>
        <v>0.236684210526316</v>
      </c>
      <c r="H82" s="138" t="n">
        <f aca="false">IF(Calculator!$E$17="YES",IF(A82&lt;Calculator!$G$17,0,MIN(MIN(MOD(A82/Calculator!$F$17,1),1-MOD(A82/Calculator!$F$17,1)),ABS(MOD(A82/Calculator!$F$17,1)-0.5))),1)</f>
        <v>0.11472701754386</v>
      </c>
      <c r="I82" s="138" t="n">
        <f aca="false">IF(Calculator!$E$18="YES",IF(A82&lt;Calculator!$G$18,0,MIN(MIN(MOD(A82/Calculator!$F$18,1),1-MOD(A82/Calculator!$F$18,1)),ABS(MOD(A82/Calculator!$F$18,1)-0.5))),1)</f>
        <v>0.108368421052632</v>
      </c>
      <c r="J82" s="138" t="n">
        <f aca="false">IF(Calculator!$E$19="YES",IF(A82&lt;Calculator!$G$19,0,MIN(MIN(MOD(A82/Calculator!$F$19,1),1-MOD(A82/Calculator!$F$19,1)),ABS(MOD(A82/Calculator!$F$19,1)-0.5))),1)</f>
        <v>0.222722807017544</v>
      </c>
      <c r="K82" s="138" t="n">
        <f aca="false">IF(Calculator!$E$20="YES",IF(A82&lt;Calculator!$G$20,0,MIN(MIN(MOD(A82/Calculator!$F$20,1),1-MOD(A82/Calculator!$F$20,1)),ABS(MOD(A82/Calculator!$F$20,1)-0.5))),1)</f>
        <v>0.0711929824561404</v>
      </c>
      <c r="L82" s="138" t="n">
        <f aca="false">IF(Calculator!$E$21="YES",IF(A82&lt;Calculator!$G$21,0,MIN(MIN(MOD(A82/Calculator!$F$21,1),1-MOD(A82/Calculator!$F$21,1)),ABS(MOD(A82/Calculator!$F$21,1)-0.5))),1)</f>
        <v>0.134385964912281</v>
      </c>
      <c r="M82" s="138" t="n">
        <f aca="false">MIN(B82:L82)</f>
        <v>0</v>
      </c>
      <c r="N82" s="138" t="n">
        <f aca="false">SUMPRODUCT(($M$5:$M$555&gt;M82)*1)+SUMPRODUCT(($M$5:$M$555=M82)*(ROW($M$5:$M$555)&lt;ROW(M82)))+1</f>
        <v>303</v>
      </c>
      <c r="O82" s="138" t="str">
        <f aca="false">IF(M82&gt;=0.2,"★★★ EXCELLENT",IF(M82&gt;=0.12,"★★  GOOD",IF(M82&gt;=0.07,"★  FAIR",IF(M82&gt;=0.025,"⚠  MARGINAL","✗  AVOID"))))</f>
        <v>✗  AVOID</v>
      </c>
    </row>
    <row r="83" customFormat="false" ht="15" hidden="false" customHeight="false" outlineLevel="0" collapsed="false">
      <c r="A83" s="135" t="n">
        <v>12.8</v>
      </c>
      <c r="B83" s="136" t="n">
        <f aca="false">IF(Calculator!$E$11="YES",IF(A83&lt;Calculator!$G$11,0,MIN(MIN(MOD(A83/Calculator!$F$11,1),1-MOD(A83/Calculator!$F$11,1)),ABS(MOD(A83/Calculator!$F$11,1)-0.5))),1)</f>
        <v>0</v>
      </c>
      <c r="C83" s="136" t="n">
        <f aca="false">IF(Calculator!$E$12="YES",IF(A83&lt;Calculator!$G$12,0,MIN(MIN(MOD(A83/Calculator!$F$12,1),1-MOD(A83/Calculator!$F$12,1)),ABS(MOD(A83/Calculator!$F$12,1)-0.5))),1)</f>
        <v>0</v>
      </c>
      <c r="D83" s="136" t="n">
        <f aca="false">IF(Calculator!$E$13="YES",IF(A83&lt;Calculator!$G$13,0,MIN(MIN(MOD(A83/Calculator!$F$13,1),1-MOD(A83/Calculator!$F$13,1)),ABS(MOD(A83/Calculator!$F$13,1)-0.5))),1)</f>
        <v>0</v>
      </c>
      <c r="E83" s="136" t="n">
        <f aca="false">IF(Calculator!$E$14="YES",IF(A83&lt;Calculator!$G$14,0,MIN(MIN(MOD(A83/Calculator!$F$14,1),1-MOD(A83/Calculator!$F$14,1)),ABS(MOD(A83/Calculator!$F$14,1)-0.5))),1)</f>
        <v>0.142245614035088</v>
      </c>
      <c r="F83" s="136" t="n">
        <f aca="false">IF(Calculator!$E$15="YES",IF(A83&lt;Calculator!$G$15,0,MIN(MIN(MOD(A83/Calculator!$F$15,1),1-MOD(A83/Calculator!$F$15,1)),ABS(MOD(A83/Calculator!$F$15,1)-0.5))),1)</f>
        <v>0.0905263157894737</v>
      </c>
      <c r="G83" s="136" t="n">
        <f aca="false">IF(Calculator!$E$16="YES",IF(A83&lt;Calculator!$G$16,0,MIN(MIN(MOD(A83/Calculator!$F$16,1),1-MOD(A83/Calculator!$F$16,1)),ABS(MOD(A83/Calculator!$F$16,1)-0.5))),1)</f>
        <v>0.226736842105263</v>
      </c>
      <c r="H83" s="136" t="n">
        <f aca="false">IF(Calculator!$E$17="YES",IF(A83&lt;Calculator!$G$17,0,MIN(MIN(MOD(A83/Calculator!$F$17,1),1-MOD(A83/Calculator!$F$17,1)),ABS(MOD(A83/Calculator!$F$17,1)-0.5))),1)</f>
        <v>0.127441403508772</v>
      </c>
      <c r="I83" s="136" t="n">
        <f aca="false">IF(Calculator!$E$18="YES",IF(A83&lt;Calculator!$G$18,0,MIN(MIN(MOD(A83/Calculator!$F$18,1),1-MOD(A83/Calculator!$F$18,1)),ABS(MOD(A83/Calculator!$F$18,1)-0.5))),1)</f>
        <v>0.0934736842105262</v>
      </c>
      <c r="J83" s="136" t="n">
        <f aca="false">IF(Calculator!$E$19="YES",IF(A83&lt;Calculator!$G$19,0,MIN(MIN(MOD(A83/Calculator!$F$19,1),1-MOD(A83/Calculator!$F$19,1)),ABS(MOD(A83/Calculator!$F$19,1)-0.5))),1)</f>
        <v>0.240224561403509</v>
      </c>
      <c r="K83" s="136" t="n">
        <f aca="false">IF(Calculator!$E$20="YES",IF(A83&lt;Calculator!$G$20,0,MIN(MIN(MOD(A83/Calculator!$F$20,1),1-MOD(A83/Calculator!$F$20,1)),ABS(MOD(A83/Calculator!$F$20,1)-0.5))),1)</f>
        <v>0.0914385964912281</v>
      </c>
      <c r="L83" s="136" t="n">
        <f aca="false">IF(Calculator!$E$21="YES",IF(A83&lt;Calculator!$G$21,0,MIN(MIN(MOD(A83/Calculator!$F$21,1),1-MOD(A83/Calculator!$F$21,1)),ABS(MOD(A83/Calculator!$F$21,1)-0.5))),1)</f>
        <v>0.170877192982457</v>
      </c>
      <c r="M83" s="136" t="n">
        <f aca="false">MIN(B83:L83)</f>
        <v>0</v>
      </c>
      <c r="N83" s="136" t="n">
        <f aca="false">SUMPRODUCT(($M$5:$M$555&gt;M83)*1)+SUMPRODUCT(($M$5:$M$555=M83)*(ROW($M$5:$M$555)&lt;ROW(M83)))+1</f>
        <v>304</v>
      </c>
      <c r="O83" s="136" t="str">
        <f aca="false">IF(M83&gt;=0.2,"★★★ EXCELLENT",IF(M83&gt;=0.12,"★★  GOOD",IF(M83&gt;=0.07,"★  FAIR",IF(M83&gt;=0.025,"⚠  MARGINAL","✗  AVOID"))))</f>
        <v>✗  AVOID</v>
      </c>
    </row>
    <row r="84" customFormat="false" ht="15" hidden="false" customHeight="false" outlineLevel="0" collapsed="false">
      <c r="A84" s="137" t="n">
        <v>12.9</v>
      </c>
      <c r="B84" s="138" t="n">
        <f aca="false">IF(Calculator!$E$11="YES",IF(A84&lt;Calculator!$G$11,0,MIN(MIN(MOD(A84/Calculator!$F$11,1),1-MOD(A84/Calculator!$F$11,1)),ABS(MOD(A84/Calculator!$F$11,1)-0.5))),1)</f>
        <v>0</v>
      </c>
      <c r="C84" s="138" t="n">
        <f aca="false">IF(Calculator!$E$12="YES",IF(A84&lt;Calculator!$G$12,0,MIN(MIN(MOD(A84/Calculator!$F$12,1),1-MOD(A84/Calculator!$F$12,1)),ABS(MOD(A84/Calculator!$F$12,1)-0.5))),1)</f>
        <v>0</v>
      </c>
      <c r="D84" s="138" t="n">
        <f aca="false">IF(Calculator!$E$13="YES",IF(A84&lt;Calculator!$G$13,0,MIN(MIN(MOD(A84/Calculator!$F$13,1),1-MOD(A84/Calculator!$F$13,1)),ABS(MOD(A84/Calculator!$F$13,1)-0.5))),1)</f>
        <v>0</v>
      </c>
      <c r="E84" s="138" t="n">
        <f aca="false">IF(Calculator!$E$14="YES",IF(A84&lt;Calculator!$G$14,0,MIN(MIN(MOD(A84/Calculator!$F$14,1),1-MOD(A84/Calculator!$F$14,1)),ABS(MOD(A84/Calculator!$F$14,1)-0.5))),1)</f>
        <v>0.147263157894737</v>
      </c>
      <c r="F84" s="138" t="n">
        <f aca="false">IF(Calculator!$E$15="YES",IF(A84&lt;Calculator!$G$15,0,MIN(MIN(MOD(A84/Calculator!$F$15,1),1-MOD(A84/Calculator!$F$15,1)),ABS(MOD(A84/Calculator!$F$15,1)-0.5))),1)</f>
        <v>0.083421052631579</v>
      </c>
      <c r="G84" s="138" t="n">
        <f aca="false">IF(Calculator!$E$16="YES",IF(A84&lt;Calculator!$G$16,0,MIN(MIN(MOD(A84/Calculator!$F$16,1),1-MOD(A84/Calculator!$F$16,1)),ABS(MOD(A84/Calculator!$F$16,1)-0.5))),1)</f>
        <v>0.21678947368421</v>
      </c>
      <c r="H84" s="138" t="n">
        <f aca="false">IF(Calculator!$E$17="YES",IF(A84&lt;Calculator!$G$17,0,MIN(MIN(MOD(A84/Calculator!$F$17,1),1-MOD(A84/Calculator!$F$17,1)),ABS(MOD(A84/Calculator!$F$17,1)-0.5))),1)</f>
        <v>0.140155789473684</v>
      </c>
      <c r="I84" s="138" t="n">
        <f aca="false">IF(Calculator!$E$18="YES",IF(A84&lt;Calculator!$G$18,0,MIN(MIN(MOD(A84/Calculator!$F$18,1),1-MOD(A84/Calculator!$F$18,1)),ABS(MOD(A84/Calculator!$F$18,1)-0.5))),1)</f>
        <v>0.0785789473684209</v>
      </c>
      <c r="J84" s="138" t="n">
        <f aca="false">IF(Calculator!$E$19="YES",IF(A84&lt;Calculator!$G$19,0,MIN(MIN(MOD(A84/Calculator!$F$19,1),1-MOD(A84/Calculator!$F$19,1)),ABS(MOD(A84/Calculator!$F$19,1)-0.5))),1)</f>
        <v>0.242273684210526</v>
      </c>
      <c r="K84" s="138" t="n">
        <f aca="false">IF(Calculator!$E$20="YES",IF(A84&lt;Calculator!$G$20,0,MIN(MIN(MOD(A84/Calculator!$F$20,1),1-MOD(A84/Calculator!$F$20,1)),ABS(MOD(A84/Calculator!$F$20,1)-0.5))),1)</f>
        <v>0.111684210526316</v>
      </c>
      <c r="L84" s="138" t="n">
        <f aca="false">IF(Calculator!$E$21="YES",IF(A84&lt;Calculator!$G$21,0,MIN(MIN(MOD(A84/Calculator!$F$21,1),1-MOD(A84/Calculator!$F$21,1)),ABS(MOD(A84/Calculator!$F$21,1)-0.5))),1)</f>
        <v>0.207368421052632</v>
      </c>
      <c r="M84" s="138" t="n">
        <f aca="false">MIN(B84:L84)</f>
        <v>0</v>
      </c>
      <c r="N84" s="138" t="n">
        <f aca="false">SUMPRODUCT(($M$5:$M$555&gt;M84)*1)+SUMPRODUCT(($M$5:$M$555=M84)*(ROW($M$5:$M$555)&lt;ROW(M84)))+1</f>
        <v>305</v>
      </c>
      <c r="O84" s="138" t="str">
        <f aca="false">IF(M84&gt;=0.2,"★★★ EXCELLENT",IF(M84&gt;=0.12,"★★  GOOD",IF(M84&gt;=0.07,"★  FAIR",IF(M84&gt;=0.025,"⚠  MARGINAL","✗  AVOID"))))</f>
        <v>✗  AVOID</v>
      </c>
    </row>
    <row r="85" customFormat="false" ht="15" hidden="false" customHeight="false" outlineLevel="0" collapsed="false">
      <c r="A85" s="135" t="n">
        <v>13</v>
      </c>
      <c r="B85" s="136" t="n">
        <f aca="false">IF(Calculator!$E$11="YES",IF(A85&lt;Calculator!$G$11,0,MIN(MIN(MOD(A85/Calculator!$F$11,1),1-MOD(A85/Calculator!$F$11,1)),ABS(MOD(A85/Calculator!$F$11,1)-0.5))),1)</f>
        <v>0</v>
      </c>
      <c r="C85" s="136" t="n">
        <f aca="false">IF(Calculator!$E$12="YES",IF(A85&lt;Calculator!$G$12,0,MIN(MIN(MOD(A85/Calculator!$F$12,1),1-MOD(A85/Calculator!$F$12,1)),ABS(MOD(A85/Calculator!$F$12,1)-0.5))),1)</f>
        <v>0</v>
      </c>
      <c r="D85" s="136" t="n">
        <f aca="false">IF(Calculator!$E$13="YES",IF(A85&lt;Calculator!$G$13,0,MIN(MIN(MOD(A85/Calculator!$F$13,1),1-MOD(A85/Calculator!$F$13,1)),ABS(MOD(A85/Calculator!$F$13,1)-0.5))),1)</f>
        <v>0</v>
      </c>
      <c r="E85" s="136" t="n">
        <f aca="false">IF(Calculator!$E$14="YES",IF(A85&lt;Calculator!$G$14,0,MIN(MIN(MOD(A85/Calculator!$F$14,1),1-MOD(A85/Calculator!$F$14,1)),ABS(MOD(A85/Calculator!$F$14,1)-0.5))),1)</f>
        <v>0.152280701754386</v>
      </c>
      <c r="F85" s="136" t="n">
        <f aca="false">IF(Calculator!$E$15="YES",IF(A85&lt;Calculator!$G$15,0,MIN(MIN(MOD(A85/Calculator!$F$15,1),1-MOD(A85/Calculator!$F$15,1)),ABS(MOD(A85/Calculator!$F$15,1)-0.5))),1)</f>
        <v>0.0763157894736842</v>
      </c>
      <c r="G85" s="136" t="n">
        <f aca="false">IF(Calculator!$E$16="YES",IF(A85&lt;Calculator!$G$16,0,MIN(MIN(MOD(A85/Calculator!$F$16,1),1-MOD(A85/Calculator!$F$16,1)),ABS(MOD(A85/Calculator!$F$16,1)-0.5))),1)</f>
        <v>0.206842105263158</v>
      </c>
      <c r="H85" s="136" t="n">
        <f aca="false">IF(Calculator!$E$17="YES",IF(A85&lt;Calculator!$G$17,0,MIN(MIN(MOD(A85/Calculator!$F$17,1),1-MOD(A85/Calculator!$F$17,1)),ABS(MOD(A85/Calculator!$F$17,1)-0.5))),1)</f>
        <v>0.152870175438597</v>
      </c>
      <c r="I85" s="136" t="n">
        <f aca="false">IF(Calculator!$E$18="YES",IF(A85&lt;Calculator!$G$18,0,MIN(MIN(MOD(A85/Calculator!$F$18,1),1-MOD(A85/Calculator!$F$18,1)),ABS(MOD(A85/Calculator!$F$18,1)-0.5))),1)</f>
        <v>0.0636842105263158</v>
      </c>
      <c r="J85" s="136" t="n">
        <f aca="false">IF(Calculator!$E$19="YES",IF(A85&lt;Calculator!$G$19,0,MIN(MIN(MOD(A85/Calculator!$F$19,1),1-MOD(A85/Calculator!$F$19,1)),ABS(MOD(A85/Calculator!$F$19,1)-0.5))),1)</f>
        <v>0.224771929824562</v>
      </c>
      <c r="K85" s="136" t="n">
        <f aca="false">IF(Calculator!$E$20="YES",IF(A85&lt;Calculator!$G$20,0,MIN(MIN(MOD(A85/Calculator!$F$20,1),1-MOD(A85/Calculator!$F$20,1)),ABS(MOD(A85/Calculator!$F$20,1)-0.5))),1)</f>
        <v>0.131929824561404</v>
      </c>
      <c r="L85" s="136" t="n">
        <f aca="false">IF(Calculator!$E$21="YES",IF(A85&lt;Calculator!$G$21,0,MIN(MIN(MOD(A85/Calculator!$F$21,1),1-MOD(A85/Calculator!$F$21,1)),ABS(MOD(A85/Calculator!$F$21,1)-0.5))),1)</f>
        <v>0.243859649122807</v>
      </c>
      <c r="M85" s="136" t="n">
        <f aca="false">MIN(B85:L85)</f>
        <v>0</v>
      </c>
      <c r="N85" s="136" t="n">
        <f aca="false">SUMPRODUCT(($M$5:$M$555&gt;M85)*1)+SUMPRODUCT(($M$5:$M$555=M85)*(ROW($M$5:$M$555)&lt;ROW(M85)))+1</f>
        <v>306</v>
      </c>
      <c r="O85" s="136" t="str">
        <f aca="false">IF(M85&gt;=0.2,"★★★ EXCELLENT",IF(M85&gt;=0.12,"★★  GOOD",IF(M85&gt;=0.07,"★  FAIR",IF(M85&gt;=0.025,"⚠  MARGINAL","✗  AVOID"))))</f>
        <v>✗  AVOID</v>
      </c>
    </row>
    <row r="86" customFormat="false" ht="15" hidden="false" customHeight="false" outlineLevel="0" collapsed="false">
      <c r="A86" s="137" t="n">
        <v>13.1</v>
      </c>
      <c r="B86" s="138" t="n">
        <f aca="false">IF(Calculator!$E$11="YES",IF(A86&lt;Calculator!$G$11,0,MIN(MIN(MOD(A86/Calculator!$F$11,1),1-MOD(A86/Calculator!$F$11,1)),ABS(MOD(A86/Calculator!$F$11,1)-0.5))),1)</f>
        <v>0</v>
      </c>
      <c r="C86" s="138" t="n">
        <f aca="false">IF(Calculator!$E$12="YES",IF(A86&lt;Calculator!$G$12,0,MIN(MIN(MOD(A86/Calculator!$F$12,1),1-MOD(A86/Calculator!$F$12,1)),ABS(MOD(A86/Calculator!$F$12,1)-0.5))),1)</f>
        <v>0</v>
      </c>
      <c r="D86" s="138" t="n">
        <f aca="false">IF(Calculator!$E$13="YES",IF(A86&lt;Calculator!$G$13,0,MIN(MIN(MOD(A86/Calculator!$F$13,1),1-MOD(A86/Calculator!$F$13,1)),ABS(MOD(A86/Calculator!$F$13,1)-0.5))),1)</f>
        <v>0</v>
      </c>
      <c r="E86" s="138" t="n">
        <f aca="false">IF(Calculator!$E$14="YES",IF(A86&lt;Calculator!$G$14,0,MIN(MIN(MOD(A86/Calculator!$F$14,1),1-MOD(A86/Calculator!$F$14,1)),ABS(MOD(A86/Calculator!$F$14,1)-0.5))),1)</f>
        <v>0.157298245614035</v>
      </c>
      <c r="F86" s="138" t="n">
        <f aca="false">IF(Calculator!$E$15="YES",IF(A86&lt;Calculator!$G$15,0,MIN(MIN(MOD(A86/Calculator!$F$15,1),1-MOD(A86/Calculator!$F$15,1)),ABS(MOD(A86/Calculator!$F$15,1)-0.5))),1)</f>
        <v>0.0692105263157895</v>
      </c>
      <c r="G86" s="138" t="n">
        <f aca="false">IF(Calculator!$E$16="YES",IF(A86&lt;Calculator!$G$16,0,MIN(MIN(MOD(A86/Calculator!$F$16,1),1-MOD(A86/Calculator!$F$16,1)),ABS(MOD(A86/Calculator!$F$16,1)-0.5))),1)</f>
        <v>0.196894736842105</v>
      </c>
      <c r="H86" s="138" t="n">
        <f aca="false">IF(Calculator!$E$17="YES",IF(A86&lt;Calculator!$G$17,0,MIN(MIN(MOD(A86/Calculator!$F$17,1),1-MOD(A86/Calculator!$F$17,1)),ABS(MOD(A86/Calculator!$F$17,1)-0.5))),1)</f>
        <v>0.165584561403509</v>
      </c>
      <c r="I86" s="138" t="n">
        <f aca="false">IF(Calculator!$E$18="YES",IF(A86&lt;Calculator!$G$18,0,MIN(MIN(MOD(A86/Calculator!$F$18,1),1-MOD(A86/Calculator!$F$18,1)),ABS(MOD(A86/Calculator!$F$18,1)-0.5))),1)</f>
        <v>0.0487894736842105</v>
      </c>
      <c r="J86" s="138" t="n">
        <f aca="false">IF(Calculator!$E$19="YES",IF(A86&lt;Calculator!$G$19,0,MIN(MIN(MOD(A86/Calculator!$F$19,1),1-MOD(A86/Calculator!$F$19,1)),ABS(MOD(A86/Calculator!$F$19,1)-0.5))),1)</f>
        <v>0.207270175438597</v>
      </c>
      <c r="K86" s="138" t="n">
        <f aca="false">IF(Calculator!$E$20="YES",IF(A86&lt;Calculator!$G$20,0,MIN(MIN(MOD(A86/Calculator!$F$20,1),1-MOD(A86/Calculator!$F$20,1)),ABS(MOD(A86/Calculator!$F$20,1)-0.5))),1)</f>
        <v>0.152175438596491</v>
      </c>
      <c r="L86" s="138" t="n">
        <f aca="false">IF(Calculator!$E$21="YES",IF(A86&lt;Calculator!$G$21,0,MIN(MIN(MOD(A86/Calculator!$F$21,1),1-MOD(A86/Calculator!$F$21,1)),ABS(MOD(A86/Calculator!$F$21,1)-0.5))),1)</f>
        <v>0.219649122807017</v>
      </c>
      <c r="M86" s="138" t="n">
        <f aca="false">MIN(B86:L86)</f>
        <v>0</v>
      </c>
      <c r="N86" s="138" t="n">
        <f aca="false">SUMPRODUCT(($M$5:$M$555&gt;M86)*1)+SUMPRODUCT(($M$5:$M$555=M86)*(ROW($M$5:$M$555)&lt;ROW(M86)))+1</f>
        <v>307</v>
      </c>
      <c r="O86" s="138" t="str">
        <f aca="false">IF(M86&gt;=0.2,"★★★ EXCELLENT",IF(M86&gt;=0.12,"★★  GOOD",IF(M86&gt;=0.07,"★  FAIR",IF(M86&gt;=0.025,"⚠  MARGINAL","✗  AVOID"))))</f>
        <v>✗  AVOID</v>
      </c>
    </row>
    <row r="87" customFormat="false" ht="15" hidden="false" customHeight="false" outlineLevel="0" collapsed="false">
      <c r="A87" s="135" t="n">
        <v>13.2</v>
      </c>
      <c r="B87" s="136" t="n">
        <f aca="false">IF(Calculator!$E$11="YES",IF(A87&lt;Calculator!$G$11,0,MIN(MIN(MOD(A87/Calculator!$F$11,1),1-MOD(A87/Calculator!$F$11,1)),ABS(MOD(A87/Calculator!$F$11,1)-0.5))),1)</f>
        <v>0</v>
      </c>
      <c r="C87" s="136" t="n">
        <f aca="false">IF(Calculator!$E$12="YES",IF(A87&lt;Calculator!$G$12,0,MIN(MIN(MOD(A87/Calculator!$F$12,1),1-MOD(A87/Calculator!$F$12,1)),ABS(MOD(A87/Calculator!$F$12,1)-0.5))),1)</f>
        <v>0</v>
      </c>
      <c r="D87" s="136" t="n">
        <f aca="false">IF(Calculator!$E$13="YES",IF(A87&lt;Calculator!$G$13,0,MIN(MIN(MOD(A87/Calculator!$F$13,1),1-MOD(A87/Calculator!$F$13,1)),ABS(MOD(A87/Calculator!$F$13,1)-0.5))),1)</f>
        <v>0</v>
      </c>
      <c r="E87" s="136" t="n">
        <f aca="false">IF(Calculator!$E$14="YES",IF(A87&lt;Calculator!$G$14,0,MIN(MIN(MOD(A87/Calculator!$F$14,1),1-MOD(A87/Calculator!$F$14,1)),ABS(MOD(A87/Calculator!$F$14,1)-0.5))),1)</f>
        <v>0.162315789473684</v>
      </c>
      <c r="F87" s="136" t="n">
        <f aca="false">IF(Calculator!$E$15="YES",IF(A87&lt;Calculator!$G$15,0,MIN(MIN(MOD(A87/Calculator!$F$15,1),1-MOD(A87/Calculator!$F$15,1)),ABS(MOD(A87/Calculator!$F$15,1)-0.5))),1)</f>
        <v>0.0621052631578948</v>
      </c>
      <c r="G87" s="136" t="n">
        <f aca="false">IF(Calculator!$E$16="YES",IF(A87&lt;Calculator!$G$16,0,MIN(MIN(MOD(A87/Calculator!$F$16,1),1-MOD(A87/Calculator!$F$16,1)),ABS(MOD(A87/Calculator!$F$16,1)-0.5))),1)</f>
        <v>0.186947368421053</v>
      </c>
      <c r="H87" s="136" t="n">
        <f aca="false">IF(Calculator!$E$17="YES",IF(A87&lt;Calculator!$G$17,0,MIN(MIN(MOD(A87/Calculator!$F$17,1),1-MOD(A87/Calculator!$F$17,1)),ABS(MOD(A87/Calculator!$F$17,1)-0.5))),1)</f>
        <v>0.178298947368421</v>
      </c>
      <c r="I87" s="136" t="n">
        <f aca="false">IF(Calculator!$E$18="YES",IF(A87&lt;Calculator!$G$18,0,MIN(MIN(MOD(A87/Calculator!$F$18,1),1-MOD(A87/Calculator!$F$18,1)),ABS(MOD(A87/Calculator!$F$18,1)-0.5))),1)</f>
        <v>0.0338947368421052</v>
      </c>
      <c r="J87" s="136" t="n">
        <f aca="false">IF(Calculator!$E$19="YES",IF(A87&lt;Calculator!$G$19,0,MIN(MIN(MOD(A87/Calculator!$F$19,1),1-MOD(A87/Calculator!$F$19,1)),ABS(MOD(A87/Calculator!$F$19,1)-0.5))),1)</f>
        <v>0.189768421052632</v>
      </c>
      <c r="K87" s="136" t="n">
        <f aca="false">IF(Calculator!$E$20="YES",IF(A87&lt;Calculator!$G$20,0,MIN(MIN(MOD(A87/Calculator!$F$20,1),1-MOD(A87/Calculator!$F$20,1)),ABS(MOD(A87/Calculator!$F$20,1)-0.5))),1)</f>
        <v>0.172421052631579</v>
      </c>
      <c r="L87" s="136" t="n">
        <f aca="false">IF(Calculator!$E$21="YES",IF(A87&lt;Calculator!$G$21,0,MIN(MIN(MOD(A87/Calculator!$F$21,1),1-MOD(A87/Calculator!$F$21,1)),ABS(MOD(A87/Calculator!$F$21,1)-0.5))),1)</f>
        <v>0.183157894736842</v>
      </c>
      <c r="M87" s="136" t="n">
        <f aca="false">MIN(B87:L87)</f>
        <v>0</v>
      </c>
      <c r="N87" s="136" t="n">
        <f aca="false">SUMPRODUCT(($M$5:$M$555&gt;M87)*1)+SUMPRODUCT(($M$5:$M$555=M87)*(ROW($M$5:$M$555)&lt;ROW(M87)))+1</f>
        <v>308</v>
      </c>
      <c r="O87" s="136" t="str">
        <f aca="false">IF(M87&gt;=0.2,"★★★ EXCELLENT",IF(M87&gt;=0.12,"★★  GOOD",IF(M87&gt;=0.07,"★  FAIR",IF(M87&gt;=0.025,"⚠  MARGINAL","✗  AVOID"))))</f>
        <v>✗  AVOID</v>
      </c>
    </row>
    <row r="88" customFormat="false" ht="15" hidden="false" customHeight="false" outlineLevel="0" collapsed="false">
      <c r="A88" s="137" t="n">
        <v>13.3</v>
      </c>
      <c r="B88" s="138" t="n">
        <f aca="false">IF(Calculator!$E$11="YES",IF(A88&lt;Calculator!$G$11,0,MIN(MIN(MOD(A88/Calculator!$F$11,1),1-MOD(A88/Calculator!$F$11,1)),ABS(MOD(A88/Calculator!$F$11,1)-0.5))),1)</f>
        <v>0</v>
      </c>
      <c r="C88" s="138" t="n">
        <f aca="false">IF(Calculator!$E$12="YES",IF(A88&lt;Calculator!$G$12,0,MIN(MIN(MOD(A88/Calculator!$F$12,1),1-MOD(A88/Calculator!$F$12,1)),ABS(MOD(A88/Calculator!$F$12,1)-0.5))),1)</f>
        <v>0</v>
      </c>
      <c r="D88" s="138" t="n">
        <f aca="false">IF(Calculator!$E$13="YES",IF(A88&lt;Calculator!$G$13,0,MIN(MIN(MOD(A88/Calculator!$F$13,1),1-MOD(A88/Calculator!$F$13,1)),ABS(MOD(A88/Calculator!$F$13,1)-0.5))),1)</f>
        <v>0.000173333333333359</v>
      </c>
      <c r="E88" s="138" t="n">
        <f aca="false">IF(Calculator!$E$14="YES",IF(A88&lt;Calculator!$G$14,0,MIN(MIN(MOD(A88/Calculator!$F$14,1),1-MOD(A88/Calculator!$F$14,1)),ABS(MOD(A88/Calculator!$F$14,1)-0.5))),1)</f>
        <v>0.167333333333333</v>
      </c>
      <c r="F88" s="138" t="n">
        <f aca="false">IF(Calculator!$E$15="YES",IF(A88&lt;Calculator!$G$15,0,MIN(MIN(MOD(A88/Calculator!$F$15,1),1-MOD(A88/Calculator!$F$15,1)),ABS(MOD(A88/Calculator!$F$15,1)-0.5))),1)</f>
        <v>0.0549999999999999</v>
      </c>
      <c r="G88" s="138" t="n">
        <f aca="false">IF(Calculator!$E$16="YES",IF(A88&lt;Calculator!$G$16,0,MIN(MIN(MOD(A88/Calculator!$F$16,1),1-MOD(A88/Calculator!$F$16,1)),ABS(MOD(A88/Calculator!$F$16,1)-0.5))),1)</f>
        <v>0.177</v>
      </c>
      <c r="H88" s="138" t="n">
        <f aca="false">IF(Calculator!$E$17="YES",IF(A88&lt;Calculator!$G$17,0,MIN(MIN(MOD(A88/Calculator!$F$17,1),1-MOD(A88/Calculator!$F$17,1)),ABS(MOD(A88/Calculator!$F$17,1)-0.5))),1)</f>
        <v>0.191013333333334</v>
      </c>
      <c r="I88" s="138" t="n">
        <f aca="false">IF(Calculator!$E$18="YES",IF(A88&lt;Calculator!$G$18,0,MIN(MIN(MOD(A88/Calculator!$F$18,1),1-MOD(A88/Calculator!$F$18,1)),ABS(MOD(A88/Calculator!$F$18,1)-0.5))),1)</f>
        <v>0.0189999999999999</v>
      </c>
      <c r="J88" s="138" t="n">
        <f aca="false">IF(Calculator!$E$19="YES",IF(A88&lt;Calculator!$G$19,0,MIN(MIN(MOD(A88/Calculator!$F$19,1),1-MOD(A88/Calculator!$F$19,1)),ABS(MOD(A88/Calculator!$F$19,1)-0.5))),1)</f>
        <v>0.172266666666667</v>
      </c>
      <c r="K88" s="138" t="n">
        <f aca="false">IF(Calculator!$E$20="YES",IF(A88&lt;Calculator!$G$20,0,MIN(MIN(MOD(A88/Calculator!$F$20,1),1-MOD(A88/Calculator!$F$20,1)),ABS(MOD(A88/Calculator!$F$20,1)-0.5))),1)</f>
        <v>0.192666666666667</v>
      </c>
      <c r="L88" s="138" t="n">
        <f aca="false">IF(Calculator!$E$21="YES",IF(A88&lt;Calculator!$G$21,0,MIN(MIN(MOD(A88/Calculator!$F$21,1),1-MOD(A88/Calculator!$F$21,1)),ABS(MOD(A88/Calculator!$F$21,1)-0.5))),1)</f>
        <v>0.146666666666667</v>
      </c>
      <c r="M88" s="138" t="n">
        <f aca="false">MIN(B88:L88)</f>
        <v>0</v>
      </c>
      <c r="N88" s="138" t="n">
        <f aca="false">SUMPRODUCT(($M$5:$M$555&gt;M88)*1)+SUMPRODUCT(($M$5:$M$555=M88)*(ROW($M$5:$M$555)&lt;ROW(M88)))+1</f>
        <v>309</v>
      </c>
      <c r="O88" s="138" t="str">
        <f aca="false">IF(M88&gt;=0.2,"★★★ EXCELLENT",IF(M88&gt;=0.12,"★★  GOOD",IF(M88&gt;=0.07,"★  FAIR",IF(M88&gt;=0.025,"⚠  MARGINAL","✗  AVOID"))))</f>
        <v>✗  AVOID</v>
      </c>
    </row>
    <row r="89" customFormat="false" ht="15" hidden="false" customHeight="false" outlineLevel="0" collapsed="false">
      <c r="A89" s="135" t="n">
        <v>13.4</v>
      </c>
      <c r="B89" s="136" t="n">
        <f aca="false">IF(Calculator!$E$11="YES",IF(A89&lt;Calculator!$G$11,0,MIN(MIN(MOD(A89/Calculator!$F$11,1),1-MOD(A89/Calculator!$F$11,1)),ABS(MOD(A89/Calculator!$F$11,1)-0.5))),1)</f>
        <v>0</v>
      </c>
      <c r="C89" s="136" t="n">
        <f aca="false">IF(Calculator!$E$12="YES",IF(A89&lt;Calculator!$G$12,0,MIN(MIN(MOD(A89/Calculator!$F$12,1),1-MOD(A89/Calculator!$F$12,1)),ABS(MOD(A89/Calculator!$F$12,1)-0.5))),1)</f>
        <v>0</v>
      </c>
      <c r="D89" s="136" t="n">
        <f aca="false">IF(Calculator!$E$13="YES",IF(A89&lt;Calculator!$G$13,0,MIN(MIN(MOD(A89/Calculator!$F$13,1),1-MOD(A89/Calculator!$F$13,1)),ABS(MOD(A89/Calculator!$F$13,1)-0.5))),1)</f>
        <v>0.00393403508771928</v>
      </c>
      <c r="E89" s="136" t="n">
        <f aca="false">IF(Calculator!$E$14="YES",IF(A89&lt;Calculator!$G$14,0,MIN(MIN(MOD(A89/Calculator!$F$14,1),1-MOD(A89/Calculator!$F$14,1)),ABS(MOD(A89/Calculator!$F$14,1)-0.5))),1)</f>
        <v>0.172350877192982</v>
      </c>
      <c r="F89" s="136" t="n">
        <f aca="false">IF(Calculator!$E$15="YES",IF(A89&lt;Calculator!$G$15,0,MIN(MIN(MOD(A89/Calculator!$F$15,1),1-MOD(A89/Calculator!$F$15,1)),ABS(MOD(A89/Calculator!$F$15,1)-0.5))),1)</f>
        <v>0.0478947368421052</v>
      </c>
      <c r="G89" s="136" t="n">
        <f aca="false">IF(Calculator!$E$16="YES",IF(A89&lt;Calculator!$G$16,0,MIN(MIN(MOD(A89/Calculator!$F$16,1),1-MOD(A89/Calculator!$F$16,1)),ABS(MOD(A89/Calculator!$F$16,1)-0.5))),1)</f>
        <v>0.167052631578947</v>
      </c>
      <c r="H89" s="136" t="n">
        <f aca="false">IF(Calculator!$E$17="YES",IF(A89&lt;Calculator!$G$17,0,MIN(MIN(MOD(A89/Calculator!$F$17,1),1-MOD(A89/Calculator!$F$17,1)),ABS(MOD(A89/Calculator!$F$17,1)-0.5))),1)</f>
        <v>0.203727719298246</v>
      </c>
      <c r="I89" s="136" t="n">
        <f aca="false">IF(Calculator!$E$18="YES",IF(A89&lt;Calculator!$G$18,0,MIN(MIN(MOD(A89/Calculator!$F$18,1),1-MOD(A89/Calculator!$F$18,1)),ABS(MOD(A89/Calculator!$F$18,1)-0.5))),1)</f>
        <v>0.00410526315789461</v>
      </c>
      <c r="J89" s="136" t="n">
        <f aca="false">IF(Calculator!$E$19="YES",IF(A89&lt;Calculator!$G$19,0,MIN(MIN(MOD(A89/Calculator!$F$19,1),1-MOD(A89/Calculator!$F$19,1)),ABS(MOD(A89/Calculator!$F$19,1)-0.5))),1)</f>
        <v>0.154764912280702</v>
      </c>
      <c r="K89" s="136" t="n">
        <f aca="false">IF(Calculator!$E$20="YES",IF(A89&lt;Calculator!$G$20,0,MIN(MIN(MOD(A89/Calculator!$F$20,1),1-MOD(A89/Calculator!$F$20,1)),ABS(MOD(A89/Calculator!$F$20,1)-0.5))),1)</f>
        <v>0.212912280701755</v>
      </c>
      <c r="L89" s="136" t="n">
        <f aca="false">IF(Calculator!$E$21="YES",IF(A89&lt;Calculator!$G$21,0,MIN(MIN(MOD(A89/Calculator!$F$21,1),1-MOD(A89/Calculator!$F$21,1)),ABS(MOD(A89/Calculator!$F$21,1)-0.5))),1)</f>
        <v>0.110175438596491</v>
      </c>
      <c r="M89" s="136" t="n">
        <f aca="false">MIN(B89:L89)</f>
        <v>0</v>
      </c>
      <c r="N89" s="136" t="n">
        <f aca="false">SUMPRODUCT(($M$5:$M$555&gt;M89)*1)+SUMPRODUCT(($M$5:$M$555=M89)*(ROW($M$5:$M$555)&lt;ROW(M89)))+1</f>
        <v>310</v>
      </c>
      <c r="O89" s="136" t="str">
        <f aca="false">IF(M89&gt;=0.2,"★★★ EXCELLENT",IF(M89&gt;=0.12,"★★  GOOD",IF(M89&gt;=0.07,"★  FAIR",IF(M89&gt;=0.025,"⚠  MARGINAL","✗  AVOID"))))</f>
        <v>✗  AVOID</v>
      </c>
    </row>
    <row r="90" customFormat="false" ht="15" hidden="false" customHeight="false" outlineLevel="0" collapsed="false">
      <c r="A90" s="137" t="n">
        <v>13.5</v>
      </c>
      <c r="B90" s="138" t="n">
        <f aca="false">IF(Calculator!$E$11="YES",IF(A90&lt;Calculator!$G$11,0,MIN(MIN(MOD(A90/Calculator!$F$11,1),1-MOD(A90/Calculator!$F$11,1)),ABS(MOD(A90/Calculator!$F$11,1)-0.5))),1)</f>
        <v>0</v>
      </c>
      <c r="C90" s="138" t="n">
        <f aca="false">IF(Calculator!$E$12="YES",IF(A90&lt;Calculator!$G$12,0,MIN(MIN(MOD(A90/Calculator!$F$12,1),1-MOD(A90/Calculator!$F$12,1)),ABS(MOD(A90/Calculator!$F$12,1)-0.5))),1)</f>
        <v>0</v>
      </c>
      <c r="D90" s="138" t="n">
        <f aca="false">IF(Calculator!$E$13="YES",IF(A90&lt;Calculator!$G$13,0,MIN(MIN(MOD(A90/Calculator!$F$13,1),1-MOD(A90/Calculator!$F$13,1)),ABS(MOD(A90/Calculator!$F$13,1)-0.5))),1)</f>
        <v>0.0076947368421052</v>
      </c>
      <c r="E90" s="138" t="n">
        <f aca="false">IF(Calculator!$E$14="YES",IF(A90&lt;Calculator!$G$14,0,MIN(MIN(MOD(A90/Calculator!$F$14,1),1-MOD(A90/Calculator!$F$14,1)),ABS(MOD(A90/Calculator!$F$14,1)-0.5))),1)</f>
        <v>0.177368421052632</v>
      </c>
      <c r="F90" s="138" t="n">
        <f aca="false">IF(Calculator!$E$15="YES",IF(A90&lt;Calculator!$G$15,0,MIN(MIN(MOD(A90/Calculator!$F$15,1),1-MOD(A90/Calculator!$F$15,1)),ABS(MOD(A90/Calculator!$F$15,1)-0.5))),1)</f>
        <v>0.0407894736842106</v>
      </c>
      <c r="G90" s="138" t="n">
        <f aca="false">IF(Calculator!$E$16="YES",IF(A90&lt;Calculator!$G$16,0,MIN(MIN(MOD(A90/Calculator!$F$16,1),1-MOD(A90/Calculator!$F$16,1)),ABS(MOD(A90/Calculator!$F$16,1)-0.5))),1)</f>
        <v>0.157105263157895</v>
      </c>
      <c r="H90" s="138" t="n">
        <f aca="false">IF(Calculator!$E$17="YES",IF(A90&lt;Calculator!$G$17,0,MIN(MIN(MOD(A90/Calculator!$F$17,1),1-MOD(A90/Calculator!$F$17,1)),ABS(MOD(A90/Calculator!$F$17,1)-0.5))),1)</f>
        <v>0.216442105263158</v>
      </c>
      <c r="I90" s="138" t="n">
        <f aca="false">IF(Calculator!$E$18="YES",IF(A90&lt;Calculator!$G$18,0,MIN(MIN(MOD(A90/Calculator!$F$18,1),1-MOD(A90/Calculator!$F$18,1)),ABS(MOD(A90/Calculator!$F$18,1)-0.5))),1)</f>
        <v>0.0107894736842105</v>
      </c>
      <c r="J90" s="138" t="n">
        <f aca="false">IF(Calculator!$E$19="YES",IF(A90&lt;Calculator!$G$19,0,MIN(MIN(MOD(A90/Calculator!$F$19,1),1-MOD(A90/Calculator!$F$19,1)),ABS(MOD(A90/Calculator!$F$19,1)-0.5))),1)</f>
        <v>0.137263157894737</v>
      </c>
      <c r="K90" s="138" t="n">
        <f aca="false">IF(Calculator!$E$20="YES",IF(A90&lt;Calculator!$G$20,0,MIN(MIN(MOD(A90/Calculator!$F$20,1),1-MOD(A90/Calculator!$F$20,1)),ABS(MOD(A90/Calculator!$F$20,1)-0.5))),1)</f>
        <v>0.233157894736842</v>
      </c>
      <c r="L90" s="138" t="n">
        <f aca="false">IF(Calculator!$E$21="YES",IF(A90&lt;Calculator!$G$21,0,MIN(MIN(MOD(A90/Calculator!$F$21,1),1-MOD(A90/Calculator!$F$21,1)),ABS(MOD(A90/Calculator!$F$21,1)-0.5))),1)</f>
        <v>0.0736842105263156</v>
      </c>
      <c r="M90" s="138" t="n">
        <f aca="false">MIN(B90:L90)</f>
        <v>0</v>
      </c>
      <c r="N90" s="138" t="n">
        <f aca="false">SUMPRODUCT(($M$5:$M$555&gt;M90)*1)+SUMPRODUCT(($M$5:$M$555=M90)*(ROW($M$5:$M$555)&lt;ROW(M90)))+1</f>
        <v>311</v>
      </c>
      <c r="O90" s="138" t="str">
        <f aca="false">IF(M90&gt;=0.2,"★★★ EXCELLENT",IF(M90&gt;=0.12,"★★  GOOD",IF(M90&gt;=0.07,"★  FAIR",IF(M90&gt;=0.025,"⚠  MARGINAL","✗  AVOID"))))</f>
        <v>✗  AVOID</v>
      </c>
    </row>
    <row r="91" customFormat="false" ht="15" hidden="false" customHeight="false" outlineLevel="0" collapsed="false">
      <c r="A91" s="135" t="n">
        <v>13.6</v>
      </c>
      <c r="B91" s="136" t="n">
        <f aca="false">IF(Calculator!$E$11="YES",IF(A91&lt;Calculator!$G$11,0,MIN(MIN(MOD(A91/Calculator!$F$11,1),1-MOD(A91/Calculator!$F$11,1)),ABS(MOD(A91/Calculator!$F$11,1)-0.5))),1)</f>
        <v>0</v>
      </c>
      <c r="C91" s="136" t="n">
        <f aca="false">IF(Calculator!$E$12="YES",IF(A91&lt;Calculator!$G$12,0,MIN(MIN(MOD(A91/Calculator!$F$12,1),1-MOD(A91/Calculator!$F$12,1)),ABS(MOD(A91/Calculator!$F$12,1)-0.5))),1)</f>
        <v>0</v>
      </c>
      <c r="D91" s="136" t="n">
        <f aca="false">IF(Calculator!$E$13="YES",IF(A91&lt;Calculator!$G$13,0,MIN(MIN(MOD(A91/Calculator!$F$13,1),1-MOD(A91/Calculator!$F$13,1)),ABS(MOD(A91/Calculator!$F$13,1)-0.5))),1)</f>
        <v>0.0114554385964912</v>
      </c>
      <c r="E91" s="136" t="n">
        <f aca="false">IF(Calculator!$E$14="YES",IF(A91&lt;Calculator!$G$14,0,MIN(MIN(MOD(A91/Calculator!$F$14,1),1-MOD(A91/Calculator!$F$14,1)),ABS(MOD(A91/Calculator!$F$14,1)-0.5))),1)</f>
        <v>0.182385964912281</v>
      </c>
      <c r="F91" s="136" t="n">
        <f aca="false">IF(Calculator!$E$15="YES",IF(A91&lt;Calculator!$G$15,0,MIN(MIN(MOD(A91/Calculator!$F$15,1),1-MOD(A91/Calculator!$F$15,1)),ABS(MOD(A91/Calculator!$F$15,1)-0.5))),1)</f>
        <v>0.0336842105263159</v>
      </c>
      <c r="G91" s="136" t="n">
        <f aca="false">IF(Calculator!$E$16="YES",IF(A91&lt;Calculator!$G$16,0,MIN(MIN(MOD(A91/Calculator!$F$16,1),1-MOD(A91/Calculator!$F$16,1)),ABS(MOD(A91/Calculator!$F$16,1)-0.5))),1)</f>
        <v>0.147157894736842</v>
      </c>
      <c r="H91" s="136" t="n">
        <f aca="false">IF(Calculator!$E$17="YES",IF(A91&lt;Calculator!$G$17,0,MIN(MIN(MOD(A91/Calculator!$F$17,1),1-MOD(A91/Calculator!$F$17,1)),ABS(MOD(A91/Calculator!$F$17,1)-0.5))),1)</f>
        <v>0.22915649122807</v>
      </c>
      <c r="I91" s="136" t="n">
        <f aca="false">IF(Calculator!$E$18="YES",IF(A91&lt;Calculator!$G$18,0,MIN(MIN(MOD(A91/Calculator!$F$18,1),1-MOD(A91/Calculator!$F$18,1)),ABS(MOD(A91/Calculator!$F$18,1)-0.5))),1)</f>
        <v>0.025684210526316</v>
      </c>
      <c r="J91" s="136" t="n">
        <f aca="false">IF(Calculator!$E$19="YES",IF(A91&lt;Calculator!$G$19,0,MIN(MIN(MOD(A91/Calculator!$F$19,1),1-MOD(A91/Calculator!$F$19,1)),ABS(MOD(A91/Calculator!$F$19,1)-0.5))),1)</f>
        <v>0.119761403508772</v>
      </c>
      <c r="K91" s="136" t="n">
        <f aca="false">IF(Calculator!$E$20="YES",IF(A91&lt;Calculator!$G$20,0,MIN(MIN(MOD(A91/Calculator!$F$20,1),1-MOD(A91/Calculator!$F$20,1)),ABS(MOD(A91/Calculator!$F$20,1)-0.5))),1)</f>
        <v>0.24659649122807</v>
      </c>
      <c r="L91" s="136" t="n">
        <f aca="false">IF(Calculator!$E$21="YES",IF(A91&lt;Calculator!$G$21,0,MIN(MIN(MOD(A91/Calculator!$F$21,1),1-MOD(A91/Calculator!$F$21,1)),ABS(MOD(A91/Calculator!$F$21,1)-0.5))),1)</f>
        <v>0.0371929824561406</v>
      </c>
      <c r="M91" s="136" t="n">
        <f aca="false">MIN(B91:L91)</f>
        <v>0</v>
      </c>
      <c r="N91" s="136" t="n">
        <f aca="false">SUMPRODUCT(($M$5:$M$555&gt;M91)*1)+SUMPRODUCT(($M$5:$M$555=M91)*(ROW($M$5:$M$555)&lt;ROW(M91)))+1</f>
        <v>312</v>
      </c>
      <c r="O91" s="136" t="str">
        <f aca="false">IF(M91&gt;=0.2,"★★★ EXCELLENT",IF(M91&gt;=0.12,"★★  GOOD",IF(M91&gt;=0.07,"★  FAIR",IF(M91&gt;=0.025,"⚠  MARGINAL","✗  AVOID"))))</f>
        <v>✗  AVOID</v>
      </c>
    </row>
    <row r="92" customFormat="false" ht="15" hidden="false" customHeight="false" outlineLevel="0" collapsed="false">
      <c r="A92" s="137" t="n">
        <v>13.7</v>
      </c>
      <c r="B92" s="138" t="n">
        <f aca="false">IF(Calculator!$E$11="YES",IF(A92&lt;Calculator!$G$11,0,MIN(MIN(MOD(A92/Calculator!$F$11,1),1-MOD(A92/Calculator!$F$11,1)),ABS(MOD(A92/Calculator!$F$11,1)-0.5))),1)</f>
        <v>0</v>
      </c>
      <c r="C92" s="138" t="n">
        <f aca="false">IF(Calculator!$E$12="YES",IF(A92&lt;Calculator!$G$12,0,MIN(MIN(MOD(A92/Calculator!$F$12,1),1-MOD(A92/Calculator!$F$12,1)),ABS(MOD(A92/Calculator!$F$12,1)-0.5))),1)</f>
        <v>0</v>
      </c>
      <c r="D92" s="138" t="n">
        <f aca="false">IF(Calculator!$E$13="YES",IF(A92&lt;Calculator!$G$13,0,MIN(MIN(MOD(A92/Calculator!$F$13,1),1-MOD(A92/Calculator!$F$13,1)),ABS(MOD(A92/Calculator!$F$13,1)-0.5))),1)</f>
        <v>0.0152161403508772</v>
      </c>
      <c r="E92" s="138" t="n">
        <f aca="false">IF(Calculator!$E$14="YES",IF(A92&lt;Calculator!$G$14,0,MIN(MIN(MOD(A92/Calculator!$F$14,1),1-MOD(A92/Calculator!$F$14,1)),ABS(MOD(A92/Calculator!$F$14,1)-0.5))),1)</f>
        <v>0.18740350877193</v>
      </c>
      <c r="F92" s="138" t="n">
        <f aca="false">IF(Calculator!$E$15="YES",IF(A92&lt;Calculator!$G$15,0,MIN(MIN(MOD(A92/Calculator!$F$15,1),1-MOD(A92/Calculator!$F$15,1)),ABS(MOD(A92/Calculator!$F$15,1)-0.5))),1)</f>
        <v>0.0265789473684211</v>
      </c>
      <c r="G92" s="138" t="n">
        <f aca="false">IF(Calculator!$E$16="YES",IF(A92&lt;Calculator!$G$16,0,MIN(MIN(MOD(A92/Calculator!$F$16,1),1-MOD(A92/Calculator!$F$16,1)),ABS(MOD(A92/Calculator!$F$16,1)-0.5))),1)</f>
        <v>0.137210526315789</v>
      </c>
      <c r="H92" s="138" t="n">
        <f aca="false">IF(Calculator!$E$17="YES",IF(A92&lt;Calculator!$G$17,0,MIN(MIN(MOD(A92/Calculator!$F$17,1),1-MOD(A92/Calculator!$F$17,1)),ABS(MOD(A92/Calculator!$F$17,1)-0.5))),1)</f>
        <v>0.241870877192983</v>
      </c>
      <c r="I92" s="138" t="n">
        <f aca="false">IF(Calculator!$E$18="YES",IF(A92&lt;Calculator!$G$18,0,MIN(MIN(MOD(A92/Calculator!$F$18,1),1-MOD(A92/Calculator!$F$18,1)),ABS(MOD(A92/Calculator!$F$18,1)-0.5))),1)</f>
        <v>0.0405789473684211</v>
      </c>
      <c r="J92" s="138" t="n">
        <f aca="false">IF(Calculator!$E$19="YES",IF(A92&lt;Calculator!$G$19,0,MIN(MIN(MOD(A92/Calculator!$F$19,1),1-MOD(A92/Calculator!$F$19,1)),ABS(MOD(A92/Calculator!$F$19,1)-0.5))),1)</f>
        <v>0.102259649122808</v>
      </c>
      <c r="K92" s="138" t="n">
        <f aca="false">IF(Calculator!$E$20="YES",IF(A92&lt;Calculator!$G$20,0,MIN(MIN(MOD(A92/Calculator!$F$20,1),1-MOD(A92/Calculator!$F$20,1)),ABS(MOD(A92/Calculator!$F$20,1)-0.5))),1)</f>
        <v>0.226350877192983</v>
      </c>
      <c r="L92" s="138" t="n">
        <f aca="false">IF(Calculator!$E$21="YES",IF(A92&lt;Calculator!$G$21,0,MIN(MIN(MOD(A92/Calculator!$F$21,1),1-MOD(A92/Calculator!$F$21,1)),ABS(MOD(A92/Calculator!$F$21,1)-0.5))),1)</f>
        <v>0.000701754385965536</v>
      </c>
      <c r="M92" s="138" t="n">
        <f aca="false">MIN(B92:L92)</f>
        <v>0</v>
      </c>
      <c r="N92" s="138" t="n">
        <f aca="false">SUMPRODUCT(($M$5:$M$555&gt;M92)*1)+SUMPRODUCT(($M$5:$M$555=M92)*(ROW($M$5:$M$555)&lt;ROW(M92)))+1</f>
        <v>313</v>
      </c>
      <c r="O92" s="138" t="str">
        <f aca="false">IF(M92&gt;=0.2,"★★★ EXCELLENT",IF(M92&gt;=0.12,"★★  GOOD",IF(M92&gt;=0.07,"★  FAIR",IF(M92&gt;=0.025,"⚠  MARGINAL","✗  AVOID"))))</f>
        <v>✗  AVOID</v>
      </c>
    </row>
    <row r="93" customFormat="false" ht="15" hidden="false" customHeight="false" outlineLevel="0" collapsed="false">
      <c r="A93" s="135" t="n">
        <v>13.8</v>
      </c>
      <c r="B93" s="136" t="n">
        <f aca="false">IF(Calculator!$E$11="YES",IF(A93&lt;Calculator!$G$11,0,MIN(MIN(MOD(A93/Calculator!$F$11,1),1-MOD(A93/Calculator!$F$11,1)),ABS(MOD(A93/Calculator!$F$11,1)-0.5))),1)</f>
        <v>0</v>
      </c>
      <c r="C93" s="136" t="n">
        <f aca="false">IF(Calculator!$E$12="YES",IF(A93&lt;Calculator!$G$12,0,MIN(MIN(MOD(A93/Calculator!$F$12,1),1-MOD(A93/Calculator!$F$12,1)),ABS(MOD(A93/Calculator!$F$12,1)-0.5))),1)</f>
        <v>0</v>
      </c>
      <c r="D93" s="136" t="n">
        <f aca="false">IF(Calculator!$E$13="YES",IF(A93&lt;Calculator!$G$13,0,MIN(MIN(MOD(A93/Calculator!$F$13,1),1-MOD(A93/Calculator!$F$13,1)),ABS(MOD(A93/Calculator!$F$13,1)-0.5))),1)</f>
        <v>0.0189768421052632</v>
      </c>
      <c r="E93" s="136" t="n">
        <f aca="false">IF(Calculator!$E$14="YES",IF(A93&lt;Calculator!$G$14,0,MIN(MIN(MOD(A93/Calculator!$F$14,1),1-MOD(A93/Calculator!$F$14,1)),ABS(MOD(A93/Calculator!$F$14,1)-0.5))),1)</f>
        <v>0.192421052631579</v>
      </c>
      <c r="F93" s="136" t="n">
        <f aca="false">IF(Calculator!$E$15="YES",IF(A93&lt;Calculator!$G$15,0,MIN(MIN(MOD(A93/Calculator!$F$15,1),1-MOD(A93/Calculator!$F$15,1)),ABS(MOD(A93/Calculator!$F$15,1)-0.5))),1)</f>
        <v>0.0194736842105263</v>
      </c>
      <c r="G93" s="136" t="n">
        <f aca="false">IF(Calculator!$E$16="YES",IF(A93&lt;Calculator!$G$16,0,MIN(MIN(MOD(A93/Calculator!$F$16,1),1-MOD(A93/Calculator!$F$16,1)),ABS(MOD(A93/Calculator!$F$16,1)-0.5))),1)</f>
        <v>0.127263157894737</v>
      </c>
      <c r="H93" s="136" t="n">
        <f aca="false">IF(Calculator!$E$17="YES",IF(A93&lt;Calculator!$G$17,0,MIN(MIN(MOD(A93/Calculator!$F$17,1),1-MOD(A93/Calculator!$F$17,1)),ABS(MOD(A93/Calculator!$F$17,1)-0.5))),1)</f>
        <v>0.245414736842105</v>
      </c>
      <c r="I93" s="136" t="n">
        <f aca="false">IF(Calculator!$E$18="YES",IF(A93&lt;Calculator!$G$18,0,MIN(MIN(MOD(A93/Calculator!$F$18,1),1-MOD(A93/Calculator!$F$18,1)),ABS(MOD(A93/Calculator!$F$18,1)-0.5))),1)</f>
        <v>0.0554736842105266</v>
      </c>
      <c r="J93" s="136" t="n">
        <f aca="false">IF(Calculator!$E$19="YES",IF(A93&lt;Calculator!$G$19,0,MIN(MIN(MOD(A93/Calculator!$F$19,1),1-MOD(A93/Calculator!$F$19,1)),ABS(MOD(A93/Calculator!$F$19,1)-0.5))),1)</f>
        <v>0.0847578947368426</v>
      </c>
      <c r="K93" s="136" t="n">
        <f aca="false">IF(Calculator!$E$20="YES",IF(A93&lt;Calculator!$G$20,0,MIN(MIN(MOD(A93/Calculator!$F$20,1),1-MOD(A93/Calculator!$F$20,1)),ABS(MOD(A93/Calculator!$F$20,1)-0.5))),1)</f>
        <v>0.206105263157895</v>
      </c>
      <c r="L93" s="136" t="n">
        <f aca="false">IF(Calculator!$E$21="YES",IF(A93&lt;Calculator!$G$21,0,MIN(MIN(MOD(A93/Calculator!$F$21,1),1-MOD(A93/Calculator!$F$21,1)),ABS(MOD(A93/Calculator!$F$21,1)-0.5))),1)</f>
        <v>0.0357894736842104</v>
      </c>
      <c r="M93" s="136" t="n">
        <f aca="false">MIN(B93:L93)</f>
        <v>0</v>
      </c>
      <c r="N93" s="136" t="n">
        <f aca="false">SUMPRODUCT(($M$5:$M$555&gt;M93)*1)+SUMPRODUCT(($M$5:$M$555=M93)*(ROW($M$5:$M$555)&lt;ROW(M93)))+1</f>
        <v>314</v>
      </c>
      <c r="O93" s="136" t="str">
        <f aca="false">IF(M93&gt;=0.2,"★★★ EXCELLENT",IF(M93&gt;=0.12,"★★  GOOD",IF(M93&gt;=0.07,"★  FAIR",IF(M93&gt;=0.025,"⚠  MARGINAL","✗  AVOID"))))</f>
        <v>✗  AVOID</v>
      </c>
    </row>
    <row r="94" customFormat="false" ht="15" hidden="false" customHeight="false" outlineLevel="0" collapsed="false">
      <c r="A94" s="137" t="n">
        <v>13.9</v>
      </c>
      <c r="B94" s="138" t="n">
        <f aca="false">IF(Calculator!$E$11="YES",IF(A94&lt;Calculator!$G$11,0,MIN(MIN(MOD(A94/Calculator!$F$11,1),1-MOD(A94/Calculator!$F$11,1)),ABS(MOD(A94/Calculator!$F$11,1)-0.5))),1)</f>
        <v>0</v>
      </c>
      <c r="C94" s="138" t="n">
        <f aca="false">IF(Calculator!$E$12="YES",IF(A94&lt;Calculator!$G$12,0,MIN(MIN(MOD(A94/Calculator!$F$12,1),1-MOD(A94/Calculator!$F$12,1)),ABS(MOD(A94/Calculator!$F$12,1)-0.5))),1)</f>
        <v>0</v>
      </c>
      <c r="D94" s="138" t="n">
        <f aca="false">IF(Calculator!$E$13="YES",IF(A94&lt;Calculator!$G$13,0,MIN(MIN(MOD(A94/Calculator!$F$13,1),1-MOD(A94/Calculator!$F$13,1)),ABS(MOD(A94/Calculator!$F$13,1)-0.5))),1)</f>
        <v>0.0227375438596491</v>
      </c>
      <c r="E94" s="138" t="n">
        <f aca="false">IF(Calculator!$E$14="YES",IF(A94&lt;Calculator!$G$14,0,MIN(MIN(MOD(A94/Calculator!$F$14,1),1-MOD(A94/Calculator!$F$14,1)),ABS(MOD(A94/Calculator!$F$14,1)-0.5))),1)</f>
        <v>0.197438596491228</v>
      </c>
      <c r="F94" s="138" t="n">
        <f aca="false">IF(Calculator!$E$15="YES",IF(A94&lt;Calculator!$G$15,0,MIN(MIN(MOD(A94/Calculator!$F$15,1),1-MOD(A94/Calculator!$F$15,1)),ABS(MOD(A94/Calculator!$F$15,1)-0.5))),1)</f>
        <v>0.0123684210526316</v>
      </c>
      <c r="G94" s="138" t="n">
        <f aca="false">IF(Calculator!$E$16="YES",IF(A94&lt;Calculator!$G$16,0,MIN(MIN(MOD(A94/Calculator!$F$16,1),1-MOD(A94/Calculator!$F$16,1)),ABS(MOD(A94/Calculator!$F$16,1)-0.5))),1)</f>
        <v>0.117315789473684</v>
      </c>
      <c r="H94" s="138" t="n">
        <f aca="false">IF(Calculator!$E$17="YES",IF(A94&lt;Calculator!$G$17,0,MIN(MIN(MOD(A94/Calculator!$F$17,1),1-MOD(A94/Calculator!$F$17,1)),ABS(MOD(A94/Calculator!$F$17,1)-0.5))),1)</f>
        <v>0.232700350877193</v>
      </c>
      <c r="I94" s="138" t="n">
        <f aca="false">IF(Calculator!$E$18="YES",IF(A94&lt;Calculator!$G$18,0,MIN(MIN(MOD(A94/Calculator!$F$18,1),1-MOD(A94/Calculator!$F$18,1)),ABS(MOD(A94/Calculator!$F$18,1)-0.5))),1)</f>
        <v>0.0703684210526316</v>
      </c>
      <c r="J94" s="138" t="n">
        <f aca="false">IF(Calculator!$E$19="YES",IF(A94&lt;Calculator!$G$19,0,MIN(MIN(MOD(A94/Calculator!$F$19,1),1-MOD(A94/Calculator!$F$19,1)),ABS(MOD(A94/Calculator!$F$19,1)-0.5))),1)</f>
        <v>0.0672561403508776</v>
      </c>
      <c r="K94" s="138" t="n">
        <f aca="false">IF(Calculator!$E$20="YES",IF(A94&lt;Calculator!$G$20,0,MIN(MIN(MOD(A94/Calculator!$F$20,1),1-MOD(A94/Calculator!$F$20,1)),ABS(MOD(A94/Calculator!$F$20,1)-0.5))),1)</f>
        <v>0.185859649122807</v>
      </c>
      <c r="L94" s="138" t="n">
        <f aca="false">IF(Calculator!$E$21="YES",IF(A94&lt;Calculator!$G$21,0,MIN(MIN(MOD(A94/Calculator!$F$21,1),1-MOD(A94/Calculator!$F$21,1)),ABS(MOD(A94/Calculator!$F$21,1)-0.5))),1)</f>
        <v>0.0722807017543863</v>
      </c>
      <c r="M94" s="138" t="n">
        <f aca="false">MIN(B94:L94)</f>
        <v>0</v>
      </c>
      <c r="N94" s="138" t="n">
        <f aca="false">SUMPRODUCT(($M$5:$M$555&gt;M94)*1)+SUMPRODUCT(($M$5:$M$555=M94)*(ROW($M$5:$M$555)&lt;ROW(M94)))+1</f>
        <v>315</v>
      </c>
      <c r="O94" s="138" t="str">
        <f aca="false">IF(M94&gt;=0.2,"★★★ EXCELLENT",IF(M94&gt;=0.12,"★★  GOOD",IF(M94&gt;=0.07,"★  FAIR",IF(M94&gt;=0.025,"⚠  MARGINAL","✗  AVOID"))))</f>
        <v>✗  AVOID</v>
      </c>
    </row>
    <row r="95" customFormat="false" ht="15" hidden="false" customHeight="false" outlineLevel="0" collapsed="false">
      <c r="A95" s="135" t="n">
        <v>14</v>
      </c>
      <c r="B95" s="136" t="n">
        <f aca="false">IF(Calculator!$E$11="YES",IF(A95&lt;Calculator!$G$11,0,MIN(MIN(MOD(A95/Calculator!$F$11,1),1-MOD(A95/Calculator!$F$11,1)),ABS(MOD(A95/Calculator!$F$11,1)-0.5))),1)</f>
        <v>0</v>
      </c>
      <c r="C95" s="136" t="n">
        <f aca="false">IF(Calculator!$E$12="YES",IF(A95&lt;Calculator!$G$12,0,MIN(MIN(MOD(A95/Calculator!$F$12,1),1-MOD(A95/Calculator!$F$12,1)),ABS(MOD(A95/Calculator!$F$12,1)-0.5))),1)</f>
        <v>0</v>
      </c>
      <c r="D95" s="136" t="n">
        <f aca="false">IF(Calculator!$E$13="YES",IF(A95&lt;Calculator!$G$13,0,MIN(MIN(MOD(A95/Calculator!$F$13,1),1-MOD(A95/Calculator!$F$13,1)),ABS(MOD(A95/Calculator!$F$13,1)-0.5))),1)</f>
        <v>0.026498245614035</v>
      </c>
      <c r="E95" s="136" t="n">
        <f aca="false">IF(Calculator!$E$14="YES",IF(A95&lt;Calculator!$G$14,0,MIN(MIN(MOD(A95/Calculator!$F$14,1),1-MOD(A95/Calculator!$F$14,1)),ABS(MOD(A95/Calculator!$F$14,1)-0.5))),1)</f>
        <v>0.202456140350877</v>
      </c>
      <c r="F95" s="136" t="n">
        <f aca="false">IF(Calculator!$E$15="YES",IF(A95&lt;Calculator!$G$15,0,MIN(MIN(MOD(A95/Calculator!$F$15,1),1-MOD(A95/Calculator!$F$15,1)),ABS(MOD(A95/Calculator!$F$15,1)-0.5))),1)</f>
        <v>0.00526315789473686</v>
      </c>
      <c r="G95" s="136" t="n">
        <f aca="false">IF(Calculator!$E$16="YES",IF(A95&lt;Calculator!$G$16,0,MIN(MIN(MOD(A95/Calculator!$F$16,1),1-MOD(A95/Calculator!$F$16,1)),ABS(MOD(A95/Calculator!$F$16,1)-0.5))),1)</f>
        <v>0.107368421052632</v>
      </c>
      <c r="H95" s="136" t="n">
        <f aca="false">IF(Calculator!$E$17="YES",IF(A95&lt;Calculator!$G$17,0,MIN(MIN(MOD(A95/Calculator!$F$17,1),1-MOD(A95/Calculator!$F$17,1)),ABS(MOD(A95/Calculator!$F$17,1)-0.5))),1)</f>
        <v>0.21998596491228</v>
      </c>
      <c r="I95" s="136" t="n">
        <f aca="false">IF(Calculator!$E$18="YES",IF(A95&lt;Calculator!$G$18,0,MIN(MIN(MOD(A95/Calculator!$F$18,1),1-MOD(A95/Calculator!$F$18,1)),ABS(MOD(A95/Calculator!$F$18,1)-0.5))),1)</f>
        <v>0.0852631578947367</v>
      </c>
      <c r="J95" s="136" t="n">
        <f aca="false">IF(Calculator!$E$19="YES",IF(A95&lt;Calculator!$G$19,0,MIN(MIN(MOD(A95/Calculator!$F$19,1),1-MOD(A95/Calculator!$F$19,1)),ABS(MOD(A95/Calculator!$F$19,1)-0.5))),1)</f>
        <v>0.0497543859649126</v>
      </c>
      <c r="K95" s="136" t="n">
        <f aca="false">IF(Calculator!$E$20="YES",IF(A95&lt;Calculator!$G$20,0,MIN(MIN(MOD(A95/Calculator!$F$20,1),1-MOD(A95/Calculator!$F$20,1)),ABS(MOD(A95/Calculator!$F$20,1)-0.5))),1)</f>
        <v>0.16561403508772</v>
      </c>
      <c r="L95" s="136" t="n">
        <f aca="false">IF(Calculator!$E$21="YES",IF(A95&lt;Calculator!$G$21,0,MIN(MIN(MOD(A95/Calculator!$F$21,1),1-MOD(A95/Calculator!$F$21,1)),ABS(MOD(A95/Calculator!$F$21,1)-0.5))),1)</f>
        <v>0.108771929824561</v>
      </c>
      <c r="M95" s="136" t="n">
        <f aca="false">MIN(B95:L95)</f>
        <v>0</v>
      </c>
      <c r="N95" s="136" t="n">
        <f aca="false">SUMPRODUCT(($M$5:$M$555&gt;M95)*1)+SUMPRODUCT(($M$5:$M$555=M95)*(ROW($M$5:$M$555)&lt;ROW(M95)))+1</f>
        <v>316</v>
      </c>
      <c r="O95" s="136" t="str">
        <f aca="false">IF(M95&gt;=0.2,"★★★ EXCELLENT",IF(M95&gt;=0.12,"★★  GOOD",IF(M95&gt;=0.07,"★  FAIR",IF(M95&gt;=0.025,"⚠  MARGINAL","✗  AVOID"))))</f>
        <v>✗  AVOID</v>
      </c>
    </row>
    <row r="96" customFormat="false" ht="15" hidden="false" customHeight="false" outlineLevel="0" collapsed="false">
      <c r="A96" s="137" t="n">
        <v>14.1</v>
      </c>
      <c r="B96" s="138" t="n">
        <f aca="false">IF(Calculator!$E$11="YES",IF(A96&lt;Calculator!$G$11,0,MIN(MIN(MOD(A96/Calculator!$F$11,1),1-MOD(A96/Calculator!$F$11,1)),ABS(MOD(A96/Calculator!$F$11,1)-0.5))),1)</f>
        <v>0</v>
      </c>
      <c r="C96" s="138" t="n">
        <f aca="false">IF(Calculator!$E$12="YES",IF(A96&lt;Calculator!$G$12,0,MIN(MIN(MOD(A96/Calculator!$F$12,1),1-MOD(A96/Calculator!$F$12,1)),ABS(MOD(A96/Calculator!$F$12,1)-0.5))),1)</f>
        <v>0</v>
      </c>
      <c r="D96" s="138" t="n">
        <f aca="false">IF(Calculator!$E$13="YES",IF(A96&lt;Calculator!$G$13,0,MIN(MIN(MOD(A96/Calculator!$F$13,1),1-MOD(A96/Calculator!$F$13,1)),ABS(MOD(A96/Calculator!$F$13,1)-0.5))),1)</f>
        <v>0.0302589473684211</v>
      </c>
      <c r="E96" s="138" t="n">
        <f aca="false">IF(Calculator!$E$14="YES",IF(A96&lt;Calculator!$G$14,0,MIN(MIN(MOD(A96/Calculator!$F$14,1),1-MOD(A96/Calculator!$F$14,1)),ABS(MOD(A96/Calculator!$F$14,1)-0.5))),1)</f>
        <v>0.207473684210526</v>
      </c>
      <c r="F96" s="138" t="n">
        <f aca="false">IF(Calculator!$E$15="YES",IF(A96&lt;Calculator!$G$15,0,MIN(MIN(MOD(A96/Calculator!$F$15,1),1-MOD(A96/Calculator!$F$15,1)),ABS(MOD(A96/Calculator!$F$15,1)-0.5))),1)</f>
        <v>0.00184210526315787</v>
      </c>
      <c r="G96" s="138" t="n">
        <f aca="false">IF(Calculator!$E$16="YES",IF(A96&lt;Calculator!$G$16,0,MIN(MIN(MOD(A96/Calculator!$F$16,1),1-MOD(A96/Calculator!$F$16,1)),ABS(MOD(A96/Calculator!$F$16,1)-0.5))),1)</f>
        <v>0.0974210526315789</v>
      </c>
      <c r="H96" s="138" t="n">
        <f aca="false">IF(Calculator!$E$17="YES",IF(A96&lt;Calculator!$G$17,0,MIN(MIN(MOD(A96/Calculator!$F$17,1),1-MOD(A96/Calculator!$F$17,1)),ABS(MOD(A96/Calculator!$F$17,1)-0.5))),1)</f>
        <v>0.207271578947368</v>
      </c>
      <c r="I96" s="138" t="n">
        <f aca="false">IF(Calculator!$E$18="YES",IF(A96&lt;Calculator!$G$18,0,MIN(MIN(MOD(A96/Calculator!$F$18,1),1-MOD(A96/Calculator!$F$18,1)),ABS(MOD(A96/Calculator!$F$18,1)-0.5))),1)</f>
        <v>0.100157894736842</v>
      </c>
      <c r="J96" s="138" t="n">
        <f aca="false">IF(Calculator!$E$19="YES",IF(A96&lt;Calculator!$G$19,0,MIN(MIN(MOD(A96/Calculator!$F$19,1),1-MOD(A96/Calculator!$F$19,1)),ABS(MOD(A96/Calculator!$F$19,1)-0.5))),1)</f>
        <v>0.032252631578948</v>
      </c>
      <c r="K96" s="138" t="n">
        <f aca="false">IF(Calculator!$E$20="YES",IF(A96&lt;Calculator!$G$20,0,MIN(MIN(MOD(A96/Calculator!$F$20,1),1-MOD(A96/Calculator!$F$20,1)),ABS(MOD(A96/Calculator!$F$20,1)-0.5))),1)</f>
        <v>0.145368421052632</v>
      </c>
      <c r="L96" s="138" t="n">
        <f aca="false">IF(Calculator!$E$21="YES",IF(A96&lt;Calculator!$G$21,0,MIN(MIN(MOD(A96/Calculator!$F$21,1),1-MOD(A96/Calculator!$F$21,1)),ABS(MOD(A96/Calculator!$F$21,1)-0.5))),1)</f>
        <v>0.145263157894736</v>
      </c>
      <c r="M96" s="138" t="n">
        <f aca="false">MIN(B96:L96)</f>
        <v>0</v>
      </c>
      <c r="N96" s="138" t="n">
        <f aca="false">SUMPRODUCT(($M$5:$M$555&gt;M96)*1)+SUMPRODUCT(($M$5:$M$555=M96)*(ROW($M$5:$M$555)&lt;ROW(M96)))+1</f>
        <v>317</v>
      </c>
      <c r="O96" s="138" t="str">
        <f aca="false">IF(M96&gt;=0.2,"★★★ EXCELLENT",IF(M96&gt;=0.12,"★★  GOOD",IF(M96&gt;=0.07,"★  FAIR",IF(M96&gt;=0.025,"⚠  MARGINAL","✗  AVOID"))))</f>
        <v>✗  AVOID</v>
      </c>
    </row>
    <row r="97" customFormat="false" ht="15" hidden="false" customHeight="false" outlineLevel="0" collapsed="false">
      <c r="A97" s="135" t="n">
        <v>14.2</v>
      </c>
      <c r="B97" s="136" t="n">
        <f aca="false">IF(Calculator!$E$11="YES",IF(A97&lt;Calculator!$G$11,0,MIN(MIN(MOD(A97/Calculator!$F$11,1),1-MOD(A97/Calculator!$F$11,1)),ABS(MOD(A97/Calculator!$F$11,1)-0.5))),1)</f>
        <v>0</v>
      </c>
      <c r="C97" s="136" t="n">
        <f aca="false">IF(Calculator!$E$12="YES",IF(A97&lt;Calculator!$G$12,0,MIN(MIN(MOD(A97/Calculator!$F$12,1),1-MOD(A97/Calculator!$F$12,1)),ABS(MOD(A97/Calculator!$F$12,1)-0.5))),1)</f>
        <v>0</v>
      </c>
      <c r="D97" s="136" t="n">
        <f aca="false">IF(Calculator!$E$13="YES",IF(A97&lt;Calculator!$G$13,0,MIN(MIN(MOD(A97/Calculator!$F$13,1),1-MOD(A97/Calculator!$F$13,1)),ABS(MOD(A97/Calculator!$F$13,1)-0.5))),1)</f>
        <v>0.034019649122807</v>
      </c>
      <c r="E97" s="136" t="n">
        <f aca="false">IF(Calculator!$E$14="YES",IF(A97&lt;Calculator!$G$14,0,MIN(MIN(MOD(A97/Calculator!$F$14,1),1-MOD(A97/Calculator!$F$14,1)),ABS(MOD(A97/Calculator!$F$14,1)-0.5))),1)</f>
        <v>0.212491228070175</v>
      </c>
      <c r="F97" s="136" t="n">
        <f aca="false">IF(Calculator!$E$15="YES",IF(A97&lt;Calculator!$G$15,0,MIN(MIN(MOD(A97/Calculator!$F$15,1),1-MOD(A97/Calculator!$F$15,1)),ABS(MOD(A97/Calculator!$F$15,1)-0.5))),1)</f>
        <v>0.00894736842105259</v>
      </c>
      <c r="G97" s="136" t="n">
        <f aca="false">IF(Calculator!$E$16="YES",IF(A97&lt;Calculator!$G$16,0,MIN(MIN(MOD(A97/Calculator!$F$16,1),1-MOD(A97/Calculator!$F$16,1)),ABS(MOD(A97/Calculator!$F$16,1)-0.5))),1)</f>
        <v>0.0874736842105264</v>
      </c>
      <c r="H97" s="136" t="n">
        <f aca="false">IF(Calculator!$E$17="YES",IF(A97&lt;Calculator!$G$17,0,MIN(MIN(MOD(A97/Calculator!$F$17,1),1-MOD(A97/Calculator!$F$17,1)),ABS(MOD(A97/Calculator!$F$17,1)-0.5))),1)</f>
        <v>0.194557192982456</v>
      </c>
      <c r="I97" s="136" t="n">
        <f aca="false">IF(Calculator!$E$18="YES",IF(A97&lt;Calculator!$G$18,0,MIN(MIN(MOD(A97/Calculator!$F$18,1),1-MOD(A97/Calculator!$F$18,1)),ABS(MOD(A97/Calculator!$F$18,1)-0.5))),1)</f>
        <v>0.115052631578947</v>
      </c>
      <c r="J97" s="136" t="n">
        <f aca="false">IF(Calculator!$E$19="YES",IF(A97&lt;Calculator!$G$19,0,MIN(MIN(MOD(A97/Calculator!$F$19,1),1-MOD(A97/Calculator!$F$19,1)),ABS(MOD(A97/Calculator!$F$19,1)-0.5))),1)</f>
        <v>0.014750877192983</v>
      </c>
      <c r="K97" s="136" t="n">
        <f aca="false">IF(Calculator!$E$20="YES",IF(A97&lt;Calculator!$G$20,0,MIN(MIN(MOD(A97/Calculator!$F$20,1),1-MOD(A97/Calculator!$F$20,1)),ABS(MOD(A97/Calculator!$F$20,1)-0.5))),1)</f>
        <v>0.125122807017544</v>
      </c>
      <c r="L97" s="136" t="n">
        <f aca="false">IF(Calculator!$E$21="YES",IF(A97&lt;Calculator!$G$21,0,MIN(MIN(MOD(A97/Calculator!$F$21,1),1-MOD(A97/Calculator!$F$21,1)),ABS(MOD(A97/Calculator!$F$21,1)-0.5))),1)</f>
        <v>0.181754385964912</v>
      </c>
      <c r="M97" s="136" t="n">
        <f aca="false">MIN(B97:L97)</f>
        <v>0</v>
      </c>
      <c r="N97" s="136" t="n">
        <f aca="false">SUMPRODUCT(($M$5:$M$555&gt;M97)*1)+SUMPRODUCT(($M$5:$M$555=M97)*(ROW($M$5:$M$555)&lt;ROW(M97)))+1</f>
        <v>318</v>
      </c>
      <c r="O97" s="136" t="str">
        <f aca="false">IF(M97&gt;=0.2,"★★★ EXCELLENT",IF(M97&gt;=0.12,"★★  GOOD",IF(M97&gt;=0.07,"★  FAIR",IF(M97&gt;=0.025,"⚠  MARGINAL","✗  AVOID"))))</f>
        <v>✗  AVOID</v>
      </c>
    </row>
    <row r="98" customFormat="false" ht="15" hidden="false" customHeight="false" outlineLevel="0" collapsed="false">
      <c r="A98" s="137" t="n">
        <v>14.3</v>
      </c>
      <c r="B98" s="138" t="n">
        <f aca="false">IF(Calculator!$E$11="YES",IF(A98&lt;Calculator!$G$11,0,MIN(MIN(MOD(A98/Calculator!$F$11,1),1-MOD(A98/Calculator!$F$11,1)),ABS(MOD(A98/Calculator!$F$11,1)-0.5))),1)</f>
        <v>0</v>
      </c>
      <c r="C98" s="138" t="n">
        <f aca="false">IF(Calculator!$E$12="YES",IF(A98&lt;Calculator!$G$12,0,MIN(MIN(MOD(A98/Calculator!$F$12,1),1-MOD(A98/Calculator!$F$12,1)),ABS(MOD(A98/Calculator!$F$12,1)-0.5))),1)</f>
        <v>0</v>
      </c>
      <c r="D98" s="138" t="n">
        <f aca="false">IF(Calculator!$E$13="YES",IF(A98&lt;Calculator!$G$13,0,MIN(MIN(MOD(A98/Calculator!$F$13,1),1-MOD(A98/Calculator!$F$13,1)),ABS(MOD(A98/Calculator!$F$13,1)-0.5))),1)</f>
        <v>0.037780350877193</v>
      </c>
      <c r="E98" s="138" t="n">
        <f aca="false">IF(Calculator!$E$14="YES",IF(A98&lt;Calculator!$G$14,0,MIN(MIN(MOD(A98/Calculator!$F$14,1),1-MOD(A98/Calculator!$F$14,1)),ABS(MOD(A98/Calculator!$F$14,1)-0.5))),1)</f>
        <v>0.217508771929825</v>
      </c>
      <c r="F98" s="138" t="n">
        <f aca="false">IF(Calculator!$E$15="YES",IF(A98&lt;Calculator!$G$15,0,MIN(MIN(MOD(A98/Calculator!$F$15,1),1-MOD(A98/Calculator!$F$15,1)),ABS(MOD(A98/Calculator!$F$15,1)-0.5))),1)</f>
        <v>0.0160526315789473</v>
      </c>
      <c r="G98" s="138" t="n">
        <f aca="false">IF(Calculator!$E$16="YES",IF(A98&lt;Calculator!$G$16,0,MIN(MIN(MOD(A98/Calculator!$F$16,1),1-MOD(A98/Calculator!$F$16,1)),ABS(MOD(A98/Calculator!$F$16,1)-0.5))),1)</f>
        <v>0.0775263157894734</v>
      </c>
      <c r="H98" s="138" t="n">
        <f aca="false">IF(Calculator!$E$17="YES",IF(A98&lt;Calculator!$G$17,0,MIN(MIN(MOD(A98/Calculator!$F$17,1),1-MOD(A98/Calculator!$F$17,1)),ABS(MOD(A98/Calculator!$F$17,1)-0.5))),1)</f>
        <v>0.181842807017544</v>
      </c>
      <c r="I98" s="138" t="n">
        <f aca="false">IF(Calculator!$E$18="YES",IF(A98&lt;Calculator!$G$18,0,MIN(MIN(MOD(A98/Calculator!$F$18,1),1-MOD(A98/Calculator!$F$18,1)),ABS(MOD(A98/Calculator!$F$18,1)-0.5))),1)</f>
        <v>0.129947368421053</v>
      </c>
      <c r="J98" s="138" t="n">
        <f aca="false">IF(Calculator!$E$19="YES",IF(A98&lt;Calculator!$G$19,0,MIN(MIN(MOD(A98/Calculator!$F$19,1),1-MOD(A98/Calculator!$F$19,1)),ABS(MOD(A98/Calculator!$F$19,1)-0.5))),1)</f>
        <v>0.00275087719298206</v>
      </c>
      <c r="K98" s="138" t="n">
        <f aca="false">IF(Calculator!$E$20="YES",IF(A98&lt;Calculator!$G$20,0,MIN(MIN(MOD(A98/Calculator!$F$20,1),1-MOD(A98/Calculator!$F$20,1)),ABS(MOD(A98/Calculator!$F$20,1)-0.5))),1)</f>
        <v>0.104877192982456</v>
      </c>
      <c r="L98" s="138" t="n">
        <f aca="false">IF(Calculator!$E$21="YES",IF(A98&lt;Calculator!$G$21,0,MIN(MIN(MOD(A98/Calculator!$F$21,1),1-MOD(A98/Calculator!$F$21,1)),ABS(MOD(A98/Calculator!$F$21,1)-0.5))),1)</f>
        <v>0.218245614035088</v>
      </c>
      <c r="M98" s="138" t="n">
        <f aca="false">MIN(B98:L98)</f>
        <v>0</v>
      </c>
      <c r="N98" s="138" t="n">
        <f aca="false">SUMPRODUCT(($M$5:$M$555&gt;M98)*1)+SUMPRODUCT(($M$5:$M$555=M98)*(ROW($M$5:$M$555)&lt;ROW(M98)))+1</f>
        <v>319</v>
      </c>
      <c r="O98" s="138" t="str">
        <f aca="false">IF(M98&gt;=0.2,"★★★ EXCELLENT",IF(M98&gt;=0.12,"★★  GOOD",IF(M98&gt;=0.07,"★  FAIR",IF(M98&gt;=0.025,"⚠  MARGINAL","✗  AVOID"))))</f>
        <v>✗  AVOID</v>
      </c>
    </row>
    <row r="99" customFormat="false" ht="15" hidden="false" customHeight="false" outlineLevel="0" collapsed="false">
      <c r="A99" s="135" t="n">
        <v>14.4</v>
      </c>
      <c r="B99" s="136" t="n">
        <f aca="false">IF(Calculator!$E$11="YES",IF(A99&lt;Calculator!$G$11,0,MIN(MIN(MOD(A99/Calculator!$F$11,1),1-MOD(A99/Calculator!$F$11,1)),ABS(MOD(A99/Calculator!$F$11,1)-0.5))),1)</f>
        <v>0</v>
      </c>
      <c r="C99" s="136" t="n">
        <f aca="false">IF(Calculator!$E$12="YES",IF(A99&lt;Calculator!$G$12,0,MIN(MIN(MOD(A99/Calculator!$F$12,1),1-MOD(A99/Calculator!$F$12,1)),ABS(MOD(A99/Calculator!$F$12,1)-0.5))),1)</f>
        <v>0</v>
      </c>
      <c r="D99" s="136" t="n">
        <f aca="false">IF(Calculator!$E$13="YES",IF(A99&lt;Calculator!$G$13,0,MIN(MIN(MOD(A99/Calculator!$F$13,1),1-MOD(A99/Calculator!$F$13,1)),ABS(MOD(A99/Calculator!$F$13,1)-0.5))),1)</f>
        <v>0.0415410526315789</v>
      </c>
      <c r="E99" s="136" t="n">
        <f aca="false">IF(Calculator!$E$14="YES",IF(A99&lt;Calculator!$G$14,0,MIN(MIN(MOD(A99/Calculator!$F$14,1),1-MOD(A99/Calculator!$F$14,1)),ABS(MOD(A99/Calculator!$F$14,1)-0.5))),1)</f>
        <v>0.222526315789474</v>
      </c>
      <c r="F99" s="136" t="n">
        <f aca="false">IF(Calculator!$E$15="YES",IF(A99&lt;Calculator!$G$15,0,MIN(MIN(MOD(A99/Calculator!$F$15,1),1-MOD(A99/Calculator!$F$15,1)),ABS(MOD(A99/Calculator!$F$15,1)-0.5))),1)</f>
        <v>0.023157894736842</v>
      </c>
      <c r="G99" s="136" t="n">
        <f aca="false">IF(Calculator!$E$16="YES",IF(A99&lt;Calculator!$G$16,0,MIN(MIN(MOD(A99/Calculator!$F$16,1),1-MOD(A99/Calculator!$F$16,1)),ABS(MOD(A99/Calculator!$F$16,1)-0.5))),1)</f>
        <v>0.067578947368421</v>
      </c>
      <c r="H99" s="136" t="n">
        <f aca="false">IF(Calculator!$E$17="YES",IF(A99&lt;Calculator!$G$17,0,MIN(MIN(MOD(A99/Calculator!$F$17,1),1-MOD(A99/Calculator!$F$17,1)),ABS(MOD(A99/Calculator!$F$17,1)-0.5))),1)</f>
        <v>0.169128421052631</v>
      </c>
      <c r="I99" s="136" t="n">
        <f aca="false">IF(Calculator!$E$18="YES",IF(A99&lt;Calculator!$G$18,0,MIN(MIN(MOD(A99/Calculator!$F$18,1),1-MOD(A99/Calculator!$F$18,1)),ABS(MOD(A99/Calculator!$F$18,1)-0.5))),1)</f>
        <v>0.144842105263158</v>
      </c>
      <c r="J99" s="136" t="n">
        <f aca="false">IF(Calculator!$E$19="YES",IF(A99&lt;Calculator!$G$19,0,MIN(MIN(MOD(A99/Calculator!$F$19,1),1-MOD(A99/Calculator!$F$19,1)),ABS(MOD(A99/Calculator!$F$19,1)-0.5))),1)</f>
        <v>0.0202526315789471</v>
      </c>
      <c r="K99" s="136" t="n">
        <f aca="false">IF(Calculator!$E$20="YES",IF(A99&lt;Calculator!$G$20,0,MIN(MIN(MOD(A99/Calculator!$F$20,1),1-MOD(A99/Calculator!$F$20,1)),ABS(MOD(A99/Calculator!$F$20,1)-0.5))),1)</f>
        <v>0.0846315789473682</v>
      </c>
      <c r="L99" s="136" t="n">
        <f aca="false">IF(Calculator!$E$21="YES",IF(A99&lt;Calculator!$G$21,0,MIN(MIN(MOD(A99/Calculator!$F$21,1),1-MOD(A99/Calculator!$F$21,1)),ABS(MOD(A99/Calculator!$F$21,1)-0.5))),1)</f>
        <v>0.245263157894737</v>
      </c>
      <c r="M99" s="136" t="n">
        <f aca="false">MIN(B99:L99)</f>
        <v>0</v>
      </c>
      <c r="N99" s="136" t="n">
        <f aca="false">SUMPRODUCT(($M$5:$M$555&gt;M99)*1)+SUMPRODUCT(($M$5:$M$555=M99)*(ROW($M$5:$M$555)&lt;ROW(M99)))+1</f>
        <v>320</v>
      </c>
      <c r="O99" s="136" t="str">
        <f aca="false">IF(M99&gt;=0.2,"★★★ EXCELLENT",IF(M99&gt;=0.12,"★★  GOOD",IF(M99&gt;=0.07,"★  FAIR",IF(M99&gt;=0.025,"⚠  MARGINAL","✗  AVOID"))))</f>
        <v>✗  AVOID</v>
      </c>
    </row>
    <row r="100" customFormat="false" ht="15" hidden="false" customHeight="false" outlineLevel="0" collapsed="false">
      <c r="A100" s="137" t="n">
        <v>14.5</v>
      </c>
      <c r="B100" s="138" t="n">
        <f aca="false">IF(Calculator!$E$11="YES",IF(A100&lt;Calculator!$G$11,0,MIN(MIN(MOD(A100/Calculator!$F$11,1),1-MOD(A100/Calculator!$F$11,1)),ABS(MOD(A100/Calculator!$F$11,1)-0.5))),1)</f>
        <v>0</v>
      </c>
      <c r="C100" s="138" t="n">
        <f aca="false">IF(Calculator!$E$12="YES",IF(A100&lt;Calculator!$G$12,0,MIN(MIN(MOD(A100/Calculator!$F$12,1),1-MOD(A100/Calculator!$F$12,1)),ABS(MOD(A100/Calculator!$F$12,1)-0.5))),1)</f>
        <v>0</v>
      </c>
      <c r="D100" s="138" t="n">
        <f aca="false">IF(Calculator!$E$13="YES",IF(A100&lt;Calculator!$G$13,0,MIN(MIN(MOD(A100/Calculator!$F$13,1),1-MOD(A100/Calculator!$F$13,1)),ABS(MOD(A100/Calculator!$F$13,1)-0.5))),1)</f>
        <v>0.0453017543859648</v>
      </c>
      <c r="E100" s="138" t="n">
        <f aca="false">IF(Calculator!$E$14="YES",IF(A100&lt;Calculator!$G$14,0,MIN(MIN(MOD(A100/Calculator!$F$14,1),1-MOD(A100/Calculator!$F$14,1)),ABS(MOD(A100/Calculator!$F$14,1)-0.5))),1)</f>
        <v>0.227543859649123</v>
      </c>
      <c r="F100" s="138" t="n">
        <f aca="false">IF(Calculator!$E$15="YES",IF(A100&lt;Calculator!$G$15,0,MIN(MIN(MOD(A100/Calculator!$F$15,1),1-MOD(A100/Calculator!$F$15,1)),ABS(MOD(A100/Calculator!$F$15,1)-0.5))),1)</f>
        <v>0.0302631578947368</v>
      </c>
      <c r="G100" s="138" t="n">
        <f aca="false">IF(Calculator!$E$16="YES",IF(A100&lt;Calculator!$G$16,0,MIN(MIN(MOD(A100/Calculator!$F$16,1),1-MOD(A100/Calculator!$F$16,1)),ABS(MOD(A100/Calculator!$F$16,1)-0.5))),1)</f>
        <v>0.0576315789473683</v>
      </c>
      <c r="H100" s="138" t="n">
        <f aca="false">IF(Calculator!$E$17="YES",IF(A100&lt;Calculator!$G$17,0,MIN(MIN(MOD(A100/Calculator!$F$17,1),1-MOD(A100/Calculator!$F$17,1)),ABS(MOD(A100/Calculator!$F$17,1)-0.5))),1)</f>
        <v>0.156414035087719</v>
      </c>
      <c r="I100" s="138" t="n">
        <f aca="false">IF(Calculator!$E$18="YES",IF(A100&lt;Calculator!$G$18,0,MIN(MIN(MOD(A100/Calculator!$F$18,1),1-MOD(A100/Calculator!$F$18,1)),ABS(MOD(A100/Calculator!$F$18,1)-0.5))),1)</f>
        <v>0.159736842105263</v>
      </c>
      <c r="J100" s="138" t="n">
        <f aca="false">IF(Calculator!$E$19="YES",IF(A100&lt;Calculator!$G$19,0,MIN(MIN(MOD(A100/Calculator!$F$19,1),1-MOD(A100/Calculator!$F$19,1)),ABS(MOD(A100/Calculator!$F$19,1)-0.5))),1)</f>
        <v>0.0377543859649117</v>
      </c>
      <c r="K100" s="138" t="n">
        <f aca="false">IF(Calculator!$E$20="YES",IF(A100&lt;Calculator!$G$20,0,MIN(MIN(MOD(A100/Calculator!$F$20,1),1-MOD(A100/Calculator!$F$20,1)),ABS(MOD(A100/Calculator!$F$20,1)-0.5))),1)</f>
        <v>0.0643859649122809</v>
      </c>
      <c r="L100" s="138" t="n">
        <f aca="false">IF(Calculator!$E$21="YES",IF(A100&lt;Calculator!$G$21,0,MIN(MIN(MOD(A100/Calculator!$F$21,1),1-MOD(A100/Calculator!$F$21,1)),ABS(MOD(A100/Calculator!$F$21,1)-0.5))),1)</f>
        <v>0.208771929824562</v>
      </c>
      <c r="M100" s="138" t="n">
        <f aca="false">MIN(B100:L100)</f>
        <v>0</v>
      </c>
      <c r="N100" s="138" t="n">
        <f aca="false">SUMPRODUCT(($M$5:$M$555&gt;M100)*1)+SUMPRODUCT(($M$5:$M$555=M100)*(ROW($M$5:$M$555)&lt;ROW(M100)))+1</f>
        <v>321</v>
      </c>
      <c r="O100" s="138" t="str">
        <f aca="false">IF(M100&gt;=0.2,"★★★ EXCELLENT",IF(M100&gt;=0.12,"★★  GOOD",IF(M100&gt;=0.07,"★  FAIR",IF(M100&gt;=0.025,"⚠  MARGINAL","✗  AVOID"))))</f>
        <v>✗  AVOID</v>
      </c>
    </row>
    <row r="101" customFormat="false" ht="15" hidden="false" customHeight="false" outlineLevel="0" collapsed="false">
      <c r="A101" s="135" t="n">
        <v>14.6</v>
      </c>
      <c r="B101" s="136" t="n">
        <f aca="false">IF(Calculator!$E$11="YES",IF(A101&lt;Calculator!$G$11,0,MIN(MIN(MOD(A101/Calculator!$F$11,1),1-MOD(A101/Calculator!$F$11,1)),ABS(MOD(A101/Calculator!$F$11,1)-0.5))),1)</f>
        <v>0</v>
      </c>
      <c r="C101" s="136" t="n">
        <f aca="false">IF(Calculator!$E$12="YES",IF(A101&lt;Calculator!$G$12,0,MIN(MIN(MOD(A101/Calculator!$F$12,1),1-MOD(A101/Calculator!$F$12,1)),ABS(MOD(A101/Calculator!$F$12,1)-0.5))),1)</f>
        <v>0</v>
      </c>
      <c r="D101" s="136" t="n">
        <f aca="false">IF(Calculator!$E$13="YES",IF(A101&lt;Calculator!$G$13,0,MIN(MIN(MOD(A101/Calculator!$F$13,1),1-MOD(A101/Calculator!$F$13,1)),ABS(MOD(A101/Calculator!$F$13,1)-0.5))),1)</f>
        <v>0.0490624561403509</v>
      </c>
      <c r="E101" s="136" t="n">
        <f aca="false">IF(Calculator!$E$14="YES",IF(A101&lt;Calculator!$G$14,0,MIN(MIN(MOD(A101/Calculator!$F$14,1),1-MOD(A101/Calculator!$F$14,1)),ABS(MOD(A101/Calculator!$F$14,1)-0.5))),1)</f>
        <v>0.232561403508772</v>
      </c>
      <c r="F101" s="136" t="n">
        <f aca="false">IF(Calculator!$E$15="YES",IF(A101&lt;Calculator!$G$15,0,MIN(MIN(MOD(A101/Calculator!$F$15,1),1-MOD(A101/Calculator!$F$15,1)),ABS(MOD(A101/Calculator!$F$15,1)-0.5))),1)</f>
        <v>0.0373684210526315</v>
      </c>
      <c r="G101" s="136" t="n">
        <f aca="false">IF(Calculator!$E$16="YES",IF(A101&lt;Calculator!$G$16,0,MIN(MIN(MOD(A101/Calculator!$F$16,1),1-MOD(A101/Calculator!$F$16,1)),ABS(MOD(A101/Calculator!$F$16,1)-0.5))),1)</f>
        <v>0.0476842105263158</v>
      </c>
      <c r="H101" s="136" t="n">
        <f aca="false">IF(Calculator!$E$17="YES",IF(A101&lt;Calculator!$G$17,0,MIN(MIN(MOD(A101/Calculator!$F$17,1),1-MOD(A101/Calculator!$F$17,1)),ABS(MOD(A101/Calculator!$F$17,1)-0.5))),1)</f>
        <v>0.143699649122807</v>
      </c>
      <c r="I101" s="136" t="n">
        <f aca="false">IF(Calculator!$E$18="YES",IF(A101&lt;Calculator!$G$18,0,MIN(MIN(MOD(A101/Calculator!$F$18,1),1-MOD(A101/Calculator!$F$18,1)),ABS(MOD(A101/Calculator!$F$18,1)-0.5))),1)</f>
        <v>0.174631578947368</v>
      </c>
      <c r="J101" s="136" t="n">
        <f aca="false">IF(Calculator!$E$19="YES",IF(A101&lt;Calculator!$G$19,0,MIN(MIN(MOD(A101/Calculator!$F$19,1),1-MOD(A101/Calculator!$F$19,1)),ABS(MOD(A101/Calculator!$F$19,1)-0.5))),1)</f>
        <v>0.0552561403508767</v>
      </c>
      <c r="K101" s="136" t="n">
        <f aca="false">IF(Calculator!$E$20="YES",IF(A101&lt;Calculator!$G$20,0,MIN(MIN(MOD(A101/Calculator!$F$20,1),1-MOD(A101/Calculator!$F$20,1)),ABS(MOD(A101/Calculator!$F$20,1)-0.5))),1)</f>
        <v>0.0441403508771931</v>
      </c>
      <c r="L101" s="136" t="n">
        <f aca="false">IF(Calculator!$E$21="YES",IF(A101&lt;Calculator!$G$21,0,MIN(MIN(MOD(A101/Calculator!$F$21,1),1-MOD(A101/Calculator!$F$21,1)),ABS(MOD(A101/Calculator!$F$21,1)-0.5))),1)</f>
        <v>0.172280701754386</v>
      </c>
      <c r="M101" s="136" t="n">
        <f aca="false">MIN(B101:L101)</f>
        <v>0</v>
      </c>
      <c r="N101" s="136" t="n">
        <f aca="false">SUMPRODUCT(($M$5:$M$555&gt;M101)*1)+SUMPRODUCT(($M$5:$M$555=M101)*(ROW($M$5:$M$555)&lt;ROW(M101)))+1</f>
        <v>322</v>
      </c>
      <c r="O101" s="136" t="str">
        <f aca="false">IF(M101&gt;=0.2,"★★★ EXCELLENT",IF(M101&gt;=0.12,"★★  GOOD",IF(M101&gt;=0.07,"★  FAIR",IF(M101&gt;=0.025,"⚠  MARGINAL","✗  AVOID"))))</f>
        <v>✗  AVOID</v>
      </c>
    </row>
    <row r="102" customFormat="false" ht="15" hidden="false" customHeight="false" outlineLevel="0" collapsed="false">
      <c r="A102" s="137" t="n">
        <v>14.7</v>
      </c>
      <c r="B102" s="138" t="n">
        <f aca="false">IF(Calculator!$E$11="YES",IF(A102&lt;Calculator!$G$11,0,MIN(MIN(MOD(A102/Calculator!$F$11,1),1-MOD(A102/Calculator!$F$11,1)),ABS(MOD(A102/Calculator!$F$11,1)-0.5))),1)</f>
        <v>0</v>
      </c>
      <c r="C102" s="138" t="n">
        <f aca="false">IF(Calculator!$E$12="YES",IF(A102&lt;Calculator!$G$12,0,MIN(MIN(MOD(A102/Calculator!$F$12,1),1-MOD(A102/Calculator!$F$12,1)),ABS(MOD(A102/Calculator!$F$12,1)-0.5))),1)</f>
        <v>0</v>
      </c>
      <c r="D102" s="138" t="n">
        <f aca="false">IF(Calculator!$E$13="YES",IF(A102&lt;Calculator!$G$13,0,MIN(MIN(MOD(A102/Calculator!$F$13,1),1-MOD(A102/Calculator!$F$13,1)),ABS(MOD(A102/Calculator!$F$13,1)-0.5))),1)</f>
        <v>0.0528231578947368</v>
      </c>
      <c r="E102" s="138" t="n">
        <f aca="false">IF(Calculator!$E$14="YES",IF(A102&lt;Calculator!$G$14,0,MIN(MIN(MOD(A102/Calculator!$F$14,1),1-MOD(A102/Calculator!$F$14,1)),ABS(MOD(A102/Calculator!$F$14,1)-0.5))),1)</f>
        <v>0.237578947368421</v>
      </c>
      <c r="F102" s="138" t="n">
        <f aca="false">IF(Calculator!$E$15="YES",IF(A102&lt;Calculator!$G$15,0,MIN(MIN(MOD(A102/Calculator!$F$15,1),1-MOD(A102/Calculator!$F$15,1)),ABS(MOD(A102/Calculator!$F$15,1)-0.5))),1)</f>
        <v>0.0444736842105262</v>
      </c>
      <c r="G102" s="138" t="n">
        <f aca="false">IF(Calculator!$E$16="YES",IF(A102&lt;Calculator!$G$16,0,MIN(MIN(MOD(A102/Calculator!$F$16,1),1-MOD(A102/Calculator!$F$16,1)),ABS(MOD(A102/Calculator!$F$16,1)-0.5))),1)</f>
        <v>0.0377368421052631</v>
      </c>
      <c r="H102" s="138" t="n">
        <f aca="false">IF(Calculator!$E$17="YES",IF(A102&lt;Calculator!$G$17,0,MIN(MIN(MOD(A102/Calculator!$F$17,1),1-MOD(A102/Calculator!$F$17,1)),ABS(MOD(A102/Calculator!$F$17,1)-0.5))),1)</f>
        <v>0.130985263157895</v>
      </c>
      <c r="I102" s="138" t="n">
        <f aca="false">IF(Calculator!$E$18="YES",IF(A102&lt;Calculator!$G$18,0,MIN(MIN(MOD(A102/Calculator!$F$18,1),1-MOD(A102/Calculator!$F$18,1)),ABS(MOD(A102/Calculator!$F$18,1)-0.5))),1)</f>
        <v>0.189526315789474</v>
      </c>
      <c r="J102" s="138" t="n">
        <f aca="false">IF(Calculator!$E$19="YES",IF(A102&lt;Calculator!$G$19,0,MIN(MIN(MOD(A102/Calculator!$F$19,1),1-MOD(A102/Calculator!$F$19,1)),ABS(MOD(A102/Calculator!$F$19,1)-0.5))),1)</f>
        <v>0.0727578947368417</v>
      </c>
      <c r="K102" s="138" t="n">
        <f aca="false">IF(Calculator!$E$20="YES",IF(A102&lt;Calculator!$G$20,0,MIN(MIN(MOD(A102/Calculator!$F$20,1),1-MOD(A102/Calculator!$F$20,1)),ABS(MOD(A102/Calculator!$F$20,1)-0.5))),1)</f>
        <v>0.0238947368421054</v>
      </c>
      <c r="L102" s="138" t="n">
        <f aca="false">IF(Calculator!$E$21="YES",IF(A102&lt;Calculator!$G$21,0,MIN(MIN(MOD(A102/Calculator!$F$21,1),1-MOD(A102/Calculator!$F$21,1)),ABS(MOD(A102/Calculator!$F$21,1)-0.5))),1)</f>
        <v>0.135789473684211</v>
      </c>
      <c r="M102" s="138" t="n">
        <f aca="false">MIN(B102:L102)</f>
        <v>0</v>
      </c>
      <c r="N102" s="138" t="n">
        <f aca="false">SUMPRODUCT(($M$5:$M$555&gt;M102)*1)+SUMPRODUCT(($M$5:$M$555=M102)*(ROW($M$5:$M$555)&lt;ROW(M102)))+1</f>
        <v>323</v>
      </c>
      <c r="O102" s="138" t="str">
        <f aca="false">IF(M102&gt;=0.2,"★★★ EXCELLENT",IF(M102&gt;=0.12,"★★  GOOD",IF(M102&gt;=0.07,"★  FAIR",IF(M102&gt;=0.025,"⚠  MARGINAL","✗  AVOID"))))</f>
        <v>✗  AVOID</v>
      </c>
    </row>
    <row r="103" customFormat="false" ht="15" hidden="false" customHeight="false" outlineLevel="0" collapsed="false">
      <c r="A103" s="135" t="n">
        <v>14.8</v>
      </c>
      <c r="B103" s="136" t="n">
        <f aca="false">IF(Calculator!$E$11="YES",IF(A103&lt;Calculator!$G$11,0,MIN(MIN(MOD(A103/Calculator!$F$11,1),1-MOD(A103/Calculator!$F$11,1)),ABS(MOD(A103/Calculator!$F$11,1)-0.5))),1)</f>
        <v>0</v>
      </c>
      <c r="C103" s="136" t="n">
        <f aca="false">IF(Calculator!$E$12="YES",IF(A103&lt;Calculator!$G$12,0,MIN(MIN(MOD(A103/Calculator!$F$12,1),1-MOD(A103/Calculator!$F$12,1)),ABS(MOD(A103/Calculator!$F$12,1)-0.5))),1)</f>
        <v>0</v>
      </c>
      <c r="D103" s="136" t="n">
        <f aca="false">IF(Calculator!$E$13="YES",IF(A103&lt;Calculator!$G$13,0,MIN(MIN(MOD(A103/Calculator!$F$13,1),1-MOD(A103/Calculator!$F$13,1)),ABS(MOD(A103/Calculator!$F$13,1)-0.5))),1)</f>
        <v>0.0565838596491228</v>
      </c>
      <c r="E103" s="136" t="n">
        <f aca="false">IF(Calculator!$E$14="YES",IF(A103&lt;Calculator!$G$14,0,MIN(MIN(MOD(A103/Calculator!$F$14,1),1-MOD(A103/Calculator!$F$14,1)),ABS(MOD(A103/Calculator!$F$14,1)-0.5))),1)</f>
        <v>0.24259649122807</v>
      </c>
      <c r="F103" s="136" t="n">
        <f aca="false">IF(Calculator!$E$15="YES",IF(A103&lt;Calculator!$G$15,0,MIN(MIN(MOD(A103/Calculator!$F$15,1),1-MOD(A103/Calculator!$F$15,1)),ABS(MOD(A103/Calculator!$F$15,1)-0.5))),1)</f>
        <v>0.0515789473684212</v>
      </c>
      <c r="G103" s="136" t="n">
        <f aca="false">IF(Calculator!$E$16="YES",IF(A103&lt;Calculator!$G$16,0,MIN(MIN(MOD(A103/Calculator!$F$16,1),1-MOD(A103/Calculator!$F$16,1)),ABS(MOD(A103/Calculator!$F$16,1)-0.5))),1)</f>
        <v>0.0277894736842104</v>
      </c>
      <c r="H103" s="136" t="n">
        <f aca="false">IF(Calculator!$E$17="YES",IF(A103&lt;Calculator!$G$17,0,MIN(MIN(MOD(A103/Calculator!$F$17,1),1-MOD(A103/Calculator!$F$17,1)),ABS(MOD(A103/Calculator!$F$17,1)-0.5))),1)</f>
        <v>0.118270877192982</v>
      </c>
      <c r="I103" s="136" t="n">
        <f aca="false">IF(Calculator!$E$18="YES",IF(A103&lt;Calculator!$G$18,0,MIN(MIN(MOD(A103/Calculator!$F$18,1),1-MOD(A103/Calculator!$F$18,1)),ABS(MOD(A103/Calculator!$F$18,1)-0.5))),1)</f>
        <v>0.204421052631579</v>
      </c>
      <c r="J103" s="136" t="n">
        <f aca="false">IF(Calculator!$E$19="YES",IF(A103&lt;Calculator!$G$19,0,MIN(MIN(MOD(A103/Calculator!$F$19,1),1-MOD(A103/Calculator!$F$19,1)),ABS(MOD(A103/Calculator!$F$19,1)-0.5))),1)</f>
        <v>0.0902596491228067</v>
      </c>
      <c r="K103" s="136" t="n">
        <f aca="false">IF(Calculator!$E$20="YES",IF(A103&lt;Calculator!$G$20,0,MIN(MIN(MOD(A103/Calculator!$F$20,1),1-MOD(A103/Calculator!$F$20,1)),ABS(MOD(A103/Calculator!$F$20,1)-0.5))),1)</f>
        <v>0.00364912280701724</v>
      </c>
      <c r="L103" s="136" t="n">
        <f aca="false">IF(Calculator!$E$21="YES",IF(A103&lt;Calculator!$G$21,0,MIN(MIN(MOD(A103/Calculator!$F$21,1),1-MOD(A103/Calculator!$F$21,1)),ABS(MOD(A103/Calculator!$F$21,1)-0.5))),1)</f>
        <v>0.099298245614035</v>
      </c>
      <c r="M103" s="136" t="n">
        <f aca="false">MIN(B103:L103)</f>
        <v>0</v>
      </c>
      <c r="N103" s="136" t="n">
        <f aca="false">SUMPRODUCT(($M$5:$M$555&gt;M103)*1)+SUMPRODUCT(($M$5:$M$555=M103)*(ROW($M$5:$M$555)&lt;ROW(M103)))+1</f>
        <v>324</v>
      </c>
      <c r="O103" s="136" t="str">
        <f aca="false">IF(M103&gt;=0.2,"★★★ EXCELLENT",IF(M103&gt;=0.12,"★★  GOOD",IF(M103&gt;=0.07,"★  FAIR",IF(M103&gt;=0.025,"⚠  MARGINAL","✗  AVOID"))))</f>
        <v>✗  AVOID</v>
      </c>
    </row>
    <row r="104" customFormat="false" ht="15" hidden="false" customHeight="false" outlineLevel="0" collapsed="false">
      <c r="A104" s="137" t="n">
        <v>14.9</v>
      </c>
      <c r="B104" s="138" t="n">
        <f aca="false">IF(Calculator!$E$11="YES",IF(A104&lt;Calculator!$G$11,0,MIN(MIN(MOD(A104/Calculator!$F$11,1),1-MOD(A104/Calculator!$F$11,1)),ABS(MOD(A104/Calculator!$F$11,1)-0.5))),1)</f>
        <v>0</v>
      </c>
      <c r="C104" s="138" t="n">
        <f aca="false">IF(Calculator!$E$12="YES",IF(A104&lt;Calculator!$G$12,0,MIN(MIN(MOD(A104/Calculator!$F$12,1),1-MOD(A104/Calculator!$F$12,1)),ABS(MOD(A104/Calculator!$F$12,1)-0.5))),1)</f>
        <v>0</v>
      </c>
      <c r="D104" s="138" t="n">
        <f aca="false">IF(Calculator!$E$13="YES",IF(A104&lt;Calculator!$G$13,0,MIN(MIN(MOD(A104/Calculator!$F$13,1),1-MOD(A104/Calculator!$F$13,1)),ABS(MOD(A104/Calculator!$F$13,1)-0.5))),1)</f>
        <v>0.0603445614035087</v>
      </c>
      <c r="E104" s="138" t="n">
        <f aca="false">IF(Calculator!$E$14="YES",IF(A104&lt;Calculator!$G$14,0,MIN(MIN(MOD(A104/Calculator!$F$14,1),1-MOD(A104/Calculator!$F$14,1)),ABS(MOD(A104/Calculator!$F$14,1)-0.5))),1)</f>
        <v>0.247614035087719</v>
      </c>
      <c r="F104" s="138" t="n">
        <f aca="false">IF(Calculator!$E$15="YES",IF(A104&lt;Calculator!$G$15,0,MIN(MIN(MOD(A104/Calculator!$F$15,1),1-MOD(A104/Calculator!$F$15,1)),ABS(MOD(A104/Calculator!$F$15,1)-0.5))),1)</f>
        <v>0.0586842105263159</v>
      </c>
      <c r="G104" s="138" t="n">
        <f aca="false">IF(Calculator!$E$16="YES",IF(A104&lt;Calculator!$G$16,0,MIN(MIN(MOD(A104/Calculator!$F$16,1),1-MOD(A104/Calculator!$F$16,1)),ABS(MOD(A104/Calculator!$F$16,1)-0.5))),1)</f>
        <v>0.0178421052631577</v>
      </c>
      <c r="H104" s="138" t="n">
        <f aca="false">IF(Calculator!$E$17="YES",IF(A104&lt;Calculator!$G$17,0,MIN(MIN(MOD(A104/Calculator!$F$17,1),1-MOD(A104/Calculator!$F$17,1)),ABS(MOD(A104/Calculator!$F$17,1)-0.5))),1)</f>
        <v>0.10555649122807</v>
      </c>
      <c r="I104" s="138" t="n">
        <f aca="false">IF(Calculator!$E$18="YES",IF(A104&lt;Calculator!$G$18,0,MIN(MIN(MOD(A104/Calculator!$F$18,1),1-MOD(A104/Calculator!$F$18,1)),ABS(MOD(A104/Calculator!$F$18,1)-0.5))),1)</f>
        <v>0.219315789473684</v>
      </c>
      <c r="J104" s="138" t="n">
        <f aca="false">IF(Calculator!$E$19="YES",IF(A104&lt;Calculator!$G$19,0,MIN(MIN(MOD(A104/Calculator!$F$19,1),1-MOD(A104/Calculator!$F$19,1)),ABS(MOD(A104/Calculator!$F$19,1)-0.5))),1)</f>
        <v>0.107761403508772</v>
      </c>
      <c r="K104" s="138" t="n">
        <f aca="false">IF(Calculator!$E$20="YES",IF(A104&lt;Calculator!$G$20,0,MIN(MIN(MOD(A104/Calculator!$F$20,1),1-MOD(A104/Calculator!$F$20,1)),ABS(MOD(A104/Calculator!$F$20,1)-0.5))),1)</f>
        <v>0.0165964912280701</v>
      </c>
      <c r="L104" s="138" t="n">
        <f aca="false">IF(Calculator!$E$21="YES",IF(A104&lt;Calculator!$G$21,0,MIN(MIN(MOD(A104/Calculator!$F$21,1),1-MOD(A104/Calculator!$F$21,1)),ABS(MOD(A104/Calculator!$F$21,1)-0.5))),1)</f>
        <v>0.06280701754386</v>
      </c>
      <c r="M104" s="138" t="n">
        <f aca="false">MIN(B104:L104)</f>
        <v>0</v>
      </c>
      <c r="N104" s="138" t="n">
        <f aca="false">SUMPRODUCT(($M$5:$M$555&gt;M104)*1)+SUMPRODUCT(($M$5:$M$555=M104)*(ROW($M$5:$M$555)&lt;ROW(M104)))+1</f>
        <v>325</v>
      </c>
      <c r="O104" s="138" t="str">
        <f aca="false">IF(M104&gt;=0.2,"★★★ EXCELLENT",IF(M104&gt;=0.12,"★★  GOOD",IF(M104&gt;=0.07,"★  FAIR",IF(M104&gt;=0.025,"⚠  MARGINAL","✗  AVOID"))))</f>
        <v>✗  AVOID</v>
      </c>
    </row>
    <row r="105" customFormat="false" ht="15" hidden="false" customHeight="false" outlineLevel="0" collapsed="false">
      <c r="A105" s="135" t="n">
        <v>15</v>
      </c>
      <c r="B105" s="136" t="n">
        <f aca="false">IF(Calculator!$E$11="YES",IF(A105&lt;Calculator!$G$11,0,MIN(MIN(MOD(A105/Calculator!$F$11,1),1-MOD(A105/Calculator!$F$11,1)),ABS(MOD(A105/Calculator!$F$11,1)-0.5))),1)</f>
        <v>0</v>
      </c>
      <c r="C105" s="136" t="n">
        <f aca="false">IF(Calculator!$E$12="YES",IF(A105&lt;Calculator!$G$12,0,MIN(MIN(MOD(A105/Calculator!$F$12,1),1-MOD(A105/Calculator!$F$12,1)),ABS(MOD(A105/Calculator!$F$12,1)-0.5))),1)</f>
        <v>0</v>
      </c>
      <c r="D105" s="136" t="n">
        <f aca="false">IF(Calculator!$E$13="YES",IF(A105&lt;Calculator!$G$13,0,MIN(MIN(MOD(A105/Calculator!$F$13,1),1-MOD(A105/Calculator!$F$13,1)),ABS(MOD(A105/Calculator!$F$13,1)-0.5))),1)</f>
        <v>0.0641052631578947</v>
      </c>
      <c r="E105" s="136" t="n">
        <f aca="false">IF(Calculator!$E$14="YES",IF(A105&lt;Calculator!$G$14,0,MIN(MIN(MOD(A105/Calculator!$F$14,1),1-MOD(A105/Calculator!$F$14,1)),ABS(MOD(A105/Calculator!$F$14,1)-0.5))),1)</f>
        <v>0.247368421052632</v>
      </c>
      <c r="F105" s="136" t="n">
        <f aca="false">IF(Calculator!$E$15="YES",IF(A105&lt;Calculator!$G$15,0,MIN(MIN(MOD(A105/Calculator!$F$15,1),1-MOD(A105/Calculator!$F$15,1)),ABS(MOD(A105/Calculator!$F$15,1)-0.5))),1)</f>
        <v>0.0657894736842104</v>
      </c>
      <c r="G105" s="136" t="n">
        <f aca="false">IF(Calculator!$E$16="YES",IF(A105&lt;Calculator!$G$16,0,MIN(MIN(MOD(A105/Calculator!$F$16,1),1-MOD(A105/Calculator!$F$16,1)),ABS(MOD(A105/Calculator!$F$16,1)-0.5))),1)</f>
        <v>0.00789473684210518</v>
      </c>
      <c r="H105" s="136" t="n">
        <f aca="false">IF(Calculator!$E$17="YES",IF(A105&lt;Calculator!$G$17,0,MIN(MIN(MOD(A105/Calculator!$F$17,1),1-MOD(A105/Calculator!$F$17,1)),ABS(MOD(A105/Calculator!$F$17,1)-0.5))),1)</f>
        <v>0.0928421052631576</v>
      </c>
      <c r="I105" s="136" t="n">
        <f aca="false">IF(Calculator!$E$18="YES",IF(A105&lt;Calculator!$G$18,0,MIN(MIN(MOD(A105/Calculator!$F$18,1),1-MOD(A105/Calculator!$F$18,1)),ABS(MOD(A105/Calculator!$F$18,1)-0.5))),1)</f>
        <v>0.23421052631579</v>
      </c>
      <c r="J105" s="136" t="n">
        <f aca="false">IF(Calculator!$E$19="YES",IF(A105&lt;Calculator!$G$19,0,MIN(MIN(MOD(A105/Calculator!$F$19,1),1-MOD(A105/Calculator!$F$19,1)),ABS(MOD(A105/Calculator!$F$19,1)-0.5))),1)</f>
        <v>0.125263157894736</v>
      </c>
      <c r="K105" s="136" t="n">
        <f aca="false">IF(Calculator!$E$20="YES",IF(A105&lt;Calculator!$G$20,0,MIN(MIN(MOD(A105/Calculator!$F$20,1),1-MOD(A105/Calculator!$F$20,1)),ABS(MOD(A105/Calculator!$F$20,1)-0.5))),1)</f>
        <v>0.0368421052631578</v>
      </c>
      <c r="L105" s="136" t="n">
        <f aca="false">IF(Calculator!$E$21="YES",IF(A105&lt;Calculator!$G$21,0,MIN(MIN(MOD(A105/Calculator!$F$21,1),1-MOD(A105/Calculator!$F$21,1)),ABS(MOD(A105/Calculator!$F$21,1)-0.5))),1)</f>
        <v>0.0263157894736841</v>
      </c>
      <c r="M105" s="136" t="n">
        <f aca="false">MIN(B105:L105)</f>
        <v>0</v>
      </c>
      <c r="N105" s="136" t="n">
        <f aca="false">SUMPRODUCT(($M$5:$M$555&gt;M105)*1)+SUMPRODUCT(($M$5:$M$555=M105)*(ROW($M$5:$M$555)&lt;ROW(M105)))+1</f>
        <v>326</v>
      </c>
      <c r="O105" s="136" t="str">
        <f aca="false">IF(M105&gt;=0.2,"★★★ EXCELLENT",IF(M105&gt;=0.12,"★★  GOOD",IF(M105&gt;=0.07,"★  FAIR",IF(M105&gt;=0.025,"⚠  MARGINAL","✗  AVOID"))))</f>
        <v>✗  AVOID</v>
      </c>
    </row>
    <row r="106" customFormat="false" ht="15" hidden="false" customHeight="false" outlineLevel="0" collapsed="false">
      <c r="A106" s="137" t="n">
        <v>15.1</v>
      </c>
      <c r="B106" s="138" t="n">
        <f aca="false">IF(Calculator!$E$11="YES",IF(A106&lt;Calculator!$G$11,0,MIN(MIN(MOD(A106/Calculator!$F$11,1),1-MOD(A106/Calculator!$F$11,1)),ABS(MOD(A106/Calculator!$F$11,1)-0.5))),1)</f>
        <v>0</v>
      </c>
      <c r="C106" s="138" t="n">
        <f aca="false">IF(Calculator!$E$12="YES",IF(A106&lt;Calculator!$G$12,0,MIN(MIN(MOD(A106/Calculator!$F$12,1),1-MOD(A106/Calculator!$F$12,1)),ABS(MOD(A106/Calculator!$F$12,1)-0.5))),1)</f>
        <v>0</v>
      </c>
      <c r="D106" s="138" t="n">
        <f aca="false">IF(Calculator!$E$13="YES",IF(A106&lt;Calculator!$G$13,0,MIN(MIN(MOD(A106/Calculator!$F$13,1),1-MOD(A106/Calculator!$F$13,1)),ABS(MOD(A106/Calculator!$F$13,1)-0.5))),1)</f>
        <v>0.0678659649122807</v>
      </c>
      <c r="E106" s="138" t="n">
        <f aca="false">IF(Calculator!$E$14="YES",IF(A106&lt;Calculator!$G$14,0,MIN(MIN(MOD(A106/Calculator!$F$14,1),1-MOD(A106/Calculator!$F$14,1)),ABS(MOD(A106/Calculator!$F$14,1)-0.5))),1)</f>
        <v>0.242350877192982</v>
      </c>
      <c r="F106" s="138" t="n">
        <f aca="false">IF(Calculator!$E$15="YES",IF(A106&lt;Calculator!$G$15,0,MIN(MIN(MOD(A106/Calculator!$F$15,1),1-MOD(A106/Calculator!$F$15,1)),ABS(MOD(A106/Calculator!$F$15,1)-0.5))),1)</f>
        <v>0.0728947368421051</v>
      </c>
      <c r="G106" s="138" t="n">
        <f aca="false">IF(Calculator!$E$16="YES",IF(A106&lt;Calculator!$G$16,0,MIN(MIN(MOD(A106/Calculator!$F$16,1),1-MOD(A106/Calculator!$F$16,1)),ABS(MOD(A106/Calculator!$F$16,1)-0.5))),1)</f>
        <v>0.00205263157894753</v>
      </c>
      <c r="H106" s="138" t="n">
        <f aca="false">IF(Calculator!$E$17="YES",IF(A106&lt;Calculator!$G$17,0,MIN(MIN(MOD(A106/Calculator!$F$17,1),1-MOD(A106/Calculator!$F$17,1)),ABS(MOD(A106/Calculator!$F$17,1)-0.5))),1)</f>
        <v>0.0801277192982455</v>
      </c>
      <c r="I106" s="138" t="n">
        <f aca="false">IF(Calculator!$E$18="YES",IF(A106&lt;Calculator!$G$18,0,MIN(MIN(MOD(A106/Calculator!$F$18,1),1-MOD(A106/Calculator!$F$18,1)),ABS(MOD(A106/Calculator!$F$18,1)-0.5))),1)</f>
        <v>0.249105263157895</v>
      </c>
      <c r="J106" s="138" t="n">
        <f aca="false">IF(Calculator!$E$19="YES",IF(A106&lt;Calculator!$G$19,0,MIN(MIN(MOD(A106/Calculator!$F$19,1),1-MOD(A106/Calculator!$F$19,1)),ABS(MOD(A106/Calculator!$F$19,1)-0.5))),1)</f>
        <v>0.142764912280701</v>
      </c>
      <c r="K106" s="138" t="n">
        <f aca="false">IF(Calculator!$E$20="YES",IF(A106&lt;Calculator!$G$20,0,MIN(MIN(MOD(A106/Calculator!$F$20,1),1-MOD(A106/Calculator!$F$20,1)),ABS(MOD(A106/Calculator!$F$20,1)-0.5))),1)</f>
        <v>0.0570877192982455</v>
      </c>
      <c r="L106" s="138" t="n">
        <f aca="false">IF(Calculator!$E$21="YES",IF(A106&lt;Calculator!$G$21,0,MIN(MIN(MOD(A106/Calculator!$F$21,1),1-MOD(A106/Calculator!$F$21,1)),ABS(MOD(A106/Calculator!$F$21,1)-0.5))),1)</f>
        <v>0.0101754385964909</v>
      </c>
      <c r="M106" s="138" t="n">
        <f aca="false">MIN(B106:L106)</f>
        <v>0</v>
      </c>
      <c r="N106" s="138" t="n">
        <f aca="false">SUMPRODUCT(($M$5:$M$555&gt;M106)*1)+SUMPRODUCT(($M$5:$M$555=M106)*(ROW($M$5:$M$555)&lt;ROW(M106)))+1</f>
        <v>327</v>
      </c>
      <c r="O106" s="138" t="str">
        <f aca="false">IF(M106&gt;=0.2,"★★★ EXCELLENT",IF(M106&gt;=0.12,"★★  GOOD",IF(M106&gt;=0.07,"★  FAIR",IF(M106&gt;=0.025,"⚠  MARGINAL","✗  AVOID"))))</f>
        <v>✗  AVOID</v>
      </c>
    </row>
    <row r="107" customFormat="false" ht="15" hidden="false" customHeight="false" outlineLevel="0" collapsed="false">
      <c r="A107" s="135" t="n">
        <v>15.2</v>
      </c>
      <c r="B107" s="136" t="n">
        <f aca="false">IF(Calculator!$E$11="YES",IF(A107&lt;Calculator!$G$11,0,MIN(MIN(MOD(A107/Calculator!$F$11,1),1-MOD(A107/Calculator!$F$11,1)),ABS(MOD(A107/Calculator!$F$11,1)-0.5))),1)</f>
        <v>0</v>
      </c>
      <c r="C107" s="136" t="n">
        <f aca="false">IF(Calculator!$E$12="YES",IF(A107&lt;Calculator!$G$12,0,MIN(MIN(MOD(A107/Calculator!$F$12,1),1-MOD(A107/Calculator!$F$12,1)),ABS(MOD(A107/Calculator!$F$12,1)-0.5))),1)</f>
        <v>0</v>
      </c>
      <c r="D107" s="136" t="n">
        <f aca="false">IF(Calculator!$E$13="YES",IF(A107&lt;Calculator!$G$13,0,MIN(MIN(MOD(A107/Calculator!$F$13,1),1-MOD(A107/Calculator!$F$13,1)),ABS(MOD(A107/Calculator!$F$13,1)-0.5))),1)</f>
        <v>0.0716266666666666</v>
      </c>
      <c r="E107" s="136" t="n">
        <f aca="false">IF(Calculator!$E$14="YES",IF(A107&lt;Calculator!$G$14,0,MIN(MIN(MOD(A107/Calculator!$F$14,1),1-MOD(A107/Calculator!$F$14,1)),ABS(MOD(A107/Calculator!$F$14,1)-0.5))),1)</f>
        <v>0.237333333333333</v>
      </c>
      <c r="F107" s="136" t="n">
        <f aca="false">IF(Calculator!$E$15="YES",IF(A107&lt;Calculator!$G$15,0,MIN(MIN(MOD(A107/Calculator!$F$15,1),1-MOD(A107/Calculator!$F$15,1)),ABS(MOD(A107/Calculator!$F$15,1)-0.5))),1)</f>
        <v>0.0799999999999999</v>
      </c>
      <c r="G107" s="136" t="n">
        <f aca="false">IF(Calculator!$E$16="YES",IF(A107&lt;Calculator!$G$16,0,MIN(MIN(MOD(A107/Calculator!$F$16,1),1-MOD(A107/Calculator!$F$16,1)),ABS(MOD(A107/Calculator!$F$16,1)-0.5))),1)</f>
        <v>0.012</v>
      </c>
      <c r="H107" s="136" t="n">
        <f aca="false">IF(Calculator!$E$17="YES",IF(A107&lt;Calculator!$G$17,0,MIN(MIN(MOD(A107/Calculator!$F$17,1),1-MOD(A107/Calculator!$F$17,1)),ABS(MOD(A107/Calculator!$F$17,1)-0.5))),1)</f>
        <v>0.0674133333333331</v>
      </c>
      <c r="I107" s="136" t="n">
        <f aca="false">IF(Calculator!$E$18="YES",IF(A107&lt;Calculator!$G$18,0,MIN(MIN(MOD(A107/Calculator!$F$18,1),1-MOD(A107/Calculator!$F$18,1)),ABS(MOD(A107/Calculator!$F$18,1)-0.5))),1)</f>
        <v>0.236</v>
      </c>
      <c r="J107" s="136" t="n">
        <f aca="false">IF(Calculator!$E$19="YES",IF(A107&lt;Calculator!$G$19,0,MIN(MIN(MOD(A107/Calculator!$F$19,1),1-MOD(A107/Calculator!$F$19,1)),ABS(MOD(A107/Calculator!$F$19,1)-0.5))),1)</f>
        <v>0.160266666666666</v>
      </c>
      <c r="K107" s="136" t="n">
        <f aca="false">IF(Calculator!$E$20="YES",IF(A107&lt;Calculator!$G$20,0,MIN(MIN(MOD(A107/Calculator!$F$20,1),1-MOD(A107/Calculator!$F$20,1)),ABS(MOD(A107/Calculator!$F$20,1)-0.5))),1)</f>
        <v>0.0773333333333333</v>
      </c>
      <c r="L107" s="136" t="n">
        <f aca="false">IF(Calculator!$E$21="YES",IF(A107&lt;Calculator!$G$21,0,MIN(MIN(MOD(A107/Calculator!$F$21,1),1-MOD(A107/Calculator!$F$21,1)),ABS(MOD(A107/Calculator!$F$21,1)-0.5))),1)</f>
        <v>0.046666666666666</v>
      </c>
      <c r="M107" s="136" t="n">
        <f aca="false">MIN(B107:L107)</f>
        <v>0</v>
      </c>
      <c r="N107" s="136" t="n">
        <f aca="false">SUMPRODUCT(($M$5:$M$555&gt;M107)*1)+SUMPRODUCT(($M$5:$M$555=M107)*(ROW($M$5:$M$555)&lt;ROW(M107)))+1</f>
        <v>328</v>
      </c>
      <c r="O107" s="136" t="str">
        <f aca="false">IF(M107&gt;=0.2,"★★★ EXCELLENT",IF(M107&gt;=0.12,"★★  GOOD",IF(M107&gt;=0.07,"★  FAIR",IF(M107&gt;=0.025,"⚠  MARGINAL","✗  AVOID"))))</f>
        <v>✗  AVOID</v>
      </c>
    </row>
    <row r="108" customFormat="false" ht="15" hidden="false" customHeight="false" outlineLevel="0" collapsed="false">
      <c r="A108" s="137" t="n">
        <v>15.3</v>
      </c>
      <c r="B108" s="138" t="n">
        <f aca="false">IF(Calculator!$E$11="YES",IF(A108&lt;Calculator!$G$11,0,MIN(MIN(MOD(A108/Calculator!$F$11,1),1-MOD(A108/Calculator!$F$11,1)),ABS(MOD(A108/Calculator!$F$11,1)-0.5))),1)</f>
        <v>0</v>
      </c>
      <c r="C108" s="138" t="n">
        <f aca="false">IF(Calculator!$E$12="YES",IF(A108&lt;Calculator!$G$12,0,MIN(MIN(MOD(A108/Calculator!$F$12,1),1-MOD(A108/Calculator!$F$12,1)),ABS(MOD(A108/Calculator!$F$12,1)-0.5))),1)</f>
        <v>0</v>
      </c>
      <c r="D108" s="138" t="n">
        <f aca="false">IF(Calculator!$E$13="YES",IF(A108&lt;Calculator!$G$13,0,MIN(MIN(MOD(A108/Calculator!$F$13,1),1-MOD(A108/Calculator!$F$13,1)),ABS(MOD(A108/Calculator!$F$13,1)-0.5))),1)</f>
        <v>0.0753873684210527</v>
      </c>
      <c r="E108" s="138" t="n">
        <f aca="false">IF(Calculator!$E$14="YES",IF(A108&lt;Calculator!$G$14,0,MIN(MIN(MOD(A108/Calculator!$F$14,1),1-MOD(A108/Calculator!$F$14,1)),ABS(MOD(A108/Calculator!$F$14,1)-0.5))),1)</f>
        <v>0.232315789473684</v>
      </c>
      <c r="F108" s="138" t="n">
        <f aca="false">IF(Calculator!$E$15="YES",IF(A108&lt;Calculator!$G$15,0,MIN(MIN(MOD(A108/Calculator!$F$15,1),1-MOD(A108/Calculator!$F$15,1)),ABS(MOD(A108/Calculator!$F$15,1)-0.5))),1)</f>
        <v>0.0871052631578948</v>
      </c>
      <c r="G108" s="138" t="n">
        <f aca="false">IF(Calculator!$E$16="YES",IF(A108&lt;Calculator!$G$16,0,MIN(MIN(MOD(A108/Calculator!$F$16,1),1-MOD(A108/Calculator!$F$16,1)),ABS(MOD(A108/Calculator!$F$16,1)-0.5))),1)</f>
        <v>0.0219473684210527</v>
      </c>
      <c r="H108" s="138" t="n">
        <f aca="false">IF(Calculator!$E$17="YES",IF(A108&lt;Calculator!$G$17,0,MIN(MIN(MOD(A108/Calculator!$F$17,1),1-MOD(A108/Calculator!$F$17,1)),ABS(MOD(A108/Calculator!$F$17,1)-0.5))),1)</f>
        <v>0.0546989473684207</v>
      </c>
      <c r="I108" s="138" t="n">
        <f aca="false">IF(Calculator!$E$18="YES",IF(A108&lt;Calculator!$G$18,0,MIN(MIN(MOD(A108/Calculator!$F$18,1),1-MOD(A108/Calculator!$F$18,1)),ABS(MOD(A108/Calculator!$F$18,1)-0.5))),1)</f>
        <v>0.221105263157895</v>
      </c>
      <c r="J108" s="138" t="n">
        <f aca="false">IF(Calculator!$E$19="YES",IF(A108&lt;Calculator!$G$19,0,MIN(MIN(MOD(A108/Calculator!$F$19,1),1-MOD(A108/Calculator!$F$19,1)),ABS(MOD(A108/Calculator!$F$19,1)-0.5))),1)</f>
        <v>0.177768421052631</v>
      </c>
      <c r="K108" s="138" t="n">
        <f aca="false">IF(Calculator!$E$20="YES",IF(A108&lt;Calculator!$G$20,0,MIN(MIN(MOD(A108/Calculator!$F$20,1),1-MOD(A108/Calculator!$F$20,1)),ABS(MOD(A108/Calculator!$F$20,1)-0.5))),1)</f>
        <v>0.097578947368421</v>
      </c>
      <c r="L108" s="138" t="n">
        <f aca="false">IF(Calculator!$E$21="YES",IF(A108&lt;Calculator!$G$21,0,MIN(MIN(MOD(A108/Calculator!$F$21,1),1-MOD(A108/Calculator!$F$21,1)),ABS(MOD(A108/Calculator!$F$21,1)-0.5))),1)</f>
        <v>0.0831578947368419</v>
      </c>
      <c r="M108" s="138" t="n">
        <f aca="false">MIN(B108:L108)</f>
        <v>0</v>
      </c>
      <c r="N108" s="138" t="n">
        <f aca="false">SUMPRODUCT(($M$5:$M$555&gt;M108)*1)+SUMPRODUCT(($M$5:$M$555=M108)*(ROW($M$5:$M$555)&lt;ROW(M108)))+1</f>
        <v>329</v>
      </c>
      <c r="O108" s="138" t="str">
        <f aca="false">IF(M108&gt;=0.2,"★★★ EXCELLENT",IF(M108&gt;=0.12,"★★  GOOD",IF(M108&gt;=0.07,"★  FAIR",IF(M108&gt;=0.025,"⚠  MARGINAL","✗  AVOID"))))</f>
        <v>✗  AVOID</v>
      </c>
    </row>
    <row r="109" customFormat="false" ht="15" hidden="false" customHeight="false" outlineLevel="0" collapsed="false">
      <c r="A109" s="135" t="n">
        <v>15.4</v>
      </c>
      <c r="B109" s="136" t="n">
        <f aca="false">IF(Calculator!$E$11="YES",IF(A109&lt;Calculator!$G$11,0,MIN(MIN(MOD(A109/Calculator!$F$11,1),1-MOD(A109/Calculator!$F$11,1)),ABS(MOD(A109/Calculator!$F$11,1)-0.5))),1)</f>
        <v>0</v>
      </c>
      <c r="C109" s="136" t="n">
        <f aca="false">IF(Calculator!$E$12="YES",IF(A109&lt;Calculator!$G$12,0,MIN(MIN(MOD(A109/Calculator!$F$12,1),1-MOD(A109/Calculator!$F$12,1)),ABS(MOD(A109/Calculator!$F$12,1)-0.5))),1)</f>
        <v>0</v>
      </c>
      <c r="D109" s="136" t="n">
        <f aca="false">IF(Calculator!$E$13="YES",IF(A109&lt;Calculator!$G$13,0,MIN(MIN(MOD(A109/Calculator!$F$13,1),1-MOD(A109/Calculator!$F$13,1)),ABS(MOD(A109/Calculator!$F$13,1)-0.5))),1)</f>
        <v>0.0791480701754386</v>
      </c>
      <c r="E109" s="136" t="n">
        <f aca="false">IF(Calculator!$E$14="YES",IF(A109&lt;Calculator!$G$14,0,MIN(MIN(MOD(A109/Calculator!$F$14,1),1-MOD(A109/Calculator!$F$14,1)),ABS(MOD(A109/Calculator!$F$14,1)-0.5))),1)</f>
        <v>0.227298245614035</v>
      </c>
      <c r="F109" s="136" t="n">
        <f aca="false">IF(Calculator!$E$15="YES",IF(A109&lt;Calculator!$G$15,0,MIN(MIN(MOD(A109/Calculator!$F$15,1),1-MOD(A109/Calculator!$F$15,1)),ABS(MOD(A109/Calculator!$F$15,1)-0.5))),1)</f>
        <v>0.0942105263157895</v>
      </c>
      <c r="G109" s="136" t="n">
        <f aca="false">IF(Calculator!$E$16="YES",IF(A109&lt;Calculator!$G$16,0,MIN(MIN(MOD(A109/Calculator!$F$16,1),1-MOD(A109/Calculator!$F$16,1)),ABS(MOD(A109/Calculator!$F$16,1)-0.5))),1)</f>
        <v>0.0318947368421054</v>
      </c>
      <c r="H109" s="136" t="n">
        <f aca="false">IF(Calculator!$E$17="YES",IF(A109&lt;Calculator!$G$17,0,MIN(MIN(MOD(A109/Calculator!$F$17,1),1-MOD(A109/Calculator!$F$17,1)),ABS(MOD(A109/Calculator!$F$17,1)-0.5))),1)</f>
        <v>0.0419845614035086</v>
      </c>
      <c r="I109" s="136" t="n">
        <f aca="false">IF(Calculator!$E$18="YES",IF(A109&lt;Calculator!$G$18,0,MIN(MIN(MOD(A109/Calculator!$F$18,1),1-MOD(A109/Calculator!$F$18,1)),ABS(MOD(A109/Calculator!$F$18,1)-0.5))),1)</f>
        <v>0.206210526315789</v>
      </c>
      <c r="J109" s="136" t="n">
        <f aca="false">IF(Calculator!$E$19="YES",IF(A109&lt;Calculator!$G$19,0,MIN(MIN(MOD(A109/Calculator!$F$19,1),1-MOD(A109/Calculator!$F$19,1)),ABS(MOD(A109/Calculator!$F$19,1)-0.5))),1)</f>
        <v>0.195270175438596</v>
      </c>
      <c r="K109" s="136" t="n">
        <f aca="false">IF(Calculator!$E$20="YES",IF(A109&lt;Calculator!$G$20,0,MIN(MIN(MOD(A109/Calculator!$F$20,1),1-MOD(A109/Calculator!$F$20,1)),ABS(MOD(A109/Calculator!$F$20,1)-0.5))),1)</f>
        <v>0.117824561403509</v>
      </c>
      <c r="L109" s="136" t="n">
        <f aca="false">IF(Calculator!$E$21="YES",IF(A109&lt;Calculator!$G$21,0,MIN(MIN(MOD(A109/Calculator!$F$21,1),1-MOD(A109/Calculator!$F$21,1)),ABS(MOD(A109/Calculator!$F$21,1)-0.5))),1)</f>
        <v>0.119649122807018</v>
      </c>
      <c r="M109" s="136" t="n">
        <f aca="false">MIN(B109:L109)</f>
        <v>0</v>
      </c>
      <c r="N109" s="136" t="n">
        <f aca="false">SUMPRODUCT(($M$5:$M$555&gt;M109)*1)+SUMPRODUCT(($M$5:$M$555=M109)*(ROW($M$5:$M$555)&lt;ROW(M109)))+1</f>
        <v>330</v>
      </c>
      <c r="O109" s="136" t="str">
        <f aca="false">IF(M109&gt;=0.2,"★★★ EXCELLENT",IF(M109&gt;=0.12,"★★  GOOD",IF(M109&gt;=0.07,"★  FAIR",IF(M109&gt;=0.025,"⚠  MARGINAL","✗  AVOID"))))</f>
        <v>✗  AVOID</v>
      </c>
    </row>
    <row r="110" customFormat="false" ht="15" hidden="false" customHeight="false" outlineLevel="0" collapsed="false">
      <c r="A110" s="137" t="n">
        <v>15.5</v>
      </c>
      <c r="B110" s="138" t="n">
        <f aca="false">IF(Calculator!$E$11="YES",IF(A110&lt;Calculator!$G$11,0,MIN(MIN(MOD(A110/Calculator!$F$11,1),1-MOD(A110/Calculator!$F$11,1)),ABS(MOD(A110/Calculator!$F$11,1)-0.5))),1)</f>
        <v>0</v>
      </c>
      <c r="C110" s="138" t="n">
        <f aca="false">IF(Calculator!$E$12="YES",IF(A110&lt;Calculator!$G$12,0,MIN(MIN(MOD(A110/Calculator!$F$12,1),1-MOD(A110/Calculator!$F$12,1)),ABS(MOD(A110/Calculator!$F$12,1)-0.5))),1)</f>
        <v>0</v>
      </c>
      <c r="D110" s="138" t="n">
        <f aca="false">IF(Calculator!$E$13="YES",IF(A110&lt;Calculator!$G$13,0,MIN(MIN(MOD(A110/Calculator!$F$13,1),1-MOD(A110/Calculator!$F$13,1)),ABS(MOD(A110/Calculator!$F$13,1)-0.5))),1)</f>
        <v>0.0829087719298245</v>
      </c>
      <c r="E110" s="138" t="n">
        <f aca="false">IF(Calculator!$E$14="YES",IF(A110&lt;Calculator!$G$14,0,MIN(MIN(MOD(A110/Calculator!$F$14,1),1-MOD(A110/Calculator!$F$14,1)),ABS(MOD(A110/Calculator!$F$14,1)-0.5))),1)</f>
        <v>0.222280701754386</v>
      </c>
      <c r="F110" s="138" t="n">
        <f aca="false">IF(Calculator!$E$15="YES",IF(A110&lt;Calculator!$G$15,0,MIN(MIN(MOD(A110/Calculator!$F$15,1),1-MOD(A110/Calculator!$F$15,1)),ABS(MOD(A110/Calculator!$F$15,1)-0.5))),1)</f>
        <v>0.101315789473684</v>
      </c>
      <c r="G110" s="138" t="n">
        <f aca="false">IF(Calculator!$E$16="YES",IF(A110&lt;Calculator!$G$16,0,MIN(MIN(MOD(A110/Calculator!$F$16,1),1-MOD(A110/Calculator!$F$16,1)),ABS(MOD(A110/Calculator!$F$16,1)-0.5))),1)</f>
        <v>0.0418421052631581</v>
      </c>
      <c r="H110" s="138" t="n">
        <f aca="false">IF(Calculator!$E$17="YES",IF(A110&lt;Calculator!$G$17,0,MIN(MIN(MOD(A110/Calculator!$F$17,1),1-MOD(A110/Calculator!$F$17,1)),ABS(MOD(A110/Calculator!$F$17,1)-0.5))),1)</f>
        <v>0.0292701754385962</v>
      </c>
      <c r="I110" s="138" t="n">
        <f aca="false">IF(Calculator!$E$18="YES",IF(A110&lt;Calculator!$G$18,0,MIN(MIN(MOD(A110/Calculator!$F$18,1),1-MOD(A110/Calculator!$F$18,1)),ABS(MOD(A110/Calculator!$F$18,1)-0.5))),1)</f>
        <v>0.191315789473684</v>
      </c>
      <c r="J110" s="138" t="n">
        <f aca="false">IF(Calculator!$E$19="YES",IF(A110&lt;Calculator!$G$19,0,MIN(MIN(MOD(A110/Calculator!$F$19,1),1-MOD(A110/Calculator!$F$19,1)),ABS(MOD(A110/Calculator!$F$19,1)-0.5))),1)</f>
        <v>0.212771929824561</v>
      </c>
      <c r="K110" s="138" t="n">
        <f aca="false">IF(Calculator!$E$20="YES",IF(A110&lt;Calculator!$G$20,0,MIN(MIN(MOD(A110/Calculator!$F$20,1),1-MOD(A110/Calculator!$F$20,1)),ABS(MOD(A110/Calculator!$F$20,1)-0.5))),1)</f>
        <v>0.138070175438596</v>
      </c>
      <c r="L110" s="138" t="n">
        <f aca="false">IF(Calculator!$E$21="YES",IF(A110&lt;Calculator!$G$21,0,MIN(MIN(MOD(A110/Calculator!$F$21,1),1-MOD(A110/Calculator!$F$21,1)),ABS(MOD(A110/Calculator!$F$21,1)-0.5))),1)</f>
        <v>0.156140350877193</v>
      </c>
      <c r="M110" s="138" t="n">
        <f aca="false">MIN(B110:L110)</f>
        <v>0</v>
      </c>
      <c r="N110" s="138" t="n">
        <f aca="false">SUMPRODUCT(($M$5:$M$555&gt;M110)*1)+SUMPRODUCT(($M$5:$M$555=M110)*(ROW($M$5:$M$555)&lt;ROW(M110)))+1</f>
        <v>331</v>
      </c>
      <c r="O110" s="138" t="str">
        <f aca="false">IF(M110&gt;=0.2,"★★★ EXCELLENT",IF(M110&gt;=0.12,"★★  GOOD",IF(M110&gt;=0.07,"★  FAIR",IF(M110&gt;=0.025,"⚠  MARGINAL","✗  AVOID"))))</f>
        <v>✗  AVOID</v>
      </c>
    </row>
    <row r="111" customFormat="false" ht="15" hidden="false" customHeight="false" outlineLevel="0" collapsed="false">
      <c r="A111" s="135" t="n">
        <v>15.6</v>
      </c>
      <c r="B111" s="136" t="n">
        <f aca="false">IF(Calculator!$E$11="YES",IF(A111&lt;Calculator!$G$11,0,MIN(MIN(MOD(A111/Calculator!$F$11,1),1-MOD(A111/Calculator!$F$11,1)),ABS(MOD(A111/Calculator!$F$11,1)-0.5))),1)</f>
        <v>0</v>
      </c>
      <c r="C111" s="136" t="n">
        <f aca="false">IF(Calculator!$E$12="YES",IF(A111&lt;Calculator!$G$12,0,MIN(MIN(MOD(A111/Calculator!$F$12,1),1-MOD(A111/Calculator!$F$12,1)),ABS(MOD(A111/Calculator!$F$12,1)-0.5))),1)</f>
        <v>0</v>
      </c>
      <c r="D111" s="136" t="n">
        <f aca="false">IF(Calculator!$E$13="YES",IF(A111&lt;Calculator!$G$13,0,MIN(MIN(MOD(A111/Calculator!$F$13,1),1-MOD(A111/Calculator!$F$13,1)),ABS(MOD(A111/Calculator!$F$13,1)-0.5))),1)</f>
        <v>0.0866694736842105</v>
      </c>
      <c r="E111" s="136" t="n">
        <f aca="false">IF(Calculator!$E$14="YES",IF(A111&lt;Calculator!$G$14,0,MIN(MIN(MOD(A111/Calculator!$F$14,1),1-MOD(A111/Calculator!$F$14,1)),ABS(MOD(A111/Calculator!$F$14,1)-0.5))),1)</f>
        <v>0.217263157894737</v>
      </c>
      <c r="F111" s="136" t="n">
        <f aca="false">IF(Calculator!$E$15="YES",IF(A111&lt;Calculator!$G$15,0,MIN(MIN(MOD(A111/Calculator!$F$15,1),1-MOD(A111/Calculator!$F$15,1)),ABS(MOD(A111/Calculator!$F$15,1)-0.5))),1)</f>
        <v>0.108421052631579</v>
      </c>
      <c r="G111" s="136" t="n">
        <f aca="false">IF(Calculator!$E$16="YES",IF(A111&lt;Calculator!$G$16,0,MIN(MIN(MOD(A111/Calculator!$F$16,1),1-MOD(A111/Calculator!$F$16,1)),ABS(MOD(A111/Calculator!$F$16,1)-0.5))),1)</f>
        <v>0.0517894736842106</v>
      </c>
      <c r="H111" s="136" t="n">
        <f aca="false">IF(Calculator!$E$17="YES",IF(A111&lt;Calculator!$G$17,0,MIN(MIN(MOD(A111/Calculator!$F$17,1),1-MOD(A111/Calculator!$F$17,1)),ABS(MOD(A111/Calculator!$F$17,1)-0.5))),1)</f>
        <v>0.0165557894736841</v>
      </c>
      <c r="I111" s="136" t="n">
        <f aca="false">IF(Calculator!$E$18="YES",IF(A111&lt;Calculator!$G$18,0,MIN(MIN(MOD(A111/Calculator!$F$18,1),1-MOD(A111/Calculator!$F$18,1)),ABS(MOD(A111/Calculator!$F$18,1)-0.5))),1)</f>
        <v>0.176421052631579</v>
      </c>
      <c r="J111" s="136" t="n">
        <f aca="false">IF(Calculator!$E$19="YES",IF(A111&lt;Calculator!$G$19,0,MIN(MIN(MOD(A111/Calculator!$F$19,1),1-MOD(A111/Calculator!$F$19,1)),ABS(MOD(A111/Calculator!$F$19,1)-0.5))),1)</f>
        <v>0.230273684210526</v>
      </c>
      <c r="K111" s="136" t="n">
        <f aca="false">IF(Calculator!$E$20="YES",IF(A111&lt;Calculator!$G$20,0,MIN(MIN(MOD(A111/Calculator!$F$20,1),1-MOD(A111/Calculator!$F$20,1)),ABS(MOD(A111/Calculator!$F$20,1)-0.5))),1)</f>
        <v>0.158315789473684</v>
      </c>
      <c r="L111" s="136" t="n">
        <f aca="false">IF(Calculator!$E$21="YES",IF(A111&lt;Calculator!$G$21,0,MIN(MIN(MOD(A111/Calculator!$F$21,1),1-MOD(A111/Calculator!$F$21,1)),ABS(MOD(A111/Calculator!$F$21,1)-0.5))),1)</f>
        <v>0.192631578947368</v>
      </c>
      <c r="M111" s="136" t="n">
        <f aca="false">MIN(B111:L111)</f>
        <v>0</v>
      </c>
      <c r="N111" s="136" t="n">
        <f aca="false">SUMPRODUCT(($M$5:$M$555&gt;M111)*1)+SUMPRODUCT(($M$5:$M$555=M111)*(ROW($M$5:$M$555)&lt;ROW(M111)))+1</f>
        <v>332</v>
      </c>
      <c r="O111" s="136" t="str">
        <f aca="false">IF(M111&gt;=0.2,"★★★ EXCELLENT",IF(M111&gt;=0.12,"★★  GOOD",IF(M111&gt;=0.07,"★  FAIR",IF(M111&gt;=0.025,"⚠  MARGINAL","✗  AVOID"))))</f>
        <v>✗  AVOID</v>
      </c>
    </row>
    <row r="112" customFormat="false" ht="15" hidden="false" customHeight="false" outlineLevel="0" collapsed="false">
      <c r="A112" s="137" t="n">
        <v>15.7</v>
      </c>
      <c r="B112" s="138" t="n">
        <f aca="false">IF(Calculator!$E$11="YES",IF(A112&lt;Calculator!$G$11,0,MIN(MIN(MOD(A112/Calculator!$F$11,1),1-MOD(A112/Calculator!$F$11,1)),ABS(MOD(A112/Calculator!$F$11,1)-0.5))),1)</f>
        <v>0</v>
      </c>
      <c r="C112" s="138" t="n">
        <f aca="false">IF(Calculator!$E$12="YES",IF(A112&lt;Calculator!$G$12,0,MIN(MIN(MOD(A112/Calculator!$F$12,1),1-MOD(A112/Calculator!$F$12,1)),ABS(MOD(A112/Calculator!$F$12,1)-0.5))),1)</f>
        <v>0</v>
      </c>
      <c r="D112" s="138" t="n">
        <f aca="false">IF(Calculator!$E$13="YES",IF(A112&lt;Calculator!$G$13,0,MIN(MIN(MOD(A112/Calculator!$F$13,1),1-MOD(A112/Calculator!$F$13,1)),ABS(MOD(A112/Calculator!$F$13,1)-0.5))),1)</f>
        <v>0.0904301754385964</v>
      </c>
      <c r="E112" s="138" t="n">
        <f aca="false">IF(Calculator!$E$14="YES",IF(A112&lt;Calculator!$G$14,0,MIN(MIN(MOD(A112/Calculator!$F$14,1),1-MOD(A112/Calculator!$F$14,1)),ABS(MOD(A112/Calculator!$F$14,1)-0.5))),1)</f>
        <v>0.212245614035088</v>
      </c>
      <c r="F112" s="138" t="n">
        <f aca="false">IF(Calculator!$E$15="YES",IF(A112&lt;Calculator!$G$15,0,MIN(MIN(MOD(A112/Calculator!$F$15,1),1-MOD(A112/Calculator!$F$15,1)),ABS(MOD(A112/Calculator!$F$15,1)-0.5))),1)</f>
        <v>0.115526315789474</v>
      </c>
      <c r="G112" s="138" t="n">
        <f aca="false">IF(Calculator!$E$16="YES",IF(A112&lt;Calculator!$G$16,0,MIN(MIN(MOD(A112/Calculator!$F$16,1),1-MOD(A112/Calculator!$F$16,1)),ABS(MOD(A112/Calculator!$F$16,1)-0.5))),1)</f>
        <v>0.0617368421052633</v>
      </c>
      <c r="H112" s="138" t="n">
        <f aca="false">IF(Calculator!$E$17="YES",IF(A112&lt;Calculator!$G$17,0,MIN(MIN(MOD(A112/Calculator!$F$17,1),1-MOD(A112/Calculator!$F$17,1)),ABS(MOD(A112/Calculator!$F$17,1)-0.5))),1)</f>
        <v>0.00384140350877171</v>
      </c>
      <c r="I112" s="138" t="n">
        <f aca="false">IF(Calculator!$E$18="YES",IF(A112&lt;Calculator!$G$18,0,MIN(MIN(MOD(A112/Calculator!$F$18,1),1-MOD(A112/Calculator!$F$18,1)),ABS(MOD(A112/Calculator!$F$18,1)-0.5))),1)</f>
        <v>0.161526315789474</v>
      </c>
      <c r="J112" s="138" t="n">
        <f aca="false">IF(Calculator!$E$19="YES",IF(A112&lt;Calculator!$G$19,0,MIN(MIN(MOD(A112/Calculator!$F$19,1),1-MOD(A112/Calculator!$F$19,1)),ABS(MOD(A112/Calculator!$F$19,1)-0.5))),1)</f>
        <v>0.247775438596491</v>
      </c>
      <c r="K112" s="138" t="n">
        <f aca="false">IF(Calculator!$E$20="YES",IF(A112&lt;Calculator!$G$20,0,MIN(MIN(MOD(A112/Calculator!$F$20,1),1-MOD(A112/Calculator!$F$20,1)),ABS(MOD(A112/Calculator!$F$20,1)-0.5))),1)</f>
        <v>0.178561403508772</v>
      </c>
      <c r="L112" s="138" t="n">
        <f aca="false">IF(Calculator!$E$21="YES",IF(A112&lt;Calculator!$G$21,0,MIN(MIN(MOD(A112/Calculator!$F$21,1),1-MOD(A112/Calculator!$F$21,1)),ABS(MOD(A112/Calculator!$F$21,1)-0.5))),1)</f>
        <v>0.229122807017544</v>
      </c>
      <c r="M112" s="138" t="n">
        <f aca="false">MIN(B112:L112)</f>
        <v>0</v>
      </c>
      <c r="N112" s="138" t="n">
        <f aca="false">SUMPRODUCT(($M$5:$M$555&gt;M112)*1)+SUMPRODUCT(($M$5:$M$555=M112)*(ROW($M$5:$M$555)&lt;ROW(M112)))+1</f>
        <v>333</v>
      </c>
      <c r="O112" s="138" t="str">
        <f aca="false">IF(M112&gt;=0.2,"★★★ EXCELLENT",IF(M112&gt;=0.12,"★★  GOOD",IF(M112&gt;=0.07,"★  FAIR",IF(M112&gt;=0.025,"⚠  MARGINAL","✗  AVOID"))))</f>
        <v>✗  AVOID</v>
      </c>
    </row>
    <row r="113" customFormat="false" ht="15" hidden="false" customHeight="false" outlineLevel="0" collapsed="false">
      <c r="A113" s="135" t="n">
        <v>15.8</v>
      </c>
      <c r="B113" s="136" t="n">
        <f aca="false">IF(Calculator!$E$11="YES",IF(A113&lt;Calculator!$G$11,0,MIN(MIN(MOD(A113/Calculator!$F$11,1),1-MOD(A113/Calculator!$F$11,1)),ABS(MOD(A113/Calculator!$F$11,1)-0.5))),1)</f>
        <v>0</v>
      </c>
      <c r="C113" s="136" t="n">
        <f aca="false">IF(Calculator!$E$12="YES",IF(A113&lt;Calculator!$G$12,0,MIN(MIN(MOD(A113/Calculator!$F$12,1),1-MOD(A113/Calculator!$F$12,1)),ABS(MOD(A113/Calculator!$F$12,1)-0.5))),1)</f>
        <v>0</v>
      </c>
      <c r="D113" s="136" t="n">
        <f aca="false">IF(Calculator!$E$13="YES",IF(A113&lt;Calculator!$G$13,0,MIN(MIN(MOD(A113/Calculator!$F$13,1),1-MOD(A113/Calculator!$F$13,1)),ABS(MOD(A113/Calculator!$F$13,1)-0.5))),1)</f>
        <v>0.0941908771929825</v>
      </c>
      <c r="E113" s="136" t="n">
        <f aca="false">IF(Calculator!$E$14="YES",IF(A113&lt;Calculator!$G$14,0,MIN(MIN(MOD(A113/Calculator!$F$14,1),1-MOD(A113/Calculator!$F$14,1)),ABS(MOD(A113/Calculator!$F$14,1)-0.5))),1)</f>
        <v>0.207228070175439</v>
      </c>
      <c r="F113" s="136" t="n">
        <f aca="false">IF(Calculator!$E$15="YES",IF(A113&lt;Calculator!$G$15,0,MIN(MIN(MOD(A113/Calculator!$F$15,1),1-MOD(A113/Calculator!$F$15,1)),ABS(MOD(A113/Calculator!$F$15,1)-0.5))),1)</f>
        <v>0.122631578947368</v>
      </c>
      <c r="G113" s="136" t="n">
        <f aca="false">IF(Calculator!$E$16="YES",IF(A113&lt;Calculator!$G$16,0,MIN(MIN(MOD(A113/Calculator!$F$16,1),1-MOD(A113/Calculator!$F$16,1)),ABS(MOD(A113/Calculator!$F$16,1)-0.5))),1)</f>
        <v>0.071684210526316</v>
      </c>
      <c r="H113" s="136" t="n">
        <f aca="false">IF(Calculator!$E$17="YES",IF(A113&lt;Calculator!$G$17,0,MIN(MIN(MOD(A113/Calculator!$F$17,1),1-MOD(A113/Calculator!$F$17,1)),ABS(MOD(A113/Calculator!$F$17,1)-0.5))),1)</f>
        <v>0.00887298245614066</v>
      </c>
      <c r="I113" s="136" t="n">
        <f aca="false">IF(Calculator!$E$18="YES",IF(A113&lt;Calculator!$G$18,0,MIN(MIN(MOD(A113/Calculator!$F$18,1),1-MOD(A113/Calculator!$F$18,1)),ABS(MOD(A113/Calculator!$F$18,1)-0.5))),1)</f>
        <v>0.146631578947368</v>
      </c>
      <c r="J113" s="136" t="n">
        <f aca="false">IF(Calculator!$E$19="YES",IF(A113&lt;Calculator!$G$19,0,MIN(MIN(MOD(A113/Calculator!$F$19,1),1-MOD(A113/Calculator!$F$19,1)),ABS(MOD(A113/Calculator!$F$19,1)-0.5))),1)</f>
        <v>0.234722807017544</v>
      </c>
      <c r="K113" s="136" t="n">
        <f aca="false">IF(Calculator!$E$20="YES",IF(A113&lt;Calculator!$G$20,0,MIN(MIN(MOD(A113/Calculator!$F$20,1),1-MOD(A113/Calculator!$F$20,1)),ABS(MOD(A113/Calculator!$F$20,1)-0.5))),1)</f>
        <v>0.19880701754386</v>
      </c>
      <c r="L113" s="136" t="n">
        <f aca="false">IF(Calculator!$E$21="YES",IF(A113&lt;Calculator!$G$21,0,MIN(MIN(MOD(A113/Calculator!$F$21,1),1-MOD(A113/Calculator!$F$21,1)),ABS(MOD(A113/Calculator!$F$21,1)-0.5))),1)</f>
        <v>0.23438596491228</v>
      </c>
      <c r="M113" s="136" t="n">
        <f aca="false">MIN(B113:L113)</f>
        <v>0</v>
      </c>
      <c r="N113" s="136" t="n">
        <f aca="false">SUMPRODUCT(($M$5:$M$555&gt;M113)*1)+SUMPRODUCT(($M$5:$M$555=M113)*(ROW($M$5:$M$555)&lt;ROW(M113)))+1</f>
        <v>334</v>
      </c>
      <c r="O113" s="136" t="str">
        <f aca="false">IF(M113&gt;=0.2,"★★★ EXCELLENT",IF(M113&gt;=0.12,"★★  GOOD",IF(M113&gt;=0.07,"★  FAIR",IF(M113&gt;=0.025,"⚠  MARGINAL","✗  AVOID"))))</f>
        <v>✗  AVOID</v>
      </c>
    </row>
    <row r="114" customFormat="false" ht="15" hidden="false" customHeight="false" outlineLevel="0" collapsed="false">
      <c r="A114" s="137" t="n">
        <v>15.9</v>
      </c>
      <c r="B114" s="138" t="n">
        <f aca="false">IF(Calculator!$E$11="YES",IF(A114&lt;Calculator!$G$11,0,MIN(MIN(MOD(A114/Calculator!$F$11,1),1-MOD(A114/Calculator!$F$11,1)),ABS(MOD(A114/Calculator!$F$11,1)-0.5))),1)</f>
        <v>0</v>
      </c>
      <c r="C114" s="138" t="n">
        <f aca="false">IF(Calculator!$E$12="YES",IF(A114&lt;Calculator!$G$12,0,MIN(MIN(MOD(A114/Calculator!$F$12,1),1-MOD(A114/Calculator!$F$12,1)),ABS(MOD(A114/Calculator!$F$12,1)-0.5))),1)</f>
        <v>0</v>
      </c>
      <c r="D114" s="138" t="n">
        <f aca="false">IF(Calculator!$E$13="YES",IF(A114&lt;Calculator!$G$13,0,MIN(MIN(MOD(A114/Calculator!$F$13,1),1-MOD(A114/Calculator!$F$13,1)),ABS(MOD(A114/Calculator!$F$13,1)-0.5))),1)</f>
        <v>0.0979515789473684</v>
      </c>
      <c r="E114" s="138" t="n">
        <f aca="false">IF(Calculator!$E$14="YES",IF(A114&lt;Calculator!$G$14,0,MIN(MIN(MOD(A114/Calculator!$F$14,1),1-MOD(A114/Calculator!$F$14,1)),ABS(MOD(A114/Calculator!$F$14,1)-0.5))),1)</f>
        <v>0.20221052631579</v>
      </c>
      <c r="F114" s="138" t="n">
        <f aca="false">IF(Calculator!$E$15="YES",IF(A114&lt;Calculator!$G$15,0,MIN(MIN(MOD(A114/Calculator!$F$15,1),1-MOD(A114/Calculator!$F$15,1)),ABS(MOD(A114/Calculator!$F$15,1)-0.5))),1)</f>
        <v>0.129736842105263</v>
      </c>
      <c r="G114" s="138" t="n">
        <f aca="false">IF(Calculator!$E$16="YES",IF(A114&lt;Calculator!$G$16,0,MIN(MIN(MOD(A114/Calculator!$F$16,1),1-MOD(A114/Calculator!$F$16,1)),ABS(MOD(A114/Calculator!$F$16,1)-0.5))),1)</f>
        <v>0.0816315789473685</v>
      </c>
      <c r="H114" s="138" t="n">
        <f aca="false">IF(Calculator!$E$17="YES",IF(A114&lt;Calculator!$G$17,0,MIN(MIN(MOD(A114/Calculator!$F$17,1),1-MOD(A114/Calculator!$F$17,1)),ABS(MOD(A114/Calculator!$F$17,1)-0.5))),1)</f>
        <v>0.021587368421053</v>
      </c>
      <c r="I114" s="138" t="n">
        <f aca="false">IF(Calculator!$E$18="YES",IF(A114&lt;Calculator!$G$18,0,MIN(MIN(MOD(A114/Calculator!$F$18,1),1-MOD(A114/Calculator!$F$18,1)),ABS(MOD(A114/Calculator!$F$18,1)-0.5))),1)</f>
        <v>0.131736842105263</v>
      </c>
      <c r="J114" s="138" t="n">
        <f aca="false">IF(Calculator!$E$19="YES",IF(A114&lt;Calculator!$G$19,0,MIN(MIN(MOD(A114/Calculator!$F$19,1),1-MOD(A114/Calculator!$F$19,1)),ABS(MOD(A114/Calculator!$F$19,1)-0.5))),1)</f>
        <v>0.217221052631579</v>
      </c>
      <c r="K114" s="138" t="n">
        <f aca="false">IF(Calculator!$E$20="YES",IF(A114&lt;Calculator!$G$20,0,MIN(MIN(MOD(A114/Calculator!$F$20,1),1-MOD(A114/Calculator!$F$20,1)),ABS(MOD(A114/Calculator!$F$20,1)-0.5))),1)</f>
        <v>0.219052631578947</v>
      </c>
      <c r="L114" s="138" t="n">
        <f aca="false">IF(Calculator!$E$21="YES",IF(A114&lt;Calculator!$G$21,0,MIN(MIN(MOD(A114/Calculator!$F$21,1),1-MOD(A114/Calculator!$F$21,1)),ABS(MOD(A114/Calculator!$F$21,1)-0.5))),1)</f>
        <v>0.197894736842105</v>
      </c>
      <c r="M114" s="138" t="n">
        <f aca="false">MIN(B114:L114)</f>
        <v>0</v>
      </c>
      <c r="N114" s="138" t="n">
        <f aca="false">SUMPRODUCT(($M$5:$M$555&gt;M114)*1)+SUMPRODUCT(($M$5:$M$555=M114)*(ROW($M$5:$M$555)&lt;ROW(M114)))+1</f>
        <v>335</v>
      </c>
      <c r="O114" s="138" t="str">
        <f aca="false">IF(M114&gt;=0.2,"★★★ EXCELLENT",IF(M114&gt;=0.12,"★★  GOOD",IF(M114&gt;=0.07,"★  FAIR",IF(M114&gt;=0.025,"⚠  MARGINAL","✗  AVOID"))))</f>
        <v>✗  AVOID</v>
      </c>
    </row>
    <row r="115" customFormat="false" ht="15" hidden="false" customHeight="false" outlineLevel="0" collapsed="false">
      <c r="A115" s="135" t="n">
        <v>16</v>
      </c>
      <c r="B115" s="136" t="n">
        <f aca="false">IF(Calculator!$E$11="YES",IF(A115&lt;Calculator!$G$11,0,MIN(MIN(MOD(A115/Calculator!$F$11,1),1-MOD(A115/Calculator!$F$11,1)),ABS(MOD(A115/Calculator!$F$11,1)-0.5))),1)</f>
        <v>0</v>
      </c>
      <c r="C115" s="136" t="n">
        <f aca="false">IF(Calculator!$E$12="YES",IF(A115&lt;Calculator!$G$12,0,MIN(MIN(MOD(A115/Calculator!$F$12,1),1-MOD(A115/Calculator!$F$12,1)),ABS(MOD(A115/Calculator!$F$12,1)-0.5))),1)</f>
        <v>0</v>
      </c>
      <c r="D115" s="136" t="n">
        <f aca="false">IF(Calculator!$E$13="YES",IF(A115&lt;Calculator!$G$13,0,MIN(MIN(MOD(A115/Calculator!$F$13,1),1-MOD(A115/Calculator!$F$13,1)),ABS(MOD(A115/Calculator!$F$13,1)-0.5))),1)</f>
        <v>0.101712280701754</v>
      </c>
      <c r="E115" s="136" t="n">
        <f aca="false">IF(Calculator!$E$14="YES",IF(A115&lt;Calculator!$G$14,0,MIN(MIN(MOD(A115/Calculator!$F$14,1),1-MOD(A115/Calculator!$F$14,1)),ABS(MOD(A115/Calculator!$F$14,1)-0.5))),1)</f>
        <v>0.19719298245614</v>
      </c>
      <c r="F115" s="136" t="n">
        <f aca="false">IF(Calculator!$E$15="YES",IF(A115&lt;Calculator!$G$15,0,MIN(MIN(MOD(A115/Calculator!$F$15,1),1-MOD(A115/Calculator!$F$15,1)),ABS(MOD(A115/Calculator!$F$15,1)-0.5))),1)</f>
        <v>0.136842105263158</v>
      </c>
      <c r="G115" s="136" t="n">
        <f aca="false">IF(Calculator!$E$16="YES",IF(A115&lt;Calculator!$G$16,0,MIN(MIN(MOD(A115/Calculator!$F$16,1),1-MOD(A115/Calculator!$F$16,1)),ABS(MOD(A115/Calculator!$F$16,1)-0.5))),1)</f>
        <v>0.0915789473684212</v>
      </c>
      <c r="H115" s="136" t="n">
        <f aca="false">IF(Calculator!$E$17="YES",IF(A115&lt;Calculator!$G$17,0,MIN(MIN(MOD(A115/Calculator!$F$17,1),1-MOD(A115/Calculator!$F$17,1)),ABS(MOD(A115/Calculator!$F$17,1)-0.5))),1)</f>
        <v>0.0343017543859649</v>
      </c>
      <c r="I115" s="136" t="n">
        <f aca="false">IF(Calculator!$E$18="YES",IF(A115&lt;Calculator!$G$18,0,MIN(MIN(MOD(A115/Calculator!$F$18,1),1-MOD(A115/Calculator!$F$18,1)),ABS(MOD(A115/Calculator!$F$18,1)-0.5))),1)</f>
        <v>0.116842105263158</v>
      </c>
      <c r="J115" s="136" t="n">
        <f aca="false">IF(Calculator!$E$19="YES",IF(A115&lt;Calculator!$G$19,0,MIN(MIN(MOD(A115/Calculator!$F$19,1),1-MOD(A115/Calculator!$F$19,1)),ABS(MOD(A115/Calculator!$F$19,1)-0.5))),1)</f>
        <v>0.199719298245614</v>
      </c>
      <c r="K115" s="136" t="n">
        <f aca="false">IF(Calculator!$E$20="YES",IF(A115&lt;Calculator!$G$20,0,MIN(MIN(MOD(A115/Calculator!$F$20,1),1-MOD(A115/Calculator!$F$20,1)),ABS(MOD(A115/Calculator!$F$20,1)-0.5))),1)</f>
        <v>0.239298245614035</v>
      </c>
      <c r="L115" s="136" t="n">
        <f aca="false">IF(Calculator!$E$21="YES",IF(A115&lt;Calculator!$G$21,0,MIN(MIN(MOD(A115/Calculator!$F$21,1),1-MOD(A115/Calculator!$F$21,1)),ABS(MOD(A115/Calculator!$F$21,1)-0.5))),1)</f>
        <v>0.16140350877193</v>
      </c>
      <c r="M115" s="136" t="n">
        <f aca="false">MIN(B115:L115)</f>
        <v>0</v>
      </c>
      <c r="N115" s="136" t="n">
        <f aca="false">SUMPRODUCT(($M$5:$M$555&gt;M115)*1)+SUMPRODUCT(($M$5:$M$555=M115)*(ROW($M$5:$M$555)&lt;ROW(M115)))+1</f>
        <v>336</v>
      </c>
      <c r="O115" s="136" t="str">
        <f aca="false">IF(M115&gt;=0.2,"★★★ EXCELLENT",IF(M115&gt;=0.12,"★★  GOOD",IF(M115&gt;=0.07,"★  FAIR",IF(M115&gt;=0.025,"⚠  MARGINAL","✗  AVOID"))))</f>
        <v>✗  AVOID</v>
      </c>
    </row>
    <row r="116" customFormat="false" ht="15" hidden="false" customHeight="false" outlineLevel="0" collapsed="false">
      <c r="A116" s="137" t="n">
        <v>16.1</v>
      </c>
      <c r="B116" s="138" t="n">
        <f aca="false">IF(Calculator!$E$11="YES",IF(A116&lt;Calculator!$G$11,0,MIN(MIN(MOD(A116/Calculator!$F$11,1),1-MOD(A116/Calculator!$F$11,1)),ABS(MOD(A116/Calculator!$F$11,1)-0.5))),1)</f>
        <v>0</v>
      </c>
      <c r="C116" s="138" t="n">
        <f aca="false">IF(Calculator!$E$12="YES",IF(A116&lt;Calculator!$G$12,0,MIN(MIN(MOD(A116/Calculator!$F$12,1),1-MOD(A116/Calculator!$F$12,1)),ABS(MOD(A116/Calculator!$F$12,1)-0.5))),1)</f>
        <v>0</v>
      </c>
      <c r="D116" s="138" t="n">
        <f aca="false">IF(Calculator!$E$13="YES",IF(A116&lt;Calculator!$G$13,0,MIN(MIN(MOD(A116/Calculator!$F$13,1),1-MOD(A116/Calculator!$F$13,1)),ABS(MOD(A116/Calculator!$F$13,1)-0.5))),1)</f>
        <v>0.10547298245614</v>
      </c>
      <c r="E116" s="138" t="n">
        <f aca="false">IF(Calculator!$E$14="YES",IF(A116&lt;Calculator!$G$14,0,MIN(MIN(MOD(A116/Calculator!$F$14,1),1-MOD(A116/Calculator!$F$14,1)),ABS(MOD(A116/Calculator!$F$14,1)-0.5))),1)</f>
        <v>0.192175438596491</v>
      </c>
      <c r="F116" s="138" t="n">
        <f aca="false">IF(Calculator!$E$15="YES",IF(A116&lt;Calculator!$G$15,0,MIN(MIN(MOD(A116/Calculator!$F$15,1),1-MOD(A116/Calculator!$F$15,1)),ABS(MOD(A116/Calculator!$F$15,1)-0.5))),1)</f>
        <v>0.143947368421053</v>
      </c>
      <c r="G116" s="138" t="n">
        <f aca="false">IF(Calculator!$E$16="YES",IF(A116&lt;Calculator!$G$16,0,MIN(MIN(MOD(A116/Calculator!$F$16,1),1-MOD(A116/Calculator!$F$16,1)),ABS(MOD(A116/Calculator!$F$16,1)-0.5))),1)</f>
        <v>0.101526315789474</v>
      </c>
      <c r="H116" s="138" t="n">
        <f aca="false">IF(Calculator!$E$17="YES",IF(A116&lt;Calculator!$G$17,0,MIN(MIN(MOD(A116/Calculator!$F$17,1),1-MOD(A116/Calculator!$F$17,1)),ABS(MOD(A116/Calculator!$F$17,1)-0.5))),1)</f>
        <v>0.0470161403508778</v>
      </c>
      <c r="I116" s="138" t="n">
        <f aca="false">IF(Calculator!$E$18="YES",IF(A116&lt;Calculator!$G$18,0,MIN(MIN(MOD(A116/Calculator!$F$18,1),1-MOD(A116/Calculator!$F$18,1)),ABS(MOD(A116/Calculator!$F$18,1)-0.5))),1)</f>
        <v>0.101947368421052</v>
      </c>
      <c r="J116" s="138" t="n">
        <f aca="false">IF(Calculator!$E$19="YES",IF(A116&lt;Calculator!$G$19,0,MIN(MIN(MOD(A116/Calculator!$F$19,1),1-MOD(A116/Calculator!$F$19,1)),ABS(MOD(A116/Calculator!$F$19,1)-0.5))),1)</f>
        <v>0.182217543859649</v>
      </c>
      <c r="K116" s="138" t="n">
        <f aca="false">IF(Calculator!$E$20="YES",IF(A116&lt;Calculator!$G$20,0,MIN(MIN(MOD(A116/Calculator!$F$20,1),1-MOD(A116/Calculator!$F$20,1)),ABS(MOD(A116/Calculator!$F$20,1)-0.5))),1)</f>
        <v>0.240456140350877</v>
      </c>
      <c r="L116" s="138" t="n">
        <f aca="false">IF(Calculator!$E$21="YES",IF(A116&lt;Calculator!$G$21,0,MIN(MIN(MOD(A116/Calculator!$F$21,1),1-MOD(A116/Calculator!$F$21,1)),ABS(MOD(A116/Calculator!$F$21,1)-0.5))),1)</f>
        <v>0.124912280701754</v>
      </c>
      <c r="M116" s="138" t="n">
        <f aca="false">MIN(B116:L116)</f>
        <v>0</v>
      </c>
      <c r="N116" s="138" t="n">
        <f aca="false">SUMPRODUCT(($M$5:$M$555&gt;M116)*1)+SUMPRODUCT(($M$5:$M$555=M116)*(ROW($M$5:$M$555)&lt;ROW(M116)))+1</f>
        <v>337</v>
      </c>
      <c r="O116" s="138" t="str">
        <f aca="false">IF(M116&gt;=0.2,"★★★ EXCELLENT",IF(M116&gt;=0.12,"★★  GOOD",IF(M116&gt;=0.07,"★  FAIR",IF(M116&gt;=0.025,"⚠  MARGINAL","✗  AVOID"))))</f>
        <v>✗  AVOID</v>
      </c>
    </row>
    <row r="117" customFormat="false" ht="15" hidden="false" customHeight="false" outlineLevel="0" collapsed="false">
      <c r="A117" s="135" t="n">
        <v>16.2</v>
      </c>
      <c r="B117" s="136" t="n">
        <f aca="false">IF(Calculator!$E$11="YES",IF(A117&lt;Calculator!$G$11,0,MIN(MIN(MOD(A117/Calculator!$F$11,1),1-MOD(A117/Calculator!$F$11,1)),ABS(MOD(A117/Calculator!$F$11,1)-0.5))),1)</f>
        <v>0</v>
      </c>
      <c r="C117" s="136" t="n">
        <f aca="false">IF(Calculator!$E$12="YES",IF(A117&lt;Calculator!$G$12,0,MIN(MIN(MOD(A117/Calculator!$F$12,1),1-MOD(A117/Calculator!$F$12,1)),ABS(MOD(A117/Calculator!$F$12,1)-0.5))),1)</f>
        <v>0</v>
      </c>
      <c r="D117" s="136" t="n">
        <f aca="false">IF(Calculator!$E$13="YES",IF(A117&lt;Calculator!$G$13,0,MIN(MIN(MOD(A117/Calculator!$F$13,1),1-MOD(A117/Calculator!$F$13,1)),ABS(MOD(A117/Calculator!$F$13,1)-0.5))),1)</f>
        <v>0.109233684210526</v>
      </c>
      <c r="E117" s="136" t="n">
        <f aca="false">IF(Calculator!$E$14="YES",IF(A117&lt;Calculator!$G$14,0,MIN(MIN(MOD(A117/Calculator!$F$14,1),1-MOD(A117/Calculator!$F$14,1)),ABS(MOD(A117/Calculator!$F$14,1)-0.5))),1)</f>
        <v>0.187157894736842</v>
      </c>
      <c r="F117" s="136" t="n">
        <f aca="false">IF(Calculator!$E$15="YES",IF(A117&lt;Calculator!$G$15,0,MIN(MIN(MOD(A117/Calculator!$F$15,1),1-MOD(A117/Calculator!$F$15,1)),ABS(MOD(A117/Calculator!$F$15,1)-0.5))),1)</f>
        <v>0.151052631578947</v>
      </c>
      <c r="G117" s="136" t="n">
        <f aca="false">IF(Calculator!$E$16="YES",IF(A117&lt;Calculator!$G$16,0,MIN(MIN(MOD(A117/Calculator!$F$16,1),1-MOD(A117/Calculator!$F$16,1)),ABS(MOD(A117/Calculator!$F$16,1)-0.5))),1)</f>
        <v>0.111473684210526</v>
      </c>
      <c r="H117" s="136" t="n">
        <f aca="false">IF(Calculator!$E$17="YES",IF(A117&lt;Calculator!$G$17,0,MIN(MIN(MOD(A117/Calculator!$F$17,1),1-MOD(A117/Calculator!$F$17,1)),ABS(MOD(A117/Calculator!$F$17,1)-0.5))),1)</f>
        <v>0.0597305263157897</v>
      </c>
      <c r="I117" s="136" t="n">
        <f aca="false">IF(Calculator!$E$18="YES",IF(A117&lt;Calculator!$G$18,0,MIN(MIN(MOD(A117/Calculator!$F$18,1),1-MOD(A117/Calculator!$F$18,1)),ABS(MOD(A117/Calculator!$F$18,1)-0.5))),1)</f>
        <v>0.0870526315789473</v>
      </c>
      <c r="J117" s="136" t="n">
        <f aca="false">IF(Calculator!$E$19="YES",IF(A117&lt;Calculator!$G$19,0,MIN(MIN(MOD(A117/Calculator!$F$19,1),1-MOD(A117/Calculator!$F$19,1)),ABS(MOD(A117/Calculator!$F$19,1)-0.5))),1)</f>
        <v>0.164715789473685</v>
      </c>
      <c r="K117" s="136" t="n">
        <f aca="false">IF(Calculator!$E$20="YES",IF(A117&lt;Calculator!$G$20,0,MIN(MIN(MOD(A117/Calculator!$F$20,1),1-MOD(A117/Calculator!$F$20,1)),ABS(MOD(A117/Calculator!$F$20,1)-0.5))),1)</f>
        <v>0.22021052631579</v>
      </c>
      <c r="L117" s="136" t="n">
        <f aca="false">IF(Calculator!$E$21="YES",IF(A117&lt;Calculator!$G$21,0,MIN(MIN(MOD(A117/Calculator!$F$21,1),1-MOD(A117/Calculator!$F$21,1)),ABS(MOD(A117/Calculator!$F$21,1)-0.5))),1)</f>
        <v>0.0884210526315794</v>
      </c>
      <c r="M117" s="136" t="n">
        <f aca="false">MIN(B117:L117)</f>
        <v>0</v>
      </c>
      <c r="N117" s="136" t="n">
        <f aca="false">SUMPRODUCT(($M$5:$M$555&gt;M117)*1)+SUMPRODUCT(($M$5:$M$555=M117)*(ROW($M$5:$M$555)&lt;ROW(M117)))+1</f>
        <v>338</v>
      </c>
      <c r="O117" s="136" t="str">
        <f aca="false">IF(M117&gt;=0.2,"★★★ EXCELLENT",IF(M117&gt;=0.12,"★★  GOOD",IF(M117&gt;=0.07,"★  FAIR",IF(M117&gt;=0.025,"⚠  MARGINAL","✗  AVOID"))))</f>
        <v>✗  AVOID</v>
      </c>
    </row>
    <row r="118" customFormat="false" ht="15" hidden="false" customHeight="false" outlineLevel="0" collapsed="false">
      <c r="A118" s="137" t="n">
        <v>16.3</v>
      </c>
      <c r="B118" s="138" t="n">
        <f aca="false">IF(Calculator!$E$11="YES",IF(A118&lt;Calculator!$G$11,0,MIN(MIN(MOD(A118/Calculator!$F$11,1),1-MOD(A118/Calculator!$F$11,1)),ABS(MOD(A118/Calculator!$F$11,1)-0.5))),1)</f>
        <v>0</v>
      </c>
      <c r="C118" s="138" t="n">
        <f aca="false">IF(Calculator!$E$12="YES",IF(A118&lt;Calculator!$G$12,0,MIN(MIN(MOD(A118/Calculator!$F$12,1),1-MOD(A118/Calculator!$F$12,1)),ABS(MOD(A118/Calculator!$F$12,1)-0.5))),1)</f>
        <v>0</v>
      </c>
      <c r="D118" s="138" t="n">
        <f aca="false">IF(Calculator!$E$13="YES",IF(A118&lt;Calculator!$G$13,0,MIN(MIN(MOD(A118/Calculator!$F$13,1),1-MOD(A118/Calculator!$F$13,1)),ABS(MOD(A118/Calculator!$F$13,1)-0.5))),1)</f>
        <v>0.112994385964912</v>
      </c>
      <c r="E118" s="138" t="n">
        <f aca="false">IF(Calculator!$E$14="YES",IF(A118&lt;Calculator!$G$14,0,MIN(MIN(MOD(A118/Calculator!$F$14,1),1-MOD(A118/Calculator!$F$14,1)),ABS(MOD(A118/Calculator!$F$14,1)-0.5))),1)</f>
        <v>0.182140350877193</v>
      </c>
      <c r="F118" s="138" t="n">
        <f aca="false">IF(Calculator!$E$15="YES",IF(A118&lt;Calculator!$G$15,0,MIN(MIN(MOD(A118/Calculator!$F$15,1),1-MOD(A118/Calculator!$F$15,1)),ABS(MOD(A118/Calculator!$F$15,1)-0.5))),1)</f>
        <v>0.158157894736842</v>
      </c>
      <c r="G118" s="138" t="n">
        <f aca="false">IF(Calculator!$E$16="YES",IF(A118&lt;Calculator!$G$16,0,MIN(MIN(MOD(A118/Calculator!$F$16,1),1-MOD(A118/Calculator!$F$16,1)),ABS(MOD(A118/Calculator!$F$16,1)-0.5))),1)</f>
        <v>0.121421052631579</v>
      </c>
      <c r="H118" s="138" t="n">
        <f aca="false">IF(Calculator!$E$17="YES",IF(A118&lt;Calculator!$G$17,0,MIN(MIN(MOD(A118/Calculator!$F$17,1),1-MOD(A118/Calculator!$F$17,1)),ABS(MOD(A118/Calculator!$F$17,1)-0.5))),1)</f>
        <v>0.0724449122807021</v>
      </c>
      <c r="I118" s="138" t="n">
        <f aca="false">IF(Calculator!$E$18="YES",IF(A118&lt;Calculator!$G$18,0,MIN(MIN(MOD(A118/Calculator!$F$18,1),1-MOD(A118/Calculator!$F$18,1)),ABS(MOD(A118/Calculator!$F$18,1)-0.5))),1)</f>
        <v>0.0721578947368418</v>
      </c>
      <c r="J118" s="138" t="n">
        <f aca="false">IF(Calculator!$E$19="YES",IF(A118&lt;Calculator!$G$19,0,MIN(MIN(MOD(A118/Calculator!$F$19,1),1-MOD(A118/Calculator!$F$19,1)),ABS(MOD(A118/Calculator!$F$19,1)-0.5))),1)</f>
        <v>0.14721403508772</v>
      </c>
      <c r="K118" s="138" t="n">
        <f aca="false">IF(Calculator!$E$20="YES",IF(A118&lt;Calculator!$G$20,0,MIN(MIN(MOD(A118/Calculator!$F$20,1),1-MOD(A118/Calculator!$F$20,1)),ABS(MOD(A118/Calculator!$F$20,1)-0.5))),1)</f>
        <v>0.199964912280702</v>
      </c>
      <c r="L118" s="138" t="n">
        <f aca="false">IF(Calculator!$E$21="YES",IF(A118&lt;Calculator!$G$21,0,MIN(MIN(MOD(A118/Calculator!$F$21,1),1-MOD(A118/Calculator!$F$21,1)),ABS(MOD(A118/Calculator!$F$21,1)-0.5))),1)</f>
        <v>0.0519298245614035</v>
      </c>
      <c r="M118" s="138" t="n">
        <f aca="false">MIN(B118:L118)</f>
        <v>0</v>
      </c>
      <c r="N118" s="138" t="n">
        <f aca="false">SUMPRODUCT(($M$5:$M$555&gt;M118)*1)+SUMPRODUCT(($M$5:$M$555=M118)*(ROW($M$5:$M$555)&lt;ROW(M118)))+1</f>
        <v>339</v>
      </c>
      <c r="O118" s="138" t="str">
        <f aca="false">IF(M118&gt;=0.2,"★★★ EXCELLENT",IF(M118&gt;=0.12,"★★  GOOD",IF(M118&gt;=0.07,"★  FAIR",IF(M118&gt;=0.025,"⚠  MARGINAL","✗  AVOID"))))</f>
        <v>✗  AVOID</v>
      </c>
    </row>
    <row r="119" customFormat="false" ht="15" hidden="false" customHeight="false" outlineLevel="0" collapsed="false">
      <c r="A119" s="135" t="n">
        <v>16.4</v>
      </c>
      <c r="B119" s="136" t="n">
        <f aca="false">IF(Calculator!$E$11="YES",IF(A119&lt;Calculator!$G$11,0,MIN(MIN(MOD(A119/Calculator!$F$11,1),1-MOD(A119/Calculator!$F$11,1)),ABS(MOD(A119/Calculator!$F$11,1)-0.5))),1)</f>
        <v>0</v>
      </c>
      <c r="C119" s="136" t="n">
        <f aca="false">IF(Calculator!$E$12="YES",IF(A119&lt;Calculator!$G$12,0,MIN(MIN(MOD(A119/Calculator!$F$12,1),1-MOD(A119/Calculator!$F$12,1)),ABS(MOD(A119/Calculator!$F$12,1)-0.5))),1)</f>
        <v>0</v>
      </c>
      <c r="D119" s="136" t="n">
        <f aca="false">IF(Calculator!$E$13="YES",IF(A119&lt;Calculator!$G$13,0,MIN(MIN(MOD(A119/Calculator!$F$13,1),1-MOD(A119/Calculator!$F$13,1)),ABS(MOD(A119/Calculator!$F$13,1)-0.5))),1)</f>
        <v>0.116755087719298</v>
      </c>
      <c r="E119" s="136" t="n">
        <f aca="false">IF(Calculator!$E$14="YES",IF(A119&lt;Calculator!$G$14,0,MIN(MIN(MOD(A119/Calculator!$F$14,1),1-MOD(A119/Calculator!$F$14,1)),ABS(MOD(A119/Calculator!$F$14,1)-0.5))),1)</f>
        <v>0.177122807017544</v>
      </c>
      <c r="F119" s="136" t="n">
        <f aca="false">IF(Calculator!$E$15="YES",IF(A119&lt;Calculator!$G$15,0,MIN(MIN(MOD(A119/Calculator!$F$15,1),1-MOD(A119/Calculator!$F$15,1)),ABS(MOD(A119/Calculator!$F$15,1)-0.5))),1)</f>
        <v>0.165263157894737</v>
      </c>
      <c r="G119" s="136" t="n">
        <f aca="false">IF(Calculator!$E$16="YES",IF(A119&lt;Calculator!$G$16,0,MIN(MIN(MOD(A119/Calculator!$F$16,1),1-MOD(A119/Calculator!$F$16,1)),ABS(MOD(A119/Calculator!$F$16,1)-0.5))),1)</f>
        <v>0.131368421052632</v>
      </c>
      <c r="H119" s="136" t="n">
        <f aca="false">IF(Calculator!$E$17="YES",IF(A119&lt;Calculator!$G$17,0,MIN(MIN(MOD(A119/Calculator!$F$17,1),1-MOD(A119/Calculator!$F$17,1)),ABS(MOD(A119/Calculator!$F$17,1)-0.5))),1)</f>
        <v>0.085159298245614</v>
      </c>
      <c r="I119" s="136" t="n">
        <f aca="false">IF(Calculator!$E$18="YES",IF(A119&lt;Calculator!$G$18,0,MIN(MIN(MOD(A119/Calculator!$F$18,1),1-MOD(A119/Calculator!$F$18,1)),ABS(MOD(A119/Calculator!$F$18,1)-0.5))),1)</f>
        <v>0.0572631578947371</v>
      </c>
      <c r="J119" s="136" t="n">
        <f aca="false">IF(Calculator!$E$19="YES",IF(A119&lt;Calculator!$G$19,0,MIN(MIN(MOD(A119/Calculator!$F$19,1),1-MOD(A119/Calculator!$F$19,1)),ABS(MOD(A119/Calculator!$F$19,1)-0.5))),1)</f>
        <v>0.129712280701755</v>
      </c>
      <c r="K119" s="136" t="n">
        <f aca="false">IF(Calculator!$E$20="YES",IF(A119&lt;Calculator!$G$20,0,MIN(MIN(MOD(A119/Calculator!$F$20,1),1-MOD(A119/Calculator!$F$20,1)),ABS(MOD(A119/Calculator!$F$20,1)-0.5))),1)</f>
        <v>0.179719298245614</v>
      </c>
      <c r="L119" s="136" t="n">
        <f aca="false">IF(Calculator!$E$21="YES",IF(A119&lt;Calculator!$G$21,0,MIN(MIN(MOD(A119/Calculator!$F$21,1),1-MOD(A119/Calculator!$F$21,1)),ABS(MOD(A119/Calculator!$F$21,1)-0.5))),1)</f>
        <v>0.0154385964912285</v>
      </c>
      <c r="M119" s="136" t="n">
        <f aca="false">MIN(B119:L119)</f>
        <v>0</v>
      </c>
      <c r="N119" s="136" t="n">
        <f aca="false">SUMPRODUCT(($M$5:$M$555&gt;M119)*1)+SUMPRODUCT(($M$5:$M$555=M119)*(ROW($M$5:$M$555)&lt;ROW(M119)))+1</f>
        <v>340</v>
      </c>
      <c r="O119" s="136" t="str">
        <f aca="false">IF(M119&gt;=0.2,"★★★ EXCELLENT",IF(M119&gt;=0.12,"★★  GOOD",IF(M119&gt;=0.07,"★  FAIR",IF(M119&gt;=0.025,"⚠  MARGINAL","✗  AVOID"))))</f>
        <v>✗  AVOID</v>
      </c>
    </row>
    <row r="120" customFormat="false" ht="15" hidden="false" customHeight="false" outlineLevel="0" collapsed="false">
      <c r="A120" s="137" t="n">
        <v>16.5</v>
      </c>
      <c r="B120" s="138" t="n">
        <f aca="false">IF(Calculator!$E$11="YES",IF(A120&lt;Calculator!$G$11,0,MIN(MIN(MOD(A120/Calculator!$F$11,1),1-MOD(A120/Calculator!$F$11,1)),ABS(MOD(A120/Calculator!$F$11,1)-0.5))),1)</f>
        <v>0</v>
      </c>
      <c r="C120" s="138" t="n">
        <f aca="false">IF(Calculator!$E$12="YES",IF(A120&lt;Calculator!$G$12,0,MIN(MIN(MOD(A120/Calculator!$F$12,1),1-MOD(A120/Calculator!$F$12,1)),ABS(MOD(A120/Calculator!$F$12,1)-0.5))),1)</f>
        <v>0</v>
      </c>
      <c r="D120" s="138" t="n">
        <f aca="false">IF(Calculator!$E$13="YES",IF(A120&lt;Calculator!$G$13,0,MIN(MIN(MOD(A120/Calculator!$F$13,1),1-MOD(A120/Calculator!$F$13,1)),ABS(MOD(A120/Calculator!$F$13,1)-0.5))),1)</f>
        <v>0.120515789473684</v>
      </c>
      <c r="E120" s="138" t="n">
        <f aca="false">IF(Calculator!$E$14="YES",IF(A120&lt;Calculator!$G$14,0,MIN(MIN(MOD(A120/Calculator!$F$14,1),1-MOD(A120/Calculator!$F$14,1)),ABS(MOD(A120/Calculator!$F$14,1)-0.5))),1)</f>
        <v>0.172105263157895</v>
      </c>
      <c r="F120" s="138" t="n">
        <f aca="false">IF(Calculator!$E$15="YES",IF(A120&lt;Calculator!$G$15,0,MIN(MIN(MOD(A120/Calculator!$F$15,1),1-MOD(A120/Calculator!$F$15,1)),ABS(MOD(A120/Calculator!$F$15,1)-0.5))),1)</f>
        <v>0.172368421052632</v>
      </c>
      <c r="G120" s="138" t="n">
        <f aca="false">IF(Calculator!$E$16="YES",IF(A120&lt;Calculator!$G$16,0,MIN(MIN(MOD(A120/Calculator!$F$16,1),1-MOD(A120/Calculator!$F$16,1)),ABS(MOD(A120/Calculator!$F$16,1)-0.5))),1)</f>
        <v>0.141315789473684</v>
      </c>
      <c r="H120" s="138" t="n">
        <f aca="false">IF(Calculator!$E$17="YES",IF(A120&lt;Calculator!$G$17,0,MIN(MIN(MOD(A120/Calculator!$F$17,1),1-MOD(A120/Calculator!$F$17,1)),ABS(MOD(A120/Calculator!$F$17,1)-0.5))),1)</f>
        <v>0.0978736842105263</v>
      </c>
      <c r="I120" s="138" t="n">
        <f aca="false">IF(Calculator!$E$18="YES",IF(A120&lt;Calculator!$G$18,0,MIN(MIN(MOD(A120/Calculator!$F$18,1),1-MOD(A120/Calculator!$F$18,1)),ABS(MOD(A120/Calculator!$F$18,1)-0.5))),1)</f>
        <v>0.0423684210526316</v>
      </c>
      <c r="J120" s="138" t="n">
        <f aca="false">IF(Calculator!$E$19="YES",IF(A120&lt;Calculator!$G$19,0,MIN(MIN(MOD(A120/Calculator!$F$19,1),1-MOD(A120/Calculator!$F$19,1)),ABS(MOD(A120/Calculator!$F$19,1)-0.5))),1)</f>
        <v>0.11221052631579</v>
      </c>
      <c r="K120" s="138" t="n">
        <f aca="false">IF(Calculator!$E$20="YES",IF(A120&lt;Calculator!$G$20,0,MIN(MIN(MOD(A120/Calculator!$F$20,1),1-MOD(A120/Calculator!$F$20,1)),ABS(MOD(A120/Calculator!$F$20,1)-0.5))),1)</f>
        <v>0.159473684210526</v>
      </c>
      <c r="L120" s="138" t="n">
        <f aca="false">IF(Calculator!$E$21="YES",IF(A120&lt;Calculator!$G$21,0,MIN(MIN(MOD(A120/Calculator!$F$21,1),1-MOD(A120/Calculator!$F$21,1)),ABS(MOD(A120/Calculator!$F$21,1)-0.5))),1)</f>
        <v>0.0210526315789474</v>
      </c>
      <c r="M120" s="138" t="n">
        <f aca="false">MIN(B120:L120)</f>
        <v>0</v>
      </c>
      <c r="N120" s="138" t="n">
        <f aca="false">SUMPRODUCT(($M$5:$M$555&gt;M120)*1)+SUMPRODUCT(($M$5:$M$555=M120)*(ROW($M$5:$M$555)&lt;ROW(M120)))+1</f>
        <v>341</v>
      </c>
      <c r="O120" s="138" t="str">
        <f aca="false">IF(M120&gt;=0.2,"★★★ EXCELLENT",IF(M120&gt;=0.12,"★★  GOOD",IF(M120&gt;=0.07,"★  FAIR",IF(M120&gt;=0.025,"⚠  MARGINAL","✗  AVOID"))))</f>
        <v>✗  AVOID</v>
      </c>
    </row>
    <row r="121" customFormat="false" ht="15" hidden="false" customHeight="false" outlineLevel="0" collapsed="false">
      <c r="A121" s="135" t="n">
        <v>16.6</v>
      </c>
      <c r="B121" s="136" t="n">
        <f aca="false">IF(Calculator!$E$11="YES",IF(A121&lt;Calculator!$G$11,0,MIN(MIN(MOD(A121/Calculator!$F$11,1),1-MOD(A121/Calculator!$F$11,1)),ABS(MOD(A121/Calculator!$F$11,1)-0.5))),1)</f>
        <v>0</v>
      </c>
      <c r="C121" s="136" t="n">
        <f aca="false">IF(Calculator!$E$12="YES",IF(A121&lt;Calculator!$G$12,0,MIN(MIN(MOD(A121/Calculator!$F$12,1),1-MOD(A121/Calculator!$F$12,1)),ABS(MOD(A121/Calculator!$F$12,1)-0.5))),1)</f>
        <v>0</v>
      </c>
      <c r="D121" s="136" t="n">
        <f aca="false">IF(Calculator!$E$13="YES",IF(A121&lt;Calculator!$G$13,0,MIN(MIN(MOD(A121/Calculator!$F$13,1),1-MOD(A121/Calculator!$F$13,1)),ABS(MOD(A121/Calculator!$F$13,1)-0.5))),1)</f>
        <v>0.12427649122807</v>
      </c>
      <c r="E121" s="136" t="n">
        <f aca="false">IF(Calculator!$E$14="YES",IF(A121&lt;Calculator!$G$14,0,MIN(MIN(MOD(A121/Calculator!$F$14,1),1-MOD(A121/Calculator!$F$14,1)),ABS(MOD(A121/Calculator!$F$14,1)-0.5))),1)</f>
        <v>0.167087719298246</v>
      </c>
      <c r="F121" s="136" t="n">
        <f aca="false">IF(Calculator!$E$15="YES",IF(A121&lt;Calculator!$G$15,0,MIN(MIN(MOD(A121/Calculator!$F$15,1),1-MOD(A121/Calculator!$F$15,1)),ABS(MOD(A121/Calculator!$F$15,1)-0.5))),1)</f>
        <v>0.179473684210526</v>
      </c>
      <c r="G121" s="136" t="n">
        <f aca="false">IF(Calculator!$E$16="YES",IF(A121&lt;Calculator!$G$16,0,MIN(MIN(MOD(A121/Calculator!$F$16,1),1-MOD(A121/Calculator!$F$16,1)),ABS(MOD(A121/Calculator!$F$16,1)-0.5))),1)</f>
        <v>0.151263157894737</v>
      </c>
      <c r="H121" s="136" t="n">
        <f aca="false">IF(Calculator!$E$17="YES",IF(A121&lt;Calculator!$G$17,0,MIN(MIN(MOD(A121/Calculator!$F$17,1),1-MOD(A121/Calculator!$F$17,1)),ABS(MOD(A121/Calculator!$F$17,1)-0.5))),1)</f>
        <v>0.110588070175439</v>
      </c>
      <c r="I121" s="136" t="n">
        <f aca="false">IF(Calculator!$E$18="YES",IF(A121&lt;Calculator!$G$18,0,MIN(MIN(MOD(A121/Calculator!$F$18,1),1-MOD(A121/Calculator!$F$18,1)),ABS(MOD(A121/Calculator!$F$18,1)-0.5))),1)</f>
        <v>0.0274736842105261</v>
      </c>
      <c r="J121" s="136" t="n">
        <f aca="false">IF(Calculator!$E$19="YES",IF(A121&lt;Calculator!$G$19,0,MIN(MIN(MOD(A121/Calculator!$F$19,1),1-MOD(A121/Calculator!$F$19,1)),ABS(MOD(A121/Calculator!$F$19,1)-0.5))),1)</f>
        <v>0.0947087719298247</v>
      </c>
      <c r="K121" s="136" t="n">
        <f aca="false">IF(Calculator!$E$20="YES",IF(A121&lt;Calculator!$G$20,0,MIN(MIN(MOD(A121/Calculator!$F$20,1),1-MOD(A121/Calculator!$F$20,1)),ABS(MOD(A121/Calculator!$F$20,1)-0.5))),1)</f>
        <v>0.139228070175438</v>
      </c>
      <c r="L121" s="136" t="n">
        <f aca="false">IF(Calculator!$E$21="YES",IF(A121&lt;Calculator!$G$21,0,MIN(MIN(MOD(A121/Calculator!$F$21,1),1-MOD(A121/Calculator!$F$21,1)),ABS(MOD(A121/Calculator!$F$21,1)-0.5))),1)</f>
        <v>0.0575438596491233</v>
      </c>
      <c r="M121" s="136" t="n">
        <f aca="false">MIN(B121:L121)</f>
        <v>0</v>
      </c>
      <c r="N121" s="136" t="n">
        <f aca="false">SUMPRODUCT(($M$5:$M$555&gt;M121)*1)+SUMPRODUCT(($M$5:$M$555=M121)*(ROW($M$5:$M$555)&lt;ROW(M121)))+1</f>
        <v>342</v>
      </c>
      <c r="O121" s="136" t="str">
        <f aca="false">IF(M121&gt;=0.2,"★★★ EXCELLENT",IF(M121&gt;=0.12,"★★  GOOD",IF(M121&gt;=0.07,"★  FAIR",IF(M121&gt;=0.025,"⚠  MARGINAL","✗  AVOID"))))</f>
        <v>✗  AVOID</v>
      </c>
    </row>
    <row r="122" customFormat="false" ht="15" hidden="false" customHeight="false" outlineLevel="0" collapsed="false">
      <c r="A122" s="137" t="n">
        <v>16.7</v>
      </c>
      <c r="B122" s="138" t="n">
        <f aca="false">IF(Calculator!$E$11="YES",IF(A122&lt;Calculator!$G$11,0,MIN(MIN(MOD(A122/Calculator!$F$11,1),1-MOD(A122/Calculator!$F$11,1)),ABS(MOD(A122/Calculator!$F$11,1)-0.5))),1)</f>
        <v>0</v>
      </c>
      <c r="C122" s="138" t="n">
        <f aca="false">IF(Calculator!$E$12="YES",IF(A122&lt;Calculator!$G$12,0,MIN(MIN(MOD(A122/Calculator!$F$12,1),1-MOD(A122/Calculator!$F$12,1)),ABS(MOD(A122/Calculator!$F$12,1)-0.5))),1)</f>
        <v>0</v>
      </c>
      <c r="D122" s="138" t="n">
        <f aca="false">IF(Calculator!$E$13="YES",IF(A122&lt;Calculator!$G$13,0,MIN(MIN(MOD(A122/Calculator!$F$13,1),1-MOD(A122/Calculator!$F$13,1)),ABS(MOD(A122/Calculator!$F$13,1)-0.5))),1)</f>
        <v>0.128037192982456</v>
      </c>
      <c r="E122" s="138" t="n">
        <f aca="false">IF(Calculator!$E$14="YES",IF(A122&lt;Calculator!$G$14,0,MIN(MIN(MOD(A122/Calculator!$F$14,1),1-MOD(A122/Calculator!$F$14,1)),ABS(MOD(A122/Calculator!$F$14,1)-0.5))),1)</f>
        <v>0.162070175438596</v>
      </c>
      <c r="F122" s="138" t="n">
        <f aca="false">IF(Calculator!$E$15="YES",IF(A122&lt;Calculator!$G$15,0,MIN(MIN(MOD(A122/Calculator!$F$15,1),1-MOD(A122/Calculator!$F$15,1)),ABS(MOD(A122/Calculator!$F$15,1)-0.5))),1)</f>
        <v>0.186578947368421</v>
      </c>
      <c r="G122" s="138" t="n">
        <f aca="false">IF(Calculator!$E$16="YES",IF(A122&lt;Calculator!$G$16,0,MIN(MIN(MOD(A122/Calculator!$F$16,1),1-MOD(A122/Calculator!$F$16,1)),ABS(MOD(A122/Calculator!$F$16,1)-0.5))),1)</f>
        <v>0.161210526315789</v>
      </c>
      <c r="H122" s="138" t="n">
        <f aca="false">IF(Calculator!$E$17="YES",IF(A122&lt;Calculator!$G$17,0,MIN(MIN(MOD(A122/Calculator!$F$17,1),1-MOD(A122/Calculator!$F$17,1)),ABS(MOD(A122/Calculator!$F$17,1)-0.5))),1)</f>
        <v>0.123302456140351</v>
      </c>
      <c r="I122" s="138" t="n">
        <f aca="false">IF(Calculator!$E$18="YES",IF(A122&lt;Calculator!$G$18,0,MIN(MIN(MOD(A122/Calculator!$F$18,1),1-MOD(A122/Calculator!$F$18,1)),ABS(MOD(A122/Calculator!$F$18,1)-0.5))),1)</f>
        <v>0.012578947368421</v>
      </c>
      <c r="J122" s="138" t="n">
        <f aca="false">IF(Calculator!$E$19="YES",IF(A122&lt;Calculator!$G$19,0,MIN(MIN(MOD(A122/Calculator!$F$19,1),1-MOD(A122/Calculator!$F$19,1)),ABS(MOD(A122/Calculator!$F$19,1)-0.5))),1)</f>
        <v>0.0772070175438602</v>
      </c>
      <c r="K122" s="138" t="n">
        <f aca="false">IF(Calculator!$E$20="YES",IF(A122&lt;Calculator!$G$20,0,MIN(MIN(MOD(A122/Calculator!$F$20,1),1-MOD(A122/Calculator!$F$20,1)),ABS(MOD(A122/Calculator!$F$20,1)-0.5))),1)</f>
        <v>0.118982456140351</v>
      </c>
      <c r="L122" s="138" t="n">
        <f aca="false">IF(Calculator!$E$21="YES",IF(A122&lt;Calculator!$G$21,0,MIN(MIN(MOD(A122/Calculator!$F$21,1),1-MOD(A122/Calculator!$F$21,1)),ABS(MOD(A122/Calculator!$F$21,1)-0.5))),1)</f>
        <v>0.0940350877192975</v>
      </c>
      <c r="M122" s="138" t="n">
        <f aca="false">MIN(B122:L122)</f>
        <v>0</v>
      </c>
      <c r="N122" s="138" t="n">
        <f aca="false">SUMPRODUCT(($M$5:$M$555&gt;M122)*1)+SUMPRODUCT(($M$5:$M$555=M122)*(ROW($M$5:$M$555)&lt;ROW(M122)))+1</f>
        <v>343</v>
      </c>
      <c r="O122" s="138" t="str">
        <f aca="false">IF(M122&gt;=0.2,"★★★ EXCELLENT",IF(M122&gt;=0.12,"★★  GOOD",IF(M122&gt;=0.07,"★  FAIR",IF(M122&gt;=0.025,"⚠  MARGINAL","✗  AVOID"))))</f>
        <v>✗  AVOID</v>
      </c>
    </row>
    <row r="123" customFormat="false" ht="15" hidden="false" customHeight="false" outlineLevel="0" collapsed="false">
      <c r="A123" s="135" t="n">
        <v>16.8</v>
      </c>
      <c r="B123" s="136" t="n">
        <f aca="false">IF(Calculator!$E$11="YES",IF(A123&lt;Calculator!$G$11,0,MIN(MIN(MOD(A123/Calculator!$F$11,1),1-MOD(A123/Calculator!$F$11,1)),ABS(MOD(A123/Calculator!$F$11,1)-0.5))),1)</f>
        <v>0</v>
      </c>
      <c r="C123" s="136" t="n">
        <f aca="false">IF(Calculator!$E$12="YES",IF(A123&lt;Calculator!$G$12,0,MIN(MIN(MOD(A123/Calculator!$F$12,1),1-MOD(A123/Calculator!$F$12,1)),ABS(MOD(A123/Calculator!$F$12,1)-0.5))),1)</f>
        <v>0</v>
      </c>
      <c r="D123" s="136" t="n">
        <f aca="false">IF(Calculator!$E$13="YES",IF(A123&lt;Calculator!$G$13,0,MIN(MIN(MOD(A123/Calculator!$F$13,1),1-MOD(A123/Calculator!$F$13,1)),ABS(MOD(A123/Calculator!$F$13,1)-0.5))),1)</f>
        <v>0.131797894736842</v>
      </c>
      <c r="E123" s="136" t="n">
        <f aca="false">IF(Calculator!$E$14="YES",IF(A123&lt;Calculator!$G$14,0,MIN(MIN(MOD(A123/Calculator!$F$14,1),1-MOD(A123/Calculator!$F$14,1)),ABS(MOD(A123/Calculator!$F$14,1)-0.5))),1)</f>
        <v>0.157052631578947</v>
      </c>
      <c r="F123" s="136" t="n">
        <f aca="false">IF(Calculator!$E$15="YES",IF(A123&lt;Calculator!$G$15,0,MIN(MIN(MOD(A123/Calculator!$F$15,1),1-MOD(A123/Calculator!$F$15,1)),ABS(MOD(A123/Calculator!$F$15,1)-0.5))),1)</f>
        <v>0.193684210526316</v>
      </c>
      <c r="G123" s="136" t="n">
        <f aca="false">IF(Calculator!$E$16="YES",IF(A123&lt;Calculator!$G$16,0,MIN(MIN(MOD(A123/Calculator!$F$16,1),1-MOD(A123/Calculator!$F$16,1)),ABS(MOD(A123/Calculator!$F$16,1)-0.5))),1)</f>
        <v>0.171157894736842</v>
      </c>
      <c r="H123" s="136" t="n">
        <f aca="false">IF(Calculator!$E$17="YES",IF(A123&lt;Calculator!$G$17,0,MIN(MIN(MOD(A123/Calculator!$F$17,1),1-MOD(A123/Calculator!$F$17,1)),ABS(MOD(A123/Calculator!$F$17,1)-0.5))),1)</f>
        <v>0.136016842105263</v>
      </c>
      <c r="I123" s="136" t="n">
        <f aca="false">IF(Calculator!$E$18="YES",IF(A123&lt;Calculator!$G$18,0,MIN(MIN(MOD(A123/Calculator!$F$18,1),1-MOD(A123/Calculator!$F$18,1)),ABS(MOD(A123/Calculator!$F$18,1)-0.5))),1)</f>
        <v>0.00231578947368449</v>
      </c>
      <c r="J123" s="136" t="n">
        <f aca="false">IF(Calculator!$E$19="YES",IF(A123&lt;Calculator!$G$19,0,MIN(MIN(MOD(A123/Calculator!$F$19,1),1-MOD(A123/Calculator!$F$19,1)),ABS(MOD(A123/Calculator!$F$19,1)-0.5))),1)</f>
        <v>0.0597052631578952</v>
      </c>
      <c r="K123" s="136" t="n">
        <f aca="false">IF(Calculator!$E$20="YES",IF(A123&lt;Calculator!$G$20,0,MIN(MIN(MOD(A123/Calculator!$F$20,1),1-MOD(A123/Calculator!$F$20,1)),ABS(MOD(A123/Calculator!$F$20,1)-0.5))),1)</f>
        <v>0.098736842105263</v>
      </c>
      <c r="L123" s="136" t="n">
        <f aca="false">IF(Calculator!$E$21="YES",IF(A123&lt;Calculator!$G$21,0,MIN(MIN(MOD(A123/Calculator!$F$21,1),1-MOD(A123/Calculator!$F$21,1)),ABS(MOD(A123/Calculator!$F$21,1)-0.5))),1)</f>
        <v>0.130526315789474</v>
      </c>
      <c r="M123" s="136" t="n">
        <f aca="false">MIN(B123:L123)</f>
        <v>0</v>
      </c>
      <c r="N123" s="136" t="n">
        <f aca="false">SUMPRODUCT(($M$5:$M$555&gt;M123)*1)+SUMPRODUCT(($M$5:$M$555=M123)*(ROW($M$5:$M$555)&lt;ROW(M123)))+1</f>
        <v>344</v>
      </c>
      <c r="O123" s="136" t="str">
        <f aca="false">IF(M123&gt;=0.2,"★★★ EXCELLENT",IF(M123&gt;=0.12,"★★  GOOD",IF(M123&gt;=0.07,"★  FAIR",IF(M123&gt;=0.025,"⚠  MARGINAL","✗  AVOID"))))</f>
        <v>✗  AVOID</v>
      </c>
    </row>
    <row r="124" customFormat="false" ht="15" hidden="false" customHeight="false" outlineLevel="0" collapsed="false">
      <c r="A124" s="137" t="n">
        <v>16.9</v>
      </c>
      <c r="B124" s="138" t="n">
        <f aca="false">IF(Calculator!$E$11="YES",IF(A124&lt;Calculator!$G$11,0,MIN(MIN(MOD(A124/Calculator!$F$11,1),1-MOD(A124/Calculator!$F$11,1)),ABS(MOD(A124/Calculator!$F$11,1)-0.5))),1)</f>
        <v>0</v>
      </c>
      <c r="C124" s="138" t="n">
        <f aca="false">IF(Calculator!$E$12="YES",IF(A124&lt;Calculator!$G$12,0,MIN(MIN(MOD(A124/Calculator!$F$12,1),1-MOD(A124/Calculator!$F$12,1)),ABS(MOD(A124/Calculator!$F$12,1)-0.5))),1)</f>
        <v>0</v>
      </c>
      <c r="D124" s="138" t="n">
        <f aca="false">IF(Calculator!$E$13="YES",IF(A124&lt;Calculator!$G$13,0,MIN(MIN(MOD(A124/Calculator!$F$13,1),1-MOD(A124/Calculator!$F$13,1)),ABS(MOD(A124/Calculator!$F$13,1)-0.5))),1)</f>
        <v>0.135558596491228</v>
      </c>
      <c r="E124" s="138" t="n">
        <f aca="false">IF(Calculator!$E$14="YES",IF(A124&lt;Calculator!$G$14,0,MIN(MIN(MOD(A124/Calculator!$F$14,1),1-MOD(A124/Calculator!$F$14,1)),ABS(MOD(A124/Calculator!$F$14,1)-0.5))),1)</f>
        <v>0.152035087719298</v>
      </c>
      <c r="F124" s="138" t="n">
        <f aca="false">IF(Calculator!$E$15="YES",IF(A124&lt;Calculator!$G$15,0,MIN(MIN(MOD(A124/Calculator!$F$15,1),1-MOD(A124/Calculator!$F$15,1)),ABS(MOD(A124/Calculator!$F$15,1)-0.5))),1)</f>
        <v>0.20078947368421</v>
      </c>
      <c r="G124" s="138" t="n">
        <f aca="false">IF(Calculator!$E$16="YES",IF(A124&lt;Calculator!$G$16,0,MIN(MIN(MOD(A124/Calculator!$F$16,1),1-MOD(A124/Calculator!$F$16,1)),ABS(MOD(A124/Calculator!$F$16,1)-0.5))),1)</f>
        <v>0.181105263157895</v>
      </c>
      <c r="H124" s="138" t="n">
        <f aca="false">IF(Calculator!$E$17="YES",IF(A124&lt;Calculator!$G$17,0,MIN(MIN(MOD(A124/Calculator!$F$17,1),1-MOD(A124/Calculator!$F$17,1)),ABS(MOD(A124/Calculator!$F$17,1)-0.5))),1)</f>
        <v>0.148731228070175</v>
      </c>
      <c r="I124" s="138" t="n">
        <f aca="false">IF(Calculator!$E$18="YES",IF(A124&lt;Calculator!$G$18,0,MIN(MIN(MOD(A124/Calculator!$F$18,1),1-MOD(A124/Calculator!$F$18,1)),ABS(MOD(A124/Calculator!$F$18,1)-0.5))),1)</f>
        <v>0.0172105263157896</v>
      </c>
      <c r="J124" s="138" t="n">
        <f aca="false">IF(Calculator!$E$19="YES",IF(A124&lt;Calculator!$G$19,0,MIN(MIN(MOD(A124/Calculator!$F$19,1),1-MOD(A124/Calculator!$F$19,1)),ABS(MOD(A124/Calculator!$F$19,1)-0.5))),1)</f>
        <v>0.0422035087719306</v>
      </c>
      <c r="K124" s="138" t="n">
        <f aca="false">IF(Calculator!$E$20="YES",IF(A124&lt;Calculator!$G$20,0,MIN(MIN(MOD(A124/Calculator!$F$20,1),1-MOD(A124/Calculator!$F$20,1)),ABS(MOD(A124/Calculator!$F$20,1)-0.5))),1)</f>
        <v>0.0784912280701757</v>
      </c>
      <c r="L124" s="138" t="n">
        <f aca="false">IF(Calculator!$E$21="YES",IF(A124&lt;Calculator!$G$21,0,MIN(MIN(MOD(A124/Calculator!$F$21,1),1-MOD(A124/Calculator!$F$21,1)),ABS(MOD(A124/Calculator!$F$21,1)-0.5))),1)</f>
        <v>0.167017543859648</v>
      </c>
      <c r="M124" s="138" t="n">
        <f aca="false">MIN(B124:L124)</f>
        <v>0</v>
      </c>
      <c r="N124" s="138" t="n">
        <f aca="false">SUMPRODUCT(($M$5:$M$555&gt;M124)*1)+SUMPRODUCT(($M$5:$M$555=M124)*(ROW($M$5:$M$555)&lt;ROW(M124)))+1</f>
        <v>345</v>
      </c>
      <c r="O124" s="138" t="str">
        <f aca="false">IF(M124&gt;=0.2,"★★★ EXCELLENT",IF(M124&gt;=0.12,"★★  GOOD",IF(M124&gt;=0.07,"★  FAIR",IF(M124&gt;=0.025,"⚠  MARGINAL","✗  AVOID"))))</f>
        <v>✗  AVOID</v>
      </c>
    </row>
    <row r="125" customFormat="false" ht="15" hidden="false" customHeight="false" outlineLevel="0" collapsed="false">
      <c r="A125" s="135" t="n">
        <v>17</v>
      </c>
      <c r="B125" s="136" t="n">
        <f aca="false">IF(Calculator!$E$11="YES",IF(A125&lt;Calculator!$G$11,0,MIN(MIN(MOD(A125/Calculator!$F$11,1),1-MOD(A125/Calculator!$F$11,1)),ABS(MOD(A125/Calculator!$F$11,1)-0.5))),1)</f>
        <v>0</v>
      </c>
      <c r="C125" s="136" t="n">
        <f aca="false">IF(Calculator!$E$12="YES",IF(A125&lt;Calculator!$G$12,0,MIN(MIN(MOD(A125/Calculator!$F$12,1),1-MOD(A125/Calculator!$F$12,1)),ABS(MOD(A125/Calculator!$F$12,1)-0.5))),1)</f>
        <v>0</v>
      </c>
      <c r="D125" s="136" t="n">
        <f aca="false">IF(Calculator!$E$13="YES",IF(A125&lt;Calculator!$G$13,0,MIN(MIN(MOD(A125/Calculator!$F$13,1),1-MOD(A125/Calculator!$F$13,1)),ABS(MOD(A125/Calculator!$F$13,1)-0.5))),1)</f>
        <v>0.139319298245614</v>
      </c>
      <c r="E125" s="136" t="n">
        <f aca="false">IF(Calculator!$E$14="YES",IF(A125&lt;Calculator!$G$14,0,MIN(MIN(MOD(A125/Calculator!$F$14,1),1-MOD(A125/Calculator!$F$14,1)),ABS(MOD(A125/Calculator!$F$14,1)-0.5))),1)</f>
        <v>0.147017543859649</v>
      </c>
      <c r="F125" s="136" t="n">
        <f aca="false">IF(Calculator!$E$15="YES",IF(A125&lt;Calculator!$G$15,0,MIN(MIN(MOD(A125/Calculator!$F$15,1),1-MOD(A125/Calculator!$F$15,1)),ABS(MOD(A125/Calculator!$F$15,1)-0.5))),1)</f>
        <v>0.207894736842105</v>
      </c>
      <c r="G125" s="136" t="n">
        <f aca="false">IF(Calculator!$E$16="YES",IF(A125&lt;Calculator!$G$16,0,MIN(MIN(MOD(A125/Calculator!$F$16,1),1-MOD(A125/Calculator!$F$16,1)),ABS(MOD(A125/Calculator!$F$16,1)-0.5))),1)</f>
        <v>0.191052631578948</v>
      </c>
      <c r="H125" s="136" t="n">
        <f aca="false">IF(Calculator!$E$17="YES",IF(A125&lt;Calculator!$G$17,0,MIN(MIN(MOD(A125/Calculator!$F$17,1),1-MOD(A125/Calculator!$F$17,1)),ABS(MOD(A125/Calculator!$F$17,1)-0.5))),1)</f>
        <v>0.161445614035088</v>
      </c>
      <c r="I125" s="136" t="n">
        <f aca="false">IF(Calculator!$E$18="YES",IF(A125&lt;Calculator!$G$18,0,MIN(MIN(MOD(A125/Calculator!$F$18,1),1-MOD(A125/Calculator!$F$18,1)),ABS(MOD(A125/Calculator!$F$18,1)-0.5))),1)</f>
        <v>0.0321052631578946</v>
      </c>
      <c r="J125" s="136" t="n">
        <f aca="false">IF(Calculator!$E$19="YES",IF(A125&lt;Calculator!$G$19,0,MIN(MIN(MOD(A125/Calculator!$F$19,1),1-MOD(A125/Calculator!$F$19,1)),ABS(MOD(A125/Calculator!$F$19,1)-0.5))),1)</f>
        <v>0.0247017543859656</v>
      </c>
      <c r="K125" s="136" t="n">
        <f aca="false">IF(Calculator!$E$20="YES",IF(A125&lt;Calculator!$G$20,0,MIN(MIN(MOD(A125/Calculator!$F$20,1),1-MOD(A125/Calculator!$F$20,1)),ABS(MOD(A125/Calculator!$F$20,1)-0.5))),1)</f>
        <v>0.0582456140350875</v>
      </c>
      <c r="L125" s="136" t="n">
        <f aca="false">IF(Calculator!$E$21="YES",IF(A125&lt;Calculator!$G$21,0,MIN(MIN(MOD(A125/Calculator!$F$21,1),1-MOD(A125/Calculator!$F$21,1)),ABS(MOD(A125/Calculator!$F$21,1)-0.5))),1)</f>
        <v>0.203508771929824</v>
      </c>
      <c r="M125" s="136" t="n">
        <f aca="false">MIN(B125:L125)</f>
        <v>0</v>
      </c>
      <c r="N125" s="136" t="n">
        <f aca="false">SUMPRODUCT(($M$5:$M$555&gt;M125)*1)+SUMPRODUCT(($M$5:$M$555=M125)*(ROW($M$5:$M$555)&lt;ROW(M125)))+1</f>
        <v>346</v>
      </c>
      <c r="O125" s="136" t="str">
        <f aca="false">IF(M125&gt;=0.2,"★★★ EXCELLENT",IF(M125&gt;=0.12,"★★  GOOD",IF(M125&gt;=0.07,"★  FAIR",IF(M125&gt;=0.025,"⚠  MARGINAL","✗  AVOID"))))</f>
        <v>✗  AVOID</v>
      </c>
    </row>
    <row r="126" customFormat="false" ht="15" hidden="false" customHeight="false" outlineLevel="0" collapsed="false">
      <c r="A126" s="137" t="n">
        <v>17.1</v>
      </c>
      <c r="B126" s="138" t="n">
        <f aca="false">IF(Calculator!$E$11="YES",IF(A126&lt;Calculator!$G$11,0,MIN(MIN(MOD(A126/Calculator!$F$11,1),1-MOD(A126/Calculator!$F$11,1)),ABS(MOD(A126/Calculator!$F$11,1)-0.5))),1)</f>
        <v>0</v>
      </c>
      <c r="C126" s="138" t="n">
        <f aca="false">IF(Calculator!$E$12="YES",IF(A126&lt;Calculator!$G$12,0,MIN(MIN(MOD(A126/Calculator!$F$12,1),1-MOD(A126/Calculator!$F$12,1)),ABS(MOD(A126/Calculator!$F$12,1)-0.5))),1)</f>
        <v>0</v>
      </c>
      <c r="D126" s="138" t="n">
        <f aca="false">IF(Calculator!$E$13="YES",IF(A126&lt;Calculator!$G$13,0,MIN(MIN(MOD(A126/Calculator!$F$13,1),1-MOD(A126/Calculator!$F$13,1)),ABS(MOD(A126/Calculator!$F$13,1)-0.5))),1)</f>
        <v>0.14308</v>
      </c>
      <c r="E126" s="138" t="n">
        <f aca="false">IF(Calculator!$E$14="YES",IF(A126&lt;Calculator!$G$14,0,MIN(MIN(MOD(A126/Calculator!$F$14,1),1-MOD(A126/Calculator!$F$14,1)),ABS(MOD(A126/Calculator!$F$14,1)-0.5))),1)</f>
        <v>0.142</v>
      </c>
      <c r="F126" s="138" t="n">
        <f aca="false">IF(Calculator!$E$15="YES",IF(A126&lt;Calculator!$G$15,0,MIN(MIN(MOD(A126/Calculator!$F$15,1),1-MOD(A126/Calculator!$F$15,1)),ABS(MOD(A126/Calculator!$F$15,1)-0.5))),1)</f>
        <v>0.215</v>
      </c>
      <c r="G126" s="138" t="n">
        <f aca="false">IF(Calculator!$E$16="YES",IF(A126&lt;Calculator!$G$16,0,MIN(MIN(MOD(A126/Calculator!$F$16,1),1-MOD(A126/Calculator!$F$16,1)),ABS(MOD(A126/Calculator!$F$16,1)-0.5))),1)</f>
        <v>0.201</v>
      </c>
      <c r="H126" s="138" t="n">
        <f aca="false">IF(Calculator!$E$17="YES",IF(A126&lt;Calculator!$G$17,0,MIN(MIN(MOD(A126/Calculator!$F$17,1),1-MOD(A126/Calculator!$F$17,1)),ABS(MOD(A126/Calculator!$F$17,1)-0.5))),1)</f>
        <v>0.174160000000001</v>
      </c>
      <c r="I126" s="138" t="n">
        <f aca="false">IF(Calculator!$E$18="YES",IF(A126&lt;Calculator!$G$18,0,MIN(MIN(MOD(A126/Calculator!$F$18,1),1-MOD(A126/Calculator!$F$18,1)),ABS(MOD(A126/Calculator!$F$18,1)-0.5))),1)</f>
        <v>0.0470000000000002</v>
      </c>
      <c r="J126" s="138" t="n">
        <f aca="false">IF(Calculator!$E$19="YES",IF(A126&lt;Calculator!$G$19,0,MIN(MIN(MOD(A126/Calculator!$F$19,1),1-MOD(A126/Calculator!$F$19,1)),ABS(MOD(A126/Calculator!$F$19,1)-0.5))),1)</f>
        <v>0.0072000000000001</v>
      </c>
      <c r="K126" s="138" t="n">
        <f aca="false">IF(Calculator!$E$20="YES",IF(A126&lt;Calculator!$G$20,0,MIN(MIN(MOD(A126/Calculator!$F$20,1),1-MOD(A126/Calculator!$F$20,1)),ABS(MOD(A126/Calculator!$F$20,1)-0.5))),1)</f>
        <v>0.0379999999999998</v>
      </c>
      <c r="L126" s="138" t="n">
        <f aca="false">IF(Calculator!$E$21="YES",IF(A126&lt;Calculator!$G$21,0,MIN(MIN(MOD(A126/Calculator!$F$21,1),1-MOD(A126/Calculator!$F$21,1)),ABS(MOD(A126/Calculator!$F$21,1)-0.5))),1)</f>
        <v>0.24</v>
      </c>
      <c r="M126" s="138" t="n">
        <f aca="false">MIN(B126:L126)</f>
        <v>0</v>
      </c>
      <c r="N126" s="138" t="n">
        <f aca="false">SUMPRODUCT(($M$5:$M$555&gt;M126)*1)+SUMPRODUCT(($M$5:$M$555=M126)*(ROW($M$5:$M$555)&lt;ROW(M126)))+1</f>
        <v>347</v>
      </c>
      <c r="O126" s="138" t="str">
        <f aca="false">IF(M126&gt;=0.2,"★★★ EXCELLENT",IF(M126&gt;=0.12,"★★  GOOD",IF(M126&gt;=0.07,"★  FAIR",IF(M126&gt;=0.025,"⚠  MARGINAL","✗  AVOID"))))</f>
        <v>✗  AVOID</v>
      </c>
    </row>
    <row r="127" customFormat="false" ht="15" hidden="false" customHeight="false" outlineLevel="0" collapsed="false">
      <c r="A127" s="135" t="n">
        <v>17.2</v>
      </c>
      <c r="B127" s="136" t="n">
        <f aca="false">IF(Calculator!$E$11="YES",IF(A127&lt;Calculator!$G$11,0,MIN(MIN(MOD(A127/Calculator!$F$11,1),1-MOD(A127/Calculator!$F$11,1)),ABS(MOD(A127/Calculator!$F$11,1)-0.5))),1)</f>
        <v>0</v>
      </c>
      <c r="C127" s="136" t="n">
        <f aca="false">IF(Calculator!$E$12="YES",IF(A127&lt;Calculator!$G$12,0,MIN(MIN(MOD(A127/Calculator!$F$12,1),1-MOD(A127/Calculator!$F$12,1)),ABS(MOD(A127/Calculator!$F$12,1)-0.5))),1)</f>
        <v>0</v>
      </c>
      <c r="D127" s="136" t="n">
        <f aca="false">IF(Calculator!$E$13="YES",IF(A127&lt;Calculator!$G$13,0,MIN(MIN(MOD(A127/Calculator!$F$13,1),1-MOD(A127/Calculator!$F$13,1)),ABS(MOD(A127/Calculator!$F$13,1)-0.5))),1)</f>
        <v>0.146840701754386</v>
      </c>
      <c r="E127" s="136" t="n">
        <f aca="false">IF(Calculator!$E$14="YES",IF(A127&lt;Calculator!$G$14,0,MIN(MIN(MOD(A127/Calculator!$F$14,1),1-MOD(A127/Calculator!$F$14,1)),ABS(MOD(A127/Calculator!$F$14,1)-0.5))),1)</f>
        <v>0.136982456140351</v>
      </c>
      <c r="F127" s="136" t="n">
        <f aca="false">IF(Calculator!$E$15="YES",IF(A127&lt;Calculator!$G$15,0,MIN(MIN(MOD(A127/Calculator!$F$15,1),1-MOD(A127/Calculator!$F$15,1)),ABS(MOD(A127/Calculator!$F$15,1)-0.5))),1)</f>
        <v>0.222105263157895</v>
      </c>
      <c r="G127" s="136" t="n">
        <f aca="false">IF(Calculator!$E$16="YES",IF(A127&lt;Calculator!$G$16,0,MIN(MIN(MOD(A127/Calculator!$F$16,1),1-MOD(A127/Calculator!$F$16,1)),ABS(MOD(A127/Calculator!$F$16,1)-0.5))),1)</f>
        <v>0.210947368421053</v>
      </c>
      <c r="H127" s="136" t="n">
        <f aca="false">IF(Calculator!$E$17="YES",IF(A127&lt;Calculator!$G$17,0,MIN(MIN(MOD(A127/Calculator!$F$17,1),1-MOD(A127/Calculator!$F$17,1)),ABS(MOD(A127/Calculator!$F$17,1)-0.5))),1)</f>
        <v>0.186874385964912</v>
      </c>
      <c r="I127" s="136" t="n">
        <f aca="false">IF(Calculator!$E$18="YES",IF(A127&lt;Calculator!$G$18,0,MIN(MIN(MOD(A127/Calculator!$F$18,1),1-MOD(A127/Calculator!$F$18,1)),ABS(MOD(A127/Calculator!$F$18,1)-0.5))),1)</f>
        <v>0.0618947368421052</v>
      </c>
      <c r="J127" s="136" t="n">
        <f aca="false">IF(Calculator!$E$19="YES",IF(A127&lt;Calculator!$G$19,0,MIN(MIN(MOD(A127/Calculator!$F$19,1),1-MOD(A127/Calculator!$F$19,1)),ABS(MOD(A127/Calculator!$F$19,1)-0.5))),1)</f>
        <v>0.0103017543859645</v>
      </c>
      <c r="K127" s="136" t="n">
        <f aca="false">IF(Calculator!$E$20="YES",IF(A127&lt;Calculator!$G$20,0,MIN(MIN(MOD(A127/Calculator!$F$20,1),1-MOD(A127/Calculator!$F$20,1)),ABS(MOD(A127/Calculator!$F$20,1)-0.5))),1)</f>
        <v>0.0177543859649125</v>
      </c>
      <c r="L127" s="136" t="n">
        <f aca="false">IF(Calculator!$E$21="YES",IF(A127&lt;Calculator!$G$21,0,MIN(MIN(MOD(A127/Calculator!$F$21,1),1-MOD(A127/Calculator!$F$21,1)),ABS(MOD(A127/Calculator!$F$21,1)-0.5))),1)</f>
        <v>0.223508771929825</v>
      </c>
      <c r="M127" s="136" t="n">
        <f aca="false">MIN(B127:L127)</f>
        <v>0</v>
      </c>
      <c r="N127" s="136" t="n">
        <f aca="false">SUMPRODUCT(($M$5:$M$555&gt;M127)*1)+SUMPRODUCT(($M$5:$M$555=M127)*(ROW($M$5:$M$555)&lt;ROW(M127)))+1</f>
        <v>348</v>
      </c>
      <c r="O127" s="136" t="str">
        <f aca="false">IF(M127&gt;=0.2,"★★★ EXCELLENT",IF(M127&gt;=0.12,"★★  GOOD",IF(M127&gt;=0.07,"★  FAIR",IF(M127&gt;=0.025,"⚠  MARGINAL","✗  AVOID"))))</f>
        <v>✗  AVOID</v>
      </c>
    </row>
    <row r="128" customFormat="false" ht="15" hidden="false" customHeight="false" outlineLevel="0" collapsed="false">
      <c r="A128" s="137" t="n">
        <v>17.3</v>
      </c>
      <c r="B128" s="138" t="n">
        <f aca="false">IF(Calculator!$E$11="YES",IF(A128&lt;Calculator!$G$11,0,MIN(MIN(MOD(A128/Calculator!$F$11,1),1-MOD(A128/Calculator!$F$11,1)),ABS(MOD(A128/Calculator!$F$11,1)-0.5))),1)</f>
        <v>0</v>
      </c>
      <c r="C128" s="138" t="n">
        <f aca="false">IF(Calculator!$E$12="YES",IF(A128&lt;Calculator!$G$12,0,MIN(MIN(MOD(A128/Calculator!$F$12,1),1-MOD(A128/Calculator!$F$12,1)),ABS(MOD(A128/Calculator!$F$12,1)-0.5))),1)</f>
        <v>0</v>
      </c>
      <c r="D128" s="138" t="n">
        <f aca="false">IF(Calculator!$E$13="YES",IF(A128&lt;Calculator!$G$13,0,MIN(MIN(MOD(A128/Calculator!$F$13,1),1-MOD(A128/Calculator!$F$13,1)),ABS(MOD(A128/Calculator!$F$13,1)-0.5))),1)</f>
        <v>0.150601403508772</v>
      </c>
      <c r="E128" s="138" t="n">
        <f aca="false">IF(Calculator!$E$14="YES",IF(A128&lt;Calculator!$G$14,0,MIN(MIN(MOD(A128/Calculator!$F$14,1),1-MOD(A128/Calculator!$F$14,1)),ABS(MOD(A128/Calculator!$F$14,1)-0.5))),1)</f>
        <v>0.131964912280702</v>
      </c>
      <c r="F128" s="138" t="n">
        <f aca="false">IF(Calculator!$E$15="YES",IF(A128&lt;Calculator!$G$15,0,MIN(MIN(MOD(A128/Calculator!$F$15,1),1-MOD(A128/Calculator!$F$15,1)),ABS(MOD(A128/Calculator!$F$15,1)-0.5))),1)</f>
        <v>0.22921052631579</v>
      </c>
      <c r="G128" s="138" t="n">
        <f aca="false">IF(Calculator!$E$16="YES",IF(A128&lt;Calculator!$G$16,0,MIN(MIN(MOD(A128/Calculator!$F$16,1),1-MOD(A128/Calculator!$F$16,1)),ABS(MOD(A128/Calculator!$F$16,1)-0.5))),1)</f>
        <v>0.220894736842105</v>
      </c>
      <c r="H128" s="138" t="n">
        <f aca="false">IF(Calculator!$E$17="YES",IF(A128&lt;Calculator!$G$17,0,MIN(MIN(MOD(A128/Calculator!$F$17,1),1-MOD(A128/Calculator!$F$17,1)),ABS(MOD(A128/Calculator!$F$17,1)-0.5))),1)</f>
        <v>0.199588771929825</v>
      </c>
      <c r="I128" s="138" t="n">
        <f aca="false">IF(Calculator!$E$18="YES",IF(A128&lt;Calculator!$G$18,0,MIN(MIN(MOD(A128/Calculator!$F$18,1),1-MOD(A128/Calculator!$F$18,1)),ABS(MOD(A128/Calculator!$F$18,1)-0.5))),1)</f>
        <v>0.0767894736842107</v>
      </c>
      <c r="J128" s="138" t="n">
        <f aca="false">IF(Calculator!$E$19="YES",IF(A128&lt;Calculator!$G$19,0,MIN(MIN(MOD(A128/Calculator!$F$19,1),1-MOD(A128/Calculator!$F$19,1)),ABS(MOD(A128/Calculator!$F$19,1)-0.5))),1)</f>
        <v>0.0278035087719295</v>
      </c>
      <c r="K128" s="138" t="n">
        <f aca="false">IF(Calculator!$E$20="YES",IF(A128&lt;Calculator!$G$20,0,MIN(MIN(MOD(A128/Calculator!$F$20,1),1-MOD(A128/Calculator!$F$20,1)),ABS(MOD(A128/Calculator!$F$20,1)-0.5))),1)</f>
        <v>0.00249122807017566</v>
      </c>
      <c r="L128" s="138" t="n">
        <f aca="false">IF(Calculator!$E$21="YES",IF(A128&lt;Calculator!$G$21,0,MIN(MIN(MOD(A128/Calculator!$F$21,1),1-MOD(A128/Calculator!$F$21,1)),ABS(MOD(A128/Calculator!$F$21,1)-0.5))),1)</f>
        <v>0.187017543859649</v>
      </c>
      <c r="M128" s="138" t="n">
        <f aca="false">MIN(B128:L128)</f>
        <v>0</v>
      </c>
      <c r="N128" s="138" t="n">
        <f aca="false">SUMPRODUCT(($M$5:$M$555&gt;M128)*1)+SUMPRODUCT(($M$5:$M$555=M128)*(ROW($M$5:$M$555)&lt;ROW(M128)))+1</f>
        <v>349</v>
      </c>
      <c r="O128" s="138" t="str">
        <f aca="false">IF(M128&gt;=0.2,"★★★ EXCELLENT",IF(M128&gt;=0.12,"★★  GOOD",IF(M128&gt;=0.07,"★  FAIR",IF(M128&gt;=0.025,"⚠  MARGINAL","✗  AVOID"))))</f>
        <v>✗  AVOID</v>
      </c>
    </row>
    <row r="129" customFormat="false" ht="15" hidden="false" customHeight="false" outlineLevel="0" collapsed="false">
      <c r="A129" s="135" t="n">
        <v>17.4</v>
      </c>
      <c r="B129" s="136" t="n">
        <f aca="false">IF(Calculator!$E$11="YES",IF(A129&lt;Calculator!$G$11,0,MIN(MIN(MOD(A129/Calculator!$F$11,1),1-MOD(A129/Calculator!$F$11,1)),ABS(MOD(A129/Calculator!$F$11,1)-0.5))),1)</f>
        <v>0</v>
      </c>
      <c r="C129" s="136" t="n">
        <f aca="false">IF(Calculator!$E$12="YES",IF(A129&lt;Calculator!$G$12,0,MIN(MIN(MOD(A129/Calculator!$F$12,1),1-MOD(A129/Calculator!$F$12,1)),ABS(MOD(A129/Calculator!$F$12,1)-0.5))),1)</f>
        <v>0</v>
      </c>
      <c r="D129" s="136" t="n">
        <f aca="false">IF(Calculator!$E$13="YES",IF(A129&lt;Calculator!$G$13,0,MIN(MIN(MOD(A129/Calculator!$F$13,1),1-MOD(A129/Calculator!$F$13,1)),ABS(MOD(A129/Calculator!$F$13,1)-0.5))),1)</f>
        <v>0.154362105263158</v>
      </c>
      <c r="E129" s="136" t="n">
        <f aca="false">IF(Calculator!$E$14="YES",IF(A129&lt;Calculator!$G$14,0,MIN(MIN(MOD(A129/Calculator!$F$14,1),1-MOD(A129/Calculator!$F$14,1)),ABS(MOD(A129/Calculator!$F$14,1)-0.5))),1)</f>
        <v>0.126947368421053</v>
      </c>
      <c r="F129" s="136" t="n">
        <f aca="false">IF(Calculator!$E$15="YES",IF(A129&lt;Calculator!$G$15,0,MIN(MIN(MOD(A129/Calculator!$F$15,1),1-MOD(A129/Calculator!$F$15,1)),ABS(MOD(A129/Calculator!$F$15,1)-0.5))),1)</f>
        <v>0.236315789473684</v>
      </c>
      <c r="G129" s="136" t="n">
        <f aca="false">IF(Calculator!$E$16="YES",IF(A129&lt;Calculator!$G$16,0,MIN(MIN(MOD(A129/Calculator!$F$16,1),1-MOD(A129/Calculator!$F$16,1)),ABS(MOD(A129/Calculator!$F$16,1)-0.5))),1)</f>
        <v>0.230842105263158</v>
      </c>
      <c r="H129" s="136" t="n">
        <f aca="false">IF(Calculator!$E$17="YES",IF(A129&lt;Calculator!$G$17,0,MIN(MIN(MOD(A129/Calculator!$F$17,1),1-MOD(A129/Calculator!$F$17,1)),ABS(MOD(A129/Calculator!$F$17,1)-0.5))),1)</f>
        <v>0.212303157894737</v>
      </c>
      <c r="I129" s="136" t="n">
        <f aca="false">IF(Calculator!$E$18="YES",IF(A129&lt;Calculator!$G$18,0,MIN(MIN(MOD(A129/Calculator!$F$18,1),1-MOD(A129/Calculator!$F$18,1)),ABS(MOD(A129/Calculator!$F$18,1)-0.5))),1)</f>
        <v>0.0916842105263158</v>
      </c>
      <c r="J129" s="136" t="n">
        <f aca="false">IF(Calculator!$E$19="YES",IF(A129&lt;Calculator!$G$19,0,MIN(MIN(MOD(A129/Calculator!$F$19,1),1-MOD(A129/Calculator!$F$19,1)),ABS(MOD(A129/Calculator!$F$19,1)-0.5))),1)</f>
        <v>0.0453052631578941</v>
      </c>
      <c r="K129" s="136" t="n">
        <f aca="false">IF(Calculator!$E$20="YES",IF(A129&lt;Calculator!$G$20,0,MIN(MIN(MOD(A129/Calculator!$F$20,1),1-MOD(A129/Calculator!$F$20,1)),ABS(MOD(A129/Calculator!$F$20,1)-0.5))),1)</f>
        <v>0.0227368421052629</v>
      </c>
      <c r="L129" s="136" t="n">
        <f aca="false">IF(Calculator!$E$21="YES",IF(A129&lt;Calculator!$G$21,0,MIN(MIN(MOD(A129/Calculator!$F$21,1),1-MOD(A129/Calculator!$F$21,1)),ABS(MOD(A129/Calculator!$F$21,1)-0.5))),1)</f>
        <v>0.150526315789474</v>
      </c>
      <c r="M129" s="136" t="n">
        <f aca="false">MIN(B129:L129)</f>
        <v>0</v>
      </c>
      <c r="N129" s="136" t="n">
        <f aca="false">SUMPRODUCT(($M$5:$M$555&gt;M129)*1)+SUMPRODUCT(($M$5:$M$555=M129)*(ROW($M$5:$M$555)&lt;ROW(M129)))+1</f>
        <v>350</v>
      </c>
      <c r="O129" s="136" t="str">
        <f aca="false">IF(M129&gt;=0.2,"★★★ EXCELLENT",IF(M129&gt;=0.12,"★★  GOOD",IF(M129&gt;=0.07,"★  FAIR",IF(M129&gt;=0.025,"⚠  MARGINAL","✗  AVOID"))))</f>
        <v>✗  AVOID</v>
      </c>
    </row>
    <row r="130" customFormat="false" ht="15" hidden="false" customHeight="false" outlineLevel="0" collapsed="false">
      <c r="A130" s="137" t="n">
        <v>17.5</v>
      </c>
      <c r="B130" s="138" t="n">
        <f aca="false">IF(Calculator!$E$11="YES",IF(A130&lt;Calculator!$G$11,0,MIN(MIN(MOD(A130/Calculator!$F$11,1),1-MOD(A130/Calculator!$F$11,1)),ABS(MOD(A130/Calculator!$F$11,1)-0.5))),1)</f>
        <v>0</v>
      </c>
      <c r="C130" s="138" t="n">
        <f aca="false">IF(Calculator!$E$12="YES",IF(A130&lt;Calculator!$G$12,0,MIN(MIN(MOD(A130/Calculator!$F$12,1),1-MOD(A130/Calculator!$F$12,1)),ABS(MOD(A130/Calculator!$F$12,1)-0.5))),1)</f>
        <v>0</v>
      </c>
      <c r="D130" s="138" t="n">
        <f aca="false">IF(Calculator!$E$13="YES",IF(A130&lt;Calculator!$G$13,0,MIN(MIN(MOD(A130/Calculator!$F$13,1),1-MOD(A130/Calculator!$F$13,1)),ABS(MOD(A130/Calculator!$F$13,1)-0.5))),1)</f>
        <v>0.158122807017544</v>
      </c>
      <c r="E130" s="138" t="n">
        <f aca="false">IF(Calculator!$E$14="YES",IF(A130&lt;Calculator!$G$14,0,MIN(MIN(MOD(A130/Calculator!$F$14,1),1-MOD(A130/Calculator!$F$14,1)),ABS(MOD(A130/Calculator!$F$14,1)-0.5))),1)</f>
        <v>0.121929824561404</v>
      </c>
      <c r="F130" s="138" t="n">
        <f aca="false">IF(Calculator!$E$15="YES",IF(A130&lt;Calculator!$G$15,0,MIN(MIN(MOD(A130/Calculator!$F$15,1),1-MOD(A130/Calculator!$F$15,1)),ABS(MOD(A130/Calculator!$F$15,1)-0.5))),1)</f>
        <v>0.243421052631579</v>
      </c>
      <c r="G130" s="138" t="n">
        <f aca="false">IF(Calculator!$E$16="YES",IF(A130&lt;Calculator!$G$16,0,MIN(MIN(MOD(A130/Calculator!$F$16,1),1-MOD(A130/Calculator!$F$16,1)),ABS(MOD(A130/Calculator!$F$16,1)-0.5))),1)</f>
        <v>0.240789473684211</v>
      </c>
      <c r="H130" s="138" t="n">
        <f aca="false">IF(Calculator!$E$17="YES",IF(A130&lt;Calculator!$G$17,0,MIN(MIN(MOD(A130/Calculator!$F$17,1),1-MOD(A130/Calculator!$F$17,1)),ABS(MOD(A130/Calculator!$F$17,1)-0.5))),1)</f>
        <v>0.22501754385965</v>
      </c>
      <c r="I130" s="138" t="n">
        <f aca="false">IF(Calculator!$E$18="YES",IF(A130&lt;Calculator!$G$18,0,MIN(MIN(MOD(A130/Calculator!$F$18,1),1-MOD(A130/Calculator!$F$18,1)),ABS(MOD(A130/Calculator!$F$18,1)-0.5))),1)</f>
        <v>0.106578947368421</v>
      </c>
      <c r="J130" s="138" t="n">
        <f aca="false">IF(Calculator!$E$19="YES",IF(A130&lt;Calculator!$G$19,0,MIN(MIN(MOD(A130/Calculator!$F$19,1),1-MOD(A130/Calculator!$F$19,1)),ABS(MOD(A130/Calculator!$F$19,1)-0.5))),1)</f>
        <v>0.0628070175438591</v>
      </c>
      <c r="K130" s="138" t="n">
        <f aca="false">IF(Calculator!$E$20="YES",IF(A130&lt;Calculator!$G$20,0,MIN(MIN(MOD(A130/Calculator!$F$20,1),1-MOD(A130/Calculator!$F$20,1)),ABS(MOD(A130/Calculator!$F$20,1)-0.5))),1)</f>
        <v>0.0429824561403507</v>
      </c>
      <c r="L130" s="138" t="n">
        <f aca="false">IF(Calculator!$E$21="YES",IF(A130&lt;Calculator!$G$21,0,MIN(MIN(MOD(A130/Calculator!$F$21,1),1-MOD(A130/Calculator!$F$21,1)),ABS(MOD(A130/Calculator!$F$21,1)-0.5))),1)</f>
        <v>0.114035087719298</v>
      </c>
      <c r="M130" s="138" t="n">
        <f aca="false">MIN(B130:L130)</f>
        <v>0</v>
      </c>
      <c r="N130" s="138" t="n">
        <f aca="false">SUMPRODUCT(($M$5:$M$555&gt;M130)*1)+SUMPRODUCT(($M$5:$M$555=M130)*(ROW($M$5:$M$555)&lt;ROW(M130)))+1</f>
        <v>351</v>
      </c>
      <c r="O130" s="138" t="str">
        <f aca="false">IF(M130&gt;=0.2,"★★★ EXCELLENT",IF(M130&gt;=0.12,"★★  GOOD",IF(M130&gt;=0.07,"★  FAIR",IF(M130&gt;=0.025,"⚠  MARGINAL","✗  AVOID"))))</f>
        <v>✗  AVOID</v>
      </c>
    </row>
    <row r="131" customFormat="false" ht="15" hidden="false" customHeight="false" outlineLevel="0" collapsed="false">
      <c r="A131" s="135" t="n">
        <v>17.6</v>
      </c>
      <c r="B131" s="136" t="n">
        <f aca="false">IF(Calculator!$E$11="YES",IF(A131&lt;Calculator!$G$11,0,MIN(MIN(MOD(A131/Calculator!$F$11,1),1-MOD(A131/Calculator!$F$11,1)),ABS(MOD(A131/Calculator!$F$11,1)-0.5))),1)</f>
        <v>0</v>
      </c>
      <c r="C131" s="136" t="n">
        <f aca="false">IF(Calculator!$E$12="YES",IF(A131&lt;Calculator!$G$12,0,MIN(MIN(MOD(A131/Calculator!$F$12,1),1-MOD(A131/Calculator!$F$12,1)),ABS(MOD(A131/Calculator!$F$12,1)-0.5))),1)</f>
        <v>0</v>
      </c>
      <c r="D131" s="136" t="n">
        <f aca="false">IF(Calculator!$E$13="YES",IF(A131&lt;Calculator!$G$13,0,MIN(MIN(MOD(A131/Calculator!$F$13,1),1-MOD(A131/Calculator!$F$13,1)),ABS(MOD(A131/Calculator!$F$13,1)-0.5))),1)</f>
        <v>0.16188350877193</v>
      </c>
      <c r="E131" s="136" t="n">
        <f aca="false">IF(Calculator!$E$14="YES",IF(A131&lt;Calculator!$G$14,0,MIN(MIN(MOD(A131/Calculator!$F$14,1),1-MOD(A131/Calculator!$F$14,1)),ABS(MOD(A131/Calculator!$F$14,1)-0.5))),1)</f>
        <v>0.116912280701754</v>
      </c>
      <c r="F131" s="136" t="n">
        <f aca="false">IF(Calculator!$E$15="YES",IF(A131&lt;Calculator!$G$15,0,MIN(MIN(MOD(A131/Calculator!$F$15,1),1-MOD(A131/Calculator!$F$15,1)),ABS(MOD(A131/Calculator!$F$15,1)-0.5))),1)</f>
        <v>0.249473684210526</v>
      </c>
      <c r="G131" s="136" t="n">
        <f aca="false">IF(Calculator!$E$16="YES",IF(A131&lt;Calculator!$G$16,0,MIN(MIN(MOD(A131/Calculator!$F$16,1),1-MOD(A131/Calculator!$F$16,1)),ABS(MOD(A131/Calculator!$F$16,1)-0.5))),1)</f>
        <v>0.249263157894737</v>
      </c>
      <c r="H131" s="136" t="n">
        <f aca="false">IF(Calculator!$E$17="YES",IF(A131&lt;Calculator!$G$17,0,MIN(MIN(MOD(A131/Calculator!$F$17,1),1-MOD(A131/Calculator!$F$17,1)),ABS(MOD(A131/Calculator!$F$17,1)-0.5))),1)</f>
        <v>0.237731929824562</v>
      </c>
      <c r="I131" s="136" t="n">
        <f aca="false">IF(Calculator!$E$18="YES",IF(A131&lt;Calculator!$G$18,0,MIN(MIN(MOD(A131/Calculator!$F$18,1),1-MOD(A131/Calculator!$F$18,1)),ABS(MOD(A131/Calculator!$F$18,1)-0.5))),1)</f>
        <v>0.121473684210527</v>
      </c>
      <c r="J131" s="136" t="n">
        <f aca="false">IF(Calculator!$E$19="YES",IF(A131&lt;Calculator!$G$19,0,MIN(MIN(MOD(A131/Calculator!$F$19,1),1-MOD(A131/Calculator!$F$19,1)),ABS(MOD(A131/Calculator!$F$19,1)-0.5))),1)</f>
        <v>0.0803087719298241</v>
      </c>
      <c r="K131" s="136" t="n">
        <f aca="false">IF(Calculator!$E$20="YES",IF(A131&lt;Calculator!$G$20,0,MIN(MIN(MOD(A131/Calculator!$F$20,1),1-MOD(A131/Calculator!$F$20,1)),ABS(MOD(A131/Calculator!$F$20,1)-0.5))),1)</f>
        <v>0.0632280701754389</v>
      </c>
      <c r="L131" s="136" t="n">
        <f aca="false">IF(Calculator!$E$21="YES",IF(A131&lt;Calculator!$G$21,0,MIN(MIN(MOD(A131/Calculator!$F$21,1),1-MOD(A131/Calculator!$F$21,1)),ABS(MOD(A131/Calculator!$F$21,1)-0.5))),1)</f>
        <v>0.077543859649122</v>
      </c>
      <c r="M131" s="136" t="n">
        <f aca="false">MIN(B131:L131)</f>
        <v>0</v>
      </c>
      <c r="N131" s="136" t="n">
        <f aca="false">SUMPRODUCT(($M$5:$M$555&gt;M131)*1)+SUMPRODUCT(($M$5:$M$555=M131)*(ROW($M$5:$M$555)&lt;ROW(M131)))+1</f>
        <v>352</v>
      </c>
      <c r="O131" s="136" t="str">
        <f aca="false">IF(M131&gt;=0.2,"★★★ EXCELLENT",IF(M131&gt;=0.12,"★★  GOOD",IF(M131&gt;=0.07,"★  FAIR",IF(M131&gt;=0.025,"⚠  MARGINAL","✗  AVOID"))))</f>
        <v>✗  AVOID</v>
      </c>
    </row>
    <row r="132" customFormat="false" ht="15" hidden="false" customHeight="false" outlineLevel="0" collapsed="false">
      <c r="A132" s="137" t="n">
        <v>17.7</v>
      </c>
      <c r="B132" s="138" t="n">
        <f aca="false">IF(Calculator!$E$11="YES",IF(A132&lt;Calculator!$G$11,0,MIN(MIN(MOD(A132/Calculator!$F$11,1),1-MOD(A132/Calculator!$F$11,1)),ABS(MOD(A132/Calculator!$F$11,1)-0.5))),1)</f>
        <v>0</v>
      </c>
      <c r="C132" s="138" t="n">
        <f aca="false">IF(Calculator!$E$12="YES",IF(A132&lt;Calculator!$G$12,0,MIN(MIN(MOD(A132/Calculator!$F$12,1),1-MOD(A132/Calculator!$F$12,1)),ABS(MOD(A132/Calculator!$F$12,1)-0.5))),1)</f>
        <v>0</v>
      </c>
      <c r="D132" s="138" t="n">
        <f aca="false">IF(Calculator!$E$13="YES",IF(A132&lt;Calculator!$G$13,0,MIN(MIN(MOD(A132/Calculator!$F$13,1),1-MOD(A132/Calculator!$F$13,1)),ABS(MOD(A132/Calculator!$F$13,1)-0.5))),1)</f>
        <v>0.165644210526316</v>
      </c>
      <c r="E132" s="138" t="n">
        <f aca="false">IF(Calculator!$E$14="YES",IF(A132&lt;Calculator!$G$14,0,MIN(MIN(MOD(A132/Calculator!$F$14,1),1-MOD(A132/Calculator!$F$14,1)),ABS(MOD(A132/Calculator!$F$14,1)-0.5))),1)</f>
        <v>0.111894736842105</v>
      </c>
      <c r="F132" s="138" t="n">
        <f aca="false">IF(Calculator!$E$15="YES",IF(A132&lt;Calculator!$G$15,0,MIN(MIN(MOD(A132/Calculator!$F$15,1),1-MOD(A132/Calculator!$F$15,1)),ABS(MOD(A132/Calculator!$F$15,1)-0.5))),1)</f>
        <v>0.242368421052632</v>
      </c>
      <c r="G132" s="138" t="n">
        <f aca="false">IF(Calculator!$E$16="YES",IF(A132&lt;Calculator!$G$16,0,MIN(MIN(MOD(A132/Calculator!$F$16,1),1-MOD(A132/Calculator!$F$16,1)),ABS(MOD(A132/Calculator!$F$16,1)-0.5))),1)</f>
        <v>0.239315789473684</v>
      </c>
      <c r="H132" s="138" t="n">
        <f aca="false">IF(Calculator!$E$17="YES",IF(A132&lt;Calculator!$G$17,0,MIN(MIN(MOD(A132/Calculator!$F$17,1),1-MOD(A132/Calculator!$F$17,1)),ABS(MOD(A132/Calculator!$F$17,1)-0.5))),1)</f>
        <v>0.249553684210526</v>
      </c>
      <c r="I132" s="138" t="n">
        <f aca="false">IF(Calculator!$E$18="YES",IF(A132&lt;Calculator!$G$18,0,MIN(MIN(MOD(A132/Calculator!$F$18,1),1-MOD(A132/Calculator!$F$18,1)),ABS(MOD(A132/Calculator!$F$18,1)-0.5))),1)</f>
        <v>0.136368421052631</v>
      </c>
      <c r="J132" s="138" t="n">
        <f aca="false">IF(Calculator!$E$19="YES",IF(A132&lt;Calculator!$G$19,0,MIN(MIN(MOD(A132/Calculator!$F$19,1),1-MOD(A132/Calculator!$F$19,1)),ABS(MOD(A132/Calculator!$F$19,1)-0.5))),1)</f>
        <v>0.0978105263157887</v>
      </c>
      <c r="K132" s="138" t="n">
        <f aca="false">IF(Calculator!$E$20="YES",IF(A132&lt;Calculator!$G$20,0,MIN(MIN(MOD(A132/Calculator!$F$20,1),1-MOD(A132/Calculator!$F$20,1)),ABS(MOD(A132/Calculator!$F$20,1)-0.5))),1)</f>
        <v>0.0834736842105261</v>
      </c>
      <c r="L132" s="138" t="n">
        <f aca="false">IF(Calculator!$E$21="YES",IF(A132&lt;Calculator!$G$21,0,MIN(MIN(MOD(A132/Calculator!$F$21,1),1-MOD(A132/Calculator!$F$21,1)),ABS(MOD(A132/Calculator!$F$21,1)-0.5))),1)</f>
        <v>0.0410526315789479</v>
      </c>
      <c r="M132" s="138" t="n">
        <f aca="false">MIN(B132:L132)</f>
        <v>0</v>
      </c>
      <c r="N132" s="138" t="n">
        <f aca="false">SUMPRODUCT(($M$5:$M$555&gt;M132)*1)+SUMPRODUCT(($M$5:$M$555=M132)*(ROW($M$5:$M$555)&lt;ROW(M132)))+1</f>
        <v>353</v>
      </c>
      <c r="O132" s="138" t="str">
        <f aca="false">IF(M132&gt;=0.2,"★★★ EXCELLENT",IF(M132&gt;=0.12,"★★  GOOD",IF(M132&gt;=0.07,"★  FAIR",IF(M132&gt;=0.025,"⚠  MARGINAL","✗  AVOID"))))</f>
        <v>✗  AVOID</v>
      </c>
    </row>
    <row r="133" customFormat="false" ht="15" hidden="false" customHeight="false" outlineLevel="0" collapsed="false">
      <c r="A133" s="135" t="n">
        <v>17.8</v>
      </c>
      <c r="B133" s="136" t="n">
        <f aca="false">IF(Calculator!$E$11="YES",IF(A133&lt;Calculator!$G$11,0,MIN(MIN(MOD(A133/Calculator!$F$11,1),1-MOD(A133/Calculator!$F$11,1)),ABS(MOD(A133/Calculator!$F$11,1)-0.5))),1)</f>
        <v>0</v>
      </c>
      <c r="C133" s="136" t="n">
        <f aca="false">IF(Calculator!$E$12="YES",IF(A133&lt;Calculator!$G$12,0,MIN(MIN(MOD(A133/Calculator!$F$12,1),1-MOD(A133/Calculator!$F$12,1)),ABS(MOD(A133/Calculator!$F$12,1)-0.5))),1)</f>
        <v>0</v>
      </c>
      <c r="D133" s="136" t="n">
        <f aca="false">IF(Calculator!$E$13="YES",IF(A133&lt;Calculator!$G$13,0,MIN(MIN(MOD(A133/Calculator!$F$13,1),1-MOD(A133/Calculator!$F$13,1)),ABS(MOD(A133/Calculator!$F$13,1)-0.5))),1)</f>
        <v>0.169404912280702</v>
      </c>
      <c r="E133" s="136" t="n">
        <f aca="false">IF(Calculator!$E$14="YES",IF(A133&lt;Calculator!$G$14,0,MIN(MIN(MOD(A133/Calculator!$F$14,1),1-MOD(A133/Calculator!$F$14,1)),ABS(MOD(A133/Calculator!$F$14,1)-0.5))),1)</f>
        <v>0.106877192982456</v>
      </c>
      <c r="F133" s="136" t="n">
        <f aca="false">IF(Calculator!$E$15="YES",IF(A133&lt;Calculator!$G$15,0,MIN(MIN(MOD(A133/Calculator!$F$15,1),1-MOD(A133/Calculator!$F$15,1)),ABS(MOD(A133/Calculator!$F$15,1)-0.5))),1)</f>
        <v>0.235263157894737</v>
      </c>
      <c r="G133" s="136" t="n">
        <f aca="false">IF(Calculator!$E$16="YES",IF(A133&lt;Calculator!$G$16,0,MIN(MIN(MOD(A133/Calculator!$F$16,1),1-MOD(A133/Calculator!$F$16,1)),ABS(MOD(A133/Calculator!$F$16,1)-0.5))),1)</f>
        <v>0.229368421052631</v>
      </c>
      <c r="H133" s="136" t="n">
        <f aca="false">IF(Calculator!$E$17="YES",IF(A133&lt;Calculator!$G$17,0,MIN(MIN(MOD(A133/Calculator!$F$17,1),1-MOD(A133/Calculator!$F$17,1)),ABS(MOD(A133/Calculator!$F$17,1)-0.5))),1)</f>
        <v>0.236839298245614</v>
      </c>
      <c r="I133" s="136" t="n">
        <f aca="false">IF(Calculator!$E$18="YES",IF(A133&lt;Calculator!$G$18,0,MIN(MIN(MOD(A133/Calculator!$F$18,1),1-MOD(A133/Calculator!$F$18,1)),ABS(MOD(A133/Calculator!$F$18,1)-0.5))),1)</f>
        <v>0.151263157894737</v>
      </c>
      <c r="J133" s="136" t="n">
        <f aca="false">IF(Calculator!$E$19="YES",IF(A133&lt;Calculator!$G$19,0,MIN(MIN(MOD(A133/Calculator!$F$19,1),1-MOD(A133/Calculator!$F$19,1)),ABS(MOD(A133/Calculator!$F$19,1)-0.5))),1)</f>
        <v>0.115312280701754</v>
      </c>
      <c r="K133" s="136" t="n">
        <f aca="false">IF(Calculator!$E$20="YES",IF(A133&lt;Calculator!$G$20,0,MIN(MIN(MOD(A133/Calculator!$F$20,1),1-MOD(A133/Calculator!$F$20,1)),ABS(MOD(A133/Calculator!$F$20,1)-0.5))),1)</f>
        <v>0.103719298245614</v>
      </c>
      <c r="L133" s="136" t="n">
        <f aca="false">IF(Calculator!$E$21="YES",IF(A133&lt;Calculator!$G$21,0,MIN(MIN(MOD(A133/Calculator!$F$21,1),1-MOD(A133/Calculator!$F$21,1)),ABS(MOD(A133/Calculator!$F$21,1)-0.5))),1)</f>
        <v>0.00456140350877199</v>
      </c>
      <c r="M133" s="136" t="n">
        <f aca="false">MIN(B133:L133)</f>
        <v>0</v>
      </c>
      <c r="N133" s="136" t="n">
        <f aca="false">SUMPRODUCT(($M$5:$M$555&gt;M133)*1)+SUMPRODUCT(($M$5:$M$555=M133)*(ROW($M$5:$M$555)&lt;ROW(M133)))+1</f>
        <v>354</v>
      </c>
      <c r="O133" s="136" t="str">
        <f aca="false">IF(M133&gt;=0.2,"★★★ EXCELLENT",IF(M133&gt;=0.12,"★★  GOOD",IF(M133&gt;=0.07,"★  FAIR",IF(M133&gt;=0.025,"⚠  MARGINAL","✗  AVOID"))))</f>
        <v>✗  AVOID</v>
      </c>
    </row>
    <row r="134" customFormat="false" ht="15" hidden="false" customHeight="false" outlineLevel="0" collapsed="false">
      <c r="A134" s="137" t="n">
        <v>17.9</v>
      </c>
      <c r="B134" s="138" t="n">
        <f aca="false">IF(Calculator!$E$11="YES",IF(A134&lt;Calculator!$G$11,0,MIN(MIN(MOD(A134/Calculator!$F$11,1),1-MOD(A134/Calculator!$F$11,1)),ABS(MOD(A134/Calculator!$F$11,1)-0.5))),1)</f>
        <v>0</v>
      </c>
      <c r="C134" s="138" t="n">
        <f aca="false">IF(Calculator!$E$12="YES",IF(A134&lt;Calculator!$G$12,0,MIN(MIN(MOD(A134/Calculator!$F$12,1),1-MOD(A134/Calculator!$F$12,1)),ABS(MOD(A134/Calculator!$F$12,1)-0.5))),1)</f>
        <v>0</v>
      </c>
      <c r="D134" s="138" t="n">
        <f aca="false">IF(Calculator!$E$13="YES",IF(A134&lt;Calculator!$G$13,0,MIN(MIN(MOD(A134/Calculator!$F$13,1),1-MOD(A134/Calculator!$F$13,1)),ABS(MOD(A134/Calculator!$F$13,1)-0.5))),1)</f>
        <v>0.173165614035088</v>
      </c>
      <c r="E134" s="138" t="n">
        <f aca="false">IF(Calculator!$E$14="YES",IF(A134&lt;Calculator!$G$14,0,MIN(MIN(MOD(A134/Calculator!$F$14,1),1-MOD(A134/Calculator!$F$14,1)),ABS(MOD(A134/Calculator!$F$14,1)-0.5))),1)</f>
        <v>0.101859649122807</v>
      </c>
      <c r="F134" s="138" t="n">
        <f aca="false">IF(Calculator!$E$15="YES",IF(A134&lt;Calculator!$G$15,0,MIN(MIN(MOD(A134/Calculator!$F$15,1),1-MOD(A134/Calculator!$F$15,1)),ABS(MOD(A134/Calculator!$F$15,1)-0.5))),1)</f>
        <v>0.228157894736842</v>
      </c>
      <c r="G134" s="138" t="n">
        <f aca="false">IF(Calculator!$E$16="YES",IF(A134&lt;Calculator!$G$16,0,MIN(MIN(MOD(A134/Calculator!$F$16,1),1-MOD(A134/Calculator!$F$16,1)),ABS(MOD(A134/Calculator!$F$16,1)-0.5))),1)</f>
        <v>0.219421052631579</v>
      </c>
      <c r="H134" s="138" t="n">
        <f aca="false">IF(Calculator!$E$17="YES",IF(A134&lt;Calculator!$G$17,0,MIN(MIN(MOD(A134/Calculator!$F$17,1),1-MOD(A134/Calculator!$F$17,1)),ABS(MOD(A134/Calculator!$F$17,1)-0.5))),1)</f>
        <v>0.224124912280702</v>
      </c>
      <c r="I134" s="138" t="n">
        <f aca="false">IF(Calculator!$E$18="YES",IF(A134&lt;Calculator!$G$18,0,MIN(MIN(MOD(A134/Calculator!$F$18,1),1-MOD(A134/Calculator!$F$18,1)),ABS(MOD(A134/Calculator!$F$18,1)-0.5))),1)</f>
        <v>0.166157894736842</v>
      </c>
      <c r="J134" s="138" t="n">
        <f aca="false">IF(Calculator!$E$19="YES",IF(A134&lt;Calculator!$G$19,0,MIN(MIN(MOD(A134/Calculator!$F$19,1),1-MOD(A134/Calculator!$F$19,1)),ABS(MOD(A134/Calculator!$F$19,1)-0.5))),1)</f>
        <v>0.132814035087719</v>
      </c>
      <c r="K134" s="138" t="n">
        <f aca="false">IF(Calculator!$E$20="YES",IF(A134&lt;Calculator!$G$20,0,MIN(MIN(MOD(A134/Calculator!$F$20,1),1-MOD(A134/Calculator!$F$20,1)),ABS(MOD(A134/Calculator!$F$20,1)-0.5))),1)</f>
        <v>0.123964912280702</v>
      </c>
      <c r="L134" s="138" t="n">
        <f aca="false">IF(Calculator!$E$21="YES",IF(A134&lt;Calculator!$G$21,0,MIN(MIN(MOD(A134/Calculator!$F$21,1),1-MOD(A134/Calculator!$F$21,1)),ABS(MOD(A134/Calculator!$F$21,1)-0.5))),1)</f>
        <v>0.031929824561403</v>
      </c>
      <c r="M134" s="138" t="n">
        <f aca="false">MIN(B134:L134)</f>
        <v>0</v>
      </c>
      <c r="N134" s="138" t="n">
        <f aca="false">SUMPRODUCT(($M$5:$M$555&gt;M134)*1)+SUMPRODUCT(($M$5:$M$555=M134)*(ROW($M$5:$M$555)&lt;ROW(M134)))+1</f>
        <v>355</v>
      </c>
      <c r="O134" s="138" t="str">
        <f aca="false">IF(M134&gt;=0.2,"★★★ EXCELLENT",IF(M134&gt;=0.12,"★★  GOOD",IF(M134&gt;=0.07,"★  FAIR",IF(M134&gt;=0.025,"⚠  MARGINAL","✗  AVOID"))))</f>
        <v>✗  AVOID</v>
      </c>
    </row>
    <row r="135" customFormat="false" ht="15" hidden="false" customHeight="false" outlineLevel="0" collapsed="false">
      <c r="A135" s="135" t="n">
        <v>18</v>
      </c>
      <c r="B135" s="136" t="n">
        <f aca="false">IF(Calculator!$E$11="YES",IF(A135&lt;Calculator!$G$11,0,MIN(MIN(MOD(A135/Calculator!$F$11,1),1-MOD(A135/Calculator!$F$11,1)),ABS(MOD(A135/Calculator!$F$11,1)-0.5))),1)</f>
        <v>0</v>
      </c>
      <c r="C135" s="136" t="n">
        <f aca="false">IF(Calculator!$E$12="YES",IF(A135&lt;Calculator!$G$12,0,MIN(MIN(MOD(A135/Calculator!$F$12,1),1-MOD(A135/Calculator!$F$12,1)),ABS(MOD(A135/Calculator!$F$12,1)-0.5))),1)</f>
        <v>0</v>
      </c>
      <c r="D135" s="136" t="n">
        <f aca="false">IF(Calculator!$E$13="YES",IF(A135&lt;Calculator!$G$13,0,MIN(MIN(MOD(A135/Calculator!$F$13,1),1-MOD(A135/Calculator!$F$13,1)),ABS(MOD(A135/Calculator!$F$13,1)-0.5))),1)</f>
        <v>0.176926315789474</v>
      </c>
      <c r="E135" s="136" t="n">
        <f aca="false">IF(Calculator!$E$14="YES",IF(A135&lt;Calculator!$G$14,0,MIN(MIN(MOD(A135/Calculator!$F$14,1),1-MOD(A135/Calculator!$F$14,1)),ABS(MOD(A135/Calculator!$F$14,1)-0.5))),1)</f>
        <v>0.0968421052631578</v>
      </c>
      <c r="F135" s="136" t="n">
        <f aca="false">IF(Calculator!$E$15="YES",IF(A135&lt;Calculator!$G$15,0,MIN(MIN(MOD(A135/Calculator!$F$15,1),1-MOD(A135/Calculator!$F$15,1)),ABS(MOD(A135/Calculator!$F$15,1)-0.5))),1)</f>
        <v>0.221052631578947</v>
      </c>
      <c r="G135" s="136" t="n">
        <f aca="false">IF(Calculator!$E$16="YES",IF(A135&lt;Calculator!$G$16,0,MIN(MIN(MOD(A135/Calculator!$F$16,1),1-MOD(A135/Calculator!$F$16,1)),ABS(MOD(A135/Calculator!$F$16,1)-0.5))),1)</f>
        <v>0.209473684210526</v>
      </c>
      <c r="H135" s="136" t="n">
        <f aca="false">IF(Calculator!$E$17="YES",IF(A135&lt;Calculator!$G$17,0,MIN(MIN(MOD(A135/Calculator!$F$17,1),1-MOD(A135/Calculator!$F$17,1)),ABS(MOD(A135/Calculator!$F$17,1)-0.5))),1)</f>
        <v>0.211410526315789</v>
      </c>
      <c r="I135" s="136" t="n">
        <f aca="false">IF(Calculator!$E$18="YES",IF(A135&lt;Calculator!$G$18,0,MIN(MIN(MOD(A135/Calculator!$F$18,1),1-MOD(A135/Calculator!$F$18,1)),ABS(MOD(A135/Calculator!$F$18,1)-0.5))),1)</f>
        <v>0.181052631578948</v>
      </c>
      <c r="J135" s="136" t="n">
        <f aca="false">IF(Calculator!$E$19="YES",IF(A135&lt;Calculator!$G$19,0,MIN(MIN(MOD(A135/Calculator!$F$19,1),1-MOD(A135/Calculator!$F$19,1)),ABS(MOD(A135/Calculator!$F$19,1)-0.5))),1)</f>
        <v>0.150315789473684</v>
      </c>
      <c r="K135" s="136" t="n">
        <f aca="false">IF(Calculator!$E$20="YES",IF(A135&lt;Calculator!$G$20,0,MIN(MIN(MOD(A135/Calculator!$F$20,1),1-MOD(A135/Calculator!$F$20,1)),ABS(MOD(A135/Calculator!$F$20,1)-0.5))),1)</f>
        <v>0.144210526315789</v>
      </c>
      <c r="L135" s="136" t="n">
        <f aca="false">IF(Calculator!$E$21="YES",IF(A135&lt;Calculator!$G$21,0,MIN(MIN(MOD(A135/Calculator!$F$21,1),1-MOD(A135/Calculator!$F$21,1)),ABS(MOD(A135/Calculator!$F$21,1)-0.5))),1)</f>
        <v>0.0684210526315789</v>
      </c>
      <c r="M135" s="136" t="n">
        <f aca="false">MIN(B135:L135)</f>
        <v>0</v>
      </c>
      <c r="N135" s="136" t="n">
        <f aca="false">SUMPRODUCT(($M$5:$M$555&gt;M135)*1)+SUMPRODUCT(($M$5:$M$555=M135)*(ROW($M$5:$M$555)&lt;ROW(M135)))+1</f>
        <v>356</v>
      </c>
      <c r="O135" s="136" t="str">
        <f aca="false">IF(M135&gt;=0.2,"★★★ EXCELLENT",IF(M135&gt;=0.12,"★★  GOOD",IF(M135&gt;=0.07,"★  FAIR",IF(M135&gt;=0.025,"⚠  MARGINAL","✗  AVOID"))))</f>
        <v>✗  AVOID</v>
      </c>
    </row>
    <row r="136" customFormat="false" ht="15" hidden="false" customHeight="false" outlineLevel="0" collapsed="false">
      <c r="A136" s="137" t="n">
        <v>18.1</v>
      </c>
      <c r="B136" s="138" t="n">
        <f aca="false">IF(Calculator!$E$11="YES",IF(A136&lt;Calculator!$G$11,0,MIN(MIN(MOD(A136/Calculator!$F$11,1),1-MOD(A136/Calculator!$F$11,1)),ABS(MOD(A136/Calculator!$F$11,1)-0.5))),1)</f>
        <v>0</v>
      </c>
      <c r="C136" s="138" t="n">
        <f aca="false">IF(Calculator!$E$12="YES",IF(A136&lt;Calculator!$G$12,0,MIN(MIN(MOD(A136/Calculator!$F$12,1),1-MOD(A136/Calculator!$F$12,1)),ABS(MOD(A136/Calculator!$F$12,1)-0.5))),1)</f>
        <v>0</v>
      </c>
      <c r="D136" s="138" t="n">
        <f aca="false">IF(Calculator!$E$13="YES",IF(A136&lt;Calculator!$G$13,0,MIN(MIN(MOD(A136/Calculator!$F$13,1),1-MOD(A136/Calculator!$F$13,1)),ABS(MOD(A136/Calculator!$F$13,1)-0.5))),1)</f>
        <v>0.18068701754386</v>
      </c>
      <c r="E136" s="138" t="n">
        <f aca="false">IF(Calculator!$E$14="YES",IF(A136&lt;Calculator!$G$14,0,MIN(MIN(MOD(A136/Calculator!$F$14,1),1-MOD(A136/Calculator!$F$14,1)),ABS(MOD(A136/Calculator!$F$14,1)-0.5))),1)</f>
        <v>0.0918245614035087</v>
      </c>
      <c r="F136" s="138" t="n">
        <f aca="false">IF(Calculator!$E$15="YES",IF(A136&lt;Calculator!$G$15,0,MIN(MIN(MOD(A136/Calculator!$F$15,1),1-MOD(A136/Calculator!$F$15,1)),ABS(MOD(A136/Calculator!$F$15,1)-0.5))),1)</f>
        <v>0.213947368421053</v>
      </c>
      <c r="G136" s="138" t="n">
        <f aca="false">IF(Calculator!$E$16="YES",IF(A136&lt;Calculator!$G$16,0,MIN(MIN(MOD(A136/Calculator!$F$16,1),1-MOD(A136/Calculator!$F$16,1)),ABS(MOD(A136/Calculator!$F$16,1)-0.5))),1)</f>
        <v>0.199526315789473</v>
      </c>
      <c r="H136" s="138" t="n">
        <f aca="false">IF(Calculator!$E$17="YES",IF(A136&lt;Calculator!$G$17,0,MIN(MIN(MOD(A136/Calculator!$F$17,1),1-MOD(A136/Calculator!$F$17,1)),ABS(MOD(A136/Calculator!$F$17,1)-0.5))),1)</f>
        <v>0.198696140350877</v>
      </c>
      <c r="I136" s="138" t="n">
        <f aca="false">IF(Calculator!$E$18="YES",IF(A136&lt;Calculator!$G$18,0,MIN(MIN(MOD(A136/Calculator!$F$18,1),1-MOD(A136/Calculator!$F$18,1)),ABS(MOD(A136/Calculator!$F$18,1)-0.5))),1)</f>
        <v>0.195947368421053</v>
      </c>
      <c r="J136" s="138" t="n">
        <f aca="false">IF(Calculator!$E$19="YES",IF(A136&lt;Calculator!$G$19,0,MIN(MIN(MOD(A136/Calculator!$F$19,1),1-MOD(A136/Calculator!$F$19,1)),ABS(MOD(A136/Calculator!$F$19,1)-0.5))),1)</f>
        <v>0.167817543859649</v>
      </c>
      <c r="K136" s="138" t="n">
        <f aca="false">IF(Calculator!$E$20="YES",IF(A136&lt;Calculator!$G$20,0,MIN(MIN(MOD(A136/Calculator!$F$20,1),1-MOD(A136/Calculator!$F$20,1)),ABS(MOD(A136/Calculator!$F$20,1)-0.5))),1)</f>
        <v>0.164456140350878</v>
      </c>
      <c r="L136" s="138" t="n">
        <f aca="false">IF(Calculator!$E$21="YES",IF(A136&lt;Calculator!$G$21,0,MIN(MIN(MOD(A136/Calculator!$F$21,1),1-MOD(A136/Calculator!$F$21,1)),ABS(MOD(A136/Calculator!$F$21,1)-0.5))),1)</f>
        <v>0.104912280701755</v>
      </c>
      <c r="M136" s="138" t="n">
        <f aca="false">MIN(B136:L136)</f>
        <v>0</v>
      </c>
      <c r="N136" s="138" t="n">
        <f aca="false">SUMPRODUCT(($M$5:$M$555&gt;M136)*1)+SUMPRODUCT(($M$5:$M$555=M136)*(ROW($M$5:$M$555)&lt;ROW(M136)))+1</f>
        <v>357</v>
      </c>
      <c r="O136" s="138" t="str">
        <f aca="false">IF(M136&gt;=0.2,"★★★ EXCELLENT",IF(M136&gt;=0.12,"★★  GOOD",IF(M136&gt;=0.07,"★  FAIR",IF(M136&gt;=0.025,"⚠  MARGINAL","✗  AVOID"))))</f>
        <v>✗  AVOID</v>
      </c>
    </row>
    <row r="137" customFormat="false" ht="15" hidden="false" customHeight="false" outlineLevel="0" collapsed="false">
      <c r="A137" s="135" t="n">
        <v>18.2</v>
      </c>
      <c r="B137" s="136" t="n">
        <f aca="false">IF(Calculator!$E$11="YES",IF(A137&lt;Calculator!$G$11,0,MIN(MIN(MOD(A137/Calculator!$F$11,1),1-MOD(A137/Calculator!$F$11,1)),ABS(MOD(A137/Calculator!$F$11,1)-0.5))),1)</f>
        <v>0</v>
      </c>
      <c r="C137" s="136" t="n">
        <f aca="false">IF(Calculator!$E$12="YES",IF(A137&lt;Calculator!$G$12,0,MIN(MIN(MOD(A137/Calculator!$F$12,1),1-MOD(A137/Calculator!$F$12,1)),ABS(MOD(A137/Calculator!$F$12,1)-0.5))),1)</f>
        <v>0</v>
      </c>
      <c r="D137" s="136" t="n">
        <f aca="false">IF(Calculator!$E$13="YES",IF(A137&lt;Calculator!$G$13,0,MIN(MIN(MOD(A137/Calculator!$F$13,1),1-MOD(A137/Calculator!$F$13,1)),ABS(MOD(A137/Calculator!$F$13,1)-0.5))),1)</f>
        <v>0.184447719298246</v>
      </c>
      <c r="E137" s="136" t="n">
        <f aca="false">IF(Calculator!$E$14="YES",IF(A137&lt;Calculator!$G$14,0,MIN(MIN(MOD(A137/Calculator!$F$14,1),1-MOD(A137/Calculator!$F$14,1)),ABS(MOD(A137/Calculator!$F$14,1)-0.5))),1)</f>
        <v>0.0868070175438597</v>
      </c>
      <c r="F137" s="136" t="n">
        <f aca="false">IF(Calculator!$E$15="YES",IF(A137&lt;Calculator!$G$15,0,MIN(MIN(MOD(A137/Calculator!$F$15,1),1-MOD(A137/Calculator!$F$15,1)),ABS(MOD(A137/Calculator!$F$15,1)-0.5))),1)</f>
        <v>0.206842105263158</v>
      </c>
      <c r="G137" s="136" t="n">
        <f aca="false">IF(Calculator!$E$16="YES",IF(A137&lt;Calculator!$G$16,0,MIN(MIN(MOD(A137/Calculator!$F$16,1),1-MOD(A137/Calculator!$F$16,1)),ABS(MOD(A137/Calculator!$F$16,1)-0.5))),1)</f>
        <v>0.189578947368421</v>
      </c>
      <c r="H137" s="136" t="n">
        <f aca="false">IF(Calculator!$E$17="YES",IF(A137&lt;Calculator!$G$17,0,MIN(MIN(MOD(A137/Calculator!$F$17,1),1-MOD(A137/Calculator!$F$17,1)),ABS(MOD(A137/Calculator!$F$17,1)-0.5))),1)</f>
        <v>0.185981754385965</v>
      </c>
      <c r="I137" s="136" t="n">
        <f aca="false">IF(Calculator!$E$18="YES",IF(A137&lt;Calculator!$G$18,0,MIN(MIN(MOD(A137/Calculator!$F$18,1),1-MOD(A137/Calculator!$F$18,1)),ABS(MOD(A137/Calculator!$F$18,1)-0.5))),1)</f>
        <v>0.210842105263158</v>
      </c>
      <c r="J137" s="136" t="n">
        <f aca="false">IF(Calculator!$E$19="YES",IF(A137&lt;Calculator!$G$19,0,MIN(MIN(MOD(A137/Calculator!$F$19,1),1-MOD(A137/Calculator!$F$19,1)),ABS(MOD(A137/Calculator!$F$19,1)-0.5))),1)</f>
        <v>0.185319298245613</v>
      </c>
      <c r="K137" s="136" t="n">
        <f aca="false">IF(Calculator!$E$20="YES",IF(A137&lt;Calculator!$G$20,0,MIN(MIN(MOD(A137/Calculator!$F$20,1),1-MOD(A137/Calculator!$F$20,1)),ABS(MOD(A137/Calculator!$F$20,1)-0.5))),1)</f>
        <v>0.184701754385965</v>
      </c>
      <c r="L137" s="136" t="n">
        <f aca="false">IF(Calculator!$E$21="YES",IF(A137&lt;Calculator!$G$21,0,MIN(MIN(MOD(A137/Calculator!$F$21,1),1-MOD(A137/Calculator!$F$21,1)),ABS(MOD(A137/Calculator!$F$21,1)-0.5))),1)</f>
        <v>0.14140350877193</v>
      </c>
      <c r="M137" s="136" t="n">
        <f aca="false">MIN(B137:L137)</f>
        <v>0</v>
      </c>
      <c r="N137" s="136" t="n">
        <f aca="false">SUMPRODUCT(($M$5:$M$555&gt;M137)*1)+SUMPRODUCT(($M$5:$M$555=M137)*(ROW($M$5:$M$555)&lt;ROW(M137)))+1</f>
        <v>358</v>
      </c>
      <c r="O137" s="136" t="str">
        <f aca="false">IF(M137&gt;=0.2,"★★★ EXCELLENT",IF(M137&gt;=0.12,"★★  GOOD",IF(M137&gt;=0.07,"★  FAIR",IF(M137&gt;=0.025,"⚠  MARGINAL","✗  AVOID"))))</f>
        <v>✗  AVOID</v>
      </c>
    </row>
    <row r="138" customFormat="false" ht="15" hidden="false" customHeight="false" outlineLevel="0" collapsed="false">
      <c r="A138" s="137" t="n">
        <v>18.3</v>
      </c>
      <c r="B138" s="138" t="n">
        <f aca="false">IF(Calculator!$E$11="YES",IF(A138&lt;Calculator!$G$11,0,MIN(MIN(MOD(A138/Calculator!$F$11,1),1-MOD(A138/Calculator!$F$11,1)),ABS(MOD(A138/Calculator!$F$11,1)-0.5))),1)</f>
        <v>0</v>
      </c>
      <c r="C138" s="138" t="n">
        <f aca="false">IF(Calculator!$E$12="YES",IF(A138&lt;Calculator!$G$12,0,MIN(MIN(MOD(A138/Calculator!$F$12,1),1-MOD(A138/Calculator!$F$12,1)),ABS(MOD(A138/Calculator!$F$12,1)-0.5))),1)</f>
        <v>0</v>
      </c>
      <c r="D138" s="138" t="n">
        <f aca="false">IF(Calculator!$E$13="YES",IF(A138&lt;Calculator!$G$13,0,MIN(MIN(MOD(A138/Calculator!$F$13,1),1-MOD(A138/Calculator!$F$13,1)),ABS(MOD(A138/Calculator!$F$13,1)-0.5))),1)</f>
        <v>0.188208421052632</v>
      </c>
      <c r="E138" s="138" t="n">
        <f aca="false">IF(Calculator!$E$14="YES",IF(A138&lt;Calculator!$G$14,0,MIN(MIN(MOD(A138/Calculator!$F$14,1),1-MOD(A138/Calculator!$F$14,1)),ABS(MOD(A138/Calculator!$F$14,1)-0.5))),1)</f>
        <v>0.0817894736842105</v>
      </c>
      <c r="F138" s="138" t="n">
        <f aca="false">IF(Calculator!$E$15="YES",IF(A138&lt;Calculator!$G$15,0,MIN(MIN(MOD(A138/Calculator!$F$15,1),1-MOD(A138/Calculator!$F$15,1)),ABS(MOD(A138/Calculator!$F$15,1)-0.5))),1)</f>
        <v>0.199736842105263</v>
      </c>
      <c r="G138" s="138" t="n">
        <f aca="false">IF(Calculator!$E$16="YES",IF(A138&lt;Calculator!$G$16,0,MIN(MIN(MOD(A138/Calculator!$F$16,1),1-MOD(A138/Calculator!$F$16,1)),ABS(MOD(A138/Calculator!$F$16,1)-0.5))),1)</f>
        <v>0.179631578947368</v>
      </c>
      <c r="H138" s="138" t="n">
        <f aca="false">IF(Calculator!$E$17="YES",IF(A138&lt;Calculator!$G$17,0,MIN(MIN(MOD(A138/Calculator!$F$17,1),1-MOD(A138/Calculator!$F$17,1)),ABS(MOD(A138/Calculator!$F$17,1)-0.5))),1)</f>
        <v>0.173267368421052</v>
      </c>
      <c r="I138" s="138" t="n">
        <f aca="false">IF(Calculator!$E$18="YES",IF(A138&lt;Calculator!$G$18,0,MIN(MIN(MOD(A138/Calculator!$F$18,1),1-MOD(A138/Calculator!$F$18,1)),ABS(MOD(A138/Calculator!$F$18,1)-0.5))),1)</f>
        <v>0.225736842105263</v>
      </c>
      <c r="J138" s="138" t="n">
        <f aca="false">IF(Calculator!$E$19="YES",IF(A138&lt;Calculator!$G$19,0,MIN(MIN(MOD(A138/Calculator!$F$19,1),1-MOD(A138/Calculator!$F$19,1)),ABS(MOD(A138/Calculator!$F$19,1)-0.5))),1)</f>
        <v>0.202821052631578</v>
      </c>
      <c r="K138" s="138" t="n">
        <f aca="false">IF(Calculator!$E$20="YES",IF(A138&lt;Calculator!$G$20,0,MIN(MIN(MOD(A138/Calculator!$F$20,1),1-MOD(A138/Calculator!$F$20,1)),ABS(MOD(A138/Calculator!$F$20,1)-0.5))),1)</f>
        <v>0.204947368421053</v>
      </c>
      <c r="L138" s="138" t="n">
        <f aca="false">IF(Calculator!$E$21="YES",IF(A138&lt;Calculator!$G$21,0,MIN(MIN(MOD(A138/Calculator!$F$21,1),1-MOD(A138/Calculator!$F$21,1)),ABS(MOD(A138/Calculator!$F$21,1)-0.5))),1)</f>
        <v>0.177894736842106</v>
      </c>
      <c r="M138" s="138" t="n">
        <f aca="false">MIN(B138:L138)</f>
        <v>0</v>
      </c>
      <c r="N138" s="138" t="n">
        <f aca="false">SUMPRODUCT(($M$5:$M$555&gt;M138)*1)+SUMPRODUCT(($M$5:$M$555=M138)*(ROW($M$5:$M$555)&lt;ROW(M138)))+1</f>
        <v>359</v>
      </c>
      <c r="O138" s="138" t="str">
        <f aca="false">IF(M138&gt;=0.2,"★★★ EXCELLENT",IF(M138&gt;=0.12,"★★  GOOD",IF(M138&gt;=0.07,"★  FAIR",IF(M138&gt;=0.025,"⚠  MARGINAL","✗  AVOID"))))</f>
        <v>✗  AVOID</v>
      </c>
    </row>
    <row r="139" customFormat="false" ht="15" hidden="false" customHeight="false" outlineLevel="0" collapsed="false">
      <c r="A139" s="135" t="n">
        <v>18.4</v>
      </c>
      <c r="B139" s="136" t="n">
        <f aca="false">IF(Calculator!$E$11="YES",IF(A139&lt;Calculator!$G$11,0,MIN(MIN(MOD(A139/Calculator!$F$11,1),1-MOD(A139/Calculator!$F$11,1)),ABS(MOD(A139/Calculator!$F$11,1)-0.5))),1)</f>
        <v>0</v>
      </c>
      <c r="C139" s="136" t="n">
        <f aca="false">IF(Calculator!$E$12="YES",IF(A139&lt;Calculator!$G$12,0,MIN(MIN(MOD(A139/Calculator!$F$12,1),1-MOD(A139/Calculator!$F$12,1)),ABS(MOD(A139/Calculator!$F$12,1)-0.5))),1)</f>
        <v>0</v>
      </c>
      <c r="D139" s="136" t="n">
        <f aca="false">IF(Calculator!$E$13="YES",IF(A139&lt;Calculator!$G$13,0,MIN(MIN(MOD(A139/Calculator!$F$13,1),1-MOD(A139/Calculator!$F$13,1)),ABS(MOD(A139/Calculator!$F$13,1)-0.5))),1)</f>
        <v>0.191969122807018</v>
      </c>
      <c r="E139" s="136" t="n">
        <f aca="false">IF(Calculator!$E$14="YES",IF(A139&lt;Calculator!$G$14,0,MIN(MIN(MOD(A139/Calculator!$F$14,1),1-MOD(A139/Calculator!$F$14,1)),ABS(MOD(A139/Calculator!$F$14,1)-0.5))),1)</f>
        <v>0.0767719298245615</v>
      </c>
      <c r="F139" s="136" t="n">
        <f aca="false">IF(Calculator!$E$15="YES",IF(A139&lt;Calculator!$G$15,0,MIN(MIN(MOD(A139/Calculator!$F$15,1),1-MOD(A139/Calculator!$F$15,1)),ABS(MOD(A139/Calculator!$F$15,1)-0.5))),1)</f>
        <v>0.192631578947369</v>
      </c>
      <c r="G139" s="136" t="n">
        <f aca="false">IF(Calculator!$E$16="YES",IF(A139&lt;Calculator!$G$16,0,MIN(MIN(MOD(A139/Calculator!$F$16,1),1-MOD(A139/Calculator!$F$16,1)),ABS(MOD(A139/Calculator!$F$16,1)-0.5))),1)</f>
        <v>0.169684210526316</v>
      </c>
      <c r="H139" s="136" t="n">
        <f aca="false">IF(Calculator!$E$17="YES",IF(A139&lt;Calculator!$G$17,0,MIN(MIN(MOD(A139/Calculator!$F$17,1),1-MOD(A139/Calculator!$F$17,1)),ABS(MOD(A139/Calculator!$F$17,1)-0.5))),1)</f>
        <v>0.16055298245614</v>
      </c>
      <c r="I139" s="136" t="n">
        <f aca="false">IF(Calculator!$E$18="YES",IF(A139&lt;Calculator!$G$18,0,MIN(MIN(MOD(A139/Calculator!$F$18,1),1-MOD(A139/Calculator!$F$18,1)),ABS(MOD(A139/Calculator!$F$18,1)-0.5))),1)</f>
        <v>0.240631578947368</v>
      </c>
      <c r="J139" s="136" t="n">
        <f aca="false">IF(Calculator!$E$19="YES",IF(A139&lt;Calculator!$G$19,0,MIN(MIN(MOD(A139/Calculator!$F$19,1),1-MOD(A139/Calculator!$F$19,1)),ABS(MOD(A139/Calculator!$F$19,1)-0.5))),1)</f>
        <v>0.220322807017543</v>
      </c>
      <c r="K139" s="136" t="n">
        <f aca="false">IF(Calculator!$E$20="YES",IF(A139&lt;Calculator!$G$20,0,MIN(MIN(MOD(A139/Calculator!$F$20,1),1-MOD(A139/Calculator!$F$20,1)),ABS(MOD(A139/Calculator!$F$20,1)-0.5))),1)</f>
        <v>0.22519298245614</v>
      </c>
      <c r="L139" s="136" t="n">
        <f aca="false">IF(Calculator!$E$21="YES",IF(A139&lt;Calculator!$G$21,0,MIN(MIN(MOD(A139/Calculator!$F$21,1),1-MOD(A139/Calculator!$F$21,1)),ABS(MOD(A139/Calculator!$F$21,1)-0.5))),1)</f>
        <v>0.21438596491228</v>
      </c>
      <c r="M139" s="136" t="n">
        <f aca="false">MIN(B139:L139)</f>
        <v>0</v>
      </c>
      <c r="N139" s="136" t="n">
        <f aca="false">SUMPRODUCT(($M$5:$M$555&gt;M139)*1)+SUMPRODUCT(($M$5:$M$555=M139)*(ROW($M$5:$M$555)&lt;ROW(M139)))+1</f>
        <v>360</v>
      </c>
      <c r="O139" s="136" t="str">
        <f aca="false">IF(M139&gt;=0.2,"★★★ EXCELLENT",IF(M139&gt;=0.12,"★★  GOOD",IF(M139&gt;=0.07,"★  FAIR",IF(M139&gt;=0.025,"⚠  MARGINAL","✗  AVOID"))))</f>
        <v>✗  AVOID</v>
      </c>
    </row>
    <row r="140" customFormat="false" ht="15" hidden="false" customHeight="false" outlineLevel="0" collapsed="false">
      <c r="A140" s="137" t="n">
        <v>18.5</v>
      </c>
      <c r="B140" s="138" t="n">
        <f aca="false">IF(Calculator!$E$11="YES",IF(A140&lt;Calculator!$G$11,0,MIN(MIN(MOD(A140/Calculator!$F$11,1),1-MOD(A140/Calculator!$F$11,1)),ABS(MOD(A140/Calculator!$F$11,1)-0.5))),1)</f>
        <v>0</v>
      </c>
      <c r="C140" s="138" t="n">
        <f aca="false">IF(Calculator!$E$12="YES",IF(A140&lt;Calculator!$G$12,0,MIN(MIN(MOD(A140/Calculator!$F$12,1),1-MOD(A140/Calculator!$F$12,1)),ABS(MOD(A140/Calculator!$F$12,1)-0.5))),1)</f>
        <v>0</v>
      </c>
      <c r="D140" s="138" t="n">
        <f aca="false">IF(Calculator!$E$13="YES",IF(A140&lt;Calculator!$G$13,0,MIN(MIN(MOD(A140/Calculator!$F$13,1),1-MOD(A140/Calculator!$F$13,1)),ABS(MOD(A140/Calculator!$F$13,1)-0.5))),1)</f>
        <v>0.195729824561404</v>
      </c>
      <c r="E140" s="138" t="n">
        <f aca="false">IF(Calculator!$E$14="YES",IF(A140&lt;Calculator!$G$14,0,MIN(MIN(MOD(A140/Calculator!$F$14,1),1-MOD(A140/Calculator!$F$14,1)),ABS(MOD(A140/Calculator!$F$14,1)-0.5))),1)</f>
        <v>0.0717543859649122</v>
      </c>
      <c r="F140" s="138" t="n">
        <f aca="false">IF(Calculator!$E$15="YES",IF(A140&lt;Calculator!$G$15,0,MIN(MIN(MOD(A140/Calculator!$F$15,1),1-MOD(A140/Calculator!$F$15,1)),ABS(MOD(A140/Calculator!$F$15,1)-0.5))),1)</f>
        <v>0.185526315789474</v>
      </c>
      <c r="G140" s="138" t="n">
        <f aca="false">IF(Calculator!$E$16="YES",IF(A140&lt;Calculator!$G$16,0,MIN(MIN(MOD(A140/Calculator!$F$16,1),1-MOD(A140/Calculator!$F$16,1)),ABS(MOD(A140/Calculator!$F$16,1)-0.5))),1)</f>
        <v>0.159736842105263</v>
      </c>
      <c r="H140" s="138" t="n">
        <f aca="false">IF(Calculator!$E$17="YES",IF(A140&lt;Calculator!$G$17,0,MIN(MIN(MOD(A140/Calculator!$F$17,1),1-MOD(A140/Calculator!$F$17,1)),ABS(MOD(A140/Calculator!$F$17,1)-0.5))),1)</f>
        <v>0.147838596491228</v>
      </c>
      <c r="I140" s="138" t="n">
        <f aca="false">IF(Calculator!$E$18="YES",IF(A140&lt;Calculator!$G$18,0,MIN(MIN(MOD(A140/Calculator!$F$18,1),1-MOD(A140/Calculator!$F$18,1)),ABS(MOD(A140/Calculator!$F$18,1)-0.5))),1)</f>
        <v>0.244473684210526</v>
      </c>
      <c r="J140" s="138" t="n">
        <f aca="false">IF(Calculator!$E$19="YES",IF(A140&lt;Calculator!$G$19,0,MIN(MIN(MOD(A140/Calculator!$F$19,1),1-MOD(A140/Calculator!$F$19,1)),ABS(MOD(A140/Calculator!$F$19,1)-0.5))),1)</f>
        <v>0.237824561403508</v>
      </c>
      <c r="K140" s="138" t="n">
        <f aca="false">IF(Calculator!$E$20="YES",IF(A140&lt;Calculator!$G$20,0,MIN(MIN(MOD(A140/Calculator!$F$20,1),1-MOD(A140/Calculator!$F$20,1)),ABS(MOD(A140/Calculator!$F$20,1)-0.5))),1)</f>
        <v>0.245438596491228</v>
      </c>
      <c r="L140" s="138" t="n">
        <f aca="false">IF(Calculator!$E$21="YES",IF(A140&lt;Calculator!$G$21,0,MIN(MIN(MOD(A140/Calculator!$F$21,1),1-MOD(A140/Calculator!$F$21,1)),ABS(MOD(A140/Calculator!$F$21,1)-0.5))),1)</f>
        <v>0.249122807017544</v>
      </c>
      <c r="M140" s="138" t="n">
        <f aca="false">MIN(B140:L140)</f>
        <v>0</v>
      </c>
      <c r="N140" s="138" t="n">
        <f aca="false">SUMPRODUCT(($M$5:$M$555&gt;M140)*1)+SUMPRODUCT(($M$5:$M$555=M140)*(ROW($M$5:$M$555)&lt;ROW(M140)))+1</f>
        <v>361</v>
      </c>
      <c r="O140" s="138" t="str">
        <f aca="false">IF(M140&gt;=0.2,"★★★ EXCELLENT",IF(M140&gt;=0.12,"★★  GOOD",IF(M140&gt;=0.07,"★  FAIR",IF(M140&gt;=0.025,"⚠  MARGINAL","✗  AVOID"))))</f>
        <v>✗  AVOID</v>
      </c>
    </row>
    <row r="141" customFormat="false" ht="15" hidden="false" customHeight="false" outlineLevel="0" collapsed="false">
      <c r="A141" s="135" t="n">
        <v>18.6</v>
      </c>
      <c r="B141" s="136" t="n">
        <f aca="false">IF(Calculator!$E$11="YES",IF(A141&lt;Calculator!$G$11,0,MIN(MIN(MOD(A141/Calculator!$F$11,1),1-MOD(A141/Calculator!$F$11,1)),ABS(MOD(A141/Calculator!$F$11,1)-0.5))),1)</f>
        <v>0</v>
      </c>
      <c r="C141" s="136" t="n">
        <f aca="false">IF(Calculator!$E$12="YES",IF(A141&lt;Calculator!$G$12,0,MIN(MIN(MOD(A141/Calculator!$F$12,1),1-MOD(A141/Calculator!$F$12,1)),ABS(MOD(A141/Calculator!$F$12,1)-0.5))),1)</f>
        <v>0</v>
      </c>
      <c r="D141" s="136" t="n">
        <f aca="false">IF(Calculator!$E$13="YES",IF(A141&lt;Calculator!$G$13,0,MIN(MIN(MOD(A141/Calculator!$F$13,1),1-MOD(A141/Calculator!$F$13,1)),ABS(MOD(A141/Calculator!$F$13,1)-0.5))),1)</f>
        <v>0.199490526315789</v>
      </c>
      <c r="E141" s="136" t="n">
        <f aca="false">IF(Calculator!$E$14="YES",IF(A141&lt;Calculator!$G$14,0,MIN(MIN(MOD(A141/Calculator!$F$14,1),1-MOD(A141/Calculator!$F$14,1)),ABS(MOD(A141/Calculator!$F$14,1)-0.5))),1)</f>
        <v>0.0667368421052631</v>
      </c>
      <c r="F141" s="136" t="n">
        <f aca="false">IF(Calculator!$E$15="YES",IF(A141&lt;Calculator!$G$15,0,MIN(MIN(MOD(A141/Calculator!$F$15,1),1-MOD(A141/Calculator!$F$15,1)),ABS(MOD(A141/Calculator!$F$15,1)-0.5))),1)</f>
        <v>0.178421052631579</v>
      </c>
      <c r="G141" s="136" t="n">
        <f aca="false">IF(Calculator!$E$16="YES",IF(A141&lt;Calculator!$G$16,0,MIN(MIN(MOD(A141/Calculator!$F$16,1),1-MOD(A141/Calculator!$F$16,1)),ABS(MOD(A141/Calculator!$F$16,1)-0.5))),1)</f>
        <v>0.14978947368421</v>
      </c>
      <c r="H141" s="136" t="n">
        <f aca="false">IF(Calculator!$E$17="YES",IF(A141&lt;Calculator!$G$17,0,MIN(MIN(MOD(A141/Calculator!$F$17,1),1-MOD(A141/Calculator!$F$17,1)),ABS(MOD(A141/Calculator!$F$17,1)-0.5))),1)</f>
        <v>0.135124210526315</v>
      </c>
      <c r="I141" s="136" t="n">
        <f aca="false">IF(Calculator!$E$18="YES",IF(A141&lt;Calculator!$G$18,0,MIN(MIN(MOD(A141/Calculator!$F$18,1),1-MOD(A141/Calculator!$F$18,1)),ABS(MOD(A141/Calculator!$F$18,1)-0.5))),1)</f>
        <v>0.229578947368421</v>
      </c>
      <c r="J141" s="136" t="n">
        <f aca="false">IF(Calculator!$E$19="YES",IF(A141&lt;Calculator!$G$19,0,MIN(MIN(MOD(A141/Calculator!$F$19,1),1-MOD(A141/Calculator!$F$19,1)),ABS(MOD(A141/Calculator!$F$19,1)-0.5))),1)</f>
        <v>0.244673684210527</v>
      </c>
      <c r="K141" s="136" t="n">
        <f aca="false">IF(Calculator!$E$20="YES",IF(A141&lt;Calculator!$G$20,0,MIN(MIN(MOD(A141/Calculator!$F$20,1),1-MOD(A141/Calculator!$F$20,1)),ABS(MOD(A141/Calculator!$F$20,1)-0.5))),1)</f>
        <v>0.234315789473684</v>
      </c>
      <c r="L141" s="136" t="n">
        <f aca="false">IF(Calculator!$E$21="YES",IF(A141&lt;Calculator!$G$21,0,MIN(MIN(MOD(A141/Calculator!$F$21,1),1-MOD(A141/Calculator!$F$21,1)),ABS(MOD(A141/Calculator!$F$21,1)-0.5))),1)</f>
        <v>0.212631578947368</v>
      </c>
      <c r="M141" s="136" t="n">
        <f aca="false">MIN(B141:L141)</f>
        <v>0</v>
      </c>
      <c r="N141" s="136" t="n">
        <f aca="false">SUMPRODUCT(($M$5:$M$555&gt;M141)*1)+SUMPRODUCT(($M$5:$M$555=M141)*(ROW($M$5:$M$555)&lt;ROW(M141)))+1</f>
        <v>362</v>
      </c>
      <c r="O141" s="136" t="str">
        <f aca="false">IF(M141&gt;=0.2,"★★★ EXCELLENT",IF(M141&gt;=0.12,"★★  GOOD",IF(M141&gt;=0.07,"★  FAIR",IF(M141&gt;=0.025,"⚠  MARGINAL","✗  AVOID"))))</f>
        <v>✗  AVOID</v>
      </c>
    </row>
    <row r="142" customFormat="false" ht="15" hidden="false" customHeight="false" outlineLevel="0" collapsed="false">
      <c r="A142" s="137" t="n">
        <v>18.7</v>
      </c>
      <c r="B142" s="138" t="n">
        <f aca="false">IF(Calculator!$E$11="YES",IF(A142&lt;Calculator!$G$11,0,MIN(MIN(MOD(A142/Calculator!$F$11,1),1-MOD(A142/Calculator!$F$11,1)),ABS(MOD(A142/Calculator!$F$11,1)-0.5))),1)</f>
        <v>0</v>
      </c>
      <c r="C142" s="138" t="n">
        <f aca="false">IF(Calculator!$E$12="YES",IF(A142&lt;Calculator!$G$12,0,MIN(MIN(MOD(A142/Calculator!$F$12,1),1-MOD(A142/Calculator!$F$12,1)),ABS(MOD(A142/Calculator!$F$12,1)-0.5))),1)</f>
        <v>0</v>
      </c>
      <c r="D142" s="138" t="n">
        <f aca="false">IF(Calculator!$E$13="YES",IF(A142&lt;Calculator!$G$13,0,MIN(MIN(MOD(A142/Calculator!$F$13,1),1-MOD(A142/Calculator!$F$13,1)),ABS(MOD(A142/Calculator!$F$13,1)-0.5))),1)</f>
        <v>0.203251228070175</v>
      </c>
      <c r="E142" s="138" t="n">
        <f aca="false">IF(Calculator!$E$14="YES",IF(A142&lt;Calculator!$G$14,0,MIN(MIN(MOD(A142/Calculator!$F$14,1),1-MOD(A142/Calculator!$F$14,1)),ABS(MOD(A142/Calculator!$F$14,1)-0.5))),1)</f>
        <v>0.0617192982456141</v>
      </c>
      <c r="F142" s="138" t="n">
        <f aca="false">IF(Calculator!$E$15="YES",IF(A142&lt;Calculator!$G$15,0,MIN(MIN(MOD(A142/Calculator!$F$15,1),1-MOD(A142/Calculator!$F$15,1)),ABS(MOD(A142/Calculator!$F$15,1)-0.5))),1)</f>
        <v>0.171315789473684</v>
      </c>
      <c r="G142" s="138" t="n">
        <f aca="false">IF(Calculator!$E$16="YES",IF(A142&lt;Calculator!$G$16,0,MIN(MIN(MOD(A142/Calculator!$F$16,1),1-MOD(A142/Calculator!$F$16,1)),ABS(MOD(A142/Calculator!$F$16,1)-0.5))),1)</f>
        <v>0.139842105263158</v>
      </c>
      <c r="H142" s="138" t="n">
        <f aca="false">IF(Calculator!$E$17="YES",IF(A142&lt;Calculator!$G$17,0,MIN(MIN(MOD(A142/Calculator!$F$17,1),1-MOD(A142/Calculator!$F$17,1)),ABS(MOD(A142/Calculator!$F$17,1)-0.5))),1)</f>
        <v>0.122409824561403</v>
      </c>
      <c r="I142" s="138" t="n">
        <f aca="false">IF(Calculator!$E$18="YES",IF(A142&lt;Calculator!$G$18,0,MIN(MIN(MOD(A142/Calculator!$F$18,1),1-MOD(A142/Calculator!$F$18,1)),ABS(MOD(A142/Calculator!$F$18,1)-0.5))),1)</f>
        <v>0.214684210526316</v>
      </c>
      <c r="J142" s="138" t="n">
        <f aca="false">IF(Calculator!$E$19="YES",IF(A142&lt;Calculator!$G$19,0,MIN(MIN(MOD(A142/Calculator!$F$19,1),1-MOD(A142/Calculator!$F$19,1)),ABS(MOD(A142/Calculator!$F$19,1)-0.5))),1)</f>
        <v>0.227171929824562</v>
      </c>
      <c r="K142" s="138" t="n">
        <f aca="false">IF(Calculator!$E$20="YES",IF(A142&lt;Calculator!$G$20,0,MIN(MIN(MOD(A142/Calculator!$F$20,1),1-MOD(A142/Calculator!$F$20,1)),ABS(MOD(A142/Calculator!$F$20,1)-0.5))),1)</f>
        <v>0.214070175438597</v>
      </c>
      <c r="L142" s="138" t="n">
        <f aca="false">IF(Calculator!$E$21="YES",IF(A142&lt;Calculator!$G$21,0,MIN(MIN(MOD(A142/Calculator!$F$21,1),1-MOD(A142/Calculator!$F$21,1)),ABS(MOD(A142/Calculator!$F$21,1)-0.5))),1)</f>
        <v>0.176140350877193</v>
      </c>
      <c r="M142" s="138" t="n">
        <f aca="false">MIN(B142:L142)</f>
        <v>0</v>
      </c>
      <c r="N142" s="138" t="n">
        <f aca="false">SUMPRODUCT(($M$5:$M$555&gt;M142)*1)+SUMPRODUCT(($M$5:$M$555=M142)*(ROW($M$5:$M$555)&lt;ROW(M142)))+1</f>
        <v>363</v>
      </c>
      <c r="O142" s="138" t="str">
        <f aca="false">IF(M142&gt;=0.2,"★★★ EXCELLENT",IF(M142&gt;=0.12,"★★  GOOD",IF(M142&gt;=0.07,"★  FAIR",IF(M142&gt;=0.025,"⚠  MARGINAL","✗  AVOID"))))</f>
        <v>✗  AVOID</v>
      </c>
    </row>
    <row r="143" customFormat="false" ht="15" hidden="false" customHeight="false" outlineLevel="0" collapsed="false">
      <c r="A143" s="135" t="n">
        <v>18.8</v>
      </c>
      <c r="B143" s="136" t="n">
        <f aca="false">IF(Calculator!$E$11="YES",IF(A143&lt;Calculator!$G$11,0,MIN(MIN(MOD(A143/Calculator!$F$11,1),1-MOD(A143/Calculator!$F$11,1)),ABS(MOD(A143/Calculator!$F$11,1)-0.5))),1)</f>
        <v>0</v>
      </c>
      <c r="C143" s="136" t="n">
        <f aca="false">IF(Calculator!$E$12="YES",IF(A143&lt;Calculator!$G$12,0,MIN(MIN(MOD(A143/Calculator!$F$12,1),1-MOD(A143/Calculator!$F$12,1)),ABS(MOD(A143/Calculator!$F$12,1)-0.5))),1)</f>
        <v>0</v>
      </c>
      <c r="D143" s="136" t="n">
        <f aca="false">IF(Calculator!$E$13="YES",IF(A143&lt;Calculator!$G$13,0,MIN(MIN(MOD(A143/Calculator!$F$13,1),1-MOD(A143/Calculator!$F$13,1)),ABS(MOD(A143/Calculator!$F$13,1)-0.5))),1)</f>
        <v>0.207011929824561</v>
      </c>
      <c r="E143" s="136" t="n">
        <f aca="false">IF(Calculator!$E$14="YES",IF(A143&lt;Calculator!$G$14,0,MIN(MIN(MOD(A143/Calculator!$F$14,1),1-MOD(A143/Calculator!$F$14,1)),ABS(MOD(A143/Calculator!$F$14,1)-0.5))),1)</f>
        <v>0.0567017543859649</v>
      </c>
      <c r="F143" s="136" t="n">
        <f aca="false">IF(Calculator!$E$15="YES",IF(A143&lt;Calculator!$G$15,0,MIN(MIN(MOD(A143/Calculator!$F$15,1),1-MOD(A143/Calculator!$F$15,1)),ABS(MOD(A143/Calculator!$F$15,1)-0.5))),1)</f>
        <v>0.164210526315789</v>
      </c>
      <c r="G143" s="136" t="n">
        <f aca="false">IF(Calculator!$E$16="YES",IF(A143&lt;Calculator!$G$16,0,MIN(MIN(MOD(A143/Calculator!$F$16,1),1-MOD(A143/Calculator!$F$16,1)),ABS(MOD(A143/Calculator!$F$16,1)-0.5))),1)</f>
        <v>0.129894736842105</v>
      </c>
      <c r="H143" s="136" t="n">
        <f aca="false">IF(Calculator!$E$17="YES",IF(A143&lt;Calculator!$G$17,0,MIN(MIN(MOD(A143/Calculator!$F$17,1),1-MOD(A143/Calculator!$F$17,1)),ABS(MOD(A143/Calculator!$F$17,1)-0.5))),1)</f>
        <v>0.109695438596491</v>
      </c>
      <c r="I143" s="136" t="n">
        <f aca="false">IF(Calculator!$E$18="YES",IF(A143&lt;Calculator!$G$18,0,MIN(MIN(MOD(A143/Calculator!$F$18,1),1-MOD(A143/Calculator!$F$18,1)),ABS(MOD(A143/Calculator!$F$18,1)-0.5))),1)</f>
        <v>0.199789473684211</v>
      </c>
      <c r="J143" s="136" t="n">
        <f aca="false">IF(Calculator!$E$19="YES",IF(A143&lt;Calculator!$G$19,0,MIN(MIN(MOD(A143/Calculator!$F$19,1),1-MOD(A143/Calculator!$F$19,1)),ABS(MOD(A143/Calculator!$F$19,1)-0.5))),1)</f>
        <v>0.209670175438597</v>
      </c>
      <c r="K143" s="136" t="n">
        <f aca="false">IF(Calculator!$E$20="YES",IF(A143&lt;Calculator!$G$20,0,MIN(MIN(MOD(A143/Calculator!$F$20,1),1-MOD(A143/Calculator!$F$20,1)),ABS(MOD(A143/Calculator!$F$20,1)-0.5))),1)</f>
        <v>0.193824561403509</v>
      </c>
      <c r="L143" s="136" t="n">
        <f aca="false">IF(Calculator!$E$21="YES",IF(A143&lt;Calculator!$G$21,0,MIN(MIN(MOD(A143/Calculator!$F$21,1),1-MOD(A143/Calculator!$F$21,1)),ABS(MOD(A143/Calculator!$F$21,1)-0.5))),1)</f>
        <v>0.139649122807017</v>
      </c>
      <c r="M143" s="136" t="n">
        <f aca="false">MIN(B143:L143)</f>
        <v>0</v>
      </c>
      <c r="N143" s="136" t="n">
        <f aca="false">SUMPRODUCT(($M$5:$M$555&gt;M143)*1)+SUMPRODUCT(($M$5:$M$555=M143)*(ROW($M$5:$M$555)&lt;ROW(M143)))+1</f>
        <v>364</v>
      </c>
      <c r="O143" s="136" t="str">
        <f aca="false">IF(M143&gt;=0.2,"★★★ EXCELLENT",IF(M143&gt;=0.12,"★★  GOOD",IF(M143&gt;=0.07,"★  FAIR",IF(M143&gt;=0.025,"⚠  MARGINAL","✗  AVOID"))))</f>
        <v>✗  AVOID</v>
      </c>
    </row>
    <row r="144" customFormat="false" ht="15" hidden="false" customHeight="false" outlineLevel="0" collapsed="false">
      <c r="A144" s="137" t="n">
        <v>18.9</v>
      </c>
      <c r="B144" s="138" t="n">
        <f aca="false">IF(Calculator!$E$11="YES",IF(A144&lt;Calculator!$G$11,0,MIN(MIN(MOD(A144/Calculator!$F$11,1),1-MOD(A144/Calculator!$F$11,1)),ABS(MOD(A144/Calculator!$F$11,1)-0.5))),1)</f>
        <v>0</v>
      </c>
      <c r="C144" s="138" t="n">
        <f aca="false">IF(Calculator!$E$12="YES",IF(A144&lt;Calculator!$G$12,0,MIN(MIN(MOD(A144/Calculator!$F$12,1),1-MOD(A144/Calculator!$F$12,1)),ABS(MOD(A144/Calculator!$F$12,1)-0.5))),1)</f>
        <v>0</v>
      </c>
      <c r="D144" s="138" t="n">
        <f aca="false">IF(Calculator!$E$13="YES",IF(A144&lt;Calculator!$G$13,0,MIN(MIN(MOD(A144/Calculator!$F$13,1),1-MOD(A144/Calculator!$F$13,1)),ABS(MOD(A144/Calculator!$F$13,1)-0.5))),1)</f>
        <v>0.210772631578947</v>
      </c>
      <c r="E144" s="138" t="n">
        <f aca="false">IF(Calculator!$E$14="YES",IF(A144&lt;Calculator!$G$14,0,MIN(MIN(MOD(A144/Calculator!$F$14,1),1-MOD(A144/Calculator!$F$14,1)),ABS(MOD(A144/Calculator!$F$14,1)-0.5))),1)</f>
        <v>0.0516842105263159</v>
      </c>
      <c r="F144" s="138" t="n">
        <f aca="false">IF(Calculator!$E$15="YES",IF(A144&lt;Calculator!$G$15,0,MIN(MIN(MOD(A144/Calculator!$F$15,1),1-MOD(A144/Calculator!$F$15,1)),ABS(MOD(A144/Calculator!$F$15,1)-0.5))),1)</f>
        <v>0.157105263157895</v>
      </c>
      <c r="G144" s="138" t="n">
        <f aca="false">IF(Calculator!$E$16="YES",IF(A144&lt;Calculator!$G$16,0,MIN(MIN(MOD(A144/Calculator!$F$16,1),1-MOD(A144/Calculator!$F$16,1)),ABS(MOD(A144/Calculator!$F$16,1)-0.5))),1)</f>
        <v>0.119947368421053</v>
      </c>
      <c r="H144" s="138" t="n">
        <f aca="false">IF(Calculator!$E$17="YES",IF(A144&lt;Calculator!$G$17,0,MIN(MIN(MOD(A144/Calculator!$F$17,1),1-MOD(A144/Calculator!$F$17,1)),ABS(MOD(A144/Calculator!$F$17,1)-0.5))),1)</f>
        <v>0.0969810526315791</v>
      </c>
      <c r="I144" s="138" t="n">
        <f aca="false">IF(Calculator!$E$18="YES",IF(A144&lt;Calculator!$G$18,0,MIN(MIN(MOD(A144/Calculator!$F$18,1),1-MOD(A144/Calculator!$F$18,1)),ABS(MOD(A144/Calculator!$F$18,1)-0.5))),1)</f>
        <v>0.184894736842105</v>
      </c>
      <c r="J144" s="138" t="n">
        <f aca="false">IF(Calculator!$E$19="YES",IF(A144&lt;Calculator!$G$19,0,MIN(MIN(MOD(A144/Calculator!$F$19,1),1-MOD(A144/Calculator!$F$19,1)),ABS(MOD(A144/Calculator!$F$19,1)-0.5))),1)</f>
        <v>0.192168421052632</v>
      </c>
      <c r="K144" s="138" t="n">
        <f aca="false">IF(Calculator!$E$20="YES",IF(A144&lt;Calculator!$G$20,0,MIN(MIN(MOD(A144/Calculator!$F$20,1),1-MOD(A144/Calculator!$F$20,1)),ABS(MOD(A144/Calculator!$F$20,1)-0.5))),1)</f>
        <v>0.173578947368422</v>
      </c>
      <c r="L144" s="138" t="n">
        <f aca="false">IF(Calculator!$E$21="YES",IF(A144&lt;Calculator!$G$21,0,MIN(MIN(MOD(A144/Calculator!$F$21,1),1-MOD(A144/Calculator!$F$21,1)),ABS(MOD(A144/Calculator!$F$21,1)-0.5))),1)</f>
        <v>0.103157894736842</v>
      </c>
      <c r="M144" s="138" t="n">
        <f aca="false">MIN(B144:L144)</f>
        <v>0</v>
      </c>
      <c r="N144" s="138" t="n">
        <f aca="false">SUMPRODUCT(($M$5:$M$555&gt;M144)*1)+SUMPRODUCT(($M$5:$M$555=M144)*(ROW($M$5:$M$555)&lt;ROW(M144)))+1</f>
        <v>365</v>
      </c>
      <c r="O144" s="138" t="str">
        <f aca="false">IF(M144&gt;=0.2,"★★★ EXCELLENT",IF(M144&gt;=0.12,"★★  GOOD",IF(M144&gt;=0.07,"★  FAIR",IF(M144&gt;=0.025,"⚠  MARGINAL","✗  AVOID"))))</f>
        <v>✗  AVOID</v>
      </c>
    </row>
    <row r="145" customFormat="false" ht="15" hidden="false" customHeight="false" outlineLevel="0" collapsed="false">
      <c r="A145" s="135" t="n">
        <v>19</v>
      </c>
      <c r="B145" s="136" t="n">
        <f aca="false">IF(Calculator!$E$11="YES",IF(A145&lt;Calculator!$G$11,0,MIN(MIN(MOD(A145/Calculator!$F$11,1),1-MOD(A145/Calculator!$F$11,1)),ABS(MOD(A145/Calculator!$F$11,1)-0.5))),1)</f>
        <v>0</v>
      </c>
      <c r="C145" s="136" t="n">
        <f aca="false">IF(Calculator!$E$12="YES",IF(A145&lt;Calculator!$G$12,0,MIN(MIN(MOD(A145/Calculator!$F$12,1),1-MOD(A145/Calculator!$F$12,1)),ABS(MOD(A145/Calculator!$F$12,1)-0.5))),1)</f>
        <v>0</v>
      </c>
      <c r="D145" s="136" t="n">
        <f aca="false">IF(Calculator!$E$13="YES",IF(A145&lt;Calculator!$G$13,0,MIN(MIN(MOD(A145/Calculator!$F$13,1),1-MOD(A145/Calculator!$F$13,1)),ABS(MOD(A145/Calculator!$F$13,1)-0.5))),1)</f>
        <v>0.214533333333333</v>
      </c>
      <c r="E145" s="136" t="n">
        <f aca="false">IF(Calculator!$E$14="YES",IF(A145&lt;Calculator!$G$14,0,MIN(MIN(MOD(A145/Calculator!$F$14,1),1-MOD(A145/Calculator!$F$14,1)),ABS(MOD(A145/Calculator!$F$14,1)-0.5))),1)</f>
        <v>0.0466666666666666</v>
      </c>
      <c r="F145" s="136" t="n">
        <f aca="false">IF(Calculator!$E$15="YES",IF(A145&lt;Calculator!$G$15,0,MIN(MIN(MOD(A145/Calculator!$F$15,1),1-MOD(A145/Calculator!$F$15,1)),ABS(MOD(A145/Calculator!$F$15,1)-0.5))),1)</f>
        <v>0.15</v>
      </c>
      <c r="G145" s="136" t="n">
        <f aca="false">IF(Calculator!$E$16="YES",IF(A145&lt;Calculator!$G$16,0,MIN(MIN(MOD(A145/Calculator!$F$16,1),1-MOD(A145/Calculator!$F$16,1)),ABS(MOD(A145/Calculator!$F$16,1)-0.5))),1)</f>
        <v>0.11</v>
      </c>
      <c r="H145" s="136" t="n">
        <f aca="false">IF(Calculator!$E$17="YES",IF(A145&lt;Calculator!$G$17,0,MIN(MIN(MOD(A145/Calculator!$F$17,1),1-MOD(A145/Calculator!$F$17,1)),ABS(MOD(A145/Calculator!$F$17,1)-0.5))),1)</f>
        <v>0.0842666666666663</v>
      </c>
      <c r="I145" s="136" t="n">
        <f aca="false">IF(Calculator!$E$18="YES",IF(A145&lt;Calculator!$G$18,0,MIN(MIN(MOD(A145/Calculator!$F$18,1),1-MOD(A145/Calculator!$F$18,1)),ABS(MOD(A145/Calculator!$F$18,1)-0.5))),1)</f>
        <v>0.17</v>
      </c>
      <c r="J145" s="136" t="n">
        <f aca="false">IF(Calculator!$E$19="YES",IF(A145&lt;Calculator!$G$19,0,MIN(MIN(MOD(A145/Calculator!$F$19,1),1-MOD(A145/Calculator!$F$19,1)),ABS(MOD(A145/Calculator!$F$19,1)-0.5))),1)</f>
        <v>0.174666666666667</v>
      </c>
      <c r="K145" s="136" t="n">
        <f aca="false">IF(Calculator!$E$20="YES",IF(A145&lt;Calculator!$G$20,0,MIN(MIN(MOD(A145/Calculator!$F$20,1),1-MOD(A145/Calculator!$F$20,1)),ABS(MOD(A145/Calculator!$F$20,1)-0.5))),1)</f>
        <v>0.153333333333333</v>
      </c>
      <c r="L145" s="136" t="n">
        <f aca="false">IF(Calculator!$E$21="YES",IF(A145&lt;Calculator!$G$21,0,MIN(MIN(MOD(A145/Calculator!$F$21,1),1-MOD(A145/Calculator!$F$21,1)),ABS(MOD(A145/Calculator!$F$21,1)-0.5))),1)</f>
        <v>0.0666666666666664</v>
      </c>
      <c r="M145" s="136" t="n">
        <f aca="false">MIN(B145:L145)</f>
        <v>0</v>
      </c>
      <c r="N145" s="136" t="n">
        <f aca="false">SUMPRODUCT(($M$5:$M$555&gt;M145)*1)+SUMPRODUCT(($M$5:$M$555=M145)*(ROW($M$5:$M$555)&lt;ROW(M145)))+1</f>
        <v>366</v>
      </c>
      <c r="O145" s="136" t="str">
        <f aca="false">IF(M145&gt;=0.2,"★★★ EXCELLENT",IF(M145&gt;=0.12,"★★  GOOD",IF(M145&gt;=0.07,"★  FAIR",IF(M145&gt;=0.025,"⚠  MARGINAL","✗  AVOID"))))</f>
        <v>✗  AVOID</v>
      </c>
    </row>
    <row r="146" customFormat="false" ht="15" hidden="false" customHeight="false" outlineLevel="0" collapsed="false">
      <c r="A146" s="137" t="n">
        <v>19.1</v>
      </c>
      <c r="B146" s="138" t="n">
        <f aca="false">IF(Calculator!$E$11="YES",IF(A146&lt;Calculator!$G$11,0,MIN(MIN(MOD(A146/Calculator!$F$11,1),1-MOD(A146/Calculator!$F$11,1)),ABS(MOD(A146/Calculator!$F$11,1)-0.5))),1)</f>
        <v>0</v>
      </c>
      <c r="C146" s="138" t="n">
        <f aca="false">IF(Calculator!$E$12="YES",IF(A146&lt;Calculator!$G$12,0,MIN(MIN(MOD(A146/Calculator!$F$12,1),1-MOD(A146/Calculator!$F$12,1)),ABS(MOD(A146/Calculator!$F$12,1)-0.5))),1)</f>
        <v>0</v>
      </c>
      <c r="D146" s="138" t="n">
        <f aca="false">IF(Calculator!$E$13="YES",IF(A146&lt;Calculator!$G$13,0,MIN(MIN(MOD(A146/Calculator!$F$13,1),1-MOD(A146/Calculator!$F$13,1)),ABS(MOD(A146/Calculator!$F$13,1)-0.5))),1)</f>
        <v>0.218294035087719</v>
      </c>
      <c r="E146" s="138" t="n">
        <f aca="false">IF(Calculator!$E$14="YES",IF(A146&lt;Calculator!$G$14,0,MIN(MIN(MOD(A146/Calculator!$F$14,1),1-MOD(A146/Calculator!$F$14,1)),ABS(MOD(A146/Calculator!$F$14,1)-0.5))),1)</f>
        <v>0.0416491228070175</v>
      </c>
      <c r="F146" s="138" t="n">
        <f aca="false">IF(Calculator!$E$15="YES",IF(A146&lt;Calculator!$G$15,0,MIN(MIN(MOD(A146/Calculator!$F$15,1),1-MOD(A146/Calculator!$F$15,1)),ABS(MOD(A146/Calculator!$F$15,1)-0.5))),1)</f>
        <v>0.142894736842105</v>
      </c>
      <c r="G146" s="138" t="n">
        <f aca="false">IF(Calculator!$E$16="YES",IF(A146&lt;Calculator!$G$16,0,MIN(MIN(MOD(A146/Calculator!$F$16,1),1-MOD(A146/Calculator!$F$16,1)),ABS(MOD(A146/Calculator!$F$16,1)-0.5))),1)</f>
        <v>0.100052631578947</v>
      </c>
      <c r="H146" s="138" t="n">
        <f aca="false">IF(Calculator!$E$17="YES",IF(A146&lt;Calculator!$G$17,0,MIN(MIN(MOD(A146/Calculator!$F$17,1),1-MOD(A146/Calculator!$F$17,1)),ABS(MOD(A146/Calculator!$F$17,1)-0.5))),1)</f>
        <v>0.0715522807017539</v>
      </c>
      <c r="I146" s="138" t="n">
        <f aca="false">IF(Calculator!$E$18="YES",IF(A146&lt;Calculator!$G$18,0,MIN(MIN(MOD(A146/Calculator!$F$18,1),1-MOD(A146/Calculator!$F$18,1)),ABS(MOD(A146/Calculator!$F$18,1)-0.5))),1)</f>
        <v>0.155105263157894</v>
      </c>
      <c r="J146" s="138" t="n">
        <f aca="false">IF(Calculator!$E$19="YES",IF(A146&lt;Calculator!$G$19,0,MIN(MIN(MOD(A146/Calculator!$F$19,1),1-MOD(A146/Calculator!$F$19,1)),ABS(MOD(A146/Calculator!$F$19,1)-0.5))),1)</f>
        <v>0.157164912280702</v>
      </c>
      <c r="K146" s="138" t="n">
        <f aca="false">IF(Calculator!$E$20="YES",IF(A146&lt;Calculator!$G$20,0,MIN(MIN(MOD(A146/Calculator!$F$20,1),1-MOD(A146/Calculator!$F$20,1)),ABS(MOD(A146/Calculator!$F$20,1)-0.5))),1)</f>
        <v>0.133087719298246</v>
      </c>
      <c r="L146" s="138" t="n">
        <f aca="false">IF(Calculator!$E$21="YES",IF(A146&lt;Calculator!$G$21,0,MIN(MIN(MOD(A146/Calculator!$F$21,1),1-MOD(A146/Calculator!$F$21,1)),ABS(MOD(A146/Calculator!$F$21,1)-0.5))),1)</f>
        <v>0.0301754385964905</v>
      </c>
      <c r="M146" s="138" t="n">
        <f aca="false">MIN(B146:L146)</f>
        <v>0</v>
      </c>
      <c r="N146" s="138" t="n">
        <f aca="false">SUMPRODUCT(($M$5:$M$555&gt;M146)*1)+SUMPRODUCT(($M$5:$M$555=M146)*(ROW($M$5:$M$555)&lt;ROW(M146)))+1</f>
        <v>367</v>
      </c>
      <c r="O146" s="138" t="str">
        <f aca="false">IF(M146&gt;=0.2,"★★★ EXCELLENT",IF(M146&gt;=0.12,"★★  GOOD",IF(M146&gt;=0.07,"★  FAIR",IF(M146&gt;=0.025,"⚠  MARGINAL","✗  AVOID"))))</f>
        <v>✗  AVOID</v>
      </c>
    </row>
    <row r="147" customFormat="false" ht="15" hidden="false" customHeight="false" outlineLevel="0" collapsed="false">
      <c r="A147" s="135" t="n">
        <v>19.2</v>
      </c>
      <c r="B147" s="136" t="n">
        <f aca="false">IF(Calculator!$E$11="YES",IF(A147&lt;Calculator!$G$11,0,MIN(MIN(MOD(A147/Calculator!$F$11,1),1-MOD(A147/Calculator!$F$11,1)),ABS(MOD(A147/Calculator!$F$11,1)-0.5))),1)</f>
        <v>0</v>
      </c>
      <c r="C147" s="136" t="n">
        <f aca="false">IF(Calculator!$E$12="YES",IF(A147&lt;Calculator!$G$12,0,MIN(MIN(MOD(A147/Calculator!$F$12,1),1-MOD(A147/Calculator!$F$12,1)),ABS(MOD(A147/Calculator!$F$12,1)-0.5))),1)</f>
        <v>0</v>
      </c>
      <c r="D147" s="136" t="n">
        <f aca="false">IF(Calculator!$E$13="YES",IF(A147&lt;Calculator!$G$13,0,MIN(MIN(MOD(A147/Calculator!$F$13,1),1-MOD(A147/Calculator!$F$13,1)),ABS(MOD(A147/Calculator!$F$13,1)-0.5))),1)</f>
        <v>0.222054736842105</v>
      </c>
      <c r="E147" s="136" t="n">
        <f aca="false">IF(Calculator!$E$14="YES",IF(A147&lt;Calculator!$G$14,0,MIN(MIN(MOD(A147/Calculator!$F$14,1),1-MOD(A147/Calculator!$F$14,1)),ABS(MOD(A147/Calculator!$F$14,1)-0.5))),1)</f>
        <v>0.0366315789473685</v>
      </c>
      <c r="F147" s="136" t="n">
        <f aca="false">IF(Calculator!$E$15="YES",IF(A147&lt;Calculator!$G$15,0,MIN(MIN(MOD(A147/Calculator!$F$15,1),1-MOD(A147/Calculator!$F$15,1)),ABS(MOD(A147/Calculator!$F$15,1)-0.5))),1)</f>
        <v>0.135789473684211</v>
      </c>
      <c r="G147" s="136" t="n">
        <f aca="false">IF(Calculator!$E$16="YES",IF(A147&lt;Calculator!$G$16,0,MIN(MIN(MOD(A147/Calculator!$F$16,1),1-MOD(A147/Calculator!$F$16,1)),ABS(MOD(A147/Calculator!$F$16,1)-0.5))),1)</f>
        <v>0.0901052631578947</v>
      </c>
      <c r="H147" s="136" t="n">
        <f aca="false">IF(Calculator!$E$17="YES",IF(A147&lt;Calculator!$G$17,0,MIN(MIN(MOD(A147/Calculator!$F$17,1),1-MOD(A147/Calculator!$F$17,1)),ABS(MOD(A147/Calculator!$F$17,1)-0.5))),1)</f>
        <v>0.058837894736842</v>
      </c>
      <c r="I147" s="136" t="n">
        <f aca="false">IF(Calculator!$E$18="YES",IF(A147&lt;Calculator!$G$18,0,MIN(MIN(MOD(A147/Calculator!$F$18,1),1-MOD(A147/Calculator!$F$18,1)),ABS(MOD(A147/Calculator!$F$18,1)-0.5))),1)</f>
        <v>0.140210526315789</v>
      </c>
      <c r="J147" s="136" t="n">
        <f aca="false">IF(Calculator!$E$19="YES",IF(A147&lt;Calculator!$G$19,0,MIN(MIN(MOD(A147/Calculator!$F$19,1),1-MOD(A147/Calculator!$F$19,1)),ABS(MOD(A147/Calculator!$F$19,1)-0.5))),1)</f>
        <v>0.139663157894737</v>
      </c>
      <c r="K147" s="136" t="n">
        <f aca="false">IF(Calculator!$E$20="YES",IF(A147&lt;Calculator!$G$20,0,MIN(MIN(MOD(A147/Calculator!$F$20,1),1-MOD(A147/Calculator!$F$20,1)),ABS(MOD(A147/Calculator!$F$20,1)-0.5))),1)</f>
        <v>0.112842105263158</v>
      </c>
      <c r="L147" s="136" t="n">
        <f aca="false">IF(Calculator!$E$21="YES",IF(A147&lt;Calculator!$G$21,0,MIN(MIN(MOD(A147/Calculator!$F$21,1),1-MOD(A147/Calculator!$F$21,1)),ABS(MOD(A147/Calculator!$F$21,1)-0.5))),1)</f>
        <v>0.00631578947368361</v>
      </c>
      <c r="M147" s="136" t="n">
        <f aca="false">MIN(B147:L147)</f>
        <v>0</v>
      </c>
      <c r="N147" s="136" t="n">
        <f aca="false">SUMPRODUCT(($M$5:$M$555&gt;M147)*1)+SUMPRODUCT(($M$5:$M$555=M147)*(ROW($M$5:$M$555)&lt;ROW(M147)))+1</f>
        <v>368</v>
      </c>
      <c r="O147" s="136" t="str">
        <f aca="false">IF(M147&gt;=0.2,"★★★ EXCELLENT",IF(M147&gt;=0.12,"★★  GOOD",IF(M147&gt;=0.07,"★  FAIR",IF(M147&gt;=0.025,"⚠  MARGINAL","✗  AVOID"))))</f>
        <v>✗  AVOID</v>
      </c>
    </row>
    <row r="148" customFormat="false" ht="15" hidden="false" customHeight="false" outlineLevel="0" collapsed="false">
      <c r="A148" s="137" t="n">
        <v>19.3</v>
      </c>
      <c r="B148" s="138" t="n">
        <f aca="false">IF(Calculator!$E$11="YES",IF(A148&lt;Calculator!$G$11,0,MIN(MIN(MOD(A148/Calculator!$F$11,1),1-MOD(A148/Calculator!$F$11,1)),ABS(MOD(A148/Calculator!$F$11,1)-0.5))),1)</f>
        <v>0</v>
      </c>
      <c r="C148" s="138" t="n">
        <f aca="false">IF(Calculator!$E$12="YES",IF(A148&lt;Calculator!$G$12,0,MIN(MIN(MOD(A148/Calculator!$F$12,1),1-MOD(A148/Calculator!$F$12,1)),ABS(MOD(A148/Calculator!$F$12,1)-0.5))),1)</f>
        <v>0</v>
      </c>
      <c r="D148" s="138" t="n">
        <f aca="false">IF(Calculator!$E$13="YES",IF(A148&lt;Calculator!$G$13,0,MIN(MIN(MOD(A148/Calculator!$F$13,1),1-MOD(A148/Calculator!$F$13,1)),ABS(MOD(A148/Calculator!$F$13,1)-0.5))),1)</f>
        <v>0.225815438596491</v>
      </c>
      <c r="E148" s="138" t="n">
        <f aca="false">IF(Calculator!$E$14="YES",IF(A148&lt;Calculator!$G$14,0,MIN(MIN(MOD(A148/Calculator!$F$14,1),1-MOD(A148/Calculator!$F$14,1)),ABS(MOD(A148/Calculator!$F$14,1)-0.5))),1)</f>
        <v>0.0316140350877192</v>
      </c>
      <c r="F148" s="138" t="n">
        <f aca="false">IF(Calculator!$E$15="YES",IF(A148&lt;Calculator!$G$15,0,MIN(MIN(MOD(A148/Calculator!$F$15,1),1-MOD(A148/Calculator!$F$15,1)),ABS(MOD(A148/Calculator!$F$15,1)-0.5))),1)</f>
        <v>0.128684210526316</v>
      </c>
      <c r="G148" s="138" t="n">
        <f aca="false">IF(Calculator!$E$16="YES",IF(A148&lt;Calculator!$G$16,0,MIN(MIN(MOD(A148/Calculator!$F$16,1),1-MOD(A148/Calculator!$F$16,1)),ABS(MOD(A148/Calculator!$F$16,1)-0.5))),1)</f>
        <v>0.080157894736842</v>
      </c>
      <c r="H148" s="138" t="n">
        <f aca="false">IF(Calculator!$E$17="YES",IF(A148&lt;Calculator!$G$17,0,MIN(MIN(MOD(A148/Calculator!$F$17,1),1-MOD(A148/Calculator!$F$17,1)),ABS(MOD(A148/Calculator!$F$17,1)-0.5))),1)</f>
        <v>0.0461235087719296</v>
      </c>
      <c r="I148" s="138" t="n">
        <f aca="false">IF(Calculator!$E$18="YES",IF(A148&lt;Calculator!$G$18,0,MIN(MIN(MOD(A148/Calculator!$F$18,1),1-MOD(A148/Calculator!$F$18,1)),ABS(MOD(A148/Calculator!$F$18,1)-0.5))),1)</f>
        <v>0.125315789473684</v>
      </c>
      <c r="J148" s="138" t="n">
        <f aca="false">IF(Calculator!$E$19="YES",IF(A148&lt;Calculator!$G$19,0,MIN(MIN(MOD(A148/Calculator!$F$19,1),1-MOD(A148/Calculator!$F$19,1)),ABS(MOD(A148/Calculator!$F$19,1)-0.5))),1)</f>
        <v>0.122161403508772</v>
      </c>
      <c r="K148" s="138" t="n">
        <f aca="false">IF(Calculator!$E$20="YES",IF(A148&lt;Calculator!$G$20,0,MIN(MIN(MOD(A148/Calculator!$F$20,1),1-MOD(A148/Calculator!$F$20,1)),ABS(MOD(A148/Calculator!$F$20,1)-0.5))),1)</f>
        <v>0.0925964912280701</v>
      </c>
      <c r="L148" s="138" t="n">
        <f aca="false">IF(Calculator!$E$21="YES",IF(A148&lt;Calculator!$G$21,0,MIN(MIN(MOD(A148/Calculator!$F$21,1),1-MOD(A148/Calculator!$F$21,1)),ABS(MOD(A148/Calculator!$F$21,1)-0.5))),1)</f>
        <v>0.0428070175438595</v>
      </c>
      <c r="M148" s="138" t="n">
        <f aca="false">MIN(B148:L148)</f>
        <v>0</v>
      </c>
      <c r="N148" s="138" t="n">
        <f aca="false">SUMPRODUCT(($M$5:$M$555&gt;M148)*1)+SUMPRODUCT(($M$5:$M$555=M148)*(ROW($M$5:$M$555)&lt;ROW(M148)))+1</f>
        <v>369</v>
      </c>
      <c r="O148" s="138" t="str">
        <f aca="false">IF(M148&gt;=0.2,"★★★ EXCELLENT",IF(M148&gt;=0.12,"★★  GOOD",IF(M148&gt;=0.07,"★  FAIR",IF(M148&gt;=0.025,"⚠  MARGINAL","✗  AVOID"))))</f>
        <v>✗  AVOID</v>
      </c>
    </row>
    <row r="149" customFormat="false" ht="15" hidden="false" customHeight="false" outlineLevel="0" collapsed="false">
      <c r="A149" s="135" t="n">
        <v>19.4</v>
      </c>
      <c r="B149" s="136" t="n">
        <f aca="false">IF(Calculator!$E$11="YES",IF(A149&lt;Calculator!$G$11,0,MIN(MIN(MOD(A149/Calculator!$F$11,1),1-MOD(A149/Calculator!$F$11,1)),ABS(MOD(A149/Calculator!$F$11,1)-0.5))),1)</f>
        <v>0</v>
      </c>
      <c r="C149" s="136" t="n">
        <f aca="false">IF(Calculator!$E$12="YES",IF(A149&lt;Calculator!$G$12,0,MIN(MIN(MOD(A149/Calculator!$F$12,1),1-MOD(A149/Calculator!$F$12,1)),ABS(MOD(A149/Calculator!$F$12,1)-0.5))),1)</f>
        <v>0</v>
      </c>
      <c r="D149" s="136" t="n">
        <f aca="false">IF(Calculator!$E$13="YES",IF(A149&lt;Calculator!$G$13,0,MIN(MIN(MOD(A149/Calculator!$F$13,1),1-MOD(A149/Calculator!$F$13,1)),ABS(MOD(A149/Calculator!$F$13,1)-0.5))),1)</f>
        <v>0.229576140350877</v>
      </c>
      <c r="E149" s="136" t="n">
        <f aca="false">IF(Calculator!$E$14="YES",IF(A149&lt;Calculator!$G$14,0,MIN(MIN(MOD(A149/Calculator!$F$14,1),1-MOD(A149/Calculator!$F$14,1)),ABS(MOD(A149/Calculator!$F$14,1)-0.5))),1)</f>
        <v>0.0265964912280703</v>
      </c>
      <c r="F149" s="136" t="n">
        <f aca="false">IF(Calculator!$E$15="YES",IF(A149&lt;Calculator!$G$15,0,MIN(MIN(MOD(A149/Calculator!$F$15,1),1-MOD(A149/Calculator!$F$15,1)),ABS(MOD(A149/Calculator!$F$15,1)-0.5))),1)</f>
        <v>0.121578947368421</v>
      </c>
      <c r="G149" s="136" t="n">
        <f aca="false">IF(Calculator!$E$16="YES",IF(A149&lt;Calculator!$G$16,0,MIN(MIN(MOD(A149/Calculator!$F$16,1),1-MOD(A149/Calculator!$F$16,1)),ABS(MOD(A149/Calculator!$F$16,1)-0.5))),1)</f>
        <v>0.0702105263157895</v>
      </c>
      <c r="H149" s="136" t="n">
        <f aca="false">IF(Calculator!$E$17="YES",IF(A149&lt;Calculator!$G$17,0,MIN(MIN(MOD(A149/Calculator!$F$17,1),1-MOD(A149/Calculator!$F$17,1)),ABS(MOD(A149/Calculator!$F$17,1)-0.5))),1)</f>
        <v>0.0334091228070172</v>
      </c>
      <c r="I149" s="136" t="n">
        <f aca="false">IF(Calculator!$E$18="YES",IF(A149&lt;Calculator!$G$18,0,MIN(MIN(MOD(A149/Calculator!$F$18,1),1-MOD(A149/Calculator!$F$18,1)),ABS(MOD(A149/Calculator!$F$18,1)-0.5))),1)</f>
        <v>0.110421052631579</v>
      </c>
      <c r="J149" s="136" t="n">
        <f aca="false">IF(Calculator!$E$19="YES",IF(A149&lt;Calculator!$G$19,0,MIN(MIN(MOD(A149/Calculator!$F$19,1),1-MOD(A149/Calculator!$F$19,1)),ABS(MOD(A149/Calculator!$F$19,1)-0.5))),1)</f>
        <v>0.104659649122808</v>
      </c>
      <c r="K149" s="136" t="n">
        <f aca="false">IF(Calculator!$E$20="YES",IF(A149&lt;Calculator!$G$20,0,MIN(MIN(MOD(A149/Calculator!$F$20,1),1-MOD(A149/Calculator!$F$20,1)),ABS(MOD(A149/Calculator!$F$20,1)-0.5))),1)</f>
        <v>0.0723508771929828</v>
      </c>
      <c r="L149" s="136" t="n">
        <f aca="false">IF(Calculator!$E$21="YES",IF(A149&lt;Calculator!$G$21,0,MIN(MIN(MOD(A149/Calculator!$F$21,1),1-MOD(A149/Calculator!$F$21,1)),ABS(MOD(A149/Calculator!$F$21,1)-0.5))),1)</f>
        <v>0.0792982456140345</v>
      </c>
      <c r="M149" s="136" t="n">
        <f aca="false">MIN(B149:L149)</f>
        <v>0</v>
      </c>
      <c r="N149" s="136" t="n">
        <f aca="false">SUMPRODUCT(($M$5:$M$555&gt;M149)*1)+SUMPRODUCT(($M$5:$M$555=M149)*(ROW($M$5:$M$555)&lt;ROW(M149)))+1</f>
        <v>370</v>
      </c>
      <c r="O149" s="136" t="str">
        <f aca="false">IF(M149&gt;=0.2,"★★★ EXCELLENT",IF(M149&gt;=0.12,"★★  GOOD",IF(M149&gt;=0.07,"★  FAIR",IF(M149&gt;=0.025,"⚠  MARGINAL","✗  AVOID"))))</f>
        <v>✗  AVOID</v>
      </c>
    </row>
    <row r="150" customFormat="false" ht="15" hidden="false" customHeight="false" outlineLevel="0" collapsed="false">
      <c r="A150" s="137" t="n">
        <v>19.5</v>
      </c>
      <c r="B150" s="138" t="n">
        <f aca="false">IF(Calculator!$E$11="YES",IF(A150&lt;Calculator!$G$11,0,MIN(MIN(MOD(A150/Calculator!$F$11,1),1-MOD(A150/Calculator!$F$11,1)),ABS(MOD(A150/Calculator!$F$11,1)-0.5))),1)</f>
        <v>0</v>
      </c>
      <c r="C150" s="138" t="n">
        <f aca="false">IF(Calculator!$E$12="YES",IF(A150&lt;Calculator!$G$12,0,MIN(MIN(MOD(A150/Calculator!$F$12,1),1-MOD(A150/Calculator!$F$12,1)),ABS(MOD(A150/Calculator!$F$12,1)-0.5))),1)</f>
        <v>0</v>
      </c>
      <c r="D150" s="138" t="n">
        <f aca="false">IF(Calculator!$E$13="YES",IF(A150&lt;Calculator!$G$13,0,MIN(MIN(MOD(A150/Calculator!$F$13,1),1-MOD(A150/Calculator!$F$13,1)),ABS(MOD(A150/Calculator!$F$13,1)-0.5))),1)</f>
        <v>0.233336842105263</v>
      </c>
      <c r="E150" s="138" t="n">
        <f aca="false">IF(Calculator!$E$14="YES",IF(A150&lt;Calculator!$G$14,0,MIN(MIN(MOD(A150/Calculator!$F$14,1),1-MOD(A150/Calculator!$F$14,1)),ABS(MOD(A150/Calculator!$F$14,1)-0.5))),1)</f>
        <v>0.021578947368421</v>
      </c>
      <c r="F150" s="138" t="n">
        <f aca="false">IF(Calculator!$E$15="YES",IF(A150&lt;Calculator!$G$15,0,MIN(MIN(MOD(A150/Calculator!$F$15,1),1-MOD(A150/Calculator!$F$15,1)),ABS(MOD(A150/Calculator!$F$15,1)-0.5))),1)</f>
        <v>0.114473684210526</v>
      </c>
      <c r="G150" s="138" t="n">
        <f aca="false">IF(Calculator!$E$16="YES",IF(A150&lt;Calculator!$G$16,0,MIN(MIN(MOD(A150/Calculator!$F$16,1),1-MOD(A150/Calculator!$F$16,1)),ABS(MOD(A150/Calculator!$F$16,1)-0.5))),1)</f>
        <v>0.0602631578947368</v>
      </c>
      <c r="H150" s="138" t="n">
        <f aca="false">IF(Calculator!$E$17="YES",IF(A150&lt;Calculator!$G$17,0,MIN(MIN(MOD(A150/Calculator!$F$17,1),1-MOD(A150/Calculator!$F$17,1)),ABS(MOD(A150/Calculator!$F$17,1)-0.5))),1)</f>
        <v>0.0206947368421049</v>
      </c>
      <c r="I150" s="138" t="n">
        <f aca="false">IF(Calculator!$E$18="YES",IF(A150&lt;Calculator!$G$18,0,MIN(MIN(MOD(A150/Calculator!$F$18,1),1-MOD(A150/Calculator!$F$18,1)),ABS(MOD(A150/Calculator!$F$18,1)-0.5))),1)</f>
        <v>0.0955263157894737</v>
      </c>
      <c r="J150" s="138" t="n">
        <f aca="false">IF(Calculator!$E$19="YES",IF(A150&lt;Calculator!$G$19,0,MIN(MIN(MOD(A150/Calculator!$F$19,1),1-MOD(A150/Calculator!$F$19,1)),ABS(MOD(A150/Calculator!$F$19,1)-0.5))),1)</f>
        <v>0.0871578947368428</v>
      </c>
      <c r="K150" s="138" t="n">
        <f aca="false">IF(Calculator!$E$20="YES",IF(A150&lt;Calculator!$G$20,0,MIN(MIN(MOD(A150/Calculator!$F$20,1),1-MOD(A150/Calculator!$F$20,1)),ABS(MOD(A150/Calculator!$F$20,1)-0.5))),1)</f>
        <v>0.0521052631578947</v>
      </c>
      <c r="L150" s="138" t="n">
        <f aca="false">IF(Calculator!$E$21="YES",IF(A150&lt;Calculator!$G$21,0,MIN(MIN(MOD(A150/Calculator!$F$21,1),1-MOD(A150/Calculator!$F$21,1)),ABS(MOD(A150/Calculator!$F$21,1)-0.5))),1)</f>
        <v>0.11578947368421</v>
      </c>
      <c r="M150" s="138" t="n">
        <f aca="false">MIN(B150:L150)</f>
        <v>0</v>
      </c>
      <c r="N150" s="138" t="n">
        <f aca="false">SUMPRODUCT(($M$5:$M$555&gt;M150)*1)+SUMPRODUCT(($M$5:$M$555=M150)*(ROW($M$5:$M$555)&lt;ROW(M150)))+1</f>
        <v>371</v>
      </c>
      <c r="O150" s="138" t="str">
        <f aca="false">IF(M150&gt;=0.2,"★★★ EXCELLENT",IF(M150&gt;=0.12,"★★  GOOD",IF(M150&gt;=0.07,"★  FAIR",IF(M150&gt;=0.025,"⚠  MARGINAL","✗  AVOID"))))</f>
        <v>✗  AVOID</v>
      </c>
    </row>
    <row r="151" customFormat="false" ht="15" hidden="false" customHeight="false" outlineLevel="0" collapsed="false">
      <c r="A151" s="135" t="n">
        <v>19.6</v>
      </c>
      <c r="B151" s="136" t="n">
        <f aca="false">IF(Calculator!$E$11="YES",IF(A151&lt;Calculator!$G$11,0,MIN(MIN(MOD(A151/Calculator!$F$11,1),1-MOD(A151/Calculator!$F$11,1)),ABS(MOD(A151/Calculator!$F$11,1)-0.5))),1)</f>
        <v>0</v>
      </c>
      <c r="C151" s="136" t="n">
        <f aca="false">IF(Calculator!$E$12="YES",IF(A151&lt;Calculator!$G$12,0,MIN(MIN(MOD(A151/Calculator!$F$12,1),1-MOD(A151/Calculator!$F$12,1)),ABS(MOD(A151/Calculator!$F$12,1)-0.5))),1)</f>
        <v>0.00203508771929828</v>
      </c>
      <c r="D151" s="136" t="n">
        <f aca="false">IF(Calculator!$E$13="YES",IF(A151&lt;Calculator!$G$13,0,MIN(MIN(MOD(A151/Calculator!$F$13,1),1-MOD(A151/Calculator!$F$13,1)),ABS(MOD(A151/Calculator!$F$13,1)-0.5))),1)</f>
        <v>0.237097543859649</v>
      </c>
      <c r="E151" s="136" t="n">
        <f aca="false">IF(Calculator!$E$14="YES",IF(A151&lt;Calculator!$G$14,0,MIN(MIN(MOD(A151/Calculator!$F$14,1),1-MOD(A151/Calculator!$F$14,1)),ABS(MOD(A151/Calculator!$F$14,1)-0.5))),1)</f>
        <v>0.0165614035087719</v>
      </c>
      <c r="F151" s="136" t="n">
        <f aca="false">IF(Calculator!$E$15="YES",IF(A151&lt;Calculator!$G$15,0,MIN(MIN(MOD(A151/Calculator!$F$15,1),1-MOD(A151/Calculator!$F$15,1)),ABS(MOD(A151/Calculator!$F$15,1)-0.5))),1)</f>
        <v>0.107368421052632</v>
      </c>
      <c r="G151" s="136" t="n">
        <f aca="false">IF(Calculator!$E$16="YES",IF(A151&lt;Calculator!$G$16,0,MIN(MIN(MOD(A151/Calculator!$F$16,1),1-MOD(A151/Calculator!$F$16,1)),ABS(MOD(A151/Calculator!$F$16,1)-0.5))),1)</f>
        <v>0.0503157894736839</v>
      </c>
      <c r="H151" s="136" t="n">
        <f aca="false">IF(Calculator!$E$17="YES",IF(A151&lt;Calculator!$G$17,0,MIN(MIN(MOD(A151/Calculator!$F$17,1),1-MOD(A151/Calculator!$F$17,1)),ABS(MOD(A151/Calculator!$F$17,1)-0.5))),1)</f>
        <v>0.00798035087719251</v>
      </c>
      <c r="I151" s="136" t="n">
        <f aca="false">IF(Calculator!$E$18="YES",IF(A151&lt;Calculator!$G$18,0,MIN(MIN(MOD(A151/Calculator!$F$18,1),1-MOD(A151/Calculator!$F$18,1)),ABS(MOD(A151/Calculator!$F$18,1)-0.5))),1)</f>
        <v>0.0806315789473682</v>
      </c>
      <c r="J151" s="136" t="n">
        <f aca="false">IF(Calculator!$E$19="YES",IF(A151&lt;Calculator!$G$19,0,MIN(MIN(MOD(A151/Calculator!$F$19,1),1-MOD(A151/Calculator!$F$19,1)),ABS(MOD(A151/Calculator!$F$19,1)-0.5))),1)</f>
        <v>0.0696561403508773</v>
      </c>
      <c r="K151" s="136" t="n">
        <f aca="false">IF(Calculator!$E$20="YES",IF(A151&lt;Calculator!$G$20,0,MIN(MIN(MOD(A151/Calculator!$F$20,1),1-MOD(A151/Calculator!$F$20,1)),ABS(MOD(A151/Calculator!$F$20,1)-0.5))),1)</f>
        <v>0.0318596491228069</v>
      </c>
      <c r="L151" s="136" t="n">
        <f aca="false">IF(Calculator!$E$21="YES",IF(A151&lt;Calculator!$G$21,0,MIN(MIN(MOD(A151/Calculator!$F$21,1),1-MOD(A151/Calculator!$F$21,1)),ABS(MOD(A151/Calculator!$F$21,1)-0.5))),1)</f>
        <v>0.152280701754386</v>
      </c>
      <c r="M151" s="136" t="n">
        <f aca="false">MIN(B151:L151)</f>
        <v>0</v>
      </c>
      <c r="N151" s="136" t="n">
        <f aca="false">SUMPRODUCT(($M$5:$M$555&gt;M151)*1)+SUMPRODUCT(($M$5:$M$555=M151)*(ROW($M$5:$M$555)&lt;ROW(M151)))+1</f>
        <v>372</v>
      </c>
      <c r="O151" s="136" t="str">
        <f aca="false">IF(M151&gt;=0.2,"★★★ EXCELLENT",IF(M151&gt;=0.12,"★★  GOOD",IF(M151&gt;=0.07,"★  FAIR",IF(M151&gt;=0.025,"⚠  MARGINAL","✗  AVOID"))))</f>
        <v>✗  AVOID</v>
      </c>
    </row>
    <row r="152" customFormat="false" ht="15" hidden="false" customHeight="false" outlineLevel="0" collapsed="false">
      <c r="A152" s="137" t="n">
        <v>19.7</v>
      </c>
      <c r="B152" s="138" t="n">
        <f aca="false">IF(Calculator!$E$11="YES",IF(A152&lt;Calculator!$G$11,0,MIN(MIN(MOD(A152/Calculator!$F$11,1),1-MOD(A152/Calculator!$F$11,1)),ABS(MOD(A152/Calculator!$F$11,1)-0.5))),1)</f>
        <v>0</v>
      </c>
      <c r="C152" s="138" t="n">
        <f aca="false">IF(Calculator!$E$12="YES",IF(A152&lt;Calculator!$G$12,0,MIN(MIN(MOD(A152/Calculator!$F$12,1),1-MOD(A152/Calculator!$F$12,1)),ABS(MOD(A152/Calculator!$F$12,1)-0.5))),1)</f>
        <v>0.00459649122807015</v>
      </c>
      <c r="D152" s="138" t="n">
        <f aca="false">IF(Calculator!$E$13="YES",IF(A152&lt;Calculator!$G$13,0,MIN(MIN(MOD(A152/Calculator!$F$13,1),1-MOD(A152/Calculator!$F$13,1)),ABS(MOD(A152/Calculator!$F$13,1)-0.5))),1)</f>
        <v>0.240858245614035</v>
      </c>
      <c r="E152" s="138" t="n">
        <f aca="false">IF(Calculator!$E$14="YES",IF(A152&lt;Calculator!$G$14,0,MIN(MIN(MOD(A152/Calculator!$F$14,1),1-MOD(A152/Calculator!$F$14,1)),ABS(MOD(A152/Calculator!$F$14,1)-0.5))),1)</f>
        <v>0.0115438596491229</v>
      </c>
      <c r="F152" s="138" t="n">
        <f aca="false">IF(Calculator!$E$15="YES",IF(A152&lt;Calculator!$G$15,0,MIN(MIN(MOD(A152/Calculator!$F$15,1),1-MOD(A152/Calculator!$F$15,1)),ABS(MOD(A152/Calculator!$F$15,1)-0.5))),1)</f>
        <v>0.100263157894737</v>
      </c>
      <c r="G152" s="138" t="n">
        <f aca="false">IF(Calculator!$E$16="YES",IF(A152&lt;Calculator!$G$16,0,MIN(MIN(MOD(A152/Calculator!$F$16,1),1-MOD(A152/Calculator!$F$16,1)),ABS(MOD(A152/Calculator!$F$16,1)-0.5))),1)</f>
        <v>0.0403684210526314</v>
      </c>
      <c r="H152" s="138" t="n">
        <f aca="false">IF(Calculator!$E$17="YES",IF(A152&lt;Calculator!$G$17,0,MIN(MIN(MOD(A152/Calculator!$F$17,1),1-MOD(A152/Calculator!$F$17,1)),ABS(MOD(A152/Calculator!$F$17,1)-0.5))),1)</f>
        <v>0.00473403508771941</v>
      </c>
      <c r="I152" s="138" t="n">
        <f aca="false">IF(Calculator!$E$18="YES",IF(A152&lt;Calculator!$G$18,0,MIN(MIN(MOD(A152/Calculator!$F$18,1),1-MOD(A152/Calculator!$F$18,1)),ABS(MOD(A152/Calculator!$F$18,1)-0.5))),1)</f>
        <v>0.0657368421052631</v>
      </c>
      <c r="J152" s="138" t="n">
        <f aca="false">IF(Calculator!$E$19="YES",IF(A152&lt;Calculator!$G$19,0,MIN(MIN(MOD(A152/Calculator!$F$19,1),1-MOD(A152/Calculator!$F$19,1)),ABS(MOD(A152/Calculator!$F$19,1)-0.5))),1)</f>
        <v>0.0521543859649132</v>
      </c>
      <c r="K152" s="138" t="n">
        <f aca="false">IF(Calculator!$E$20="YES",IF(A152&lt;Calculator!$G$20,0,MIN(MIN(MOD(A152/Calculator!$F$20,1),1-MOD(A152/Calculator!$F$20,1)),ABS(MOD(A152/Calculator!$F$20,1)-0.5))),1)</f>
        <v>0.0116140350877196</v>
      </c>
      <c r="L152" s="138" t="n">
        <f aca="false">IF(Calculator!$E$21="YES",IF(A152&lt;Calculator!$G$21,0,MIN(MIN(MOD(A152/Calculator!$F$21,1),1-MOD(A152/Calculator!$F$21,1)),ABS(MOD(A152/Calculator!$F$21,1)-0.5))),1)</f>
        <v>0.188771929824561</v>
      </c>
      <c r="M152" s="138" t="n">
        <f aca="false">MIN(B152:L152)</f>
        <v>0</v>
      </c>
      <c r="N152" s="138" t="n">
        <f aca="false">SUMPRODUCT(($M$5:$M$555&gt;M152)*1)+SUMPRODUCT(($M$5:$M$555=M152)*(ROW($M$5:$M$555)&lt;ROW(M152)))+1</f>
        <v>373</v>
      </c>
      <c r="O152" s="138" t="str">
        <f aca="false">IF(M152&gt;=0.2,"★★★ EXCELLENT",IF(M152&gt;=0.12,"★★  GOOD",IF(M152&gt;=0.07,"★  FAIR",IF(M152&gt;=0.025,"⚠  MARGINAL","✗  AVOID"))))</f>
        <v>✗  AVOID</v>
      </c>
    </row>
    <row r="153" customFormat="false" ht="15" hidden="false" customHeight="false" outlineLevel="0" collapsed="false">
      <c r="A153" s="135" t="n">
        <v>19.8</v>
      </c>
      <c r="B153" s="136" t="n">
        <f aca="false">IF(Calculator!$E$11="YES",IF(A153&lt;Calculator!$G$11,0,MIN(MIN(MOD(A153/Calculator!$F$11,1),1-MOD(A153/Calculator!$F$11,1)),ABS(MOD(A153/Calculator!$F$11,1)-0.5))),1)</f>
        <v>0</v>
      </c>
      <c r="C153" s="136" t="n">
        <f aca="false">IF(Calculator!$E$12="YES",IF(A153&lt;Calculator!$G$12,0,MIN(MIN(MOD(A153/Calculator!$F$12,1),1-MOD(A153/Calculator!$F$12,1)),ABS(MOD(A153/Calculator!$F$12,1)-0.5))),1)</f>
        <v>0.00715789473684214</v>
      </c>
      <c r="D153" s="136" t="n">
        <f aca="false">IF(Calculator!$E$13="YES",IF(A153&lt;Calculator!$G$13,0,MIN(MIN(MOD(A153/Calculator!$F$13,1),1-MOD(A153/Calculator!$F$13,1)),ABS(MOD(A153/Calculator!$F$13,1)-0.5))),1)</f>
        <v>0.244618947368421</v>
      </c>
      <c r="E153" s="136" t="n">
        <f aca="false">IF(Calculator!$E$14="YES",IF(A153&lt;Calculator!$G$14,0,MIN(MIN(MOD(A153/Calculator!$F$14,1),1-MOD(A153/Calculator!$F$14,1)),ABS(MOD(A153/Calculator!$F$14,1)-0.5))),1)</f>
        <v>0.0065263157894736</v>
      </c>
      <c r="F153" s="136" t="n">
        <f aca="false">IF(Calculator!$E$15="YES",IF(A153&lt;Calculator!$G$15,0,MIN(MIN(MOD(A153/Calculator!$F$15,1),1-MOD(A153/Calculator!$F$15,1)),ABS(MOD(A153/Calculator!$F$15,1)-0.5))),1)</f>
        <v>0.0931578947368421</v>
      </c>
      <c r="G153" s="136" t="n">
        <f aca="false">IF(Calculator!$E$16="YES",IF(A153&lt;Calculator!$G$16,0,MIN(MIN(MOD(A153/Calculator!$F$16,1),1-MOD(A153/Calculator!$F$16,1)),ABS(MOD(A153/Calculator!$F$16,1)-0.5))),1)</f>
        <v>0.0304210526315787</v>
      </c>
      <c r="H153" s="136" t="n">
        <f aca="false">IF(Calculator!$E$17="YES",IF(A153&lt;Calculator!$G$17,0,MIN(MIN(MOD(A153/Calculator!$F$17,1),1-MOD(A153/Calculator!$F$17,1)),ABS(MOD(A153/Calculator!$F$17,1)-0.5))),1)</f>
        <v>0.0174484210526318</v>
      </c>
      <c r="I153" s="136" t="n">
        <f aca="false">IF(Calculator!$E$18="YES",IF(A153&lt;Calculator!$G$18,0,MIN(MIN(MOD(A153/Calculator!$F$18,1),1-MOD(A153/Calculator!$F$18,1)),ABS(MOD(A153/Calculator!$F$18,1)-0.5))),1)</f>
        <v>0.0508421052631576</v>
      </c>
      <c r="J153" s="136" t="n">
        <f aca="false">IF(Calculator!$E$19="YES",IF(A153&lt;Calculator!$G$19,0,MIN(MIN(MOD(A153/Calculator!$F$19,1),1-MOD(A153/Calculator!$F$19,1)),ABS(MOD(A153/Calculator!$F$19,1)-0.5))),1)</f>
        <v>0.0346526315789477</v>
      </c>
      <c r="K153" s="136" t="n">
        <f aca="false">IF(Calculator!$E$20="YES",IF(A153&lt;Calculator!$G$20,0,MIN(MIN(MOD(A153/Calculator!$F$20,1),1-MOD(A153/Calculator!$F$20,1)),ABS(MOD(A153/Calculator!$F$20,1)-0.5))),1)</f>
        <v>0.00863157894736855</v>
      </c>
      <c r="L153" s="136" t="n">
        <f aca="false">IF(Calculator!$E$21="YES",IF(A153&lt;Calculator!$G$21,0,MIN(MIN(MOD(A153/Calculator!$F$21,1),1-MOD(A153/Calculator!$F$21,1)),ABS(MOD(A153/Calculator!$F$21,1)-0.5))),1)</f>
        <v>0.225263157894737</v>
      </c>
      <c r="M153" s="136" t="n">
        <f aca="false">MIN(B153:L153)</f>
        <v>0</v>
      </c>
      <c r="N153" s="136" t="n">
        <f aca="false">SUMPRODUCT(($M$5:$M$555&gt;M153)*1)+SUMPRODUCT(($M$5:$M$555=M153)*(ROW($M$5:$M$555)&lt;ROW(M153)))+1</f>
        <v>374</v>
      </c>
      <c r="O153" s="136" t="str">
        <f aca="false">IF(M153&gt;=0.2,"★★★ EXCELLENT",IF(M153&gt;=0.12,"★★  GOOD",IF(M153&gt;=0.07,"★  FAIR",IF(M153&gt;=0.025,"⚠  MARGINAL","✗  AVOID"))))</f>
        <v>✗  AVOID</v>
      </c>
    </row>
    <row r="154" customFormat="false" ht="15" hidden="false" customHeight="false" outlineLevel="0" collapsed="false">
      <c r="A154" s="137" t="n">
        <v>19.9</v>
      </c>
      <c r="B154" s="138" t="n">
        <f aca="false">IF(Calculator!$E$11="YES",IF(A154&lt;Calculator!$G$11,0,MIN(MIN(MOD(A154/Calculator!$F$11,1),1-MOD(A154/Calculator!$F$11,1)),ABS(MOD(A154/Calculator!$F$11,1)-0.5))),1)</f>
        <v>0</v>
      </c>
      <c r="C154" s="138" t="n">
        <f aca="false">IF(Calculator!$E$12="YES",IF(A154&lt;Calculator!$G$12,0,MIN(MIN(MOD(A154/Calculator!$F$12,1),1-MOD(A154/Calculator!$F$12,1)),ABS(MOD(A154/Calculator!$F$12,1)-0.5))),1)</f>
        <v>0.00971929824561402</v>
      </c>
      <c r="D154" s="138" t="n">
        <f aca="false">IF(Calculator!$E$13="YES",IF(A154&lt;Calculator!$G$13,0,MIN(MIN(MOD(A154/Calculator!$F$13,1),1-MOD(A154/Calculator!$F$13,1)),ABS(MOD(A154/Calculator!$F$13,1)-0.5))),1)</f>
        <v>0.248379649122807</v>
      </c>
      <c r="E154" s="138" t="n">
        <f aca="false">IF(Calculator!$E$14="YES",IF(A154&lt;Calculator!$G$14,0,MIN(MIN(MOD(A154/Calculator!$F$14,1),1-MOD(A154/Calculator!$F$14,1)),ABS(MOD(A154/Calculator!$F$14,1)-0.5))),1)</f>
        <v>0.00150877192982468</v>
      </c>
      <c r="F154" s="138" t="n">
        <f aca="false">IF(Calculator!$E$15="YES",IF(A154&lt;Calculator!$G$15,0,MIN(MIN(MOD(A154/Calculator!$F$15,1),1-MOD(A154/Calculator!$F$15,1)),ABS(MOD(A154/Calculator!$F$15,1)-0.5))),1)</f>
        <v>0.0860526315789476</v>
      </c>
      <c r="G154" s="138" t="n">
        <f aca="false">IF(Calculator!$E$16="YES",IF(A154&lt;Calculator!$G$16,0,MIN(MIN(MOD(A154/Calculator!$F$16,1),1-MOD(A154/Calculator!$F$16,1)),ABS(MOD(A154/Calculator!$F$16,1)-0.5))),1)</f>
        <v>0.0204736842105262</v>
      </c>
      <c r="H154" s="138" t="n">
        <f aca="false">IF(Calculator!$E$17="YES",IF(A154&lt;Calculator!$G$17,0,MIN(MIN(MOD(A154/Calculator!$F$17,1),1-MOD(A154/Calculator!$F$17,1)),ABS(MOD(A154/Calculator!$F$17,1)-0.5))),1)</f>
        <v>0.0301628070175441</v>
      </c>
      <c r="I154" s="138" t="n">
        <f aca="false">IF(Calculator!$E$18="YES",IF(A154&lt;Calculator!$G$18,0,MIN(MIN(MOD(A154/Calculator!$F$18,1),1-MOD(A154/Calculator!$F$18,1)),ABS(MOD(A154/Calculator!$F$18,1)-0.5))),1)</f>
        <v>0.035947368421053</v>
      </c>
      <c r="J154" s="138" t="n">
        <f aca="false">IF(Calculator!$E$19="YES",IF(A154&lt;Calculator!$G$19,0,MIN(MIN(MOD(A154/Calculator!$F$19,1),1-MOD(A154/Calculator!$F$19,1)),ABS(MOD(A154/Calculator!$F$19,1)-0.5))),1)</f>
        <v>0.0171508771929831</v>
      </c>
      <c r="K154" s="138" t="n">
        <f aca="false">IF(Calculator!$E$20="YES",IF(A154&lt;Calculator!$G$20,0,MIN(MIN(MOD(A154/Calculator!$F$20,1),1-MOD(A154/Calculator!$F$20,1)),ABS(MOD(A154/Calculator!$F$20,1)-0.5))),1)</f>
        <v>0.0288771929824554</v>
      </c>
      <c r="L154" s="138" t="n">
        <f aca="false">IF(Calculator!$E$21="YES",IF(A154&lt;Calculator!$G$21,0,MIN(MIN(MOD(A154/Calculator!$F$21,1),1-MOD(A154/Calculator!$F$21,1)),ABS(MOD(A154/Calculator!$F$21,1)-0.5))),1)</f>
        <v>0.238245614035089</v>
      </c>
      <c r="M154" s="138" t="n">
        <f aca="false">MIN(B154:L154)</f>
        <v>0</v>
      </c>
      <c r="N154" s="138" t="n">
        <f aca="false">SUMPRODUCT(($M$5:$M$555&gt;M154)*1)+SUMPRODUCT(($M$5:$M$555=M154)*(ROW($M$5:$M$555)&lt;ROW(M154)))+1</f>
        <v>375</v>
      </c>
      <c r="O154" s="138" t="str">
        <f aca="false">IF(M154&gt;=0.2,"★★★ EXCELLENT",IF(M154&gt;=0.12,"★★  GOOD",IF(M154&gt;=0.07,"★  FAIR",IF(M154&gt;=0.025,"⚠  MARGINAL","✗  AVOID"))))</f>
        <v>✗  AVOID</v>
      </c>
    </row>
    <row r="155" customFormat="false" ht="15" hidden="false" customHeight="false" outlineLevel="0" collapsed="false">
      <c r="A155" s="135" t="n">
        <v>20</v>
      </c>
      <c r="B155" s="136" t="n">
        <f aca="false">IF(Calculator!$E$11="YES",IF(A155&lt;Calculator!$G$11,0,MIN(MIN(MOD(A155/Calculator!$F$11,1),1-MOD(A155/Calculator!$F$11,1)),ABS(MOD(A155/Calculator!$F$11,1)-0.5))),1)</f>
        <v>0</v>
      </c>
      <c r="C155" s="136" t="n">
        <f aca="false">IF(Calculator!$E$12="YES",IF(A155&lt;Calculator!$G$12,0,MIN(MIN(MOD(A155/Calculator!$F$12,1),1-MOD(A155/Calculator!$F$12,1)),ABS(MOD(A155/Calculator!$F$12,1)-0.5))),1)</f>
        <v>0.012280701754386</v>
      </c>
      <c r="D155" s="136" t="n">
        <f aca="false">IF(Calculator!$E$13="YES",IF(A155&lt;Calculator!$G$13,0,MIN(MIN(MOD(A155/Calculator!$F$13,1),1-MOD(A155/Calculator!$F$13,1)),ABS(MOD(A155/Calculator!$F$13,1)-0.5))),1)</f>
        <v>0.247859649122807</v>
      </c>
      <c r="E155" s="136" t="n">
        <f aca="false">IF(Calculator!$E$14="YES",IF(A155&lt;Calculator!$G$14,0,MIN(MIN(MOD(A155/Calculator!$F$14,1),1-MOD(A155/Calculator!$F$14,1)),ABS(MOD(A155/Calculator!$F$14,1)-0.5))),1)</f>
        <v>0.00350877192982457</v>
      </c>
      <c r="F155" s="136" t="n">
        <f aca="false">IF(Calculator!$E$15="YES",IF(A155&lt;Calculator!$G$15,0,MIN(MIN(MOD(A155/Calculator!$F$15,1),1-MOD(A155/Calculator!$F$15,1)),ABS(MOD(A155/Calculator!$F$15,1)-0.5))),1)</f>
        <v>0.0789473684210527</v>
      </c>
      <c r="G155" s="136" t="n">
        <f aca="false">IF(Calculator!$E$16="YES",IF(A155&lt;Calculator!$G$16,0,MIN(MIN(MOD(A155/Calculator!$F$16,1),1-MOD(A155/Calculator!$F$16,1)),ABS(MOD(A155/Calculator!$F$16,1)-0.5))),1)</f>
        <v>0.0105263157894735</v>
      </c>
      <c r="H155" s="136" t="n">
        <f aca="false">IF(Calculator!$E$17="YES",IF(A155&lt;Calculator!$G$17,0,MIN(MIN(MOD(A155/Calculator!$F$17,1),1-MOD(A155/Calculator!$F$17,1)),ABS(MOD(A155/Calculator!$F$17,1)-0.5))),1)</f>
        <v>0.0428771929824565</v>
      </c>
      <c r="I155" s="136" t="n">
        <f aca="false">IF(Calculator!$E$18="YES",IF(A155&lt;Calculator!$G$18,0,MIN(MIN(MOD(A155/Calculator!$F$18,1),1-MOD(A155/Calculator!$F$18,1)),ABS(MOD(A155/Calculator!$F$18,1)-0.5))),1)</f>
        <v>0.0210526315789474</v>
      </c>
      <c r="J155" s="136" t="n">
        <f aca="false">IF(Calculator!$E$19="YES",IF(A155&lt;Calculator!$G$19,0,MIN(MIN(MOD(A155/Calculator!$F$19,1),1-MOD(A155/Calculator!$F$19,1)),ABS(MOD(A155/Calculator!$F$19,1)-0.5))),1)</f>
        <v>0.00035087719298188</v>
      </c>
      <c r="K155" s="136" t="n">
        <f aca="false">IF(Calculator!$E$20="YES",IF(A155&lt;Calculator!$G$20,0,MIN(MIN(MOD(A155/Calculator!$F$20,1),1-MOD(A155/Calculator!$F$20,1)),ABS(MOD(A155/Calculator!$F$20,1)-0.5))),1)</f>
        <v>0.049122807017544</v>
      </c>
      <c r="L155" s="136" t="n">
        <f aca="false">IF(Calculator!$E$21="YES",IF(A155&lt;Calculator!$G$21,0,MIN(MIN(MOD(A155/Calculator!$F$21,1),1-MOD(A155/Calculator!$F$21,1)),ABS(MOD(A155/Calculator!$F$21,1)-0.5))),1)</f>
        <v>0.201754385964913</v>
      </c>
      <c r="M155" s="136" t="n">
        <f aca="false">MIN(B155:L155)</f>
        <v>0</v>
      </c>
      <c r="N155" s="136" t="n">
        <f aca="false">SUMPRODUCT(($M$5:$M$555&gt;M155)*1)+SUMPRODUCT(($M$5:$M$555=M155)*(ROW($M$5:$M$555)&lt;ROW(M155)))+1</f>
        <v>376</v>
      </c>
      <c r="O155" s="136" t="str">
        <f aca="false">IF(M155&gt;=0.2,"★★★ EXCELLENT",IF(M155&gt;=0.12,"★★  GOOD",IF(M155&gt;=0.07,"★  FAIR",IF(M155&gt;=0.025,"⚠  MARGINAL","✗  AVOID"))))</f>
        <v>✗  AVOID</v>
      </c>
    </row>
    <row r="156" customFormat="false" ht="15" hidden="false" customHeight="false" outlineLevel="0" collapsed="false">
      <c r="A156" s="137" t="n">
        <v>20.1</v>
      </c>
      <c r="B156" s="138" t="n">
        <f aca="false">IF(Calculator!$E$11="YES",IF(A156&lt;Calculator!$G$11,0,MIN(MIN(MOD(A156/Calculator!$F$11,1),1-MOD(A156/Calculator!$F$11,1)),ABS(MOD(A156/Calculator!$F$11,1)-0.5))),1)</f>
        <v>0</v>
      </c>
      <c r="C156" s="138" t="n">
        <f aca="false">IF(Calculator!$E$12="YES",IF(A156&lt;Calculator!$G$12,0,MIN(MIN(MOD(A156/Calculator!$F$12,1),1-MOD(A156/Calculator!$F$12,1)),ABS(MOD(A156/Calculator!$F$12,1)-0.5))),1)</f>
        <v>0.014842105263158</v>
      </c>
      <c r="D156" s="138" t="n">
        <f aca="false">IF(Calculator!$E$13="YES",IF(A156&lt;Calculator!$G$13,0,MIN(MIN(MOD(A156/Calculator!$F$13,1),1-MOD(A156/Calculator!$F$13,1)),ABS(MOD(A156/Calculator!$F$13,1)-0.5))),1)</f>
        <v>0.244098947368421</v>
      </c>
      <c r="E156" s="138" t="n">
        <f aca="false">IF(Calculator!$E$14="YES",IF(A156&lt;Calculator!$G$14,0,MIN(MIN(MOD(A156/Calculator!$F$14,1),1-MOD(A156/Calculator!$F$14,1)),ABS(MOD(A156/Calculator!$F$14,1)-0.5))),1)</f>
        <v>0.00852631578947372</v>
      </c>
      <c r="F156" s="138" t="n">
        <f aca="false">IF(Calculator!$E$15="YES",IF(A156&lt;Calculator!$G$15,0,MIN(MIN(MOD(A156/Calculator!$F$15,1),1-MOD(A156/Calculator!$F$15,1)),ABS(MOD(A156/Calculator!$F$15,1)-0.5))),1)</f>
        <v>0.0718421052631579</v>
      </c>
      <c r="G156" s="138" t="n">
        <f aca="false">IF(Calculator!$E$16="YES",IF(A156&lt;Calculator!$G$16,0,MIN(MIN(MOD(A156/Calculator!$F$16,1),1-MOD(A156/Calculator!$F$16,1)),ABS(MOD(A156/Calculator!$F$16,1)-0.5))),1)</f>
        <v>0.00057894736842079</v>
      </c>
      <c r="H156" s="138" t="n">
        <f aca="false">IF(Calculator!$E$17="YES",IF(A156&lt;Calculator!$G$17,0,MIN(MIN(MOD(A156/Calculator!$F$17,1),1-MOD(A156/Calculator!$F$17,1)),ABS(MOD(A156/Calculator!$F$17,1)-0.5))),1)</f>
        <v>0.0555915789473689</v>
      </c>
      <c r="I156" s="138" t="n">
        <f aca="false">IF(Calculator!$E$18="YES",IF(A156&lt;Calculator!$G$18,0,MIN(MIN(MOD(A156/Calculator!$F$18,1),1-MOD(A156/Calculator!$F$18,1)),ABS(MOD(A156/Calculator!$F$18,1)-0.5))),1)</f>
        <v>0.00615789473684192</v>
      </c>
      <c r="J156" s="138" t="n">
        <f aca="false">IF(Calculator!$E$19="YES",IF(A156&lt;Calculator!$G$19,0,MIN(MIN(MOD(A156/Calculator!$F$19,1),1-MOD(A156/Calculator!$F$19,1)),ABS(MOD(A156/Calculator!$F$19,1)-0.5))),1)</f>
        <v>0.0178526315789469</v>
      </c>
      <c r="K156" s="138" t="n">
        <f aca="false">IF(Calculator!$E$20="YES",IF(A156&lt;Calculator!$G$20,0,MIN(MIN(MOD(A156/Calculator!$F$20,1),1-MOD(A156/Calculator!$F$20,1)),ABS(MOD(A156/Calculator!$F$20,1)-0.5))),1)</f>
        <v>0.0693684210526318</v>
      </c>
      <c r="L156" s="138" t="n">
        <f aca="false">IF(Calculator!$E$21="YES",IF(A156&lt;Calculator!$G$21,0,MIN(MIN(MOD(A156/Calculator!$F$21,1),1-MOD(A156/Calculator!$F$21,1)),ABS(MOD(A156/Calculator!$F$21,1)-0.5))),1)</f>
        <v>0.165263157894737</v>
      </c>
      <c r="M156" s="138" t="n">
        <f aca="false">MIN(B156:L156)</f>
        <v>0</v>
      </c>
      <c r="N156" s="138" t="n">
        <f aca="false">SUMPRODUCT(($M$5:$M$555&gt;M156)*1)+SUMPRODUCT(($M$5:$M$555=M156)*(ROW($M$5:$M$555)&lt;ROW(M156)))+1</f>
        <v>377</v>
      </c>
      <c r="O156" s="138" t="str">
        <f aca="false">IF(M156&gt;=0.2,"★★★ EXCELLENT",IF(M156&gt;=0.12,"★★  GOOD",IF(M156&gt;=0.07,"★  FAIR",IF(M156&gt;=0.025,"⚠  MARGINAL","✗  AVOID"))))</f>
        <v>✗  AVOID</v>
      </c>
    </row>
    <row r="157" customFormat="false" ht="15" hidden="false" customHeight="false" outlineLevel="0" collapsed="false">
      <c r="A157" s="135" t="n">
        <v>20.2</v>
      </c>
      <c r="B157" s="136" t="n">
        <f aca="false">IF(Calculator!$E$11="YES",IF(A157&lt;Calculator!$G$11,0,MIN(MIN(MOD(A157/Calculator!$F$11,1),1-MOD(A157/Calculator!$F$11,1)),ABS(MOD(A157/Calculator!$F$11,1)-0.5))),1)</f>
        <v>0</v>
      </c>
      <c r="C157" s="136" t="n">
        <f aca="false">IF(Calculator!$E$12="YES",IF(A157&lt;Calculator!$G$12,0,MIN(MIN(MOD(A157/Calculator!$F$12,1),1-MOD(A157/Calculator!$F$12,1)),ABS(MOD(A157/Calculator!$F$12,1)-0.5))),1)</f>
        <v>0.0174035087719299</v>
      </c>
      <c r="D157" s="136" t="n">
        <f aca="false">IF(Calculator!$E$13="YES",IF(A157&lt;Calculator!$G$13,0,MIN(MIN(MOD(A157/Calculator!$F$13,1),1-MOD(A157/Calculator!$F$13,1)),ABS(MOD(A157/Calculator!$F$13,1)-0.5))),1)</f>
        <v>0.240338245614035</v>
      </c>
      <c r="E157" s="136" t="n">
        <f aca="false">IF(Calculator!$E$14="YES",IF(A157&lt;Calculator!$G$14,0,MIN(MIN(MOD(A157/Calculator!$F$14,1),1-MOD(A157/Calculator!$F$14,1)),ABS(MOD(A157/Calculator!$F$14,1)-0.5))),1)</f>
        <v>0.0135438596491229</v>
      </c>
      <c r="F157" s="136" t="n">
        <f aca="false">IF(Calculator!$E$15="YES",IF(A157&lt;Calculator!$G$15,0,MIN(MIN(MOD(A157/Calculator!$F$15,1),1-MOD(A157/Calculator!$F$15,1)),ABS(MOD(A157/Calculator!$F$15,1)-0.5))),1)</f>
        <v>0.0647368421052632</v>
      </c>
      <c r="G157" s="136" t="n">
        <f aca="false">IF(Calculator!$E$16="YES",IF(A157&lt;Calculator!$G$16,0,MIN(MIN(MOD(A157/Calculator!$F$16,1),1-MOD(A157/Calculator!$F$16,1)),ABS(MOD(A157/Calculator!$F$16,1)-0.5))),1)</f>
        <v>0.00936842105263169</v>
      </c>
      <c r="H157" s="136" t="n">
        <f aca="false">IF(Calculator!$E$17="YES",IF(A157&lt;Calculator!$G$17,0,MIN(MIN(MOD(A157/Calculator!$F$17,1),1-MOD(A157/Calculator!$F$17,1)),ABS(MOD(A157/Calculator!$F$17,1)-0.5))),1)</f>
        <v>0.0683059649122808</v>
      </c>
      <c r="I157" s="136" t="n">
        <f aca="false">IF(Calculator!$E$18="YES",IF(A157&lt;Calculator!$G$18,0,MIN(MIN(MOD(A157/Calculator!$F$18,1),1-MOD(A157/Calculator!$F$18,1)),ABS(MOD(A157/Calculator!$F$18,1)-0.5))),1)</f>
        <v>0.00873684210526315</v>
      </c>
      <c r="J157" s="136" t="n">
        <f aca="false">IF(Calculator!$E$19="YES",IF(A157&lt;Calculator!$G$19,0,MIN(MIN(MOD(A157/Calculator!$F$19,1),1-MOD(A157/Calculator!$F$19,1)),ABS(MOD(A157/Calculator!$F$19,1)-0.5))),1)</f>
        <v>0.0353543859649115</v>
      </c>
      <c r="K157" s="136" t="n">
        <f aca="false">IF(Calculator!$E$20="YES",IF(A157&lt;Calculator!$G$20,0,MIN(MIN(MOD(A157/Calculator!$F$20,1),1-MOD(A157/Calculator!$F$20,1)),ABS(MOD(A157/Calculator!$F$20,1)-0.5))),1)</f>
        <v>0.0896140350877195</v>
      </c>
      <c r="L157" s="136" t="n">
        <f aca="false">IF(Calculator!$E$21="YES",IF(A157&lt;Calculator!$G$21,0,MIN(MIN(MOD(A157/Calculator!$F$21,1),1-MOD(A157/Calculator!$F$21,1)),ABS(MOD(A157/Calculator!$F$21,1)-0.5))),1)</f>
        <v>0.128771929824562</v>
      </c>
      <c r="M157" s="136" t="n">
        <f aca="false">MIN(B157:L157)</f>
        <v>0</v>
      </c>
      <c r="N157" s="136" t="n">
        <f aca="false">SUMPRODUCT(($M$5:$M$555&gt;M157)*1)+SUMPRODUCT(($M$5:$M$555=M157)*(ROW($M$5:$M$555)&lt;ROW(M157)))+1</f>
        <v>378</v>
      </c>
      <c r="O157" s="136" t="str">
        <f aca="false">IF(M157&gt;=0.2,"★★★ EXCELLENT",IF(M157&gt;=0.12,"★★  GOOD",IF(M157&gt;=0.07,"★  FAIR",IF(M157&gt;=0.025,"⚠  MARGINAL","✗  AVOID"))))</f>
        <v>✗  AVOID</v>
      </c>
    </row>
    <row r="158" customFormat="false" ht="15" hidden="false" customHeight="false" outlineLevel="0" collapsed="false">
      <c r="A158" s="137" t="n">
        <v>20.3</v>
      </c>
      <c r="B158" s="138" t="n">
        <f aca="false">IF(Calculator!$E$11="YES",IF(A158&lt;Calculator!$G$11,0,MIN(MIN(MOD(A158/Calculator!$F$11,1),1-MOD(A158/Calculator!$F$11,1)),ABS(MOD(A158/Calculator!$F$11,1)-0.5))),1)</f>
        <v>0</v>
      </c>
      <c r="C158" s="138" t="n">
        <f aca="false">IF(Calculator!$E$12="YES",IF(A158&lt;Calculator!$G$12,0,MIN(MIN(MOD(A158/Calculator!$F$12,1),1-MOD(A158/Calculator!$F$12,1)),ABS(MOD(A158/Calculator!$F$12,1)-0.5))),1)</f>
        <v>0.0199649122807017</v>
      </c>
      <c r="D158" s="138" t="n">
        <f aca="false">IF(Calculator!$E$13="YES",IF(A158&lt;Calculator!$G$13,0,MIN(MIN(MOD(A158/Calculator!$F$13,1),1-MOD(A158/Calculator!$F$13,1)),ABS(MOD(A158/Calculator!$F$13,1)-0.5))),1)</f>
        <v>0.236577543859649</v>
      </c>
      <c r="E158" s="138" t="n">
        <f aca="false">IF(Calculator!$E$14="YES",IF(A158&lt;Calculator!$G$14,0,MIN(MIN(MOD(A158/Calculator!$F$14,1),1-MOD(A158/Calculator!$F$14,1)),ABS(MOD(A158/Calculator!$F$14,1)-0.5))),1)</f>
        <v>0.018561403508772</v>
      </c>
      <c r="F158" s="138" t="n">
        <f aca="false">IF(Calculator!$E$15="YES",IF(A158&lt;Calculator!$G$15,0,MIN(MIN(MOD(A158/Calculator!$F$15,1),1-MOD(A158/Calculator!$F$15,1)),ABS(MOD(A158/Calculator!$F$15,1)-0.5))),1)</f>
        <v>0.0576315789473685</v>
      </c>
      <c r="G158" s="138" t="n">
        <f aca="false">IF(Calculator!$E$16="YES",IF(A158&lt;Calculator!$G$16,0,MIN(MIN(MOD(A158/Calculator!$F$16,1),1-MOD(A158/Calculator!$F$16,1)),ABS(MOD(A158/Calculator!$F$16,1)-0.5))),1)</f>
        <v>0.0193157894736844</v>
      </c>
      <c r="H158" s="138" t="n">
        <f aca="false">IF(Calculator!$E$17="YES",IF(A158&lt;Calculator!$G$17,0,MIN(MIN(MOD(A158/Calculator!$F$17,1),1-MOD(A158/Calculator!$F$17,1)),ABS(MOD(A158/Calculator!$F$17,1)-0.5))),1)</f>
        <v>0.0810203508771932</v>
      </c>
      <c r="I158" s="138" t="n">
        <f aca="false">IF(Calculator!$E$18="YES",IF(A158&lt;Calculator!$G$18,0,MIN(MIN(MOD(A158/Calculator!$F$18,1),1-MOD(A158/Calculator!$F$18,1)),ABS(MOD(A158/Calculator!$F$18,1)-0.5))),1)</f>
        <v>0.0236315789473687</v>
      </c>
      <c r="J158" s="138" t="n">
        <f aca="false">IF(Calculator!$E$19="YES",IF(A158&lt;Calculator!$G$19,0,MIN(MIN(MOD(A158/Calculator!$F$19,1),1-MOD(A158/Calculator!$F$19,1)),ABS(MOD(A158/Calculator!$F$19,1)-0.5))),1)</f>
        <v>0.0528561403508769</v>
      </c>
      <c r="K158" s="138" t="n">
        <f aca="false">IF(Calculator!$E$20="YES",IF(A158&lt;Calculator!$G$20,0,MIN(MIN(MOD(A158/Calculator!$F$20,1),1-MOD(A158/Calculator!$F$20,1)),ABS(MOD(A158/Calculator!$F$20,1)-0.5))),1)</f>
        <v>0.109859649122807</v>
      </c>
      <c r="L158" s="138" t="n">
        <f aca="false">IF(Calculator!$E$21="YES",IF(A158&lt;Calculator!$G$21,0,MIN(MIN(MOD(A158/Calculator!$F$21,1),1-MOD(A158/Calculator!$F$21,1)),ABS(MOD(A158/Calculator!$F$21,1)-0.5))),1)</f>
        <v>0.0922807017543859</v>
      </c>
      <c r="M158" s="138" t="n">
        <f aca="false">MIN(B158:L158)</f>
        <v>0</v>
      </c>
      <c r="N158" s="138" t="n">
        <f aca="false">SUMPRODUCT(($M$5:$M$555&gt;M158)*1)+SUMPRODUCT(($M$5:$M$555=M158)*(ROW($M$5:$M$555)&lt;ROW(M158)))+1</f>
        <v>379</v>
      </c>
      <c r="O158" s="138" t="str">
        <f aca="false">IF(M158&gt;=0.2,"★★★ EXCELLENT",IF(M158&gt;=0.12,"★★  GOOD",IF(M158&gt;=0.07,"★  FAIR",IF(M158&gt;=0.025,"⚠  MARGINAL","✗  AVOID"))))</f>
        <v>✗  AVOID</v>
      </c>
    </row>
    <row r="159" customFormat="false" ht="15" hidden="false" customHeight="false" outlineLevel="0" collapsed="false">
      <c r="A159" s="135" t="n">
        <v>20.4</v>
      </c>
      <c r="B159" s="136" t="n">
        <f aca="false">IF(Calculator!$E$11="YES",IF(A159&lt;Calculator!$G$11,0,MIN(MIN(MOD(A159/Calculator!$F$11,1),1-MOD(A159/Calculator!$F$11,1)),ABS(MOD(A159/Calculator!$F$11,1)-0.5))),1)</f>
        <v>0</v>
      </c>
      <c r="C159" s="136" t="n">
        <f aca="false">IF(Calculator!$E$12="YES",IF(A159&lt;Calculator!$G$12,0,MIN(MIN(MOD(A159/Calculator!$F$12,1),1-MOD(A159/Calculator!$F$12,1)),ABS(MOD(A159/Calculator!$F$12,1)-0.5))),1)</f>
        <v>0.0225263157894736</v>
      </c>
      <c r="D159" s="136" t="n">
        <f aca="false">IF(Calculator!$E$13="YES",IF(A159&lt;Calculator!$G$13,0,MIN(MIN(MOD(A159/Calculator!$F$13,1),1-MOD(A159/Calculator!$F$13,1)),ABS(MOD(A159/Calculator!$F$13,1)-0.5))),1)</f>
        <v>0.232816842105263</v>
      </c>
      <c r="E159" s="136" t="n">
        <f aca="false">IF(Calculator!$E$14="YES",IF(A159&lt;Calculator!$G$14,0,MIN(MIN(MOD(A159/Calculator!$F$14,1),1-MOD(A159/Calculator!$F$14,1)),ABS(MOD(A159/Calculator!$F$14,1)-0.5))),1)</f>
        <v>0.0235789473684209</v>
      </c>
      <c r="F159" s="136" t="n">
        <f aca="false">IF(Calculator!$E$15="YES",IF(A159&lt;Calculator!$G$15,0,MIN(MIN(MOD(A159/Calculator!$F$15,1),1-MOD(A159/Calculator!$F$15,1)),ABS(MOD(A159/Calculator!$F$15,1)-0.5))),1)</f>
        <v>0.0505263157894738</v>
      </c>
      <c r="G159" s="136" t="n">
        <f aca="false">IF(Calculator!$E$16="YES",IF(A159&lt;Calculator!$G$16,0,MIN(MIN(MOD(A159/Calculator!$F$16,1),1-MOD(A159/Calculator!$F$16,1)),ABS(MOD(A159/Calculator!$F$16,1)-0.5))),1)</f>
        <v>0.0292631578947367</v>
      </c>
      <c r="H159" s="136" t="n">
        <f aca="false">IF(Calculator!$E$17="YES",IF(A159&lt;Calculator!$G$17,0,MIN(MIN(MOD(A159/Calculator!$F$17,1),1-MOD(A159/Calculator!$F$17,1)),ABS(MOD(A159/Calculator!$F$17,1)-0.5))),1)</f>
        <v>0.0937347368421055</v>
      </c>
      <c r="I159" s="136" t="n">
        <f aca="false">IF(Calculator!$E$18="YES",IF(A159&lt;Calculator!$G$18,0,MIN(MIN(MOD(A159/Calculator!$F$18,1),1-MOD(A159/Calculator!$F$18,1)),ABS(MOD(A159/Calculator!$F$18,1)-0.5))),1)</f>
        <v>0.0385263157894737</v>
      </c>
      <c r="J159" s="136" t="n">
        <f aca="false">IF(Calculator!$E$19="YES",IF(A159&lt;Calculator!$G$19,0,MIN(MIN(MOD(A159/Calculator!$F$19,1),1-MOD(A159/Calculator!$F$19,1)),ABS(MOD(A159/Calculator!$F$19,1)-0.5))),1)</f>
        <v>0.0703578947368411</v>
      </c>
      <c r="K159" s="136" t="n">
        <f aca="false">IF(Calculator!$E$20="YES",IF(A159&lt;Calculator!$G$20,0,MIN(MIN(MOD(A159/Calculator!$F$20,1),1-MOD(A159/Calculator!$F$20,1)),ABS(MOD(A159/Calculator!$F$20,1)-0.5))),1)</f>
        <v>0.130105263157894</v>
      </c>
      <c r="L159" s="136" t="n">
        <f aca="false">IF(Calculator!$E$21="YES",IF(A159&lt;Calculator!$G$21,0,MIN(MIN(MOD(A159/Calculator!$F$21,1),1-MOD(A159/Calculator!$F$21,1)),ABS(MOD(A159/Calculator!$F$21,1)-0.5))),1)</f>
        <v>0.0557894736842108</v>
      </c>
      <c r="M159" s="136" t="n">
        <f aca="false">MIN(B159:L159)</f>
        <v>0</v>
      </c>
      <c r="N159" s="136" t="n">
        <f aca="false">SUMPRODUCT(($M$5:$M$555&gt;M159)*1)+SUMPRODUCT(($M$5:$M$555=M159)*(ROW($M$5:$M$555)&lt;ROW(M159)))+1</f>
        <v>380</v>
      </c>
      <c r="O159" s="136" t="str">
        <f aca="false">IF(M159&gt;=0.2,"★★★ EXCELLENT",IF(M159&gt;=0.12,"★★  GOOD",IF(M159&gt;=0.07,"★  FAIR",IF(M159&gt;=0.025,"⚠  MARGINAL","✗  AVOID"))))</f>
        <v>✗  AVOID</v>
      </c>
    </row>
    <row r="160" customFormat="false" ht="15" hidden="false" customHeight="false" outlineLevel="0" collapsed="false">
      <c r="A160" s="137" t="n">
        <v>20.5</v>
      </c>
      <c r="B160" s="138" t="n">
        <f aca="false">IF(Calculator!$E$11="YES",IF(A160&lt;Calculator!$G$11,0,MIN(MIN(MOD(A160/Calculator!$F$11,1),1-MOD(A160/Calculator!$F$11,1)),ABS(MOD(A160/Calculator!$F$11,1)-0.5))),1)</f>
        <v>0</v>
      </c>
      <c r="C160" s="138" t="n">
        <f aca="false">IF(Calculator!$E$12="YES",IF(A160&lt;Calculator!$G$12,0,MIN(MIN(MOD(A160/Calculator!$F$12,1),1-MOD(A160/Calculator!$F$12,1)),ABS(MOD(A160/Calculator!$F$12,1)-0.5))),1)</f>
        <v>0.0250877192982456</v>
      </c>
      <c r="D160" s="138" t="n">
        <f aca="false">IF(Calculator!$E$13="YES",IF(A160&lt;Calculator!$G$13,0,MIN(MIN(MOD(A160/Calculator!$F$13,1),1-MOD(A160/Calculator!$F$13,1)),ABS(MOD(A160/Calculator!$F$13,1)-0.5))),1)</f>
        <v>0.229056140350877</v>
      </c>
      <c r="E160" s="138" t="n">
        <f aca="false">IF(Calculator!$E$14="YES",IF(A160&lt;Calculator!$G$14,0,MIN(MIN(MOD(A160/Calculator!$F$14,1),1-MOD(A160/Calculator!$F$14,1)),ABS(MOD(A160/Calculator!$F$14,1)-0.5))),1)</f>
        <v>0.0285964912280703</v>
      </c>
      <c r="F160" s="138" t="n">
        <f aca="false">IF(Calculator!$E$15="YES",IF(A160&lt;Calculator!$G$15,0,MIN(MIN(MOD(A160/Calculator!$F$15,1),1-MOD(A160/Calculator!$F$15,1)),ABS(MOD(A160/Calculator!$F$15,1)-0.5))),1)</f>
        <v>0.043421052631579</v>
      </c>
      <c r="G160" s="138" t="n">
        <f aca="false">IF(Calculator!$E$16="YES",IF(A160&lt;Calculator!$G$16,0,MIN(MIN(MOD(A160/Calculator!$F$16,1),1-MOD(A160/Calculator!$F$16,1)),ABS(MOD(A160/Calculator!$F$16,1)-0.5))),1)</f>
        <v>0.0392105263157898</v>
      </c>
      <c r="H160" s="138" t="n">
        <f aca="false">IF(Calculator!$E$17="YES",IF(A160&lt;Calculator!$G$17,0,MIN(MIN(MOD(A160/Calculator!$F$17,1),1-MOD(A160/Calculator!$F$17,1)),ABS(MOD(A160/Calculator!$F$17,1)-0.5))),1)</f>
        <v>0.106449122807018</v>
      </c>
      <c r="I160" s="138" t="n">
        <f aca="false">IF(Calculator!$E$18="YES",IF(A160&lt;Calculator!$G$18,0,MIN(MIN(MOD(A160/Calculator!$F$18,1),1-MOD(A160/Calculator!$F$18,1)),ABS(MOD(A160/Calculator!$F$18,1)-0.5))),1)</f>
        <v>0.0534210526315793</v>
      </c>
      <c r="J160" s="138" t="n">
        <f aca="false">IF(Calculator!$E$19="YES",IF(A160&lt;Calculator!$G$19,0,MIN(MIN(MOD(A160/Calculator!$F$19,1),1-MOD(A160/Calculator!$F$19,1)),ABS(MOD(A160/Calculator!$F$19,1)-0.5))),1)</f>
        <v>0.0878596491228065</v>
      </c>
      <c r="K160" s="138" t="n">
        <f aca="false">IF(Calculator!$E$20="YES",IF(A160&lt;Calculator!$G$20,0,MIN(MIN(MOD(A160/Calculator!$F$20,1),1-MOD(A160/Calculator!$F$20,1)),ABS(MOD(A160/Calculator!$F$20,1)-0.5))),1)</f>
        <v>0.150350877192983</v>
      </c>
      <c r="L160" s="138" t="n">
        <f aca="false">IF(Calculator!$E$21="YES",IF(A160&lt;Calculator!$G$21,0,MIN(MIN(MOD(A160/Calculator!$F$21,1),1-MOD(A160/Calculator!$F$21,1)),ABS(MOD(A160/Calculator!$F$21,1)-0.5))),1)</f>
        <v>0.0192982456140349</v>
      </c>
      <c r="M160" s="138" t="n">
        <f aca="false">MIN(B160:L160)</f>
        <v>0</v>
      </c>
      <c r="N160" s="138" t="n">
        <f aca="false">SUMPRODUCT(($M$5:$M$555&gt;M160)*1)+SUMPRODUCT(($M$5:$M$555=M160)*(ROW($M$5:$M$555)&lt;ROW(M160)))+1</f>
        <v>381</v>
      </c>
      <c r="O160" s="138" t="str">
        <f aca="false">IF(M160&gt;=0.2,"★★★ EXCELLENT",IF(M160&gt;=0.12,"★★  GOOD",IF(M160&gt;=0.07,"★  FAIR",IF(M160&gt;=0.025,"⚠  MARGINAL","✗  AVOID"))))</f>
        <v>✗  AVOID</v>
      </c>
    </row>
    <row r="161" customFormat="false" ht="15" hidden="false" customHeight="false" outlineLevel="0" collapsed="false">
      <c r="A161" s="135" t="n">
        <v>20.6</v>
      </c>
      <c r="B161" s="136" t="n">
        <f aca="false">IF(Calculator!$E$11="YES",IF(A161&lt;Calculator!$G$11,0,MIN(MIN(MOD(A161/Calculator!$F$11,1),1-MOD(A161/Calculator!$F$11,1)),ABS(MOD(A161/Calculator!$F$11,1)-0.5))),1)</f>
        <v>0</v>
      </c>
      <c r="C161" s="136" t="n">
        <f aca="false">IF(Calculator!$E$12="YES",IF(A161&lt;Calculator!$G$12,0,MIN(MIN(MOD(A161/Calculator!$F$12,1),1-MOD(A161/Calculator!$F$12,1)),ABS(MOD(A161/Calculator!$F$12,1)-0.5))),1)</f>
        <v>0.0276491228070176</v>
      </c>
      <c r="D161" s="136" t="n">
        <f aca="false">IF(Calculator!$E$13="YES",IF(A161&lt;Calculator!$G$13,0,MIN(MIN(MOD(A161/Calculator!$F$13,1),1-MOD(A161/Calculator!$F$13,1)),ABS(MOD(A161/Calculator!$F$13,1)-0.5))),1)</f>
        <v>0.225295438596491</v>
      </c>
      <c r="E161" s="136" t="n">
        <f aca="false">IF(Calculator!$E$14="YES",IF(A161&lt;Calculator!$G$14,0,MIN(MIN(MOD(A161/Calculator!$F$14,1),1-MOD(A161/Calculator!$F$14,1)),ABS(MOD(A161/Calculator!$F$14,1)-0.5))),1)</f>
        <v>0.0336140350877194</v>
      </c>
      <c r="F161" s="136" t="n">
        <f aca="false">IF(Calculator!$E$15="YES",IF(A161&lt;Calculator!$G$15,0,MIN(MIN(MOD(A161/Calculator!$F$15,1),1-MOD(A161/Calculator!$F$15,1)),ABS(MOD(A161/Calculator!$F$15,1)-0.5))),1)</f>
        <v>0.0363157894736841</v>
      </c>
      <c r="G161" s="136" t="n">
        <f aca="false">IF(Calculator!$E$16="YES",IF(A161&lt;Calculator!$G$16,0,MIN(MIN(MOD(A161/Calculator!$F$16,1),1-MOD(A161/Calculator!$F$16,1)),ABS(MOD(A161/Calculator!$F$16,1)-0.5))),1)</f>
        <v>0.0491578947368425</v>
      </c>
      <c r="H161" s="136" t="n">
        <f aca="false">IF(Calculator!$E$17="YES",IF(A161&lt;Calculator!$G$17,0,MIN(MIN(MOD(A161/Calculator!$F$17,1),1-MOD(A161/Calculator!$F$17,1)),ABS(MOD(A161/Calculator!$F$17,1)-0.5))),1)</f>
        <v>0.11916350877193</v>
      </c>
      <c r="I161" s="136" t="n">
        <f aca="false">IF(Calculator!$E$18="YES",IF(A161&lt;Calculator!$G$18,0,MIN(MIN(MOD(A161/Calculator!$F$18,1),1-MOD(A161/Calculator!$F$18,1)),ABS(MOD(A161/Calculator!$F$18,1)-0.5))),1)</f>
        <v>0.0683157894736843</v>
      </c>
      <c r="J161" s="136" t="n">
        <f aca="false">IF(Calculator!$E$19="YES",IF(A161&lt;Calculator!$G$19,0,MIN(MIN(MOD(A161/Calculator!$F$19,1),1-MOD(A161/Calculator!$F$19,1)),ABS(MOD(A161/Calculator!$F$19,1)-0.5))),1)</f>
        <v>0.105361403508772</v>
      </c>
      <c r="K161" s="136" t="n">
        <f aca="false">IF(Calculator!$E$20="YES",IF(A161&lt;Calculator!$G$20,0,MIN(MIN(MOD(A161/Calculator!$F$20,1),1-MOD(A161/Calculator!$F$20,1)),ABS(MOD(A161/Calculator!$F$20,1)-0.5))),1)</f>
        <v>0.17059649122807</v>
      </c>
      <c r="L161" s="136" t="n">
        <f aca="false">IF(Calculator!$E$21="YES",IF(A161&lt;Calculator!$G$21,0,MIN(MIN(MOD(A161/Calculator!$F$21,1),1-MOD(A161/Calculator!$F$21,1)),ABS(MOD(A161/Calculator!$F$21,1)-0.5))),1)</f>
        <v>0.017192982456141</v>
      </c>
      <c r="M161" s="136" t="n">
        <f aca="false">MIN(B161:L161)</f>
        <v>0</v>
      </c>
      <c r="N161" s="136" t="n">
        <f aca="false">SUMPRODUCT(($M$5:$M$555&gt;M161)*1)+SUMPRODUCT(($M$5:$M$555=M161)*(ROW($M$5:$M$555)&lt;ROW(M161)))+1</f>
        <v>382</v>
      </c>
      <c r="O161" s="136" t="str">
        <f aca="false">IF(M161&gt;=0.2,"★★★ EXCELLENT",IF(M161&gt;=0.12,"★★  GOOD",IF(M161&gt;=0.07,"★  FAIR",IF(M161&gt;=0.025,"⚠  MARGINAL","✗  AVOID"))))</f>
        <v>✗  AVOID</v>
      </c>
    </row>
    <row r="162" customFormat="false" ht="15" hidden="false" customHeight="false" outlineLevel="0" collapsed="false">
      <c r="A162" s="137" t="n">
        <v>20.7</v>
      </c>
      <c r="B162" s="138" t="n">
        <f aca="false">IF(Calculator!$E$11="YES",IF(A162&lt;Calculator!$G$11,0,MIN(MIN(MOD(A162/Calculator!$F$11,1),1-MOD(A162/Calculator!$F$11,1)),ABS(MOD(A162/Calculator!$F$11,1)-0.5))),1)</f>
        <v>0</v>
      </c>
      <c r="C162" s="138" t="n">
        <f aca="false">IF(Calculator!$E$12="YES",IF(A162&lt;Calculator!$G$12,0,MIN(MIN(MOD(A162/Calculator!$F$12,1),1-MOD(A162/Calculator!$F$12,1)),ABS(MOD(A162/Calculator!$F$12,1)-0.5))),1)</f>
        <v>0.0302105263157895</v>
      </c>
      <c r="D162" s="138" t="n">
        <f aca="false">IF(Calculator!$E$13="YES",IF(A162&lt;Calculator!$G$13,0,MIN(MIN(MOD(A162/Calculator!$F$13,1),1-MOD(A162/Calculator!$F$13,1)),ABS(MOD(A162/Calculator!$F$13,1)-0.5))),1)</f>
        <v>0.221534736842105</v>
      </c>
      <c r="E162" s="138" t="n">
        <f aca="false">IF(Calculator!$E$14="YES",IF(A162&lt;Calculator!$G$14,0,MIN(MIN(MOD(A162/Calculator!$F$14,1),1-MOD(A162/Calculator!$F$14,1)),ABS(MOD(A162/Calculator!$F$14,1)-0.5))),1)</f>
        <v>0.0386315789473684</v>
      </c>
      <c r="F162" s="138" t="n">
        <f aca="false">IF(Calculator!$E$15="YES",IF(A162&lt;Calculator!$G$15,0,MIN(MIN(MOD(A162/Calculator!$F$15,1),1-MOD(A162/Calculator!$F$15,1)),ABS(MOD(A162/Calculator!$F$15,1)-0.5))),1)</f>
        <v>0.0292105263157896</v>
      </c>
      <c r="G162" s="138" t="n">
        <f aca="false">IF(Calculator!$E$16="YES",IF(A162&lt;Calculator!$G$16,0,MIN(MIN(MOD(A162/Calculator!$F$16,1),1-MOD(A162/Calculator!$F$16,1)),ABS(MOD(A162/Calculator!$F$16,1)-0.5))),1)</f>
        <v>0.0591052631578948</v>
      </c>
      <c r="H162" s="138" t="n">
        <f aca="false">IF(Calculator!$E$17="YES",IF(A162&lt;Calculator!$G$17,0,MIN(MIN(MOD(A162/Calculator!$F$17,1),1-MOD(A162/Calculator!$F$17,1)),ABS(MOD(A162/Calculator!$F$17,1)-0.5))),1)</f>
        <v>0.131877894736842</v>
      </c>
      <c r="I162" s="138" t="n">
        <f aca="false">IF(Calculator!$E$18="YES",IF(A162&lt;Calculator!$G$18,0,MIN(MIN(MOD(A162/Calculator!$F$18,1),1-MOD(A162/Calculator!$F$18,1)),ABS(MOD(A162/Calculator!$F$18,1)-0.5))),1)</f>
        <v>0.0832105263157894</v>
      </c>
      <c r="J162" s="138" t="n">
        <f aca="false">IF(Calculator!$E$19="YES",IF(A162&lt;Calculator!$G$19,0,MIN(MIN(MOD(A162/Calculator!$F$19,1),1-MOD(A162/Calculator!$F$19,1)),ABS(MOD(A162/Calculator!$F$19,1)-0.5))),1)</f>
        <v>0.122863157894736</v>
      </c>
      <c r="K162" s="138" t="n">
        <f aca="false">IF(Calculator!$E$20="YES",IF(A162&lt;Calculator!$G$20,0,MIN(MIN(MOD(A162/Calculator!$F$20,1),1-MOD(A162/Calculator!$F$20,1)),ABS(MOD(A162/Calculator!$F$20,1)-0.5))),1)</f>
        <v>0.190842105263157</v>
      </c>
      <c r="L162" s="138" t="n">
        <f aca="false">IF(Calculator!$E$21="YES",IF(A162&lt;Calculator!$G$21,0,MIN(MIN(MOD(A162/Calculator!$F$21,1),1-MOD(A162/Calculator!$F$21,1)),ABS(MOD(A162/Calculator!$F$21,1)-0.5))),1)</f>
        <v>0.0536842105263151</v>
      </c>
      <c r="M162" s="138" t="n">
        <f aca="false">MIN(B162:L162)</f>
        <v>0</v>
      </c>
      <c r="N162" s="138" t="n">
        <f aca="false">SUMPRODUCT(($M$5:$M$555&gt;M162)*1)+SUMPRODUCT(($M$5:$M$555=M162)*(ROW($M$5:$M$555)&lt;ROW(M162)))+1</f>
        <v>383</v>
      </c>
      <c r="O162" s="138" t="str">
        <f aca="false">IF(M162&gt;=0.2,"★★★ EXCELLENT",IF(M162&gt;=0.12,"★★  GOOD",IF(M162&gt;=0.07,"★  FAIR",IF(M162&gt;=0.025,"⚠  MARGINAL","✗  AVOID"))))</f>
        <v>✗  AVOID</v>
      </c>
    </row>
    <row r="163" customFormat="false" ht="15" hidden="false" customHeight="false" outlineLevel="0" collapsed="false">
      <c r="A163" s="135" t="n">
        <v>20.8</v>
      </c>
      <c r="B163" s="136" t="n">
        <f aca="false">IF(Calculator!$E$11="YES",IF(A163&lt;Calculator!$G$11,0,MIN(MIN(MOD(A163/Calculator!$F$11,1),1-MOD(A163/Calculator!$F$11,1)),ABS(MOD(A163/Calculator!$F$11,1)-0.5))),1)</f>
        <v>0</v>
      </c>
      <c r="C163" s="136" t="n">
        <f aca="false">IF(Calculator!$E$12="YES",IF(A163&lt;Calculator!$G$12,0,MIN(MIN(MOD(A163/Calculator!$F$12,1),1-MOD(A163/Calculator!$F$12,1)),ABS(MOD(A163/Calculator!$F$12,1)-0.5))),1)</f>
        <v>0.0327719298245615</v>
      </c>
      <c r="D163" s="136" t="n">
        <f aca="false">IF(Calculator!$E$13="YES",IF(A163&lt;Calculator!$G$13,0,MIN(MIN(MOD(A163/Calculator!$F$13,1),1-MOD(A163/Calculator!$F$13,1)),ABS(MOD(A163/Calculator!$F$13,1)-0.5))),1)</f>
        <v>0.217774035087719</v>
      </c>
      <c r="E163" s="136" t="n">
        <f aca="false">IF(Calculator!$E$14="YES",IF(A163&lt;Calculator!$G$14,0,MIN(MIN(MOD(A163/Calculator!$F$14,1),1-MOD(A163/Calculator!$F$14,1)),ABS(MOD(A163/Calculator!$F$14,1)-0.5))),1)</f>
        <v>0.0436491228070175</v>
      </c>
      <c r="F163" s="136" t="n">
        <f aca="false">IF(Calculator!$E$15="YES",IF(A163&lt;Calculator!$G$15,0,MIN(MIN(MOD(A163/Calculator!$F$15,1),1-MOD(A163/Calculator!$F$15,1)),ABS(MOD(A163/Calculator!$F$15,1)-0.5))),1)</f>
        <v>0.0221052631578946</v>
      </c>
      <c r="G163" s="136" t="n">
        <f aca="false">IF(Calculator!$E$16="YES",IF(A163&lt;Calculator!$G$16,0,MIN(MIN(MOD(A163/Calculator!$F$16,1),1-MOD(A163/Calculator!$F$16,1)),ABS(MOD(A163/Calculator!$F$16,1)-0.5))),1)</f>
        <v>0.0690526315789475</v>
      </c>
      <c r="H163" s="136" t="n">
        <f aca="false">IF(Calculator!$E$17="YES",IF(A163&lt;Calculator!$G$17,0,MIN(MIN(MOD(A163/Calculator!$F$17,1),1-MOD(A163/Calculator!$F$17,1)),ABS(MOD(A163/Calculator!$F$17,1)-0.5))),1)</f>
        <v>0.144592280701755</v>
      </c>
      <c r="I163" s="136" t="n">
        <f aca="false">IF(Calculator!$E$18="YES",IF(A163&lt;Calculator!$G$18,0,MIN(MIN(MOD(A163/Calculator!$F$18,1),1-MOD(A163/Calculator!$F$18,1)),ABS(MOD(A163/Calculator!$F$18,1)-0.5))),1)</f>
        <v>0.0981052631578949</v>
      </c>
      <c r="J163" s="136" t="n">
        <f aca="false">IF(Calculator!$E$19="YES",IF(A163&lt;Calculator!$G$19,0,MIN(MIN(MOD(A163/Calculator!$F$19,1),1-MOD(A163/Calculator!$F$19,1)),ABS(MOD(A163/Calculator!$F$19,1)-0.5))),1)</f>
        <v>0.140364912280701</v>
      </c>
      <c r="K163" s="136" t="n">
        <f aca="false">IF(Calculator!$E$20="YES",IF(A163&lt;Calculator!$G$20,0,MIN(MIN(MOD(A163/Calculator!$F$20,1),1-MOD(A163/Calculator!$F$20,1)),ABS(MOD(A163/Calculator!$F$20,1)-0.5))),1)</f>
        <v>0.211087719298246</v>
      </c>
      <c r="L163" s="136" t="n">
        <f aca="false">IF(Calculator!$E$21="YES",IF(A163&lt;Calculator!$G$21,0,MIN(MIN(MOD(A163/Calculator!$F$21,1),1-MOD(A163/Calculator!$F$21,1)),ABS(MOD(A163/Calculator!$F$21,1)-0.5))),1)</f>
        <v>0.090175438596491</v>
      </c>
      <c r="M163" s="136" t="n">
        <f aca="false">MIN(B163:L163)</f>
        <v>0</v>
      </c>
      <c r="N163" s="136" t="n">
        <f aca="false">SUMPRODUCT(($M$5:$M$555&gt;M163)*1)+SUMPRODUCT(($M$5:$M$555=M163)*(ROW($M$5:$M$555)&lt;ROW(M163)))+1</f>
        <v>384</v>
      </c>
      <c r="O163" s="136" t="str">
        <f aca="false">IF(M163&gt;=0.2,"★★★ EXCELLENT",IF(M163&gt;=0.12,"★★  GOOD",IF(M163&gt;=0.07,"★  FAIR",IF(M163&gt;=0.025,"⚠  MARGINAL","✗  AVOID"))))</f>
        <v>✗  AVOID</v>
      </c>
    </row>
    <row r="164" customFormat="false" ht="15" hidden="false" customHeight="false" outlineLevel="0" collapsed="false">
      <c r="A164" s="137" t="n">
        <v>20.9</v>
      </c>
      <c r="B164" s="138" t="n">
        <f aca="false">IF(Calculator!$E$11="YES",IF(A164&lt;Calculator!$G$11,0,MIN(MIN(MOD(A164/Calculator!$F$11,1),1-MOD(A164/Calculator!$F$11,1)),ABS(MOD(A164/Calculator!$F$11,1)-0.5))),1)</f>
        <v>0</v>
      </c>
      <c r="C164" s="138" t="n">
        <f aca="false">IF(Calculator!$E$12="YES",IF(A164&lt;Calculator!$G$12,0,MIN(MIN(MOD(A164/Calculator!$F$12,1),1-MOD(A164/Calculator!$F$12,1)),ABS(MOD(A164/Calculator!$F$12,1)-0.5))),1)</f>
        <v>0.0353333333333333</v>
      </c>
      <c r="D164" s="138" t="n">
        <f aca="false">IF(Calculator!$E$13="YES",IF(A164&lt;Calculator!$G$13,0,MIN(MIN(MOD(A164/Calculator!$F$13,1),1-MOD(A164/Calculator!$F$13,1)),ABS(MOD(A164/Calculator!$F$13,1)-0.5))),1)</f>
        <v>0.214013333333333</v>
      </c>
      <c r="E164" s="138" t="n">
        <f aca="false">IF(Calculator!$E$14="YES",IF(A164&lt;Calculator!$G$14,0,MIN(MIN(MOD(A164/Calculator!$F$14,1),1-MOD(A164/Calculator!$F$14,1)),ABS(MOD(A164/Calculator!$F$14,1)-0.5))),1)</f>
        <v>0.0486666666666666</v>
      </c>
      <c r="F164" s="138" t="n">
        <f aca="false">IF(Calculator!$E$15="YES",IF(A164&lt;Calculator!$G$15,0,MIN(MIN(MOD(A164/Calculator!$F$15,1),1-MOD(A164/Calculator!$F$15,1)),ABS(MOD(A164/Calculator!$F$15,1)-0.5))),1)</f>
        <v>0.0150000000000001</v>
      </c>
      <c r="G164" s="138" t="n">
        <f aca="false">IF(Calculator!$E$16="YES",IF(A164&lt;Calculator!$G$16,0,MIN(MIN(MOD(A164/Calculator!$F$16,1),1-MOD(A164/Calculator!$F$16,1)),ABS(MOD(A164/Calculator!$F$16,1)-0.5))),1)</f>
        <v>0.0790000000000002</v>
      </c>
      <c r="H164" s="138" t="n">
        <f aca="false">IF(Calculator!$E$17="YES",IF(A164&lt;Calculator!$G$17,0,MIN(MIN(MOD(A164/Calculator!$F$17,1),1-MOD(A164/Calculator!$F$17,1)),ABS(MOD(A164/Calculator!$F$17,1)-0.5))),1)</f>
        <v>0.157306666666667</v>
      </c>
      <c r="I164" s="138" t="n">
        <f aca="false">IF(Calculator!$E$18="YES",IF(A164&lt;Calculator!$G$18,0,MIN(MIN(MOD(A164/Calculator!$F$18,1),1-MOD(A164/Calculator!$F$18,1)),ABS(MOD(A164/Calculator!$F$18,1)-0.5))),1)</f>
        <v>0.113</v>
      </c>
      <c r="J164" s="138" t="n">
        <f aca="false">IF(Calculator!$E$19="YES",IF(A164&lt;Calculator!$G$19,0,MIN(MIN(MOD(A164/Calculator!$F$19,1),1-MOD(A164/Calculator!$F$19,1)),ABS(MOD(A164/Calculator!$F$19,1)-0.5))),1)</f>
        <v>0.157866666666666</v>
      </c>
      <c r="K164" s="138" t="n">
        <f aca="false">IF(Calculator!$E$20="YES",IF(A164&lt;Calculator!$G$20,0,MIN(MIN(MOD(A164/Calculator!$F$20,1),1-MOD(A164/Calculator!$F$20,1)),ABS(MOD(A164/Calculator!$F$20,1)-0.5))),1)</f>
        <v>0.231333333333333</v>
      </c>
      <c r="L164" s="138" t="n">
        <f aca="false">IF(Calculator!$E$21="YES",IF(A164&lt;Calculator!$G$21,0,MIN(MIN(MOD(A164/Calculator!$F$21,1),1-MOD(A164/Calculator!$F$21,1)),ABS(MOD(A164/Calculator!$F$21,1)-0.5))),1)</f>
        <v>0.126666666666666</v>
      </c>
      <c r="M164" s="138" t="n">
        <f aca="false">MIN(B164:L164)</f>
        <v>0</v>
      </c>
      <c r="N164" s="138" t="n">
        <f aca="false">SUMPRODUCT(($M$5:$M$555&gt;M164)*1)+SUMPRODUCT(($M$5:$M$555=M164)*(ROW($M$5:$M$555)&lt;ROW(M164)))+1</f>
        <v>385</v>
      </c>
      <c r="O164" s="138" t="str">
        <f aca="false">IF(M164&gt;=0.2,"★★★ EXCELLENT",IF(M164&gt;=0.12,"★★  GOOD",IF(M164&gt;=0.07,"★  FAIR",IF(M164&gt;=0.025,"⚠  MARGINAL","✗  AVOID"))))</f>
        <v>✗  AVOID</v>
      </c>
    </row>
    <row r="165" customFormat="false" ht="15" hidden="false" customHeight="false" outlineLevel="0" collapsed="false">
      <c r="A165" s="135" t="n">
        <v>21</v>
      </c>
      <c r="B165" s="136" t="n">
        <f aca="false">IF(Calculator!$E$11="YES",IF(A165&lt;Calculator!$G$11,0,MIN(MIN(MOD(A165/Calculator!$F$11,1),1-MOD(A165/Calculator!$F$11,1)),ABS(MOD(A165/Calculator!$F$11,1)-0.5))),1)</f>
        <v>0</v>
      </c>
      <c r="C165" s="136" t="n">
        <f aca="false">IF(Calculator!$E$12="YES",IF(A165&lt;Calculator!$G$12,0,MIN(MIN(MOD(A165/Calculator!$F$12,1),1-MOD(A165/Calculator!$F$12,1)),ABS(MOD(A165/Calculator!$F$12,1)-0.5))),1)</f>
        <v>0.0378947368421053</v>
      </c>
      <c r="D165" s="136" t="n">
        <f aca="false">IF(Calculator!$E$13="YES",IF(A165&lt;Calculator!$G$13,0,MIN(MIN(MOD(A165/Calculator!$F$13,1),1-MOD(A165/Calculator!$F$13,1)),ABS(MOD(A165/Calculator!$F$13,1)-0.5))),1)</f>
        <v>0.210252631578947</v>
      </c>
      <c r="E165" s="136" t="n">
        <f aca="false">IF(Calculator!$E$14="YES",IF(A165&lt;Calculator!$G$14,0,MIN(MIN(MOD(A165/Calculator!$F$14,1),1-MOD(A165/Calculator!$F$14,1)),ABS(MOD(A165/Calculator!$F$14,1)-0.5))),1)</f>
        <v>0.0536842105263158</v>
      </c>
      <c r="F165" s="136" t="n">
        <f aca="false">IF(Calculator!$E$15="YES",IF(A165&lt;Calculator!$G$15,0,MIN(MIN(MOD(A165/Calculator!$F$15,1),1-MOD(A165/Calculator!$F$15,1)),ABS(MOD(A165/Calculator!$F$15,1)-0.5))),1)</f>
        <v>0.0078947368421054</v>
      </c>
      <c r="G165" s="136" t="n">
        <f aca="false">IF(Calculator!$E$16="YES",IF(A165&lt;Calculator!$G$16,0,MIN(MIN(MOD(A165/Calculator!$F$16,1),1-MOD(A165/Calculator!$F$16,1)),ABS(MOD(A165/Calculator!$F$16,1)-0.5))),1)</f>
        <v>0.0889473684210529</v>
      </c>
      <c r="H165" s="136" t="n">
        <f aca="false">IF(Calculator!$E$17="YES",IF(A165&lt;Calculator!$G$17,0,MIN(MIN(MOD(A165/Calculator!$F$17,1),1-MOD(A165/Calculator!$F$17,1)),ABS(MOD(A165/Calculator!$F$17,1)-0.5))),1)</f>
        <v>0.170021052631579</v>
      </c>
      <c r="I165" s="136" t="n">
        <f aca="false">IF(Calculator!$E$18="YES",IF(A165&lt;Calculator!$G$18,0,MIN(MIN(MOD(A165/Calculator!$F$18,1),1-MOD(A165/Calculator!$F$18,1)),ABS(MOD(A165/Calculator!$F$18,1)-0.5))),1)</f>
        <v>0.127894736842106</v>
      </c>
      <c r="J165" s="136" t="n">
        <f aca="false">IF(Calculator!$E$19="YES",IF(A165&lt;Calculator!$G$19,0,MIN(MIN(MOD(A165/Calculator!$F$19,1),1-MOD(A165/Calculator!$F$19,1)),ABS(MOD(A165/Calculator!$F$19,1)-0.5))),1)</f>
        <v>0.175368421052631</v>
      </c>
      <c r="K165" s="136" t="n">
        <f aca="false">IF(Calculator!$E$20="YES",IF(A165&lt;Calculator!$G$20,0,MIN(MIN(MOD(A165/Calculator!$F$20,1),1-MOD(A165/Calculator!$F$20,1)),ABS(MOD(A165/Calculator!$F$20,1)-0.5))),1)</f>
        <v>0.248421052631579</v>
      </c>
      <c r="L165" s="136" t="n">
        <f aca="false">IF(Calculator!$E$21="YES",IF(A165&lt;Calculator!$G$21,0,MIN(MIN(MOD(A165/Calculator!$F$21,1),1-MOD(A165/Calculator!$F$21,1)),ABS(MOD(A165/Calculator!$F$21,1)-0.5))),1)</f>
        <v>0.163157894736842</v>
      </c>
      <c r="M165" s="136" t="n">
        <f aca="false">MIN(B165:L165)</f>
        <v>0</v>
      </c>
      <c r="N165" s="136" t="n">
        <f aca="false">SUMPRODUCT(($M$5:$M$555&gt;M165)*1)+SUMPRODUCT(($M$5:$M$555=M165)*(ROW($M$5:$M$555)&lt;ROW(M165)))+1</f>
        <v>386</v>
      </c>
      <c r="O165" s="136" t="str">
        <f aca="false">IF(M165&gt;=0.2,"★★★ EXCELLENT",IF(M165&gt;=0.12,"★★  GOOD",IF(M165&gt;=0.07,"★  FAIR",IF(M165&gt;=0.025,"⚠  MARGINAL","✗  AVOID"))))</f>
        <v>✗  AVOID</v>
      </c>
    </row>
    <row r="166" customFormat="false" ht="15" hidden="false" customHeight="false" outlineLevel="0" collapsed="false">
      <c r="A166" s="137" t="n">
        <v>21.1</v>
      </c>
      <c r="B166" s="138" t="n">
        <f aca="false">IF(Calculator!$E$11="YES",IF(A166&lt;Calculator!$G$11,0,MIN(MIN(MOD(A166/Calculator!$F$11,1),1-MOD(A166/Calculator!$F$11,1)),ABS(MOD(A166/Calculator!$F$11,1)-0.5))),1)</f>
        <v>0</v>
      </c>
      <c r="C166" s="138" t="n">
        <f aca="false">IF(Calculator!$E$12="YES",IF(A166&lt;Calculator!$G$12,0,MIN(MIN(MOD(A166/Calculator!$F$12,1),1-MOD(A166/Calculator!$F$12,1)),ABS(MOD(A166/Calculator!$F$12,1)-0.5))),1)</f>
        <v>0.0404561403508773</v>
      </c>
      <c r="D166" s="138" t="n">
        <f aca="false">IF(Calculator!$E$13="YES",IF(A166&lt;Calculator!$G$13,0,MIN(MIN(MOD(A166/Calculator!$F$13,1),1-MOD(A166/Calculator!$F$13,1)),ABS(MOD(A166/Calculator!$F$13,1)-0.5))),1)</f>
        <v>0.206491929824561</v>
      </c>
      <c r="E166" s="138" t="n">
        <f aca="false">IF(Calculator!$E$14="YES",IF(A166&lt;Calculator!$G$14,0,MIN(MIN(MOD(A166/Calculator!$F$14,1),1-MOD(A166/Calculator!$F$14,1)),ABS(MOD(A166/Calculator!$F$14,1)-0.5))),1)</f>
        <v>0.0587017543859649</v>
      </c>
      <c r="F166" s="138" t="n">
        <f aca="false">IF(Calculator!$E$15="YES",IF(A166&lt;Calculator!$G$15,0,MIN(MIN(MOD(A166/Calculator!$F$15,1),1-MOD(A166/Calculator!$F$15,1)),ABS(MOD(A166/Calculator!$F$15,1)-0.5))),1)</f>
        <v>0.000789473684210451</v>
      </c>
      <c r="G166" s="138" t="n">
        <f aca="false">IF(Calculator!$E$16="YES",IF(A166&lt;Calculator!$G$16,0,MIN(MIN(MOD(A166/Calculator!$F$16,1),1-MOD(A166/Calculator!$F$16,1)),ABS(MOD(A166/Calculator!$F$16,1)-0.5))),1)</f>
        <v>0.0988947368421056</v>
      </c>
      <c r="H166" s="138" t="n">
        <f aca="false">IF(Calculator!$E$17="YES",IF(A166&lt;Calculator!$G$17,0,MIN(MIN(MOD(A166/Calculator!$F$17,1),1-MOD(A166/Calculator!$F$17,1)),ABS(MOD(A166/Calculator!$F$17,1)-0.5))),1)</f>
        <v>0.182735438596492</v>
      </c>
      <c r="I166" s="138" t="n">
        <f aca="false">IF(Calculator!$E$18="YES",IF(A166&lt;Calculator!$G$18,0,MIN(MIN(MOD(A166/Calculator!$F$18,1),1-MOD(A166/Calculator!$F$18,1)),ABS(MOD(A166/Calculator!$F$18,1)-0.5))),1)</f>
        <v>0.142789473684211</v>
      </c>
      <c r="J166" s="138" t="n">
        <f aca="false">IF(Calculator!$E$19="YES",IF(A166&lt;Calculator!$G$19,0,MIN(MIN(MOD(A166/Calculator!$F$19,1),1-MOD(A166/Calculator!$F$19,1)),ABS(MOD(A166/Calculator!$F$19,1)-0.5))),1)</f>
        <v>0.192870175438596</v>
      </c>
      <c r="K166" s="138" t="n">
        <f aca="false">IF(Calculator!$E$20="YES",IF(A166&lt;Calculator!$G$20,0,MIN(MIN(MOD(A166/Calculator!$F$20,1),1-MOD(A166/Calculator!$F$20,1)),ABS(MOD(A166/Calculator!$F$20,1)-0.5))),1)</f>
        <v>0.228175438596491</v>
      </c>
      <c r="L166" s="138" t="n">
        <f aca="false">IF(Calculator!$E$21="YES",IF(A166&lt;Calculator!$G$21,0,MIN(MIN(MOD(A166/Calculator!$F$21,1),1-MOD(A166/Calculator!$F$21,1)),ABS(MOD(A166/Calculator!$F$21,1)-0.5))),1)</f>
        <v>0.199649122807018</v>
      </c>
      <c r="M166" s="138" t="n">
        <f aca="false">MIN(B166:L166)</f>
        <v>0</v>
      </c>
      <c r="N166" s="138" t="n">
        <f aca="false">SUMPRODUCT(($M$5:$M$555&gt;M166)*1)+SUMPRODUCT(($M$5:$M$555=M166)*(ROW($M$5:$M$555)&lt;ROW(M166)))+1</f>
        <v>387</v>
      </c>
      <c r="O166" s="138" t="str">
        <f aca="false">IF(M166&gt;=0.2,"★★★ EXCELLENT",IF(M166&gt;=0.12,"★★  GOOD",IF(M166&gt;=0.07,"★  FAIR",IF(M166&gt;=0.025,"⚠  MARGINAL","✗  AVOID"))))</f>
        <v>✗  AVOID</v>
      </c>
    </row>
    <row r="167" customFormat="false" ht="15" hidden="false" customHeight="false" outlineLevel="0" collapsed="false">
      <c r="A167" s="135" t="n">
        <v>21.2</v>
      </c>
      <c r="B167" s="136" t="n">
        <f aca="false">IF(Calculator!$E$11="YES",IF(A167&lt;Calculator!$G$11,0,MIN(MIN(MOD(A167/Calculator!$F$11,1),1-MOD(A167/Calculator!$F$11,1)),ABS(MOD(A167/Calculator!$F$11,1)-0.5))),1)</f>
        <v>0</v>
      </c>
      <c r="C167" s="136" t="n">
        <f aca="false">IF(Calculator!$E$12="YES",IF(A167&lt;Calculator!$G$12,0,MIN(MIN(MOD(A167/Calculator!$F$12,1),1-MOD(A167/Calculator!$F$12,1)),ABS(MOD(A167/Calculator!$F$12,1)-0.5))),1)</f>
        <v>0.0430175438596491</v>
      </c>
      <c r="D167" s="136" t="n">
        <f aca="false">IF(Calculator!$E$13="YES",IF(A167&lt;Calculator!$G$13,0,MIN(MIN(MOD(A167/Calculator!$F$13,1),1-MOD(A167/Calculator!$F$13,1)),ABS(MOD(A167/Calculator!$F$13,1)-0.5))),1)</f>
        <v>0.202731228070176</v>
      </c>
      <c r="E167" s="136" t="n">
        <f aca="false">IF(Calculator!$E$14="YES",IF(A167&lt;Calculator!$G$14,0,MIN(MIN(MOD(A167/Calculator!$F$14,1),1-MOD(A167/Calculator!$F$14,1)),ABS(MOD(A167/Calculator!$F$14,1)-0.5))),1)</f>
        <v>0.0637192982456141</v>
      </c>
      <c r="F167" s="136" t="n">
        <f aca="false">IF(Calculator!$E$15="YES",IF(A167&lt;Calculator!$G$15,0,MIN(MIN(MOD(A167/Calculator!$F$15,1),1-MOD(A167/Calculator!$F$15,1)),ABS(MOD(A167/Calculator!$F$15,1)-0.5))),1)</f>
        <v>0.00631578947368405</v>
      </c>
      <c r="G167" s="136" t="n">
        <f aca="false">IF(Calculator!$E$16="YES",IF(A167&lt;Calculator!$G$16,0,MIN(MIN(MOD(A167/Calculator!$F$16,1),1-MOD(A167/Calculator!$F$16,1)),ABS(MOD(A167/Calculator!$F$16,1)-0.5))),1)</f>
        <v>0.108842105263158</v>
      </c>
      <c r="H167" s="136" t="n">
        <f aca="false">IF(Calculator!$E$17="YES",IF(A167&lt;Calculator!$G$17,0,MIN(MIN(MOD(A167/Calculator!$F$17,1),1-MOD(A167/Calculator!$F$17,1)),ABS(MOD(A167/Calculator!$F$17,1)-0.5))),1)</f>
        <v>0.195449824561404</v>
      </c>
      <c r="I167" s="136" t="n">
        <f aca="false">IF(Calculator!$E$18="YES",IF(A167&lt;Calculator!$G$18,0,MIN(MIN(MOD(A167/Calculator!$F$18,1),1-MOD(A167/Calculator!$F$18,1)),ABS(MOD(A167/Calculator!$F$18,1)-0.5))),1)</f>
        <v>0.157684210526316</v>
      </c>
      <c r="J167" s="136" t="n">
        <f aca="false">IF(Calculator!$E$19="YES",IF(A167&lt;Calculator!$G$19,0,MIN(MIN(MOD(A167/Calculator!$F$19,1),1-MOD(A167/Calculator!$F$19,1)),ABS(MOD(A167/Calculator!$F$19,1)-0.5))),1)</f>
        <v>0.210371929824561</v>
      </c>
      <c r="K167" s="136" t="n">
        <f aca="false">IF(Calculator!$E$20="YES",IF(A167&lt;Calculator!$G$20,0,MIN(MIN(MOD(A167/Calculator!$F$20,1),1-MOD(A167/Calculator!$F$20,1)),ABS(MOD(A167/Calculator!$F$20,1)-0.5))),1)</f>
        <v>0.207929824561404</v>
      </c>
      <c r="L167" s="136" t="n">
        <f aca="false">IF(Calculator!$E$21="YES",IF(A167&lt;Calculator!$G$21,0,MIN(MIN(MOD(A167/Calculator!$F$21,1),1-MOD(A167/Calculator!$F$21,1)),ABS(MOD(A167/Calculator!$F$21,1)-0.5))),1)</f>
        <v>0.236140350877193</v>
      </c>
      <c r="M167" s="136" t="n">
        <f aca="false">MIN(B167:L167)</f>
        <v>0</v>
      </c>
      <c r="N167" s="136" t="n">
        <f aca="false">SUMPRODUCT(($M$5:$M$555&gt;M167)*1)+SUMPRODUCT(($M$5:$M$555=M167)*(ROW($M$5:$M$555)&lt;ROW(M167)))+1</f>
        <v>388</v>
      </c>
      <c r="O167" s="136" t="str">
        <f aca="false">IF(M167&gt;=0.2,"★★★ EXCELLENT",IF(M167&gt;=0.12,"★★  GOOD",IF(M167&gt;=0.07,"★  FAIR",IF(M167&gt;=0.025,"⚠  MARGINAL","✗  AVOID"))))</f>
        <v>✗  AVOID</v>
      </c>
    </row>
    <row r="168" customFormat="false" ht="15" hidden="false" customHeight="false" outlineLevel="0" collapsed="false">
      <c r="A168" s="137" t="n">
        <v>21.3</v>
      </c>
      <c r="B168" s="138" t="n">
        <f aca="false">IF(Calculator!$E$11="YES",IF(A168&lt;Calculator!$G$11,0,MIN(MIN(MOD(A168/Calculator!$F$11,1),1-MOD(A168/Calculator!$F$11,1)),ABS(MOD(A168/Calculator!$F$11,1)-0.5))),1)</f>
        <v>0</v>
      </c>
      <c r="C168" s="138" t="n">
        <f aca="false">IF(Calculator!$E$12="YES",IF(A168&lt;Calculator!$G$12,0,MIN(MIN(MOD(A168/Calculator!$F$12,1),1-MOD(A168/Calculator!$F$12,1)),ABS(MOD(A168/Calculator!$F$12,1)-0.5))),1)</f>
        <v>0.0455789473684211</v>
      </c>
      <c r="D168" s="138" t="n">
        <f aca="false">IF(Calculator!$E$13="YES",IF(A168&lt;Calculator!$G$13,0,MIN(MIN(MOD(A168/Calculator!$F$13,1),1-MOD(A168/Calculator!$F$13,1)),ABS(MOD(A168/Calculator!$F$13,1)-0.5))),1)</f>
        <v>0.19897052631579</v>
      </c>
      <c r="E168" s="138" t="n">
        <f aca="false">IF(Calculator!$E$14="YES",IF(A168&lt;Calculator!$G$14,0,MIN(MIN(MOD(A168/Calculator!$F$14,1),1-MOD(A168/Calculator!$F$14,1)),ABS(MOD(A168/Calculator!$F$14,1)-0.5))),1)</f>
        <v>0.0687368421052632</v>
      </c>
      <c r="F168" s="138" t="n">
        <f aca="false">IF(Calculator!$E$15="YES",IF(A168&lt;Calculator!$G$15,0,MIN(MIN(MOD(A168/Calculator!$F$15,1),1-MOD(A168/Calculator!$F$15,1)),ABS(MOD(A168/Calculator!$F$15,1)-0.5))),1)</f>
        <v>0.013421052631579</v>
      </c>
      <c r="G168" s="138" t="n">
        <f aca="false">IF(Calculator!$E$16="YES",IF(A168&lt;Calculator!$G$16,0,MIN(MIN(MOD(A168/Calculator!$F$16,1),1-MOD(A168/Calculator!$F$16,1)),ABS(MOD(A168/Calculator!$F$16,1)-0.5))),1)</f>
        <v>0.118789473684211</v>
      </c>
      <c r="H168" s="138" t="n">
        <f aca="false">IF(Calculator!$E$17="YES",IF(A168&lt;Calculator!$G$17,0,MIN(MIN(MOD(A168/Calculator!$F$17,1),1-MOD(A168/Calculator!$F$17,1)),ABS(MOD(A168/Calculator!$F$17,1)-0.5))),1)</f>
        <v>0.208164210526316</v>
      </c>
      <c r="I168" s="138" t="n">
        <f aca="false">IF(Calculator!$E$18="YES",IF(A168&lt;Calculator!$G$18,0,MIN(MIN(MOD(A168/Calculator!$F$18,1),1-MOD(A168/Calculator!$F$18,1)),ABS(MOD(A168/Calculator!$F$18,1)-0.5))),1)</f>
        <v>0.172578947368421</v>
      </c>
      <c r="J168" s="138" t="n">
        <f aca="false">IF(Calculator!$E$19="YES",IF(A168&lt;Calculator!$G$19,0,MIN(MIN(MOD(A168/Calculator!$F$19,1),1-MOD(A168/Calculator!$F$19,1)),ABS(MOD(A168/Calculator!$F$19,1)-0.5))),1)</f>
        <v>0.227873684210526</v>
      </c>
      <c r="K168" s="138" t="n">
        <f aca="false">IF(Calculator!$E$20="YES",IF(A168&lt;Calculator!$G$20,0,MIN(MIN(MOD(A168/Calculator!$F$20,1),1-MOD(A168/Calculator!$F$20,1)),ABS(MOD(A168/Calculator!$F$20,1)-0.5))),1)</f>
        <v>0.187684210526315</v>
      </c>
      <c r="L168" s="138" t="n">
        <f aca="false">IF(Calculator!$E$21="YES",IF(A168&lt;Calculator!$G$21,0,MIN(MIN(MOD(A168/Calculator!$F$21,1),1-MOD(A168/Calculator!$F$21,1)),ABS(MOD(A168/Calculator!$F$21,1)-0.5))),1)</f>
        <v>0.227368421052631</v>
      </c>
      <c r="M168" s="138" t="n">
        <f aca="false">MIN(B168:L168)</f>
        <v>0</v>
      </c>
      <c r="N168" s="138" t="n">
        <f aca="false">SUMPRODUCT(($M$5:$M$555&gt;M168)*1)+SUMPRODUCT(($M$5:$M$555=M168)*(ROW($M$5:$M$555)&lt;ROW(M168)))+1</f>
        <v>389</v>
      </c>
      <c r="O168" s="138" t="str">
        <f aca="false">IF(M168&gt;=0.2,"★★★ EXCELLENT",IF(M168&gt;=0.12,"★★  GOOD",IF(M168&gt;=0.07,"★  FAIR",IF(M168&gt;=0.025,"⚠  MARGINAL","✗  AVOID"))))</f>
        <v>✗  AVOID</v>
      </c>
    </row>
    <row r="169" customFormat="false" ht="15" hidden="false" customHeight="false" outlineLevel="0" collapsed="false">
      <c r="A169" s="135" t="n">
        <v>21.4</v>
      </c>
      <c r="B169" s="136" t="n">
        <f aca="false">IF(Calculator!$E$11="YES",IF(A169&lt;Calculator!$G$11,0,MIN(MIN(MOD(A169/Calculator!$F$11,1),1-MOD(A169/Calculator!$F$11,1)),ABS(MOD(A169/Calculator!$F$11,1)-0.5))),1)</f>
        <v>0</v>
      </c>
      <c r="C169" s="136" t="n">
        <f aca="false">IF(Calculator!$E$12="YES",IF(A169&lt;Calculator!$G$12,0,MIN(MIN(MOD(A169/Calculator!$F$12,1),1-MOD(A169/Calculator!$F$12,1)),ABS(MOD(A169/Calculator!$F$12,1)-0.5))),1)</f>
        <v>0.0481403508771929</v>
      </c>
      <c r="D169" s="136" t="n">
        <f aca="false">IF(Calculator!$E$13="YES",IF(A169&lt;Calculator!$G$13,0,MIN(MIN(MOD(A169/Calculator!$F$13,1),1-MOD(A169/Calculator!$F$13,1)),ABS(MOD(A169/Calculator!$F$13,1)-0.5))),1)</f>
        <v>0.195209824561404</v>
      </c>
      <c r="E169" s="136" t="n">
        <f aca="false">IF(Calculator!$E$14="YES",IF(A169&lt;Calculator!$G$14,0,MIN(MIN(MOD(A169/Calculator!$F$14,1),1-MOD(A169/Calculator!$F$14,1)),ABS(MOD(A169/Calculator!$F$14,1)-0.5))),1)</f>
        <v>0.0737543859649121</v>
      </c>
      <c r="F169" s="136" t="n">
        <f aca="false">IF(Calculator!$E$15="YES",IF(A169&lt;Calculator!$G$15,0,MIN(MIN(MOD(A169/Calculator!$F$15,1),1-MOD(A169/Calculator!$F$15,1)),ABS(MOD(A169/Calculator!$F$15,1)-0.5))),1)</f>
        <v>0.0205263157894735</v>
      </c>
      <c r="G169" s="136" t="n">
        <f aca="false">IF(Calculator!$E$16="YES",IF(A169&lt;Calculator!$G$16,0,MIN(MIN(MOD(A169/Calculator!$F$16,1),1-MOD(A169/Calculator!$F$16,1)),ABS(MOD(A169/Calculator!$F$16,1)-0.5))),1)</f>
        <v>0.128736842105263</v>
      </c>
      <c r="H169" s="136" t="n">
        <f aca="false">IF(Calculator!$E$17="YES",IF(A169&lt;Calculator!$G$17,0,MIN(MIN(MOD(A169/Calculator!$F$17,1),1-MOD(A169/Calculator!$F$17,1)),ABS(MOD(A169/Calculator!$F$17,1)-0.5))),1)</f>
        <v>0.220878596491228</v>
      </c>
      <c r="I169" s="136" t="n">
        <f aca="false">IF(Calculator!$E$18="YES",IF(A169&lt;Calculator!$G$18,0,MIN(MIN(MOD(A169/Calculator!$F$18,1),1-MOD(A169/Calculator!$F$18,1)),ABS(MOD(A169/Calculator!$F$18,1)-0.5))),1)</f>
        <v>0.187473684210526</v>
      </c>
      <c r="J169" s="136" t="n">
        <f aca="false">IF(Calculator!$E$19="YES",IF(A169&lt;Calculator!$G$19,0,MIN(MIN(MOD(A169/Calculator!$F$19,1),1-MOD(A169/Calculator!$F$19,1)),ABS(MOD(A169/Calculator!$F$19,1)-0.5))),1)</f>
        <v>0.24537543859649</v>
      </c>
      <c r="K169" s="136" t="n">
        <f aca="false">IF(Calculator!$E$20="YES",IF(A169&lt;Calculator!$G$20,0,MIN(MIN(MOD(A169/Calculator!$F$20,1),1-MOD(A169/Calculator!$F$20,1)),ABS(MOD(A169/Calculator!$F$20,1)-0.5))),1)</f>
        <v>0.167438596491229</v>
      </c>
      <c r="L169" s="136" t="n">
        <f aca="false">IF(Calculator!$E$21="YES",IF(A169&lt;Calculator!$G$21,0,MIN(MIN(MOD(A169/Calculator!$F$21,1),1-MOD(A169/Calculator!$F$21,1)),ABS(MOD(A169/Calculator!$F$21,1)-0.5))),1)</f>
        <v>0.190877192982457</v>
      </c>
      <c r="M169" s="136" t="n">
        <f aca="false">MIN(B169:L169)</f>
        <v>0</v>
      </c>
      <c r="N169" s="136" t="n">
        <f aca="false">SUMPRODUCT(($M$5:$M$555&gt;M169)*1)+SUMPRODUCT(($M$5:$M$555=M169)*(ROW($M$5:$M$555)&lt;ROW(M169)))+1</f>
        <v>390</v>
      </c>
      <c r="O169" s="136" t="str">
        <f aca="false">IF(M169&gt;=0.2,"★★★ EXCELLENT",IF(M169&gt;=0.12,"★★  GOOD",IF(M169&gt;=0.07,"★  FAIR",IF(M169&gt;=0.025,"⚠  MARGINAL","✗  AVOID"))))</f>
        <v>✗  AVOID</v>
      </c>
    </row>
    <row r="170" customFormat="false" ht="15" hidden="false" customHeight="false" outlineLevel="0" collapsed="false">
      <c r="A170" s="137" t="n">
        <v>21.5</v>
      </c>
      <c r="B170" s="138" t="n">
        <f aca="false">IF(Calculator!$E$11="YES",IF(A170&lt;Calculator!$G$11,0,MIN(MIN(MOD(A170/Calculator!$F$11,1),1-MOD(A170/Calculator!$F$11,1)),ABS(MOD(A170/Calculator!$F$11,1)-0.5))),1)</f>
        <v>0</v>
      </c>
      <c r="C170" s="138" t="n">
        <f aca="false">IF(Calculator!$E$12="YES",IF(A170&lt;Calculator!$G$12,0,MIN(MIN(MOD(A170/Calculator!$F$12,1),1-MOD(A170/Calculator!$F$12,1)),ABS(MOD(A170/Calculator!$F$12,1)-0.5))),1)</f>
        <v>0.0507017543859649</v>
      </c>
      <c r="D170" s="138" t="n">
        <f aca="false">IF(Calculator!$E$13="YES",IF(A170&lt;Calculator!$G$13,0,MIN(MIN(MOD(A170/Calculator!$F$13,1),1-MOD(A170/Calculator!$F$13,1)),ABS(MOD(A170/Calculator!$F$13,1)-0.5))),1)</f>
        <v>0.191449122807018</v>
      </c>
      <c r="E170" s="138" t="n">
        <f aca="false">IF(Calculator!$E$14="YES",IF(A170&lt;Calculator!$G$14,0,MIN(MIN(MOD(A170/Calculator!$F$14,1),1-MOD(A170/Calculator!$F$14,1)),ABS(MOD(A170/Calculator!$F$14,1)-0.5))),1)</f>
        <v>0.0787719298245615</v>
      </c>
      <c r="F170" s="138" t="n">
        <f aca="false">IF(Calculator!$E$15="YES",IF(A170&lt;Calculator!$G$15,0,MIN(MIN(MOD(A170/Calculator!$F$15,1),1-MOD(A170/Calculator!$F$15,1)),ABS(MOD(A170/Calculator!$F$15,1)-0.5))),1)</f>
        <v>0.0276315789473685</v>
      </c>
      <c r="G170" s="138" t="n">
        <f aca="false">IF(Calculator!$E$16="YES",IF(A170&lt;Calculator!$G$16,0,MIN(MIN(MOD(A170/Calculator!$F$16,1),1-MOD(A170/Calculator!$F$16,1)),ABS(MOD(A170/Calculator!$F$16,1)-0.5))),1)</f>
        <v>0.138684210526316</v>
      </c>
      <c r="H170" s="138" t="n">
        <f aca="false">IF(Calculator!$E$17="YES",IF(A170&lt;Calculator!$G$17,0,MIN(MIN(MOD(A170/Calculator!$F$17,1),1-MOD(A170/Calculator!$F$17,1)),ABS(MOD(A170/Calculator!$F$17,1)-0.5))),1)</f>
        <v>0.233592982456141</v>
      </c>
      <c r="I170" s="138" t="n">
        <f aca="false">IF(Calculator!$E$18="YES",IF(A170&lt;Calculator!$G$18,0,MIN(MIN(MOD(A170/Calculator!$F$18,1),1-MOD(A170/Calculator!$F$18,1)),ABS(MOD(A170/Calculator!$F$18,1)-0.5))),1)</f>
        <v>0.202368421052632</v>
      </c>
      <c r="J170" s="138" t="n">
        <f aca="false">IF(Calculator!$E$19="YES",IF(A170&lt;Calculator!$G$19,0,MIN(MIN(MOD(A170/Calculator!$F$19,1),1-MOD(A170/Calculator!$F$19,1)),ABS(MOD(A170/Calculator!$F$19,1)-0.5))),1)</f>
        <v>0.237122807017545</v>
      </c>
      <c r="K170" s="138" t="n">
        <f aca="false">IF(Calculator!$E$20="YES",IF(A170&lt;Calculator!$G$20,0,MIN(MIN(MOD(A170/Calculator!$F$20,1),1-MOD(A170/Calculator!$F$20,1)),ABS(MOD(A170/Calculator!$F$20,1)-0.5))),1)</f>
        <v>0.14719298245614</v>
      </c>
      <c r="L170" s="138" t="n">
        <f aca="false">IF(Calculator!$E$21="YES",IF(A170&lt;Calculator!$G$21,0,MIN(MIN(MOD(A170/Calculator!$F$21,1),1-MOD(A170/Calculator!$F$21,1)),ABS(MOD(A170/Calculator!$F$21,1)-0.5))),1)</f>
        <v>0.154385964912281</v>
      </c>
      <c r="M170" s="138" t="n">
        <f aca="false">MIN(B170:L170)</f>
        <v>0</v>
      </c>
      <c r="N170" s="138" t="n">
        <f aca="false">SUMPRODUCT(($M$5:$M$555&gt;M170)*1)+SUMPRODUCT(($M$5:$M$555=M170)*(ROW($M$5:$M$555)&lt;ROW(M170)))+1</f>
        <v>391</v>
      </c>
      <c r="O170" s="138" t="str">
        <f aca="false">IF(M170&gt;=0.2,"★★★ EXCELLENT",IF(M170&gt;=0.12,"★★  GOOD",IF(M170&gt;=0.07,"★  FAIR",IF(M170&gt;=0.025,"⚠  MARGINAL","✗  AVOID"))))</f>
        <v>✗  AVOID</v>
      </c>
    </row>
    <row r="171" customFormat="false" ht="15" hidden="false" customHeight="false" outlineLevel="0" collapsed="false">
      <c r="A171" s="135" t="n">
        <v>21.6</v>
      </c>
      <c r="B171" s="136" t="n">
        <f aca="false">IF(Calculator!$E$11="YES",IF(A171&lt;Calculator!$G$11,0,MIN(MIN(MOD(A171/Calculator!$F$11,1),1-MOD(A171/Calculator!$F$11,1)),ABS(MOD(A171/Calculator!$F$11,1)-0.5))),1)</f>
        <v>0</v>
      </c>
      <c r="C171" s="136" t="n">
        <f aca="false">IF(Calculator!$E$12="YES",IF(A171&lt;Calculator!$G$12,0,MIN(MIN(MOD(A171/Calculator!$F$12,1),1-MOD(A171/Calculator!$F$12,1)),ABS(MOD(A171/Calculator!$F$12,1)-0.5))),1)</f>
        <v>0.0532631578947369</v>
      </c>
      <c r="D171" s="136" t="n">
        <f aca="false">IF(Calculator!$E$13="YES",IF(A171&lt;Calculator!$G$13,0,MIN(MIN(MOD(A171/Calculator!$F$13,1),1-MOD(A171/Calculator!$F$13,1)),ABS(MOD(A171/Calculator!$F$13,1)-0.5))),1)</f>
        <v>0.187688421052632</v>
      </c>
      <c r="E171" s="136" t="n">
        <f aca="false">IF(Calculator!$E$14="YES",IF(A171&lt;Calculator!$G$14,0,MIN(MIN(MOD(A171/Calculator!$F$14,1),1-MOD(A171/Calculator!$F$14,1)),ABS(MOD(A171/Calculator!$F$14,1)-0.5))),1)</f>
        <v>0.0837894736842106</v>
      </c>
      <c r="F171" s="136" t="n">
        <f aca="false">IF(Calculator!$E$15="YES",IF(A171&lt;Calculator!$G$15,0,MIN(MIN(MOD(A171/Calculator!$F$15,1),1-MOD(A171/Calculator!$F$15,1)),ABS(MOD(A171/Calculator!$F$15,1)-0.5))),1)</f>
        <v>0.0347368421052632</v>
      </c>
      <c r="G171" s="136" t="n">
        <f aca="false">IF(Calculator!$E$16="YES",IF(A171&lt;Calculator!$G$16,0,MIN(MIN(MOD(A171/Calculator!$F$16,1),1-MOD(A171/Calculator!$F$16,1)),ABS(MOD(A171/Calculator!$F$16,1)-0.5))),1)</f>
        <v>0.148631578947369</v>
      </c>
      <c r="H171" s="136" t="n">
        <f aca="false">IF(Calculator!$E$17="YES",IF(A171&lt;Calculator!$G$17,0,MIN(MIN(MOD(A171/Calculator!$F$17,1),1-MOD(A171/Calculator!$F$17,1)),ABS(MOD(A171/Calculator!$F$17,1)-0.5))),1)</f>
        <v>0.246307368421053</v>
      </c>
      <c r="I171" s="136" t="n">
        <f aca="false">IF(Calculator!$E$18="YES",IF(A171&lt;Calculator!$G$18,0,MIN(MIN(MOD(A171/Calculator!$F$18,1),1-MOD(A171/Calculator!$F$18,1)),ABS(MOD(A171/Calculator!$F$18,1)-0.5))),1)</f>
        <v>0.217263157894737</v>
      </c>
      <c r="J171" s="136" t="n">
        <f aca="false">IF(Calculator!$E$19="YES",IF(A171&lt;Calculator!$G$19,0,MIN(MIN(MOD(A171/Calculator!$F$19,1),1-MOD(A171/Calculator!$F$19,1)),ABS(MOD(A171/Calculator!$F$19,1)-0.5))),1)</f>
        <v>0.219621052631579</v>
      </c>
      <c r="K171" s="136" t="n">
        <f aca="false">IF(Calculator!$E$20="YES",IF(A171&lt;Calculator!$G$20,0,MIN(MIN(MOD(A171/Calculator!$F$20,1),1-MOD(A171/Calculator!$F$20,1)),ABS(MOD(A171/Calculator!$F$20,1)-0.5))),1)</f>
        <v>0.126947368421052</v>
      </c>
      <c r="L171" s="136" t="n">
        <f aca="false">IF(Calculator!$E$21="YES",IF(A171&lt;Calculator!$G$21,0,MIN(MIN(MOD(A171/Calculator!$F$21,1),1-MOD(A171/Calculator!$F$21,1)),ABS(MOD(A171/Calculator!$F$21,1)-0.5))),1)</f>
        <v>0.117894736842105</v>
      </c>
      <c r="M171" s="136" t="n">
        <f aca="false">MIN(B171:L171)</f>
        <v>0</v>
      </c>
      <c r="N171" s="136" t="n">
        <f aca="false">SUMPRODUCT(($M$5:$M$555&gt;M171)*1)+SUMPRODUCT(($M$5:$M$555=M171)*(ROW($M$5:$M$555)&lt;ROW(M171)))+1</f>
        <v>392</v>
      </c>
      <c r="O171" s="136" t="str">
        <f aca="false">IF(M171&gt;=0.2,"★★★ EXCELLENT",IF(M171&gt;=0.12,"★★  GOOD",IF(M171&gt;=0.07,"★  FAIR",IF(M171&gt;=0.025,"⚠  MARGINAL","✗  AVOID"))))</f>
        <v>✗  AVOID</v>
      </c>
    </row>
    <row r="172" customFormat="false" ht="15" hidden="false" customHeight="false" outlineLevel="0" collapsed="false">
      <c r="A172" s="137" t="n">
        <v>21.7</v>
      </c>
      <c r="B172" s="138" t="n">
        <f aca="false">IF(Calculator!$E$11="YES",IF(A172&lt;Calculator!$G$11,0,MIN(MIN(MOD(A172/Calculator!$F$11,1),1-MOD(A172/Calculator!$F$11,1)),ABS(MOD(A172/Calculator!$F$11,1)-0.5))),1)</f>
        <v>0</v>
      </c>
      <c r="C172" s="138" t="n">
        <f aca="false">IF(Calculator!$E$12="YES",IF(A172&lt;Calculator!$G$12,0,MIN(MIN(MOD(A172/Calculator!$F$12,1),1-MOD(A172/Calculator!$F$12,1)),ABS(MOD(A172/Calculator!$F$12,1)-0.5))),1)</f>
        <v>0.0558245614035088</v>
      </c>
      <c r="D172" s="138" t="n">
        <f aca="false">IF(Calculator!$E$13="YES",IF(A172&lt;Calculator!$G$13,0,MIN(MIN(MOD(A172/Calculator!$F$13,1),1-MOD(A172/Calculator!$F$13,1)),ABS(MOD(A172/Calculator!$F$13,1)-0.5))),1)</f>
        <v>0.183927719298246</v>
      </c>
      <c r="E172" s="138" t="n">
        <f aca="false">IF(Calculator!$E$14="YES",IF(A172&lt;Calculator!$G$14,0,MIN(MIN(MOD(A172/Calculator!$F$14,1),1-MOD(A172/Calculator!$F$14,1)),ABS(MOD(A172/Calculator!$F$14,1)-0.5))),1)</f>
        <v>0.0888070175438596</v>
      </c>
      <c r="F172" s="138" t="n">
        <f aca="false">IF(Calculator!$E$15="YES",IF(A172&lt;Calculator!$G$15,0,MIN(MIN(MOD(A172/Calculator!$F$15,1),1-MOD(A172/Calculator!$F$15,1)),ABS(MOD(A172/Calculator!$F$15,1)-0.5))),1)</f>
        <v>0.0418421052631579</v>
      </c>
      <c r="G172" s="138" t="n">
        <f aca="false">IF(Calculator!$E$16="YES",IF(A172&lt;Calculator!$G$16,0,MIN(MIN(MOD(A172/Calculator!$F$16,1),1-MOD(A172/Calculator!$F$16,1)),ABS(MOD(A172/Calculator!$F$16,1)-0.5))),1)</f>
        <v>0.158578947368421</v>
      </c>
      <c r="H172" s="138" t="n">
        <f aca="false">IF(Calculator!$E$17="YES",IF(A172&lt;Calculator!$G$17,0,MIN(MIN(MOD(A172/Calculator!$F$17,1),1-MOD(A172/Calculator!$F$17,1)),ABS(MOD(A172/Calculator!$F$17,1)-0.5))),1)</f>
        <v>0.240978245614035</v>
      </c>
      <c r="I172" s="138" t="n">
        <f aca="false">IF(Calculator!$E$18="YES",IF(A172&lt;Calculator!$G$18,0,MIN(MIN(MOD(A172/Calculator!$F$18,1),1-MOD(A172/Calculator!$F$18,1)),ABS(MOD(A172/Calculator!$F$18,1)-0.5))),1)</f>
        <v>0.232157894736842</v>
      </c>
      <c r="J172" s="138" t="n">
        <f aca="false">IF(Calculator!$E$19="YES",IF(A172&lt;Calculator!$G$19,0,MIN(MIN(MOD(A172/Calculator!$F$19,1),1-MOD(A172/Calculator!$F$19,1)),ABS(MOD(A172/Calculator!$F$19,1)-0.5))),1)</f>
        <v>0.202119298245615</v>
      </c>
      <c r="K172" s="138" t="n">
        <f aca="false">IF(Calculator!$E$20="YES",IF(A172&lt;Calculator!$G$20,0,MIN(MIN(MOD(A172/Calculator!$F$20,1),1-MOD(A172/Calculator!$F$20,1)),ABS(MOD(A172/Calculator!$F$20,1)-0.5))),1)</f>
        <v>0.106701754385965</v>
      </c>
      <c r="L172" s="138" t="n">
        <f aca="false">IF(Calculator!$E$21="YES",IF(A172&lt;Calculator!$G$21,0,MIN(MIN(MOD(A172/Calculator!$F$21,1),1-MOD(A172/Calculator!$F$21,1)),ABS(MOD(A172/Calculator!$F$21,1)-0.5))),1)</f>
        <v>0.0814035087719303</v>
      </c>
      <c r="M172" s="138" t="n">
        <f aca="false">MIN(B172:L172)</f>
        <v>0</v>
      </c>
      <c r="N172" s="138" t="n">
        <f aca="false">SUMPRODUCT(($M$5:$M$555&gt;M172)*1)+SUMPRODUCT(($M$5:$M$555=M172)*(ROW($M$5:$M$555)&lt;ROW(M172)))+1</f>
        <v>393</v>
      </c>
      <c r="O172" s="138" t="str">
        <f aca="false">IF(M172&gt;=0.2,"★★★ EXCELLENT",IF(M172&gt;=0.12,"★★  GOOD",IF(M172&gt;=0.07,"★  FAIR",IF(M172&gt;=0.025,"⚠  MARGINAL","✗  AVOID"))))</f>
        <v>✗  AVOID</v>
      </c>
    </row>
    <row r="173" customFormat="false" ht="15" hidden="false" customHeight="false" outlineLevel="0" collapsed="false">
      <c r="A173" s="135" t="n">
        <v>21.8</v>
      </c>
      <c r="B173" s="136" t="n">
        <f aca="false">IF(Calculator!$E$11="YES",IF(A173&lt;Calculator!$G$11,0,MIN(MIN(MOD(A173/Calculator!$F$11,1),1-MOD(A173/Calculator!$F$11,1)),ABS(MOD(A173/Calculator!$F$11,1)-0.5))),1)</f>
        <v>0</v>
      </c>
      <c r="C173" s="136" t="n">
        <f aca="false">IF(Calculator!$E$12="YES",IF(A173&lt;Calculator!$G$12,0,MIN(MIN(MOD(A173/Calculator!$F$12,1),1-MOD(A173/Calculator!$F$12,1)),ABS(MOD(A173/Calculator!$F$12,1)-0.5))),1)</f>
        <v>0.0583859649122808</v>
      </c>
      <c r="D173" s="136" t="n">
        <f aca="false">IF(Calculator!$E$13="YES",IF(A173&lt;Calculator!$G$13,0,MIN(MIN(MOD(A173/Calculator!$F$13,1),1-MOD(A173/Calculator!$F$13,1)),ABS(MOD(A173/Calculator!$F$13,1)-0.5))),1)</f>
        <v>0.18016701754386</v>
      </c>
      <c r="E173" s="136" t="n">
        <f aca="false">IF(Calculator!$E$14="YES",IF(A173&lt;Calculator!$G$14,0,MIN(MIN(MOD(A173/Calculator!$F$14,1),1-MOD(A173/Calculator!$F$14,1)),ABS(MOD(A173/Calculator!$F$14,1)-0.5))),1)</f>
        <v>0.0938245614035089</v>
      </c>
      <c r="F173" s="136" t="n">
        <f aca="false">IF(Calculator!$E$15="YES",IF(A173&lt;Calculator!$G$15,0,MIN(MIN(MOD(A173/Calculator!$F$15,1),1-MOD(A173/Calculator!$F$15,1)),ABS(MOD(A173/Calculator!$F$15,1)-0.5))),1)</f>
        <v>0.0489473684210526</v>
      </c>
      <c r="G173" s="136" t="n">
        <f aca="false">IF(Calculator!$E$16="YES",IF(A173&lt;Calculator!$G$16,0,MIN(MIN(MOD(A173/Calculator!$F$16,1),1-MOD(A173/Calculator!$F$16,1)),ABS(MOD(A173/Calculator!$F$16,1)-0.5))),1)</f>
        <v>0.168526315789474</v>
      </c>
      <c r="H173" s="136" t="n">
        <f aca="false">IF(Calculator!$E$17="YES",IF(A173&lt;Calculator!$G$17,0,MIN(MIN(MOD(A173/Calculator!$F$17,1),1-MOD(A173/Calculator!$F$17,1)),ABS(MOD(A173/Calculator!$F$17,1)-0.5))),1)</f>
        <v>0.228263859649122</v>
      </c>
      <c r="I173" s="136" t="n">
        <f aca="false">IF(Calculator!$E$18="YES",IF(A173&lt;Calculator!$G$18,0,MIN(MIN(MOD(A173/Calculator!$F$18,1),1-MOD(A173/Calculator!$F$18,1)),ABS(MOD(A173/Calculator!$F$18,1)-0.5))),1)</f>
        <v>0.247052631578947</v>
      </c>
      <c r="J173" s="136" t="n">
        <f aca="false">IF(Calculator!$E$19="YES",IF(A173&lt;Calculator!$G$19,0,MIN(MIN(MOD(A173/Calculator!$F$19,1),1-MOD(A173/Calculator!$F$19,1)),ABS(MOD(A173/Calculator!$F$19,1)-0.5))),1)</f>
        <v>0.18461754385965</v>
      </c>
      <c r="K173" s="136" t="n">
        <f aca="false">IF(Calculator!$E$20="YES",IF(A173&lt;Calculator!$G$20,0,MIN(MIN(MOD(A173/Calculator!$F$20,1),1-MOD(A173/Calculator!$F$20,1)),ABS(MOD(A173/Calculator!$F$20,1)-0.5))),1)</f>
        <v>0.0864561403508768</v>
      </c>
      <c r="L173" s="136" t="n">
        <f aca="false">IF(Calculator!$E$21="YES",IF(A173&lt;Calculator!$G$21,0,MIN(MIN(MOD(A173/Calculator!$F$21,1),1-MOD(A173/Calculator!$F$21,1)),ABS(MOD(A173/Calculator!$F$21,1)-0.5))),1)</f>
        <v>0.0449122807017544</v>
      </c>
      <c r="M173" s="136" t="n">
        <f aca="false">MIN(B173:L173)</f>
        <v>0</v>
      </c>
      <c r="N173" s="136" t="n">
        <f aca="false">SUMPRODUCT(($M$5:$M$555&gt;M173)*1)+SUMPRODUCT(($M$5:$M$555=M173)*(ROW($M$5:$M$555)&lt;ROW(M173)))+1</f>
        <v>394</v>
      </c>
      <c r="O173" s="136" t="str">
        <f aca="false">IF(M173&gt;=0.2,"★★★ EXCELLENT",IF(M173&gt;=0.12,"★★  GOOD",IF(M173&gt;=0.07,"★  FAIR",IF(M173&gt;=0.025,"⚠  MARGINAL","✗  AVOID"))))</f>
        <v>✗  AVOID</v>
      </c>
    </row>
    <row r="174" customFormat="false" ht="15" hidden="false" customHeight="false" outlineLevel="0" collapsed="false">
      <c r="A174" s="137" t="n">
        <v>21.9</v>
      </c>
      <c r="B174" s="138" t="n">
        <f aca="false">IF(Calculator!$E$11="YES",IF(A174&lt;Calculator!$G$11,0,MIN(MIN(MOD(A174/Calculator!$F$11,1),1-MOD(A174/Calculator!$F$11,1)),ABS(MOD(A174/Calculator!$F$11,1)-0.5))),1)</f>
        <v>0</v>
      </c>
      <c r="C174" s="138" t="n">
        <f aca="false">IF(Calculator!$E$12="YES",IF(A174&lt;Calculator!$G$12,0,MIN(MIN(MOD(A174/Calculator!$F$12,1),1-MOD(A174/Calculator!$F$12,1)),ABS(MOD(A174/Calculator!$F$12,1)-0.5))),1)</f>
        <v>0.0609473684210526</v>
      </c>
      <c r="D174" s="138" t="n">
        <f aca="false">IF(Calculator!$E$13="YES",IF(A174&lt;Calculator!$G$13,0,MIN(MIN(MOD(A174/Calculator!$F$13,1),1-MOD(A174/Calculator!$F$13,1)),ABS(MOD(A174/Calculator!$F$13,1)-0.5))),1)</f>
        <v>0.176406315789474</v>
      </c>
      <c r="E174" s="138" t="n">
        <f aca="false">IF(Calculator!$E$14="YES",IF(A174&lt;Calculator!$G$14,0,MIN(MIN(MOD(A174/Calculator!$F$14,1),1-MOD(A174/Calculator!$F$14,1)),ABS(MOD(A174/Calculator!$F$14,1)-0.5))),1)</f>
        <v>0.0988421052631578</v>
      </c>
      <c r="F174" s="138" t="n">
        <f aca="false">IF(Calculator!$E$15="YES",IF(A174&lt;Calculator!$G$15,0,MIN(MIN(MOD(A174/Calculator!$F$15,1),1-MOD(A174/Calculator!$F$15,1)),ABS(MOD(A174/Calculator!$F$15,1)-0.5))),1)</f>
        <v>0.0560526315789471</v>
      </c>
      <c r="G174" s="138" t="n">
        <f aca="false">IF(Calculator!$E$16="YES",IF(A174&lt;Calculator!$G$16,0,MIN(MIN(MOD(A174/Calculator!$F$16,1),1-MOD(A174/Calculator!$F$16,1)),ABS(MOD(A174/Calculator!$F$16,1)-0.5))),1)</f>
        <v>0.178473684210526</v>
      </c>
      <c r="H174" s="138" t="n">
        <f aca="false">IF(Calculator!$E$17="YES",IF(A174&lt;Calculator!$G$17,0,MIN(MIN(MOD(A174/Calculator!$F$17,1),1-MOD(A174/Calculator!$F$17,1)),ABS(MOD(A174/Calculator!$F$17,1)-0.5))),1)</f>
        <v>0.21554947368421</v>
      </c>
      <c r="I174" s="138" t="n">
        <f aca="false">IF(Calculator!$E$18="YES",IF(A174&lt;Calculator!$G$18,0,MIN(MIN(MOD(A174/Calculator!$F$18,1),1-MOD(A174/Calculator!$F$18,1)),ABS(MOD(A174/Calculator!$F$18,1)-0.5))),1)</f>
        <v>0.238052631578948</v>
      </c>
      <c r="J174" s="138" t="n">
        <f aca="false">IF(Calculator!$E$19="YES",IF(A174&lt;Calculator!$G$19,0,MIN(MIN(MOD(A174/Calculator!$F$19,1),1-MOD(A174/Calculator!$F$19,1)),ABS(MOD(A174/Calculator!$F$19,1)-0.5))),1)</f>
        <v>0.167115789473685</v>
      </c>
      <c r="K174" s="138" t="n">
        <f aca="false">IF(Calculator!$E$20="YES",IF(A174&lt;Calculator!$G$20,0,MIN(MIN(MOD(A174/Calculator!$F$20,1),1-MOD(A174/Calculator!$F$20,1)),ABS(MOD(A174/Calculator!$F$20,1)-0.5))),1)</f>
        <v>0.0662105263157899</v>
      </c>
      <c r="L174" s="138" t="n">
        <f aca="false">IF(Calculator!$E$21="YES",IF(A174&lt;Calculator!$G$21,0,MIN(MIN(MOD(A174/Calculator!$F$21,1),1-MOD(A174/Calculator!$F$21,1)),ABS(MOD(A174/Calculator!$F$21,1)-0.5))),1)</f>
        <v>0.00842105263157933</v>
      </c>
      <c r="M174" s="138" t="n">
        <f aca="false">MIN(B174:L174)</f>
        <v>0</v>
      </c>
      <c r="N174" s="138" t="n">
        <f aca="false">SUMPRODUCT(($M$5:$M$555&gt;M174)*1)+SUMPRODUCT(($M$5:$M$555=M174)*(ROW($M$5:$M$555)&lt;ROW(M174)))+1</f>
        <v>395</v>
      </c>
      <c r="O174" s="138" t="str">
        <f aca="false">IF(M174&gt;=0.2,"★★★ EXCELLENT",IF(M174&gt;=0.12,"★★  GOOD",IF(M174&gt;=0.07,"★  FAIR",IF(M174&gt;=0.025,"⚠  MARGINAL","✗  AVOID"))))</f>
        <v>✗  AVOID</v>
      </c>
    </row>
    <row r="175" customFormat="false" ht="15" hidden="false" customHeight="false" outlineLevel="0" collapsed="false">
      <c r="A175" s="135" t="n">
        <v>22</v>
      </c>
      <c r="B175" s="136" t="n">
        <f aca="false">IF(Calculator!$E$11="YES",IF(A175&lt;Calculator!$G$11,0,MIN(MIN(MOD(A175/Calculator!$F$11,1),1-MOD(A175/Calculator!$F$11,1)),ABS(MOD(A175/Calculator!$F$11,1)-0.5))),1)</f>
        <v>0</v>
      </c>
      <c r="C175" s="136" t="n">
        <f aca="false">IF(Calculator!$E$12="YES",IF(A175&lt;Calculator!$G$12,0,MIN(MIN(MOD(A175/Calculator!$F$12,1),1-MOD(A175/Calculator!$F$12,1)),ABS(MOD(A175/Calculator!$F$12,1)-0.5))),1)</f>
        <v>0.0635087719298246</v>
      </c>
      <c r="D175" s="136" t="n">
        <f aca="false">IF(Calculator!$E$13="YES",IF(A175&lt;Calculator!$G$13,0,MIN(MIN(MOD(A175/Calculator!$F$13,1),1-MOD(A175/Calculator!$F$13,1)),ABS(MOD(A175/Calculator!$F$13,1)-0.5))),1)</f>
        <v>0.172645614035088</v>
      </c>
      <c r="E175" s="136" t="n">
        <f aca="false">IF(Calculator!$E$14="YES",IF(A175&lt;Calculator!$G$14,0,MIN(MIN(MOD(A175/Calculator!$F$14,1),1-MOD(A175/Calculator!$F$14,1)),ABS(MOD(A175/Calculator!$F$14,1)-0.5))),1)</f>
        <v>0.103859649122807</v>
      </c>
      <c r="F175" s="136" t="n">
        <f aca="false">IF(Calculator!$E$15="YES",IF(A175&lt;Calculator!$G$15,0,MIN(MIN(MOD(A175/Calculator!$F$15,1),1-MOD(A175/Calculator!$F$15,1)),ABS(MOD(A175/Calculator!$F$15,1)-0.5))),1)</f>
        <v>0.0631578947368421</v>
      </c>
      <c r="G175" s="136" t="n">
        <f aca="false">IF(Calculator!$E$16="YES",IF(A175&lt;Calculator!$G$16,0,MIN(MIN(MOD(A175/Calculator!$F$16,1),1-MOD(A175/Calculator!$F$16,1)),ABS(MOD(A175/Calculator!$F$16,1)-0.5))),1)</f>
        <v>0.188421052631579</v>
      </c>
      <c r="H175" s="136" t="n">
        <f aca="false">IF(Calculator!$E$17="YES",IF(A175&lt;Calculator!$G$17,0,MIN(MIN(MOD(A175/Calculator!$F$17,1),1-MOD(A175/Calculator!$F$17,1)),ABS(MOD(A175/Calculator!$F$17,1)-0.5))),1)</f>
        <v>0.202835087719298</v>
      </c>
      <c r="I175" s="136" t="n">
        <f aca="false">IF(Calculator!$E$18="YES",IF(A175&lt;Calculator!$G$18,0,MIN(MIN(MOD(A175/Calculator!$F$18,1),1-MOD(A175/Calculator!$F$18,1)),ABS(MOD(A175/Calculator!$F$18,1)-0.5))),1)</f>
        <v>0.223157894736842</v>
      </c>
      <c r="J175" s="136" t="n">
        <f aca="false">IF(Calculator!$E$19="YES",IF(A175&lt;Calculator!$G$19,0,MIN(MIN(MOD(A175/Calculator!$F$19,1),1-MOD(A175/Calculator!$F$19,1)),ABS(MOD(A175/Calculator!$F$19,1)-0.5))),1)</f>
        <v>0.14961403508772</v>
      </c>
      <c r="K175" s="136" t="n">
        <f aca="false">IF(Calculator!$E$20="YES",IF(A175&lt;Calculator!$G$20,0,MIN(MIN(MOD(A175/Calculator!$F$20,1),1-MOD(A175/Calculator!$F$20,1)),ABS(MOD(A175/Calculator!$F$20,1)-0.5))),1)</f>
        <v>0.0459649122807022</v>
      </c>
      <c r="L175" s="136" t="n">
        <f aca="false">IF(Calculator!$E$21="YES",IF(A175&lt;Calculator!$G$21,0,MIN(MIN(MOD(A175/Calculator!$F$21,1),1-MOD(A175/Calculator!$F$21,1)),ABS(MOD(A175/Calculator!$F$21,1)-0.5))),1)</f>
        <v>0.0280701754385966</v>
      </c>
      <c r="M175" s="136" t="n">
        <f aca="false">MIN(B175:L175)</f>
        <v>0</v>
      </c>
      <c r="N175" s="136" t="n">
        <f aca="false">SUMPRODUCT(($M$5:$M$555&gt;M175)*1)+SUMPRODUCT(($M$5:$M$555=M175)*(ROW($M$5:$M$555)&lt;ROW(M175)))+1</f>
        <v>396</v>
      </c>
      <c r="O175" s="136" t="str">
        <f aca="false">IF(M175&gt;=0.2,"★★★ EXCELLENT",IF(M175&gt;=0.12,"★★  GOOD",IF(M175&gt;=0.07,"★  FAIR",IF(M175&gt;=0.025,"⚠  MARGINAL","✗  AVOID"))))</f>
        <v>✗  AVOID</v>
      </c>
    </row>
    <row r="176" customFormat="false" ht="15" hidden="false" customHeight="false" outlineLevel="0" collapsed="false">
      <c r="A176" s="137" t="n">
        <v>22.1</v>
      </c>
      <c r="B176" s="138" t="n">
        <f aca="false">IF(Calculator!$E$11="YES",IF(A176&lt;Calculator!$G$11,0,MIN(MIN(MOD(A176/Calculator!$F$11,1),1-MOD(A176/Calculator!$F$11,1)),ABS(MOD(A176/Calculator!$F$11,1)-0.5))),1)</f>
        <v>0</v>
      </c>
      <c r="C176" s="138" t="n">
        <f aca="false">IF(Calculator!$E$12="YES",IF(A176&lt;Calculator!$G$12,0,MIN(MIN(MOD(A176/Calculator!$F$12,1),1-MOD(A176/Calculator!$F$12,1)),ABS(MOD(A176/Calculator!$F$12,1)-0.5))),1)</f>
        <v>0.0660701754385965</v>
      </c>
      <c r="D176" s="138" t="n">
        <f aca="false">IF(Calculator!$E$13="YES",IF(A176&lt;Calculator!$G$13,0,MIN(MIN(MOD(A176/Calculator!$F$13,1),1-MOD(A176/Calculator!$F$13,1)),ABS(MOD(A176/Calculator!$F$13,1)-0.5))),1)</f>
        <v>0.168884912280702</v>
      </c>
      <c r="E176" s="138" t="n">
        <f aca="false">IF(Calculator!$E$14="YES",IF(A176&lt;Calculator!$G$14,0,MIN(MIN(MOD(A176/Calculator!$F$14,1),1-MOD(A176/Calculator!$F$14,1)),ABS(MOD(A176/Calculator!$F$14,1)-0.5))),1)</f>
        <v>0.108877192982456</v>
      </c>
      <c r="F176" s="138" t="n">
        <f aca="false">IF(Calculator!$E$15="YES",IF(A176&lt;Calculator!$G$15,0,MIN(MIN(MOD(A176/Calculator!$F$15,1),1-MOD(A176/Calculator!$F$15,1)),ABS(MOD(A176/Calculator!$F$15,1)-0.5))),1)</f>
        <v>0.0702631578947368</v>
      </c>
      <c r="G176" s="138" t="n">
        <f aca="false">IF(Calculator!$E$16="YES",IF(A176&lt;Calculator!$G$16,0,MIN(MIN(MOD(A176/Calculator!$F$16,1),1-MOD(A176/Calculator!$F$16,1)),ABS(MOD(A176/Calculator!$F$16,1)-0.5))),1)</f>
        <v>0.198368421052632</v>
      </c>
      <c r="H176" s="138" t="n">
        <f aca="false">IF(Calculator!$E$17="YES",IF(A176&lt;Calculator!$G$17,0,MIN(MIN(MOD(A176/Calculator!$F$17,1),1-MOD(A176/Calculator!$F$17,1)),ABS(MOD(A176/Calculator!$F$17,1)-0.5))),1)</f>
        <v>0.190120701754386</v>
      </c>
      <c r="I176" s="138" t="n">
        <f aca="false">IF(Calculator!$E$18="YES",IF(A176&lt;Calculator!$G$18,0,MIN(MIN(MOD(A176/Calculator!$F$18,1),1-MOD(A176/Calculator!$F$18,1)),ABS(MOD(A176/Calculator!$F$18,1)-0.5))),1)</f>
        <v>0.208263157894736</v>
      </c>
      <c r="J176" s="138" t="n">
        <f aca="false">IF(Calculator!$E$19="YES",IF(A176&lt;Calculator!$G$19,0,MIN(MIN(MOD(A176/Calculator!$F$19,1),1-MOD(A176/Calculator!$F$19,1)),ABS(MOD(A176/Calculator!$F$19,1)-0.5))),1)</f>
        <v>0.132112280701755</v>
      </c>
      <c r="K176" s="138" t="n">
        <f aca="false">IF(Calculator!$E$20="YES",IF(A176&lt;Calculator!$G$20,0,MIN(MIN(MOD(A176/Calculator!$F$20,1),1-MOD(A176/Calculator!$F$20,1)),ABS(MOD(A176/Calculator!$F$20,1)-0.5))),1)</f>
        <v>0.0257192982456136</v>
      </c>
      <c r="L176" s="138" t="n">
        <f aca="false">IF(Calculator!$E$21="YES",IF(A176&lt;Calculator!$G$21,0,MIN(MIN(MOD(A176/Calculator!$F$21,1),1-MOD(A176/Calculator!$F$21,1)),ABS(MOD(A176/Calculator!$F$21,1)-0.5))),1)</f>
        <v>0.0645614035087725</v>
      </c>
      <c r="M176" s="138" t="n">
        <f aca="false">MIN(B176:L176)</f>
        <v>0</v>
      </c>
      <c r="N176" s="138" t="n">
        <f aca="false">SUMPRODUCT(($M$5:$M$555&gt;M176)*1)+SUMPRODUCT(($M$5:$M$555=M176)*(ROW($M$5:$M$555)&lt;ROW(M176)))+1</f>
        <v>397</v>
      </c>
      <c r="O176" s="138" t="str">
        <f aca="false">IF(M176&gt;=0.2,"★★★ EXCELLENT",IF(M176&gt;=0.12,"★★  GOOD",IF(M176&gt;=0.07,"★  FAIR",IF(M176&gt;=0.025,"⚠  MARGINAL","✗  AVOID"))))</f>
        <v>✗  AVOID</v>
      </c>
    </row>
    <row r="177" customFormat="false" ht="15" hidden="false" customHeight="false" outlineLevel="0" collapsed="false">
      <c r="A177" s="135" t="n">
        <v>22.2</v>
      </c>
      <c r="B177" s="136" t="n">
        <f aca="false">IF(Calculator!$E$11="YES",IF(A177&lt;Calculator!$G$11,0,MIN(MIN(MOD(A177/Calculator!$F$11,1),1-MOD(A177/Calculator!$F$11,1)),ABS(MOD(A177/Calculator!$F$11,1)-0.5))),1)</f>
        <v>0</v>
      </c>
      <c r="C177" s="136" t="n">
        <f aca="false">IF(Calculator!$E$12="YES",IF(A177&lt;Calculator!$G$12,0,MIN(MIN(MOD(A177/Calculator!$F$12,1),1-MOD(A177/Calculator!$F$12,1)),ABS(MOD(A177/Calculator!$F$12,1)-0.5))),1)</f>
        <v>0.0686315789473684</v>
      </c>
      <c r="D177" s="136" t="n">
        <f aca="false">IF(Calculator!$E$13="YES",IF(A177&lt;Calculator!$G$13,0,MIN(MIN(MOD(A177/Calculator!$F$13,1),1-MOD(A177/Calculator!$F$13,1)),ABS(MOD(A177/Calculator!$F$13,1)-0.5))),1)</f>
        <v>0.165124210526316</v>
      </c>
      <c r="E177" s="136" t="n">
        <f aca="false">IF(Calculator!$E$14="YES",IF(A177&lt;Calculator!$G$14,0,MIN(MIN(MOD(A177/Calculator!$F$14,1),1-MOD(A177/Calculator!$F$14,1)),ABS(MOD(A177/Calculator!$F$14,1)-0.5))),1)</f>
        <v>0.113894736842105</v>
      </c>
      <c r="F177" s="136" t="n">
        <f aca="false">IF(Calculator!$E$15="YES",IF(A177&lt;Calculator!$G$15,0,MIN(MIN(MOD(A177/Calculator!$F$15,1),1-MOD(A177/Calculator!$F$15,1)),ABS(MOD(A177/Calculator!$F$15,1)-0.5))),1)</f>
        <v>0.0773684210526315</v>
      </c>
      <c r="G177" s="136" t="n">
        <f aca="false">IF(Calculator!$E$16="YES",IF(A177&lt;Calculator!$G$16,0,MIN(MIN(MOD(A177/Calculator!$F$16,1),1-MOD(A177/Calculator!$F$16,1)),ABS(MOD(A177/Calculator!$F$16,1)-0.5))),1)</f>
        <v>0.208315789473684</v>
      </c>
      <c r="H177" s="136" t="n">
        <f aca="false">IF(Calculator!$E$17="YES",IF(A177&lt;Calculator!$G$17,0,MIN(MIN(MOD(A177/Calculator!$F$17,1),1-MOD(A177/Calculator!$F$17,1)),ABS(MOD(A177/Calculator!$F$17,1)-0.5))),1)</f>
        <v>0.177406315789474</v>
      </c>
      <c r="I177" s="136" t="n">
        <f aca="false">IF(Calculator!$E$18="YES",IF(A177&lt;Calculator!$G$18,0,MIN(MIN(MOD(A177/Calculator!$F$18,1),1-MOD(A177/Calculator!$F$18,1)),ABS(MOD(A177/Calculator!$F$18,1)-0.5))),1)</f>
        <v>0.193368421052631</v>
      </c>
      <c r="J177" s="136" t="n">
        <f aca="false">IF(Calculator!$E$19="YES",IF(A177&lt;Calculator!$G$19,0,MIN(MIN(MOD(A177/Calculator!$F$19,1),1-MOD(A177/Calculator!$F$19,1)),ABS(MOD(A177/Calculator!$F$19,1)-0.5))),1)</f>
        <v>0.11461052631579</v>
      </c>
      <c r="K177" s="136" t="n">
        <f aca="false">IF(Calculator!$E$20="YES",IF(A177&lt;Calculator!$G$20,0,MIN(MIN(MOD(A177/Calculator!$F$20,1),1-MOD(A177/Calculator!$F$20,1)),ABS(MOD(A177/Calculator!$F$20,1)-0.5))),1)</f>
        <v>0.00547368421052674</v>
      </c>
      <c r="L177" s="136" t="n">
        <f aca="false">IF(Calculator!$E$21="YES",IF(A177&lt;Calculator!$G$21,0,MIN(MIN(MOD(A177/Calculator!$F$21,1),1-MOD(A177/Calculator!$F$21,1)),ABS(MOD(A177/Calculator!$F$21,1)-0.5))),1)</f>
        <v>0.101052631578947</v>
      </c>
      <c r="M177" s="136" t="n">
        <f aca="false">MIN(B177:L177)</f>
        <v>0</v>
      </c>
      <c r="N177" s="136" t="n">
        <f aca="false">SUMPRODUCT(($M$5:$M$555&gt;M177)*1)+SUMPRODUCT(($M$5:$M$555=M177)*(ROW($M$5:$M$555)&lt;ROW(M177)))+1</f>
        <v>398</v>
      </c>
      <c r="O177" s="136" t="str">
        <f aca="false">IF(M177&gt;=0.2,"★★★ EXCELLENT",IF(M177&gt;=0.12,"★★  GOOD",IF(M177&gt;=0.07,"★  FAIR",IF(M177&gt;=0.025,"⚠  MARGINAL","✗  AVOID"))))</f>
        <v>✗  AVOID</v>
      </c>
    </row>
    <row r="178" customFormat="false" ht="15" hidden="false" customHeight="false" outlineLevel="0" collapsed="false">
      <c r="A178" s="137" t="n">
        <v>22.3</v>
      </c>
      <c r="B178" s="138" t="n">
        <f aca="false">IF(Calculator!$E$11="YES",IF(A178&lt;Calculator!$G$11,0,MIN(MIN(MOD(A178/Calculator!$F$11,1),1-MOD(A178/Calculator!$F$11,1)),ABS(MOD(A178/Calculator!$F$11,1)-0.5))),1)</f>
        <v>0</v>
      </c>
      <c r="C178" s="138" t="n">
        <f aca="false">IF(Calculator!$E$12="YES",IF(A178&lt;Calculator!$G$12,0,MIN(MIN(MOD(A178/Calculator!$F$12,1),1-MOD(A178/Calculator!$F$12,1)),ABS(MOD(A178/Calculator!$F$12,1)-0.5))),1)</f>
        <v>0.0711929824561404</v>
      </c>
      <c r="D178" s="138" t="n">
        <f aca="false">IF(Calculator!$E$13="YES",IF(A178&lt;Calculator!$G$13,0,MIN(MIN(MOD(A178/Calculator!$F$13,1),1-MOD(A178/Calculator!$F$13,1)),ABS(MOD(A178/Calculator!$F$13,1)-0.5))),1)</f>
        <v>0.16136350877193</v>
      </c>
      <c r="E178" s="138" t="n">
        <f aca="false">IF(Calculator!$E$14="YES",IF(A178&lt;Calculator!$G$14,0,MIN(MIN(MOD(A178/Calculator!$F$14,1),1-MOD(A178/Calculator!$F$14,1)),ABS(MOD(A178/Calculator!$F$14,1)-0.5))),1)</f>
        <v>0.118912280701754</v>
      </c>
      <c r="F178" s="138" t="n">
        <f aca="false">IF(Calculator!$E$15="YES",IF(A178&lt;Calculator!$G$15,0,MIN(MIN(MOD(A178/Calculator!$F$15,1),1-MOD(A178/Calculator!$F$15,1)),ABS(MOD(A178/Calculator!$F$15,1)-0.5))),1)</f>
        <v>0.0844736842105263</v>
      </c>
      <c r="G178" s="138" t="n">
        <f aca="false">IF(Calculator!$E$16="YES",IF(A178&lt;Calculator!$G$16,0,MIN(MIN(MOD(A178/Calculator!$F$16,1),1-MOD(A178/Calculator!$F$16,1)),ABS(MOD(A178/Calculator!$F$16,1)-0.5))),1)</f>
        <v>0.218263157894737</v>
      </c>
      <c r="H178" s="138" t="n">
        <f aca="false">IF(Calculator!$E$17="YES",IF(A178&lt;Calculator!$G$17,0,MIN(MIN(MOD(A178/Calculator!$F$17,1),1-MOD(A178/Calculator!$F$17,1)),ABS(MOD(A178/Calculator!$F$17,1)-0.5))),1)</f>
        <v>0.164691929824561</v>
      </c>
      <c r="I178" s="138" t="n">
        <f aca="false">IF(Calculator!$E$18="YES",IF(A178&lt;Calculator!$G$18,0,MIN(MIN(MOD(A178/Calculator!$F$18,1),1-MOD(A178/Calculator!$F$18,1)),ABS(MOD(A178/Calculator!$F$18,1)-0.5))),1)</f>
        <v>0.178473684210526</v>
      </c>
      <c r="J178" s="138" t="n">
        <f aca="false">IF(Calculator!$E$19="YES",IF(A178&lt;Calculator!$G$19,0,MIN(MIN(MOD(A178/Calculator!$F$19,1),1-MOD(A178/Calculator!$F$19,1)),ABS(MOD(A178/Calculator!$F$19,1)-0.5))),1)</f>
        <v>0.0971087719298249</v>
      </c>
      <c r="K178" s="138" t="n">
        <f aca="false">IF(Calculator!$E$20="YES",IF(A178&lt;Calculator!$G$20,0,MIN(MIN(MOD(A178/Calculator!$F$20,1),1-MOD(A178/Calculator!$F$20,1)),ABS(MOD(A178/Calculator!$F$20,1)-0.5))),1)</f>
        <v>0.0147719298245619</v>
      </c>
      <c r="L178" s="138" t="n">
        <f aca="false">IF(Calculator!$E$21="YES",IF(A178&lt;Calculator!$G$21,0,MIN(MIN(MOD(A178/Calculator!$F$21,1),1-MOD(A178/Calculator!$F$21,1)),ABS(MOD(A178/Calculator!$F$21,1)-0.5))),1)</f>
        <v>0.137543859649123</v>
      </c>
      <c r="M178" s="138" t="n">
        <f aca="false">MIN(B178:L178)</f>
        <v>0</v>
      </c>
      <c r="N178" s="138" t="n">
        <f aca="false">SUMPRODUCT(($M$5:$M$555&gt;M178)*1)+SUMPRODUCT(($M$5:$M$555=M178)*(ROW($M$5:$M$555)&lt;ROW(M178)))+1</f>
        <v>399</v>
      </c>
      <c r="O178" s="138" t="str">
        <f aca="false">IF(M178&gt;=0.2,"★★★ EXCELLENT",IF(M178&gt;=0.12,"★★  GOOD",IF(M178&gt;=0.07,"★  FAIR",IF(M178&gt;=0.025,"⚠  MARGINAL","✗  AVOID"))))</f>
        <v>✗  AVOID</v>
      </c>
    </row>
    <row r="179" customFormat="false" ht="15" hidden="false" customHeight="false" outlineLevel="0" collapsed="false">
      <c r="A179" s="135" t="n">
        <v>22.4</v>
      </c>
      <c r="B179" s="136" t="n">
        <f aca="false">IF(Calculator!$E$11="YES",IF(A179&lt;Calculator!$G$11,0,MIN(MIN(MOD(A179/Calculator!$F$11,1),1-MOD(A179/Calculator!$F$11,1)),ABS(MOD(A179/Calculator!$F$11,1)-0.5))),1)</f>
        <v>0</v>
      </c>
      <c r="C179" s="136" t="n">
        <f aca="false">IF(Calculator!$E$12="YES",IF(A179&lt;Calculator!$G$12,0,MIN(MIN(MOD(A179/Calculator!$F$12,1),1-MOD(A179/Calculator!$F$12,1)),ABS(MOD(A179/Calculator!$F$12,1)-0.5))),1)</f>
        <v>0.0737543859649122</v>
      </c>
      <c r="D179" s="136" t="n">
        <f aca="false">IF(Calculator!$E$13="YES",IF(A179&lt;Calculator!$G$13,0,MIN(MIN(MOD(A179/Calculator!$F$13,1),1-MOD(A179/Calculator!$F$13,1)),ABS(MOD(A179/Calculator!$F$13,1)-0.5))),1)</f>
        <v>0.157602807017544</v>
      </c>
      <c r="E179" s="136" t="n">
        <f aca="false">IF(Calculator!$E$14="YES",IF(A179&lt;Calculator!$G$14,0,MIN(MIN(MOD(A179/Calculator!$F$14,1),1-MOD(A179/Calculator!$F$14,1)),ABS(MOD(A179/Calculator!$F$14,1)-0.5))),1)</f>
        <v>0.123929824561403</v>
      </c>
      <c r="F179" s="136" t="n">
        <f aca="false">IF(Calculator!$E$15="YES",IF(A179&lt;Calculator!$G$15,0,MIN(MIN(MOD(A179/Calculator!$F$15,1),1-MOD(A179/Calculator!$F$15,1)),ABS(MOD(A179/Calculator!$F$15,1)-0.5))),1)</f>
        <v>0.091578947368421</v>
      </c>
      <c r="G179" s="136" t="n">
        <f aca="false">IF(Calculator!$E$16="YES",IF(A179&lt;Calculator!$G$16,0,MIN(MIN(MOD(A179/Calculator!$F$16,1),1-MOD(A179/Calculator!$F$16,1)),ABS(MOD(A179/Calculator!$F$16,1)-0.5))),1)</f>
        <v>0.228210526315789</v>
      </c>
      <c r="H179" s="136" t="n">
        <f aca="false">IF(Calculator!$E$17="YES",IF(A179&lt;Calculator!$G$17,0,MIN(MIN(MOD(A179/Calculator!$F$17,1),1-MOD(A179/Calculator!$F$17,1)),ABS(MOD(A179/Calculator!$F$17,1)-0.5))),1)</f>
        <v>0.151977543859649</v>
      </c>
      <c r="I179" s="136" t="n">
        <f aca="false">IF(Calculator!$E$18="YES",IF(A179&lt;Calculator!$G$18,0,MIN(MIN(MOD(A179/Calculator!$F$18,1),1-MOD(A179/Calculator!$F$18,1)),ABS(MOD(A179/Calculator!$F$18,1)-0.5))),1)</f>
        <v>0.163578947368421</v>
      </c>
      <c r="J179" s="136" t="n">
        <f aca="false">IF(Calculator!$E$19="YES",IF(A179&lt;Calculator!$G$19,0,MIN(MIN(MOD(A179/Calculator!$F$19,1),1-MOD(A179/Calculator!$F$19,1)),ABS(MOD(A179/Calculator!$F$19,1)-0.5))),1)</f>
        <v>0.0796070175438604</v>
      </c>
      <c r="K179" s="136" t="n">
        <f aca="false">IF(Calculator!$E$20="YES",IF(A179&lt;Calculator!$G$20,0,MIN(MIN(MOD(A179/Calculator!$F$20,1),1-MOD(A179/Calculator!$F$20,1)),ABS(MOD(A179/Calculator!$F$20,1)-0.5))),1)</f>
        <v>0.0350175438596487</v>
      </c>
      <c r="L179" s="136" t="n">
        <f aca="false">IF(Calculator!$E$21="YES",IF(A179&lt;Calculator!$G$21,0,MIN(MIN(MOD(A179/Calculator!$F$21,1),1-MOD(A179/Calculator!$F$21,1)),ABS(MOD(A179/Calculator!$F$21,1)-0.5))),1)</f>
        <v>0.174035087719298</v>
      </c>
      <c r="M179" s="136" t="n">
        <f aca="false">MIN(B179:L179)</f>
        <v>0</v>
      </c>
      <c r="N179" s="136" t="n">
        <f aca="false">SUMPRODUCT(($M$5:$M$555&gt;M179)*1)+SUMPRODUCT(($M$5:$M$555=M179)*(ROW($M$5:$M$555)&lt;ROW(M179)))+1</f>
        <v>400</v>
      </c>
      <c r="O179" s="136" t="str">
        <f aca="false">IF(M179&gt;=0.2,"★★★ EXCELLENT",IF(M179&gt;=0.12,"★★  GOOD",IF(M179&gt;=0.07,"★  FAIR",IF(M179&gt;=0.025,"⚠  MARGINAL","✗  AVOID"))))</f>
        <v>✗  AVOID</v>
      </c>
    </row>
    <row r="180" customFormat="false" ht="15" hidden="false" customHeight="false" outlineLevel="0" collapsed="false">
      <c r="A180" s="137" t="n">
        <v>22.5</v>
      </c>
      <c r="B180" s="138" t="n">
        <f aca="false">IF(Calculator!$E$11="YES",IF(A180&lt;Calculator!$G$11,0,MIN(MIN(MOD(A180/Calculator!$F$11,1),1-MOD(A180/Calculator!$F$11,1)),ABS(MOD(A180/Calculator!$F$11,1)-0.5))),1)</f>
        <v>0</v>
      </c>
      <c r="C180" s="138" t="n">
        <f aca="false">IF(Calculator!$E$12="YES",IF(A180&lt;Calculator!$G$12,0,MIN(MIN(MOD(A180/Calculator!$F$12,1),1-MOD(A180/Calculator!$F$12,1)),ABS(MOD(A180/Calculator!$F$12,1)-0.5))),1)</f>
        <v>0.0763157894736842</v>
      </c>
      <c r="D180" s="138" t="n">
        <f aca="false">IF(Calculator!$E$13="YES",IF(A180&lt;Calculator!$G$13,0,MIN(MIN(MOD(A180/Calculator!$F$13,1),1-MOD(A180/Calculator!$F$13,1)),ABS(MOD(A180/Calculator!$F$13,1)-0.5))),1)</f>
        <v>0.153842105263158</v>
      </c>
      <c r="E180" s="138" t="n">
        <f aca="false">IF(Calculator!$E$14="YES",IF(A180&lt;Calculator!$G$14,0,MIN(MIN(MOD(A180/Calculator!$F$14,1),1-MOD(A180/Calculator!$F$14,1)),ABS(MOD(A180/Calculator!$F$14,1)-0.5))),1)</f>
        <v>0.128947368421053</v>
      </c>
      <c r="F180" s="138" t="n">
        <f aca="false">IF(Calculator!$E$15="YES",IF(A180&lt;Calculator!$G$15,0,MIN(MIN(MOD(A180/Calculator!$F$15,1),1-MOD(A180/Calculator!$F$15,1)),ABS(MOD(A180/Calculator!$F$15,1)-0.5))),1)</f>
        <v>0.0986842105263157</v>
      </c>
      <c r="G180" s="138" t="n">
        <f aca="false">IF(Calculator!$E$16="YES",IF(A180&lt;Calculator!$G$16,0,MIN(MIN(MOD(A180/Calculator!$F$16,1),1-MOD(A180/Calculator!$F$16,1)),ABS(MOD(A180/Calculator!$F$16,1)-0.5))),1)</f>
        <v>0.238157894736842</v>
      </c>
      <c r="H180" s="138" t="n">
        <f aca="false">IF(Calculator!$E$17="YES",IF(A180&lt;Calculator!$G$17,0,MIN(MIN(MOD(A180/Calculator!$F$17,1),1-MOD(A180/Calculator!$F$17,1)),ABS(MOD(A180/Calculator!$F$17,1)-0.5))),1)</f>
        <v>0.139263157894737</v>
      </c>
      <c r="I180" s="138" t="n">
        <f aca="false">IF(Calculator!$E$18="YES",IF(A180&lt;Calculator!$G$18,0,MIN(MIN(MOD(A180/Calculator!$F$18,1),1-MOD(A180/Calculator!$F$18,1)),ABS(MOD(A180/Calculator!$F$18,1)-0.5))),1)</f>
        <v>0.148684210526316</v>
      </c>
      <c r="J180" s="138" t="n">
        <f aca="false">IF(Calculator!$E$19="YES",IF(A180&lt;Calculator!$G$19,0,MIN(MIN(MOD(A180/Calculator!$F$19,1),1-MOD(A180/Calculator!$F$19,1)),ABS(MOD(A180/Calculator!$F$19,1)-0.5))),1)</f>
        <v>0.0621052631578953</v>
      </c>
      <c r="K180" s="138" t="n">
        <f aca="false">IF(Calculator!$E$20="YES",IF(A180&lt;Calculator!$G$20,0,MIN(MIN(MOD(A180/Calculator!$F$20,1),1-MOD(A180/Calculator!$F$20,1)),ABS(MOD(A180/Calculator!$F$20,1)-0.5))),1)</f>
        <v>0.0552631578947365</v>
      </c>
      <c r="L180" s="138" t="n">
        <f aca="false">IF(Calculator!$E$21="YES",IF(A180&lt;Calculator!$G$21,0,MIN(MIN(MOD(A180/Calculator!$F$21,1),1-MOD(A180/Calculator!$F$21,1)),ABS(MOD(A180/Calculator!$F$21,1)-0.5))),1)</f>
        <v>0.210526315789474</v>
      </c>
      <c r="M180" s="138" t="n">
        <f aca="false">MIN(B180:L180)</f>
        <v>0</v>
      </c>
      <c r="N180" s="138" t="n">
        <f aca="false">SUMPRODUCT(($M$5:$M$555&gt;M180)*1)+SUMPRODUCT(($M$5:$M$555=M180)*(ROW($M$5:$M$555)&lt;ROW(M180)))+1</f>
        <v>401</v>
      </c>
      <c r="O180" s="138" t="str">
        <f aca="false">IF(M180&gt;=0.2,"★★★ EXCELLENT",IF(M180&gt;=0.12,"★★  GOOD",IF(M180&gt;=0.07,"★  FAIR",IF(M180&gt;=0.025,"⚠  MARGINAL","✗  AVOID"))))</f>
        <v>✗  AVOID</v>
      </c>
    </row>
    <row r="181" customFormat="false" ht="15" hidden="false" customHeight="false" outlineLevel="0" collapsed="false">
      <c r="A181" s="135" t="n">
        <v>22.6</v>
      </c>
      <c r="B181" s="136" t="n">
        <f aca="false">IF(Calculator!$E$11="YES",IF(A181&lt;Calculator!$G$11,0,MIN(MIN(MOD(A181/Calculator!$F$11,1),1-MOD(A181/Calculator!$F$11,1)),ABS(MOD(A181/Calculator!$F$11,1)-0.5))),1)</f>
        <v>0</v>
      </c>
      <c r="C181" s="136" t="n">
        <f aca="false">IF(Calculator!$E$12="YES",IF(A181&lt;Calculator!$G$12,0,MIN(MIN(MOD(A181/Calculator!$F$12,1),1-MOD(A181/Calculator!$F$12,1)),ABS(MOD(A181/Calculator!$F$12,1)-0.5))),1)</f>
        <v>0.0788771929824562</v>
      </c>
      <c r="D181" s="136" t="n">
        <f aca="false">IF(Calculator!$E$13="YES",IF(A181&lt;Calculator!$G$13,0,MIN(MIN(MOD(A181/Calculator!$F$13,1),1-MOD(A181/Calculator!$F$13,1)),ABS(MOD(A181/Calculator!$F$13,1)-0.5))),1)</f>
        <v>0.150081403508772</v>
      </c>
      <c r="E181" s="136" t="n">
        <f aca="false">IF(Calculator!$E$14="YES",IF(A181&lt;Calculator!$G$14,0,MIN(MIN(MOD(A181/Calculator!$F$14,1),1-MOD(A181/Calculator!$F$14,1)),ABS(MOD(A181/Calculator!$F$14,1)-0.5))),1)</f>
        <v>0.133964912280702</v>
      </c>
      <c r="F181" s="136" t="n">
        <f aca="false">IF(Calculator!$E$15="YES",IF(A181&lt;Calculator!$G$15,0,MIN(MIN(MOD(A181/Calculator!$F$15,1),1-MOD(A181/Calculator!$F$15,1)),ABS(MOD(A181/Calculator!$F$15,1)-0.5))),1)</f>
        <v>0.105789473684211</v>
      </c>
      <c r="G181" s="136" t="n">
        <f aca="false">IF(Calculator!$E$16="YES",IF(A181&lt;Calculator!$G$16,0,MIN(MIN(MOD(A181/Calculator!$F$16,1),1-MOD(A181/Calculator!$F$16,1)),ABS(MOD(A181/Calculator!$F$16,1)-0.5))),1)</f>
        <v>0.248105263157895</v>
      </c>
      <c r="H181" s="136" t="n">
        <f aca="false">IF(Calculator!$E$17="YES",IF(A181&lt;Calculator!$G$17,0,MIN(MIN(MOD(A181/Calculator!$F$17,1),1-MOD(A181/Calculator!$F$17,1)),ABS(MOD(A181/Calculator!$F$17,1)-0.5))),1)</f>
        <v>0.126548771929824</v>
      </c>
      <c r="I181" s="136" t="n">
        <f aca="false">IF(Calculator!$E$18="YES",IF(A181&lt;Calculator!$G$18,0,MIN(MIN(MOD(A181/Calculator!$F$18,1),1-MOD(A181/Calculator!$F$18,1)),ABS(MOD(A181/Calculator!$F$18,1)-0.5))),1)</f>
        <v>0.13378947368421</v>
      </c>
      <c r="J181" s="136" t="n">
        <f aca="false">IF(Calculator!$E$19="YES",IF(A181&lt;Calculator!$G$19,0,MIN(MIN(MOD(A181/Calculator!$F$19,1),1-MOD(A181/Calculator!$F$19,1)),ABS(MOD(A181/Calculator!$F$19,1)-0.5))),1)</f>
        <v>0.0446035087719303</v>
      </c>
      <c r="K181" s="136" t="n">
        <f aca="false">IF(Calculator!$E$20="YES",IF(A181&lt;Calculator!$G$20,0,MIN(MIN(MOD(A181/Calculator!$F$20,1),1-MOD(A181/Calculator!$F$20,1)),ABS(MOD(A181/Calculator!$F$20,1)-0.5))),1)</f>
        <v>0.0755087719298251</v>
      </c>
      <c r="L181" s="136" t="n">
        <f aca="false">IF(Calculator!$E$21="YES",IF(A181&lt;Calculator!$G$21,0,MIN(MIN(MOD(A181/Calculator!$F$21,1),1-MOD(A181/Calculator!$F$21,1)),ABS(MOD(A181/Calculator!$F$21,1)-0.5))),1)</f>
        <v>0.24701754385965</v>
      </c>
      <c r="M181" s="136" t="n">
        <f aca="false">MIN(B181:L181)</f>
        <v>0</v>
      </c>
      <c r="N181" s="136" t="n">
        <f aca="false">SUMPRODUCT(($M$5:$M$555&gt;M181)*1)+SUMPRODUCT(($M$5:$M$555=M181)*(ROW($M$5:$M$555)&lt;ROW(M181)))+1</f>
        <v>402</v>
      </c>
      <c r="O181" s="136" t="str">
        <f aca="false">IF(M181&gt;=0.2,"★★★ EXCELLENT",IF(M181&gt;=0.12,"★★  GOOD",IF(M181&gt;=0.07,"★  FAIR",IF(M181&gt;=0.025,"⚠  MARGINAL","✗  AVOID"))))</f>
        <v>✗  AVOID</v>
      </c>
    </row>
    <row r="182" customFormat="false" ht="15" hidden="false" customHeight="false" outlineLevel="0" collapsed="false">
      <c r="A182" s="137" t="n">
        <v>22.7</v>
      </c>
      <c r="B182" s="138" t="n">
        <f aca="false">IF(Calculator!$E$11="YES",IF(A182&lt;Calculator!$G$11,0,MIN(MIN(MOD(A182/Calculator!$F$11,1),1-MOD(A182/Calculator!$F$11,1)),ABS(MOD(A182/Calculator!$F$11,1)-0.5))),1)</f>
        <v>0</v>
      </c>
      <c r="C182" s="138" t="n">
        <f aca="false">IF(Calculator!$E$12="YES",IF(A182&lt;Calculator!$G$12,0,MIN(MIN(MOD(A182/Calculator!$F$12,1),1-MOD(A182/Calculator!$F$12,1)),ABS(MOD(A182/Calculator!$F$12,1)-0.5))),1)</f>
        <v>0.0814385964912281</v>
      </c>
      <c r="D182" s="138" t="n">
        <f aca="false">IF(Calculator!$E$13="YES",IF(A182&lt;Calculator!$G$13,0,MIN(MIN(MOD(A182/Calculator!$F$13,1),1-MOD(A182/Calculator!$F$13,1)),ABS(MOD(A182/Calculator!$F$13,1)-0.5))),1)</f>
        <v>0.146320701754386</v>
      </c>
      <c r="E182" s="138" t="n">
        <f aca="false">IF(Calculator!$E$14="YES",IF(A182&lt;Calculator!$G$14,0,MIN(MIN(MOD(A182/Calculator!$F$14,1),1-MOD(A182/Calculator!$F$14,1)),ABS(MOD(A182/Calculator!$F$14,1)-0.5))),1)</f>
        <v>0.138982456140351</v>
      </c>
      <c r="F182" s="138" t="n">
        <f aca="false">IF(Calculator!$E$15="YES",IF(A182&lt;Calculator!$G$15,0,MIN(MIN(MOD(A182/Calculator!$F$15,1),1-MOD(A182/Calculator!$F$15,1)),ABS(MOD(A182/Calculator!$F$15,1)-0.5))),1)</f>
        <v>0.112894736842105</v>
      </c>
      <c r="G182" s="138" t="n">
        <f aca="false">IF(Calculator!$E$16="YES",IF(A182&lt;Calculator!$G$16,0,MIN(MIN(MOD(A182/Calculator!$F$16,1),1-MOD(A182/Calculator!$F$16,1)),ABS(MOD(A182/Calculator!$F$16,1)-0.5))),1)</f>
        <v>0.241947368421052</v>
      </c>
      <c r="H182" s="138" t="n">
        <f aca="false">IF(Calculator!$E$17="YES",IF(A182&lt;Calculator!$G$17,0,MIN(MIN(MOD(A182/Calculator!$F$17,1),1-MOD(A182/Calculator!$F$17,1)),ABS(MOD(A182/Calculator!$F$17,1)-0.5))),1)</f>
        <v>0.113834385964912</v>
      </c>
      <c r="I182" s="138" t="n">
        <f aca="false">IF(Calculator!$E$18="YES",IF(A182&lt;Calculator!$G$18,0,MIN(MIN(MOD(A182/Calculator!$F$18,1),1-MOD(A182/Calculator!$F$18,1)),ABS(MOD(A182/Calculator!$F$18,1)-0.5))),1)</f>
        <v>0.118894736842105</v>
      </c>
      <c r="J182" s="138" t="n">
        <f aca="false">IF(Calculator!$E$19="YES",IF(A182&lt;Calculator!$G$19,0,MIN(MIN(MOD(A182/Calculator!$F$19,1),1-MOD(A182/Calculator!$F$19,1)),ABS(MOD(A182/Calculator!$F$19,1)-0.5))),1)</f>
        <v>0.0271017543859657</v>
      </c>
      <c r="K182" s="138" t="n">
        <f aca="false">IF(Calculator!$E$20="YES",IF(A182&lt;Calculator!$G$20,0,MIN(MIN(MOD(A182/Calculator!$F$20,1),1-MOD(A182/Calculator!$F$20,1)),ABS(MOD(A182/Calculator!$F$20,1)-0.5))),1)</f>
        <v>0.0957543859649119</v>
      </c>
      <c r="L182" s="138" t="n">
        <f aca="false">IF(Calculator!$E$21="YES",IF(A182&lt;Calculator!$G$21,0,MIN(MIN(MOD(A182/Calculator!$F$21,1),1-MOD(A182/Calculator!$F$21,1)),ABS(MOD(A182/Calculator!$F$21,1)-0.5))),1)</f>
        <v>0.216491228070176</v>
      </c>
      <c r="M182" s="138" t="n">
        <f aca="false">MIN(B182:L182)</f>
        <v>0</v>
      </c>
      <c r="N182" s="138" t="n">
        <f aca="false">SUMPRODUCT(($M$5:$M$555&gt;M182)*1)+SUMPRODUCT(($M$5:$M$555=M182)*(ROW($M$5:$M$555)&lt;ROW(M182)))+1</f>
        <v>403</v>
      </c>
      <c r="O182" s="138" t="str">
        <f aca="false">IF(M182&gt;=0.2,"★★★ EXCELLENT",IF(M182&gt;=0.12,"★★  GOOD",IF(M182&gt;=0.07,"★  FAIR",IF(M182&gt;=0.025,"⚠  MARGINAL","✗  AVOID"))))</f>
        <v>✗  AVOID</v>
      </c>
    </row>
    <row r="183" customFormat="false" ht="15" hidden="false" customHeight="false" outlineLevel="0" collapsed="false">
      <c r="A183" s="135" t="n">
        <v>22.8</v>
      </c>
      <c r="B183" s="136" t="n">
        <f aca="false">IF(Calculator!$E$11="YES",IF(A183&lt;Calculator!$G$11,0,MIN(MIN(MOD(A183/Calculator!$F$11,1),1-MOD(A183/Calculator!$F$11,1)),ABS(MOD(A183/Calculator!$F$11,1)-0.5))),1)</f>
        <v>0</v>
      </c>
      <c r="C183" s="136" t="n">
        <f aca="false">IF(Calculator!$E$12="YES",IF(A183&lt;Calculator!$G$12,0,MIN(MIN(MOD(A183/Calculator!$F$12,1),1-MOD(A183/Calculator!$F$12,1)),ABS(MOD(A183/Calculator!$F$12,1)-0.5))),1)</f>
        <v>0.0840000000000001</v>
      </c>
      <c r="D183" s="136" t="n">
        <f aca="false">IF(Calculator!$E$13="YES",IF(A183&lt;Calculator!$G$13,0,MIN(MIN(MOD(A183/Calculator!$F$13,1),1-MOD(A183/Calculator!$F$13,1)),ABS(MOD(A183/Calculator!$F$13,1)-0.5))),1)</f>
        <v>0.14256</v>
      </c>
      <c r="E183" s="136" t="n">
        <f aca="false">IF(Calculator!$E$14="YES",IF(A183&lt;Calculator!$G$14,0,MIN(MIN(MOD(A183/Calculator!$F$14,1),1-MOD(A183/Calculator!$F$14,1)),ABS(MOD(A183/Calculator!$F$14,1)-0.5))),1)</f>
        <v>0.144</v>
      </c>
      <c r="F183" s="136" t="n">
        <f aca="false">IF(Calculator!$E$15="YES",IF(A183&lt;Calculator!$G$15,0,MIN(MIN(MOD(A183/Calculator!$F$15,1),1-MOD(A183/Calculator!$F$15,1)),ABS(MOD(A183/Calculator!$F$15,1)-0.5))),1)</f>
        <v>0.12</v>
      </c>
      <c r="G183" s="136" t="n">
        <f aca="false">IF(Calculator!$E$16="YES",IF(A183&lt;Calculator!$G$16,0,MIN(MIN(MOD(A183/Calculator!$F$16,1),1-MOD(A183/Calculator!$F$16,1)),ABS(MOD(A183/Calculator!$F$16,1)-0.5))),1)</f>
        <v>0.232</v>
      </c>
      <c r="H183" s="136" t="n">
        <f aca="false">IF(Calculator!$E$17="YES",IF(A183&lt;Calculator!$G$17,0,MIN(MIN(MOD(A183/Calculator!$F$17,1),1-MOD(A183/Calculator!$F$17,1)),ABS(MOD(A183/Calculator!$F$17,1)-0.5))),1)</f>
        <v>0.101119999999999</v>
      </c>
      <c r="I183" s="136" t="n">
        <f aca="false">IF(Calculator!$E$18="YES",IF(A183&lt;Calculator!$G$18,0,MIN(MIN(MOD(A183/Calculator!$F$18,1),1-MOD(A183/Calculator!$F$18,1)),ABS(MOD(A183/Calculator!$F$18,1)-0.5))),1)</f>
        <v>0.104</v>
      </c>
      <c r="J183" s="136" t="n">
        <f aca="false">IF(Calculator!$E$19="YES",IF(A183&lt;Calculator!$G$19,0,MIN(MIN(MOD(A183/Calculator!$F$19,1),1-MOD(A183/Calculator!$F$19,1)),ABS(MOD(A183/Calculator!$F$19,1)-0.5))),1)</f>
        <v>0.00960000000000072</v>
      </c>
      <c r="K183" s="136" t="n">
        <f aca="false">IF(Calculator!$E$20="YES",IF(A183&lt;Calculator!$G$20,0,MIN(MIN(MOD(A183/Calculator!$F$20,1),1-MOD(A183/Calculator!$F$20,1)),ABS(MOD(A183/Calculator!$F$20,1)-0.5))),1)</f>
        <v>0.116</v>
      </c>
      <c r="L183" s="136" t="n">
        <f aca="false">IF(Calculator!$E$21="YES",IF(A183&lt;Calculator!$G$21,0,MIN(MIN(MOD(A183/Calculator!$F$21,1),1-MOD(A183/Calculator!$F$21,1)),ABS(MOD(A183/Calculator!$F$21,1)-0.5))),1)</f>
        <v>0.18</v>
      </c>
      <c r="M183" s="136" t="n">
        <f aca="false">MIN(B183:L183)</f>
        <v>0</v>
      </c>
      <c r="N183" s="136" t="n">
        <f aca="false">SUMPRODUCT(($M$5:$M$555&gt;M183)*1)+SUMPRODUCT(($M$5:$M$555=M183)*(ROW($M$5:$M$555)&lt;ROW(M183)))+1</f>
        <v>404</v>
      </c>
      <c r="O183" s="136" t="str">
        <f aca="false">IF(M183&gt;=0.2,"★★★ EXCELLENT",IF(M183&gt;=0.12,"★★  GOOD",IF(M183&gt;=0.07,"★  FAIR",IF(M183&gt;=0.025,"⚠  MARGINAL","✗  AVOID"))))</f>
        <v>✗  AVOID</v>
      </c>
    </row>
    <row r="184" customFormat="false" ht="15" hidden="false" customHeight="false" outlineLevel="0" collapsed="false">
      <c r="A184" s="137" t="n">
        <v>22.9</v>
      </c>
      <c r="B184" s="138" t="n">
        <f aca="false">IF(Calculator!$E$11="YES",IF(A184&lt;Calculator!$G$11,0,MIN(MIN(MOD(A184/Calculator!$F$11,1),1-MOD(A184/Calculator!$F$11,1)),ABS(MOD(A184/Calculator!$F$11,1)-0.5))),1)</f>
        <v>0</v>
      </c>
      <c r="C184" s="138" t="n">
        <f aca="false">IF(Calculator!$E$12="YES",IF(A184&lt;Calculator!$G$12,0,MIN(MIN(MOD(A184/Calculator!$F$12,1),1-MOD(A184/Calculator!$F$12,1)),ABS(MOD(A184/Calculator!$F$12,1)-0.5))),1)</f>
        <v>0.086561403508772</v>
      </c>
      <c r="D184" s="138" t="n">
        <f aca="false">IF(Calculator!$E$13="YES",IF(A184&lt;Calculator!$G$13,0,MIN(MIN(MOD(A184/Calculator!$F$13,1),1-MOD(A184/Calculator!$F$13,1)),ABS(MOD(A184/Calculator!$F$13,1)-0.5))),1)</f>
        <v>0.138799298245614</v>
      </c>
      <c r="E184" s="138" t="n">
        <f aca="false">IF(Calculator!$E$14="YES",IF(A184&lt;Calculator!$G$14,0,MIN(MIN(MOD(A184/Calculator!$F$14,1),1-MOD(A184/Calculator!$F$14,1)),ABS(MOD(A184/Calculator!$F$14,1)-0.5))),1)</f>
        <v>0.149017543859649</v>
      </c>
      <c r="F184" s="138" t="n">
        <f aca="false">IF(Calculator!$E$15="YES",IF(A184&lt;Calculator!$G$15,0,MIN(MIN(MOD(A184/Calculator!$F$15,1),1-MOD(A184/Calculator!$F$15,1)),ABS(MOD(A184/Calculator!$F$15,1)-0.5))),1)</f>
        <v>0.127105263157895</v>
      </c>
      <c r="G184" s="138" t="n">
        <f aca="false">IF(Calculator!$E$16="YES",IF(A184&lt;Calculator!$G$16,0,MIN(MIN(MOD(A184/Calculator!$F$16,1),1-MOD(A184/Calculator!$F$16,1)),ABS(MOD(A184/Calculator!$F$16,1)-0.5))),1)</f>
        <v>0.222052631578948</v>
      </c>
      <c r="H184" s="138" t="n">
        <f aca="false">IF(Calculator!$E$17="YES",IF(A184&lt;Calculator!$G$17,0,MIN(MIN(MOD(A184/Calculator!$F$17,1),1-MOD(A184/Calculator!$F$17,1)),ABS(MOD(A184/Calculator!$F$17,1)-0.5))),1)</f>
        <v>0.0884056140350875</v>
      </c>
      <c r="I184" s="138" t="n">
        <f aca="false">IF(Calculator!$E$18="YES",IF(A184&lt;Calculator!$G$18,0,MIN(MIN(MOD(A184/Calculator!$F$18,1),1-MOD(A184/Calculator!$F$18,1)),ABS(MOD(A184/Calculator!$F$18,1)-0.5))),1)</f>
        <v>0.089105263157895</v>
      </c>
      <c r="J184" s="138" t="n">
        <f aca="false">IF(Calculator!$E$19="YES",IF(A184&lt;Calculator!$G$19,0,MIN(MIN(MOD(A184/Calculator!$F$19,1),1-MOD(A184/Calculator!$F$19,1)),ABS(MOD(A184/Calculator!$F$19,1)-0.5))),1)</f>
        <v>0.00790175438596386</v>
      </c>
      <c r="K184" s="138" t="n">
        <f aca="false">IF(Calculator!$E$20="YES",IF(A184&lt;Calculator!$G$20,0,MIN(MIN(MOD(A184/Calculator!$F$20,1),1-MOD(A184/Calculator!$F$20,1)),ABS(MOD(A184/Calculator!$F$20,1)-0.5))),1)</f>
        <v>0.136245614035087</v>
      </c>
      <c r="L184" s="138" t="n">
        <f aca="false">IF(Calculator!$E$21="YES",IF(A184&lt;Calculator!$G$21,0,MIN(MIN(MOD(A184/Calculator!$F$21,1),1-MOD(A184/Calculator!$F$21,1)),ABS(MOD(A184/Calculator!$F$21,1)-0.5))),1)</f>
        <v>0.143508771929826</v>
      </c>
      <c r="M184" s="138" t="n">
        <f aca="false">MIN(B184:L184)</f>
        <v>0</v>
      </c>
      <c r="N184" s="138" t="n">
        <f aca="false">SUMPRODUCT(($M$5:$M$555&gt;M184)*1)+SUMPRODUCT(($M$5:$M$555=M184)*(ROW($M$5:$M$555)&lt;ROW(M184)))+1</f>
        <v>405</v>
      </c>
      <c r="O184" s="138" t="str">
        <f aca="false">IF(M184&gt;=0.2,"★★★ EXCELLENT",IF(M184&gt;=0.12,"★★  GOOD",IF(M184&gt;=0.07,"★  FAIR",IF(M184&gt;=0.025,"⚠  MARGINAL","✗  AVOID"))))</f>
        <v>✗  AVOID</v>
      </c>
    </row>
    <row r="185" customFormat="false" ht="15" hidden="false" customHeight="false" outlineLevel="0" collapsed="false">
      <c r="A185" s="135" t="n">
        <v>23</v>
      </c>
      <c r="B185" s="136" t="n">
        <f aca="false">IF(Calculator!$E$11="YES",IF(A185&lt;Calculator!$G$11,0,MIN(MIN(MOD(A185/Calculator!$F$11,1),1-MOD(A185/Calculator!$F$11,1)),ABS(MOD(A185/Calculator!$F$11,1)-0.5))),1)</f>
        <v>0</v>
      </c>
      <c r="C185" s="136" t="n">
        <f aca="false">IF(Calculator!$E$12="YES",IF(A185&lt;Calculator!$G$12,0,MIN(MIN(MOD(A185/Calculator!$F$12,1),1-MOD(A185/Calculator!$F$12,1)),ABS(MOD(A185/Calculator!$F$12,1)-0.5))),1)</f>
        <v>0.0891228070175438</v>
      </c>
      <c r="D185" s="136" t="n">
        <f aca="false">IF(Calculator!$E$13="YES",IF(A185&lt;Calculator!$G$13,0,MIN(MIN(MOD(A185/Calculator!$F$13,1),1-MOD(A185/Calculator!$F$13,1)),ABS(MOD(A185/Calculator!$F$13,1)-0.5))),1)</f>
        <v>0.135038596491228</v>
      </c>
      <c r="E185" s="136" t="n">
        <f aca="false">IF(Calculator!$E$14="YES",IF(A185&lt;Calculator!$G$14,0,MIN(MIN(MOD(A185/Calculator!$F$14,1),1-MOD(A185/Calculator!$F$14,1)),ABS(MOD(A185/Calculator!$F$14,1)-0.5))),1)</f>
        <v>0.154035087719298</v>
      </c>
      <c r="F185" s="136" t="n">
        <f aca="false">IF(Calculator!$E$15="YES",IF(A185&lt;Calculator!$G$15,0,MIN(MIN(MOD(A185/Calculator!$F$15,1),1-MOD(A185/Calculator!$F$15,1)),ABS(MOD(A185/Calculator!$F$15,1)-0.5))),1)</f>
        <v>0.134210526315789</v>
      </c>
      <c r="G185" s="136" t="n">
        <f aca="false">IF(Calculator!$E$16="YES",IF(A185&lt;Calculator!$G$16,0,MIN(MIN(MOD(A185/Calculator!$F$16,1),1-MOD(A185/Calculator!$F$16,1)),ABS(MOD(A185/Calculator!$F$16,1)-0.5))),1)</f>
        <v>0.212105263157894</v>
      </c>
      <c r="H185" s="136" t="n">
        <f aca="false">IF(Calculator!$E$17="YES",IF(A185&lt;Calculator!$G$17,0,MIN(MIN(MOD(A185/Calculator!$F$17,1),1-MOD(A185/Calculator!$F$17,1)),ABS(MOD(A185/Calculator!$F$17,1)-0.5))),1)</f>
        <v>0.0756912280701751</v>
      </c>
      <c r="I185" s="136" t="n">
        <f aca="false">IF(Calculator!$E$18="YES",IF(A185&lt;Calculator!$G$18,0,MIN(MIN(MOD(A185/Calculator!$F$18,1),1-MOD(A185/Calculator!$F$18,1)),ABS(MOD(A185/Calculator!$F$18,1)-0.5))),1)</f>
        <v>0.0742105263157895</v>
      </c>
      <c r="J185" s="136" t="n">
        <f aca="false">IF(Calculator!$E$19="YES",IF(A185&lt;Calculator!$G$19,0,MIN(MIN(MOD(A185/Calculator!$F$19,1),1-MOD(A185/Calculator!$F$19,1)),ABS(MOD(A185/Calculator!$F$19,1)-0.5))),1)</f>
        <v>0.0254035087719293</v>
      </c>
      <c r="K185" s="136" t="n">
        <f aca="false">IF(Calculator!$E$20="YES",IF(A185&lt;Calculator!$G$20,0,MIN(MIN(MOD(A185/Calculator!$F$20,1),1-MOD(A185/Calculator!$F$20,1)),ABS(MOD(A185/Calculator!$F$20,1)-0.5))),1)</f>
        <v>0.156491228070175</v>
      </c>
      <c r="L185" s="136" t="n">
        <f aca="false">IF(Calculator!$E$21="YES",IF(A185&lt;Calculator!$G$21,0,MIN(MIN(MOD(A185/Calculator!$F$21,1),1-MOD(A185/Calculator!$F$21,1)),ABS(MOD(A185/Calculator!$F$21,1)-0.5))),1)</f>
        <v>0.10701754385965</v>
      </c>
      <c r="M185" s="136" t="n">
        <f aca="false">MIN(B185:L185)</f>
        <v>0</v>
      </c>
      <c r="N185" s="136" t="n">
        <f aca="false">SUMPRODUCT(($M$5:$M$555&gt;M185)*1)+SUMPRODUCT(($M$5:$M$555=M185)*(ROW($M$5:$M$555)&lt;ROW(M185)))+1</f>
        <v>406</v>
      </c>
      <c r="O185" s="136" t="str">
        <f aca="false">IF(M185&gt;=0.2,"★★★ EXCELLENT",IF(M185&gt;=0.12,"★★  GOOD",IF(M185&gt;=0.07,"★  FAIR",IF(M185&gt;=0.025,"⚠  MARGINAL","✗  AVOID"))))</f>
        <v>✗  AVOID</v>
      </c>
    </row>
    <row r="186" customFormat="false" ht="15" hidden="false" customHeight="false" outlineLevel="0" collapsed="false">
      <c r="A186" s="137" t="n">
        <v>23.1</v>
      </c>
      <c r="B186" s="138" t="n">
        <f aca="false">IF(Calculator!$E$11="YES",IF(A186&lt;Calculator!$G$11,0,MIN(MIN(MOD(A186/Calculator!$F$11,1),1-MOD(A186/Calculator!$F$11,1)),ABS(MOD(A186/Calculator!$F$11,1)-0.5))),1)</f>
        <v>0</v>
      </c>
      <c r="C186" s="138" t="n">
        <f aca="false">IF(Calculator!$E$12="YES",IF(A186&lt;Calculator!$G$12,0,MIN(MIN(MOD(A186/Calculator!$F$12,1),1-MOD(A186/Calculator!$F$12,1)),ABS(MOD(A186/Calculator!$F$12,1)-0.5))),1)</f>
        <v>0.0916842105263158</v>
      </c>
      <c r="D186" s="138" t="n">
        <f aca="false">IF(Calculator!$E$13="YES",IF(A186&lt;Calculator!$G$13,0,MIN(MIN(MOD(A186/Calculator!$F$13,1),1-MOD(A186/Calculator!$F$13,1)),ABS(MOD(A186/Calculator!$F$13,1)-0.5))),1)</f>
        <v>0.131277894736842</v>
      </c>
      <c r="E186" s="138" t="n">
        <f aca="false">IF(Calculator!$E$14="YES",IF(A186&lt;Calculator!$G$14,0,MIN(MIN(MOD(A186/Calculator!$F$14,1),1-MOD(A186/Calculator!$F$14,1)),ABS(MOD(A186/Calculator!$F$14,1)-0.5))),1)</f>
        <v>0.159052631578947</v>
      </c>
      <c r="F186" s="138" t="n">
        <f aca="false">IF(Calculator!$E$15="YES",IF(A186&lt;Calculator!$G$15,0,MIN(MIN(MOD(A186/Calculator!$F$15,1),1-MOD(A186/Calculator!$F$15,1)),ABS(MOD(A186/Calculator!$F$15,1)-0.5))),1)</f>
        <v>0.141315789473684</v>
      </c>
      <c r="G186" s="138" t="n">
        <f aca="false">IF(Calculator!$E$16="YES",IF(A186&lt;Calculator!$G$16,0,MIN(MIN(MOD(A186/Calculator!$F$16,1),1-MOD(A186/Calculator!$F$16,1)),ABS(MOD(A186/Calculator!$F$16,1)-0.5))),1)</f>
        <v>0.202157894736842</v>
      </c>
      <c r="H186" s="138" t="n">
        <f aca="false">IF(Calculator!$E$17="YES",IF(A186&lt;Calculator!$G$17,0,MIN(MIN(MOD(A186/Calculator!$F$17,1),1-MOD(A186/Calculator!$F$17,1)),ABS(MOD(A186/Calculator!$F$17,1)-0.5))),1)</f>
        <v>0.0629768421052628</v>
      </c>
      <c r="I186" s="138" t="n">
        <f aca="false">IF(Calculator!$E$18="YES",IF(A186&lt;Calculator!$G$18,0,MIN(MIN(MOD(A186/Calculator!$F$18,1),1-MOD(A186/Calculator!$F$18,1)),ABS(MOD(A186/Calculator!$F$18,1)-0.5))),1)</f>
        <v>0.059315789473684</v>
      </c>
      <c r="J186" s="138" t="n">
        <f aca="false">IF(Calculator!$E$19="YES",IF(A186&lt;Calculator!$G$19,0,MIN(MIN(MOD(A186/Calculator!$F$19,1),1-MOD(A186/Calculator!$F$19,1)),ABS(MOD(A186/Calculator!$F$19,1)-0.5))),1)</f>
        <v>0.0429052631578939</v>
      </c>
      <c r="K186" s="138" t="n">
        <f aca="false">IF(Calculator!$E$20="YES",IF(A186&lt;Calculator!$G$20,0,MIN(MIN(MOD(A186/Calculator!$F$20,1),1-MOD(A186/Calculator!$F$20,1)),ABS(MOD(A186/Calculator!$F$20,1)-0.5))),1)</f>
        <v>0.176736842105264</v>
      </c>
      <c r="L186" s="138" t="n">
        <f aca="false">IF(Calculator!$E$21="YES",IF(A186&lt;Calculator!$G$21,0,MIN(MIN(MOD(A186/Calculator!$F$21,1),1-MOD(A186/Calculator!$F$21,1)),ABS(MOD(A186/Calculator!$F$21,1)-0.5))),1)</f>
        <v>0.0705263157894738</v>
      </c>
      <c r="M186" s="138" t="n">
        <f aca="false">MIN(B186:L186)</f>
        <v>0</v>
      </c>
      <c r="N186" s="138" t="n">
        <f aca="false">SUMPRODUCT(($M$5:$M$555&gt;M186)*1)+SUMPRODUCT(($M$5:$M$555=M186)*(ROW($M$5:$M$555)&lt;ROW(M186)))+1</f>
        <v>407</v>
      </c>
      <c r="O186" s="138" t="str">
        <f aca="false">IF(M186&gt;=0.2,"★★★ EXCELLENT",IF(M186&gt;=0.12,"★★  GOOD",IF(M186&gt;=0.07,"★  FAIR",IF(M186&gt;=0.025,"⚠  MARGINAL","✗  AVOID"))))</f>
        <v>✗  AVOID</v>
      </c>
    </row>
    <row r="187" customFormat="false" ht="15" hidden="false" customHeight="false" outlineLevel="0" collapsed="false">
      <c r="A187" s="135" t="n">
        <v>23.2</v>
      </c>
      <c r="B187" s="136" t="n">
        <f aca="false">IF(Calculator!$E$11="YES",IF(A187&lt;Calculator!$G$11,0,MIN(MIN(MOD(A187/Calculator!$F$11,1),1-MOD(A187/Calculator!$F$11,1)),ABS(MOD(A187/Calculator!$F$11,1)-0.5))),1)</f>
        <v>0</v>
      </c>
      <c r="C187" s="136" t="n">
        <f aca="false">IF(Calculator!$E$12="YES",IF(A187&lt;Calculator!$G$12,0,MIN(MIN(MOD(A187/Calculator!$F$12,1),1-MOD(A187/Calculator!$F$12,1)),ABS(MOD(A187/Calculator!$F$12,1)-0.5))),1)</f>
        <v>0.0942456140350877</v>
      </c>
      <c r="D187" s="136" t="n">
        <f aca="false">IF(Calculator!$E$13="YES",IF(A187&lt;Calculator!$G$13,0,MIN(MIN(MOD(A187/Calculator!$F$13,1),1-MOD(A187/Calculator!$F$13,1)),ABS(MOD(A187/Calculator!$F$13,1)-0.5))),1)</f>
        <v>0.127517192982456</v>
      </c>
      <c r="E187" s="136" t="n">
        <f aca="false">IF(Calculator!$E$14="YES",IF(A187&lt;Calculator!$G$14,0,MIN(MIN(MOD(A187/Calculator!$F$14,1),1-MOD(A187/Calculator!$F$14,1)),ABS(MOD(A187/Calculator!$F$14,1)-0.5))),1)</f>
        <v>0.164070175438596</v>
      </c>
      <c r="F187" s="136" t="n">
        <f aca="false">IF(Calculator!$E$15="YES",IF(A187&lt;Calculator!$G$15,0,MIN(MIN(MOD(A187/Calculator!$F$15,1),1-MOD(A187/Calculator!$F$15,1)),ABS(MOD(A187/Calculator!$F$15,1)-0.5))),1)</f>
        <v>0.148421052631579</v>
      </c>
      <c r="G187" s="136" t="n">
        <f aca="false">IF(Calculator!$E$16="YES",IF(A187&lt;Calculator!$G$16,0,MIN(MIN(MOD(A187/Calculator!$F$16,1),1-MOD(A187/Calculator!$F$16,1)),ABS(MOD(A187/Calculator!$F$16,1)-0.5))),1)</f>
        <v>0.192210526315789</v>
      </c>
      <c r="H187" s="136" t="n">
        <f aca="false">IF(Calculator!$E$17="YES",IF(A187&lt;Calculator!$G$17,0,MIN(MIN(MOD(A187/Calculator!$F$17,1),1-MOD(A187/Calculator!$F$17,1)),ABS(MOD(A187/Calculator!$F$17,1)-0.5))),1)</f>
        <v>0.0502624561403509</v>
      </c>
      <c r="I187" s="136" t="n">
        <f aca="false">IF(Calculator!$E$18="YES",IF(A187&lt;Calculator!$G$18,0,MIN(MIN(MOD(A187/Calculator!$F$18,1),1-MOD(A187/Calculator!$F$18,1)),ABS(MOD(A187/Calculator!$F$18,1)-0.5))),1)</f>
        <v>0.0444210526315789</v>
      </c>
      <c r="J187" s="136" t="n">
        <f aca="false">IF(Calculator!$E$19="YES",IF(A187&lt;Calculator!$G$19,0,MIN(MIN(MOD(A187/Calculator!$F$19,1),1-MOD(A187/Calculator!$F$19,1)),ABS(MOD(A187/Calculator!$F$19,1)-0.5))),1)</f>
        <v>0.0604070175438585</v>
      </c>
      <c r="K187" s="136" t="n">
        <f aca="false">IF(Calculator!$E$20="YES",IF(A187&lt;Calculator!$G$20,0,MIN(MIN(MOD(A187/Calculator!$F$20,1),1-MOD(A187/Calculator!$F$20,1)),ABS(MOD(A187/Calculator!$F$20,1)-0.5))),1)</f>
        <v>0.196982456140351</v>
      </c>
      <c r="L187" s="136" t="n">
        <f aca="false">IF(Calculator!$E$21="YES",IF(A187&lt;Calculator!$G$21,0,MIN(MIN(MOD(A187/Calculator!$F$21,1),1-MOD(A187/Calculator!$F$21,1)),ABS(MOD(A187/Calculator!$F$21,1)-0.5))),1)</f>
        <v>0.0340350877192979</v>
      </c>
      <c r="M187" s="136" t="n">
        <f aca="false">MIN(B187:L187)</f>
        <v>0</v>
      </c>
      <c r="N187" s="136" t="n">
        <f aca="false">SUMPRODUCT(($M$5:$M$555&gt;M187)*1)+SUMPRODUCT(($M$5:$M$555=M187)*(ROW($M$5:$M$555)&lt;ROW(M187)))+1</f>
        <v>408</v>
      </c>
      <c r="O187" s="136" t="str">
        <f aca="false">IF(M187&gt;=0.2,"★★★ EXCELLENT",IF(M187&gt;=0.12,"★★  GOOD",IF(M187&gt;=0.07,"★  FAIR",IF(M187&gt;=0.025,"⚠  MARGINAL","✗  AVOID"))))</f>
        <v>✗  AVOID</v>
      </c>
    </row>
    <row r="188" customFormat="false" ht="15" hidden="false" customHeight="false" outlineLevel="0" collapsed="false">
      <c r="A188" s="137" t="n">
        <v>23.3</v>
      </c>
      <c r="B188" s="138" t="n">
        <f aca="false">IF(Calculator!$E$11="YES",IF(A188&lt;Calculator!$G$11,0,MIN(MIN(MOD(A188/Calculator!$F$11,1),1-MOD(A188/Calculator!$F$11,1)),ABS(MOD(A188/Calculator!$F$11,1)-0.5))),1)</f>
        <v>0</v>
      </c>
      <c r="C188" s="138" t="n">
        <f aca="false">IF(Calculator!$E$12="YES",IF(A188&lt;Calculator!$G$12,0,MIN(MIN(MOD(A188/Calculator!$F$12,1),1-MOD(A188/Calculator!$F$12,1)),ABS(MOD(A188/Calculator!$F$12,1)-0.5))),1)</f>
        <v>0.0968070175438597</v>
      </c>
      <c r="D188" s="138" t="n">
        <f aca="false">IF(Calculator!$E$13="YES",IF(A188&lt;Calculator!$G$13,0,MIN(MIN(MOD(A188/Calculator!$F$13,1),1-MOD(A188/Calculator!$F$13,1)),ABS(MOD(A188/Calculator!$F$13,1)-0.5))),1)</f>
        <v>0.12375649122807</v>
      </c>
      <c r="E188" s="138" t="n">
        <f aca="false">IF(Calculator!$E$14="YES",IF(A188&lt;Calculator!$G$14,0,MIN(MIN(MOD(A188/Calculator!$F$14,1),1-MOD(A188/Calculator!$F$14,1)),ABS(MOD(A188/Calculator!$F$14,1)-0.5))),1)</f>
        <v>0.169087719298246</v>
      </c>
      <c r="F188" s="138" t="n">
        <f aca="false">IF(Calculator!$E$15="YES",IF(A188&lt;Calculator!$G$15,0,MIN(MIN(MOD(A188/Calculator!$F$15,1),1-MOD(A188/Calculator!$F$15,1)),ABS(MOD(A188/Calculator!$F$15,1)-0.5))),1)</f>
        <v>0.155526315789474</v>
      </c>
      <c r="G188" s="138" t="n">
        <f aca="false">IF(Calculator!$E$16="YES",IF(A188&lt;Calculator!$G$16,0,MIN(MIN(MOD(A188/Calculator!$F$16,1),1-MOD(A188/Calculator!$F$16,1)),ABS(MOD(A188/Calculator!$F$16,1)-0.5))),1)</f>
        <v>0.182263157894737</v>
      </c>
      <c r="H188" s="138" t="n">
        <f aca="false">IF(Calculator!$E$17="YES",IF(A188&lt;Calculator!$G$17,0,MIN(MIN(MOD(A188/Calculator!$F$17,1),1-MOD(A188/Calculator!$F$17,1)),ABS(MOD(A188/Calculator!$F$17,1)-0.5))),1)</f>
        <v>0.037548070175438</v>
      </c>
      <c r="I188" s="138" t="n">
        <f aca="false">IF(Calculator!$E$18="YES",IF(A188&lt;Calculator!$G$18,0,MIN(MIN(MOD(A188/Calculator!$F$18,1),1-MOD(A188/Calculator!$F$18,1)),ABS(MOD(A188/Calculator!$F$18,1)-0.5))),1)</f>
        <v>0.0295263157894734</v>
      </c>
      <c r="J188" s="138" t="n">
        <f aca="false">IF(Calculator!$E$19="YES",IF(A188&lt;Calculator!$G$19,0,MIN(MIN(MOD(A188/Calculator!$F$19,1),1-MOD(A188/Calculator!$F$19,1)),ABS(MOD(A188/Calculator!$F$19,1)-0.5))),1)</f>
        <v>0.0779087719298239</v>
      </c>
      <c r="K188" s="138" t="n">
        <f aca="false">IF(Calculator!$E$20="YES",IF(A188&lt;Calculator!$G$20,0,MIN(MIN(MOD(A188/Calculator!$F$20,1),1-MOD(A188/Calculator!$F$20,1)),ABS(MOD(A188/Calculator!$F$20,1)-0.5))),1)</f>
        <v>0.217228070175438</v>
      </c>
      <c r="L188" s="138" t="n">
        <f aca="false">IF(Calculator!$E$21="YES",IF(A188&lt;Calculator!$G$21,0,MIN(MIN(MOD(A188/Calculator!$F$21,1),1-MOD(A188/Calculator!$F$21,1)),ABS(MOD(A188/Calculator!$F$21,1)-0.5))),1)</f>
        <v>0.00245614035087804</v>
      </c>
      <c r="M188" s="138" t="n">
        <f aca="false">MIN(B188:L188)</f>
        <v>0</v>
      </c>
      <c r="N188" s="138" t="n">
        <f aca="false">SUMPRODUCT(($M$5:$M$555&gt;M188)*1)+SUMPRODUCT(($M$5:$M$555=M188)*(ROW($M$5:$M$555)&lt;ROW(M188)))+1</f>
        <v>409</v>
      </c>
      <c r="O188" s="138" t="str">
        <f aca="false">IF(M188&gt;=0.2,"★★★ EXCELLENT",IF(M188&gt;=0.12,"★★  GOOD",IF(M188&gt;=0.07,"★  FAIR",IF(M188&gt;=0.025,"⚠  MARGINAL","✗  AVOID"))))</f>
        <v>✗  AVOID</v>
      </c>
    </row>
    <row r="189" customFormat="false" ht="15" hidden="false" customHeight="false" outlineLevel="0" collapsed="false">
      <c r="A189" s="135" t="n">
        <v>23.4</v>
      </c>
      <c r="B189" s="136" t="n">
        <f aca="false">IF(Calculator!$E$11="YES",IF(A189&lt;Calculator!$G$11,0,MIN(MIN(MOD(A189/Calculator!$F$11,1),1-MOD(A189/Calculator!$F$11,1)),ABS(MOD(A189/Calculator!$F$11,1)-0.5))),1)</f>
        <v>0</v>
      </c>
      <c r="C189" s="136" t="n">
        <f aca="false">IF(Calculator!$E$12="YES",IF(A189&lt;Calculator!$G$12,0,MIN(MIN(MOD(A189/Calculator!$F$12,1),1-MOD(A189/Calculator!$F$12,1)),ABS(MOD(A189/Calculator!$F$12,1)-0.5))),1)</f>
        <v>0.0993684210526316</v>
      </c>
      <c r="D189" s="136" t="n">
        <f aca="false">IF(Calculator!$E$13="YES",IF(A189&lt;Calculator!$G$13,0,MIN(MIN(MOD(A189/Calculator!$F$13,1),1-MOD(A189/Calculator!$F$13,1)),ABS(MOD(A189/Calculator!$F$13,1)-0.5))),1)</f>
        <v>0.119995789473684</v>
      </c>
      <c r="E189" s="136" t="n">
        <f aca="false">IF(Calculator!$E$14="YES",IF(A189&lt;Calculator!$G$14,0,MIN(MIN(MOD(A189/Calculator!$F$14,1),1-MOD(A189/Calculator!$F$14,1)),ABS(MOD(A189/Calculator!$F$14,1)-0.5))),1)</f>
        <v>0.174105263157895</v>
      </c>
      <c r="F189" s="136" t="n">
        <f aca="false">IF(Calculator!$E$15="YES",IF(A189&lt;Calculator!$G$15,0,MIN(MIN(MOD(A189/Calculator!$F$15,1),1-MOD(A189/Calculator!$F$15,1)),ABS(MOD(A189/Calculator!$F$15,1)-0.5))),1)</f>
        <v>0.162631578947368</v>
      </c>
      <c r="G189" s="136" t="n">
        <f aca="false">IF(Calculator!$E$16="YES",IF(A189&lt;Calculator!$G$16,0,MIN(MIN(MOD(A189/Calculator!$F$16,1),1-MOD(A189/Calculator!$F$16,1)),ABS(MOD(A189/Calculator!$F$16,1)-0.5))),1)</f>
        <v>0.172315789473684</v>
      </c>
      <c r="H189" s="136" t="n">
        <f aca="false">IF(Calculator!$E$17="YES",IF(A189&lt;Calculator!$G$17,0,MIN(MIN(MOD(A189/Calculator!$F$17,1),1-MOD(A189/Calculator!$F$17,1)),ABS(MOD(A189/Calculator!$F$17,1)-0.5))),1)</f>
        <v>0.0248336842105261</v>
      </c>
      <c r="I189" s="136" t="n">
        <f aca="false">IF(Calculator!$E$18="YES",IF(A189&lt;Calculator!$G$18,0,MIN(MIN(MOD(A189/Calculator!$F$18,1),1-MOD(A189/Calculator!$F$18,1)),ABS(MOD(A189/Calculator!$F$18,1)-0.5))),1)</f>
        <v>0.0146315789473683</v>
      </c>
      <c r="J189" s="136" t="n">
        <f aca="false">IF(Calculator!$E$19="YES",IF(A189&lt;Calculator!$G$19,0,MIN(MIN(MOD(A189/Calculator!$F$19,1),1-MOD(A189/Calculator!$F$19,1)),ABS(MOD(A189/Calculator!$F$19,1)-0.5))),1)</f>
        <v>0.0954105263157885</v>
      </c>
      <c r="K189" s="136" t="n">
        <f aca="false">IF(Calculator!$E$20="YES",IF(A189&lt;Calculator!$G$20,0,MIN(MIN(MOD(A189/Calculator!$F$20,1),1-MOD(A189/Calculator!$F$20,1)),ABS(MOD(A189/Calculator!$F$20,1)-0.5))),1)</f>
        <v>0.237473684210526</v>
      </c>
      <c r="L189" s="136" t="n">
        <f aca="false">IF(Calculator!$E$21="YES",IF(A189&lt;Calculator!$G$21,0,MIN(MIN(MOD(A189/Calculator!$F$21,1),1-MOD(A189/Calculator!$F$21,1)),ABS(MOD(A189/Calculator!$F$21,1)-0.5))),1)</f>
        <v>0.0389473684210522</v>
      </c>
      <c r="M189" s="136" t="n">
        <f aca="false">MIN(B189:L189)</f>
        <v>0</v>
      </c>
      <c r="N189" s="136" t="n">
        <f aca="false">SUMPRODUCT(($M$5:$M$555&gt;M189)*1)+SUMPRODUCT(($M$5:$M$555=M189)*(ROW($M$5:$M$555)&lt;ROW(M189)))+1</f>
        <v>410</v>
      </c>
      <c r="O189" s="136" t="str">
        <f aca="false">IF(M189&gt;=0.2,"★★★ EXCELLENT",IF(M189&gt;=0.12,"★★  GOOD",IF(M189&gt;=0.07,"★  FAIR",IF(M189&gt;=0.025,"⚠  MARGINAL","✗  AVOID"))))</f>
        <v>✗  AVOID</v>
      </c>
    </row>
    <row r="190" customFormat="false" ht="15" hidden="false" customHeight="false" outlineLevel="0" collapsed="false">
      <c r="A190" s="137" t="n">
        <v>23.5</v>
      </c>
      <c r="B190" s="138" t="n">
        <f aca="false">IF(Calculator!$E$11="YES",IF(A190&lt;Calculator!$G$11,0,MIN(MIN(MOD(A190/Calculator!$F$11,1),1-MOD(A190/Calculator!$F$11,1)),ABS(MOD(A190/Calculator!$F$11,1)-0.5))),1)</f>
        <v>0</v>
      </c>
      <c r="C190" s="138" t="n">
        <f aca="false">IF(Calculator!$E$12="YES",IF(A190&lt;Calculator!$G$12,0,MIN(MIN(MOD(A190/Calculator!$F$12,1),1-MOD(A190/Calculator!$F$12,1)),ABS(MOD(A190/Calculator!$F$12,1)-0.5))),1)</f>
        <v>0.101929824561404</v>
      </c>
      <c r="D190" s="138" t="n">
        <f aca="false">IF(Calculator!$E$13="YES",IF(A190&lt;Calculator!$G$13,0,MIN(MIN(MOD(A190/Calculator!$F$13,1),1-MOD(A190/Calculator!$F$13,1)),ABS(MOD(A190/Calculator!$F$13,1)-0.5))),1)</f>
        <v>0.116235087719298</v>
      </c>
      <c r="E190" s="138" t="n">
        <f aca="false">IF(Calculator!$E$14="YES",IF(A190&lt;Calculator!$G$14,0,MIN(MIN(MOD(A190/Calculator!$F$14,1),1-MOD(A190/Calculator!$F$14,1)),ABS(MOD(A190/Calculator!$F$14,1)-0.5))),1)</f>
        <v>0.179122807017544</v>
      </c>
      <c r="F190" s="138" t="n">
        <f aca="false">IF(Calculator!$E$15="YES",IF(A190&lt;Calculator!$G$15,0,MIN(MIN(MOD(A190/Calculator!$F$15,1),1-MOD(A190/Calculator!$F$15,1)),ABS(MOD(A190/Calculator!$F$15,1)-0.5))),1)</f>
        <v>0.169736842105263</v>
      </c>
      <c r="G190" s="138" t="n">
        <f aca="false">IF(Calculator!$E$16="YES",IF(A190&lt;Calculator!$G$16,0,MIN(MIN(MOD(A190/Calculator!$F$16,1),1-MOD(A190/Calculator!$F$16,1)),ABS(MOD(A190/Calculator!$F$16,1)-0.5))),1)</f>
        <v>0.162368421052631</v>
      </c>
      <c r="H190" s="138" t="n">
        <f aca="false">IF(Calculator!$E$17="YES",IF(A190&lt;Calculator!$G$17,0,MIN(MIN(MOD(A190/Calculator!$F$17,1),1-MOD(A190/Calculator!$F$17,1)),ABS(MOD(A190/Calculator!$F$17,1)-0.5))),1)</f>
        <v>0.0121192982456138</v>
      </c>
      <c r="I190" s="138" t="n">
        <f aca="false">IF(Calculator!$E$18="YES",IF(A190&lt;Calculator!$G$18,0,MIN(MIN(MOD(A190/Calculator!$F$18,1),1-MOD(A190/Calculator!$F$18,1)),ABS(MOD(A190/Calculator!$F$18,1)-0.5))),1)</f>
        <v>0.000263157894737187</v>
      </c>
      <c r="J190" s="138" t="n">
        <f aca="false">IF(Calculator!$E$19="YES",IF(A190&lt;Calculator!$G$19,0,MIN(MIN(MOD(A190/Calculator!$F$19,1),1-MOD(A190/Calculator!$F$19,1)),ABS(MOD(A190/Calculator!$F$19,1)-0.5))),1)</f>
        <v>0.112912280701754</v>
      </c>
      <c r="K190" s="138" t="n">
        <f aca="false">IF(Calculator!$E$20="YES",IF(A190&lt;Calculator!$G$20,0,MIN(MIN(MOD(A190/Calculator!$F$20,1),1-MOD(A190/Calculator!$F$20,1)),ABS(MOD(A190/Calculator!$F$20,1)-0.5))),1)</f>
        <v>0.242280701754386</v>
      </c>
      <c r="L190" s="138" t="n">
        <f aca="false">IF(Calculator!$E$21="YES",IF(A190&lt;Calculator!$G$21,0,MIN(MIN(MOD(A190/Calculator!$F$21,1),1-MOD(A190/Calculator!$F$21,1)),ABS(MOD(A190/Calculator!$F$21,1)-0.5))),1)</f>
        <v>0.0754385964912281</v>
      </c>
      <c r="M190" s="138" t="n">
        <f aca="false">MIN(B190:L190)</f>
        <v>0</v>
      </c>
      <c r="N190" s="138" t="n">
        <f aca="false">SUMPRODUCT(($M$5:$M$555&gt;M190)*1)+SUMPRODUCT(($M$5:$M$555=M190)*(ROW($M$5:$M$555)&lt;ROW(M190)))+1</f>
        <v>411</v>
      </c>
      <c r="O190" s="138" t="str">
        <f aca="false">IF(M190&gt;=0.2,"★★★ EXCELLENT",IF(M190&gt;=0.12,"★★  GOOD",IF(M190&gt;=0.07,"★  FAIR",IF(M190&gt;=0.025,"⚠  MARGINAL","✗  AVOID"))))</f>
        <v>✗  AVOID</v>
      </c>
    </row>
    <row r="191" customFormat="false" ht="15" hidden="false" customHeight="false" outlineLevel="0" collapsed="false">
      <c r="A191" s="135" t="n">
        <v>23.6</v>
      </c>
      <c r="B191" s="136" t="n">
        <f aca="false">IF(Calculator!$E$11="YES",IF(A191&lt;Calculator!$G$11,0,MIN(MIN(MOD(A191/Calculator!$F$11,1),1-MOD(A191/Calculator!$F$11,1)),ABS(MOD(A191/Calculator!$F$11,1)-0.5))),1)</f>
        <v>0</v>
      </c>
      <c r="C191" s="136" t="n">
        <f aca="false">IF(Calculator!$E$12="YES",IF(A191&lt;Calculator!$G$12,0,MIN(MIN(MOD(A191/Calculator!$F$12,1),1-MOD(A191/Calculator!$F$12,1)),ABS(MOD(A191/Calculator!$F$12,1)-0.5))),1)</f>
        <v>0.104491228070176</v>
      </c>
      <c r="D191" s="136" t="n">
        <f aca="false">IF(Calculator!$E$13="YES",IF(A191&lt;Calculator!$G$13,0,MIN(MIN(MOD(A191/Calculator!$F$13,1),1-MOD(A191/Calculator!$F$13,1)),ABS(MOD(A191/Calculator!$F$13,1)-0.5))),1)</f>
        <v>0.112474385964912</v>
      </c>
      <c r="E191" s="136" t="n">
        <f aca="false">IF(Calculator!$E$14="YES",IF(A191&lt;Calculator!$G$14,0,MIN(MIN(MOD(A191/Calculator!$F$14,1),1-MOD(A191/Calculator!$F$14,1)),ABS(MOD(A191/Calculator!$F$14,1)-0.5))),1)</f>
        <v>0.184140350877193</v>
      </c>
      <c r="F191" s="136" t="n">
        <f aca="false">IF(Calculator!$E$15="YES",IF(A191&lt;Calculator!$G$15,0,MIN(MIN(MOD(A191/Calculator!$F$15,1),1-MOD(A191/Calculator!$F$15,1)),ABS(MOD(A191/Calculator!$F$15,1)-0.5))),1)</f>
        <v>0.176842105263158</v>
      </c>
      <c r="G191" s="136" t="n">
        <f aca="false">IF(Calculator!$E$16="YES",IF(A191&lt;Calculator!$G$16,0,MIN(MIN(MOD(A191/Calculator!$F$16,1),1-MOD(A191/Calculator!$F$16,1)),ABS(MOD(A191/Calculator!$F$16,1)-0.5))),1)</f>
        <v>0.152421052631579</v>
      </c>
      <c r="H191" s="136" t="n">
        <f aca="false">IF(Calculator!$E$17="YES",IF(A191&lt;Calculator!$G$17,0,MIN(MIN(MOD(A191/Calculator!$F$17,1),1-MOD(A191/Calculator!$F$17,1)),ABS(MOD(A191/Calculator!$F$17,1)-0.5))),1)</f>
        <v>0.000595087719298615</v>
      </c>
      <c r="I191" s="136" t="n">
        <f aca="false">IF(Calculator!$E$18="YES",IF(A191&lt;Calculator!$G$18,0,MIN(MIN(MOD(A191/Calculator!$F$18,1),1-MOD(A191/Calculator!$F$18,1)),ABS(MOD(A191/Calculator!$F$18,1)-0.5))),1)</f>
        <v>0.0151578947368423</v>
      </c>
      <c r="J191" s="136" t="n">
        <f aca="false">IF(Calculator!$E$19="YES",IF(A191&lt;Calculator!$G$19,0,MIN(MIN(MOD(A191/Calculator!$F$19,1),1-MOD(A191/Calculator!$F$19,1)),ABS(MOD(A191/Calculator!$F$19,1)-0.5))),1)</f>
        <v>0.130414035087719</v>
      </c>
      <c r="K191" s="136" t="n">
        <f aca="false">IF(Calculator!$E$20="YES",IF(A191&lt;Calculator!$G$20,0,MIN(MIN(MOD(A191/Calculator!$F$20,1),1-MOD(A191/Calculator!$F$20,1)),ABS(MOD(A191/Calculator!$F$20,1)-0.5))),1)</f>
        <v>0.222035087719298</v>
      </c>
      <c r="L191" s="136" t="n">
        <f aca="false">IF(Calculator!$E$21="YES",IF(A191&lt;Calculator!$G$21,0,MIN(MIN(MOD(A191/Calculator!$F$21,1),1-MOD(A191/Calculator!$F$21,1)),ABS(MOD(A191/Calculator!$F$21,1)-0.5))),1)</f>
        <v>0.111929824561404</v>
      </c>
      <c r="M191" s="136" t="n">
        <f aca="false">MIN(B191:L191)</f>
        <v>0</v>
      </c>
      <c r="N191" s="136" t="n">
        <f aca="false">SUMPRODUCT(($M$5:$M$555&gt;M191)*1)+SUMPRODUCT(($M$5:$M$555=M191)*(ROW($M$5:$M$555)&lt;ROW(M191)))+1</f>
        <v>412</v>
      </c>
      <c r="O191" s="136" t="str">
        <f aca="false">IF(M191&gt;=0.2,"★★★ EXCELLENT",IF(M191&gt;=0.12,"★★  GOOD",IF(M191&gt;=0.07,"★  FAIR",IF(M191&gt;=0.025,"⚠  MARGINAL","✗  AVOID"))))</f>
        <v>✗  AVOID</v>
      </c>
    </row>
    <row r="192" customFormat="false" ht="15" hidden="false" customHeight="false" outlineLevel="0" collapsed="false">
      <c r="A192" s="137" t="n">
        <v>23.7</v>
      </c>
      <c r="B192" s="138" t="n">
        <f aca="false">IF(Calculator!$E$11="YES",IF(A192&lt;Calculator!$G$11,0,MIN(MIN(MOD(A192/Calculator!$F$11,1),1-MOD(A192/Calculator!$F$11,1)),ABS(MOD(A192/Calculator!$F$11,1)-0.5))),1)</f>
        <v>0</v>
      </c>
      <c r="C192" s="138" t="n">
        <f aca="false">IF(Calculator!$E$12="YES",IF(A192&lt;Calculator!$G$12,0,MIN(MIN(MOD(A192/Calculator!$F$12,1),1-MOD(A192/Calculator!$F$12,1)),ABS(MOD(A192/Calculator!$F$12,1)-0.5))),1)</f>
        <v>0.107052631578947</v>
      </c>
      <c r="D192" s="138" t="n">
        <f aca="false">IF(Calculator!$E$13="YES",IF(A192&lt;Calculator!$G$13,0,MIN(MIN(MOD(A192/Calculator!$F$13,1),1-MOD(A192/Calculator!$F$13,1)),ABS(MOD(A192/Calculator!$F$13,1)-0.5))),1)</f>
        <v>0.108713684210526</v>
      </c>
      <c r="E192" s="138" t="n">
        <f aca="false">IF(Calculator!$E$14="YES",IF(A192&lt;Calculator!$G$14,0,MIN(MIN(MOD(A192/Calculator!$F$14,1),1-MOD(A192/Calculator!$F$14,1)),ABS(MOD(A192/Calculator!$F$14,1)-0.5))),1)</f>
        <v>0.189157894736842</v>
      </c>
      <c r="F192" s="138" t="n">
        <f aca="false">IF(Calculator!$E$15="YES",IF(A192&lt;Calculator!$G$15,0,MIN(MIN(MOD(A192/Calculator!$F$15,1),1-MOD(A192/Calculator!$F$15,1)),ABS(MOD(A192/Calculator!$F$15,1)-0.5))),1)</f>
        <v>0.183947368421053</v>
      </c>
      <c r="G192" s="138" t="n">
        <f aca="false">IF(Calculator!$E$16="YES",IF(A192&lt;Calculator!$G$16,0,MIN(MIN(MOD(A192/Calculator!$F$16,1),1-MOD(A192/Calculator!$F$16,1)),ABS(MOD(A192/Calculator!$F$16,1)-0.5))),1)</f>
        <v>0.142473684210526</v>
      </c>
      <c r="H192" s="138" t="n">
        <f aca="false">IF(Calculator!$E$17="YES",IF(A192&lt;Calculator!$G$17,0,MIN(MIN(MOD(A192/Calculator!$F$17,1),1-MOD(A192/Calculator!$F$17,1)),ABS(MOD(A192/Calculator!$F$17,1)-0.5))),1)</f>
        <v>0.013309473684211</v>
      </c>
      <c r="I192" s="138" t="n">
        <f aca="false">IF(Calculator!$E$18="YES",IF(A192&lt;Calculator!$G$18,0,MIN(MIN(MOD(A192/Calculator!$F$18,1),1-MOD(A192/Calculator!$F$18,1)),ABS(MOD(A192/Calculator!$F$18,1)-0.5))),1)</f>
        <v>0.0300526315789473</v>
      </c>
      <c r="J192" s="138" t="n">
        <f aca="false">IF(Calculator!$E$19="YES",IF(A192&lt;Calculator!$G$19,0,MIN(MIN(MOD(A192/Calculator!$F$19,1),1-MOD(A192/Calculator!$F$19,1)),ABS(MOD(A192/Calculator!$F$19,1)-0.5))),1)</f>
        <v>0.147915789473683</v>
      </c>
      <c r="K192" s="138" t="n">
        <f aca="false">IF(Calculator!$E$20="YES",IF(A192&lt;Calculator!$G$20,0,MIN(MIN(MOD(A192/Calculator!$F$20,1),1-MOD(A192/Calculator!$F$20,1)),ABS(MOD(A192/Calculator!$F$20,1)-0.5))),1)</f>
        <v>0.201789473684211</v>
      </c>
      <c r="L192" s="138" t="n">
        <f aca="false">IF(Calculator!$E$21="YES",IF(A192&lt;Calculator!$G$21,0,MIN(MIN(MOD(A192/Calculator!$F$21,1),1-MOD(A192/Calculator!$F$21,1)),ABS(MOD(A192/Calculator!$F$21,1)-0.5))),1)</f>
        <v>0.148421052631578</v>
      </c>
      <c r="M192" s="138" t="n">
        <f aca="false">MIN(B192:L192)</f>
        <v>0</v>
      </c>
      <c r="N192" s="138" t="n">
        <f aca="false">SUMPRODUCT(($M$5:$M$555&gt;M192)*1)+SUMPRODUCT(($M$5:$M$555=M192)*(ROW($M$5:$M$555)&lt;ROW(M192)))+1</f>
        <v>413</v>
      </c>
      <c r="O192" s="138" t="str">
        <f aca="false">IF(M192&gt;=0.2,"★★★ EXCELLENT",IF(M192&gt;=0.12,"★★  GOOD",IF(M192&gt;=0.07,"★  FAIR",IF(M192&gt;=0.025,"⚠  MARGINAL","✗  AVOID"))))</f>
        <v>✗  AVOID</v>
      </c>
    </row>
    <row r="193" customFormat="false" ht="15" hidden="false" customHeight="false" outlineLevel="0" collapsed="false">
      <c r="A193" s="135" t="n">
        <v>23.8</v>
      </c>
      <c r="B193" s="136" t="n">
        <f aca="false">IF(Calculator!$E$11="YES",IF(A193&lt;Calculator!$G$11,0,MIN(MIN(MOD(A193/Calculator!$F$11,1),1-MOD(A193/Calculator!$F$11,1)),ABS(MOD(A193/Calculator!$F$11,1)-0.5))),1)</f>
        <v>0</v>
      </c>
      <c r="C193" s="136" t="n">
        <f aca="false">IF(Calculator!$E$12="YES",IF(A193&lt;Calculator!$G$12,0,MIN(MIN(MOD(A193/Calculator!$F$12,1),1-MOD(A193/Calculator!$F$12,1)),ABS(MOD(A193/Calculator!$F$12,1)-0.5))),1)</f>
        <v>0.109614035087719</v>
      </c>
      <c r="D193" s="136" t="n">
        <f aca="false">IF(Calculator!$E$13="YES",IF(A193&lt;Calculator!$G$13,0,MIN(MIN(MOD(A193/Calculator!$F$13,1),1-MOD(A193/Calculator!$F$13,1)),ABS(MOD(A193/Calculator!$F$13,1)-0.5))),1)</f>
        <v>0.10495298245614</v>
      </c>
      <c r="E193" s="136" t="n">
        <f aca="false">IF(Calculator!$E$14="YES",IF(A193&lt;Calculator!$G$14,0,MIN(MIN(MOD(A193/Calculator!$F$14,1),1-MOD(A193/Calculator!$F$14,1)),ABS(MOD(A193/Calculator!$F$14,1)-0.5))),1)</f>
        <v>0.194175438596491</v>
      </c>
      <c r="F193" s="136" t="n">
        <f aca="false">IF(Calculator!$E$15="YES",IF(A193&lt;Calculator!$G$15,0,MIN(MIN(MOD(A193/Calculator!$F$15,1),1-MOD(A193/Calculator!$F$15,1)),ABS(MOD(A193/Calculator!$F$15,1)-0.5))),1)</f>
        <v>0.191052631578947</v>
      </c>
      <c r="G193" s="136" t="n">
        <f aca="false">IF(Calculator!$E$16="YES",IF(A193&lt;Calculator!$G$16,0,MIN(MIN(MOD(A193/Calculator!$F$16,1),1-MOD(A193/Calculator!$F$16,1)),ABS(MOD(A193/Calculator!$F$16,1)-0.5))),1)</f>
        <v>0.132526315789474</v>
      </c>
      <c r="H193" s="136" t="n">
        <f aca="false">IF(Calculator!$E$17="YES",IF(A193&lt;Calculator!$G$17,0,MIN(MIN(MOD(A193/Calculator!$F$17,1),1-MOD(A193/Calculator!$F$17,1)),ABS(MOD(A193/Calculator!$F$17,1)-0.5))),1)</f>
        <v>0.0260238596491234</v>
      </c>
      <c r="I193" s="136" t="n">
        <f aca="false">IF(Calculator!$E$18="YES",IF(A193&lt;Calculator!$G$18,0,MIN(MIN(MOD(A193/Calculator!$F$18,1),1-MOD(A193/Calculator!$F$18,1)),ABS(MOD(A193/Calculator!$F$18,1)-0.5))),1)</f>
        <v>0.0449473684210529</v>
      </c>
      <c r="J193" s="136" t="n">
        <f aca="false">IF(Calculator!$E$19="YES",IF(A193&lt;Calculator!$G$19,0,MIN(MIN(MOD(A193/Calculator!$F$19,1),1-MOD(A193/Calculator!$F$19,1)),ABS(MOD(A193/Calculator!$F$19,1)-0.5))),1)</f>
        <v>0.165417543859649</v>
      </c>
      <c r="K193" s="136" t="n">
        <f aca="false">IF(Calculator!$E$20="YES",IF(A193&lt;Calculator!$G$20,0,MIN(MIN(MOD(A193/Calculator!$F$20,1),1-MOD(A193/Calculator!$F$20,1)),ABS(MOD(A193/Calculator!$F$20,1)-0.5))),1)</f>
        <v>0.181543859649123</v>
      </c>
      <c r="L193" s="136" t="n">
        <f aca="false">IF(Calculator!$E$21="YES",IF(A193&lt;Calculator!$G$21,0,MIN(MIN(MOD(A193/Calculator!$F$21,1),1-MOD(A193/Calculator!$F$21,1)),ABS(MOD(A193/Calculator!$F$21,1)-0.5))),1)</f>
        <v>0.184912280701754</v>
      </c>
      <c r="M193" s="136" t="n">
        <f aca="false">MIN(B193:L193)</f>
        <v>0</v>
      </c>
      <c r="N193" s="136" t="n">
        <f aca="false">SUMPRODUCT(($M$5:$M$555&gt;M193)*1)+SUMPRODUCT(($M$5:$M$555=M193)*(ROW($M$5:$M$555)&lt;ROW(M193)))+1</f>
        <v>414</v>
      </c>
      <c r="O193" s="136" t="str">
        <f aca="false">IF(M193&gt;=0.2,"★★★ EXCELLENT",IF(M193&gt;=0.12,"★★  GOOD",IF(M193&gt;=0.07,"★  FAIR",IF(M193&gt;=0.025,"⚠  MARGINAL","✗  AVOID"))))</f>
        <v>✗  AVOID</v>
      </c>
    </row>
    <row r="194" customFormat="false" ht="15" hidden="false" customHeight="false" outlineLevel="0" collapsed="false">
      <c r="A194" s="137" t="n">
        <v>23.9</v>
      </c>
      <c r="B194" s="138" t="n">
        <f aca="false">IF(Calculator!$E$11="YES",IF(A194&lt;Calculator!$G$11,0,MIN(MIN(MOD(A194/Calculator!$F$11,1),1-MOD(A194/Calculator!$F$11,1)),ABS(MOD(A194/Calculator!$F$11,1)-0.5))),1)</f>
        <v>0</v>
      </c>
      <c r="C194" s="138" t="n">
        <f aca="false">IF(Calculator!$E$12="YES",IF(A194&lt;Calculator!$G$12,0,MIN(MIN(MOD(A194/Calculator!$F$12,1),1-MOD(A194/Calculator!$F$12,1)),ABS(MOD(A194/Calculator!$F$12,1)-0.5))),1)</f>
        <v>0.112175438596491</v>
      </c>
      <c r="D194" s="138" t="n">
        <f aca="false">IF(Calculator!$E$13="YES",IF(A194&lt;Calculator!$G$13,0,MIN(MIN(MOD(A194/Calculator!$F$13,1),1-MOD(A194/Calculator!$F$13,1)),ABS(MOD(A194/Calculator!$F$13,1)-0.5))),1)</f>
        <v>0.101192280701754</v>
      </c>
      <c r="E194" s="138" t="n">
        <f aca="false">IF(Calculator!$E$14="YES",IF(A194&lt;Calculator!$G$14,0,MIN(MIN(MOD(A194/Calculator!$F$14,1),1-MOD(A194/Calculator!$F$14,1)),ABS(MOD(A194/Calculator!$F$14,1)-0.5))),1)</f>
        <v>0.19919298245614</v>
      </c>
      <c r="F194" s="138" t="n">
        <f aca="false">IF(Calculator!$E$15="YES",IF(A194&lt;Calculator!$G$15,0,MIN(MIN(MOD(A194/Calculator!$F$15,1),1-MOD(A194/Calculator!$F$15,1)),ABS(MOD(A194/Calculator!$F$15,1)-0.5))),1)</f>
        <v>0.198157894736842</v>
      </c>
      <c r="G194" s="138" t="n">
        <f aca="false">IF(Calculator!$E$16="YES",IF(A194&lt;Calculator!$G$16,0,MIN(MIN(MOD(A194/Calculator!$F$16,1),1-MOD(A194/Calculator!$F$16,1)),ABS(MOD(A194/Calculator!$F$16,1)-0.5))),1)</f>
        <v>0.122578947368421</v>
      </c>
      <c r="H194" s="138" t="n">
        <f aca="false">IF(Calculator!$E$17="YES",IF(A194&lt;Calculator!$G$17,0,MIN(MIN(MOD(A194/Calculator!$F$17,1),1-MOD(A194/Calculator!$F$17,1)),ABS(MOD(A194/Calculator!$F$17,1)-0.5))),1)</f>
        <v>0.0387382456140353</v>
      </c>
      <c r="I194" s="138" t="n">
        <f aca="false">IF(Calculator!$E$18="YES",IF(A194&lt;Calculator!$G$18,0,MIN(MIN(MOD(A194/Calculator!$F$18,1),1-MOD(A194/Calculator!$F$18,1)),ABS(MOD(A194/Calculator!$F$18,1)-0.5))),1)</f>
        <v>0.0598421052631579</v>
      </c>
      <c r="J194" s="138" t="n">
        <f aca="false">IF(Calculator!$E$19="YES",IF(A194&lt;Calculator!$G$19,0,MIN(MIN(MOD(A194/Calculator!$F$19,1),1-MOD(A194/Calculator!$F$19,1)),ABS(MOD(A194/Calculator!$F$19,1)-0.5))),1)</f>
        <v>0.182919298245613</v>
      </c>
      <c r="K194" s="138" t="n">
        <f aca="false">IF(Calculator!$E$20="YES",IF(A194&lt;Calculator!$G$20,0,MIN(MIN(MOD(A194/Calculator!$F$20,1),1-MOD(A194/Calculator!$F$20,1)),ABS(MOD(A194/Calculator!$F$20,1)-0.5))),1)</f>
        <v>0.161298245614035</v>
      </c>
      <c r="L194" s="138" t="n">
        <f aca="false">IF(Calculator!$E$21="YES",IF(A194&lt;Calculator!$G$21,0,MIN(MIN(MOD(A194/Calculator!$F$21,1),1-MOD(A194/Calculator!$F$21,1)),ABS(MOD(A194/Calculator!$F$21,1)-0.5))),1)</f>
        <v>0.22140350877193</v>
      </c>
      <c r="M194" s="138" t="n">
        <f aca="false">MIN(B194:L194)</f>
        <v>0</v>
      </c>
      <c r="N194" s="138" t="n">
        <f aca="false">SUMPRODUCT(($M$5:$M$555&gt;M194)*1)+SUMPRODUCT(($M$5:$M$555=M194)*(ROW($M$5:$M$555)&lt;ROW(M194)))+1</f>
        <v>415</v>
      </c>
      <c r="O194" s="138" t="str">
        <f aca="false">IF(M194&gt;=0.2,"★★★ EXCELLENT",IF(M194&gt;=0.12,"★★  GOOD",IF(M194&gt;=0.07,"★  FAIR",IF(M194&gt;=0.025,"⚠  MARGINAL","✗  AVOID"))))</f>
        <v>✗  AVOID</v>
      </c>
    </row>
    <row r="195" customFormat="false" ht="15" hidden="false" customHeight="false" outlineLevel="0" collapsed="false">
      <c r="A195" s="135" t="n">
        <v>24</v>
      </c>
      <c r="B195" s="136" t="n">
        <f aca="false">IF(Calculator!$E$11="YES",IF(A195&lt;Calculator!$G$11,0,MIN(MIN(MOD(A195/Calculator!$F$11,1),1-MOD(A195/Calculator!$F$11,1)),ABS(MOD(A195/Calculator!$F$11,1)-0.5))),1)</f>
        <v>0</v>
      </c>
      <c r="C195" s="136" t="n">
        <f aca="false">IF(Calculator!$E$12="YES",IF(A195&lt;Calculator!$G$12,0,MIN(MIN(MOD(A195/Calculator!$F$12,1),1-MOD(A195/Calculator!$F$12,1)),ABS(MOD(A195/Calculator!$F$12,1)-0.5))),1)</f>
        <v>0.114736842105263</v>
      </c>
      <c r="D195" s="136" t="n">
        <f aca="false">IF(Calculator!$E$13="YES",IF(A195&lt;Calculator!$G$13,0,MIN(MIN(MOD(A195/Calculator!$F$13,1),1-MOD(A195/Calculator!$F$13,1)),ABS(MOD(A195/Calculator!$F$13,1)-0.5))),1)</f>
        <v>0.0974315789473684</v>
      </c>
      <c r="E195" s="136" t="n">
        <f aca="false">IF(Calculator!$E$14="YES",IF(A195&lt;Calculator!$G$14,0,MIN(MIN(MOD(A195/Calculator!$F$14,1),1-MOD(A195/Calculator!$F$14,1)),ABS(MOD(A195/Calculator!$F$14,1)-0.5))),1)</f>
        <v>0.204210526315789</v>
      </c>
      <c r="F195" s="136" t="n">
        <f aca="false">IF(Calculator!$E$15="YES",IF(A195&lt;Calculator!$G$15,0,MIN(MIN(MOD(A195/Calculator!$F$15,1),1-MOD(A195/Calculator!$F$15,1)),ABS(MOD(A195/Calculator!$F$15,1)-0.5))),1)</f>
        <v>0.205263157894737</v>
      </c>
      <c r="G195" s="136" t="n">
        <f aca="false">IF(Calculator!$E$16="YES",IF(A195&lt;Calculator!$G$16,0,MIN(MIN(MOD(A195/Calculator!$F$16,1),1-MOD(A195/Calculator!$F$16,1)),ABS(MOD(A195/Calculator!$F$16,1)-0.5))),1)</f>
        <v>0.112631578947368</v>
      </c>
      <c r="H195" s="136" t="n">
        <f aca="false">IF(Calculator!$E$17="YES",IF(A195&lt;Calculator!$G$17,0,MIN(MIN(MOD(A195/Calculator!$F$17,1),1-MOD(A195/Calculator!$F$17,1)),ABS(MOD(A195/Calculator!$F$17,1)-0.5))),1)</f>
        <v>0.0514526315789476</v>
      </c>
      <c r="I195" s="136" t="n">
        <f aca="false">IF(Calculator!$E$18="YES",IF(A195&lt;Calculator!$G$18,0,MIN(MIN(MOD(A195/Calculator!$F$18,1),1-MOD(A195/Calculator!$F$18,1)),ABS(MOD(A195/Calculator!$F$18,1)-0.5))),1)</f>
        <v>0.0747368421052634</v>
      </c>
      <c r="J195" s="136" t="n">
        <f aca="false">IF(Calculator!$E$19="YES",IF(A195&lt;Calculator!$G$19,0,MIN(MIN(MOD(A195/Calculator!$F$19,1),1-MOD(A195/Calculator!$F$19,1)),ABS(MOD(A195/Calculator!$F$19,1)-0.5))),1)</f>
        <v>0.200421052631579</v>
      </c>
      <c r="K195" s="136" t="n">
        <f aca="false">IF(Calculator!$E$20="YES",IF(A195&lt;Calculator!$G$20,0,MIN(MIN(MOD(A195/Calculator!$F$20,1),1-MOD(A195/Calculator!$F$20,1)),ABS(MOD(A195/Calculator!$F$20,1)-0.5))),1)</f>
        <v>0.141052631578948</v>
      </c>
      <c r="L195" s="136" t="n">
        <f aca="false">IF(Calculator!$E$21="YES",IF(A195&lt;Calculator!$G$21,0,MIN(MIN(MOD(A195/Calculator!$F$21,1),1-MOD(A195/Calculator!$F$21,1)),ABS(MOD(A195/Calculator!$F$21,1)-0.5))),1)</f>
        <v>0.242105263157894</v>
      </c>
      <c r="M195" s="136" t="n">
        <f aca="false">MIN(B195:L195)</f>
        <v>0</v>
      </c>
      <c r="N195" s="136" t="n">
        <f aca="false">SUMPRODUCT(($M$5:$M$555&gt;M195)*1)+SUMPRODUCT(($M$5:$M$555=M195)*(ROW($M$5:$M$555)&lt;ROW(M195)))+1</f>
        <v>416</v>
      </c>
      <c r="O195" s="136" t="str">
        <f aca="false">IF(M195&gt;=0.2,"★★★ EXCELLENT",IF(M195&gt;=0.12,"★★  GOOD",IF(M195&gt;=0.07,"★  FAIR",IF(M195&gt;=0.025,"⚠  MARGINAL","✗  AVOID"))))</f>
        <v>✗  AVOID</v>
      </c>
    </row>
    <row r="196" customFormat="false" ht="15" hidden="false" customHeight="false" outlineLevel="0" collapsed="false">
      <c r="A196" s="137" t="n">
        <v>24.1</v>
      </c>
      <c r="B196" s="138" t="n">
        <f aca="false">IF(Calculator!$E$11="YES",IF(A196&lt;Calculator!$G$11,0,MIN(MIN(MOD(A196/Calculator!$F$11,1),1-MOD(A196/Calculator!$F$11,1)),ABS(MOD(A196/Calculator!$F$11,1)-0.5))),1)</f>
        <v>0</v>
      </c>
      <c r="C196" s="138" t="n">
        <f aca="false">IF(Calculator!$E$12="YES",IF(A196&lt;Calculator!$G$12,0,MIN(MIN(MOD(A196/Calculator!$F$12,1),1-MOD(A196/Calculator!$F$12,1)),ABS(MOD(A196/Calculator!$F$12,1)-0.5))),1)</f>
        <v>0.117298245614035</v>
      </c>
      <c r="D196" s="138" t="n">
        <f aca="false">IF(Calculator!$E$13="YES",IF(A196&lt;Calculator!$G$13,0,MIN(MIN(MOD(A196/Calculator!$F$13,1),1-MOD(A196/Calculator!$F$13,1)),ABS(MOD(A196/Calculator!$F$13,1)-0.5))),1)</f>
        <v>0.0936708771929824</v>
      </c>
      <c r="E196" s="138" t="n">
        <f aca="false">IF(Calculator!$E$14="YES",IF(A196&lt;Calculator!$G$14,0,MIN(MIN(MOD(A196/Calculator!$F$14,1),1-MOD(A196/Calculator!$F$14,1)),ABS(MOD(A196/Calculator!$F$14,1)-0.5))),1)</f>
        <v>0.209228070175439</v>
      </c>
      <c r="F196" s="138" t="n">
        <f aca="false">IF(Calculator!$E$15="YES",IF(A196&lt;Calculator!$G$15,0,MIN(MIN(MOD(A196/Calculator!$F$15,1),1-MOD(A196/Calculator!$F$15,1)),ABS(MOD(A196/Calculator!$F$15,1)-0.5))),1)</f>
        <v>0.212368421052632</v>
      </c>
      <c r="G196" s="138" t="n">
        <f aca="false">IF(Calculator!$E$16="YES",IF(A196&lt;Calculator!$G$16,0,MIN(MIN(MOD(A196/Calculator!$F$16,1),1-MOD(A196/Calculator!$F$16,1)),ABS(MOD(A196/Calculator!$F$16,1)-0.5))),1)</f>
        <v>0.102684210526315</v>
      </c>
      <c r="H196" s="138" t="n">
        <f aca="false">IF(Calculator!$E$17="YES",IF(A196&lt;Calculator!$G$17,0,MIN(MIN(MOD(A196/Calculator!$F$17,1),1-MOD(A196/Calculator!$F$17,1)),ABS(MOD(A196/Calculator!$F$17,1)-0.5))),1)</f>
        <v>0.06416701754386</v>
      </c>
      <c r="I196" s="138" t="n">
        <f aca="false">IF(Calculator!$E$18="YES",IF(A196&lt;Calculator!$G$18,0,MIN(MIN(MOD(A196/Calculator!$F$18,1),1-MOD(A196/Calculator!$F$18,1)),ABS(MOD(A196/Calculator!$F$18,1)-0.5))),1)</f>
        <v>0.089631578947369</v>
      </c>
      <c r="J196" s="138" t="n">
        <f aca="false">IF(Calculator!$E$19="YES",IF(A196&lt;Calculator!$G$19,0,MIN(MIN(MOD(A196/Calculator!$F$19,1),1-MOD(A196/Calculator!$F$19,1)),ABS(MOD(A196/Calculator!$F$19,1)-0.5))),1)</f>
        <v>0.217922807017543</v>
      </c>
      <c r="K196" s="138" t="n">
        <f aca="false">IF(Calculator!$E$20="YES",IF(A196&lt;Calculator!$G$20,0,MIN(MIN(MOD(A196/Calculator!$F$20,1),1-MOD(A196/Calculator!$F$20,1)),ABS(MOD(A196/Calculator!$F$20,1)-0.5))),1)</f>
        <v>0.12080701754386</v>
      </c>
      <c r="L196" s="138" t="n">
        <f aca="false">IF(Calculator!$E$21="YES",IF(A196&lt;Calculator!$G$21,0,MIN(MIN(MOD(A196/Calculator!$F$21,1),1-MOD(A196/Calculator!$F$21,1)),ABS(MOD(A196/Calculator!$F$21,1)-0.5))),1)</f>
        <v>0.205614035087718</v>
      </c>
      <c r="M196" s="138" t="n">
        <f aca="false">MIN(B196:L196)</f>
        <v>0</v>
      </c>
      <c r="N196" s="138" t="n">
        <f aca="false">SUMPRODUCT(($M$5:$M$555&gt;M196)*1)+SUMPRODUCT(($M$5:$M$555=M196)*(ROW($M$5:$M$555)&lt;ROW(M196)))+1</f>
        <v>417</v>
      </c>
      <c r="O196" s="138" t="str">
        <f aca="false">IF(M196&gt;=0.2,"★★★ EXCELLENT",IF(M196&gt;=0.12,"★★  GOOD",IF(M196&gt;=0.07,"★  FAIR",IF(M196&gt;=0.025,"⚠  MARGINAL","✗  AVOID"))))</f>
        <v>✗  AVOID</v>
      </c>
    </row>
    <row r="197" customFormat="false" ht="15" hidden="false" customHeight="false" outlineLevel="0" collapsed="false">
      <c r="A197" s="135" t="n">
        <v>24.2</v>
      </c>
      <c r="B197" s="136" t="n">
        <f aca="false">IF(Calculator!$E$11="YES",IF(A197&lt;Calculator!$G$11,0,MIN(MIN(MOD(A197/Calculator!$F$11,1),1-MOD(A197/Calculator!$F$11,1)),ABS(MOD(A197/Calculator!$F$11,1)-0.5))),1)</f>
        <v>0</v>
      </c>
      <c r="C197" s="136" t="n">
        <f aca="false">IF(Calculator!$E$12="YES",IF(A197&lt;Calculator!$G$12,0,MIN(MIN(MOD(A197/Calculator!$F$12,1),1-MOD(A197/Calculator!$F$12,1)),ABS(MOD(A197/Calculator!$F$12,1)-0.5))),1)</f>
        <v>0.119859649122807</v>
      </c>
      <c r="D197" s="136" t="n">
        <f aca="false">IF(Calculator!$E$13="YES",IF(A197&lt;Calculator!$G$13,0,MIN(MIN(MOD(A197/Calculator!$F$13,1),1-MOD(A197/Calculator!$F$13,1)),ABS(MOD(A197/Calculator!$F$13,1)-0.5))),1)</f>
        <v>0.0899101754385966</v>
      </c>
      <c r="E197" s="136" t="n">
        <f aca="false">IF(Calculator!$E$14="YES",IF(A197&lt;Calculator!$G$14,0,MIN(MIN(MOD(A197/Calculator!$F$14,1),1-MOD(A197/Calculator!$F$14,1)),ABS(MOD(A197/Calculator!$F$14,1)-0.5))),1)</f>
        <v>0.214245614035088</v>
      </c>
      <c r="F197" s="136" t="n">
        <f aca="false">IF(Calculator!$E$15="YES",IF(A197&lt;Calculator!$G$15,0,MIN(MIN(MOD(A197/Calculator!$F$15,1),1-MOD(A197/Calculator!$F$15,1)),ABS(MOD(A197/Calculator!$F$15,1)-0.5))),1)</f>
        <v>0.219473684210526</v>
      </c>
      <c r="G197" s="136" t="n">
        <f aca="false">IF(Calculator!$E$16="YES",IF(A197&lt;Calculator!$G$16,0,MIN(MIN(MOD(A197/Calculator!$F$16,1),1-MOD(A197/Calculator!$F$16,1)),ABS(MOD(A197/Calculator!$F$16,1)-0.5))),1)</f>
        <v>0.0927368421052632</v>
      </c>
      <c r="H197" s="136" t="n">
        <f aca="false">IF(Calculator!$E$17="YES",IF(A197&lt;Calculator!$G$17,0,MIN(MIN(MOD(A197/Calculator!$F$17,1),1-MOD(A197/Calculator!$F$17,1)),ABS(MOD(A197/Calculator!$F$17,1)-0.5))),1)</f>
        <v>0.0768814035087724</v>
      </c>
      <c r="I197" s="136" t="n">
        <f aca="false">IF(Calculator!$E$18="YES",IF(A197&lt;Calculator!$G$18,0,MIN(MIN(MOD(A197/Calculator!$F$18,1),1-MOD(A197/Calculator!$F$18,1)),ABS(MOD(A197/Calculator!$F$18,1)-0.5))),1)</f>
        <v>0.104526315789474</v>
      </c>
      <c r="J197" s="136" t="n">
        <f aca="false">IF(Calculator!$E$19="YES",IF(A197&lt;Calculator!$G$19,0,MIN(MIN(MOD(A197/Calculator!$F$19,1),1-MOD(A197/Calculator!$F$19,1)),ABS(MOD(A197/Calculator!$F$19,1)-0.5))),1)</f>
        <v>0.235424561403508</v>
      </c>
      <c r="K197" s="136" t="n">
        <f aca="false">IF(Calculator!$E$20="YES",IF(A197&lt;Calculator!$G$20,0,MIN(MIN(MOD(A197/Calculator!$F$20,1),1-MOD(A197/Calculator!$F$20,1)),ABS(MOD(A197/Calculator!$F$20,1)-0.5))),1)</f>
        <v>0.100561403508772</v>
      </c>
      <c r="L197" s="136" t="n">
        <f aca="false">IF(Calculator!$E$21="YES",IF(A197&lt;Calculator!$G$21,0,MIN(MIN(MOD(A197/Calculator!$F$21,1),1-MOD(A197/Calculator!$F$21,1)),ABS(MOD(A197/Calculator!$F$21,1)-0.5))),1)</f>
        <v>0.169122807017544</v>
      </c>
      <c r="M197" s="136" t="n">
        <f aca="false">MIN(B197:L197)</f>
        <v>0</v>
      </c>
      <c r="N197" s="136" t="n">
        <f aca="false">SUMPRODUCT(($M$5:$M$555&gt;M197)*1)+SUMPRODUCT(($M$5:$M$555=M197)*(ROW($M$5:$M$555)&lt;ROW(M197)))+1</f>
        <v>418</v>
      </c>
      <c r="O197" s="136" t="str">
        <f aca="false">IF(M197&gt;=0.2,"★★★ EXCELLENT",IF(M197&gt;=0.12,"★★  GOOD",IF(M197&gt;=0.07,"★  FAIR",IF(M197&gt;=0.025,"⚠  MARGINAL","✗  AVOID"))))</f>
        <v>✗  AVOID</v>
      </c>
    </row>
    <row r="198" customFormat="false" ht="15" hidden="false" customHeight="false" outlineLevel="0" collapsed="false">
      <c r="A198" s="137" t="n">
        <v>24.3</v>
      </c>
      <c r="B198" s="138" t="n">
        <f aca="false">IF(Calculator!$E$11="YES",IF(A198&lt;Calculator!$G$11,0,MIN(MIN(MOD(A198/Calculator!$F$11,1),1-MOD(A198/Calculator!$F$11,1)),ABS(MOD(A198/Calculator!$F$11,1)-0.5))),1)</f>
        <v>0</v>
      </c>
      <c r="C198" s="138" t="n">
        <f aca="false">IF(Calculator!$E$12="YES",IF(A198&lt;Calculator!$G$12,0,MIN(MIN(MOD(A198/Calculator!$F$12,1),1-MOD(A198/Calculator!$F$12,1)),ABS(MOD(A198/Calculator!$F$12,1)-0.5))),1)</f>
        <v>0.122421052631579</v>
      </c>
      <c r="D198" s="138" t="n">
        <f aca="false">IF(Calculator!$E$13="YES",IF(A198&lt;Calculator!$G$13,0,MIN(MIN(MOD(A198/Calculator!$F$13,1),1-MOD(A198/Calculator!$F$13,1)),ABS(MOD(A198/Calculator!$F$13,1)-0.5))),1)</f>
        <v>0.0861494736842106</v>
      </c>
      <c r="E198" s="138" t="n">
        <f aca="false">IF(Calculator!$E$14="YES",IF(A198&lt;Calculator!$G$14,0,MIN(MIN(MOD(A198/Calculator!$F$14,1),1-MOD(A198/Calculator!$F$14,1)),ABS(MOD(A198/Calculator!$F$14,1)-0.5))),1)</f>
        <v>0.219263157894737</v>
      </c>
      <c r="F198" s="138" t="n">
        <f aca="false">IF(Calculator!$E$15="YES",IF(A198&lt;Calculator!$G$15,0,MIN(MIN(MOD(A198/Calculator!$F$15,1),1-MOD(A198/Calculator!$F$15,1)),ABS(MOD(A198/Calculator!$F$15,1)-0.5))),1)</f>
        <v>0.226578947368421</v>
      </c>
      <c r="G198" s="138" t="n">
        <f aca="false">IF(Calculator!$E$16="YES",IF(A198&lt;Calculator!$G$16,0,MIN(MIN(MOD(A198/Calculator!$F$16,1),1-MOD(A198/Calculator!$F$16,1)),ABS(MOD(A198/Calculator!$F$16,1)-0.5))),1)</f>
        <v>0.0827894736842101</v>
      </c>
      <c r="H198" s="138" t="n">
        <f aca="false">IF(Calculator!$E$17="YES",IF(A198&lt;Calculator!$G$17,0,MIN(MIN(MOD(A198/Calculator!$F$17,1),1-MOD(A198/Calculator!$F$17,1)),ABS(MOD(A198/Calculator!$F$17,1)-0.5))),1)</f>
        <v>0.0895957894736847</v>
      </c>
      <c r="I198" s="138" t="n">
        <f aca="false">IF(Calculator!$E$18="YES",IF(A198&lt;Calculator!$G$18,0,MIN(MIN(MOD(A198/Calculator!$F$18,1),1-MOD(A198/Calculator!$F$18,1)),ABS(MOD(A198/Calculator!$F$18,1)-0.5))),1)</f>
        <v>0.119421052631579</v>
      </c>
      <c r="J198" s="138" t="n">
        <f aca="false">IF(Calculator!$E$19="YES",IF(A198&lt;Calculator!$G$19,0,MIN(MIN(MOD(A198/Calculator!$F$19,1),1-MOD(A198/Calculator!$F$19,1)),ABS(MOD(A198/Calculator!$F$19,1)-0.5))),1)</f>
        <v>0.247073684210527</v>
      </c>
      <c r="K198" s="138" t="n">
        <f aca="false">IF(Calculator!$E$20="YES",IF(A198&lt;Calculator!$G$20,0,MIN(MIN(MOD(A198/Calculator!$F$20,1),1-MOD(A198/Calculator!$F$20,1)),ABS(MOD(A198/Calculator!$F$20,1)-0.5))),1)</f>
        <v>0.0803157894736843</v>
      </c>
      <c r="L198" s="138" t="n">
        <f aca="false">IF(Calculator!$E$21="YES",IF(A198&lt;Calculator!$G$21,0,MIN(MIN(MOD(A198/Calculator!$F$21,1),1-MOD(A198/Calculator!$F$21,1)),ABS(MOD(A198/Calculator!$F$21,1)-0.5))),1)</f>
        <v>0.132631578947368</v>
      </c>
      <c r="M198" s="138" t="n">
        <f aca="false">MIN(B198:L198)</f>
        <v>0</v>
      </c>
      <c r="N198" s="138" t="n">
        <f aca="false">SUMPRODUCT(($M$5:$M$555&gt;M198)*1)+SUMPRODUCT(($M$5:$M$555=M198)*(ROW($M$5:$M$555)&lt;ROW(M198)))+1</f>
        <v>419</v>
      </c>
      <c r="O198" s="138" t="str">
        <f aca="false">IF(M198&gt;=0.2,"★★★ EXCELLENT",IF(M198&gt;=0.12,"★★  GOOD",IF(M198&gt;=0.07,"★  FAIR",IF(M198&gt;=0.025,"⚠  MARGINAL","✗  AVOID"))))</f>
        <v>✗  AVOID</v>
      </c>
    </row>
    <row r="199" customFormat="false" ht="15" hidden="false" customHeight="false" outlineLevel="0" collapsed="false">
      <c r="A199" s="135" t="n">
        <v>24.4</v>
      </c>
      <c r="B199" s="136" t="n">
        <f aca="false">IF(Calculator!$E$11="YES",IF(A199&lt;Calculator!$G$11,0,MIN(MIN(MOD(A199/Calculator!$F$11,1),1-MOD(A199/Calculator!$F$11,1)),ABS(MOD(A199/Calculator!$F$11,1)-0.5))),1)</f>
        <v>0</v>
      </c>
      <c r="C199" s="136" t="n">
        <f aca="false">IF(Calculator!$E$12="YES",IF(A199&lt;Calculator!$G$12,0,MIN(MIN(MOD(A199/Calculator!$F$12,1),1-MOD(A199/Calculator!$F$12,1)),ABS(MOD(A199/Calculator!$F$12,1)-0.5))),1)</f>
        <v>0.124982456140351</v>
      </c>
      <c r="D199" s="136" t="n">
        <f aca="false">IF(Calculator!$E$13="YES",IF(A199&lt;Calculator!$G$13,0,MIN(MIN(MOD(A199/Calculator!$F$13,1),1-MOD(A199/Calculator!$F$13,1)),ABS(MOD(A199/Calculator!$F$13,1)-0.5))),1)</f>
        <v>0.0823887719298246</v>
      </c>
      <c r="E199" s="136" t="n">
        <f aca="false">IF(Calculator!$E$14="YES",IF(A199&lt;Calculator!$G$14,0,MIN(MIN(MOD(A199/Calculator!$F$14,1),1-MOD(A199/Calculator!$F$14,1)),ABS(MOD(A199/Calculator!$F$14,1)-0.5))),1)</f>
        <v>0.224280701754386</v>
      </c>
      <c r="F199" s="136" t="n">
        <f aca="false">IF(Calculator!$E$15="YES",IF(A199&lt;Calculator!$G$15,0,MIN(MIN(MOD(A199/Calculator!$F$15,1),1-MOD(A199/Calculator!$F$15,1)),ABS(MOD(A199/Calculator!$F$15,1)-0.5))),1)</f>
        <v>0.233684210526316</v>
      </c>
      <c r="G199" s="136" t="n">
        <f aca="false">IF(Calculator!$E$16="YES",IF(A199&lt;Calculator!$G$16,0,MIN(MIN(MOD(A199/Calculator!$F$16,1),1-MOD(A199/Calculator!$F$16,1)),ABS(MOD(A199/Calculator!$F$16,1)-0.5))),1)</f>
        <v>0.0728421052631578</v>
      </c>
      <c r="H199" s="136" t="n">
        <f aca="false">IF(Calculator!$E$17="YES",IF(A199&lt;Calculator!$G$17,0,MIN(MIN(MOD(A199/Calculator!$F$17,1),1-MOD(A199/Calculator!$F$17,1)),ABS(MOD(A199/Calculator!$F$17,1)-0.5))),1)</f>
        <v>0.102310175438597</v>
      </c>
      <c r="I199" s="136" t="n">
        <f aca="false">IF(Calculator!$E$18="YES",IF(A199&lt;Calculator!$G$18,0,MIN(MIN(MOD(A199/Calculator!$F$18,1),1-MOD(A199/Calculator!$F$18,1)),ABS(MOD(A199/Calculator!$F$18,1)-0.5))),1)</f>
        <v>0.134315789473684</v>
      </c>
      <c r="J199" s="136" t="n">
        <f aca="false">IF(Calculator!$E$19="YES",IF(A199&lt;Calculator!$G$19,0,MIN(MIN(MOD(A199/Calculator!$F$19,1),1-MOD(A199/Calculator!$F$19,1)),ABS(MOD(A199/Calculator!$F$19,1)-0.5))),1)</f>
        <v>0.229571929824562</v>
      </c>
      <c r="K199" s="136" t="n">
        <f aca="false">IF(Calculator!$E$20="YES",IF(A199&lt;Calculator!$G$20,0,MIN(MIN(MOD(A199/Calculator!$F$20,1),1-MOD(A199/Calculator!$F$20,1)),ABS(MOD(A199/Calculator!$F$20,1)-0.5))),1)</f>
        <v>0.0600701754385966</v>
      </c>
      <c r="L199" s="136" t="n">
        <f aca="false">IF(Calculator!$E$21="YES",IF(A199&lt;Calculator!$G$21,0,MIN(MIN(MOD(A199/Calculator!$F$21,1),1-MOD(A199/Calculator!$F$21,1)),ABS(MOD(A199/Calculator!$F$21,1)-0.5))),1)</f>
        <v>0.0961403508771941</v>
      </c>
      <c r="M199" s="136" t="n">
        <f aca="false">MIN(B199:L199)</f>
        <v>0</v>
      </c>
      <c r="N199" s="136" t="n">
        <f aca="false">SUMPRODUCT(($M$5:$M$555&gt;M199)*1)+SUMPRODUCT(($M$5:$M$555=M199)*(ROW($M$5:$M$555)&lt;ROW(M199)))+1</f>
        <v>420</v>
      </c>
      <c r="O199" s="136" t="str">
        <f aca="false">IF(M199&gt;=0.2,"★★★ EXCELLENT",IF(M199&gt;=0.12,"★★  GOOD",IF(M199&gt;=0.07,"★  FAIR",IF(M199&gt;=0.025,"⚠  MARGINAL","✗  AVOID"))))</f>
        <v>✗  AVOID</v>
      </c>
    </row>
    <row r="200" customFormat="false" ht="15" hidden="false" customHeight="false" outlineLevel="0" collapsed="false">
      <c r="A200" s="137" t="n">
        <v>24.5</v>
      </c>
      <c r="B200" s="138" t="n">
        <f aca="false">IF(Calculator!$E$11="YES",IF(A200&lt;Calculator!$G$11,0,MIN(MIN(MOD(A200/Calculator!$F$11,1),1-MOD(A200/Calculator!$F$11,1)),ABS(MOD(A200/Calculator!$F$11,1)-0.5))),1)</f>
        <v>0</v>
      </c>
      <c r="C200" s="138" t="n">
        <f aca="false">IF(Calculator!$E$12="YES",IF(A200&lt;Calculator!$G$12,0,MIN(MIN(MOD(A200/Calculator!$F$12,1),1-MOD(A200/Calculator!$F$12,1)),ABS(MOD(A200/Calculator!$F$12,1)-0.5))),1)</f>
        <v>0.127543859649123</v>
      </c>
      <c r="D200" s="138" t="n">
        <f aca="false">IF(Calculator!$E$13="YES",IF(A200&lt;Calculator!$G$13,0,MIN(MIN(MOD(A200/Calculator!$F$13,1),1-MOD(A200/Calculator!$F$13,1)),ABS(MOD(A200/Calculator!$F$13,1)-0.5))),1)</f>
        <v>0.0786280701754386</v>
      </c>
      <c r="E200" s="138" t="n">
        <f aca="false">IF(Calculator!$E$14="YES",IF(A200&lt;Calculator!$G$14,0,MIN(MIN(MOD(A200/Calculator!$F$14,1),1-MOD(A200/Calculator!$F$14,1)),ABS(MOD(A200/Calculator!$F$14,1)-0.5))),1)</f>
        <v>0.229298245614035</v>
      </c>
      <c r="F200" s="138" t="n">
        <f aca="false">IF(Calculator!$E$15="YES",IF(A200&lt;Calculator!$G$15,0,MIN(MIN(MOD(A200/Calculator!$F$15,1),1-MOD(A200/Calculator!$F$15,1)),ABS(MOD(A200/Calculator!$F$15,1)-0.5))),1)</f>
        <v>0.24078947368421</v>
      </c>
      <c r="G200" s="138" t="n">
        <f aca="false">IF(Calculator!$E$16="YES",IF(A200&lt;Calculator!$G$16,0,MIN(MIN(MOD(A200/Calculator!$F$16,1),1-MOD(A200/Calculator!$F$16,1)),ABS(MOD(A200/Calculator!$F$16,1)-0.5))),1)</f>
        <v>0.0628947368421051</v>
      </c>
      <c r="H200" s="138" t="n">
        <f aca="false">IF(Calculator!$E$17="YES",IF(A200&lt;Calculator!$G$17,0,MIN(MIN(MOD(A200/Calculator!$F$17,1),1-MOD(A200/Calculator!$F$17,1)),ABS(MOD(A200/Calculator!$F$17,1)-0.5))),1)</f>
        <v>0.115024561403509</v>
      </c>
      <c r="I200" s="138" t="n">
        <f aca="false">IF(Calculator!$E$18="YES",IF(A200&lt;Calculator!$G$18,0,MIN(MIN(MOD(A200/Calculator!$F$18,1),1-MOD(A200/Calculator!$F$18,1)),ABS(MOD(A200/Calculator!$F$18,1)-0.5))),1)</f>
        <v>0.14921052631579</v>
      </c>
      <c r="J200" s="138" t="n">
        <f aca="false">IF(Calculator!$E$19="YES",IF(A200&lt;Calculator!$G$19,0,MIN(MIN(MOD(A200/Calculator!$F$19,1),1-MOD(A200/Calculator!$F$19,1)),ABS(MOD(A200/Calculator!$F$19,1)-0.5))),1)</f>
        <v>0.212070175438598</v>
      </c>
      <c r="K200" s="138" t="n">
        <f aca="false">IF(Calculator!$E$20="YES",IF(A200&lt;Calculator!$G$20,0,MIN(MIN(MOD(A200/Calculator!$F$20,1),1-MOD(A200/Calculator!$F$20,1)),ABS(MOD(A200/Calculator!$F$20,1)-0.5))),1)</f>
        <v>0.0398245614035089</v>
      </c>
      <c r="L200" s="138" t="n">
        <f aca="false">IF(Calculator!$E$21="YES",IF(A200&lt;Calculator!$G$21,0,MIN(MIN(MOD(A200/Calculator!$F$21,1),1-MOD(A200/Calculator!$F$21,1)),ABS(MOD(A200/Calculator!$F$21,1)-0.5))),1)</f>
        <v>0.0596491228070182</v>
      </c>
      <c r="M200" s="138" t="n">
        <f aca="false">MIN(B200:L200)</f>
        <v>0</v>
      </c>
      <c r="N200" s="138" t="n">
        <f aca="false">SUMPRODUCT(($M$5:$M$555&gt;M200)*1)+SUMPRODUCT(($M$5:$M$555=M200)*(ROW($M$5:$M$555)&lt;ROW(M200)))+1</f>
        <v>421</v>
      </c>
      <c r="O200" s="138" t="str">
        <f aca="false">IF(M200&gt;=0.2,"★★★ EXCELLENT",IF(M200&gt;=0.12,"★★  GOOD",IF(M200&gt;=0.07,"★  FAIR",IF(M200&gt;=0.025,"⚠  MARGINAL","✗  AVOID"))))</f>
        <v>✗  AVOID</v>
      </c>
    </row>
    <row r="201" customFormat="false" ht="15" hidden="false" customHeight="false" outlineLevel="0" collapsed="false">
      <c r="A201" s="135" t="n">
        <v>24.6</v>
      </c>
      <c r="B201" s="136" t="n">
        <f aca="false">IF(Calculator!$E$11="YES",IF(A201&lt;Calculator!$G$11,0,MIN(MIN(MOD(A201/Calculator!$F$11,1),1-MOD(A201/Calculator!$F$11,1)),ABS(MOD(A201/Calculator!$F$11,1)-0.5))),1)</f>
        <v>0</v>
      </c>
      <c r="C201" s="136" t="n">
        <f aca="false">IF(Calculator!$E$12="YES",IF(A201&lt;Calculator!$G$12,0,MIN(MIN(MOD(A201/Calculator!$F$12,1),1-MOD(A201/Calculator!$F$12,1)),ABS(MOD(A201/Calculator!$F$12,1)-0.5))),1)</f>
        <v>0.130105263157895</v>
      </c>
      <c r="D201" s="136" t="n">
        <f aca="false">IF(Calculator!$E$13="YES",IF(A201&lt;Calculator!$G$13,0,MIN(MIN(MOD(A201/Calculator!$F$13,1),1-MOD(A201/Calculator!$F$13,1)),ABS(MOD(A201/Calculator!$F$13,1)-0.5))),1)</f>
        <v>0.0748673684210526</v>
      </c>
      <c r="E201" s="136" t="n">
        <f aca="false">IF(Calculator!$E$14="YES",IF(A201&lt;Calculator!$G$14,0,MIN(MIN(MOD(A201/Calculator!$F$14,1),1-MOD(A201/Calculator!$F$14,1)),ABS(MOD(A201/Calculator!$F$14,1)-0.5))),1)</f>
        <v>0.234315789473684</v>
      </c>
      <c r="F201" s="136" t="n">
        <f aca="false">IF(Calculator!$E$15="YES",IF(A201&lt;Calculator!$G$15,0,MIN(MIN(MOD(A201/Calculator!$F$15,1),1-MOD(A201/Calculator!$F$15,1)),ABS(MOD(A201/Calculator!$F$15,1)-0.5))),1)</f>
        <v>0.247894736842105</v>
      </c>
      <c r="G201" s="136" t="n">
        <f aca="false">IF(Calculator!$E$16="YES",IF(A201&lt;Calculator!$G$16,0,MIN(MIN(MOD(A201/Calculator!$F$16,1),1-MOD(A201/Calculator!$F$16,1)),ABS(MOD(A201/Calculator!$F$16,1)-0.5))),1)</f>
        <v>0.0529473684210524</v>
      </c>
      <c r="H201" s="136" t="n">
        <f aca="false">IF(Calculator!$E$17="YES",IF(A201&lt;Calculator!$G$17,0,MIN(MIN(MOD(A201/Calculator!$F$17,1),1-MOD(A201/Calculator!$F$17,1)),ABS(MOD(A201/Calculator!$F$17,1)-0.5))),1)</f>
        <v>0.127738947368421</v>
      </c>
      <c r="I201" s="136" t="n">
        <f aca="false">IF(Calculator!$E$18="YES",IF(A201&lt;Calculator!$G$18,0,MIN(MIN(MOD(A201/Calculator!$F$18,1),1-MOD(A201/Calculator!$F$18,1)),ABS(MOD(A201/Calculator!$F$18,1)-0.5))),1)</f>
        <v>0.164105263157895</v>
      </c>
      <c r="J201" s="136" t="n">
        <f aca="false">IF(Calculator!$E$19="YES",IF(A201&lt;Calculator!$G$19,0,MIN(MIN(MOD(A201/Calculator!$F$19,1),1-MOD(A201/Calculator!$F$19,1)),ABS(MOD(A201/Calculator!$F$19,1)-0.5))),1)</f>
        <v>0.194568421052632</v>
      </c>
      <c r="K201" s="136" t="n">
        <f aca="false">IF(Calculator!$E$20="YES",IF(A201&lt;Calculator!$G$20,0,MIN(MIN(MOD(A201/Calculator!$F$20,1),1-MOD(A201/Calculator!$F$20,1)),ABS(MOD(A201/Calculator!$F$20,1)-0.5))),1)</f>
        <v>0.0195789473684211</v>
      </c>
      <c r="L201" s="136" t="n">
        <f aca="false">IF(Calculator!$E$21="YES",IF(A201&lt;Calculator!$G$21,0,MIN(MIN(MOD(A201/Calculator!$F$21,1),1-MOD(A201/Calculator!$F$21,1)),ABS(MOD(A201/Calculator!$F$21,1)-0.5))),1)</f>
        <v>0.0231578947368423</v>
      </c>
      <c r="M201" s="136" t="n">
        <f aca="false">MIN(B201:L201)</f>
        <v>0</v>
      </c>
      <c r="N201" s="136" t="n">
        <f aca="false">SUMPRODUCT(($M$5:$M$555&gt;M201)*1)+SUMPRODUCT(($M$5:$M$555=M201)*(ROW($M$5:$M$555)&lt;ROW(M201)))+1</f>
        <v>422</v>
      </c>
      <c r="O201" s="136" t="str">
        <f aca="false">IF(M201&gt;=0.2,"★★★ EXCELLENT",IF(M201&gt;=0.12,"★★  GOOD",IF(M201&gt;=0.07,"★  FAIR",IF(M201&gt;=0.025,"⚠  MARGINAL","✗  AVOID"))))</f>
        <v>✗  AVOID</v>
      </c>
    </row>
    <row r="202" customFormat="false" ht="15" hidden="false" customHeight="false" outlineLevel="0" collapsed="false">
      <c r="A202" s="137" t="n">
        <v>24.7</v>
      </c>
      <c r="B202" s="138" t="n">
        <f aca="false">IF(Calculator!$E$11="YES",IF(A202&lt;Calculator!$G$11,0,MIN(MIN(MOD(A202/Calculator!$F$11,1),1-MOD(A202/Calculator!$F$11,1)),ABS(MOD(A202/Calculator!$F$11,1)-0.5))),1)</f>
        <v>0</v>
      </c>
      <c r="C202" s="138" t="n">
        <f aca="false">IF(Calculator!$E$12="YES",IF(A202&lt;Calculator!$G$12,0,MIN(MIN(MOD(A202/Calculator!$F$12,1),1-MOD(A202/Calculator!$F$12,1)),ABS(MOD(A202/Calculator!$F$12,1)-0.5))),1)</f>
        <v>0.132666666666667</v>
      </c>
      <c r="D202" s="138" t="n">
        <f aca="false">IF(Calculator!$E$13="YES",IF(A202&lt;Calculator!$G$13,0,MIN(MIN(MOD(A202/Calculator!$F$13,1),1-MOD(A202/Calculator!$F$13,1)),ABS(MOD(A202/Calculator!$F$13,1)-0.5))),1)</f>
        <v>0.0711066666666668</v>
      </c>
      <c r="E202" s="138" t="n">
        <f aca="false">IF(Calculator!$E$14="YES",IF(A202&lt;Calculator!$G$14,0,MIN(MIN(MOD(A202/Calculator!$F$14,1),1-MOD(A202/Calculator!$F$14,1)),ABS(MOD(A202/Calculator!$F$14,1)-0.5))),1)</f>
        <v>0.239333333333333</v>
      </c>
      <c r="F202" s="138" t="n">
        <f aca="false">IF(Calculator!$E$15="YES",IF(A202&lt;Calculator!$G$15,0,MIN(MIN(MOD(A202/Calculator!$F$15,1),1-MOD(A202/Calculator!$F$15,1)),ABS(MOD(A202/Calculator!$F$15,1)-0.5))),1)</f>
        <v>0.245</v>
      </c>
      <c r="G202" s="138" t="n">
        <f aca="false">IF(Calculator!$E$16="YES",IF(A202&lt;Calculator!$G$16,0,MIN(MIN(MOD(A202/Calculator!$F$16,1),1-MOD(A202/Calculator!$F$16,1)),ABS(MOD(A202/Calculator!$F$16,1)-0.5))),1)</f>
        <v>0.0429999999999997</v>
      </c>
      <c r="H202" s="138" t="n">
        <f aca="false">IF(Calculator!$E$17="YES",IF(A202&lt;Calculator!$G$17,0,MIN(MIN(MOD(A202/Calculator!$F$17,1),1-MOD(A202/Calculator!$F$17,1)),ABS(MOD(A202/Calculator!$F$17,1)-0.5))),1)</f>
        <v>0.140453333333334</v>
      </c>
      <c r="I202" s="138" t="n">
        <f aca="false">IF(Calculator!$E$18="YES",IF(A202&lt;Calculator!$G$18,0,MIN(MIN(MOD(A202/Calculator!$F$18,1),1-MOD(A202/Calculator!$F$18,1)),ABS(MOD(A202/Calculator!$F$18,1)-0.5))),1)</f>
        <v>0.179</v>
      </c>
      <c r="J202" s="138" t="n">
        <f aca="false">IF(Calculator!$E$19="YES",IF(A202&lt;Calculator!$G$19,0,MIN(MIN(MOD(A202/Calculator!$F$19,1),1-MOD(A202/Calculator!$F$19,1)),ABS(MOD(A202/Calculator!$F$19,1)-0.5))),1)</f>
        <v>0.177066666666668</v>
      </c>
      <c r="K202" s="138" t="n">
        <f aca="false">IF(Calculator!$E$20="YES",IF(A202&lt;Calculator!$G$20,0,MIN(MIN(MOD(A202/Calculator!$F$20,1),1-MOD(A202/Calculator!$F$20,1)),ABS(MOD(A202/Calculator!$F$20,1)-0.5))),1)</f>
        <v>0.000666666666666593</v>
      </c>
      <c r="L202" s="138" t="n">
        <f aca="false">IF(Calculator!$E$21="YES",IF(A202&lt;Calculator!$G$21,0,MIN(MIN(MOD(A202/Calculator!$F$21,1),1-MOD(A202/Calculator!$F$21,1)),ABS(MOD(A202/Calculator!$F$21,1)-0.5))),1)</f>
        <v>0.0133333333333336</v>
      </c>
      <c r="M202" s="138" t="n">
        <f aca="false">MIN(B202:L202)</f>
        <v>0</v>
      </c>
      <c r="N202" s="138" t="n">
        <f aca="false">SUMPRODUCT(($M$5:$M$555&gt;M202)*1)+SUMPRODUCT(($M$5:$M$555=M202)*(ROW($M$5:$M$555)&lt;ROW(M202)))+1</f>
        <v>423</v>
      </c>
      <c r="O202" s="138" t="str">
        <f aca="false">IF(M202&gt;=0.2,"★★★ EXCELLENT",IF(M202&gt;=0.12,"★★  GOOD",IF(M202&gt;=0.07,"★  FAIR",IF(M202&gt;=0.025,"⚠  MARGINAL","✗  AVOID"))))</f>
        <v>✗  AVOID</v>
      </c>
    </row>
    <row r="203" customFormat="false" ht="15" hidden="false" customHeight="false" outlineLevel="0" collapsed="false">
      <c r="A203" s="135" t="n">
        <v>24.8</v>
      </c>
      <c r="B203" s="136" t="n">
        <f aca="false">IF(Calculator!$E$11="YES",IF(A203&lt;Calculator!$G$11,0,MIN(MIN(MOD(A203/Calculator!$F$11,1),1-MOD(A203/Calculator!$F$11,1)),ABS(MOD(A203/Calculator!$F$11,1)-0.5))),1)</f>
        <v>0</v>
      </c>
      <c r="C203" s="136" t="n">
        <f aca="false">IF(Calculator!$E$12="YES",IF(A203&lt;Calculator!$G$12,0,MIN(MIN(MOD(A203/Calculator!$F$12,1),1-MOD(A203/Calculator!$F$12,1)),ABS(MOD(A203/Calculator!$F$12,1)-0.5))),1)</f>
        <v>0.135228070175439</v>
      </c>
      <c r="D203" s="136" t="n">
        <f aca="false">IF(Calculator!$E$13="YES",IF(A203&lt;Calculator!$G$13,0,MIN(MIN(MOD(A203/Calculator!$F$13,1),1-MOD(A203/Calculator!$F$13,1)),ABS(MOD(A203/Calculator!$F$13,1)-0.5))),1)</f>
        <v>0.0673459649122807</v>
      </c>
      <c r="E203" s="136" t="n">
        <f aca="false">IF(Calculator!$E$14="YES",IF(A203&lt;Calculator!$G$14,0,MIN(MIN(MOD(A203/Calculator!$F$14,1),1-MOD(A203/Calculator!$F$14,1)),ABS(MOD(A203/Calculator!$F$14,1)-0.5))),1)</f>
        <v>0.244350877192983</v>
      </c>
      <c r="F203" s="136" t="n">
        <f aca="false">IF(Calculator!$E$15="YES",IF(A203&lt;Calculator!$G$15,0,MIN(MIN(MOD(A203/Calculator!$F$15,1),1-MOD(A203/Calculator!$F$15,1)),ABS(MOD(A203/Calculator!$F$15,1)-0.5))),1)</f>
        <v>0.237894736842105</v>
      </c>
      <c r="G203" s="136" t="n">
        <f aca="false">IF(Calculator!$E$16="YES",IF(A203&lt;Calculator!$G$16,0,MIN(MIN(MOD(A203/Calculator!$F$16,1),1-MOD(A203/Calculator!$F$16,1)),ABS(MOD(A203/Calculator!$F$16,1)-0.5))),1)</f>
        <v>0.033052631578947</v>
      </c>
      <c r="H203" s="136" t="n">
        <f aca="false">IF(Calculator!$E$17="YES",IF(A203&lt;Calculator!$G$17,0,MIN(MIN(MOD(A203/Calculator!$F$17,1),1-MOD(A203/Calculator!$F$17,1)),ABS(MOD(A203/Calculator!$F$17,1)-0.5))),1)</f>
        <v>0.153167719298246</v>
      </c>
      <c r="I203" s="136" t="n">
        <f aca="false">IF(Calculator!$E$18="YES",IF(A203&lt;Calculator!$G$18,0,MIN(MIN(MOD(A203/Calculator!$F$18,1),1-MOD(A203/Calculator!$F$18,1)),ABS(MOD(A203/Calculator!$F$18,1)-0.5))),1)</f>
        <v>0.193894736842105</v>
      </c>
      <c r="J203" s="136" t="n">
        <f aca="false">IF(Calculator!$E$19="YES",IF(A203&lt;Calculator!$G$19,0,MIN(MIN(MOD(A203/Calculator!$F$19,1),1-MOD(A203/Calculator!$F$19,1)),ABS(MOD(A203/Calculator!$F$19,1)-0.5))),1)</f>
        <v>0.159564912280702</v>
      </c>
      <c r="K203" s="136" t="n">
        <f aca="false">IF(Calculator!$E$20="YES",IF(A203&lt;Calculator!$G$20,0,MIN(MIN(MOD(A203/Calculator!$F$20,1),1-MOD(A203/Calculator!$F$20,1)),ABS(MOD(A203/Calculator!$F$20,1)-0.5))),1)</f>
        <v>0.0209122807017543</v>
      </c>
      <c r="L203" s="136" t="n">
        <f aca="false">IF(Calculator!$E$21="YES",IF(A203&lt;Calculator!$G$21,0,MIN(MIN(MOD(A203/Calculator!$F$21,1),1-MOD(A203/Calculator!$F$21,1)),ABS(MOD(A203/Calculator!$F$21,1)-0.5))),1)</f>
        <v>0.0498245614035096</v>
      </c>
      <c r="M203" s="136" t="n">
        <f aca="false">MIN(B203:L203)</f>
        <v>0</v>
      </c>
      <c r="N203" s="136" t="n">
        <f aca="false">SUMPRODUCT(($M$5:$M$555&gt;M203)*1)+SUMPRODUCT(($M$5:$M$555=M203)*(ROW($M$5:$M$555)&lt;ROW(M203)))+1</f>
        <v>424</v>
      </c>
      <c r="O203" s="136" t="str">
        <f aca="false">IF(M203&gt;=0.2,"★★★ EXCELLENT",IF(M203&gt;=0.12,"★★  GOOD",IF(M203&gt;=0.07,"★  FAIR",IF(M203&gt;=0.025,"⚠  MARGINAL","✗  AVOID"))))</f>
        <v>✗  AVOID</v>
      </c>
    </row>
    <row r="204" customFormat="false" ht="15" hidden="false" customHeight="false" outlineLevel="0" collapsed="false">
      <c r="A204" s="137" t="n">
        <v>24.9</v>
      </c>
      <c r="B204" s="138" t="n">
        <f aca="false">IF(Calculator!$E$11="YES",IF(A204&lt;Calculator!$G$11,0,MIN(MIN(MOD(A204/Calculator!$F$11,1),1-MOD(A204/Calculator!$F$11,1)),ABS(MOD(A204/Calculator!$F$11,1)-0.5))),1)</f>
        <v>0</v>
      </c>
      <c r="C204" s="138" t="n">
        <f aca="false">IF(Calculator!$E$12="YES",IF(A204&lt;Calculator!$G$12,0,MIN(MIN(MOD(A204/Calculator!$F$12,1),1-MOD(A204/Calculator!$F$12,1)),ABS(MOD(A204/Calculator!$F$12,1)-0.5))),1)</f>
        <v>0.13778947368421</v>
      </c>
      <c r="D204" s="138" t="n">
        <f aca="false">IF(Calculator!$E$13="YES",IF(A204&lt;Calculator!$G$13,0,MIN(MIN(MOD(A204/Calculator!$F$13,1),1-MOD(A204/Calculator!$F$13,1)),ABS(MOD(A204/Calculator!$F$13,1)-0.5))),1)</f>
        <v>0.0635852631578948</v>
      </c>
      <c r="E204" s="138" t="n">
        <f aca="false">IF(Calculator!$E$14="YES",IF(A204&lt;Calculator!$G$14,0,MIN(MIN(MOD(A204/Calculator!$F$14,1),1-MOD(A204/Calculator!$F$14,1)),ABS(MOD(A204/Calculator!$F$14,1)-0.5))),1)</f>
        <v>0.249368421052631</v>
      </c>
      <c r="F204" s="138" t="n">
        <f aca="false">IF(Calculator!$E$15="YES",IF(A204&lt;Calculator!$G$15,0,MIN(MIN(MOD(A204/Calculator!$F$15,1),1-MOD(A204/Calculator!$F$15,1)),ABS(MOD(A204/Calculator!$F$15,1)-0.5))),1)</f>
        <v>0.230789473684211</v>
      </c>
      <c r="G204" s="138" t="n">
        <f aca="false">IF(Calculator!$E$16="YES",IF(A204&lt;Calculator!$G$16,0,MIN(MIN(MOD(A204/Calculator!$F$16,1),1-MOD(A204/Calculator!$F$16,1)),ABS(MOD(A204/Calculator!$F$16,1)-0.5))),1)</f>
        <v>0.0231052631578947</v>
      </c>
      <c r="H204" s="138" t="n">
        <f aca="false">IF(Calculator!$E$17="YES",IF(A204&lt;Calculator!$G$17,0,MIN(MIN(MOD(A204/Calculator!$F$17,1),1-MOD(A204/Calculator!$F$17,1)),ABS(MOD(A204/Calculator!$F$17,1)-0.5))),1)</f>
        <v>0.165882105263158</v>
      </c>
      <c r="I204" s="138" t="n">
        <f aca="false">IF(Calculator!$E$18="YES",IF(A204&lt;Calculator!$G$18,0,MIN(MIN(MOD(A204/Calculator!$F$18,1),1-MOD(A204/Calculator!$F$18,1)),ABS(MOD(A204/Calculator!$F$18,1)-0.5))),1)</f>
        <v>0.20878947368421</v>
      </c>
      <c r="J204" s="138" t="n">
        <f aca="false">IF(Calculator!$E$19="YES",IF(A204&lt;Calculator!$G$19,0,MIN(MIN(MOD(A204/Calculator!$F$19,1),1-MOD(A204/Calculator!$F$19,1)),ABS(MOD(A204/Calculator!$F$19,1)-0.5))),1)</f>
        <v>0.142063157894738</v>
      </c>
      <c r="K204" s="138" t="n">
        <f aca="false">IF(Calculator!$E$20="YES",IF(A204&lt;Calculator!$G$20,0,MIN(MIN(MOD(A204/Calculator!$F$20,1),1-MOD(A204/Calculator!$F$20,1)),ABS(MOD(A204/Calculator!$F$20,1)-0.5))),1)</f>
        <v>0.0411578947368421</v>
      </c>
      <c r="L204" s="138" t="n">
        <f aca="false">IF(Calculator!$E$21="YES",IF(A204&lt;Calculator!$G$21,0,MIN(MIN(MOD(A204/Calculator!$F$21,1),1-MOD(A204/Calculator!$F$21,1)),ABS(MOD(A204/Calculator!$F$21,1)-0.5))),1)</f>
        <v>0.0863157894736837</v>
      </c>
      <c r="M204" s="138" t="n">
        <f aca="false">MIN(B204:L204)</f>
        <v>0</v>
      </c>
      <c r="N204" s="138" t="n">
        <f aca="false">SUMPRODUCT(($M$5:$M$555&gt;M204)*1)+SUMPRODUCT(($M$5:$M$555=M204)*(ROW($M$5:$M$555)&lt;ROW(M204)))+1</f>
        <v>425</v>
      </c>
      <c r="O204" s="138" t="str">
        <f aca="false">IF(M204&gt;=0.2,"★★★ EXCELLENT",IF(M204&gt;=0.12,"★★  GOOD",IF(M204&gt;=0.07,"★  FAIR",IF(M204&gt;=0.025,"⚠  MARGINAL","✗  AVOID"))))</f>
        <v>✗  AVOID</v>
      </c>
    </row>
    <row r="205" customFormat="false" ht="15" hidden="false" customHeight="false" outlineLevel="0" collapsed="false">
      <c r="A205" s="135" t="n">
        <v>25</v>
      </c>
      <c r="B205" s="136" t="n">
        <f aca="false">IF(Calculator!$E$11="YES",IF(A205&lt;Calculator!$G$11,0,MIN(MIN(MOD(A205/Calculator!$F$11,1),1-MOD(A205/Calculator!$F$11,1)),ABS(MOD(A205/Calculator!$F$11,1)-0.5))),1)</f>
        <v>0</v>
      </c>
      <c r="C205" s="136" t="n">
        <f aca="false">IF(Calculator!$E$12="YES",IF(A205&lt;Calculator!$G$12,0,MIN(MIN(MOD(A205/Calculator!$F$12,1),1-MOD(A205/Calculator!$F$12,1)),ABS(MOD(A205/Calculator!$F$12,1)-0.5))),1)</f>
        <v>0.140350877192982</v>
      </c>
      <c r="D205" s="136" t="n">
        <f aca="false">IF(Calculator!$E$13="YES",IF(A205&lt;Calculator!$G$13,0,MIN(MIN(MOD(A205/Calculator!$F$13,1),1-MOD(A205/Calculator!$F$13,1)),ABS(MOD(A205/Calculator!$F$13,1)-0.5))),1)</f>
        <v>0.0598245614035088</v>
      </c>
      <c r="E205" s="136" t="n">
        <f aca="false">IF(Calculator!$E$14="YES",IF(A205&lt;Calculator!$G$14,0,MIN(MIN(MOD(A205/Calculator!$F$14,1),1-MOD(A205/Calculator!$F$14,1)),ABS(MOD(A205/Calculator!$F$14,1)-0.5))),1)</f>
        <v>0.245614035087719</v>
      </c>
      <c r="F205" s="136" t="n">
        <f aca="false">IF(Calculator!$E$15="YES",IF(A205&lt;Calculator!$G$15,0,MIN(MIN(MOD(A205/Calculator!$F$15,1),1-MOD(A205/Calculator!$F$15,1)),ABS(MOD(A205/Calculator!$F$15,1)-0.5))),1)</f>
        <v>0.223684210526316</v>
      </c>
      <c r="G205" s="136" t="n">
        <f aca="false">IF(Calculator!$E$16="YES",IF(A205&lt;Calculator!$G$16,0,MIN(MIN(MOD(A205/Calculator!$F$16,1),1-MOD(A205/Calculator!$F$16,1)),ABS(MOD(A205/Calculator!$F$16,1)-0.5))),1)</f>
        <v>0.013157894736842</v>
      </c>
      <c r="H205" s="136" t="n">
        <f aca="false">IF(Calculator!$E$17="YES",IF(A205&lt;Calculator!$G$17,0,MIN(MIN(MOD(A205/Calculator!$F$17,1),1-MOD(A205/Calculator!$F$17,1)),ABS(MOD(A205/Calculator!$F$17,1)-0.5))),1)</f>
        <v>0.17859649122807</v>
      </c>
      <c r="I205" s="136" t="n">
        <f aca="false">IF(Calculator!$E$18="YES",IF(A205&lt;Calculator!$G$18,0,MIN(MIN(MOD(A205/Calculator!$F$18,1),1-MOD(A205/Calculator!$F$18,1)),ABS(MOD(A205/Calculator!$F$18,1)-0.5))),1)</f>
        <v>0.223684210526316</v>
      </c>
      <c r="J205" s="136" t="n">
        <f aca="false">IF(Calculator!$E$19="YES",IF(A205&lt;Calculator!$G$19,0,MIN(MIN(MOD(A205/Calculator!$F$19,1),1-MOD(A205/Calculator!$F$19,1)),ABS(MOD(A205/Calculator!$F$19,1)-0.5))),1)</f>
        <v>0.124561403508773</v>
      </c>
      <c r="K205" s="136" t="n">
        <f aca="false">IF(Calculator!$E$20="YES",IF(A205&lt;Calculator!$G$20,0,MIN(MIN(MOD(A205/Calculator!$F$20,1),1-MOD(A205/Calculator!$F$20,1)),ABS(MOD(A205/Calculator!$F$20,1)-0.5))),1)</f>
        <v>0.0614035087719298</v>
      </c>
      <c r="L205" s="136" t="n">
        <f aca="false">IF(Calculator!$E$21="YES",IF(A205&lt;Calculator!$G$21,0,MIN(MIN(MOD(A205/Calculator!$F$21,1),1-MOD(A205/Calculator!$F$21,1)),ABS(MOD(A205/Calculator!$F$21,1)-0.5))),1)</f>
        <v>0.12280701754386</v>
      </c>
      <c r="M205" s="136" t="n">
        <f aca="false">MIN(B205:L205)</f>
        <v>0</v>
      </c>
      <c r="N205" s="136" t="n">
        <f aca="false">SUMPRODUCT(($M$5:$M$555&gt;M205)*1)+SUMPRODUCT(($M$5:$M$555=M205)*(ROW($M$5:$M$555)&lt;ROW(M205)))+1</f>
        <v>426</v>
      </c>
      <c r="O205" s="136" t="str">
        <f aca="false">IF(M205&gt;=0.2,"★★★ EXCELLENT",IF(M205&gt;=0.12,"★★  GOOD",IF(M205&gt;=0.07,"★  FAIR",IF(M205&gt;=0.025,"⚠  MARGINAL","✗  AVOID"))))</f>
        <v>✗  AVOID</v>
      </c>
    </row>
    <row r="206" customFormat="false" ht="15" hidden="false" customHeight="false" outlineLevel="0" collapsed="false">
      <c r="A206" s="137" t="n">
        <v>25.1</v>
      </c>
      <c r="B206" s="138" t="n">
        <f aca="false">IF(Calculator!$E$11="YES",IF(A206&lt;Calculator!$G$11,0,MIN(MIN(MOD(A206/Calculator!$F$11,1),1-MOD(A206/Calculator!$F$11,1)),ABS(MOD(A206/Calculator!$F$11,1)-0.5))),1)</f>
        <v>0</v>
      </c>
      <c r="C206" s="138" t="n">
        <f aca="false">IF(Calculator!$E$12="YES",IF(A206&lt;Calculator!$G$12,0,MIN(MIN(MOD(A206/Calculator!$F$12,1),1-MOD(A206/Calculator!$F$12,1)),ABS(MOD(A206/Calculator!$F$12,1)-0.5))),1)</f>
        <v>0.142912280701754</v>
      </c>
      <c r="D206" s="138" t="n">
        <f aca="false">IF(Calculator!$E$13="YES",IF(A206&lt;Calculator!$G$13,0,MIN(MIN(MOD(A206/Calculator!$F$13,1),1-MOD(A206/Calculator!$F$13,1)),ABS(MOD(A206/Calculator!$F$13,1)-0.5))),1)</f>
        <v>0.0560638596491228</v>
      </c>
      <c r="E206" s="138" t="n">
        <f aca="false">IF(Calculator!$E$14="YES",IF(A206&lt;Calculator!$G$14,0,MIN(MIN(MOD(A206/Calculator!$F$14,1),1-MOD(A206/Calculator!$F$14,1)),ABS(MOD(A206/Calculator!$F$14,1)-0.5))),1)</f>
        <v>0.24059649122807</v>
      </c>
      <c r="F206" s="138" t="n">
        <f aca="false">IF(Calculator!$E$15="YES",IF(A206&lt;Calculator!$G$15,0,MIN(MIN(MOD(A206/Calculator!$F$15,1),1-MOD(A206/Calculator!$F$15,1)),ABS(MOD(A206/Calculator!$F$15,1)-0.5))),1)</f>
        <v>0.216578947368421</v>
      </c>
      <c r="G206" s="138" t="n">
        <f aca="false">IF(Calculator!$E$16="YES",IF(A206&lt;Calculator!$G$16,0,MIN(MIN(MOD(A206/Calculator!$F$16,1),1-MOD(A206/Calculator!$F$16,1)),ABS(MOD(A206/Calculator!$F$16,1)-0.5))),1)</f>
        <v>0.00321052631578933</v>
      </c>
      <c r="H206" s="138" t="n">
        <f aca="false">IF(Calculator!$E$17="YES",IF(A206&lt;Calculator!$G$17,0,MIN(MIN(MOD(A206/Calculator!$F$17,1),1-MOD(A206/Calculator!$F$17,1)),ABS(MOD(A206/Calculator!$F$17,1)-0.5))),1)</f>
        <v>0.191310877192983</v>
      </c>
      <c r="I206" s="138" t="n">
        <f aca="false">IF(Calculator!$E$18="YES",IF(A206&lt;Calculator!$G$18,0,MIN(MIN(MOD(A206/Calculator!$F$18,1),1-MOD(A206/Calculator!$F$18,1)),ABS(MOD(A206/Calculator!$F$18,1)-0.5))),1)</f>
        <v>0.238578947368421</v>
      </c>
      <c r="J206" s="138" t="n">
        <f aca="false">IF(Calculator!$E$19="YES",IF(A206&lt;Calculator!$G$19,0,MIN(MIN(MOD(A206/Calculator!$F$19,1),1-MOD(A206/Calculator!$F$19,1)),ABS(MOD(A206/Calculator!$F$19,1)-0.5))),1)</f>
        <v>0.107059649122808</v>
      </c>
      <c r="K206" s="138" t="n">
        <f aca="false">IF(Calculator!$E$20="YES",IF(A206&lt;Calculator!$G$20,0,MIN(MIN(MOD(A206/Calculator!$F$20,1),1-MOD(A206/Calculator!$F$20,1)),ABS(MOD(A206/Calculator!$F$20,1)-0.5))),1)</f>
        <v>0.0816491228070175</v>
      </c>
      <c r="L206" s="138" t="n">
        <f aca="false">IF(Calculator!$E$21="YES",IF(A206&lt;Calculator!$G$21,0,MIN(MIN(MOD(A206/Calculator!$F$21,1),1-MOD(A206/Calculator!$F$21,1)),ABS(MOD(A206/Calculator!$F$21,1)-0.5))),1)</f>
        <v>0.159298245614036</v>
      </c>
      <c r="M206" s="138" t="n">
        <f aca="false">MIN(B206:L206)</f>
        <v>0</v>
      </c>
      <c r="N206" s="138" t="n">
        <f aca="false">SUMPRODUCT(($M$5:$M$555&gt;M206)*1)+SUMPRODUCT(($M$5:$M$555=M206)*(ROW($M$5:$M$555)&lt;ROW(M206)))+1</f>
        <v>427</v>
      </c>
      <c r="O206" s="138" t="str">
        <f aca="false">IF(M206&gt;=0.2,"★★★ EXCELLENT",IF(M206&gt;=0.12,"★★  GOOD",IF(M206&gt;=0.07,"★  FAIR",IF(M206&gt;=0.025,"⚠  MARGINAL","✗  AVOID"))))</f>
        <v>✗  AVOID</v>
      </c>
    </row>
    <row r="207" customFormat="false" ht="15" hidden="false" customHeight="false" outlineLevel="0" collapsed="false">
      <c r="A207" s="135" t="n">
        <v>25.2</v>
      </c>
      <c r="B207" s="136" t="n">
        <f aca="false">IF(Calculator!$E$11="YES",IF(A207&lt;Calculator!$G$11,0,MIN(MIN(MOD(A207/Calculator!$F$11,1),1-MOD(A207/Calculator!$F$11,1)),ABS(MOD(A207/Calculator!$F$11,1)-0.5))),1)</f>
        <v>0</v>
      </c>
      <c r="C207" s="136" t="n">
        <f aca="false">IF(Calculator!$E$12="YES",IF(A207&lt;Calculator!$G$12,0,MIN(MIN(MOD(A207/Calculator!$F$12,1),1-MOD(A207/Calculator!$F$12,1)),ABS(MOD(A207/Calculator!$F$12,1)-0.5))),1)</f>
        <v>0.145473684210526</v>
      </c>
      <c r="D207" s="136" t="n">
        <f aca="false">IF(Calculator!$E$13="YES",IF(A207&lt;Calculator!$G$13,0,MIN(MIN(MOD(A207/Calculator!$F$13,1),1-MOD(A207/Calculator!$F$13,1)),ABS(MOD(A207/Calculator!$F$13,1)-0.5))),1)</f>
        <v>0.0523031578947369</v>
      </c>
      <c r="E207" s="136" t="n">
        <f aca="false">IF(Calculator!$E$14="YES",IF(A207&lt;Calculator!$G$14,0,MIN(MIN(MOD(A207/Calculator!$F$14,1),1-MOD(A207/Calculator!$F$14,1)),ABS(MOD(A207/Calculator!$F$14,1)-0.5))),1)</f>
        <v>0.235578947368421</v>
      </c>
      <c r="F207" s="136" t="n">
        <f aca="false">IF(Calculator!$E$15="YES",IF(A207&lt;Calculator!$G$15,0,MIN(MIN(MOD(A207/Calculator!$F$15,1),1-MOD(A207/Calculator!$F$15,1)),ABS(MOD(A207/Calculator!$F$15,1)-0.5))),1)</f>
        <v>0.209473684210526</v>
      </c>
      <c r="G207" s="136" t="n">
        <f aca="false">IF(Calculator!$E$16="YES",IF(A207&lt;Calculator!$G$16,0,MIN(MIN(MOD(A207/Calculator!$F$16,1),1-MOD(A207/Calculator!$F$16,1)),ABS(MOD(A207/Calculator!$F$16,1)-0.5))),1)</f>
        <v>0.00673684210526337</v>
      </c>
      <c r="H207" s="136" t="n">
        <f aca="false">IF(Calculator!$E$17="YES",IF(A207&lt;Calculator!$G$17,0,MIN(MIN(MOD(A207/Calculator!$F$17,1),1-MOD(A207/Calculator!$F$17,1)),ABS(MOD(A207/Calculator!$F$17,1)-0.5))),1)</f>
        <v>0.204025263157895</v>
      </c>
      <c r="I207" s="136" t="n">
        <f aca="false">IF(Calculator!$E$18="YES",IF(A207&lt;Calculator!$G$18,0,MIN(MIN(MOD(A207/Calculator!$F$18,1),1-MOD(A207/Calculator!$F$18,1)),ABS(MOD(A207/Calculator!$F$18,1)-0.5))),1)</f>
        <v>0.246526315789473</v>
      </c>
      <c r="J207" s="136" t="n">
        <f aca="false">IF(Calculator!$E$19="YES",IF(A207&lt;Calculator!$G$19,0,MIN(MIN(MOD(A207/Calculator!$F$19,1),1-MOD(A207/Calculator!$F$19,1)),ABS(MOD(A207/Calculator!$F$19,1)-0.5))),1)</f>
        <v>0.089557894736843</v>
      </c>
      <c r="K207" s="136" t="n">
        <f aca="false">IF(Calculator!$E$20="YES",IF(A207&lt;Calculator!$G$20,0,MIN(MIN(MOD(A207/Calculator!$F$20,1),1-MOD(A207/Calculator!$F$20,1)),ABS(MOD(A207/Calculator!$F$20,1)-0.5))),1)</f>
        <v>0.101894736842105</v>
      </c>
      <c r="L207" s="136" t="n">
        <f aca="false">IF(Calculator!$E$21="YES",IF(A207&lt;Calculator!$G$21,0,MIN(MIN(MOD(A207/Calculator!$F$21,1),1-MOD(A207/Calculator!$F$21,1)),ABS(MOD(A207/Calculator!$F$21,1)-0.5))),1)</f>
        <v>0.19578947368421</v>
      </c>
      <c r="M207" s="136" t="n">
        <f aca="false">MIN(B207:L207)</f>
        <v>0</v>
      </c>
      <c r="N207" s="136" t="n">
        <f aca="false">SUMPRODUCT(($M$5:$M$555&gt;M207)*1)+SUMPRODUCT(($M$5:$M$555=M207)*(ROW($M$5:$M$555)&lt;ROW(M207)))+1</f>
        <v>428</v>
      </c>
      <c r="O207" s="136" t="str">
        <f aca="false">IF(M207&gt;=0.2,"★★★ EXCELLENT",IF(M207&gt;=0.12,"★★  GOOD",IF(M207&gt;=0.07,"★  FAIR",IF(M207&gt;=0.025,"⚠  MARGINAL","✗  AVOID"))))</f>
        <v>✗  AVOID</v>
      </c>
    </row>
    <row r="208" customFormat="false" ht="15" hidden="false" customHeight="false" outlineLevel="0" collapsed="false">
      <c r="A208" s="137" t="n">
        <v>25.3</v>
      </c>
      <c r="B208" s="138" t="n">
        <f aca="false">IF(Calculator!$E$11="YES",IF(A208&lt;Calculator!$G$11,0,MIN(MIN(MOD(A208/Calculator!$F$11,1),1-MOD(A208/Calculator!$F$11,1)),ABS(MOD(A208/Calculator!$F$11,1)-0.5))),1)</f>
        <v>0</v>
      </c>
      <c r="C208" s="138" t="n">
        <f aca="false">IF(Calculator!$E$12="YES",IF(A208&lt;Calculator!$G$12,0,MIN(MIN(MOD(A208/Calculator!$F$12,1),1-MOD(A208/Calculator!$F$12,1)),ABS(MOD(A208/Calculator!$F$12,1)-0.5))),1)</f>
        <v>0.148035087719298</v>
      </c>
      <c r="D208" s="138" t="n">
        <f aca="false">IF(Calculator!$E$13="YES",IF(A208&lt;Calculator!$G$13,0,MIN(MIN(MOD(A208/Calculator!$F$13,1),1-MOD(A208/Calculator!$F$13,1)),ABS(MOD(A208/Calculator!$F$13,1)-0.5))),1)</f>
        <v>0.0485424561403509</v>
      </c>
      <c r="E208" s="138" t="n">
        <f aca="false">IF(Calculator!$E$14="YES",IF(A208&lt;Calculator!$G$14,0,MIN(MIN(MOD(A208/Calculator!$F$14,1),1-MOD(A208/Calculator!$F$14,1)),ABS(MOD(A208/Calculator!$F$14,1)-0.5))),1)</f>
        <v>0.230561403508772</v>
      </c>
      <c r="F208" s="138" t="n">
        <f aca="false">IF(Calculator!$E$15="YES",IF(A208&lt;Calculator!$G$15,0,MIN(MIN(MOD(A208/Calculator!$F$15,1),1-MOD(A208/Calculator!$F$15,1)),ABS(MOD(A208/Calculator!$F$15,1)-0.5))),1)</f>
        <v>0.202368421052632</v>
      </c>
      <c r="G208" s="138" t="n">
        <f aca="false">IF(Calculator!$E$16="YES",IF(A208&lt;Calculator!$G$16,0,MIN(MIN(MOD(A208/Calculator!$F$16,1),1-MOD(A208/Calculator!$F$16,1)),ABS(MOD(A208/Calculator!$F$16,1)-0.5))),1)</f>
        <v>0.0166842105263161</v>
      </c>
      <c r="H208" s="138" t="n">
        <f aca="false">IF(Calculator!$E$17="YES",IF(A208&lt;Calculator!$G$17,0,MIN(MIN(MOD(A208/Calculator!$F$17,1),1-MOD(A208/Calculator!$F$17,1)),ABS(MOD(A208/Calculator!$F$17,1)-0.5))),1)</f>
        <v>0.216739649122808</v>
      </c>
      <c r="I208" s="138" t="n">
        <f aca="false">IF(Calculator!$E$18="YES",IF(A208&lt;Calculator!$G$18,0,MIN(MIN(MOD(A208/Calculator!$F$18,1),1-MOD(A208/Calculator!$F$18,1)),ABS(MOD(A208/Calculator!$F$18,1)-0.5))),1)</f>
        <v>0.231631578947368</v>
      </c>
      <c r="J208" s="138" t="n">
        <f aca="false">IF(Calculator!$E$19="YES",IF(A208&lt;Calculator!$G$19,0,MIN(MIN(MOD(A208/Calculator!$F$19,1),1-MOD(A208/Calculator!$F$19,1)),ABS(MOD(A208/Calculator!$F$19,1)-0.5))),1)</f>
        <v>0.0720561403508775</v>
      </c>
      <c r="K208" s="138" t="n">
        <f aca="false">IF(Calculator!$E$20="YES",IF(A208&lt;Calculator!$G$20,0,MIN(MIN(MOD(A208/Calculator!$F$20,1),1-MOD(A208/Calculator!$F$20,1)),ABS(MOD(A208/Calculator!$F$20,1)-0.5))),1)</f>
        <v>0.122140350877193</v>
      </c>
      <c r="L208" s="138" t="n">
        <f aca="false">IF(Calculator!$E$21="YES",IF(A208&lt;Calculator!$G$21,0,MIN(MIN(MOD(A208/Calculator!$F$21,1),1-MOD(A208/Calculator!$F$21,1)),ABS(MOD(A208/Calculator!$F$21,1)-0.5))),1)</f>
        <v>0.232280701754386</v>
      </c>
      <c r="M208" s="138" t="n">
        <f aca="false">MIN(B208:L208)</f>
        <v>0</v>
      </c>
      <c r="N208" s="138" t="n">
        <f aca="false">SUMPRODUCT(($M$5:$M$555&gt;M208)*1)+SUMPRODUCT(($M$5:$M$555=M208)*(ROW($M$5:$M$555)&lt;ROW(M208)))+1</f>
        <v>429</v>
      </c>
      <c r="O208" s="138" t="str">
        <f aca="false">IF(M208&gt;=0.2,"★★★ EXCELLENT",IF(M208&gt;=0.12,"★★  GOOD",IF(M208&gt;=0.07,"★  FAIR",IF(M208&gt;=0.025,"⚠  MARGINAL","✗  AVOID"))))</f>
        <v>✗  AVOID</v>
      </c>
    </row>
    <row r="209" customFormat="false" ht="15" hidden="false" customHeight="false" outlineLevel="0" collapsed="false">
      <c r="A209" s="135" t="n">
        <v>25.4</v>
      </c>
      <c r="B209" s="136" t="n">
        <f aca="false">IF(Calculator!$E$11="YES",IF(A209&lt;Calculator!$G$11,0,MIN(MIN(MOD(A209/Calculator!$F$11,1),1-MOD(A209/Calculator!$F$11,1)),ABS(MOD(A209/Calculator!$F$11,1)-0.5))),1)</f>
        <v>0</v>
      </c>
      <c r="C209" s="136" t="n">
        <f aca="false">IF(Calculator!$E$12="YES",IF(A209&lt;Calculator!$G$12,0,MIN(MIN(MOD(A209/Calculator!$F$12,1),1-MOD(A209/Calculator!$F$12,1)),ABS(MOD(A209/Calculator!$F$12,1)-0.5))),1)</f>
        <v>0.15059649122807</v>
      </c>
      <c r="D209" s="136" t="n">
        <f aca="false">IF(Calculator!$E$13="YES",IF(A209&lt;Calculator!$G$13,0,MIN(MIN(MOD(A209/Calculator!$F$13,1),1-MOD(A209/Calculator!$F$13,1)),ABS(MOD(A209/Calculator!$F$13,1)-0.5))),1)</f>
        <v>0.044781754385965</v>
      </c>
      <c r="E209" s="136" t="n">
        <f aca="false">IF(Calculator!$E$14="YES",IF(A209&lt;Calculator!$G$14,0,MIN(MIN(MOD(A209/Calculator!$F$14,1),1-MOD(A209/Calculator!$F$14,1)),ABS(MOD(A209/Calculator!$F$14,1)-0.5))),1)</f>
        <v>0.225543859649123</v>
      </c>
      <c r="F209" s="136" t="n">
        <f aca="false">IF(Calculator!$E$15="YES",IF(A209&lt;Calculator!$G$15,0,MIN(MIN(MOD(A209/Calculator!$F$15,1),1-MOD(A209/Calculator!$F$15,1)),ABS(MOD(A209/Calculator!$F$15,1)-0.5))),1)</f>
        <v>0.195263157894737</v>
      </c>
      <c r="G209" s="136" t="n">
        <f aca="false">IF(Calculator!$E$16="YES",IF(A209&lt;Calculator!$G$16,0,MIN(MIN(MOD(A209/Calculator!$F$16,1),1-MOD(A209/Calculator!$F$16,1)),ABS(MOD(A209/Calculator!$F$16,1)-0.5))),1)</f>
        <v>0.0266315789473683</v>
      </c>
      <c r="H209" s="136" t="n">
        <f aca="false">IF(Calculator!$E$17="YES",IF(A209&lt;Calculator!$G$17,0,MIN(MIN(MOD(A209/Calculator!$F$17,1),1-MOD(A209/Calculator!$F$17,1)),ABS(MOD(A209/Calculator!$F$17,1)-0.5))),1)</f>
        <v>0.229454035087719</v>
      </c>
      <c r="I209" s="136" t="n">
        <f aca="false">IF(Calculator!$E$18="YES",IF(A209&lt;Calculator!$G$18,0,MIN(MIN(MOD(A209/Calculator!$F$18,1),1-MOD(A209/Calculator!$F$18,1)),ABS(MOD(A209/Calculator!$F$18,1)-0.5))),1)</f>
        <v>0.216736842105263</v>
      </c>
      <c r="J209" s="136" t="n">
        <f aca="false">IF(Calculator!$E$19="YES",IF(A209&lt;Calculator!$G$19,0,MIN(MIN(MOD(A209/Calculator!$F$19,1),1-MOD(A209/Calculator!$F$19,1)),ABS(MOD(A209/Calculator!$F$19,1)-0.5))),1)</f>
        <v>0.0545543859649129</v>
      </c>
      <c r="K209" s="136" t="n">
        <f aca="false">IF(Calculator!$E$20="YES",IF(A209&lt;Calculator!$G$20,0,MIN(MIN(MOD(A209/Calculator!$F$20,1),1-MOD(A209/Calculator!$F$20,1)),ABS(MOD(A209/Calculator!$F$20,1)-0.5))),1)</f>
        <v>0.142385964912281</v>
      </c>
      <c r="L209" s="136" t="n">
        <f aca="false">IF(Calculator!$E$21="YES",IF(A209&lt;Calculator!$G$21,0,MIN(MIN(MOD(A209/Calculator!$F$21,1),1-MOD(A209/Calculator!$F$21,1)),ABS(MOD(A209/Calculator!$F$21,1)-0.5))),1)</f>
        <v>0.231228070175439</v>
      </c>
      <c r="M209" s="136" t="n">
        <f aca="false">MIN(B209:L209)</f>
        <v>0</v>
      </c>
      <c r="N209" s="136" t="n">
        <f aca="false">SUMPRODUCT(($M$5:$M$555&gt;M209)*1)+SUMPRODUCT(($M$5:$M$555=M209)*(ROW($M$5:$M$555)&lt;ROW(M209)))+1</f>
        <v>430</v>
      </c>
      <c r="O209" s="136" t="str">
        <f aca="false">IF(M209&gt;=0.2,"★★★ EXCELLENT",IF(M209&gt;=0.12,"★★  GOOD",IF(M209&gt;=0.07,"★  FAIR",IF(M209&gt;=0.025,"⚠  MARGINAL","✗  AVOID"))))</f>
        <v>✗  AVOID</v>
      </c>
    </row>
    <row r="210" customFormat="false" ht="15" hidden="false" customHeight="false" outlineLevel="0" collapsed="false">
      <c r="A210" s="137" t="n">
        <v>25.5</v>
      </c>
      <c r="B210" s="138" t="n">
        <f aca="false">IF(Calculator!$E$11="YES",IF(A210&lt;Calculator!$G$11,0,MIN(MIN(MOD(A210/Calculator!$F$11,1),1-MOD(A210/Calculator!$F$11,1)),ABS(MOD(A210/Calculator!$F$11,1)-0.5))),1)</f>
        <v>0</v>
      </c>
      <c r="C210" s="138" t="n">
        <f aca="false">IF(Calculator!$E$12="YES",IF(A210&lt;Calculator!$G$12,0,MIN(MIN(MOD(A210/Calculator!$F$12,1),1-MOD(A210/Calculator!$F$12,1)),ABS(MOD(A210/Calculator!$F$12,1)-0.5))),1)</f>
        <v>0.153157894736842</v>
      </c>
      <c r="D210" s="138" t="n">
        <f aca="false">IF(Calculator!$E$13="YES",IF(A210&lt;Calculator!$G$13,0,MIN(MIN(MOD(A210/Calculator!$F$13,1),1-MOD(A210/Calculator!$F$13,1)),ABS(MOD(A210/Calculator!$F$13,1)-0.5))),1)</f>
        <v>0.041021052631579</v>
      </c>
      <c r="E210" s="138" t="n">
        <f aca="false">IF(Calculator!$E$14="YES",IF(A210&lt;Calculator!$G$14,0,MIN(MIN(MOD(A210/Calculator!$F$14,1),1-MOD(A210/Calculator!$F$14,1)),ABS(MOD(A210/Calculator!$F$14,1)-0.5))),1)</f>
        <v>0.220526315789474</v>
      </c>
      <c r="F210" s="138" t="n">
        <f aca="false">IF(Calculator!$E$15="YES",IF(A210&lt;Calculator!$G$15,0,MIN(MIN(MOD(A210/Calculator!$F$15,1),1-MOD(A210/Calculator!$F$15,1)),ABS(MOD(A210/Calculator!$F$15,1)-0.5))),1)</f>
        <v>0.188157894736842</v>
      </c>
      <c r="G210" s="138" t="n">
        <f aca="false">IF(Calculator!$E$16="YES",IF(A210&lt;Calculator!$G$16,0,MIN(MIN(MOD(A210/Calculator!$F$16,1),1-MOD(A210/Calculator!$F$16,1)),ABS(MOD(A210/Calculator!$F$16,1)-0.5))),1)</f>
        <v>0.036578947368421</v>
      </c>
      <c r="H210" s="138" t="n">
        <f aca="false">IF(Calculator!$E$17="YES",IF(A210&lt;Calculator!$G$17,0,MIN(MIN(MOD(A210/Calculator!$F$17,1),1-MOD(A210/Calculator!$F$17,1)),ABS(MOD(A210/Calculator!$F$17,1)-0.5))),1)</f>
        <v>0.242168421052632</v>
      </c>
      <c r="I210" s="138" t="n">
        <f aca="false">IF(Calculator!$E$18="YES",IF(A210&lt;Calculator!$G$18,0,MIN(MIN(MOD(A210/Calculator!$F$18,1),1-MOD(A210/Calculator!$F$18,1)),ABS(MOD(A210/Calculator!$F$18,1)-0.5))),1)</f>
        <v>0.201842105263158</v>
      </c>
      <c r="J210" s="138" t="n">
        <f aca="false">IF(Calculator!$E$19="YES",IF(A210&lt;Calculator!$G$19,0,MIN(MIN(MOD(A210/Calculator!$F$19,1),1-MOD(A210/Calculator!$F$19,1)),ABS(MOD(A210/Calculator!$F$19,1)-0.5))),1)</f>
        <v>0.0370526315789483</v>
      </c>
      <c r="K210" s="138" t="n">
        <f aca="false">IF(Calculator!$E$20="YES",IF(A210&lt;Calculator!$G$20,0,MIN(MIN(MOD(A210/Calculator!$F$20,1),1-MOD(A210/Calculator!$F$20,1)),ABS(MOD(A210/Calculator!$F$20,1)-0.5))),1)</f>
        <v>0.162631578947368</v>
      </c>
      <c r="L210" s="138" t="n">
        <f aca="false">IF(Calculator!$E$21="YES",IF(A210&lt;Calculator!$G$21,0,MIN(MIN(MOD(A210/Calculator!$F$21,1),1-MOD(A210/Calculator!$F$21,1)),ABS(MOD(A210/Calculator!$F$21,1)-0.5))),1)</f>
        <v>0.194736842105263</v>
      </c>
      <c r="M210" s="138" t="n">
        <f aca="false">MIN(B210:L210)</f>
        <v>0</v>
      </c>
      <c r="N210" s="138" t="n">
        <f aca="false">SUMPRODUCT(($M$5:$M$555&gt;M210)*1)+SUMPRODUCT(($M$5:$M$555=M210)*(ROW($M$5:$M$555)&lt;ROW(M210)))+1</f>
        <v>431</v>
      </c>
      <c r="O210" s="138" t="str">
        <f aca="false">IF(M210&gt;=0.2,"★★★ EXCELLENT",IF(M210&gt;=0.12,"★★  GOOD",IF(M210&gt;=0.07,"★  FAIR",IF(M210&gt;=0.025,"⚠  MARGINAL","✗  AVOID"))))</f>
        <v>✗  AVOID</v>
      </c>
    </row>
    <row r="211" customFormat="false" ht="15" hidden="false" customHeight="false" outlineLevel="0" collapsed="false">
      <c r="A211" s="135" t="n">
        <v>25.6</v>
      </c>
      <c r="B211" s="136" t="n">
        <f aca="false">IF(Calculator!$E$11="YES",IF(A211&lt;Calculator!$G$11,0,MIN(MIN(MOD(A211/Calculator!$F$11,1),1-MOD(A211/Calculator!$F$11,1)),ABS(MOD(A211/Calculator!$F$11,1)-0.5))),1)</f>
        <v>0</v>
      </c>
      <c r="C211" s="136" t="n">
        <f aca="false">IF(Calculator!$E$12="YES",IF(A211&lt;Calculator!$G$12,0,MIN(MIN(MOD(A211/Calculator!$F$12,1),1-MOD(A211/Calculator!$F$12,1)),ABS(MOD(A211/Calculator!$F$12,1)-0.5))),1)</f>
        <v>0.155719298245614</v>
      </c>
      <c r="D211" s="136" t="n">
        <f aca="false">IF(Calculator!$E$13="YES",IF(A211&lt;Calculator!$G$13,0,MIN(MIN(MOD(A211/Calculator!$F$13,1),1-MOD(A211/Calculator!$F$13,1)),ABS(MOD(A211/Calculator!$F$13,1)-0.5))),1)</f>
        <v>0.0372603508771929</v>
      </c>
      <c r="E211" s="136" t="n">
        <f aca="false">IF(Calculator!$E$14="YES",IF(A211&lt;Calculator!$G$14,0,MIN(MIN(MOD(A211/Calculator!$F$14,1),1-MOD(A211/Calculator!$F$14,1)),ABS(MOD(A211/Calculator!$F$14,1)-0.5))),1)</f>
        <v>0.215508771929825</v>
      </c>
      <c r="F211" s="136" t="n">
        <f aca="false">IF(Calculator!$E$15="YES",IF(A211&lt;Calculator!$G$15,0,MIN(MIN(MOD(A211/Calculator!$F$15,1),1-MOD(A211/Calculator!$F$15,1)),ABS(MOD(A211/Calculator!$F$15,1)-0.5))),1)</f>
        <v>0.181052631578947</v>
      </c>
      <c r="G211" s="136" t="n">
        <f aca="false">IF(Calculator!$E$16="YES",IF(A211&lt;Calculator!$G$16,0,MIN(MIN(MOD(A211/Calculator!$F$16,1),1-MOD(A211/Calculator!$F$16,1)),ABS(MOD(A211/Calculator!$F$16,1)-0.5))),1)</f>
        <v>0.0465263157894742</v>
      </c>
      <c r="H211" s="136" t="n">
        <f aca="false">IF(Calculator!$E$17="YES",IF(A211&lt;Calculator!$G$17,0,MIN(MIN(MOD(A211/Calculator!$F$17,1),1-MOD(A211/Calculator!$F$17,1)),ABS(MOD(A211/Calculator!$F$17,1)-0.5))),1)</f>
        <v>0.245117192982455</v>
      </c>
      <c r="I211" s="136" t="n">
        <f aca="false">IF(Calculator!$E$18="YES",IF(A211&lt;Calculator!$G$18,0,MIN(MIN(MOD(A211/Calculator!$F$18,1),1-MOD(A211/Calculator!$F$18,1)),ABS(MOD(A211/Calculator!$F$18,1)-0.5))),1)</f>
        <v>0.186947368421052</v>
      </c>
      <c r="J211" s="136" t="n">
        <f aca="false">IF(Calculator!$E$19="YES",IF(A211&lt;Calculator!$G$19,0,MIN(MIN(MOD(A211/Calculator!$F$19,1),1-MOD(A211/Calculator!$F$19,1)),ABS(MOD(A211/Calculator!$F$19,1)-0.5))),1)</f>
        <v>0.0195508771929829</v>
      </c>
      <c r="K211" s="136" t="n">
        <f aca="false">IF(Calculator!$E$20="YES",IF(A211&lt;Calculator!$G$20,0,MIN(MIN(MOD(A211/Calculator!$F$20,1),1-MOD(A211/Calculator!$F$20,1)),ABS(MOD(A211/Calculator!$F$20,1)-0.5))),1)</f>
        <v>0.182877192982456</v>
      </c>
      <c r="L211" s="136" t="n">
        <f aca="false">IF(Calculator!$E$21="YES",IF(A211&lt;Calculator!$G$21,0,MIN(MIN(MOD(A211/Calculator!$F$21,1),1-MOD(A211/Calculator!$F$21,1)),ABS(MOD(A211/Calculator!$F$21,1)-0.5))),1)</f>
        <v>0.158245614035087</v>
      </c>
      <c r="M211" s="136" t="n">
        <f aca="false">MIN(B211:L211)</f>
        <v>0</v>
      </c>
      <c r="N211" s="136" t="n">
        <f aca="false">SUMPRODUCT(($M$5:$M$555&gt;M211)*1)+SUMPRODUCT(($M$5:$M$555=M211)*(ROW($M$5:$M$555)&lt;ROW(M211)))+1</f>
        <v>432</v>
      </c>
      <c r="O211" s="136" t="str">
        <f aca="false">IF(M211&gt;=0.2,"★★★ EXCELLENT",IF(M211&gt;=0.12,"★★  GOOD",IF(M211&gt;=0.07,"★  FAIR",IF(M211&gt;=0.025,"⚠  MARGINAL","✗  AVOID"))))</f>
        <v>✗  AVOID</v>
      </c>
    </row>
    <row r="212" customFormat="false" ht="15" hidden="false" customHeight="false" outlineLevel="0" collapsed="false">
      <c r="A212" s="137" t="n">
        <v>25.7</v>
      </c>
      <c r="B212" s="138" t="n">
        <f aca="false">IF(Calculator!$E$11="YES",IF(A212&lt;Calculator!$G$11,0,MIN(MIN(MOD(A212/Calculator!$F$11,1),1-MOD(A212/Calculator!$F$11,1)),ABS(MOD(A212/Calculator!$F$11,1)-0.5))),1)</f>
        <v>0</v>
      </c>
      <c r="C212" s="138" t="n">
        <f aca="false">IF(Calculator!$E$12="YES",IF(A212&lt;Calculator!$G$12,0,MIN(MIN(MOD(A212/Calculator!$F$12,1),1-MOD(A212/Calculator!$F$12,1)),ABS(MOD(A212/Calculator!$F$12,1)-0.5))),1)</f>
        <v>0.158280701754386</v>
      </c>
      <c r="D212" s="138" t="n">
        <f aca="false">IF(Calculator!$E$13="YES",IF(A212&lt;Calculator!$G$13,0,MIN(MIN(MOD(A212/Calculator!$F$13,1),1-MOD(A212/Calculator!$F$13,1)),ABS(MOD(A212/Calculator!$F$13,1)-0.5))),1)</f>
        <v>0.0334996491228071</v>
      </c>
      <c r="E212" s="138" t="n">
        <f aca="false">IF(Calculator!$E$14="YES",IF(A212&lt;Calculator!$G$14,0,MIN(MIN(MOD(A212/Calculator!$F$14,1),1-MOD(A212/Calculator!$F$14,1)),ABS(MOD(A212/Calculator!$F$14,1)-0.5))),1)</f>
        <v>0.210491228070175</v>
      </c>
      <c r="F212" s="138" t="n">
        <f aca="false">IF(Calculator!$E$15="YES",IF(A212&lt;Calculator!$G$15,0,MIN(MIN(MOD(A212/Calculator!$F$15,1),1-MOD(A212/Calculator!$F$15,1)),ABS(MOD(A212/Calculator!$F$15,1)-0.5))),1)</f>
        <v>0.173947368421053</v>
      </c>
      <c r="G212" s="138" t="n">
        <f aca="false">IF(Calculator!$E$16="YES",IF(A212&lt;Calculator!$G$16,0,MIN(MIN(MOD(A212/Calculator!$F$16,1),1-MOD(A212/Calculator!$F$16,1)),ABS(MOD(A212/Calculator!$F$16,1)-0.5))),1)</f>
        <v>0.0564736842105265</v>
      </c>
      <c r="H212" s="138" t="n">
        <f aca="false">IF(Calculator!$E$17="YES",IF(A212&lt;Calculator!$G$17,0,MIN(MIN(MOD(A212/Calculator!$F$17,1),1-MOD(A212/Calculator!$F$17,1)),ABS(MOD(A212/Calculator!$F$17,1)-0.5))),1)</f>
        <v>0.232402807017543</v>
      </c>
      <c r="I212" s="138" t="n">
        <f aca="false">IF(Calculator!$E$18="YES",IF(A212&lt;Calculator!$G$18,0,MIN(MIN(MOD(A212/Calculator!$F$18,1),1-MOD(A212/Calculator!$F$18,1)),ABS(MOD(A212/Calculator!$F$18,1)-0.5))),1)</f>
        <v>0.172052631578947</v>
      </c>
      <c r="J212" s="138" t="n">
        <f aca="false">IF(Calculator!$E$19="YES",IF(A212&lt;Calculator!$G$19,0,MIN(MIN(MOD(A212/Calculator!$F$19,1),1-MOD(A212/Calculator!$F$19,1)),ABS(MOD(A212/Calculator!$F$19,1)-0.5))),1)</f>
        <v>0.0020491228070183</v>
      </c>
      <c r="K212" s="138" t="n">
        <f aca="false">IF(Calculator!$E$20="YES",IF(A212&lt;Calculator!$G$20,0,MIN(MIN(MOD(A212/Calculator!$F$20,1),1-MOD(A212/Calculator!$F$20,1)),ABS(MOD(A212/Calculator!$F$20,1)-0.5))),1)</f>
        <v>0.203122807017544</v>
      </c>
      <c r="L212" s="138" t="n">
        <f aca="false">IF(Calculator!$E$21="YES",IF(A212&lt;Calculator!$G$21,0,MIN(MIN(MOD(A212/Calculator!$F$21,1),1-MOD(A212/Calculator!$F$21,1)),ABS(MOD(A212/Calculator!$F$21,1)-0.5))),1)</f>
        <v>0.121754385964913</v>
      </c>
      <c r="M212" s="138" t="n">
        <f aca="false">MIN(B212:L212)</f>
        <v>0</v>
      </c>
      <c r="N212" s="138" t="n">
        <f aca="false">SUMPRODUCT(($M$5:$M$555&gt;M212)*1)+SUMPRODUCT(($M$5:$M$555=M212)*(ROW($M$5:$M$555)&lt;ROW(M212)))+1</f>
        <v>433</v>
      </c>
      <c r="O212" s="138" t="str">
        <f aca="false">IF(M212&gt;=0.2,"★★★ EXCELLENT",IF(M212&gt;=0.12,"★★  GOOD",IF(M212&gt;=0.07,"★  FAIR",IF(M212&gt;=0.025,"⚠  MARGINAL","✗  AVOID"))))</f>
        <v>✗  AVOID</v>
      </c>
    </row>
    <row r="213" customFormat="false" ht="15" hidden="false" customHeight="false" outlineLevel="0" collapsed="false">
      <c r="A213" s="135" t="n">
        <v>25.8</v>
      </c>
      <c r="B213" s="136" t="n">
        <f aca="false">IF(Calculator!$E$11="YES",IF(A213&lt;Calculator!$G$11,0,MIN(MIN(MOD(A213/Calculator!$F$11,1),1-MOD(A213/Calculator!$F$11,1)),ABS(MOD(A213/Calculator!$F$11,1)-0.5))),1)</f>
        <v>0</v>
      </c>
      <c r="C213" s="136" t="n">
        <f aca="false">IF(Calculator!$E$12="YES",IF(A213&lt;Calculator!$G$12,0,MIN(MIN(MOD(A213/Calculator!$F$12,1),1-MOD(A213/Calculator!$F$12,1)),ABS(MOD(A213/Calculator!$F$12,1)-0.5))),1)</f>
        <v>0.160842105263158</v>
      </c>
      <c r="D213" s="136" t="n">
        <f aca="false">IF(Calculator!$E$13="YES",IF(A213&lt;Calculator!$G$13,0,MIN(MIN(MOD(A213/Calculator!$F$13,1),1-MOD(A213/Calculator!$F$13,1)),ABS(MOD(A213/Calculator!$F$13,1)-0.5))),1)</f>
        <v>0.0297389473684211</v>
      </c>
      <c r="E213" s="136" t="n">
        <f aca="false">IF(Calculator!$E$14="YES",IF(A213&lt;Calculator!$G$14,0,MIN(MIN(MOD(A213/Calculator!$F$14,1),1-MOD(A213/Calculator!$F$14,1)),ABS(MOD(A213/Calculator!$F$14,1)-0.5))),1)</f>
        <v>0.205473684210526</v>
      </c>
      <c r="F213" s="136" t="n">
        <f aca="false">IF(Calculator!$E$15="YES",IF(A213&lt;Calculator!$G$15,0,MIN(MIN(MOD(A213/Calculator!$F$15,1),1-MOD(A213/Calculator!$F$15,1)),ABS(MOD(A213/Calculator!$F$15,1)-0.5))),1)</f>
        <v>0.166842105263158</v>
      </c>
      <c r="G213" s="136" t="n">
        <f aca="false">IF(Calculator!$E$16="YES",IF(A213&lt;Calculator!$G$16,0,MIN(MIN(MOD(A213/Calculator!$F$16,1),1-MOD(A213/Calculator!$F$16,1)),ABS(MOD(A213/Calculator!$F$16,1)-0.5))),1)</f>
        <v>0.0664210526315792</v>
      </c>
      <c r="H213" s="136" t="n">
        <f aca="false">IF(Calculator!$E$17="YES",IF(A213&lt;Calculator!$G$17,0,MIN(MIN(MOD(A213/Calculator!$F$17,1),1-MOD(A213/Calculator!$F$17,1)),ABS(MOD(A213/Calculator!$F$17,1)-0.5))),1)</f>
        <v>0.219688421052631</v>
      </c>
      <c r="I213" s="136" t="n">
        <f aca="false">IF(Calculator!$E$18="YES",IF(A213&lt;Calculator!$G$18,0,MIN(MIN(MOD(A213/Calculator!$F$18,1),1-MOD(A213/Calculator!$F$18,1)),ABS(MOD(A213/Calculator!$F$18,1)-0.5))),1)</f>
        <v>0.157157894736842</v>
      </c>
      <c r="J213" s="136" t="n">
        <f aca="false">IF(Calculator!$E$19="YES",IF(A213&lt;Calculator!$G$19,0,MIN(MIN(MOD(A213/Calculator!$F$19,1),1-MOD(A213/Calculator!$F$19,1)),ABS(MOD(A213/Calculator!$F$19,1)-0.5))),1)</f>
        <v>0.0154526315789472</v>
      </c>
      <c r="K213" s="136" t="n">
        <f aca="false">IF(Calculator!$E$20="YES",IF(A213&lt;Calculator!$G$20,0,MIN(MIN(MOD(A213/Calculator!$F$20,1),1-MOD(A213/Calculator!$F$20,1)),ABS(MOD(A213/Calculator!$F$20,1)-0.5))),1)</f>
        <v>0.223368421052632</v>
      </c>
      <c r="L213" s="136" t="n">
        <f aca="false">IF(Calculator!$E$21="YES",IF(A213&lt;Calculator!$G$21,0,MIN(MIN(MOD(A213/Calculator!$F$21,1),1-MOD(A213/Calculator!$F$21,1)),ABS(MOD(A213/Calculator!$F$21,1)-0.5))),1)</f>
        <v>0.0852631578947367</v>
      </c>
      <c r="M213" s="136" t="n">
        <f aca="false">MIN(B213:L213)</f>
        <v>0</v>
      </c>
      <c r="N213" s="136" t="n">
        <f aca="false">SUMPRODUCT(($M$5:$M$555&gt;M213)*1)+SUMPRODUCT(($M$5:$M$555=M213)*(ROW($M$5:$M$555)&lt;ROW(M213)))+1</f>
        <v>434</v>
      </c>
      <c r="O213" s="136" t="str">
        <f aca="false">IF(M213&gt;=0.2,"★★★ EXCELLENT",IF(M213&gt;=0.12,"★★  GOOD",IF(M213&gt;=0.07,"★  FAIR",IF(M213&gt;=0.025,"⚠  MARGINAL","✗  AVOID"))))</f>
        <v>✗  AVOID</v>
      </c>
    </row>
    <row r="214" customFormat="false" ht="15" hidden="false" customHeight="false" outlineLevel="0" collapsed="false">
      <c r="A214" s="137" t="n">
        <v>25.9</v>
      </c>
      <c r="B214" s="138" t="n">
        <f aca="false">IF(Calculator!$E$11="YES",IF(A214&lt;Calculator!$G$11,0,MIN(MIN(MOD(A214/Calculator!$F$11,1),1-MOD(A214/Calculator!$F$11,1)),ABS(MOD(A214/Calculator!$F$11,1)-0.5))),1)</f>
        <v>0</v>
      </c>
      <c r="C214" s="138" t="n">
        <f aca="false">IF(Calculator!$E$12="YES",IF(A214&lt;Calculator!$G$12,0,MIN(MIN(MOD(A214/Calculator!$F$12,1),1-MOD(A214/Calculator!$F$12,1)),ABS(MOD(A214/Calculator!$F$12,1)-0.5))),1)</f>
        <v>0.16340350877193</v>
      </c>
      <c r="D214" s="138" t="n">
        <f aca="false">IF(Calculator!$E$13="YES",IF(A214&lt;Calculator!$G$13,0,MIN(MIN(MOD(A214/Calculator!$F$13,1),1-MOD(A214/Calculator!$F$13,1)),ABS(MOD(A214/Calculator!$F$13,1)-0.5))),1)</f>
        <v>0.0259782456140352</v>
      </c>
      <c r="E214" s="138" t="n">
        <f aca="false">IF(Calculator!$E$14="YES",IF(A214&lt;Calculator!$G$14,0,MIN(MIN(MOD(A214/Calculator!$F$14,1),1-MOD(A214/Calculator!$F$14,1)),ABS(MOD(A214/Calculator!$F$14,1)-0.5))),1)</f>
        <v>0.200456140350877</v>
      </c>
      <c r="F214" s="138" t="n">
        <f aca="false">IF(Calculator!$E$15="YES",IF(A214&lt;Calculator!$G$15,0,MIN(MIN(MOD(A214/Calculator!$F$15,1),1-MOD(A214/Calculator!$F$15,1)),ABS(MOD(A214/Calculator!$F$15,1)-0.5))),1)</f>
        <v>0.159736842105263</v>
      </c>
      <c r="G214" s="138" t="n">
        <f aca="false">IF(Calculator!$E$16="YES",IF(A214&lt;Calculator!$G$16,0,MIN(MIN(MOD(A214/Calculator!$F$16,1),1-MOD(A214/Calculator!$F$16,1)),ABS(MOD(A214/Calculator!$F$16,1)-0.5))),1)</f>
        <v>0.0763684210526314</v>
      </c>
      <c r="H214" s="138" t="n">
        <f aca="false">IF(Calculator!$E$17="YES",IF(A214&lt;Calculator!$G$17,0,MIN(MIN(MOD(A214/Calculator!$F$17,1),1-MOD(A214/Calculator!$F$17,1)),ABS(MOD(A214/Calculator!$F$17,1)-0.5))),1)</f>
        <v>0.206974035087719</v>
      </c>
      <c r="I214" s="138" t="n">
        <f aca="false">IF(Calculator!$E$18="YES",IF(A214&lt;Calculator!$G$18,0,MIN(MIN(MOD(A214/Calculator!$F$18,1),1-MOD(A214/Calculator!$F$18,1)),ABS(MOD(A214/Calculator!$F$18,1)-0.5))),1)</f>
        <v>0.142263157894737</v>
      </c>
      <c r="J214" s="138" t="n">
        <f aca="false">IF(Calculator!$E$19="YES",IF(A214&lt;Calculator!$G$19,0,MIN(MIN(MOD(A214/Calculator!$F$19,1),1-MOD(A214/Calculator!$F$19,1)),ABS(MOD(A214/Calculator!$F$19,1)-0.5))),1)</f>
        <v>0.0329543859649109</v>
      </c>
      <c r="K214" s="138" t="n">
        <f aca="false">IF(Calculator!$E$20="YES",IF(A214&lt;Calculator!$G$20,0,MIN(MIN(MOD(A214/Calculator!$F$20,1),1-MOD(A214/Calculator!$F$20,1)),ABS(MOD(A214/Calculator!$F$20,1)-0.5))),1)</f>
        <v>0.243614035087719</v>
      </c>
      <c r="L214" s="138" t="n">
        <f aca="false">IF(Calculator!$E$21="YES",IF(A214&lt;Calculator!$G$21,0,MIN(MIN(MOD(A214/Calculator!$F$21,1),1-MOD(A214/Calculator!$F$21,1)),ABS(MOD(A214/Calculator!$F$21,1)-0.5))),1)</f>
        <v>0.0487719298245626</v>
      </c>
      <c r="M214" s="138" t="n">
        <f aca="false">MIN(B214:L214)</f>
        <v>0</v>
      </c>
      <c r="N214" s="138" t="n">
        <f aca="false">SUMPRODUCT(($M$5:$M$555&gt;M214)*1)+SUMPRODUCT(($M$5:$M$555=M214)*(ROW($M$5:$M$555)&lt;ROW(M214)))+1</f>
        <v>435</v>
      </c>
      <c r="O214" s="138" t="str">
        <f aca="false">IF(M214&gt;=0.2,"★★★ EXCELLENT",IF(M214&gt;=0.12,"★★  GOOD",IF(M214&gt;=0.07,"★  FAIR",IF(M214&gt;=0.025,"⚠  MARGINAL","✗  AVOID"))))</f>
        <v>✗  AVOID</v>
      </c>
    </row>
    <row r="215" customFormat="false" ht="15" hidden="false" customHeight="false" outlineLevel="0" collapsed="false">
      <c r="A215" s="135" t="n">
        <v>26</v>
      </c>
      <c r="B215" s="136" t="n">
        <f aca="false">IF(Calculator!$E$11="YES",IF(A215&lt;Calculator!$G$11,0,MIN(MIN(MOD(A215/Calculator!$F$11,1),1-MOD(A215/Calculator!$F$11,1)),ABS(MOD(A215/Calculator!$F$11,1)-0.5))),1)</f>
        <v>0</v>
      </c>
      <c r="C215" s="136" t="n">
        <f aca="false">IF(Calculator!$E$12="YES",IF(A215&lt;Calculator!$G$12,0,MIN(MIN(MOD(A215/Calculator!$F$12,1),1-MOD(A215/Calculator!$F$12,1)),ABS(MOD(A215/Calculator!$F$12,1)-0.5))),1)</f>
        <v>0.165964912280702</v>
      </c>
      <c r="D215" s="136" t="n">
        <f aca="false">IF(Calculator!$E$13="YES",IF(A215&lt;Calculator!$G$13,0,MIN(MIN(MOD(A215/Calculator!$F$13,1),1-MOD(A215/Calculator!$F$13,1)),ABS(MOD(A215/Calculator!$F$13,1)-0.5))),1)</f>
        <v>0.0222175438596491</v>
      </c>
      <c r="E215" s="136" t="n">
        <f aca="false">IF(Calculator!$E$14="YES",IF(A215&lt;Calculator!$G$14,0,MIN(MIN(MOD(A215/Calculator!$F$14,1),1-MOD(A215/Calculator!$F$14,1)),ABS(MOD(A215/Calculator!$F$14,1)-0.5))),1)</f>
        <v>0.195438596491228</v>
      </c>
      <c r="F215" s="136" t="n">
        <f aca="false">IF(Calculator!$E$15="YES",IF(A215&lt;Calculator!$G$15,0,MIN(MIN(MOD(A215/Calculator!$F$15,1),1-MOD(A215/Calculator!$F$15,1)),ABS(MOD(A215/Calculator!$F$15,1)-0.5))),1)</f>
        <v>0.152631578947368</v>
      </c>
      <c r="G215" s="136" t="n">
        <f aca="false">IF(Calculator!$E$16="YES",IF(A215&lt;Calculator!$G$16,0,MIN(MIN(MOD(A215/Calculator!$F$16,1),1-MOD(A215/Calculator!$F$16,1)),ABS(MOD(A215/Calculator!$F$16,1)-0.5))),1)</f>
        <v>0.0863157894736846</v>
      </c>
      <c r="H215" s="136" t="n">
        <f aca="false">IF(Calculator!$E$17="YES",IF(A215&lt;Calculator!$G$17,0,MIN(MIN(MOD(A215/Calculator!$F$17,1),1-MOD(A215/Calculator!$F$17,1)),ABS(MOD(A215/Calculator!$F$17,1)-0.5))),1)</f>
        <v>0.194259649122807</v>
      </c>
      <c r="I215" s="136" t="n">
        <f aca="false">IF(Calculator!$E$18="YES",IF(A215&lt;Calculator!$G$18,0,MIN(MIN(MOD(A215/Calculator!$F$18,1),1-MOD(A215/Calculator!$F$18,1)),ABS(MOD(A215/Calculator!$F$18,1)-0.5))),1)</f>
        <v>0.127368421052632</v>
      </c>
      <c r="J215" s="136" t="n">
        <f aca="false">IF(Calculator!$E$19="YES",IF(A215&lt;Calculator!$G$19,0,MIN(MIN(MOD(A215/Calculator!$F$19,1),1-MOD(A215/Calculator!$F$19,1)),ABS(MOD(A215/Calculator!$F$19,1)-0.5))),1)</f>
        <v>0.0504561403508763</v>
      </c>
      <c r="K215" s="136" t="n">
        <f aca="false">IF(Calculator!$E$20="YES",IF(A215&lt;Calculator!$G$20,0,MIN(MIN(MOD(A215/Calculator!$F$20,1),1-MOD(A215/Calculator!$F$20,1)),ABS(MOD(A215/Calculator!$F$20,1)-0.5))),1)</f>
        <v>0.236140350877193</v>
      </c>
      <c r="L215" s="136" t="n">
        <f aca="false">IF(Calculator!$E$21="YES",IF(A215&lt;Calculator!$G$21,0,MIN(MIN(MOD(A215/Calculator!$F$21,1),1-MOD(A215/Calculator!$F$21,1)),ABS(MOD(A215/Calculator!$F$21,1)-0.5))),1)</f>
        <v>0.0122807017543867</v>
      </c>
      <c r="M215" s="136" t="n">
        <f aca="false">MIN(B215:L215)</f>
        <v>0</v>
      </c>
      <c r="N215" s="136" t="n">
        <f aca="false">SUMPRODUCT(($M$5:$M$555&gt;M215)*1)+SUMPRODUCT(($M$5:$M$555=M215)*(ROW($M$5:$M$555)&lt;ROW(M215)))+1</f>
        <v>436</v>
      </c>
      <c r="O215" s="136" t="str">
        <f aca="false">IF(M215&gt;=0.2,"★★★ EXCELLENT",IF(M215&gt;=0.12,"★★  GOOD",IF(M215&gt;=0.07,"★  FAIR",IF(M215&gt;=0.025,"⚠  MARGINAL","✗  AVOID"))))</f>
        <v>✗  AVOID</v>
      </c>
    </row>
    <row r="216" customFormat="false" ht="15" hidden="false" customHeight="false" outlineLevel="0" collapsed="false">
      <c r="A216" s="137" t="n">
        <v>26.1</v>
      </c>
      <c r="B216" s="138" t="n">
        <f aca="false">IF(Calculator!$E$11="YES",IF(A216&lt;Calculator!$G$11,0,MIN(MIN(MOD(A216/Calculator!$F$11,1),1-MOD(A216/Calculator!$F$11,1)),ABS(MOD(A216/Calculator!$F$11,1)-0.5))),1)</f>
        <v>0</v>
      </c>
      <c r="C216" s="138" t="n">
        <f aca="false">IF(Calculator!$E$12="YES",IF(A216&lt;Calculator!$G$12,0,MIN(MIN(MOD(A216/Calculator!$F$12,1),1-MOD(A216/Calculator!$F$12,1)),ABS(MOD(A216/Calculator!$F$12,1)-0.5))),1)</f>
        <v>0.168526315789474</v>
      </c>
      <c r="D216" s="138" t="n">
        <f aca="false">IF(Calculator!$E$13="YES",IF(A216&lt;Calculator!$G$13,0,MIN(MIN(MOD(A216/Calculator!$F$13,1),1-MOD(A216/Calculator!$F$13,1)),ABS(MOD(A216/Calculator!$F$13,1)-0.5))),1)</f>
        <v>0.0184568421052631</v>
      </c>
      <c r="E216" s="138" t="n">
        <f aca="false">IF(Calculator!$E$14="YES",IF(A216&lt;Calculator!$G$14,0,MIN(MIN(MOD(A216/Calculator!$F$14,1),1-MOD(A216/Calculator!$F$14,1)),ABS(MOD(A216/Calculator!$F$14,1)-0.5))),1)</f>
        <v>0.190421052631579</v>
      </c>
      <c r="F216" s="138" t="n">
        <f aca="false">IF(Calculator!$E$15="YES",IF(A216&lt;Calculator!$G$15,0,MIN(MIN(MOD(A216/Calculator!$F$15,1),1-MOD(A216/Calculator!$F$15,1)),ABS(MOD(A216/Calculator!$F$15,1)-0.5))),1)</f>
        <v>0.145526315789474</v>
      </c>
      <c r="G216" s="138" t="n">
        <f aca="false">IF(Calculator!$E$16="YES",IF(A216&lt;Calculator!$G$16,0,MIN(MIN(MOD(A216/Calculator!$F$16,1),1-MOD(A216/Calculator!$F$16,1)),ABS(MOD(A216/Calculator!$F$16,1)-0.5))),1)</f>
        <v>0.0962631578947373</v>
      </c>
      <c r="H216" s="138" t="n">
        <f aca="false">IF(Calculator!$E$17="YES",IF(A216&lt;Calculator!$G$17,0,MIN(MIN(MOD(A216/Calculator!$F$17,1),1-MOD(A216/Calculator!$F$17,1)),ABS(MOD(A216/Calculator!$F$17,1)-0.5))),1)</f>
        <v>0.181545263157894</v>
      </c>
      <c r="I216" s="138" t="n">
        <f aca="false">IF(Calculator!$E$18="YES",IF(A216&lt;Calculator!$G$18,0,MIN(MIN(MOD(A216/Calculator!$F$18,1),1-MOD(A216/Calculator!$F$18,1)),ABS(MOD(A216/Calculator!$F$18,1)-0.5))),1)</f>
        <v>0.112473684210526</v>
      </c>
      <c r="J216" s="138" t="n">
        <f aca="false">IF(Calculator!$E$19="YES",IF(A216&lt;Calculator!$G$19,0,MIN(MIN(MOD(A216/Calculator!$F$19,1),1-MOD(A216/Calculator!$F$19,1)),ABS(MOD(A216/Calculator!$F$19,1)-0.5))),1)</f>
        <v>0.0679578947368418</v>
      </c>
      <c r="K216" s="138" t="n">
        <f aca="false">IF(Calculator!$E$20="YES",IF(A216&lt;Calculator!$G$20,0,MIN(MIN(MOD(A216/Calculator!$F$20,1),1-MOD(A216/Calculator!$F$20,1)),ABS(MOD(A216/Calculator!$F$20,1)-0.5))),1)</f>
        <v>0.215894736842105</v>
      </c>
      <c r="L216" s="138" t="n">
        <f aca="false">IF(Calculator!$E$21="YES",IF(A216&lt;Calculator!$G$21,0,MIN(MIN(MOD(A216/Calculator!$F$21,1),1-MOD(A216/Calculator!$F$21,1)),ABS(MOD(A216/Calculator!$F$21,1)-0.5))),1)</f>
        <v>0.0242105263157892</v>
      </c>
      <c r="M216" s="138" t="n">
        <f aca="false">MIN(B216:L216)</f>
        <v>0</v>
      </c>
      <c r="N216" s="138" t="n">
        <f aca="false">SUMPRODUCT(($M$5:$M$555&gt;M216)*1)+SUMPRODUCT(($M$5:$M$555=M216)*(ROW($M$5:$M$555)&lt;ROW(M216)))+1</f>
        <v>437</v>
      </c>
      <c r="O216" s="138" t="str">
        <f aca="false">IF(M216&gt;=0.2,"★★★ EXCELLENT",IF(M216&gt;=0.12,"★★  GOOD",IF(M216&gt;=0.07,"★  FAIR",IF(M216&gt;=0.025,"⚠  MARGINAL","✗  AVOID"))))</f>
        <v>✗  AVOID</v>
      </c>
    </row>
    <row r="217" customFormat="false" ht="15" hidden="false" customHeight="false" outlineLevel="0" collapsed="false">
      <c r="A217" s="135" t="n">
        <v>26.2</v>
      </c>
      <c r="B217" s="136" t="n">
        <f aca="false">IF(Calculator!$E$11="YES",IF(A217&lt;Calculator!$G$11,0,MIN(MIN(MOD(A217/Calculator!$F$11,1),1-MOD(A217/Calculator!$F$11,1)),ABS(MOD(A217/Calculator!$F$11,1)-0.5))),1)</f>
        <v>0</v>
      </c>
      <c r="C217" s="136" t="n">
        <f aca="false">IF(Calculator!$E$12="YES",IF(A217&lt;Calculator!$G$12,0,MIN(MIN(MOD(A217/Calculator!$F$12,1),1-MOD(A217/Calculator!$F$12,1)),ABS(MOD(A217/Calculator!$F$12,1)-0.5))),1)</f>
        <v>0.171087719298246</v>
      </c>
      <c r="D217" s="136" t="n">
        <f aca="false">IF(Calculator!$E$13="YES",IF(A217&lt;Calculator!$G$13,0,MIN(MIN(MOD(A217/Calculator!$F$13,1),1-MOD(A217/Calculator!$F$13,1)),ABS(MOD(A217/Calculator!$F$13,1)-0.5))),1)</f>
        <v>0.0146961403508773</v>
      </c>
      <c r="E217" s="136" t="n">
        <f aca="false">IF(Calculator!$E$14="YES",IF(A217&lt;Calculator!$G$14,0,MIN(MIN(MOD(A217/Calculator!$F$14,1),1-MOD(A217/Calculator!$F$14,1)),ABS(MOD(A217/Calculator!$F$14,1)-0.5))),1)</f>
        <v>0.18540350877193</v>
      </c>
      <c r="F217" s="136" t="n">
        <f aca="false">IF(Calculator!$E$15="YES",IF(A217&lt;Calculator!$G$15,0,MIN(MIN(MOD(A217/Calculator!$F$15,1),1-MOD(A217/Calculator!$F$15,1)),ABS(MOD(A217/Calculator!$F$15,1)-0.5))),1)</f>
        <v>0.138421052631579</v>
      </c>
      <c r="G217" s="136" t="n">
        <f aca="false">IF(Calculator!$E$16="YES",IF(A217&lt;Calculator!$G$16,0,MIN(MIN(MOD(A217/Calculator!$F$16,1),1-MOD(A217/Calculator!$F$16,1)),ABS(MOD(A217/Calculator!$F$16,1)-0.5))),1)</f>
        <v>0.10621052631579</v>
      </c>
      <c r="H217" s="136" t="n">
        <f aca="false">IF(Calculator!$E$17="YES",IF(A217&lt;Calculator!$G$17,0,MIN(MIN(MOD(A217/Calculator!$F$17,1),1-MOD(A217/Calculator!$F$17,1)),ABS(MOD(A217/Calculator!$F$17,1)-0.5))),1)</f>
        <v>0.168830877192982</v>
      </c>
      <c r="I217" s="136" t="n">
        <f aca="false">IF(Calculator!$E$18="YES",IF(A217&lt;Calculator!$G$18,0,MIN(MIN(MOD(A217/Calculator!$F$18,1),1-MOD(A217/Calculator!$F$18,1)),ABS(MOD(A217/Calculator!$F$18,1)-0.5))),1)</f>
        <v>0.097578947368421</v>
      </c>
      <c r="J217" s="136" t="n">
        <f aca="false">IF(Calculator!$E$19="YES",IF(A217&lt;Calculator!$G$19,0,MIN(MIN(MOD(A217/Calculator!$F$19,1),1-MOD(A217/Calculator!$F$19,1)),ABS(MOD(A217/Calculator!$F$19,1)-0.5))),1)</f>
        <v>0.0854596491228064</v>
      </c>
      <c r="K217" s="136" t="n">
        <f aca="false">IF(Calculator!$E$20="YES",IF(A217&lt;Calculator!$G$20,0,MIN(MIN(MOD(A217/Calculator!$F$20,1),1-MOD(A217/Calculator!$F$20,1)),ABS(MOD(A217/Calculator!$F$20,1)-0.5))),1)</f>
        <v>0.195649122807017</v>
      </c>
      <c r="L217" s="136" t="n">
        <f aca="false">IF(Calculator!$E$21="YES",IF(A217&lt;Calculator!$G$21,0,MIN(MIN(MOD(A217/Calculator!$F$21,1),1-MOD(A217/Calculator!$F$21,1)),ABS(MOD(A217/Calculator!$F$21,1)-0.5))),1)</f>
        <v>0.0607017543859651</v>
      </c>
      <c r="M217" s="136" t="n">
        <f aca="false">MIN(B217:L217)</f>
        <v>0</v>
      </c>
      <c r="N217" s="136" t="n">
        <f aca="false">SUMPRODUCT(($M$5:$M$555&gt;M217)*1)+SUMPRODUCT(($M$5:$M$555=M217)*(ROW($M$5:$M$555)&lt;ROW(M217)))+1</f>
        <v>438</v>
      </c>
      <c r="O217" s="136" t="str">
        <f aca="false">IF(M217&gt;=0.2,"★★★ EXCELLENT",IF(M217&gt;=0.12,"★★  GOOD",IF(M217&gt;=0.07,"★  FAIR",IF(M217&gt;=0.025,"⚠  MARGINAL","✗  AVOID"))))</f>
        <v>✗  AVOID</v>
      </c>
    </row>
    <row r="218" customFormat="false" ht="15" hidden="false" customHeight="false" outlineLevel="0" collapsed="false">
      <c r="A218" s="137" t="n">
        <v>26.3</v>
      </c>
      <c r="B218" s="138" t="n">
        <f aca="false">IF(Calculator!$E$11="YES",IF(A218&lt;Calculator!$G$11,0,MIN(MIN(MOD(A218/Calculator!$F$11,1),1-MOD(A218/Calculator!$F$11,1)),ABS(MOD(A218/Calculator!$F$11,1)-0.5))),1)</f>
        <v>0</v>
      </c>
      <c r="C218" s="138" t="n">
        <f aca="false">IF(Calculator!$E$12="YES",IF(A218&lt;Calculator!$G$12,0,MIN(MIN(MOD(A218/Calculator!$F$12,1),1-MOD(A218/Calculator!$F$12,1)),ABS(MOD(A218/Calculator!$F$12,1)-0.5))),1)</f>
        <v>0.173649122807018</v>
      </c>
      <c r="D218" s="138" t="n">
        <f aca="false">IF(Calculator!$E$13="YES",IF(A218&lt;Calculator!$G$13,0,MIN(MIN(MOD(A218/Calculator!$F$13,1),1-MOD(A218/Calculator!$F$13,1)),ABS(MOD(A218/Calculator!$F$13,1)-0.5))),1)</f>
        <v>0.0109354385964913</v>
      </c>
      <c r="E218" s="138" t="n">
        <f aca="false">IF(Calculator!$E$14="YES",IF(A218&lt;Calculator!$G$14,0,MIN(MIN(MOD(A218/Calculator!$F$14,1),1-MOD(A218/Calculator!$F$14,1)),ABS(MOD(A218/Calculator!$F$14,1)-0.5))),1)</f>
        <v>0.180385964912281</v>
      </c>
      <c r="F218" s="138" t="n">
        <f aca="false">IF(Calculator!$E$15="YES",IF(A218&lt;Calculator!$G$15,0,MIN(MIN(MOD(A218/Calculator!$F$15,1),1-MOD(A218/Calculator!$F$15,1)),ABS(MOD(A218/Calculator!$F$15,1)-0.5))),1)</f>
        <v>0.131315789473684</v>
      </c>
      <c r="G218" s="138" t="n">
        <f aca="false">IF(Calculator!$E$16="YES",IF(A218&lt;Calculator!$G$16,0,MIN(MIN(MOD(A218/Calculator!$F$16,1),1-MOD(A218/Calculator!$F$16,1)),ABS(MOD(A218/Calculator!$F$16,1)-0.5))),1)</f>
        <v>0.116157894736842</v>
      </c>
      <c r="H218" s="138" t="n">
        <f aca="false">IF(Calculator!$E$17="YES",IF(A218&lt;Calculator!$G$17,0,MIN(MIN(MOD(A218/Calculator!$F$17,1),1-MOD(A218/Calculator!$F$17,1)),ABS(MOD(A218/Calculator!$F$17,1)-0.5))),1)</f>
        <v>0.15611649122807</v>
      </c>
      <c r="I218" s="138" t="n">
        <f aca="false">IF(Calculator!$E$18="YES",IF(A218&lt;Calculator!$G$18,0,MIN(MIN(MOD(A218/Calculator!$F$18,1),1-MOD(A218/Calculator!$F$18,1)),ABS(MOD(A218/Calculator!$F$18,1)-0.5))),1)</f>
        <v>0.0826842105263155</v>
      </c>
      <c r="J218" s="138" t="n">
        <f aca="false">IF(Calculator!$E$19="YES",IF(A218&lt;Calculator!$G$19,0,MIN(MIN(MOD(A218/Calculator!$F$19,1),1-MOD(A218/Calculator!$F$19,1)),ABS(MOD(A218/Calculator!$F$19,1)-0.5))),1)</f>
        <v>0.102961403508771</v>
      </c>
      <c r="K218" s="138" t="n">
        <f aca="false">IF(Calculator!$E$20="YES",IF(A218&lt;Calculator!$G$20,0,MIN(MIN(MOD(A218/Calculator!$F$20,1),1-MOD(A218/Calculator!$F$20,1)),ABS(MOD(A218/Calculator!$F$20,1)-0.5))),1)</f>
        <v>0.17540350877193</v>
      </c>
      <c r="L218" s="138" t="n">
        <f aca="false">IF(Calculator!$E$21="YES",IF(A218&lt;Calculator!$G$21,0,MIN(MIN(MOD(A218/Calculator!$F$21,1),1-MOD(A218/Calculator!$F$21,1)),ABS(MOD(A218/Calculator!$F$21,1)-0.5))),1)</f>
        <v>0.0971929824561411</v>
      </c>
      <c r="M218" s="138" t="n">
        <f aca="false">MIN(B218:L218)</f>
        <v>0</v>
      </c>
      <c r="N218" s="138" t="n">
        <f aca="false">SUMPRODUCT(($M$5:$M$555&gt;M218)*1)+SUMPRODUCT(($M$5:$M$555=M218)*(ROW($M$5:$M$555)&lt;ROW(M218)))+1</f>
        <v>439</v>
      </c>
      <c r="O218" s="138" t="str">
        <f aca="false">IF(M218&gt;=0.2,"★★★ EXCELLENT",IF(M218&gt;=0.12,"★★  GOOD",IF(M218&gt;=0.07,"★  FAIR",IF(M218&gt;=0.025,"⚠  MARGINAL","✗  AVOID"))))</f>
        <v>✗  AVOID</v>
      </c>
    </row>
    <row r="219" customFormat="false" ht="15" hidden="false" customHeight="false" outlineLevel="0" collapsed="false">
      <c r="A219" s="135" t="n">
        <v>26.4</v>
      </c>
      <c r="B219" s="136" t="n">
        <f aca="false">IF(Calculator!$E$11="YES",IF(A219&lt;Calculator!$G$11,0,MIN(MIN(MOD(A219/Calculator!$F$11,1),1-MOD(A219/Calculator!$F$11,1)),ABS(MOD(A219/Calculator!$F$11,1)-0.5))),1)</f>
        <v>0</v>
      </c>
      <c r="C219" s="136" t="n">
        <f aca="false">IF(Calculator!$E$12="YES",IF(A219&lt;Calculator!$G$12,0,MIN(MIN(MOD(A219/Calculator!$F$12,1),1-MOD(A219/Calculator!$F$12,1)),ABS(MOD(A219/Calculator!$F$12,1)-0.5))),1)</f>
        <v>0.176210526315789</v>
      </c>
      <c r="D219" s="136" t="n">
        <f aca="false">IF(Calculator!$E$13="YES",IF(A219&lt;Calculator!$G$13,0,MIN(MIN(MOD(A219/Calculator!$F$13,1),1-MOD(A219/Calculator!$F$13,1)),ABS(MOD(A219/Calculator!$F$13,1)-0.5))),1)</f>
        <v>0.00717473684210535</v>
      </c>
      <c r="E219" s="136" t="n">
        <f aca="false">IF(Calculator!$E$14="YES",IF(A219&lt;Calculator!$G$14,0,MIN(MIN(MOD(A219/Calculator!$F$14,1),1-MOD(A219/Calculator!$F$14,1)),ABS(MOD(A219/Calculator!$F$14,1)-0.5))),1)</f>
        <v>0.175368421052632</v>
      </c>
      <c r="F219" s="136" t="n">
        <f aca="false">IF(Calculator!$E$15="YES",IF(A219&lt;Calculator!$G$15,0,MIN(MIN(MOD(A219/Calculator!$F$15,1),1-MOD(A219/Calculator!$F$15,1)),ABS(MOD(A219/Calculator!$F$15,1)-0.5))),1)</f>
        <v>0.12421052631579</v>
      </c>
      <c r="G219" s="136" t="n">
        <f aca="false">IF(Calculator!$E$16="YES",IF(A219&lt;Calculator!$G$16,0,MIN(MIN(MOD(A219/Calculator!$F$16,1),1-MOD(A219/Calculator!$F$16,1)),ABS(MOD(A219/Calculator!$F$16,1)-0.5))),1)</f>
        <v>0.126105263157895</v>
      </c>
      <c r="H219" s="136" t="n">
        <f aca="false">IF(Calculator!$E$17="YES",IF(A219&lt;Calculator!$G$17,0,MIN(MIN(MOD(A219/Calculator!$F$17,1),1-MOD(A219/Calculator!$F$17,1)),ABS(MOD(A219/Calculator!$F$17,1)-0.5))),1)</f>
        <v>0.143402105263158</v>
      </c>
      <c r="I219" s="136" t="n">
        <f aca="false">IF(Calculator!$E$18="YES",IF(A219&lt;Calculator!$G$18,0,MIN(MIN(MOD(A219/Calculator!$F$18,1),1-MOD(A219/Calculator!$F$18,1)),ABS(MOD(A219/Calculator!$F$18,1)-0.5))),1)</f>
        <v>0.0677894736842104</v>
      </c>
      <c r="J219" s="136" t="n">
        <f aca="false">IF(Calculator!$E$19="YES",IF(A219&lt;Calculator!$G$19,0,MIN(MIN(MOD(A219/Calculator!$F$19,1),1-MOD(A219/Calculator!$F$19,1)),ABS(MOD(A219/Calculator!$F$19,1)-0.5))),1)</f>
        <v>0.120463157894736</v>
      </c>
      <c r="K219" s="136" t="n">
        <f aca="false">IF(Calculator!$E$20="YES",IF(A219&lt;Calculator!$G$20,0,MIN(MIN(MOD(A219/Calculator!$F$20,1),1-MOD(A219/Calculator!$F$20,1)),ABS(MOD(A219/Calculator!$F$20,1)-0.5))),1)</f>
        <v>0.155157894736843</v>
      </c>
      <c r="L219" s="136" t="n">
        <f aca="false">IF(Calculator!$E$21="YES",IF(A219&lt;Calculator!$G$21,0,MIN(MIN(MOD(A219/Calculator!$F$21,1),1-MOD(A219/Calculator!$F$21,1)),ABS(MOD(A219/Calculator!$F$21,1)-0.5))),1)</f>
        <v>0.133684210526315</v>
      </c>
      <c r="M219" s="136" t="n">
        <f aca="false">MIN(B219:L219)</f>
        <v>0</v>
      </c>
      <c r="N219" s="136" t="n">
        <f aca="false">SUMPRODUCT(($M$5:$M$555&gt;M219)*1)+SUMPRODUCT(($M$5:$M$555=M219)*(ROW($M$5:$M$555)&lt;ROW(M219)))+1</f>
        <v>440</v>
      </c>
      <c r="O219" s="136" t="str">
        <f aca="false">IF(M219&gt;=0.2,"★★★ EXCELLENT",IF(M219&gt;=0.12,"★★  GOOD",IF(M219&gt;=0.07,"★  FAIR",IF(M219&gt;=0.025,"⚠  MARGINAL","✗  AVOID"))))</f>
        <v>✗  AVOID</v>
      </c>
    </row>
    <row r="220" customFormat="false" ht="15" hidden="false" customHeight="false" outlineLevel="0" collapsed="false">
      <c r="A220" s="137" t="n">
        <v>26.5</v>
      </c>
      <c r="B220" s="138" t="n">
        <f aca="false">IF(Calculator!$E$11="YES",IF(A220&lt;Calculator!$G$11,0,MIN(MIN(MOD(A220/Calculator!$F$11,1),1-MOD(A220/Calculator!$F$11,1)),ABS(MOD(A220/Calculator!$F$11,1)-0.5))),1)</f>
        <v>0</v>
      </c>
      <c r="C220" s="138" t="n">
        <f aca="false">IF(Calculator!$E$12="YES",IF(A220&lt;Calculator!$G$12,0,MIN(MIN(MOD(A220/Calculator!$F$12,1),1-MOD(A220/Calculator!$F$12,1)),ABS(MOD(A220/Calculator!$F$12,1)-0.5))),1)</f>
        <v>0.178771929824561</v>
      </c>
      <c r="D220" s="138" t="n">
        <f aca="false">IF(Calculator!$E$13="YES",IF(A220&lt;Calculator!$G$13,0,MIN(MIN(MOD(A220/Calculator!$F$13,1),1-MOD(A220/Calculator!$F$13,1)),ABS(MOD(A220/Calculator!$F$13,1)-0.5))),1)</f>
        <v>0.00341403508771931</v>
      </c>
      <c r="E220" s="138" t="n">
        <f aca="false">IF(Calculator!$E$14="YES",IF(A220&lt;Calculator!$G$14,0,MIN(MIN(MOD(A220/Calculator!$F$14,1),1-MOD(A220/Calculator!$F$14,1)),ABS(MOD(A220/Calculator!$F$14,1)-0.5))),1)</f>
        <v>0.170350877192982</v>
      </c>
      <c r="F220" s="138" t="n">
        <f aca="false">IF(Calculator!$E$15="YES",IF(A220&lt;Calculator!$G$15,0,MIN(MIN(MOD(A220/Calculator!$F$15,1),1-MOD(A220/Calculator!$F$15,1)),ABS(MOD(A220/Calculator!$F$15,1)-0.5))),1)</f>
        <v>0.117105263157895</v>
      </c>
      <c r="G220" s="138" t="n">
        <f aca="false">IF(Calculator!$E$16="YES",IF(A220&lt;Calculator!$G$16,0,MIN(MIN(MOD(A220/Calculator!$F$16,1),1-MOD(A220/Calculator!$F$16,1)),ABS(MOD(A220/Calculator!$F$16,1)-0.5))),1)</f>
        <v>0.136052631578948</v>
      </c>
      <c r="H220" s="138" t="n">
        <f aca="false">IF(Calculator!$E$17="YES",IF(A220&lt;Calculator!$G$17,0,MIN(MIN(MOD(A220/Calculator!$F$17,1),1-MOD(A220/Calculator!$F$17,1)),ABS(MOD(A220/Calculator!$F$17,1)-0.5))),1)</f>
        <v>0.130687719298245</v>
      </c>
      <c r="I220" s="138" t="n">
        <f aca="false">IF(Calculator!$E$18="YES",IF(A220&lt;Calculator!$G$18,0,MIN(MIN(MOD(A220/Calculator!$F$18,1),1-MOD(A220/Calculator!$F$18,1)),ABS(MOD(A220/Calculator!$F$18,1)-0.5))),1)</f>
        <v>0.0528947368421053</v>
      </c>
      <c r="J220" s="138" t="n">
        <f aca="false">IF(Calculator!$E$19="YES",IF(A220&lt;Calculator!$G$19,0,MIN(MIN(MOD(A220/Calculator!$F$19,1),1-MOD(A220/Calculator!$F$19,1)),ABS(MOD(A220/Calculator!$F$19,1)-0.5))),1)</f>
        <v>0.137964912280701</v>
      </c>
      <c r="K220" s="138" t="n">
        <f aca="false">IF(Calculator!$E$20="YES",IF(A220&lt;Calculator!$G$20,0,MIN(MIN(MOD(A220/Calculator!$F$20,1),1-MOD(A220/Calculator!$F$20,1)),ABS(MOD(A220/Calculator!$F$20,1)-0.5))),1)</f>
        <v>0.134912280701754</v>
      </c>
      <c r="L220" s="138" t="n">
        <f aca="false">IF(Calculator!$E$21="YES",IF(A220&lt;Calculator!$G$21,0,MIN(MIN(MOD(A220/Calculator!$F$21,1),1-MOD(A220/Calculator!$F$21,1)),ABS(MOD(A220/Calculator!$F$21,1)-0.5))),1)</f>
        <v>0.170175438596491</v>
      </c>
      <c r="M220" s="138" t="n">
        <f aca="false">MIN(B220:L220)</f>
        <v>0</v>
      </c>
      <c r="N220" s="138" t="n">
        <f aca="false">SUMPRODUCT(($M$5:$M$555&gt;M220)*1)+SUMPRODUCT(($M$5:$M$555=M220)*(ROW($M$5:$M$555)&lt;ROW(M220)))+1</f>
        <v>441</v>
      </c>
      <c r="O220" s="138" t="str">
        <f aca="false">IF(M220&gt;=0.2,"★★★ EXCELLENT",IF(M220&gt;=0.12,"★★  GOOD",IF(M220&gt;=0.07,"★  FAIR",IF(M220&gt;=0.025,"⚠  MARGINAL","✗  AVOID"))))</f>
        <v>✗  AVOID</v>
      </c>
    </row>
    <row r="221" customFormat="false" ht="15" hidden="false" customHeight="false" outlineLevel="0" collapsed="false">
      <c r="A221" s="135" t="n">
        <v>26.6</v>
      </c>
      <c r="B221" s="136" t="n">
        <f aca="false">IF(Calculator!$E$11="YES",IF(A221&lt;Calculator!$G$11,0,MIN(MIN(MOD(A221/Calculator!$F$11,1),1-MOD(A221/Calculator!$F$11,1)),ABS(MOD(A221/Calculator!$F$11,1)-0.5))),1)</f>
        <v>0</v>
      </c>
      <c r="C221" s="136" t="n">
        <f aca="false">IF(Calculator!$E$12="YES",IF(A221&lt;Calculator!$G$12,0,MIN(MIN(MOD(A221/Calculator!$F$12,1),1-MOD(A221/Calculator!$F$12,1)),ABS(MOD(A221/Calculator!$F$12,1)-0.5))),1)</f>
        <v>0.181333333333333</v>
      </c>
      <c r="D221" s="136" t="n">
        <f aca="false">IF(Calculator!$E$13="YES",IF(A221&lt;Calculator!$G$13,0,MIN(MIN(MOD(A221/Calculator!$F$13,1),1-MOD(A221/Calculator!$F$13,1)),ABS(MOD(A221/Calculator!$F$13,1)-0.5))),1)</f>
        <v>0.000346666666666717</v>
      </c>
      <c r="E221" s="136" t="n">
        <f aca="false">IF(Calculator!$E$14="YES",IF(A221&lt;Calculator!$G$14,0,MIN(MIN(MOD(A221/Calculator!$F$14,1),1-MOD(A221/Calculator!$F$14,1)),ABS(MOD(A221/Calculator!$F$14,1)-0.5))),1)</f>
        <v>0.165333333333333</v>
      </c>
      <c r="F221" s="136" t="n">
        <f aca="false">IF(Calculator!$E$15="YES",IF(A221&lt;Calculator!$G$15,0,MIN(MIN(MOD(A221/Calculator!$F$15,1),1-MOD(A221/Calculator!$F$15,1)),ABS(MOD(A221/Calculator!$F$15,1)-0.5))),1)</f>
        <v>0.11</v>
      </c>
      <c r="G221" s="136" t="n">
        <f aca="false">IF(Calculator!$E$16="YES",IF(A221&lt;Calculator!$G$16,0,MIN(MIN(MOD(A221/Calculator!$F$16,1),1-MOD(A221/Calculator!$F$16,1)),ABS(MOD(A221/Calculator!$F$16,1)-0.5))),1)</f>
        <v>0.146</v>
      </c>
      <c r="H221" s="136" t="n">
        <f aca="false">IF(Calculator!$E$17="YES",IF(A221&lt;Calculator!$G$17,0,MIN(MIN(MOD(A221/Calculator!$F$17,1),1-MOD(A221/Calculator!$F$17,1)),ABS(MOD(A221/Calculator!$F$17,1)-0.5))),1)</f>
        <v>0.117973333333333</v>
      </c>
      <c r="I221" s="136" t="n">
        <f aca="false">IF(Calculator!$E$18="YES",IF(A221&lt;Calculator!$G$18,0,MIN(MIN(MOD(A221/Calculator!$F$18,1),1-MOD(A221/Calculator!$F$18,1)),ABS(MOD(A221/Calculator!$F$18,1)-0.5))),1)</f>
        <v>0.0379999999999998</v>
      </c>
      <c r="J221" s="136" t="n">
        <f aca="false">IF(Calculator!$E$19="YES",IF(A221&lt;Calculator!$G$19,0,MIN(MIN(MOD(A221/Calculator!$F$19,1),1-MOD(A221/Calculator!$F$19,1)),ABS(MOD(A221/Calculator!$F$19,1)-0.5))),1)</f>
        <v>0.155466666666666</v>
      </c>
      <c r="K221" s="136" t="n">
        <f aca="false">IF(Calculator!$E$20="YES",IF(A221&lt;Calculator!$G$20,0,MIN(MIN(MOD(A221/Calculator!$F$20,1),1-MOD(A221/Calculator!$F$20,1)),ABS(MOD(A221/Calculator!$F$20,1)-0.5))),1)</f>
        <v>0.114666666666666</v>
      </c>
      <c r="L221" s="136" t="n">
        <f aca="false">IF(Calculator!$E$21="YES",IF(A221&lt;Calculator!$G$21,0,MIN(MIN(MOD(A221/Calculator!$F$21,1),1-MOD(A221/Calculator!$F$21,1)),ABS(MOD(A221/Calculator!$F$21,1)-0.5))),1)</f>
        <v>0.206666666666667</v>
      </c>
      <c r="M221" s="136" t="n">
        <f aca="false">MIN(B221:L221)</f>
        <v>0</v>
      </c>
      <c r="N221" s="136" t="n">
        <f aca="false">SUMPRODUCT(($M$5:$M$555&gt;M221)*1)+SUMPRODUCT(($M$5:$M$555=M221)*(ROW($M$5:$M$555)&lt;ROW(M221)))+1</f>
        <v>442</v>
      </c>
      <c r="O221" s="136" t="str">
        <f aca="false">IF(M221&gt;=0.2,"★★★ EXCELLENT",IF(M221&gt;=0.12,"★★  GOOD",IF(M221&gt;=0.07,"★  FAIR",IF(M221&gt;=0.025,"⚠  MARGINAL","✗  AVOID"))))</f>
        <v>✗  AVOID</v>
      </c>
    </row>
    <row r="222" customFormat="false" ht="15" hidden="false" customHeight="false" outlineLevel="0" collapsed="false">
      <c r="A222" s="137" t="n">
        <v>26.7</v>
      </c>
      <c r="B222" s="138" t="n">
        <f aca="false">IF(Calculator!$E$11="YES",IF(A222&lt;Calculator!$G$11,0,MIN(MIN(MOD(A222/Calculator!$F$11,1),1-MOD(A222/Calculator!$F$11,1)),ABS(MOD(A222/Calculator!$F$11,1)-0.5))),1)</f>
        <v>0</v>
      </c>
      <c r="C222" s="138" t="n">
        <f aca="false">IF(Calculator!$E$12="YES",IF(A222&lt;Calculator!$G$12,0,MIN(MIN(MOD(A222/Calculator!$F$12,1),1-MOD(A222/Calculator!$F$12,1)),ABS(MOD(A222/Calculator!$F$12,1)-0.5))),1)</f>
        <v>0.183894736842105</v>
      </c>
      <c r="D222" s="138" t="n">
        <f aca="false">IF(Calculator!$E$13="YES",IF(A222&lt;Calculator!$G$13,0,MIN(MIN(MOD(A222/Calculator!$F$13,1),1-MOD(A222/Calculator!$F$13,1)),ABS(MOD(A222/Calculator!$F$13,1)-0.5))),1)</f>
        <v>0.00410736842105264</v>
      </c>
      <c r="E222" s="138" t="n">
        <f aca="false">IF(Calculator!$E$14="YES",IF(A222&lt;Calculator!$G$14,0,MIN(MIN(MOD(A222/Calculator!$F$14,1),1-MOD(A222/Calculator!$F$14,1)),ABS(MOD(A222/Calculator!$F$14,1)-0.5))),1)</f>
        <v>0.160315789473684</v>
      </c>
      <c r="F222" s="138" t="n">
        <f aca="false">IF(Calculator!$E$15="YES",IF(A222&lt;Calculator!$G$15,0,MIN(MIN(MOD(A222/Calculator!$F$15,1),1-MOD(A222/Calculator!$F$15,1)),ABS(MOD(A222/Calculator!$F$15,1)-0.5))),1)</f>
        <v>0.102894736842105</v>
      </c>
      <c r="G222" s="138" t="n">
        <f aca="false">IF(Calculator!$E$16="YES",IF(A222&lt;Calculator!$G$16,0,MIN(MIN(MOD(A222/Calculator!$F$16,1),1-MOD(A222/Calculator!$F$16,1)),ABS(MOD(A222/Calculator!$F$16,1)-0.5))),1)</f>
        <v>0.155947368421053</v>
      </c>
      <c r="H222" s="138" t="n">
        <f aca="false">IF(Calculator!$E$17="YES",IF(A222&lt;Calculator!$G$17,0,MIN(MIN(MOD(A222/Calculator!$F$17,1),1-MOD(A222/Calculator!$F$17,1)),ABS(MOD(A222/Calculator!$F$17,1)-0.5))),1)</f>
        <v>0.105258947368421</v>
      </c>
      <c r="I222" s="138" t="n">
        <f aca="false">IF(Calculator!$E$18="YES",IF(A222&lt;Calculator!$G$18,0,MIN(MIN(MOD(A222/Calculator!$F$18,1),1-MOD(A222/Calculator!$F$18,1)),ABS(MOD(A222/Calculator!$F$18,1)-0.5))),1)</f>
        <v>0.0231052631578947</v>
      </c>
      <c r="J222" s="138" t="n">
        <f aca="false">IF(Calculator!$E$19="YES",IF(A222&lt;Calculator!$G$19,0,MIN(MIN(MOD(A222/Calculator!$F$19,1),1-MOD(A222/Calculator!$F$19,1)),ABS(MOD(A222/Calculator!$F$19,1)-0.5))),1)</f>
        <v>0.172968421052631</v>
      </c>
      <c r="K222" s="138" t="n">
        <f aca="false">IF(Calculator!$E$20="YES",IF(A222&lt;Calculator!$G$20,0,MIN(MIN(MOD(A222/Calculator!$F$20,1),1-MOD(A222/Calculator!$F$20,1)),ABS(MOD(A222/Calculator!$F$20,1)-0.5))),1)</f>
        <v>0.0944210526315787</v>
      </c>
      <c r="L222" s="138" t="n">
        <f aca="false">IF(Calculator!$E$21="YES",IF(A222&lt;Calculator!$G$21,0,MIN(MIN(MOD(A222/Calculator!$F$21,1),1-MOD(A222/Calculator!$F$21,1)),ABS(MOD(A222/Calculator!$F$21,1)-0.5))),1)</f>
        <v>0.243157894736841</v>
      </c>
      <c r="M222" s="138" t="n">
        <f aca="false">MIN(B222:L222)</f>
        <v>0</v>
      </c>
      <c r="N222" s="138" t="n">
        <f aca="false">SUMPRODUCT(($M$5:$M$555&gt;M222)*1)+SUMPRODUCT(($M$5:$M$555=M222)*(ROW($M$5:$M$555)&lt;ROW(M222)))+1</f>
        <v>443</v>
      </c>
      <c r="O222" s="138" t="str">
        <f aca="false">IF(M222&gt;=0.2,"★★★ EXCELLENT",IF(M222&gt;=0.12,"★★  GOOD",IF(M222&gt;=0.07,"★  FAIR",IF(M222&gt;=0.025,"⚠  MARGINAL","✗  AVOID"))))</f>
        <v>✗  AVOID</v>
      </c>
    </row>
    <row r="223" customFormat="false" ht="15" hidden="false" customHeight="false" outlineLevel="0" collapsed="false">
      <c r="A223" s="135" t="n">
        <v>26.8</v>
      </c>
      <c r="B223" s="136" t="n">
        <f aca="false">IF(Calculator!$E$11="YES",IF(A223&lt;Calculator!$G$11,0,MIN(MIN(MOD(A223/Calculator!$F$11,1),1-MOD(A223/Calculator!$F$11,1)),ABS(MOD(A223/Calculator!$F$11,1)-0.5))),1)</f>
        <v>0</v>
      </c>
      <c r="C223" s="136" t="n">
        <f aca="false">IF(Calculator!$E$12="YES",IF(A223&lt;Calculator!$G$12,0,MIN(MIN(MOD(A223/Calculator!$F$12,1),1-MOD(A223/Calculator!$F$12,1)),ABS(MOD(A223/Calculator!$F$12,1)-0.5))),1)</f>
        <v>0.186456140350877</v>
      </c>
      <c r="D223" s="136" t="n">
        <f aca="false">IF(Calculator!$E$13="YES",IF(A223&lt;Calculator!$G$13,0,MIN(MIN(MOD(A223/Calculator!$F$13,1),1-MOD(A223/Calculator!$F$13,1)),ABS(MOD(A223/Calculator!$F$13,1)-0.5))),1)</f>
        <v>0.00786807017543856</v>
      </c>
      <c r="E223" s="136" t="n">
        <f aca="false">IF(Calculator!$E$14="YES",IF(A223&lt;Calculator!$G$14,0,MIN(MIN(MOD(A223/Calculator!$F$14,1),1-MOD(A223/Calculator!$F$14,1)),ABS(MOD(A223/Calculator!$F$14,1)-0.5))),1)</f>
        <v>0.155298245614035</v>
      </c>
      <c r="F223" s="136" t="n">
        <f aca="false">IF(Calculator!$E$15="YES",IF(A223&lt;Calculator!$G$15,0,MIN(MIN(MOD(A223/Calculator!$F$15,1),1-MOD(A223/Calculator!$F$15,1)),ABS(MOD(A223/Calculator!$F$15,1)-0.5))),1)</f>
        <v>0.0957894736842104</v>
      </c>
      <c r="G223" s="136" t="n">
        <f aca="false">IF(Calculator!$E$16="YES",IF(A223&lt;Calculator!$G$16,0,MIN(MIN(MOD(A223/Calculator!$F$16,1),1-MOD(A223/Calculator!$F$16,1)),ABS(MOD(A223/Calculator!$F$16,1)-0.5))),1)</f>
        <v>0.165894736842106</v>
      </c>
      <c r="H223" s="136" t="n">
        <f aca="false">IF(Calculator!$E$17="YES",IF(A223&lt;Calculator!$G$17,0,MIN(MIN(MOD(A223/Calculator!$F$17,1),1-MOD(A223/Calculator!$F$17,1)),ABS(MOD(A223/Calculator!$F$17,1)-0.5))),1)</f>
        <v>0.0925445614035083</v>
      </c>
      <c r="I223" s="136" t="n">
        <f aca="false">IF(Calculator!$E$18="YES",IF(A223&lt;Calculator!$G$18,0,MIN(MIN(MOD(A223/Calculator!$F$18,1),1-MOD(A223/Calculator!$F$18,1)),ABS(MOD(A223/Calculator!$F$18,1)-0.5))),1)</f>
        <v>0.00821052631578922</v>
      </c>
      <c r="J223" s="136" t="n">
        <f aca="false">IF(Calculator!$E$19="YES",IF(A223&lt;Calculator!$G$19,0,MIN(MIN(MOD(A223/Calculator!$F$19,1),1-MOD(A223/Calculator!$F$19,1)),ABS(MOD(A223/Calculator!$F$19,1)-0.5))),1)</f>
        <v>0.190470175438596</v>
      </c>
      <c r="K223" s="136" t="n">
        <f aca="false">IF(Calculator!$E$20="YES",IF(A223&lt;Calculator!$G$20,0,MIN(MIN(MOD(A223/Calculator!$F$20,1),1-MOD(A223/Calculator!$F$20,1)),ABS(MOD(A223/Calculator!$F$20,1)-0.5))),1)</f>
        <v>0.074175438596491</v>
      </c>
      <c r="L223" s="136" t="n">
        <f aca="false">IF(Calculator!$E$21="YES",IF(A223&lt;Calculator!$G$21,0,MIN(MIN(MOD(A223/Calculator!$F$21,1),1-MOD(A223/Calculator!$F$21,1)),ABS(MOD(A223/Calculator!$F$21,1)-0.5))),1)</f>
        <v>0.220350877192983</v>
      </c>
      <c r="M223" s="136" t="n">
        <f aca="false">MIN(B223:L223)</f>
        <v>0</v>
      </c>
      <c r="N223" s="136" t="n">
        <f aca="false">SUMPRODUCT(($M$5:$M$555&gt;M223)*1)+SUMPRODUCT(($M$5:$M$555=M223)*(ROW($M$5:$M$555)&lt;ROW(M223)))+1</f>
        <v>444</v>
      </c>
      <c r="O223" s="136" t="str">
        <f aca="false">IF(M223&gt;=0.2,"★★★ EXCELLENT",IF(M223&gt;=0.12,"★★  GOOD",IF(M223&gt;=0.07,"★  FAIR",IF(M223&gt;=0.025,"⚠  MARGINAL","✗  AVOID"))))</f>
        <v>✗  AVOID</v>
      </c>
    </row>
    <row r="224" customFormat="false" ht="15" hidden="false" customHeight="false" outlineLevel="0" collapsed="false">
      <c r="A224" s="137" t="n">
        <v>26.9</v>
      </c>
      <c r="B224" s="138" t="n">
        <f aca="false">IF(Calculator!$E$11="YES",IF(A224&lt;Calculator!$G$11,0,MIN(MIN(MOD(A224/Calculator!$F$11,1),1-MOD(A224/Calculator!$F$11,1)),ABS(MOD(A224/Calculator!$F$11,1)-0.5))),1)</f>
        <v>0</v>
      </c>
      <c r="C224" s="138" t="n">
        <f aca="false">IF(Calculator!$E$12="YES",IF(A224&lt;Calculator!$G$12,0,MIN(MIN(MOD(A224/Calculator!$F$12,1),1-MOD(A224/Calculator!$F$12,1)),ABS(MOD(A224/Calculator!$F$12,1)-0.5))),1)</f>
        <v>0.189017543859649</v>
      </c>
      <c r="D224" s="138" t="n">
        <f aca="false">IF(Calculator!$E$13="YES",IF(A224&lt;Calculator!$G$13,0,MIN(MIN(MOD(A224/Calculator!$F$13,1),1-MOD(A224/Calculator!$F$13,1)),ABS(MOD(A224/Calculator!$F$13,1)-0.5))),1)</f>
        <v>0.0116287719298245</v>
      </c>
      <c r="E224" s="138" t="n">
        <f aca="false">IF(Calculator!$E$14="YES",IF(A224&lt;Calculator!$G$14,0,MIN(MIN(MOD(A224/Calculator!$F$14,1),1-MOD(A224/Calculator!$F$14,1)),ABS(MOD(A224/Calculator!$F$14,1)-0.5))),1)</f>
        <v>0.150280701754386</v>
      </c>
      <c r="F224" s="138" t="n">
        <f aca="false">IF(Calculator!$E$15="YES",IF(A224&lt;Calculator!$G$15,0,MIN(MIN(MOD(A224/Calculator!$F$15,1),1-MOD(A224/Calculator!$F$15,1)),ABS(MOD(A224/Calculator!$F$15,1)-0.5))),1)</f>
        <v>0.0886842105263159</v>
      </c>
      <c r="G224" s="138" t="n">
        <f aca="false">IF(Calculator!$E$16="YES",IF(A224&lt;Calculator!$G$16,0,MIN(MIN(MOD(A224/Calculator!$F$16,1),1-MOD(A224/Calculator!$F$16,1)),ABS(MOD(A224/Calculator!$F$16,1)-0.5))),1)</f>
        <v>0.175842105263158</v>
      </c>
      <c r="H224" s="138" t="n">
        <f aca="false">IF(Calculator!$E$17="YES",IF(A224&lt;Calculator!$G$17,0,MIN(MIN(MOD(A224/Calculator!$F$17,1),1-MOD(A224/Calculator!$F$17,1)),ABS(MOD(A224/Calculator!$F$17,1)-0.5))),1)</f>
        <v>0.0798301754385964</v>
      </c>
      <c r="I224" s="138" t="n">
        <f aca="false">IF(Calculator!$E$18="YES",IF(A224&lt;Calculator!$G$18,0,MIN(MIN(MOD(A224/Calculator!$F$18,1),1-MOD(A224/Calculator!$F$18,1)),ABS(MOD(A224/Calculator!$F$18,1)-0.5))),1)</f>
        <v>0.0066842105263154</v>
      </c>
      <c r="J224" s="138" t="n">
        <f aca="false">IF(Calculator!$E$19="YES",IF(A224&lt;Calculator!$G$19,0,MIN(MIN(MOD(A224/Calculator!$F$19,1),1-MOD(A224/Calculator!$F$19,1)),ABS(MOD(A224/Calculator!$F$19,1)-0.5))),1)</f>
        <v>0.20797192982456</v>
      </c>
      <c r="K224" s="138" t="n">
        <f aca="false">IF(Calculator!$E$20="YES",IF(A224&lt;Calculator!$G$20,0,MIN(MIN(MOD(A224/Calculator!$F$20,1),1-MOD(A224/Calculator!$F$20,1)),ABS(MOD(A224/Calculator!$F$20,1)-0.5))),1)</f>
        <v>0.0539298245614042</v>
      </c>
      <c r="L224" s="138" t="n">
        <f aca="false">IF(Calculator!$E$21="YES",IF(A224&lt;Calculator!$G$21,0,MIN(MIN(MOD(A224/Calculator!$F$21,1),1-MOD(A224/Calculator!$F$21,1)),ABS(MOD(A224/Calculator!$F$21,1)-0.5))),1)</f>
        <v>0.183859649122807</v>
      </c>
      <c r="M224" s="138" t="n">
        <f aca="false">MIN(B224:L224)</f>
        <v>0</v>
      </c>
      <c r="N224" s="138" t="n">
        <f aca="false">SUMPRODUCT(($M$5:$M$555&gt;M224)*1)+SUMPRODUCT(($M$5:$M$555=M224)*(ROW($M$5:$M$555)&lt;ROW(M224)))+1</f>
        <v>445</v>
      </c>
      <c r="O224" s="138" t="str">
        <f aca="false">IF(M224&gt;=0.2,"★★★ EXCELLENT",IF(M224&gt;=0.12,"★★  GOOD",IF(M224&gt;=0.07,"★  FAIR",IF(M224&gt;=0.025,"⚠  MARGINAL","✗  AVOID"))))</f>
        <v>✗  AVOID</v>
      </c>
    </row>
    <row r="225" customFormat="false" ht="15" hidden="false" customHeight="false" outlineLevel="0" collapsed="false">
      <c r="A225" s="135" t="n">
        <v>27</v>
      </c>
      <c r="B225" s="136" t="n">
        <f aca="false">IF(Calculator!$E$11="YES",IF(A225&lt;Calculator!$G$11,0,MIN(MIN(MOD(A225/Calculator!$F$11,1),1-MOD(A225/Calculator!$F$11,1)),ABS(MOD(A225/Calculator!$F$11,1)-0.5))),1)</f>
        <v>0</v>
      </c>
      <c r="C225" s="136" t="n">
        <f aca="false">IF(Calculator!$E$12="YES",IF(A225&lt;Calculator!$G$12,0,MIN(MIN(MOD(A225/Calculator!$F$12,1),1-MOD(A225/Calculator!$F$12,1)),ABS(MOD(A225/Calculator!$F$12,1)-0.5))),1)</f>
        <v>0.191578947368421</v>
      </c>
      <c r="D225" s="136" t="n">
        <f aca="false">IF(Calculator!$E$13="YES",IF(A225&lt;Calculator!$G$13,0,MIN(MIN(MOD(A225/Calculator!$F$13,1),1-MOD(A225/Calculator!$F$13,1)),ABS(MOD(A225/Calculator!$F$13,1)-0.5))),1)</f>
        <v>0.0153894736842104</v>
      </c>
      <c r="E225" s="136" t="n">
        <f aca="false">IF(Calculator!$E$14="YES",IF(A225&lt;Calculator!$G$14,0,MIN(MIN(MOD(A225/Calculator!$F$14,1),1-MOD(A225/Calculator!$F$14,1)),ABS(MOD(A225/Calculator!$F$14,1)-0.5))),1)</f>
        <v>0.145263157894737</v>
      </c>
      <c r="F225" s="136" t="n">
        <f aca="false">IF(Calculator!$E$15="YES",IF(A225&lt;Calculator!$G$15,0,MIN(MIN(MOD(A225/Calculator!$F$15,1),1-MOD(A225/Calculator!$F$15,1)),ABS(MOD(A225/Calculator!$F$15,1)-0.5))),1)</f>
        <v>0.0815789473684212</v>
      </c>
      <c r="G225" s="136" t="n">
        <f aca="false">IF(Calculator!$E$16="YES",IF(A225&lt;Calculator!$G$16,0,MIN(MIN(MOD(A225/Calculator!$F$16,1),1-MOD(A225/Calculator!$F$16,1)),ABS(MOD(A225/Calculator!$F$16,1)-0.5))),1)</f>
        <v>0.185789473684211</v>
      </c>
      <c r="H225" s="136" t="n">
        <f aca="false">IF(Calculator!$E$17="YES",IF(A225&lt;Calculator!$G$17,0,MIN(MIN(MOD(A225/Calculator!$F$17,1),1-MOD(A225/Calculator!$F$17,1)),ABS(MOD(A225/Calculator!$F$17,1)-0.5))),1)</f>
        <v>0.067115789473684</v>
      </c>
      <c r="I225" s="136" t="n">
        <f aca="false">IF(Calculator!$E$18="YES",IF(A225&lt;Calculator!$G$18,0,MIN(MIN(MOD(A225/Calculator!$F$18,1),1-MOD(A225/Calculator!$F$18,1)),ABS(MOD(A225/Calculator!$F$18,1)-0.5))),1)</f>
        <v>0.0215789473684209</v>
      </c>
      <c r="J225" s="136" t="n">
        <f aca="false">IF(Calculator!$E$19="YES",IF(A225&lt;Calculator!$G$19,0,MIN(MIN(MOD(A225/Calculator!$F$19,1),1-MOD(A225/Calculator!$F$19,1)),ABS(MOD(A225/Calculator!$F$19,1)-0.5))),1)</f>
        <v>0.225473684210526</v>
      </c>
      <c r="K225" s="136" t="n">
        <f aca="false">IF(Calculator!$E$20="YES",IF(A225&lt;Calculator!$G$20,0,MIN(MIN(MOD(A225/Calculator!$F$20,1),1-MOD(A225/Calculator!$F$20,1)),ABS(MOD(A225/Calculator!$F$20,1)-0.5))),1)</f>
        <v>0.0336842105263155</v>
      </c>
      <c r="L225" s="136" t="n">
        <f aca="false">IF(Calculator!$E$21="YES",IF(A225&lt;Calculator!$G$21,0,MIN(MIN(MOD(A225/Calculator!$F$21,1),1-MOD(A225/Calculator!$F$21,1)),ABS(MOD(A225/Calculator!$F$21,1)-0.5))),1)</f>
        <v>0.147368421052631</v>
      </c>
      <c r="M225" s="136" t="n">
        <f aca="false">MIN(B225:L225)</f>
        <v>0</v>
      </c>
      <c r="N225" s="136" t="n">
        <f aca="false">SUMPRODUCT(($M$5:$M$555&gt;M225)*1)+SUMPRODUCT(($M$5:$M$555=M225)*(ROW($M$5:$M$555)&lt;ROW(M225)))+1</f>
        <v>446</v>
      </c>
      <c r="O225" s="136" t="str">
        <f aca="false">IF(M225&gt;=0.2,"★★★ EXCELLENT",IF(M225&gt;=0.12,"★★  GOOD",IF(M225&gt;=0.07,"★  FAIR",IF(M225&gt;=0.025,"⚠  MARGINAL","✗  AVOID"))))</f>
        <v>✗  AVOID</v>
      </c>
    </row>
    <row r="226" customFormat="false" ht="15" hidden="false" customHeight="false" outlineLevel="0" collapsed="false">
      <c r="A226" s="137" t="n">
        <v>27.1</v>
      </c>
      <c r="B226" s="138" t="n">
        <f aca="false">IF(Calculator!$E$11="YES",IF(A226&lt;Calculator!$G$11,0,MIN(MIN(MOD(A226/Calculator!$F$11,1),1-MOD(A226/Calculator!$F$11,1)),ABS(MOD(A226/Calculator!$F$11,1)-0.5))),1)</f>
        <v>0</v>
      </c>
      <c r="C226" s="138" t="n">
        <f aca="false">IF(Calculator!$E$12="YES",IF(A226&lt;Calculator!$G$12,0,MIN(MIN(MOD(A226/Calculator!$F$12,1),1-MOD(A226/Calculator!$F$12,1)),ABS(MOD(A226/Calculator!$F$12,1)-0.5))),1)</f>
        <v>0.194140350877193</v>
      </c>
      <c r="D226" s="138" t="n">
        <f aca="false">IF(Calculator!$E$13="YES",IF(A226&lt;Calculator!$G$13,0,MIN(MIN(MOD(A226/Calculator!$F$13,1),1-MOD(A226/Calculator!$F$13,1)),ABS(MOD(A226/Calculator!$F$13,1)-0.5))),1)</f>
        <v>0.0191501754385965</v>
      </c>
      <c r="E226" s="138" t="n">
        <f aca="false">IF(Calculator!$E$14="YES",IF(A226&lt;Calculator!$G$14,0,MIN(MIN(MOD(A226/Calculator!$F$14,1),1-MOD(A226/Calculator!$F$14,1)),ABS(MOD(A226/Calculator!$F$14,1)-0.5))),1)</f>
        <v>0.140245614035088</v>
      </c>
      <c r="F226" s="138" t="n">
        <f aca="false">IF(Calculator!$E$15="YES",IF(A226&lt;Calculator!$G$15,0,MIN(MIN(MOD(A226/Calculator!$F$15,1),1-MOD(A226/Calculator!$F$15,1)),ABS(MOD(A226/Calculator!$F$15,1)-0.5))),1)</f>
        <v>0.0744736842105263</v>
      </c>
      <c r="G226" s="138" t="n">
        <f aca="false">IF(Calculator!$E$16="YES",IF(A226&lt;Calculator!$G$16,0,MIN(MIN(MOD(A226/Calculator!$F$16,1),1-MOD(A226/Calculator!$F$16,1)),ABS(MOD(A226/Calculator!$F$16,1)-0.5))),1)</f>
        <v>0.195736842105263</v>
      </c>
      <c r="H226" s="138" t="n">
        <f aca="false">IF(Calculator!$E$17="YES",IF(A226&lt;Calculator!$G$17,0,MIN(MIN(MOD(A226/Calculator!$F$17,1),1-MOD(A226/Calculator!$F$17,1)),ABS(MOD(A226/Calculator!$F$17,1)-0.5))),1)</f>
        <v>0.0544014035087712</v>
      </c>
      <c r="I226" s="138" t="n">
        <f aca="false">IF(Calculator!$E$18="YES",IF(A226&lt;Calculator!$G$18,0,MIN(MIN(MOD(A226/Calculator!$F$18,1),1-MOD(A226/Calculator!$F$18,1)),ABS(MOD(A226/Calculator!$F$18,1)-0.5))),1)</f>
        <v>0.0364736842105264</v>
      </c>
      <c r="J226" s="138" t="n">
        <f aca="false">IF(Calculator!$E$19="YES",IF(A226&lt;Calculator!$G$19,0,MIN(MIN(MOD(A226/Calculator!$F$19,1),1-MOD(A226/Calculator!$F$19,1)),ABS(MOD(A226/Calculator!$F$19,1)-0.5))),1)</f>
        <v>0.242975438596491</v>
      </c>
      <c r="K226" s="138" t="n">
        <f aca="false">IF(Calculator!$E$20="YES",IF(A226&lt;Calculator!$G$20,0,MIN(MIN(MOD(A226/Calculator!$F$20,1),1-MOD(A226/Calculator!$F$20,1)),ABS(MOD(A226/Calculator!$F$20,1)-0.5))),1)</f>
        <v>0.0134385964912278</v>
      </c>
      <c r="L226" s="138" t="n">
        <f aca="false">IF(Calculator!$E$21="YES",IF(A226&lt;Calculator!$G$21,0,MIN(MIN(MOD(A226/Calculator!$F$21,1),1-MOD(A226/Calculator!$F$21,1)),ABS(MOD(A226/Calculator!$F$21,1)-0.5))),1)</f>
        <v>0.110877192982455</v>
      </c>
      <c r="M226" s="138" t="n">
        <f aca="false">MIN(B226:L226)</f>
        <v>0</v>
      </c>
      <c r="N226" s="138" t="n">
        <f aca="false">SUMPRODUCT(($M$5:$M$555&gt;M226)*1)+SUMPRODUCT(($M$5:$M$555=M226)*(ROW($M$5:$M$555)&lt;ROW(M226)))+1</f>
        <v>447</v>
      </c>
      <c r="O226" s="138" t="str">
        <f aca="false">IF(M226&gt;=0.2,"★★★ EXCELLENT",IF(M226&gt;=0.12,"★★  GOOD",IF(M226&gt;=0.07,"★  FAIR",IF(M226&gt;=0.025,"⚠  MARGINAL","✗  AVOID"))))</f>
        <v>✗  AVOID</v>
      </c>
    </row>
    <row r="227" customFormat="false" ht="15" hidden="false" customHeight="false" outlineLevel="0" collapsed="false">
      <c r="A227" s="135" t="n">
        <v>27.2</v>
      </c>
      <c r="B227" s="136" t="n">
        <f aca="false">IF(Calculator!$E$11="YES",IF(A227&lt;Calculator!$G$11,0,MIN(MIN(MOD(A227/Calculator!$F$11,1),1-MOD(A227/Calculator!$F$11,1)),ABS(MOD(A227/Calculator!$F$11,1)-0.5))),1)</f>
        <v>0</v>
      </c>
      <c r="C227" s="136" t="n">
        <f aca="false">IF(Calculator!$E$12="YES",IF(A227&lt;Calculator!$G$12,0,MIN(MIN(MOD(A227/Calculator!$F$12,1),1-MOD(A227/Calculator!$F$12,1)),ABS(MOD(A227/Calculator!$F$12,1)-0.5))),1)</f>
        <v>0.196701754385965</v>
      </c>
      <c r="D227" s="136" t="n">
        <f aca="false">IF(Calculator!$E$13="YES",IF(A227&lt;Calculator!$G$13,0,MIN(MIN(MOD(A227/Calculator!$F$13,1),1-MOD(A227/Calculator!$F$13,1)),ABS(MOD(A227/Calculator!$F$13,1)-0.5))),1)</f>
        <v>0.0229108771929825</v>
      </c>
      <c r="E227" s="136" t="n">
        <f aca="false">IF(Calculator!$E$14="YES",IF(A227&lt;Calculator!$G$14,0,MIN(MIN(MOD(A227/Calculator!$F$14,1),1-MOD(A227/Calculator!$F$14,1)),ABS(MOD(A227/Calculator!$F$14,1)-0.5))),1)</f>
        <v>0.135228070175439</v>
      </c>
      <c r="F227" s="136" t="n">
        <f aca="false">IF(Calculator!$E$15="YES",IF(A227&lt;Calculator!$G$15,0,MIN(MIN(MOD(A227/Calculator!$F$15,1),1-MOD(A227/Calculator!$F$15,1)),ABS(MOD(A227/Calculator!$F$15,1)-0.5))),1)</f>
        <v>0.0673684210526317</v>
      </c>
      <c r="G227" s="136" t="n">
        <f aca="false">IF(Calculator!$E$16="YES",IF(A227&lt;Calculator!$G$16,0,MIN(MIN(MOD(A227/Calculator!$F$16,1),1-MOD(A227/Calculator!$F$16,1)),ABS(MOD(A227/Calculator!$F$16,1)-0.5))),1)</f>
        <v>0.205684210526316</v>
      </c>
      <c r="H227" s="136" t="n">
        <f aca="false">IF(Calculator!$E$17="YES",IF(A227&lt;Calculator!$G$17,0,MIN(MIN(MOD(A227/Calculator!$F$17,1),1-MOD(A227/Calculator!$F$17,1)),ABS(MOD(A227/Calculator!$F$17,1)-0.5))),1)</f>
        <v>0.0416870175438593</v>
      </c>
      <c r="I227" s="136" t="n">
        <f aca="false">IF(Calculator!$E$18="YES",IF(A227&lt;Calculator!$G$18,0,MIN(MIN(MOD(A227/Calculator!$F$18,1),1-MOD(A227/Calculator!$F$18,1)),ABS(MOD(A227/Calculator!$F$18,1)-0.5))),1)</f>
        <v>0.051368421052632</v>
      </c>
      <c r="J227" s="136" t="n">
        <f aca="false">IF(Calculator!$E$19="YES",IF(A227&lt;Calculator!$G$19,0,MIN(MIN(MOD(A227/Calculator!$F$19,1),1-MOD(A227/Calculator!$F$19,1)),ABS(MOD(A227/Calculator!$F$19,1)-0.5))),1)</f>
        <v>0.239522807017544</v>
      </c>
      <c r="K227" s="136" t="n">
        <f aca="false">IF(Calculator!$E$20="YES",IF(A227&lt;Calculator!$G$20,0,MIN(MIN(MOD(A227/Calculator!$F$20,1),1-MOD(A227/Calculator!$F$20,1)),ABS(MOD(A227/Calculator!$F$20,1)-0.5))),1)</f>
        <v>0.00680701754385904</v>
      </c>
      <c r="L227" s="136" t="n">
        <f aca="false">IF(Calculator!$E$21="YES",IF(A227&lt;Calculator!$G$21,0,MIN(MIN(MOD(A227/Calculator!$F$21,1),1-MOD(A227/Calculator!$F$21,1)),ABS(MOD(A227/Calculator!$F$21,1)-0.5))),1)</f>
        <v>0.0743859649122811</v>
      </c>
      <c r="M227" s="136" t="n">
        <f aca="false">MIN(B227:L227)</f>
        <v>0</v>
      </c>
      <c r="N227" s="136" t="n">
        <f aca="false">SUMPRODUCT(($M$5:$M$555&gt;M227)*1)+SUMPRODUCT(($M$5:$M$555=M227)*(ROW($M$5:$M$555)&lt;ROW(M227)))+1</f>
        <v>448</v>
      </c>
      <c r="O227" s="136" t="str">
        <f aca="false">IF(M227&gt;=0.2,"★★★ EXCELLENT",IF(M227&gt;=0.12,"★★  GOOD",IF(M227&gt;=0.07,"★  FAIR",IF(M227&gt;=0.025,"⚠  MARGINAL","✗  AVOID"))))</f>
        <v>✗  AVOID</v>
      </c>
    </row>
    <row r="228" customFormat="false" ht="15" hidden="false" customHeight="false" outlineLevel="0" collapsed="false">
      <c r="A228" s="137" t="n">
        <v>27.3</v>
      </c>
      <c r="B228" s="138" t="n">
        <f aca="false">IF(Calculator!$E$11="YES",IF(A228&lt;Calculator!$G$11,0,MIN(MIN(MOD(A228/Calculator!$F$11,1),1-MOD(A228/Calculator!$F$11,1)),ABS(MOD(A228/Calculator!$F$11,1)-0.5))),1)</f>
        <v>0</v>
      </c>
      <c r="C228" s="138" t="n">
        <f aca="false">IF(Calculator!$E$12="YES",IF(A228&lt;Calculator!$G$12,0,MIN(MIN(MOD(A228/Calculator!$F$12,1),1-MOD(A228/Calculator!$F$12,1)),ABS(MOD(A228/Calculator!$F$12,1)-0.5))),1)</f>
        <v>0.199263157894737</v>
      </c>
      <c r="D228" s="138" t="n">
        <f aca="false">IF(Calculator!$E$13="YES",IF(A228&lt;Calculator!$G$13,0,MIN(MIN(MOD(A228/Calculator!$F$13,1),1-MOD(A228/Calculator!$F$13,1)),ABS(MOD(A228/Calculator!$F$13,1)-0.5))),1)</f>
        <v>0.0266715789473684</v>
      </c>
      <c r="E228" s="138" t="n">
        <f aca="false">IF(Calculator!$E$14="YES",IF(A228&lt;Calculator!$G$14,0,MIN(MIN(MOD(A228/Calculator!$F$14,1),1-MOD(A228/Calculator!$F$14,1)),ABS(MOD(A228/Calculator!$F$14,1)-0.5))),1)</f>
        <v>0.130210526315789</v>
      </c>
      <c r="F228" s="138" t="n">
        <f aca="false">IF(Calculator!$E$15="YES",IF(A228&lt;Calculator!$G$15,0,MIN(MIN(MOD(A228/Calculator!$F$15,1),1-MOD(A228/Calculator!$F$15,1)),ABS(MOD(A228/Calculator!$F$15,1)-0.5))),1)</f>
        <v>0.0602631578947368</v>
      </c>
      <c r="G228" s="138" t="n">
        <f aca="false">IF(Calculator!$E$16="YES",IF(A228&lt;Calculator!$G$16,0,MIN(MIN(MOD(A228/Calculator!$F$16,1),1-MOD(A228/Calculator!$F$16,1)),ABS(MOD(A228/Calculator!$F$16,1)-0.5))),1)</f>
        <v>0.215631578947369</v>
      </c>
      <c r="H228" s="138" t="n">
        <f aca="false">IF(Calculator!$E$17="YES",IF(A228&lt;Calculator!$G$17,0,MIN(MIN(MOD(A228/Calculator!$F$17,1),1-MOD(A228/Calculator!$F$17,1)),ABS(MOD(A228/Calculator!$F$17,1)-0.5))),1)</f>
        <v>0.0289726315789469</v>
      </c>
      <c r="I228" s="138" t="n">
        <f aca="false">IF(Calculator!$E$18="YES",IF(A228&lt;Calculator!$G$18,0,MIN(MIN(MOD(A228/Calculator!$F$18,1),1-MOD(A228/Calculator!$F$18,1)),ABS(MOD(A228/Calculator!$F$18,1)-0.5))),1)</f>
        <v>0.0662631578947375</v>
      </c>
      <c r="J228" s="138" t="n">
        <f aca="false">IF(Calculator!$E$19="YES",IF(A228&lt;Calculator!$G$19,0,MIN(MIN(MOD(A228/Calculator!$F$19,1),1-MOD(A228/Calculator!$F$19,1)),ABS(MOD(A228/Calculator!$F$19,1)-0.5))),1)</f>
        <v>0.22202105263158</v>
      </c>
      <c r="K228" s="138" t="n">
        <f aca="false">IF(Calculator!$E$20="YES",IF(A228&lt;Calculator!$G$20,0,MIN(MIN(MOD(A228/Calculator!$F$20,1),1-MOD(A228/Calculator!$F$20,1)),ABS(MOD(A228/Calculator!$F$20,1)-0.5))),1)</f>
        <v>0.0270526315789477</v>
      </c>
      <c r="L228" s="138" t="n">
        <f aca="false">IF(Calculator!$E$21="YES",IF(A228&lt;Calculator!$G$21,0,MIN(MIN(MOD(A228/Calculator!$F$21,1),1-MOD(A228/Calculator!$F$21,1)),ABS(MOD(A228/Calculator!$F$21,1)-0.5))),1)</f>
        <v>0.0378947368421052</v>
      </c>
      <c r="M228" s="138" t="n">
        <f aca="false">MIN(B228:L228)</f>
        <v>0</v>
      </c>
      <c r="N228" s="138" t="n">
        <f aca="false">SUMPRODUCT(($M$5:$M$555&gt;M228)*1)+SUMPRODUCT(($M$5:$M$555=M228)*(ROW($M$5:$M$555)&lt;ROW(M228)))+1</f>
        <v>449</v>
      </c>
      <c r="O228" s="138" t="str">
        <f aca="false">IF(M228&gt;=0.2,"★★★ EXCELLENT",IF(M228&gt;=0.12,"★★  GOOD",IF(M228&gt;=0.07,"★  FAIR",IF(M228&gt;=0.025,"⚠  MARGINAL","✗  AVOID"))))</f>
        <v>✗  AVOID</v>
      </c>
    </row>
    <row r="229" customFormat="false" ht="15" hidden="false" customHeight="false" outlineLevel="0" collapsed="false">
      <c r="A229" s="135" t="n">
        <v>27.4</v>
      </c>
      <c r="B229" s="136" t="n">
        <f aca="false">IF(Calculator!$E$11="YES",IF(A229&lt;Calculator!$G$11,0,MIN(MIN(MOD(A229/Calculator!$F$11,1),1-MOD(A229/Calculator!$F$11,1)),ABS(MOD(A229/Calculator!$F$11,1)-0.5))),1)</f>
        <v>0</v>
      </c>
      <c r="C229" s="136" t="n">
        <f aca="false">IF(Calculator!$E$12="YES",IF(A229&lt;Calculator!$G$12,0,MIN(MIN(MOD(A229/Calculator!$F$12,1),1-MOD(A229/Calculator!$F$12,1)),ABS(MOD(A229/Calculator!$F$12,1)-0.5))),1)</f>
        <v>0.201824561403509</v>
      </c>
      <c r="D229" s="136" t="n">
        <f aca="false">IF(Calculator!$E$13="YES",IF(A229&lt;Calculator!$G$13,0,MIN(MIN(MOD(A229/Calculator!$F$13,1),1-MOD(A229/Calculator!$F$13,1)),ABS(MOD(A229/Calculator!$F$13,1)-0.5))),1)</f>
        <v>0.0304322807017543</v>
      </c>
      <c r="E229" s="136" t="n">
        <f aca="false">IF(Calculator!$E$14="YES",IF(A229&lt;Calculator!$G$14,0,MIN(MIN(MOD(A229/Calculator!$F$14,1),1-MOD(A229/Calculator!$F$14,1)),ABS(MOD(A229/Calculator!$F$14,1)-0.5))),1)</f>
        <v>0.12519298245614</v>
      </c>
      <c r="F229" s="136" t="n">
        <f aca="false">IF(Calculator!$E$15="YES",IF(A229&lt;Calculator!$G$15,0,MIN(MIN(MOD(A229/Calculator!$F$15,1),1-MOD(A229/Calculator!$F$15,1)),ABS(MOD(A229/Calculator!$F$15,1)-0.5))),1)</f>
        <v>0.0531578947368423</v>
      </c>
      <c r="G229" s="136" t="n">
        <f aca="false">IF(Calculator!$E$16="YES",IF(A229&lt;Calculator!$G$16,0,MIN(MIN(MOD(A229/Calculator!$F$16,1),1-MOD(A229/Calculator!$F$16,1)),ABS(MOD(A229/Calculator!$F$16,1)-0.5))),1)</f>
        <v>0.225578947368421</v>
      </c>
      <c r="H229" s="136" t="n">
        <f aca="false">IF(Calculator!$E$17="YES",IF(A229&lt;Calculator!$G$17,0,MIN(MIN(MOD(A229/Calculator!$F$17,1),1-MOD(A229/Calculator!$F$17,1)),ABS(MOD(A229/Calculator!$F$17,1)-0.5))),1)</f>
        <v>0.016258245614035</v>
      </c>
      <c r="I229" s="136" t="n">
        <f aca="false">IF(Calculator!$E$18="YES",IF(A229&lt;Calculator!$G$18,0,MIN(MIN(MOD(A229/Calculator!$F$18,1),1-MOD(A229/Calculator!$F$18,1)),ABS(MOD(A229/Calculator!$F$18,1)-0.5))),1)</f>
        <v>0.0811578947368421</v>
      </c>
      <c r="J229" s="136" t="n">
        <f aca="false">IF(Calculator!$E$19="YES",IF(A229&lt;Calculator!$G$19,0,MIN(MIN(MOD(A229/Calculator!$F$19,1),1-MOD(A229/Calculator!$F$19,1)),ABS(MOD(A229/Calculator!$F$19,1)-0.5))),1)</f>
        <v>0.204519298245615</v>
      </c>
      <c r="K229" s="136" t="n">
        <f aca="false">IF(Calculator!$E$20="YES",IF(A229&lt;Calculator!$G$20,0,MIN(MIN(MOD(A229/Calculator!$F$20,1),1-MOD(A229/Calculator!$F$20,1)),ABS(MOD(A229/Calculator!$F$20,1)-0.5))),1)</f>
        <v>0.0472982456140345</v>
      </c>
      <c r="L229" s="136" t="n">
        <f aca="false">IF(Calculator!$E$21="YES",IF(A229&lt;Calculator!$G$21,0,MIN(MIN(MOD(A229/Calculator!$F$21,1),1-MOD(A229/Calculator!$F$21,1)),ABS(MOD(A229/Calculator!$F$21,1)-0.5))),1)</f>
        <v>0.00140350877193107</v>
      </c>
      <c r="M229" s="136" t="n">
        <f aca="false">MIN(B229:L229)</f>
        <v>0</v>
      </c>
      <c r="N229" s="136" t="n">
        <f aca="false">SUMPRODUCT(($M$5:$M$555&gt;M229)*1)+SUMPRODUCT(($M$5:$M$555=M229)*(ROW($M$5:$M$555)&lt;ROW(M229)))+1</f>
        <v>450</v>
      </c>
      <c r="O229" s="136" t="str">
        <f aca="false">IF(M229&gt;=0.2,"★★★ EXCELLENT",IF(M229&gt;=0.12,"★★  GOOD",IF(M229&gt;=0.07,"★  FAIR",IF(M229&gt;=0.025,"⚠  MARGINAL","✗  AVOID"))))</f>
        <v>✗  AVOID</v>
      </c>
    </row>
    <row r="230" customFormat="false" ht="15" hidden="false" customHeight="false" outlineLevel="0" collapsed="false">
      <c r="A230" s="137" t="n">
        <v>27.5</v>
      </c>
      <c r="B230" s="138" t="n">
        <f aca="false">IF(Calculator!$E$11="YES",IF(A230&lt;Calculator!$G$11,0,MIN(MIN(MOD(A230/Calculator!$F$11,1),1-MOD(A230/Calculator!$F$11,1)),ABS(MOD(A230/Calculator!$F$11,1)-0.5))),1)</f>
        <v>0</v>
      </c>
      <c r="C230" s="138" t="n">
        <f aca="false">IF(Calculator!$E$12="YES",IF(A230&lt;Calculator!$G$12,0,MIN(MIN(MOD(A230/Calculator!$F$12,1),1-MOD(A230/Calculator!$F$12,1)),ABS(MOD(A230/Calculator!$F$12,1)-0.5))),1)</f>
        <v>0.204385964912281</v>
      </c>
      <c r="D230" s="138" t="n">
        <f aca="false">IF(Calculator!$E$13="YES",IF(A230&lt;Calculator!$G$13,0,MIN(MIN(MOD(A230/Calculator!$F$13,1),1-MOD(A230/Calculator!$F$13,1)),ABS(MOD(A230/Calculator!$F$13,1)-0.5))),1)</f>
        <v>0.0341929824561402</v>
      </c>
      <c r="E230" s="138" t="n">
        <f aca="false">IF(Calculator!$E$14="YES",IF(A230&lt;Calculator!$G$14,0,MIN(MIN(MOD(A230/Calculator!$F$14,1),1-MOD(A230/Calculator!$F$14,1)),ABS(MOD(A230/Calculator!$F$14,1)-0.5))),1)</f>
        <v>0.120175438596491</v>
      </c>
      <c r="F230" s="138" t="n">
        <f aca="false">IF(Calculator!$E$15="YES",IF(A230&lt;Calculator!$G$15,0,MIN(MIN(MOD(A230/Calculator!$F$15,1),1-MOD(A230/Calculator!$F$15,1)),ABS(MOD(A230/Calculator!$F$15,1)-0.5))),1)</f>
        <v>0.0460526315789473</v>
      </c>
      <c r="G230" s="138" t="n">
        <f aca="false">IF(Calculator!$E$16="YES",IF(A230&lt;Calculator!$G$16,0,MIN(MIN(MOD(A230/Calculator!$F$16,1),1-MOD(A230/Calculator!$F$16,1)),ABS(MOD(A230/Calculator!$F$16,1)-0.5))),1)</f>
        <v>0.235526315789474</v>
      </c>
      <c r="H230" s="138" t="n">
        <f aca="false">IF(Calculator!$E$17="YES",IF(A230&lt;Calculator!$G$17,0,MIN(MIN(MOD(A230/Calculator!$F$17,1),1-MOD(A230/Calculator!$F$17,1)),ABS(MOD(A230/Calculator!$F$17,1)-0.5))),1)</f>
        <v>0.00354385964912263</v>
      </c>
      <c r="I230" s="138" t="n">
        <f aca="false">IF(Calculator!$E$18="YES",IF(A230&lt;Calculator!$G$18,0,MIN(MIN(MOD(A230/Calculator!$F$18,1),1-MOD(A230/Calculator!$F$18,1)),ABS(MOD(A230/Calculator!$F$18,1)-0.5))),1)</f>
        <v>0.0960526315789476</v>
      </c>
      <c r="J230" s="138" t="n">
        <f aca="false">IF(Calculator!$E$19="YES",IF(A230&lt;Calculator!$G$19,0,MIN(MIN(MOD(A230/Calculator!$F$19,1),1-MOD(A230/Calculator!$F$19,1)),ABS(MOD(A230/Calculator!$F$19,1)-0.5))),1)</f>
        <v>0.18701754385965</v>
      </c>
      <c r="K230" s="138" t="n">
        <f aca="false">IF(Calculator!$E$20="YES",IF(A230&lt;Calculator!$G$20,0,MIN(MIN(MOD(A230/Calculator!$F$20,1),1-MOD(A230/Calculator!$F$20,1)),ABS(MOD(A230/Calculator!$F$20,1)-0.5))),1)</f>
        <v>0.0675438596491231</v>
      </c>
      <c r="L230" s="138" t="n">
        <f aca="false">IF(Calculator!$E$21="YES",IF(A230&lt;Calculator!$G$21,0,MIN(MIN(MOD(A230/Calculator!$F$21,1),1-MOD(A230/Calculator!$F$21,1)),ABS(MOD(A230/Calculator!$F$21,1)-0.5))),1)</f>
        <v>0.0350877192982448</v>
      </c>
      <c r="M230" s="138" t="n">
        <f aca="false">MIN(B230:L230)</f>
        <v>0</v>
      </c>
      <c r="N230" s="138" t="n">
        <f aca="false">SUMPRODUCT(($M$5:$M$555&gt;M230)*1)+SUMPRODUCT(($M$5:$M$555=M230)*(ROW($M$5:$M$555)&lt;ROW(M230)))+1</f>
        <v>451</v>
      </c>
      <c r="O230" s="138" t="str">
        <f aca="false">IF(M230&gt;=0.2,"★★★ EXCELLENT",IF(M230&gt;=0.12,"★★  GOOD",IF(M230&gt;=0.07,"★  FAIR",IF(M230&gt;=0.025,"⚠  MARGINAL","✗  AVOID"))))</f>
        <v>✗  AVOID</v>
      </c>
    </row>
    <row r="231" customFormat="false" ht="15" hidden="false" customHeight="false" outlineLevel="0" collapsed="false">
      <c r="A231" s="135" t="n">
        <v>27.6</v>
      </c>
      <c r="B231" s="136" t="n">
        <f aca="false">IF(Calculator!$E$11="YES",IF(A231&lt;Calculator!$G$11,0,MIN(MIN(MOD(A231/Calculator!$F$11,1),1-MOD(A231/Calculator!$F$11,1)),ABS(MOD(A231/Calculator!$F$11,1)-0.5))),1)</f>
        <v>0</v>
      </c>
      <c r="C231" s="136" t="n">
        <f aca="false">IF(Calculator!$E$12="YES",IF(A231&lt;Calculator!$G$12,0,MIN(MIN(MOD(A231/Calculator!$F$12,1),1-MOD(A231/Calculator!$F$12,1)),ABS(MOD(A231/Calculator!$F$12,1)-0.5))),1)</f>
        <v>0.206947368421053</v>
      </c>
      <c r="D231" s="136" t="n">
        <f aca="false">IF(Calculator!$E$13="YES",IF(A231&lt;Calculator!$G$13,0,MIN(MIN(MOD(A231/Calculator!$F$13,1),1-MOD(A231/Calculator!$F$13,1)),ABS(MOD(A231/Calculator!$F$13,1)-0.5))),1)</f>
        <v>0.0379536842105264</v>
      </c>
      <c r="E231" s="136" t="n">
        <f aca="false">IF(Calculator!$E$14="YES",IF(A231&lt;Calculator!$G$14,0,MIN(MIN(MOD(A231/Calculator!$F$14,1),1-MOD(A231/Calculator!$F$14,1)),ABS(MOD(A231/Calculator!$F$14,1)-0.5))),1)</f>
        <v>0.115157894736842</v>
      </c>
      <c r="F231" s="136" t="n">
        <f aca="false">IF(Calculator!$E$15="YES",IF(A231&lt;Calculator!$G$15,0,MIN(MIN(MOD(A231/Calculator!$F$15,1),1-MOD(A231/Calculator!$F$15,1)),ABS(MOD(A231/Calculator!$F$15,1)-0.5))),1)</f>
        <v>0.0389473684210526</v>
      </c>
      <c r="G231" s="136" t="n">
        <f aca="false">IF(Calculator!$E$16="YES",IF(A231&lt;Calculator!$G$16,0,MIN(MIN(MOD(A231/Calculator!$F$16,1),1-MOD(A231/Calculator!$F$16,1)),ABS(MOD(A231/Calculator!$F$16,1)-0.5))),1)</f>
        <v>0.245473684210527</v>
      </c>
      <c r="H231" s="136" t="n">
        <f aca="false">IF(Calculator!$E$17="YES",IF(A231&lt;Calculator!$G$17,0,MIN(MIN(MOD(A231/Calculator!$F$17,1),1-MOD(A231/Calculator!$F$17,1)),ABS(MOD(A231/Calculator!$F$17,1)-0.5))),1)</f>
        <v>0.00917052631579018</v>
      </c>
      <c r="I231" s="136" t="n">
        <f aca="false">IF(Calculator!$E$18="YES",IF(A231&lt;Calculator!$G$18,0,MIN(MIN(MOD(A231/Calculator!$F$18,1),1-MOD(A231/Calculator!$F$18,1)),ABS(MOD(A231/Calculator!$F$18,1)-0.5))),1)</f>
        <v>0.110947368421053</v>
      </c>
      <c r="J231" s="136" t="n">
        <f aca="false">IF(Calculator!$E$19="YES",IF(A231&lt;Calculator!$G$19,0,MIN(MIN(MOD(A231/Calculator!$F$19,1),1-MOD(A231/Calculator!$F$19,1)),ABS(MOD(A231/Calculator!$F$19,1)-0.5))),1)</f>
        <v>0.169515789473685</v>
      </c>
      <c r="K231" s="136" t="n">
        <f aca="false">IF(Calculator!$E$20="YES",IF(A231&lt;Calculator!$G$20,0,MIN(MIN(MOD(A231/Calculator!$F$20,1),1-MOD(A231/Calculator!$F$20,1)),ABS(MOD(A231/Calculator!$F$20,1)-0.5))),1)</f>
        <v>0.0877894736842109</v>
      </c>
      <c r="L231" s="136" t="n">
        <f aca="false">IF(Calculator!$E$21="YES",IF(A231&lt;Calculator!$G$21,0,MIN(MIN(MOD(A231/Calculator!$F$21,1),1-MOD(A231/Calculator!$F$21,1)),ABS(MOD(A231/Calculator!$F$21,1)-0.5))),1)</f>
        <v>0.0715789473684207</v>
      </c>
      <c r="M231" s="136" t="n">
        <f aca="false">MIN(B231:L231)</f>
        <v>0</v>
      </c>
      <c r="N231" s="136" t="n">
        <f aca="false">SUMPRODUCT(($M$5:$M$555&gt;M231)*1)+SUMPRODUCT(($M$5:$M$555=M231)*(ROW($M$5:$M$555)&lt;ROW(M231)))+1</f>
        <v>452</v>
      </c>
      <c r="O231" s="136" t="str">
        <f aca="false">IF(M231&gt;=0.2,"★★★ EXCELLENT",IF(M231&gt;=0.12,"★★  GOOD",IF(M231&gt;=0.07,"★  FAIR",IF(M231&gt;=0.025,"⚠  MARGINAL","✗  AVOID"))))</f>
        <v>✗  AVOID</v>
      </c>
    </row>
    <row r="232" customFormat="false" ht="15" hidden="false" customHeight="false" outlineLevel="0" collapsed="false">
      <c r="A232" s="137" t="n">
        <v>27.7</v>
      </c>
      <c r="B232" s="138" t="n">
        <f aca="false">IF(Calculator!$E$11="YES",IF(A232&lt;Calculator!$G$11,0,MIN(MIN(MOD(A232/Calculator!$F$11,1),1-MOD(A232/Calculator!$F$11,1)),ABS(MOD(A232/Calculator!$F$11,1)-0.5))),1)</f>
        <v>0</v>
      </c>
      <c r="C232" s="138" t="n">
        <f aca="false">IF(Calculator!$E$12="YES",IF(A232&lt;Calculator!$G$12,0,MIN(MIN(MOD(A232/Calculator!$F$12,1),1-MOD(A232/Calculator!$F$12,1)),ABS(MOD(A232/Calculator!$F$12,1)-0.5))),1)</f>
        <v>0.209508771929825</v>
      </c>
      <c r="D232" s="138" t="n">
        <f aca="false">IF(Calculator!$E$13="YES",IF(A232&lt;Calculator!$G$13,0,MIN(MIN(MOD(A232/Calculator!$F$13,1),1-MOD(A232/Calculator!$F$13,1)),ABS(MOD(A232/Calculator!$F$13,1)-0.5))),1)</f>
        <v>0.0417143859649123</v>
      </c>
      <c r="E232" s="138" t="n">
        <f aca="false">IF(Calculator!$E$14="YES",IF(A232&lt;Calculator!$G$14,0,MIN(MIN(MOD(A232/Calculator!$F$14,1),1-MOD(A232/Calculator!$F$14,1)),ABS(MOD(A232/Calculator!$F$14,1)-0.5))),1)</f>
        <v>0.110140350877193</v>
      </c>
      <c r="F232" s="138" t="n">
        <f aca="false">IF(Calculator!$E$15="YES",IF(A232&lt;Calculator!$G$15,0,MIN(MIN(MOD(A232/Calculator!$F$15,1),1-MOD(A232/Calculator!$F$15,1)),ABS(MOD(A232/Calculator!$F$15,1)-0.5))),1)</f>
        <v>0.0318421052631579</v>
      </c>
      <c r="G232" s="138" t="n">
        <f aca="false">IF(Calculator!$E$16="YES",IF(A232&lt;Calculator!$G$16,0,MIN(MIN(MOD(A232/Calculator!$F$16,1),1-MOD(A232/Calculator!$F$16,1)),ABS(MOD(A232/Calculator!$F$16,1)-0.5))),1)</f>
        <v>0.244578947368421</v>
      </c>
      <c r="H232" s="138" t="n">
        <f aca="false">IF(Calculator!$E$17="YES",IF(A232&lt;Calculator!$G$17,0,MIN(MIN(MOD(A232/Calculator!$F$17,1),1-MOD(A232/Calculator!$F$17,1)),ABS(MOD(A232/Calculator!$F$17,1)-0.5))),1)</f>
        <v>0.0218849122807021</v>
      </c>
      <c r="I232" s="138" t="n">
        <f aca="false">IF(Calculator!$E$18="YES",IF(A232&lt;Calculator!$G$18,0,MIN(MIN(MOD(A232/Calculator!$F$18,1),1-MOD(A232/Calculator!$F$18,1)),ABS(MOD(A232/Calculator!$F$18,1)-0.5))),1)</f>
        <v>0.125842105263158</v>
      </c>
      <c r="J232" s="138" t="n">
        <f aca="false">IF(Calculator!$E$19="YES",IF(A232&lt;Calculator!$G$19,0,MIN(MIN(MOD(A232/Calculator!$F$19,1),1-MOD(A232/Calculator!$F$19,1)),ABS(MOD(A232/Calculator!$F$19,1)-0.5))),1)</f>
        <v>0.152014035087721</v>
      </c>
      <c r="K232" s="138" t="n">
        <f aca="false">IF(Calculator!$E$20="YES",IF(A232&lt;Calculator!$G$20,0,MIN(MIN(MOD(A232/Calculator!$F$20,1),1-MOD(A232/Calculator!$F$20,1)),ABS(MOD(A232/Calculator!$F$20,1)-0.5))),1)</f>
        <v>0.108035087719298</v>
      </c>
      <c r="L232" s="138" t="n">
        <f aca="false">IF(Calculator!$E$21="YES",IF(A232&lt;Calculator!$G$21,0,MIN(MIN(MOD(A232/Calculator!$F$21,1),1-MOD(A232/Calculator!$F$21,1)),ABS(MOD(A232/Calculator!$F$21,1)-0.5))),1)</f>
        <v>0.108070175438597</v>
      </c>
      <c r="M232" s="138" t="n">
        <f aca="false">MIN(B232:L232)</f>
        <v>0</v>
      </c>
      <c r="N232" s="138" t="n">
        <f aca="false">SUMPRODUCT(($M$5:$M$555&gt;M232)*1)+SUMPRODUCT(($M$5:$M$555=M232)*(ROW($M$5:$M$555)&lt;ROW(M232)))+1</f>
        <v>453</v>
      </c>
      <c r="O232" s="138" t="str">
        <f aca="false">IF(M232&gt;=0.2,"★★★ EXCELLENT",IF(M232&gt;=0.12,"★★  GOOD",IF(M232&gt;=0.07,"★  FAIR",IF(M232&gt;=0.025,"⚠  MARGINAL","✗  AVOID"))))</f>
        <v>✗  AVOID</v>
      </c>
    </row>
    <row r="233" customFormat="false" ht="15" hidden="false" customHeight="false" outlineLevel="0" collapsed="false">
      <c r="A233" s="135" t="n">
        <v>27.8</v>
      </c>
      <c r="B233" s="136" t="n">
        <f aca="false">IF(Calculator!$E$11="YES",IF(A233&lt;Calculator!$G$11,0,MIN(MIN(MOD(A233/Calculator!$F$11,1),1-MOD(A233/Calculator!$F$11,1)),ABS(MOD(A233/Calculator!$F$11,1)-0.5))),1)</f>
        <v>0</v>
      </c>
      <c r="C233" s="136" t="n">
        <f aca="false">IF(Calculator!$E$12="YES",IF(A233&lt;Calculator!$G$12,0,MIN(MIN(MOD(A233/Calculator!$F$12,1),1-MOD(A233/Calculator!$F$12,1)),ABS(MOD(A233/Calculator!$F$12,1)-0.5))),1)</f>
        <v>0.212070175438597</v>
      </c>
      <c r="D233" s="136" t="n">
        <f aca="false">IF(Calculator!$E$13="YES",IF(A233&lt;Calculator!$G$13,0,MIN(MIN(MOD(A233/Calculator!$F$13,1),1-MOD(A233/Calculator!$F$13,1)),ABS(MOD(A233/Calculator!$F$13,1)-0.5))),1)</f>
        <v>0.0454750877192982</v>
      </c>
      <c r="E233" s="136" t="n">
        <f aca="false">IF(Calculator!$E$14="YES",IF(A233&lt;Calculator!$G$14,0,MIN(MIN(MOD(A233/Calculator!$F$14,1),1-MOD(A233/Calculator!$F$14,1)),ABS(MOD(A233/Calculator!$F$14,1)-0.5))),1)</f>
        <v>0.105122807017544</v>
      </c>
      <c r="F233" s="136" t="n">
        <f aca="false">IF(Calculator!$E$15="YES",IF(A233&lt;Calculator!$G$15,0,MIN(MIN(MOD(A233/Calculator!$F$15,1),1-MOD(A233/Calculator!$F$15,1)),ABS(MOD(A233/Calculator!$F$15,1)-0.5))),1)</f>
        <v>0.0247368421052632</v>
      </c>
      <c r="G233" s="136" t="n">
        <f aca="false">IF(Calculator!$E$16="YES",IF(A233&lt;Calculator!$G$16,0,MIN(MIN(MOD(A233/Calculator!$F$16,1),1-MOD(A233/Calculator!$F$16,1)),ABS(MOD(A233/Calculator!$F$16,1)-0.5))),1)</f>
        <v>0.234631578947368</v>
      </c>
      <c r="H233" s="136" t="n">
        <f aca="false">IF(Calculator!$E$17="YES",IF(A233&lt;Calculator!$G$17,0,MIN(MIN(MOD(A233/Calculator!$F$17,1),1-MOD(A233/Calculator!$F$17,1)),ABS(MOD(A233/Calculator!$F$17,1)-0.5))),1)</f>
        <v>0.0345992982456145</v>
      </c>
      <c r="I233" s="136" t="n">
        <f aca="false">IF(Calculator!$E$18="YES",IF(A233&lt;Calculator!$G$18,0,MIN(MIN(MOD(A233/Calculator!$F$18,1),1-MOD(A233/Calculator!$F$18,1)),ABS(MOD(A233/Calculator!$F$18,1)-0.5))),1)</f>
        <v>0.140736842105263</v>
      </c>
      <c r="J233" s="136" t="n">
        <f aca="false">IF(Calculator!$E$19="YES",IF(A233&lt;Calculator!$G$19,0,MIN(MIN(MOD(A233/Calculator!$F$19,1),1-MOD(A233/Calculator!$F$19,1)),ABS(MOD(A233/Calculator!$F$19,1)-0.5))),1)</f>
        <v>0.134512280701755</v>
      </c>
      <c r="K233" s="136" t="n">
        <f aca="false">IF(Calculator!$E$20="YES",IF(A233&lt;Calculator!$G$20,0,MIN(MIN(MOD(A233/Calculator!$F$20,1),1-MOD(A233/Calculator!$F$20,1)),ABS(MOD(A233/Calculator!$F$20,1)-0.5))),1)</f>
        <v>0.128280701754386</v>
      </c>
      <c r="L233" s="136" t="n">
        <f aca="false">IF(Calculator!$E$21="YES",IF(A233&lt;Calculator!$G$21,0,MIN(MIN(MOD(A233/Calculator!$F$21,1),1-MOD(A233/Calculator!$F$21,1)),ABS(MOD(A233/Calculator!$F$21,1)-0.5))),1)</f>
        <v>0.144561403508773</v>
      </c>
      <c r="M233" s="136" t="n">
        <f aca="false">MIN(B233:L233)</f>
        <v>0</v>
      </c>
      <c r="N233" s="136" t="n">
        <f aca="false">SUMPRODUCT(($M$5:$M$555&gt;M233)*1)+SUMPRODUCT(($M$5:$M$555=M233)*(ROW($M$5:$M$555)&lt;ROW(M233)))+1</f>
        <v>454</v>
      </c>
      <c r="O233" s="136" t="str">
        <f aca="false">IF(M233&gt;=0.2,"★★★ EXCELLENT",IF(M233&gt;=0.12,"★★  GOOD",IF(M233&gt;=0.07,"★  FAIR",IF(M233&gt;=0.025,"⚠  MARGINAL","✗  AVOID"))))</f>
        <v>✗  AVOID</v>
      </c>
    </row>
    <row r="234" customFormat="false" ht="15" hidden="false" customHeight="false" outlineLevel="0" collapsed="false">
      <c r="A234" s="137" t="n">
        <v>27.9</v>
      </c>
      <c r="B234" s="138" t="n">
        <f aca="false">IF(Calculator!$E$11="YES",IF(A234&lt;Calculator!$G$11,0,MIN(MIN(MOD(A234/Calculator!$F$11,1),1-MOD(A234/Calculator!$F$11,1)),ABS(MOD(A234/Calculator!$F$11,1)-0.5))),1)</f>
        <v>0</v>
      </c>
      <c r="C234" s="138" t="n">
        <f aca="false">IF(Calculator!$E$12="YES",IF(A234&lt;Calculator!$G$12,0,MIN(MIN(MOD(A234/Calculator!$F$12,1),1-MOD(A234/Calculator!$F$12,1)),ABS(MOD(A234/Calculator!$F$12,1)-0.5))),1)</f>
        <v>0.214631578947368</v>
      </c>
      <c r="D234" s="138" t="n">
        <f aca="false">IF(Calculator!$E$13="YES",IF(A234&lt;Calculator!$G$13,0,MIN(MIN(MOD(A234/Calculator!$F$13,1),1-MOD(A234/Calculator!$F$13,1)),ABS(MOD(A234/Calculator!$F$13,1)-0.5))),1)</f>
        <v>0.0492357894736841</v>
      </c>
      <c r="E234" s="138" t="n">
        <f aca="false">IF(Calculator!$E$14="YES",IF(A234&lt;Calculator!$G$14,0,MIN(MIN(MOD(A234/Calculator!$F$14,1),1-MOD(A234/Calculator!$F$14,1)),ABS(MOD(A234/Calculator!$F$14,1)-0.5))),1)</f>
        <v>0.100105263157895</v>
      </c>
      <c r="F234" s="138" t="n">
        <f aca="false">IF(Calculator!$E$15="YES",IF(A234&lt;Calculator!$G$15,0,MIN(MIN(MOD(A234/Calculator!$F$15,1),1-MOD(A234/Calculator!$F$15,1)),ABS(MOD(A234/Calculator!$F$15,1)-0.5))),1)</f>
        <v>0.0176315789473687</v>
      </c>
      <c r="G234" s="138" t="n">
        <f aca="false">IF(Calculator!$E$16="YES",IF(A234&lt;Calculator!$G$16,0,MIN(MIN(MOD(A234/Calculator!$F$16,1),1-MOD(A234/Calculator!$F$16,1)),ABS(MOD(A234/Calculator!$F$16,1)-0.5))),1)</f>
        <v>0.224684210526316</v>
      </c>
      <c r="H234" s="138" t="n">
        <f aca="false">IF(Calculator!$E$17="YES",IF(A234&lt;Calculator!$G$17,0,MIN(MIN(MOD(A234/Calculator!$F$17,1),1-MOD(A234/Calculator!$F$17,1)),ABS(MOD(A234/Calculator!$F$17,1)-0.5))),1)</f>
        <v>0.0473136842105264</v>
      </c>
      <c r="I234" s="138" t="n">
        <f aca="false">IF(Calculator!$E$18="YES",IF(A234&lt;Calculator!$G$18,0,MIN(MIN(MOD(A234/Calculator!$F$18,1),1-MOD(A234/Calculator!$F$18,1)),ABS(MOD(A234/Calculator!$F$18,1)-0.5))),1)</f>
        <v>0.155631578947369</v>
      </c>
      <c r="J234" s="138" t="n">
        <f aca="false">IF(Calculator!$E$19="YES",IF(A234&lt;Calculator!$G$19,0,MIN(MIN(MOD(A234/Calculator!$F$19,1),1-MOD(A234/Calculator!$F$19,1)),ABS(MOD(A234/Calculator!$F$19,1)-0.5))),1)</f>
        <v>0.117010526315791</v>
      </c>
      <c r="K234" s="138" t="n">
        <f aca="false">IF(Calculator!$E$20="YES",IF(A234&lt;Calculator!$G$20,0,MIN(MIN(MOD(A234/Calculator!$F$20,1),1-MOD(A234/Calculator!$F$20,1)),ABS(MOD(A234/Calculator!$F$20,1)-0.5))),1)</f>
        <v>0.148526315789473</v>
      </c>
      <c r="L234" s="138" t="n">
        <f aca="false">IF(Calculator!$E$21="YES",IF(A234&lt;Calculator!$G$21,0,MIN(MIN(MOD(A234/Calculator!$F$21,1),1-MOD(A234/Calculator!$F$21,1)),ABS(MOD(A234/Calculator!$F$21,1)-0.5))),1)</f>
        <v>0.181052631578947</v>
      </c>
      <c r="M234" s="138" t="n">
        <f aca="false">MIN(B234:L234)</f>
        <v>0</v>
      </c>
      <c r="N234" s="138" t="n">
        <f aca="false">SUMPRODUCT(($M$5:$M$555&gt;M234)*1)+SUMPRODUCT(($M$5:$M$555=M234)*(ROW($M$5:$M$555)&lt;ROW(M234)))+1</f>
        <v>455</v>
      </c>
      <c r="O234" s="138" t="str">
        <f aca="false">IF(M234&gt;=0.2,"★★★ EXCELLENT",IF(M234&gt;=0.12,"★★  GOOD",IF(M234&gt;=0.07,"★  FAIR",IF(M234&gt;=0.025,"⚠  MARGINAL","✗  AVOID"))))</f>
        <v>✗  AVOID</v>
      </c>
    </row>
    <row r="235" customFormat="false" ht="15" hidden="false" customHeight="false" outlineLevel="0" collapsed="false">
      <c r="A235" s="135" t="n">
        <v>28</v>
      </c>
      <c r="B235" s="136" t="n">
        <f aca="false">IF(Calculator!$E$11="YES",IF(A235&lt;Calculator!$G$11,0,MIN(MIN(MOD(A235/Calculator!$F$11,1),1-MOD(A235/Calculator!$F$11,1)),ABS(MOD(A235/Calculator!$F$11,1)-0.5))),1)</f>
        <v>0</v>
      </c>
      <c r="C235" s="136" t="n">
        <f aca="false">IF(Calculator!$E$12="YES",IF(A235&lt;Calculator!$G$12,0,MIN(MIN(MOD(A235/Calculator!$F$12,1),1-MOD(A235/Calculator!$F$12,1)),ABS(MOD(A235/Calculator!$F$12,1)-0.5))),1)</f>
        <v>0.21719298245614</v>
      </c>
      <c r="D235" s="136" t="n">
        <f aca="false">IF(Calculator!$E$13="YES",IF(A235&lt;Calculator!$G$13,0,MIN(MIN(MOD(A235/Calculator!$F$13,1),1-MOD(A235/Calculator!$F$13,1)),ABS(MOD(A235/Calculator!$F$13,1)-0.5))),1)</f>
        <v>0.05299649122807</v>
      </c>
      <c r="E235" s="136" t="n">
        <f aca="false">IF(Calculator!$E$14="YES",IF(A235&lt;Calculator!$G$14,0,MIN(MIN(MOD(A235/Calculator!$F$14,1),1-MOD(A235/Calculator!$F$14,1)),ABS(MOD(A235/Calculator!$F$14,1)-0.5))),1)</f>
        <v>0.0950877192982456</v>
      </c>
      <c r="F235" s="136" t="n">
        <f aca="false">IF(Calculator!$E$15="YES",IF(A235&lt;Calculator!$G$15,0,MIN(MIN(MOD(A235/Calculator!$F$15,1),1-MOD(A235/Calculator!$F$15,1)),ABS(MOD(A235/Calculator!$F$15,1)-0.5))),1)</f>
        <v>0.0105263157894737</v>
      </c>
      <c r="G235" s="136" t="n">
        <f aca="false">IF(Calculator!$E$16="YES",IF(A235&lt;Calculator!$G$16,0,MIN(MIN(MOD(A235/Calculator!$F$16,1),1-MOD(A235/Calculator!$F$16,1)),ABS(MOD(A235/Calculator!$F$16,1)-0.5))),1)</f>
        <v>0.214736842105263</v>
      </c>
      <c r="H235" s="136" t="n">
        <f aca="false">IF(Calculator!$E$17="YES",IF(A235&lt;Calculator!$G$17,0,MIN(MIN(MOD(A235/Calculator!$F$17,1),1-MOD(A235/Calculator!$F$17,1)),ABS(MOD(A235/Calculator!$F$17,1)-0.5))),1)</f>
        <v>0.0600280701754392</v>
      </c>
      <c r="I235" s="136" t="n">
        <f aca="false">IF(Calculator!$E$18="YES",IF(A235&lt;Calculator!$G$18,0,MIN(MIN(MOD(A235/Calculator!$F$18,1),1-MOD(A235/Calculator!$F$18,1)),ABS(MOD(A235/Calculator!$F$18,1)-0.5))),1)</f>
        <v>0.170526315789473</v>
      </c>
      <c r="J235" s="136" t="n">
        <f aca="false">IF(Calculator!$E$19="YES",IF(A235&lt;Calculator!$G$19,0,MIN(MIN(MOD(A235/Calculator!$F$19,1),1-MOD(A235/Calculator!$F$19,1)),ABS(MOD(A235/Calculator!$F$19,1)-0.5))),1)</f>
        <v>0.0995087719298251</v>
      </c>
      <c r="K235" s="136" t="n">
        <f aca="false">IF(Calculator!$E$20="YES",IF(A235&lt;Calculator!$G$20,0,MIN(MIN(MOD(A235/Calculator!$F$20,1),1-MOD(A235/Calculator!$F$20,1)),ABS(MOD(A235/Calculator!$F$20,1)-0.5))),1)</f>
        <v>0.168771929824561</v>
      </c>
      <c r="L235" s="136" t="n">
        <f aca="false">IF(Calculator!$E$21="YES",IF(A235&lt;Calculator!$G$21,0,MIN(MIN(MOD(A235/Calculator!$F$21,1),1-MOD(A235/Calculator!$F$21,1)),ABS(MOD(A235/Calculator!$F$21,1)-0.5))),1)</f>
        <v>0.217543859649123</v>
      </c>
      <c r="M235" s="136" t="n">
        <f aca="false">MIN(B235:L235)</f>
        <v>0</v>
      </c>
      <c r="N235" s="136" t="n">
        <f aca="false">SUMPRODUCT(($M$5:$M$555&gt;M235)*1)+SUMPRODUCT(($M$5:$M$555=M235)*(ROW($M$5:$M$555)&lt;ROW(M235)))+1</f>
        <v>456</v>
      </c>
      <c r="O235" s="136" t="str">
        <f aca="false">IF(M235&gt;=0.2,"★★★ EXCELLENT",IF(M235&gt;=0.12,"★★  GOOD",IF(M235&gt;=0.07,"★  FAIR",IF(M235&gt;=0.025,"⚠  MARGINAL","✗  AVOID"))))</f>
        <v>✗  AVOID</v>
      </c>
    </row>
    <row r="236" customFormat="false" ht="15" hidden="false" customHeight="false" outlineLevel="0" collapsed="false">
      <c r="A236" s="137" t="n">
        <v>28.1</v>
      </c>
      <c r="B236" s="138" t="n">
        <f aca="false">IF(Calculator!$E$11="YES",IF(A236&lt;Calculator!$G$11,0,MIN(MIN(MOD(A236/Calculator!$F$11,1),1-MOD(A236/Calculator!$F$11,1)),ABS(MOD(A236/Calculator!$F$11,1)-0.5))),1)</f>
        <v>0</v>
      </c>
      <c r="C236" s="138" t="n">
        <f aca="false">IF(Calculator!$E$12="YES",IF(A236&lt;Calculator!$G$12,0,MIN(MIN(MOD(A236/Calculator!$F$12,1),1-MOD(A236/Calculator!$F$12,1)),ABS(MOD(A236/Calculator!$F$12,1)-0.5))),1)</f>
        <v>0.219754385964912</v>
      </c>
      <c r="D236" s="138" t="n">
        <f aca="false">IF(Calculator!$E$13="YES",IF(A236&lt;Calculator!$G$13,0,MIN(MIN(MOD(A236/Calculator!$F$13,1),1-MOD(A236/Calculator!$F$13,1)),ABS(MOD(A236/Calculator!$F$13,1)-0.5))),1)</f>
        <v>0.0567571929824562</v>
      </c>
      <c r="E236" s="138" t="n">
        <f aca="false">IF(Calculator!$E$14="YES",IF(A236&lt;Calculator!$G$14,0,MIN(MIN(MOD(A236/Calculator!$F$14,1),1-MOD(A236/Calculator!$F$14,1)),ABS(MOD(A236/Calculator!$F$14,1)-0.5))),1)</f>
        <v>0.0900701754385964</v>
      </c>
      <c r="F236" s="138" t="n">
        <f aca="false">IF(Calculator!$E$15="YES",IF(A236&lt;Calculator!$G$15,0,MIN(MIN(MOD(A236/Calculator!$F$15,1),1-MOD(A236/Calculator!$F$15,1)),ABS(MOD(A236/Calculator!$F$15,1)-0.5))),1)</f>
        <v>0.00342105263157899</v>
      </c>
      <c r="G236" s="138" t="n">
        <f aca="false">IF(Calculator!$E$16="YES",IF(A236&lt;Calculator!$G$16,0,MIN(MIN(MOD(A236/Calculator!$F$16,1),1-MOD(A236/Calculator!$F$16,1)),ABS(MOD(A236/Calculator!$F$16,1)-0.5))),1)</f>
        <v>0.20478947368421</v>
      </c>
      <c r="H236" s="138" t="n">
        <f aca="false">IF(Calculator!$E$17="YES",IF(A236&lt;Calculator!$G$17,0,MIN(MIN(MOD(A236/Calculator!$F$17,1),1-MOD(A236/Calculator!$F$17,1)),ABS(MOD(A236/Calculator!$F$17,1)-0.5))),1)</f>
        <v>0.0727424561403516</v>
      </c>
      <c r="I236" s="138" t="n">
        <f aca="false">IF(Calculator!$E$18="YES",IF(A236&lt;Calculator!$G$18,0,MIN(MIN(MOD(A236/Calculator!$F$18,1),1-MOD(A236/Calculator!$F$18,1)),ABS(MOD(A236/Calculator!$F$18,1)-0.5))),1)</f>
        <v>0.185421052631579</v>
      </c>
      <c r="J236" s="138" t="n">
        <f aca="false">IF(Calculator!$E$19="YES",IF(A236&lt;Calculator!$G$19,0,MIN(MIN(MOD(A236/Calculator!$F$19,1),1-MOD(A236/Calculator!$F$19,1)),ABS(MOD(A236/Calculator!$F$19,1)-0.5))),1)</f>
        <v>0.0820070175438605</v>
      </c>
      <c r="K236" s="138" t="n">
        <f aca="false">IF(Calculator!$E$20="YES",IF(A236&lt;Calculator!$G$20,0,MIN(MIN(MOD(A236/Calculator!$F$20,1),1-MOD(A236/Calculator!$F$20,1)),ABS(MOD(A236/Calculator!$F$20,1)-0.5))),1)</f>
        <v>0.18901754385965</v>
      </c>
      <c r="L236" s="138" t="n">
        <f aca="false">IF(Calculator!$E$21="YES",IF(A236&lt;Calculator!$G$21,0,MIN(MIN(MOD(A236/Calculator!$F$21,1),1-MOD(A236/Calculator!$F$21,1)),ABS(MOD(A236/Calculator!$F$21,1)-0.5))),1)</f>
        <v>0.245964912280702</v>
      </c>
      <c r="M236" s="138" t="n">
        <f aca="false">MIN(B236:L236)</f>
        <v>0</v>
      </c>
      <c r="N236" s="138" t="n">
        <f aca="false">SUMPRODUCT(($M$5:$M$555&gt;M236)*1)+SUMPRODUCT(($M$5:$M$555=M236)*(ROW($M$5:$M$555)&lt;ROW(M236)))+1</f>
        <v>457</v>
      </c>
      <c r="O236" s="138" t="str">
        <f aca="false">IF(M236&gt;=0.2,"★★★ EXCELLENT",IF(M236&gt;=0.12,"★★  GOOD",IF(M236&gt;=0.07,"★  FAIR",IF(M236&gt;=0.025,"⚠  MARGINAL","✗  AVOID"))))</f>
        <v>✗  AVOID</v>
      </c>
    </row>
    <row r="237" customFormat="false" ht="15" hidden="false" customHeight="false" outlineLevel="0" collapsed="false">
      <c r="A237" s="135" t="n">
        <v>28.2</v>
      </c>
      <c r="B237" s="136" t="n">
        <f aca="false">IF(Calculator!$E$11="YES",IF(A237&lt;Calculator!$G$11,0,MIN(MIN(MOD(A237/Calculator!$F$11,1),1-MOD(A237/Calculator!$F$11,1)),ABS(MOD(A237/Calculator!$F$11,1)-0.5))),1)</f>
        <v>0</v>
      </c>
      <c r="C237" s="136" t="n">
        <f aca="false">IF(Calculator!$E$12="YES",IF(A237&lt;Calculator!$G$12,0,MIN(MIN(MOD(A237/Calculator!$F$12,1),1-MOD(A237/Calculator!$F$12,1)),ABS(MOD(A237/Calculator!$F$12,1)-0.5))),1)</f>
        <v>0.222315789473684</v>
      </c>
      <c r="D237" s="136" t="n">
        <f aca="false">IF(Calculator!$E$13="YES",IF(A237&lt;Calculator!$G$13,0,MIN(MIN(MOD(A237/Calculator!$F$13,1),1-MOD(A237/Calculator!$F$13,1)),ABS(MOD(A237/Calculator!$F$13,1)-0.5))),1)</f>
        <v>0.0605178947368421</v>
      </c>
      <c r="E237" s="136" t="n">
        <f aca="false">IF(Calculator!$E$14="YES",IF(A237&lt;Calculator!$G$14,0,MIN(MIN(MOD(A237/Calculator!$F$14,1),1-MOD(A237/Calculator!$F$14,1)),ABS(MOD(A237/Calculator!$F$14,1)-0.5))),1)</f>
        <v>0.0850526315789475</v>
      </c>
      <c r="F237" s="136" t="n">
        <f aca="false">IF(Calculator!$E$15="YES",IF(A237&lt;Calculator!$G$15,0,MIN(MIN(MOD(A237/Calculator!$F$15,1),1-MOD(A237/Calculator!$F$15,1)),ABS(MOD(A237/Calculator!$F$15,1)-0.5))),1)</f>
        <v>0.00368421052631573</v>
      </c>
      <c r="G237" s="136" t="n">
        <f aca="false">IF(Calculator!$E$16="YES",IF(A237&lt;Calculator!$G$16,0,MIN(MIN(MOD(A237/Calculator!$F$16,1),1-MOD(A237/Calculator!$F$16,1)),ABS(MOD(A237/Calculator!$F$16,1)-0.5))),1)</f>
        <v>0.194842105263158</v>
      </c>
      <c r="H237" s="136" t="n">
        <f aca="false">IF(Calculator!$E$17="YES",IF(A237&lt;Calculator!$G$17,0,MIN(MIN(MOD(A237/Calculator!$F$17,1),1-MOD(A237/Calculator!$F$17,1)),ABS(MOD(A237/Calculator!$F$17,1)-0.5))),1)</f>
        <v>0.0854568421052635</v>
      </c>
      <c r="I237" s="136" t="n">
        <f aca="false">IF(Calculator!$E$18="YES",IF(A237&lt;Calculator!$G$18,0,MIN(MIN(MOD(A237/Calculator!$F$18,1),1-MOD(A237/Calculator!$F$18,1)),ABS(MOD(A237/Calculator!$F$18,1)-0.5))),1)</f>
        <v>0.200315789473684</v>
      </c>
      <c r="J237" s="136" t="n">
        <f aca="false">IF(Calculator!$E$19="YES",IF(A237&lt;Calculator!$G$19,0,MIN(MIN(MOD(A237/Calculator!$F$19,1),1-MOD(A237/Calculator!$F$19,1)),ABS(MOD(A237/Calculator!$F$19,1)-0.5))),1)</f>
        <v>0.064505263157896</v>
      </c>
      <c r="K237" s="136" t="n">
        <f aca="false">IF(Calculator!$E$20="YES",IF(A237&lt;Calculator!$G$20,0,MIN(MIN(MOD(A237/Calculator!$F$20,1),1-MOD(A237/Calculator!$F$20,1)),ABS(MOD(A237/Calculator!$F$20,1)-0.5))),1)</f>
        <v>0.209263157894736</v>
      </c>
      <c r="L237" s="136" t="n">
        <f aca="false">IF(Calculator!$E$21="YES",IF(A237&lt;Calculator!$G$21,0,MIN(MIN(MOD(A237/Calculator!$F$21,1),1-MOD(A237/Calculator!$F$21,1)),ABS(MOD(A237/Calculator!$F$21,1)-0.5))),1)</f>
        <v>0.209473684210527</v>
      </c>
      <c r="M237" s="136" t="n">
        <f aca="false">MIN(B237:L237)</f>
        <v>0</v>
      </c>
      <c r="N237" s="136" t="n">
        <f aca="false">SUMPRODUCT(($M$5:$M$555&gt;M237)*1)+SUMPRODUCT(($M$5:$M$555=M237)*(ROW($M$5:$M$555)&lt;ROW(M237)))+1</f>
        <v>458</v>
      </c>
      <c r="O237" s="136" t="str">
        <f aca="false">IF(M237&gt;=0.2,"★★★ EXCELLENT",IF(M237&gt;=0.12,"★★  GOOD",IF(M237&gt;=0.07,"★  FAIR",IF(M237&gt;=0.025,"⚠  MARGINAL","✗  AVOID"))))</f>
        <v>✗  AVOID</v>
      </c>
    </row>
    <row r="238" customFormat="false" ht="15" hidden="false" customHeight="false" outlineLevel="0" collapsed="false">
      <c r="A238" s="137" t="n">
        <v>28.3</v>
      </c>
      <c r="B238" s="138" t="n">
        <f aca="false">IF(Calculator!$E$11="YES",IF(A238&lt;Calculator!$G$11,0,MIN(MIN(MOD(A238/Calculator!$F$11,1),1-MOD(A238/Calculator!$F$11,1)),ABS(MOD(A238/Calculator!$F$11,1)-0.5))),1)</f>
        <v>0</v>
      </c>
      <c r="C238" s="138" t="n">
        <f aca="false">IF(Calculator!$E$12="YES",IF(A238&lt;Calculator!$G$12,0,MIN(MIN(MOD(A238/Calculator!$F$12,1),1-MOD(A238/Calculator!$F$12,1)),ABS(MOD(A238/Calculator!$F$12,1)-0.5))),1)</f>
        <v>0.224877192982456</v>
      </c>
      <c r="D238" s="138" t="n">
        <f aca="false">IF(Calculator!$E$13="YES",IF(A238&lt;Calculator!$G$13,0,MIN(MIN(MOD(A238/Calculator!$F$13,1),1-MOD(A238/Calculator!$F$13,1)),ABS(MOD(A238/Calculator!$F$13,1)-0.5))),1)</f>
        <v>0.064278596491228</v>
      </c>
      <c r="E238" s="138" t="n">
        <f aca="false">IF(Calculator!$E$14="YES",IF(A238&lt;Calculator!$G$14,0,MIN(MIN(MOD(A238/Calculator!$F$14,1),1-MOD(A238/Calculator!$F$14,1)),ABS(MOD(A238/Calculator!$F$14,1)-0.5))),1)</f>
        <v>0.0800350877192981</v>
      </c>
      <c r="F238" s="138" t="n">
        <f aca="false">IF(Calculator!$E$15="YES",IF(A238&lt;Calculator!$G$15,0,MIN(MIN(MOD(A238/Calculator!$F$15,1),1-MOD(A238/Calculator!$F$15,1)),ABS(MOD(A238/Calculator!$F$15,1)-0.5))),1)</f>
        <v>0.0107894736842105</v>
      </c>
      <c r="G238" s="138" t="n">
        <f aca="false">IF(Calculator!$E$16="YES",IF(A238&lt;Calculator!$G$16,0,MIN(MIN(MOD(A238/Calculator!$F$16,1),1-MOD(A238/Calculator!$F$16,1)),ABS(MOD(A238/Calculator!$F$16,1)-0.5))),1)</f>
        <v>0.184894736842105</v>
      </c>
      <c r="H238" s="138" t="n">
        <f aca="false">IF(Calculator!$E$17="YES",IF(A238&lt;Calculator!$G$17,0,MIN(MIN(MOD(A238/Calculator!$F$17,1),1-MOD(A238/Calculator!$F$17,1)),ABS(MOD(A238/Calculator!$F$17,1)-0.5))),1)</f>
        <v>0.0981712280701759</v>
      </c>
      <c r="I238" s="138" t="n">
        <f aca="false">IF(Calculator!$E$18="YES",IF(A238&lt;Calculator!$G$18,0,MIN(MIN(MOD(A238/Calculator!$F$18,1),1-MOD(A238/Calculator!$F$18,1)),ABS(MOD(A238/Calculator!$F$18,1)-0.5))),1)</f>
        <v>0.21521052631579</v>
      </c>
      <c r="J238" s="138" t="n">
        <f aca="false">IF(Calculator!$E$19="YES",IF(A238&lt;Calculator!$G$19,0,MIN(MIN(MOD(A238/Calculator!$F$19,1),1-MOD(A238/Calculator!$F$19,1)),ABS(MOD(A238/Calculator!$F$19,1)-0.5))),1)</f>
        <v>0.0470035087719305</v>
      </c>
      <c r="K238" s="138" t="n">
        <f aca="false">IF(Calculator!$E$20="YES",IF(A238&lt;Calculator!$G$20,0,MIN(MIN(MOD(A238/Calculator!$F$20,1),1-MOD(A238/Calculator!$F$20,1)),ABS(MOD(A238/Calculator!$F$20,1)-0.5))),1)</f>
        <v>0.229508771929825</v>
      </c>
      <c r="L238" s="138" t="n">
        <f aca="false">IF(Calculator!$E$21="YES",IF(A238&lt;Calculator!$G$21,0,MIN(MIN(MOD(A238/Calculator!$F$21,1),1-MOD(A238/Calculator!$F$21,1)),ABS(MOD(A238/Calculator!$F$21,1)-0.5))),1)</f>
        <v>0.172982456140351</v>
      </c>
      <c r="M238" s="138" t="n">
        <f aca="false">MIN(B238:L238)</f>
        <v>0</v>
      </c>
      <c r="N238" s="138" t="n">
        <f aca="false">SUMPRODUCT(($M$5:$M$555&gt;M238)*1)+SUMPRODUCT(($M$5:$M$555=M238)*(ROW($M$5:$M$555)&lt;ROW(M238)))+1</f>
        <v>459</v>
      </c>
      <c r="O238" s="138" t="str">
        <f aca="false">IF(M238&gt;=0.2,"★★★ EXCELLENT",IF(M238&gt;=0.12,"★★  GOOD",IF(M238&gt;=0.07,"★  FAIR",IF(M238&gt;=0.025,"⚠  MARGINAL","✗  AVOID"))))</f>
        <v>✗  AVOID</v>
      </c>
    </row>
    <row r="239" customFormat="false" ht="15" hidden="false" customHeight="false" outlineLevel="0" collapsed="false">
      <c r="A239" s="135" t="n">
        <v>28.4</v>
      </c>
      <c r="B239" s="136" t="n">
        <f aca="false">IF(Calculator!$E$11="YES",IF(A239&lt;Calculator!$G$11,0,MIN(MIN(MOD(A239/Calculator!$F$11,1),1-MOD(A239/Calculator!$F$11,1)),ABS(MOD(A239/Calculator!$F$11,1)-0.5))),1)</f>
        <v>0</v>
      </c>
      <c r="C239" s="136" t="n">
        <f aca="false">IF(Calculator!$E$12="YES",IF(A239&lt;Calculator!$G$12,0,MIN(MIN(MOD(A239/Calculator!$F$12,1),1-MOD(A239/Calculator!$F$12,1)),ABS(MOD(A239/Calculator!$F$12,1)-0.5))),1)</f>
        <v>0.227438596491228</v>
      </c>
      <c r="D239" s="136" t="n">
        <f aca="false">IF(Calculator!$E$13="YES",IF(A239&lt;Calculator!$G$13,0,MIN(MIN(MOD(A239/Calculator!$F$13,1),1-MOD(A239/Calculator!$F$13,1)),ABS(MOD(A239/Calculator!$F$13,1)-0.5))),1)</f>
        <v>0.0680392982456139</v>
      </c>
      <c r="E239" s="136" t="n">
        <f aca="false">IF(Calculator!$E$14="YES",IF(A239&lt;Calculator!$G$14,0,MIN(MIN(MOD(A239/Calculator!$F$14,1),1-MOD(A239/Calculator!$F$14,1)),ABS(MOD(A239/Calculator!$F$14,1)-0.5))),1)</f>
        <v>0.0750175438596492</v>
      </c>
      <c r="F239" s="136" t="n">
        <f aca="false">IF(Calculator!$E$15="YES",IF(A239&lt;Calculator!$G$15,0,MIN(MIN(MOD(A239/Calculator!$F$15,1),1-MOD(A239/Calculator!$F$15,1)),ABS(MOD(A239/Calculator!$F$15,1)-0.5))),1)</f>
        <v>0.0178947368421052</v>
      </c>
      <c r="G239" s="136" t="n">
        <f aca="false">IF(Calculator!$E$16="YES",IF(A239&lt;Calculator!$G$16,0,MIN(MIN(MOD(A239/Calculator!$F$16,1),1-MOD(A239/Calculator!$F$16,1)),ABS(MOD(A239/Calculator!$F$16,1)-0.5))),1)</f>
        <v>0.174947368421053</v>
      </c>
      <c r="H239" s="136" t="n">
        <f aca="false">IF(Calculator!$E$17="YES",IF(A239&lt;Calculator!$G$17,0,MIN(MIN(MOD(A239/Calculator!$F$17,1),1-MOD(A239/Calculator!$F$17,1)),ABS(MOD(A239/Calculator!$F$17,1)-0.5))),1)</f>
        <v>0.110885614035088</v>
      </c>
      <c r="I239" s="136" t="n">
        <f aca="false">IF(Calculator!$E$18="YES",IF(A239&lt;Calculator!$G$18,0,MIN(MIN(MOD(A239/Calculator!$F$18,1),1-MOD(A239/Calculator!$F$18,1)),ABS(MOD(A239/Calculator!$F$18,1)-0.5))),1)</f>
        <v>0.230105263157895</v>
      </c>
      <c r="J239" s="136" t="n">
        <f aca="false">IF(Calculator!$E$19="YES",IF(A239&lt;Calculator!$G$19,0,MIN(MIN(MOD(A239/Calculator!$F$19,1),1-MOD(A239/Calculator!$F$19,1)),ABS(MOD(A239/Calculator!$F$19,1)-0.5))),1)</f>
        <v>0.0295017543859659</v>
      </c>
      <c r="K239" s="136" t="n">
        <f aca="false">IF(Calculator!$E$20="YES",IF(A239&lt;Calculator!$G$20,0,MIN(MIN(MOD(A239/Calculator!$F$20,1),1-MOD(A239/Calculator!$F$20,1)),ABS(MOD(A239/Calculator!$F$20,1)-0.5))),1)</f>
        <v>0.249754385964912</v>
      </c>
      <c r="L239" s="136" t="n">
        <f aca="false">IF(Calculator!$E$21="YES",IF(A239&lt;Calculator!$G$21,0,MIN(MIN(MOD(A239/Calculator!$F$21,1),1-MOD(A239/Calculator!$F$21,1)),ABS(MOD(A239/Calculator!$F$21,1)-0.5))),1)</f>
        <v>0.136491228070176</v>
      </c>
      <c r="M239" s="136" t="n">
        <f aca="false">MIN(B239:L239)</f>
        <v>0</v>
      </c>
      <c r="N239" s="136" t="n">
        <f aca="false">SUMPRODUCT(($M$5:$M$555&gt;M239)*1)+SUMPRODUCT(($M$5:$M$555=M239)*(ROW($M$5:$M$555)&lt;ROW(M239)))+1</f>
        <v>460</v>
      </c>
      <c r="O239" s="136" t="str">
        <f aca="false">IF(M239&gt;=0.2,"★★★ EXCELLENT",IF(M239&gt;=0.12,"★★  GOOD",IF(M239&gt;=0.07,"★  FAIR",IF(M239&gt;=0.025,"⚠  MARGINAL","✗  AVOID"))))</f>
        <v>✗  AVOID</v>
      </c>
    </row>
    <row r="240" customFormat="false" ht="15" hidden="false" customHeight="false" outlineLevel="0" collapsed="false">
      <c r="A240" s="137" t="n">
        <v>28.5</v>
      </c>
      <c r="B240" s="138" t="n">
        <f aca="false">IF(Calculator!$E$11="YES",IF(A240&lt;Calculator!$G$11,0,MIN(MIN(MOD(A240/Calculator!$F$11,1),1-MOD(A240/Calculator!$F$11,1)),ABS(MOD(A240/Calculator!$F$11,1)-0.5))),1)</f>
        <v>0</v>
      </c>
      <c r="C240" s="138" t="n">
        <f aca="false">IF(Calculator!$E$12="YES",IF(A240&lt;Calculator!$G$12,0,MIN(MIN(MOD(A240/Calculator!$F$12,1),1-MOD(A240/Calculator!$F$12,1)),ABS(MOD(A240/Calculator!$F$12,1)-0.5))),1)</f>
        <v>0.23</v>
      </c>
      <c r="D240" s="138" t="n">
        <f aca="false">IF(Calculator!$E$13="YES",IF(A240&lt;Calculator!$G$13,0,MIN(MIN(MOD(A240/Calculator!$F$13,1),1-MOD(A240/Calculator!$F$13,1)),ABS(MOD(A240/Calculator!$F$13,1)-0.5))),1)</f>
        <v>0.0717999999999999</v>
      </c>
      <c r="E240" s="138" t="n">
        <f aca="false">IF(Calculator!$E$14="YES",IF(A240&lt;Calculator!$G$14,0,MIN(MIN(MOD(A240/Calculator!$F$14,1),1-MOD(A240/Calculator!$F$14,1)),ABS(MOD(A240/Calculator!$F$14,1)-0.5))),1)</f>
        <v>0.0700000000000001</v>
      </c>
      <c r="F240" s="138" t="n">
        <f aca="false">IF(Calculator!$E$15="YES",IF(A240&lt;Calculator!$G$15,0,MIN(MIN(MOD(A240/Calculator!$F$15,1),1-MOD(A240/Calculator!$F$15,1)),ABS(MOD(A240/Calculator!$F$15,1)-0.5))),1)</f>
        <v>0.0249999999999999</v>
      </c>
      <c r="G240" s="138" t="n">
        <f aca="false">IF(Calculator!$E$16="YES",IF(A240&lt;Calculator!$G$16,0,MIN(MIN(MOD(A240/Calculator!$F$16,1),1-MOD(A240/Calculator!$F$16,1)),ABS(MOD(A240/Calculator!$F$16,1)-0.5))),1)</f>
        <v>0.165</v>
      </c>
      <c r="H240" s="138" t="n">
        <f aca="false">IF(Calculator!$E$17="YES",IF(A240&lt;Calculator!$G$17,0,MIN(MIN(MOD(A240/Calculator!$F$17,1),1-MOD(A240/Calculator!$F$17,1)),ABS(MOD(A240/Calculator!$F$17,1)-0.5))),1)</f>
        <v>0.123600000000001</v>
      </c>
      <c r="I240" s="138" t="n">
        <f aca="false">IF(Calculator!$E$18="YES",IF(A240&lt;Calculator!$G$18,0,MIN(MIN(MOD(A240/Calculator!$F$18,1),1-MOD(A240/Calculator!$F$18,1)),ABS(MOD(A240/Calculator!$F$18,1)-0.5))),1)</f>
        <v>0.245</v>
      </c>
      <c r="J240" s="138" t="n">
        <f aca="false">IF(Calculator!$E$19="YES",IF(A240&lt;Calculator!$G$19,0,MIN(MIN(MOD(A240/Calculator!$F$19,1),1-MOD(A240/Calculator!$F$19,1)),ABS(MOD(A240/Calculator!$F$19,1)-0.5))),1)</f>
        <v>0.0120000000000005</v>
      </c>
      <c r="K240" s="138" t="n">
        <f aca="false">IF(Calculator!$E$20="YES",IF(A240&lt;Calculator!$G$20,0,MIN(MIN(MOD(A240/Calculator!$F$20,1),1-MOD(A240/Calculator!$F$20,1)),ABS(MOD(A240/Calculator!$F$20,1)-0.5))),1)</f>
        <v>0.23</v>
      </c>
      <c r="L240" s="138" t="n">
        <f aca="false">IF(Calculator!$E$21="YES",IF(A240&lt;Calculator!$G$21,0,MIN(MIN(MOD(A240/Calculator!$F$21,1),1-MOD(A240/Calculator!$F$21,1)),ABS(MOD(A240/Calculator!$F$21,1)-0.5))),1)</f>
        <v>0.0999999999999996</v>
      </c>
      <c r="M240" s="138" t="n">
        <f aca="false">MIN(B240:L240)</f>
        <v>0</v>
      </c>
      <c r="N240" s="138" t="n">
        <f aca="false">SUMPRODUCT(($M$5:$M$555&gt;M240)*1)+SUMPRODUCT(($M$5:$M$555=M240)*(ROW($M$5:$M$555)&lt;ROW(M240)))+1</f>
        <v>461</v>
      </c>
      <c r="O240" s="138" t="str">
        <f aca="false">IF(M240&gt;=0.2,"★★★ EXCELLENT",IF(M240&gt;=0.12,"★★  GOOD",IF(M240&gt;=0.07,"★  FAIR",IF(M240&gt;=0.025,"⚠  MARGINAL","✗  AVOID"))))</f>
        <v>✗  AVOID</v>
      </c>
    </row>
    <row r="241" customFormat="false" ht="15" hidden="false" customHeight="false" outlineLevel="0" collapsed="false">
      <c r="A241" s="135" t="n">
        <v>28.6</v>
      </c>
      <c r="B241" s="136" t="n">
        <f aca="false">IF(Calculator!$E$11="YES",IF(A241&lt;Calculator!$G$11,0,MIN(MIN(MOD(A241/Calculator!$F$11,1),1-MOD(A241/Calculator!$F$11,1)),ABS(MOD(A241/Calculator!$F$11,1)-0.5))),1)</f>
        <v>0</v>
      </c>
      <c r="C241" s="136" t="n">
        <f aca="false">IF(Calculator!$E$12="YES",IF(A241&lt;Calculator!$G$12,0,MIN(MIN(MOD(A241/Calculator!$F$12,1),1-MOD(A241/Calculator!$F$12,1)),ABS(MOD(A241/Calculator!$F$12,1)-0.5))),1)</f>
        <v>0.232561403508772</v>
      </c>
      <c r="D241" s="136" t="n">
        <f aca="false">IF(Calculator!$E$13="YES",IF(A241&lt;Calculator!$G$13,0,MIN(MIN(MOD(A241/Calculator!$F$13,1),1-MOD(A241/Calculator!$F$13,1)),ABS(MOD(A241/Calculator!$F$13,1)-0.5))),1)</f>
        <v>0.075560701754386</v>
      </c>
      <c r="E241" s="136" t="n">
        <f aca="false">IF(Calculator!$E$14="YES",IF(A241&lt;Calculator!$G$14,0,MIN(MIN(MOD(A241/Calculator!$F$14,1),1-MOD(A241/Calculator!$F$14,1)),ABS(MOD(A241/Calculator!$F$14,1)-0.5))),1)</f>
        <v>0.0649824561403507</v>
      </c>
      <c r="F241" s="136" t="n">
        <f aca="false">IF(Calculator!$E$15="YES",IF(A241&lt;Calculator!$G$15,0,MIN(MIN(MOD(A241/Calculator!$F$15,1),1-MOD(A241/Calculator!$F$15,1)),ABS(MOD(A241/Calculator!$F$15,1)-0.5))),1)</f>
        <v>0.0321052631578946</v>
      </c>
      <c r="G241" s="136" t="n">
        <f aca="false">IF(Calculator!$E$16="YES",IF(A241&lt;Calculator!$G$16,0,MIN(MIN(MOD(A241/Calculator!$F$16,1),1-MOD(A241/Calculator!$F$16,1)),ABS(MOD(A241/Calculator!$F$16,1)-0.5))),1)</f>
        <v>0.155052631578947</v>
      </c>
      <c r="H241" s="136" t="n">
        <f aca="false">IF(Calculator!$E$17="YES",IF(A241&lt;Calculator!$G$17,0,MIN(MIN(MOD(A241/Calculator!$F$17,1),1-MOD(A241/Calculator!$F$17,1)),ABS(MOD(A241/Calculator!$F$17,1)-0.5))),1)</f>
        <v>0.136314385964913</v>
      </c>
      <c r="I241" s="136" t="n">
        <f aca="false">IF(Calculator!$E$18="YES",IF(A241&lt;Calculator!$G$18,0,MIN(MIN(MOD(A241/Calculator!$F$18,1),1-MOD(A241/Calculator!$F$18,1)),ABS(MOD(A241/Calculator!$F$18,1)-0.5))),1)</f>
        <v>0.240105263157894</v>
      </c>
      <c r="J241" s="136" t="n">
        <f aca="false">IF(Calculator!$E$19="YES",IF(A241&lt;Calculator!$G$19,0,MIN(MIN(MOD(A241/Calculator!$F$19,1),1-MOD(A241/Calculator!$F$19,1)),ABS(MOD(A241/Calculator!$F$19,1)-0.5))),1)</f>
        <v>0.00550175438596412</v>
      </c>
      <c r="K241" s="136" t="n">
        <f aca="false">IF(Calculator!$E$20="YES",IF(A241&lt;Calculator!$G$20,0,MIN(MIN(MOD(A241/Calculator!$F$20,1),1-MOD(A241/Calculator!$F$20,1)),ABS(MOD(A241/Calculator!$F$20,1)-0.5))),1)</f>
        <v>0.209754385964912</v>
      </c>
      <c r="L241" s="136" t="n">
        <f aca="false">IF(Calculator!$E$21="YES",IF(A241&lt;Calculator!$G$21,0,MIN(MIN(MOD(A241/Calculator!$F$21,1),1-MOD(A241/Calculator!$F$21,1)),ABS(MOD(A241/Calculator!$F$21,1)-0.5))),1)</f>
        <v>0.0635087719298237</v>
      </c>
      <c r="M241" s="136" t="n">
        <f aca="false">MIN(B241:L241)</f>
        <v>0</v>
      </c>
      <c r="N241" s="136" t="n">
        <f aca="false">SUMPRODUCT(($M$5:$M$555&gt;M241)*1)+SUMPRODUCT(($M$5:$M$555=M241)*(ROW($M$5:$M$555)&lt;ROW(M241)))+1</f>
        <v>462</v>
      </c>
      <c r="O241" s="136" t="str">
        <f aca="false">IF(M241&gt;=0.2,"★★★ EXCELLENT",IF(M241&gt;=0.12,"★★  GOOD",IF(M241&gt;=0.07,"★  FAIR",IF(M241&gt;=0.025,"⚠  MARGINAL","✗  AVOID"))))</f>
        <v>✗  AVOID</v>
      </c>
    </row>
    <row r="242" customFormat="false" ht="15" hidden="false" customHeight="false" outlineLevel="0" collapsed="false">
      <c r="A242" s="137" t="n">
        <v>28.7</v>
      </c>
      <c r="B242" s="138" t="n">
        <f aca="false">IF(Calculator!$E$11="YES",IF(A242&lt;Calculator!$G$11,0,MIN(MIN(MOD(A242/Calculator!$F$11,1),1-MOD(A242/Calculator!$F$11,1)),ABS(MOD(A242/Calculator!$F$11,1)-0.5))),1)</f>
        <v>0</v>
      </c>
      <c r="C242" s="138" t="n">
        <f aca="false">IF(Calculator!$E$12="YES",IF(A242&lt;Calculator!$G$12,0,MIN(MIN(MOD(A242/Calculator!$F$12,1),1-MOD(A242/Calculator!$F$12,1)),ABS(MOD(A242/Calculator!$F$12,1)-0.5))),1)</f>
        <v>0.235122807017544</v>
      </c>
      <c r="D242" s="138" t="n">
        <f aca="false">IF(Calculator!$E$13="YES",IF(A242&lt;Calculator!$G$13,0,MIN(MIN(MOD(A242/Calculator!$F$13,1),1-MOD(A242/Calculator!$F$13,1)),ABS(MOD(A242/Calculator!$F$13,1)-0.5))),1)</f>
        <v>0.0793214035087719</v>
      </c>
      <c r="E242" s="138" t="n">
        <f aca="false">IF(Calculator!$E$14="YES",IF(A242&lt;Calculator!$G$14,0,MIN(MIN(MOD(A242/Calculator!$F$14,1),1-MOD(A242/Calculator!$F$14,1)),ABS(MOD(A242/Calculator!$F$14,1)-0.5))),1)</f>
        <v>0.0599649122807018</v>
      </c>
      <c r="F242" s="138" t="n">
        <f aca="false">IF(Calculator!$E$15="YES",IF(A242&lt;Calculator!$G$15,0,MIN(MIN(MOD(A242/Calculator!$F$15,1),1-MOD(A242/Calculator!$F$15,1)),ABS(MOD(A242/Calculator!$F$15,1)-0.5))),1)</f>
        <v>0.0392105263157894</v>
      </c>
      <c r="G242" s="138" t="n">
        <f aca="false">IF(Calculator!$E$16="YES",IF(A242&lt;Calculator!$G$16,0,MIN(MIN(MOD(A242/Calculator!$F$16,1),1-MOD(A242/Calculator!$F$16,1)),ABS(MOD(A242/Calculator!$F$16,1)-0.5))),1)</f>
        <v>0.145105263157895</v>
      </c>
      <c r="H242" s="138" t="n">
        <f aca="false">IF(Calculator!$E$17="YES",IF(A242&lt;Calculator!$G$17,0,MIN(MIN(MOD(A242/Calculator!$F$17,1),1-MOD(A242/Calculator!$F$17,1)),ABS(MOD(A242/Calculator!$F$17,1)-0.5))),1)</f>
        <v>0.149028771929825</v>
      </c>
      <c r="I242" s="138" t="n">
        <f aca="false">IF(Calculator!$E$18="YES",IF(A242&lt;Calculator!$G$18,0,MIN(MIN(MOD(A242/Calculator!$F$18,1),1-MOD(A242/Calculator!$F$18,1)),ABS(MOD(A242/Calculator!$F$18,1)-0.5))),1)</f>
        <v>0.22521052631579</v>
      </c>
      <c r="J242" s="138" t="n">
        <f aca="false">IF(Calculator!$E$19="YES",IF(A242&lt;Calculator!$G$19,0,MIN(MIN(MOD(A242/Calculator!$F$19,1),1-MOD(A242/Calculator!$F$19,1)),ABS(MOD(A242/Calculator!$F$19,1)-0.5))),1)</f>
        <v>0.0230035087719287</v>
      </c>
      <c r="K242" s="138" t="n">
        <f aca="false">IF(Calculator!$E$20="YES",IF(A242&lt;Calculator!$G$20,0,MIN(MIN(MOD(A242/Calculator!$F$20,1),1-MOD(A242/Calculator!$F$20,1)),ABS(MOD(A242/Calculator!$F$20,1)-0.5))),1)</f>
        <v>0.189508771929825</v>
      </c>
      <c r="L242" s="138" t="n">
        <f aca="false">IF(Calculator!$E$21="YES",IF(A242&lt;Calculator!$G$21,0,MIN(MIN(MOD(A242/Calculator!$F$21,1),1-MOD(A242/Calculator!$F$21,1)),ABS(MOD(A242/Calculator!$F$21,1)-0.5))),1)</f>
        <v>0.0270175438596496</v>
      </c>
      <c r="M242" s="138" t="n">
        <f aca="false">MIN(B242:L242)</f>
        <v>0</v>
      </c>
      <c r="N242" s="138" t="n">
        <f aca="false">SUMPRODUCT(($M$5:$M$555&gt;M242)*1)+SUMPRODUCT(($M$5:$M$555=M242)*(ROW($M$5:$M$555)&lt;ROW(M242)))+1</f>
        <v>463</v>
      </c>
      <c r="O242" s="138" t="str">
        <f aca="false">IF(M242&gt;=0.2,"★★★ EXCELLENT",IF(M242&gt;=0.12,"★★  GOOD",IF(M242&gt;=0.07,"★  FAIR",IF(M242&gt;=0.025,"⚠  MARGINAL","✗  AVOID"))))</f>
        <v>✗  AVOID</v>
      </c>
    </row>
    <row r="243" customFormat="false" ht="15" hidden="false" customHeight="false" outlineLevel="0" collapsed="false">
      <c r="A243" s="135" t="n">
        <v>28.8</v>
      </c>
      <c r="B243" s="136" t="n">
        <f aca="false">IF(Calculator!$E$11="YES",IF(A243&lt;Calculator!$G$11,0,MIN(MIN(MOD(A243/Calculator!$F$11,1),1-MOD(A243/Calculator!$F$11,1)),ABS(MOD(A243/Calculator!$F$11,1)-0.5))),1)</f>
        <v>0</v>
      </c>
      <c r="C243" s="136" t="n">
        <f aca="false">IF(Calculator!$E$12="YES",IF(A243&lt;Calculator!$G$12,0,MIN(MIN(MOD(A243/Calculator!$F$12,1),1-MOD(A243/Calculator!$F$12,1)),ABS(MOD(A243/Calculator!$F$12,1)-0.5))),1)</f>
        <v>0.237684210526316</v>
      </c>
      <c r="D243" s="136" t="n">
        <f aca="false">IF(Calculator!$E$13="YES",IF(A243&lt;Calculator!$G$13,0,MIN(MIN(MOD(A243/Calculator!$F$13,1),1-MOD(A243/Calculator!$F$13,1)),ABS(MOD(A243/Calculator!$F$13,1)-0.5))),1)</f>
        <v>0.0830821052631579</v>
      </c>
      <c r="E243" s="136" t="n">
        <f aca="false">IF(Calculator!$E$14="YES",IF(A243&lt;Calculator!$G$14,0,MIN(MIN(MOD(A243/Calculator!$F$14,1),1-MOD(A243/Calculator!$F$14,1)),ABS(MOD(A243/Calculator!$F$14,1)-0.5))),1)</f>
        <v>0.0549473684210526</v>
      </c>
      <c r="F243" s="136" t="n">
        <f aca="false">IF(Calculator!$E$15="YES",IF(A243&lt;Calculator!$G$15,0,MIN(MIN(MOD(A243/Calculator!$F$15,1),1-MOD(A243/Calculator!$F$15,1)),ABS(MOD(A243/Calculator!$F$15,1)-0.5))),1)</f>
        <v>0.0463157894736841</v>
      </c>
      <c r="G243" s="136" t="n">
        <f aca="false">IF(Calculator!$E$16="YES",IF(A243&lt;Calculator!$G$16,0,MIN(MIN(MOD(A243/Calculator!$F$16,1),1-MOD(A243/Calculator!$F$16,1)),ABS(MOD(A243/Calculator!$F$16,1)-0.5))),1)</f>
        <v>0.135157894736842</v>
      </c>
      <c r="H243" s="136" t="n">
        <f aca="false">IF(Calculator!$E$17="YES",IF(A243&lt;Calculator!$G$17,0,MIN(MIN(MOD(A243/Calculator!$F$17,1),1-MOD(A243/Calculator!$F$17,1)),ABS(MOD(A243/Calculator!$F$17,1)-0.5))),1)</f>
        <v>0.161743157894737</v>
      </c>
      <c r="I243" s="136" t="n">
        <f aca="false">IF(Calculator!$E$18="YES",IF(A243&lt;Calculator!$G$18,0,MIN(MIN(MOD(A243/Calculator!$F$18,1),1-MOD(A243/Calculator!$F$18,1)),ABS(MOD(A243/Calculator!$F$18,1)-0.5))),1)</f>
        <v>0.210315789473684</v>
      </c>
      <c r="J243" s="136" t="n">
        <f aca="false">IF(Calculator!$E$19="YES",IF(A243&lt;Calculator!$G$19,0,MIN(MIN(MOD(A243/Calculator!$F$19,1),1-MOD(A243/Calculator!$F$19,1)),ABS(MOD(A243/Calculator!$F$19,1)-0.5))),1)</f>
        <v>0.0405052631578942</v>
      </c>
      <c r="K243" s="136" t="n">
        <f aca="false">IF(Calculator!$E$20="YES",IF(A243&lt;Calculator!$G$20,0,MIN(MIN(MOD(A243/Calculator!$F$20,1),1-MOD(A243/Calculator!$F$20,1)),ABS(MOD(A243/Calculator!$F$20,1)-0.5))),1)</f>
        <v>0.169263157894736</v>
      </c>
      <c r="L243" s="136" t="n">
        <f aca="false">IF(Calculator!$E$21="YES",IF(A243&lt;Calculator!$G$21,0,MIN(MIN(MOD(A243/Calculator!$F$21,1),1-MOD(A243/Calculator!$F$21,1)),ABS(MOD(A243/Calculator!$F$21,1)-0.5))),1)</f>
        <v>0.0094736842105263</v>
      </c>
      <c r="M243" s="136" t="n">
        <f aca="false">MIN(B243:L243)</f>
        <v>0</v>
      </c>
      <c r="N243" s="136" t="n">
        <f aca="false">SUMPRODUCT(($M$5:$M$555&gt;M243)*1)+SUMPRODUCT(($M$5:$M$555=M243)*(ROW($M$5:$M$555)&lt;ROW(M243)))+1</f>
        <v>464</v>
      </c>
      <c r="O243" s="136" t="str">
        <f aca="false">IF(M243&gt;=0.2,"★★★ EXCELLENT",IF(M243&gt;=0.12,"★★  GOOD",IF(M243&gt;=0.07,"★  FAIR",IF(M243&gt;=0.025,"⚠  MARGINAL","✗  AVOID"))))</f>
        <v>✗  AVOID</v>
      </c>
    </row>
    <row r="244" customFormat="false" ht="15" hidden="false" customHeight="false" outlineLevel="0" collapsed="false">
      <c r="A244" s="137" t="n">
        <v>28.9</v>
      </c>
      <c r="B244" s="138" t="n">
        <f aca="false">IF(Calculator!$E$11="YES",IF(A244&lt;Calculator!$G$11,0,MIN(MIN(MOD(A244/Calculator!$F$11,1),1-MOD(A244/Calculator!$F$11,1)),ABS(MOD(A244/Calculator!$F$11,1)-0.5))),1)</f>
        <v>0</v>
      </c>
      <c r="C244" s="138" t="n">
        <f aca="false">IF(Calculator!$E$12="YES",IF(A244&lt;Calculator!$G$12,0,MIN(MIN(MOD(A244/Calculator!$F$12,1),1-MOD(A244/Calculator!$F$12,1)),ABS(MOD(A244/Calculator!$F$12,1)-0.5))),1)</f>
        <v>0.240245614035088</v>
      </c>
      <c r="D244" s="138" t="n">
        <f aca="false">IF(Calculator!$E$13="YES",IF(A244&lt;Calculator!$G$13,0,MIN(MIN(MOD(A244/Calculator!$F$13,1),1-MOD(A244/Calculator!$F$13,1)),ABS(MOD(A244/Calculator!$F$13,1)-0.5))),1)</f>
        <v>0.0868428070175438</v>
      </c>
      <c r="E244" s="138" t="n">
        <f aca="false">IF(Calculator!$E$14="YES",IF(A244&lt;Calculator!$G$14,0,MIN(MIN(MOD(A244/Calculator!$F$14,1),1-MOD(A244/Calculator!$F$14,1)),ABS(MOD(A244/Calculator!$F$14,1)-0.5))),1)</f>
        <v>0.0499298245614035</v>
      </c>
      <c r="F244" s="138" t="n">
        <f aca="false">IF(Calculator!$E$15="YES",IF(A244&lt;Calculator!$G$15,0,MIN(MIN(MOD(A244/Calculator!$F$15,1),1-MOD(A244/Calculator!$F$15,1)),ABS(MOD(A244/Calculator!$F$15,1)-0.5))),1)</f>
        <v>0.0534210526315788</v>
      </c>
      <c r="G244" s="138" t="n">
        <f aca="false">IF(Calculator!$E$16="YES",IF(A244&lt;Calculator!$G$16,0,MIN(MIN(MOD(A244/Calculator!$F$16,1),1-MOD(A244/Calculator!$F$16,1)),ABS(MOD(A244/Calculator!$F$16,1)-0.5))),1)</f>
        <v>0.125210526315789</v>
      </c>
      <c r="H244" s="138" t="n">
        <f aca="false">IF(Calculator!$E$17="YES",IF(A244&lt;Calculator!$G$17,0,MIN(MIN(MOD(A244/Calculator!$F$17,1),1-MOD(A244/Calculator!$F$17,1)),ABS(MOD(A244/Calculator!$F$17,1)-0.5))),1)</f>
        <v>0.174457543859649</v>
      </c>
      <c r="I244" s="138" t="n">
        <f aca="false">IF(Calculator!$E$18="YES",IF(A244&lt;Calculator!$G$18,0,MIN(MIN(MOD(A244/Calculator!$F$18,1),1-MOD(A244/Calculator!$F$18,1)),ABS(MOD(A244/Calculator!$F$18,1)-0.5))),1)</f>
        <v>0.195421052631579</v>
      </c>
      <c r="J244" s="138" t="n">
        <f aca="false">IF(Calculator!$E$19="YES",IF(A244&lt;Calculator!$G$19,0,MIN(MIN(MOD(A244/Calculator!$F$19,1),1-MOD(A244/Calculator!$F$19,1)),ABS(MOD(A244/Calculator!$F$19,1)-0.5))),1)</f>
        <v>0.0580070175438587</v>
      </c>
      <c r="K244" s="138" t="n">
        <f aca="false">IF(Calculator!$E$20="YES",IF(A244&lt;Calculator!$G$20,0,MIN(MIN(MOD(A244/Calculator!$F$20,1),1-MOD(A244/Calculator!$F$20,1)),ABS(MOD(A244/Calculator!$F$20,1)-0.5))),1)</f>
        <v>0.14901754385965</v>
      </c>
      <c r="L244" s="138" t="n">
        <f aca="false">IF(Calculator!$E$21="YES",IF(A244&lt;Calculator!$G$21,0,MIN(MIN(MOD(A244/Calculator!$F$21,1),1-MOD(A244/Calculator!$F$21,1)),ABS(MOD(A244/Calculator!$F$21,1)-0.5))),1)</f>
        <v>0.0459649122807004</v>
      </c>
      <c r="M244" s="138" t="n">
        <f aca="false">MIN(B244:L244)</f>
        <v>0</v>
      </c>
      <c r="N244" s="138" t="n">
        <f aca="false">SUMPRODUCT(($M$5:$M$555&gt;M244)*1)+SUMPRODUCT(($M$5:$M$555=M244)*(ROW($M$5:$M$555)&lt;ROW(M244)))+1</f>
        <v>465</v>
      </c>
      <c r="O244" s="138" t="str">
        <f aca="false">IF(M244&gt;=0.2,"★★★ EXCELLENT",IF(M244&gt;=0.12,"★★  GOOD",IF(M244&gt;=0.07,"★  FAIR",IF(M244&gt;=0.025,"⚠  MARGINAL","✗  AVOID"))))</f>
        <v>✗  AVOID</v>
      </c>
    </row>
    <row r="245" customFormat="false" ht="15" hidden="false" customHeight="false" outlineLevel="0" collapsed="false">
      <c r="A245" s="135" t="n">
        <v>29</v>
      </c>
      <c r="B245" s="136" t="n">
        <f aca="false">IF(Calculator!$E$11="YES",IF(A245&lt;Calculator!$G$11,0,MIN(MIN(MOD(A245/Calculator!$F$11,1),1-MOD(A245/Calculator!$F$11,1)),ABS(MOD(A245/Calculator!$F$11,1)-0.5))),1)</f>
        <v>0</v>
      </c>
      <c r="C245" s="136" t="n">
        <f aca="false">IF(Calculator!$E$12="YES",IF(A245&lt;Calculator!$G$12,0,MIN(MIN(MOD(A245/Calculator!$F$12,1),1-MOD(A245/Calculator!$F$12,1)),ABS(MOD(A245/Calculator!$F$12,1)-0.5))),1)</f>
        <v>0.24280701754386</v>
      </c>
      <c r="D245" s="136" t="n">
        <f aca="false">IF(Calculator!$E$13="YES",IF(A245&lt;Calculator!$G$13,0,MIN(MIN(MOD(A245/Calculator!$F$13,1),1-MOD(A245/Calculator!$F$13,1)),ABS(MOD(A245/Calculator!$F$13,1)-0.5))),1)</f>
        <v>0.0906035087719297</v>
      </c>
      <c r="E245" s="136" t="n">
        <f aca="false">IF(Calculator!$E$14="YES",IF(A245&lt;Calculator!$G$14,0,MIN(MIN(MOD(A245/Calculator!$F$14,1),1-MOD(A245/Calculator!$F$14,1)),ABS(MOD(A245/Calculator!$F$14,1)-0.5))),1)</f>
        <v>0.0449122807017544</v>
      </c>
      <c r="F245" s="136" t="n">
        <f aca="false">IF(Calculator!$E$15="YES",IF(A245&lt;Calculator!$G$15,0,MIN(MIN(MOD(A245/Calculator!$F$15,1),1-MOD(A245/Calculator!$F$15,1)),ABS(MOD(A245/Calculator!$F$15,1)-0.5))),1)</f>
        <v>0.0605263157894735</v>
      </c>
      <c r="G245" s="136" t="n">
        <f aca="false">IF(Calculator!$E$16="YES",IF(A245&lt;Calculator!$G$16,0,MIN(MIN(MOD(A245/Calculator!$F$16,1),1-MOD(A245/Calculator!$F$16,1)),ABS(MOD(A245/Calculator!$F$16,1)-0.5))),1)</f>
        <v>0.115263157894737</v>
      </c>
      <c r="H245" s="136" t="n">
        <f aca="false">IF(Calculator!$E$17="YES",IF(A245&lt;Calculator!$G$17,0,MIN(MIN(MOD(A245/Calculator!$F$17,1),1-MOD(A245/Calculator!$F$17,1)),ABS(MOD(A245/Calculator!$F$17,1)-0.5))),1)</f>
        <v>0.187171929824562</v>
      </c>
      <c r="I245" s="136" t="n">
        <f aca="false">IF(Calculator!$E$18="YES",IF(A245&lt;Calculator!$G$18,0,MIN(MIN(MOD(A245/Calculator!$F$18,1),1-MOD(A245/Calculator!$F$18,1)),ABS(MOD(A245/Calculator!$F$18,1)-0.5))),1)</f>
        <v>0.180526315789473</v>
      </c>
      <c r="J245" s="136" t="n">
        <f aca="false">IF(Calculator!$E$19="YES",IF(A245&lt;Calculator!$G$19,0,MIN(MIN(MOD(A245/Calculator!$F$19,1),1-MOD(A245/Calculator!$F$19,1)),ABS(MOD(A245/Calculator!$F$19,1)-0.5))),1)</f>
        <v>0.0755087719298233</v>
      </c>
      <c r="K245" s="136" t="n">
        <f aca="false">IF(Calculator!$E$20="YES",IF(A245&lt;Calculator!$G$20,0,MIN(MIN(MOD(A245/Calculator!$F$20,1),1-MOD(A245/Calculator!$F$20,1)),ABS(MOD(A245/Calculator!$F$20,1)-0.5))),1)</f>
        <v>0.128771929824562</v>
      </c>
      <c r="L245" s="136" t="n">
        <f aca="false">IF(Calculator!$E$21="YES",IF(A245&lt;Calculator!$G$21,0,MIN(MIN(MOD(A245/Calculator!$F$21,1),1-MOD(A245/Calculator!$F$21,1)),ABS(MOD(A245/Calculator!$F$21,1)-0.5))),1)</f>
        <v>0.0824561403508763</v>
      </c>
      <c r="M245" s="136" t="n">
        <f aca="false">MIN(B245:L245)</f>
        <v>0</v>
      </c>
      <c r="N245" s="136" t="n">
        <f aca="false">SUMPRODUCT(($M$5:$M$555&gt;M245)*1)+SUMPRODUCT(($M$5:$M$555=M245)*(ROW($M$5:$M$555)&lt;ROW(M245)))+1</f>
        <v>466</v>
      </c>
      <c r="O245" s="136" t="str">
        <f aca="false">IF(M245&gt;=0.2,"★★★ EXCELLENT",IF(M245&gt;=0.12,"★★  GOOD",IF(M245&gt;=0.07,"★  FAIR",IF(M245&gt;=0.025,"⚠  MARGINAL","✗  AVOID"))))</f>
        <v>✗  AVOID</v>
      </c>
    </row>
    <row r="246" customFormat="false" ht="15" hidden="false" customHeight="false" outlineLevel="0" collapsed="false">
      <c r="A246" s="137" t="n">
        <v>29.1</v>
      </c>
      <c r="B246" s="138" t="n">
        <f aca="false">IF(Calculator!$E$11="YES",IF(A246&lt;Calculator!$G$11,0,MIN(MIN(MOD(A246/Calculator!$F$11,1),1-MOD(A246/Calculator!$F$11,1)),ABS(MOD(A246/Calculator!$F$11,1)-0.5))),1)</f>
        <v>0</v>
      </c>
      <c r="C246" s="138" t="n">
        <f aca="false">IF(Calculator!$E$12="YES",IF(A246&lt;Calculator!$G$12,0,MIN(MIN(MOD(A246/Calculator!$F$12,1),1-MOD(A246/Calculator!$F$12,1)),ABS(MOD(A246/Calculator!$F$12,1)-0.5))),1)</f>
        <v>0.245368421052632</v>
      </c>
      <c r="D246" s="138" t="n">
        <f aca="false">IF(Calculator!$E$13="YES",IF(A246&lt;Calculator!$G$13,0,MIN(MIN(MOD(A246/Calculator!$F$13,1),1-MOD(A246/Calculator!$F$13,1)),ABS(MOD(A246/Calculator!$F$13,1)-0.5))),1)</f>
        <v>0.0943642105263158</v>
      </c>
      <c r="E246" s="138" t="n">
        <f aca="false">IF(Calculator!$E$14="YES",IF(A246&lt;Calculator!$G$14,0,MIN(MIN(MOD(A246/Calculator!$F$14,1),1-MOD(A246/Calculator!$F$14,1)),ABS(MOD(A246/Calculator!$F$14,1)-0.5))),1)</f>
        <v>0.0398947368421052</v>
      </c>
      <c r="F246" s="138" t="n">
        <f aca="false">IF(Calculator!$E$15="YES",IF(A246&lt;Calculator!$G$15,0,MIN(MIN(MOD(A246/Calculator!$F$15,1),1-MOD(A246/Calculator!$F$15,1)),ABS(MOD(A246/Calculator!$F$15,1)-0.5))),1)</f>
        <v>0.0676315789473683</v>
      </c>
      <c r="G246" s="138" t="n">
        <f aca="false">IF(Calculator!$E$16="YES",IF(A246&lt;Calculator!$G$16,0,MIN(MIN(MOD(A246/Calculator!$F$16,1),1-MOD(A246/Calculator!$F$16,1)),ABS(MOD(A246/Calculator!$F$16,1)-0.5))),1)</f>
        <v>0.105315789473684</v>
      </c>
      <c r="H246" s="138" t="n">
        <f aca="false">IF(Calculator!$E$17="YES",IF(A246&lt;Calculator!$G$17,0,MIN(MIN(MOD(A246/Calculator!$F$17,1),1-MOD(A246/Calculator!$F$17,1)),ABS(MOD(A246/Calculator!$F$17,1)-0.5))),1)</f>
        <v>0.199886315789474</v>
      </c>
      <c r="I246" s="138" t="n">
        <f aca="false">IF(Calculator!$E$18="YES",IF(A246&lt;Calculator!$G$18,0,MIN(MIN(MOD(A246/Calculator!$F$18,1),1-MOD(A246/Calculator!$F$18,1)),ABS(MOD(A246/Calculator!$F$18,1)-0.5))),1)</f>
        <v>0.165631578947368</v>
      </c>
      <c r="J246" s="138" t="n">
        <f aca="false">IF(Calculator!$E$19="YES",IF(A246&lt;Calculator!$G$19,0,MIN(MIN(MOD(A246/Calculator!$F$19,1),1-MOD(A246/Calculator!$F$19,1)),ABS(MOD(A246/Calculator!$F$19,1)-0.5))),1)</f>
        <v>0.0930105263157888</v>
      </c>
      <c r="K246" s="138" t="n">
        <f aca="false">IF(Calculator!$E$20="YES",IF(A246&lt;Calculator!$G$20,0,MIN(MIN(MOD(A246/Calculator!$F$20,1),1-MOD(A246/Calculator!$F$20,1)),ABS(MOD(A246/Calculator!$F$20,1)-0.5))),1)</f>
        <v>0.108526315789473</v>
      </c>
      <c r="L246" s="138" t="n">
        <f aca="false">IF(Calculator!$E$21="YES",IF(A246&lt;Calculator!$G$21,0,MIN(MIN(MOD(A246/Calculator!$F$21,1),1-MOD(A246/Calculator!$F$21,1)),ABS(MOD(A246/Calculator!$F$21,1)-0.5))),1)</f>
        <v>0.118947368421052</v>
      </c>
      <c r="M246" s="138" t="n">
        <f aca="false">MIN(B246:L246)</f>
        <v>0</v>
      </c>
      <c r="N246" s="138" t="n">
        <f aca="false">SUMPRODUCT(($M$5:$M$555&gt;M246)*1)+SUMPRODUCT(($M$5:$M$555=M246)*(ROW($M$5:$M$555)&lt;ROW(M246)))+1</f>
        <v>467</v>
      </c>
      <c r="O246" s="138" t="str">
        <f aca="false">IF(M246&gt;=0.2,"★★★ EXCELLENT",IF(M246&gt;=0.12,"★★  GOOD",IF(M246&gt;=0.07,"★  FAIR",IF(M246&gt;=0.025,"⚠  MARGINAL","✗  AVOID"))))</f>
        <v>✗  AVOID</v>
      </c>
    </row>
    <row r="247" customFormat="false" ht="15" hidden="false" customHeight="false" outlineLevel="0" collapsed="false">
      <c r="A247" s="135" t="n">
        <v>29.2</v>
      </c>
      <c r="B247" s="136" t="n">
        <f aca="false">IF(Calculator!$E$11="YES",IF(A247&lt;Calculator!$G$11,0,MIN(MIN(MOD(A247/Calculator!$F$11,1),1-MOD(A247/Calculator!$F$11,1)),ABS(MOD(A247/Calculator!$F$11,1)-0.5))),1)</f>
        <v>0</v>
      </c>
      <c r="C247" s="136" t="n">
        <f aca="false">IF(Calculator!$E$12="YES",IF(A247&lt;Calculator!$G$12,0,MIN(MIN(MOD(A247/Calculator!$F$12,1),1-MOD(A247/Calculator!$F$12,1)),ABS(MOD(A247/Calculator!$F$12,1)-0.5))),1)</f>
        <v>0.247929824561404</v>
      </c>
      <c r="D247" s="136" t="n">
        <f aca="false">IF(Calculator!$E$13="YES",IF(A247&lt;Calculator!$G$13,0,MIN(MIN(MOD(A247/Calculator!$F$13,1),1-MOD(A247/Calculator!$F$13,1)),ABS(MOD(A247/Calculator!$F$13,1)-0.5))),1)</f>
        <v>0.0981249122807018</v>
      </c>
      <c r="E247" s="136" t="n">
        <f aca="false">IF(Calculator!$E$14="YES",IF(A247&lt;Calculator!$G$14,0,MIN(MIN(MOD(A247/Calculator!$F$14,1),1-MOD(A247/Calculator!$F$14,1)),ABS(MOD(A247/Calculator!$F$14,1)-0.5))),1)</f>
        <v>0.0348771929824561</v>
      </c>
      <c r="F247" s="136" t="n">
        <f aca="false">IF(Calculator!$E$15="YES",IF(A247&lt;Calculator!$G$15,0,MIN(MIN(MOD(A247/Calculator!$F$15,1),1-MOD(A247/Calculator!$F$15,1)),ABS(MOD(A247/Calculator!$F$15,1)-0.5))),1)</f>
        <v>0.074736842105263</v>
      </c>
      <c r="G247" s="136" t="n">
        <f aca="false">IF(Calculator!$E$16="YES",IF(A247&lt;Calculator!$G$16,0,MIN(MIN(MOD(A247/Calculator!$F$16,1),1-MOD(A247/Calculator!$F$16,1)),ABS(MOD(A247/Calculator!$F$16,1)-0.5))),1)</f>
        <v>0.0953684210526316</v>
      </c>
      <c r="H247" s="136" t="n">
        <f aca="false">IF(Calculator!$E$17="YES",IF(A247&lt;Calculator!$G$17,0,MIN(MIN(MOD(A247/Calculator!$F$17,1),1-MOD(A247/Calculator!$F$17,1)),ABS(MOD(A247/Calculator!$F$17,1)-0.5))),1)</f>
        <v>0.212600701754386</v>
      </c>
      <c r="I247" s="136" t="n">
        <f aca="false">IF(Calculator!$E$18="YES",IF(A247&lt;Calculator!$G$18,0,MIN(MIN(MOD(A247/Calculator!$F$18,1),1-MOD(A247/Calculator!$F$18,1)),ABS(MOD(A247/Calculator!$F$18,1)-0.5))),1)</f>
        <v>0.150736842105263</v>
      </c>
      <c r="J247" s="136" t="n">
        <f aca="false">IF(Calculator!$E$19="YES",IF(A247&lt;Calculator!$G$19,0,MIN(MIN(MOD(A247/Calculator!$F$19,1),1-MOD(A247/Calculator!$F$19,1)),ABS(MOD(A247/Calculator!$F$19,1)-0.5))),1)</f>
        <v>0.110512280701753</v>
      </c>
      <c r="K247" s="136" t="n">
        <f aca="false">IF(Calculator!$E$20="YES",IF(A247&lt;Calculator!$G$20,0,MIN(MIN(MOD(A247/Calculator!$F$20,1),1-MOD(A247/Calculator!$F$20,1)),ABS(MOD(A247/Calculator!$F$20,1)-0.5))),1)</f>
        <v>0.0882807017543863</v>
      </c>
      <c r="L247" s="136" t="n">
        <f aca="false">IF(Calculator!$E$21="YES",IF(A247&lt;Calculator!$G$21,0,MIN(MIN(MOD(A247/Calculator!$F$21,1),1-MOD(A247/Calculator!$F$21,1)),ABS(MOD(A247/Calculator!$F$21,1)-0.5))),1)</f>
        <v>0.155438596491228</v>
      </c>
      <c r="M247" s="136" t="n">
        <f aca="false">MIN(B247:L247)</f>
        <v>0</v>
      </c>
      <c r="N247" s="136" t="n">
        <f aca="false">SUMPRODUCT(($M$5:$M$555&gt;M247)*1)+SUMPRODUCT(($M$5:$M$555=M247)*(ROW($M$5:$M$555)&lt;ROW(M247)))+1</f>
        <v>468</v>
      </c>
      <c r="O247" s="136" t="str">
        <f aca="false">IF(M247&gt;=0.2,"★★★ EXCELLENT",IF(M247&gt;=0.12,"★★  GOOD",IF(M247&gt;=0.07,"★  FAIR",IF(M247&gt;=0.025,"⚠  MARGINAL","✗  AVOID"))))</f>
        <v>✗  AVOID</v>
      </c>
    </row>
    <row r="248" customFormat="false" ht="15" hidden="false" customHeight="false" outlineLevel="0" collapsed="false">
      <c r="A248" s="137" t="n">
        <v>29.3</v>
      </c>
      <c r="B248" s="138" t="n">
        <f aca="false">IF(Calculator!$E$11="YES",IF(A248&lt;Calculator!$G$11,0,MIN(MIN(MOD(A248/Calculator!$F$11,1),1-MOD(A248/Calculator!$F$11,1)),ABS(MOD(A248/Calculator!$F$11,1)-0.5))),1)</f>
        <v>0</v>
      </c>
      <c r="C248" s="138" t="n">
        <f aca="false">IF(Calculator!$E$12="YES",IF(A248&lt;Calculator!$G$12,0,MIN(MIN(MOD(A248/Calculator!$F$12,1),1-MOD(A248/Calculator!$F$12,1)),ABS(MOD(A248/Calculator!$F$12,1)-0.5))),1)</f>
        <v>0.249508771929825</v>
      </c>
      <c r="D248" s="138" t="n">
        <f aca="false">IF(Calculator!$E$13="YES",IF(A248&lt;Calculator!$G$13,0,MIN(MIN(MOD(A248/Calculator!$F$13,1),1-MOD(A248/Calculator!$F$13,1)),ABS(MOD(A248/Calculator!$F$13,1)-0.5))),1)</f>
        <v>0.101885614035088</v>
      </c>
      <c r="E248" s="138" t="n">
        <f aca="false">IF(Calculator!$E$14="YES",IF(A248&lt;Calculator!$G$14,0,MIN(MIN(MOD(A248/Calculator!$F$14,1),1-MOD(A248/Calculator!$F$14,1)),ABS(MOD(A248/Calculator!$F$14,1)-0.5))),1)</f>
        <v>0.0298596491228069</v>
      </c>
      <c r="F248" s="138" t="n">
        <f aca="false">IF(Calculator!$E$15="YES",IF(A248&lt;Calculator!$G$15,0,MIN(MIN(MOD(A248/Calculator!$F$15,1),1-MOD(A248/Calculator!$F$15,1)),ABS(MOD(A248/Calculator!$F$15,1)-0.5))),1)</f>
        <v>0.0818421052631577</v>
      </c>
      <c r="G248" s="138" t="n">
        <f aca="false">IF(Calculator!$E$16="YES",IF(A248&lt;Calculator!$G$16,0,MIN(MIN(MOD(A248/Calculator!$F$16,1),1-MOD(A248/Calculator!$F$16,1)),ABS(MOD(A248/Calculator!$F$16,1)-0.5))),1)</f>
        <v>0.0854210526315788</v>
      </c>
      <c r="H248" s="138" t="n">
        <f aca="false">IF(Calculator!$E$17="YES",IF(A248&lt;Calculator!$G$17,0,MIN(MIN(MOD(A248/Calculator!$F$17,1),1-MOD(A248/Calculator!$F$17,1)),ABS(MOD(A248/Calculator!$F$17,1)-0.5))),1)</f>
        <v>0.225315087719299</v>
      </c>
      <c r="I248" s="138" t="n">
        <f aca="false">IF(Calculator!$E$18="YES",IF(A248&lt;Calculator!$G$18,0,MIN(MIN(MOD(A248/Calculator!$F$18,1),1-MOD(A248/Calculator!$F$18,1)),ABS(MOD(A248/Calculator!$F$18,1)-0.5))),1)</f>
        <v>0.135842105263158</v>
      </c>
      <c r="J248" s="138" t="n">
        <f aca="false">IF(Calculator!$E$19="YES",IF(A248&lt;Calculator!$G$19,0,MIN(MIN(MOD(A248/Calculator!$F$19,1),1-MOD(A248/Calculator!$F$19,1)),ABS(MOD(A248/Calculator!$F$19,1)-0.5))),1)</f>
        <v>0.128014035087719</v>
      </c>
      <c r="K248" s="138" t="n">
        <f aca="false">IF(Calculator!$E$20="YES",IF(A248&lt;Calculator!$G$20,0,MIN(MIN(MOD(A248/Calculator!$F$20,1),1-MOD(A248/Calculator!$F$20,1)),ABS(MOD(A248/Calculator!$F$20,1)-0.5))),1)</f>
        <v>0.0680350877192986</v>
      </c>
      <c r="L248" s="138" t="n">
        <f aca="false">IF(Calculator!$E$21="YES",IF(A248&lt;Calculator!$G$21,0,MIN(MIN(MOD(A248/Calculator!$F$21,1),1-MOD(A248/Calculator!$F$21,1)),ABS(MOD(A248/Calculator!$F$21,1)-0.5))),1)</f>
        <v>0.191929824561404</v>
      </c>
      <c r="M248" s="138" t="n">
        <f aca="false">MIN(B248:L248)</f>
        <v>0</v>
      </c>
      <c r="N248" s="138" t="n">
        <f aca="false">SUMPRODUCT(($M$5:$M$555&gt;M248)*1)+SUMPRODUCT(($M$5:$M$555=M248)*(ROW($M$5:$M$555)&lt;ROW(M248)))+1</f>
        <v>469</v>
      </c>
      <c r="O248" s="138" t="str">
        <f aca="false">IF(M248&gt;=0.2,"★★★ EXCELLENT",IF(M248&gt;=0.12,"★★  GOOD",IF(M248&gt;=0.07,"★  FAIR",IF(M248&gt;=0.025,"⚠  MARGINAL","✗  AVOID"))))</f>
        <v>✗  AVOID</v>
      </c>
    </row>
    <row r="249" customFormat="false" ht="15" hidden="false" customHeight="false" outlineLevel="0" collapsed="false">
      <c r="A249" s="135" t="n">
        <v>29.4</v>
      </c>
      <c r="B249" s="136" t="n">
        <f aca="false">IF(Calculator!$E$11="YES",IF(A249&lt;Calculator!$G$11,0,MIN(MIN(MOD(A249/Calculator!$F$11,1),1-MOD(A249/Calculator!$F$11,1)),ABS(MOD(A249/Calculator!$F$11,1)-0.5))),1)</f>
        <v>0</v>
      </c>
      <c r="C249" s="136" t="n">
        <f aca="false">IF(Calculator!$E$12="YES",IF(A249&lt;Calculator!$G$12,0,MIN(MIN(MOD(A249/Calculator!$F$12,1),1-MOD(A249/Calculator!$F$12,1)),ABS(MOD(A249/Calculator!$F$12,1)-0.5))),1)</f>
        <v>0.246947368421053</v>
      </c>
      <c r="D249" s="136" t="n">
        <f aca="false">IF(Calculator!$E$13="YES",IF(A249&lt;Calculator!$G$13,0,MIN(MIN(MOD(A249/Calculator!$F$13,1),1-MOD(A249/Calculator!$F$13,1)),ABS(MOD(A249/Calculator!$F$13,1)-0.5))),1)</f>
        <v>0.105646315789474</v>
      </c>
      <c r="E249" s="136" t="n">
        <f aca="false">IF(Calculator!$E$14="YES",IF(A249&lt;Calculator!$G$14,0,MIN(MIN(MOD(A249/Calculator!$F$14,1),1-MOD(A249/Calculator!$F$14,1)),ABS(MOD(A249/Calculator!$F$14,1)-0.5))),1)</f>
        <v>0.024842105263158</v>
      </c>
      <c r="F249" s="136" t="n">
        <f aca="false">IF(Calculator!$E$15="YES",IF(A249&lt;Calculator!$G$15,0,MIN(MIN(MOD(A249/Calculator!$F$15,1),1-MOD(A249/Calculator!$F$15,1)),ABS(MOD(A249/Calculator!$F$15,1)-0.5))),1)</f>
        <v>0.0889473684210524</v>
      </c>
      <c r="G249" s="136" t="n">
        <f aca="false">IF(Calculator!$E$16="YES",IF(A249&lt;Calculator!$G$16,0,MIN(MIN(MOD(A249/Calculator!$F$16,1),1-MOD(A249/Calculator!$F$16,1)),ABS(MOD(A249/Calculator!$F$16,1)-0.5))),1)</f>
        <v>0.0754736842105261</v>
      </c>
      <c r="H249" s="136" t="n">
        <f aca="false">IF(Calculator!$E$17="YES",IF(A249&lt;Calculator!$G$17,0,MIN(MIN(MOD(A249/Calculator!$F$17,1),1-MOD(A249/Calculator!$F$17,1)),ABS(MOD(A249/Calculator!$F$17,1)-0.5))),1)</f>
        <v>0.238029473684211</v>
      </c>
      <c r="I249" s="136" t="n">
        <f aca="false">IF(Calculator!$E$18="YES",IF(A249&lt;Calculator!$G$18,0,MIN(MIN(MOD(A249/Calculator!$F$18,1),1-MOD(A249/Calculator!$F$18,1)),ABS(MOD(A249/Calculator!$F$18,1)-0.5))),1)</f>
        <v>0.120947368421053</v>
      </c>
      <c r="J249" s="136" t="n">
        <f aca="false">IF(Calculator!$E$19="YES",IF(A249&lt;Calculator!$G$19,0,MIN(MIN(MOD(A249/Calculator!$F$19,1),1-MOD(A249/Calculator!$F$19,1)),ABS(MOD(A249/Calculator!$F$19,1)-0.5))),1)</f>
        <v>0.145515789473683</v>
      </c>
      <c r="K249" s="136" t="n">
        <f aca="false">IF(Calculator!$E$20="YES",IF(A249&lt;Calculator!$G$20,0,MIN(MIN(MOD(A249/Calculator!$F$20,1),1-MOD(A249/Calculator!$F$20,1)),ABS(MOD(A249/Calculator!$F$20,1)-0.5))),1)</f>
        <v>0.0477894736842108</v>
      </c>
      <c r="L249" s="136" t="n">
        <f aca="false">IF(Calculator!$E$21="YES",IF(A249&lt;Calculator!$G$21,0,MIN(MIN(MOD(A249/Calculator!$F$21,1),1-MOD(A249/Calculator!$F$21,1)),ABS(MOD(A249/Calculator!$F$21,1)-0.5))),1)</f>
        <v>0.228421052631578</v>
      </c>
      <c r="M249" s="136" t="n">
        <f aca="false">MIN(B249:L249)</f>
        <v>0</v>
      </c>
      <c r="N249" s="136" t="n">
        <f aca="false">SUMPRODUCT(($M$5:$M$555&gt;M249)*1)+SUMPRODUCT(($M$5:$M$555=M249)*(ROW($M$5:$M$555)&lt;ROW(M249)))+1</f>
        <v>470</v>
      </c>
      <c r="O249" s="136" t="str">
        <f aca="false">IF(M249&gt;=0.2,"★★★ EXCELLENT",IF(M249&gt;=0.12,"★★  GOOD",IF(M249&gt;=0.07,"★  FAIR",IF(M249&gt;=0.025,"⚠  MARGINAL","✗  AVOID"))))</f>
        <v>✗  AVOID</v>
      </c>
    </row>
    <row r="250" customFormat="false" ht="15" hidden="false" customHeight="false" outlineLevel="0" collapsed="false">
      <c r="A250" s="137" t="n">
        <v>29.5</v>
      </c>
      <c r="B250" s="138" t="n">
        <f aca="false">IF(Calculator!$E$11="YES",IF(A250&lt;Calculator!$G$11,0,MIN(MIN(MOD(A250/Calculator!$F$11,1),1-MOD(A250/Calculator!$F$11,1)),ABS(MOD(A250/Calculator!$F$11,1)-0.5))),1)</f>
        <v>0</v>
      </c>
      <c r="C250" s="138" t="n">
        <f aca="false">IF(Calculator!$E$12="YES",IF(A250&lt;Calculator!$G$12,0,MIN(MIN(MOD(A250/Calculator!$F$12,1),1-MOD(A250/Calculator!$F$12,1)),ABS(MOD(A250/Calculator!$F$12,1)-0.5))),1)</f>
        <v>0.244385964912281</v>
      </c>
      <c r="D250" s="138" t="n">
        <f aca="false">IF(Calculator!$E$13="YES",IF(A250&lt;Calculator!$G$13,0,MIN(MIN(MOD(A250/Calculator!$F$13,1),1-MOD(A250/Calculator!$F$13,1)),ABS(MOD(A250/Calculator!$F$13,1)-0.5))),1)</f>
        <v>0.10940701754386</v>
      </c>
      <c r="E250" s="138" t="n">
        <f aca="false">IF(Calculator!$E$14="YES",IF(A250&lt;Calculator!$G$14,0,MIN(MIN(MOD(A250/Calculator!$F$14,1),1-MOD(A250/Calculator!$F$14,1)),ABS(MOD(A250/Calculator!$F$14,1)-0.5))),1)</f>
        <v>0.0198245614035089</v>
      </c>
      <c r="F250" s="138" t="n">
        <f aca="false">IF(Calculator!$E$15="YES",IF(A250&lt;Calculator!$G$15,0,MIN(MIN(MOD(A250/Calculator!$F$15,1),1-MOD(A250/Calculator!$F$15,1)),ABS(MOD(A250/Calculator!$F$15,1)-0.5))),1)</f>
        <v>0.0960526315789472</v>
      </c>
      <c r="G250" s="138" t="n">
        <f aca="false">IF(Calculator!$E$16="YES",IF(A250&lt;Calculator!$G$16,0,MIN(MIN(MOD(A250/Calculator!$F$16,1),1-MOD(A250/Calculator!$F$16,1)),ABS(MOD(A250/Calculator!$F$16,1)-0.5))),1)</f>
        <v>0.0655263157894734</v>
      </c>
      <c r="H250" s="138" t="n">
        <f aca="false">IF(Calculator!$E$17="YES",IF(A250&lt;Calculator!$G$17,0,MIN(MIN(MOD(A250/Calculator!$F$17,1),1-MOD(A250/Calculator!$F$17,1)),ABS(MOD(A250/Calculator!$F$17,1)-0.5))),1)</f>
        <v>0.249256140350877</v>
      </c>
      <c r="I250" s="138" t="n">
        <f aca="false">IF(Calculator!$E$18="YES",IF(A250&lt;Calculator!$G$18,0,MIN(MIN(MOD(A250/Calculator!$F$18,1),1-MOD(A250/Calculator!$F$18,1)),ABS(MOD(A250/Calculator!$F$18,1)-0.5))),1)</f>
        <v>0.106052631578947</v>
      </c>
      <c r="J250" s="138" t="n">
        <f aca="false">IF(Calculator!$E$19="YES",IF(A250&lt;Calculator!$G$19,0,MIN(MIN(MOD(A250/Calculator!$F$19,1),1-MOD(A250/Calculator!$F$19,1)),ABS(MOD(A250/Calculator!$F$19,1)-0.5))),1)</f>
        <v>0.163017543859648</v>
      </c>
      <c r="K250" s="138" t="n">
        <f aca="false">IF(Calculator!$E$20="YES",IF(A250&lt;Calculator!$G$20,0,MIN(MIN(MOD(A250/Calculator!$F$20,1),1-MOD(A250/Calculator!$F$20,1)),ABS(MOD(A250/Calculator!$F$20,1)-0.5))),1)</f>
        <v>0.0275438596491231</v>
      </c>
      <c r="L250" s="138" t="n">
        <f aca="false">IF(Calculator!$E$21="YES",IF(A250&lt;Calculator!$G$21,0,MIN(MIN(MOD(A250/Calculator!$F$21,1),1-MOD(A250/Calculator!$F$21,1)),ABS(MOD(A250/Calculator!$F$21,1)-0.5))),1)</f>
        <v>0.235087719298246</v>
      </c>
      <c r="M250" s="138" t="n">
        <f aca="false">MIN(B250:L250)</f>
        <v>0</v>
      </c>
      <c r="N250" s="138" t="n">
        <f aca="false">SUMPRODUCT(($M$5:$M$555&gt;M250)*1)+SUMPRODUCT(($M$5:$M$555=M250)*(ROW($M$5:$M$555)&lt;ROW(M250)))+1</f>
        <v>471</v>
      </c>
      <c r="O250" s="138" t="str">
        <f aca="false">IF(M250&gt;=0.2,"★★★ EXCELLENT",IF(M250&gt;=0.12,"★★  GOOD",IF(M250&gt;=0.07,"★  FAIR",IF(M250&gt;=0.025,"⚠  MARGINAL","✗  AVOID"))))</f>
        <v>✗  AVOID</v>
      </c>
    </row>
    <row r="251" customFormat="false" ht="15" hidden="false" customHeight="false" outlineLevel="0" collapsed="false">
      <c r="A251" s="135" t="n">
        <v>29.6</v>
      </c>
      <c r="B251" s="136" t="n">
        <f aca="false">IF(Calculator!$E$11="YES",IF(A251&lt;Calculator!$G$11,0,MIN(MIN(MOD(A251/Calculator!$F$11,1),1-MOD(A251/Calculator!$F$11,1)),ABS(MOD(A251/Calculator!$F$11,1)-0.5))),1)</f>
        <v>0</v>
      </c>
      <c r="C251" s="136" t="n">
        <f aca="false">IF(Calculator!$E$12="YES",IF(A251&lt;Calculator!$G$12,0,MIN(MIN(MOD(A251/Calculator!$F$12,1),1-MOD(A251/Calculator!$F$12,1)),ABS(MOD(A251/Calculator!$F$12,1)-0.5))),1)</f>
        <v>0.241824561403509</v>
      </c>
      <c r="D251" s="136" t="n">
        <f aca="false">IF(Calculator!$E$13="YES",IF(A251&lt;Calculator!$G$13,0,MIN(MIN(MOD(A251/Calculator!$F$13,1),1-MOD(A251/Calculator!$F$13,1)),ABS(MOD(A251/Calculator!$F$13,1)-0.5))),1)</f>
        <v>0.113167719298246</v>
      </c>
      <c r="E251" s="136" t="n">
        <f aca="false">IF(Calculator!$E$14="YES",IF(A251&lt;Calculator!$G$14,0,MIN(MIN(MOD(A251/Calculator!$F$14,1),1-MOD(A251/Calculator!$F$14,1)),ABS(MOD(A251/Calculator!$F$14,1)-0.5))),1)</f>
        <v>0.0148070175438595</v>
      </c>
      <c r="F251" s="136" t="n">
        <f aca="false">IF(Calculator!$E$15="YES",IF(A251&lt;Calculator!$G$15,0,MIN(MIN(MOD(A251/Calculator!$F$15,1),1-MOD(A251/Calculator!$F$15,1)),ABS(MOD(A251/Calculator!$F$15,1)-0.5))),1)</f>
        <v>0.103157894736842</v>
      </c>
      <c r="G251" s="136" t="n">
        <f aca="false">IF(Calculator!$E$16="YES",IF(A251&lt;Calculator!$G$16,0,MIN(MIN(MOD(A251/Calculator!$F$16,1),1-MOD(A251/Calculator!$F$16,1)),ABS(MOD(A251/Calculator!$F$16,1)-0.5))),1)</f>
        <v>0.0555789473684207</v>
      </c>
      <c r="H251" s="136" t="n">
        <f aca="false">IF(Calculator!$E$17="YES",IF(A251&lt;Calculator!$G$17,0,MIN(MIN(MOD(A251/Calculator!$F$17,1),1-MOD(A251/Calculator!$F$17,1)),ABS(MOD(A251/Calculator!$F$17,1)-0.5))),1)</f>
        <v>0.236541754385964</v>
      </c>
      <c r="I251" s="136" t="n">
        <f aca="false">IF(Calculator!$E$18="YES",IF(A251&lt;Calculator!$G$18,0,MIN(MIN(MOD(A251/Calculator!$F$18,1),1-MOD(A251/Calculator!$F$18,1)),ABS(MOD(A251/Calculator!$F$18,1)-0.5))),1)</f>
        <v>0.0911578947368419</v>
      </c>
      <c r="J251" s="136" t="n">
        <f aca="false">IF(Calculator!$E$19="YES",IF(A251&lt;Calculator!$G$19,0,MIN(MIN(MOD(A251/Calculator!$F$19,1),1-MOD(A251/Calculator!$F$19,1)),ABS(MOD(A251/Calculator!$F$19,1)-0.5))),1)</f>
        <v>0.180519298245613</v>
      </c>
      <c r="K251" s="136" t="n">
        <f aca="false">IF(Calculator!$E$20="YES",IF(A251&lt;Calculator!$G$20,0,MIN(MIN(MOD(A251/Calculator!$F$20,1),1-MOD(A251/Calculator!$F$20,1)),ABS(MOD(A251/Calculator!$F$20,1)-0.5))),1)</f>
        <v>0.00729824561403447</v>
      </c>
      <c r="L251" s="136" t="n">
        <f aca="false">IF(Calculator!$E$21="YES",IF(A251&lt;Calculator!$G$21,0,MIN(MIN(MOD(A251/Calculator!$F$21,1),1-MOD(A251/Calculator!$F$21,1)),ABS(MOD(A251/Calculator!$F$21,1)-0.5))),1)</f>
        <v>0.19859649122807</v>
      </c>
      <c r="M251" s="136" t="n">
        <f aca="false">MIN(B251:L251)</f>
        <v>0</v>
      </c>
      <c r="N251" s="136" t="n">
        <f aca="false">SUMPRODUCT(($M$5:$M$555&gt;M251)*1)+SUMPRODUCT(($M$5:$M$555=M251)*(ROW($M$5:$M$555)&lt;ROW(M251)))+1</f>
        <v>472</v>
      </c>
      <c r="O251" s="136" t="str">
        <f aca="false">IF(M251&gt;=0.2,"★★★ EXCELLENT",IF(M251&gt;=0.12,"★★  GOOD",IF(M251&gt;=0.07,"★  FAIR",IF(M251&gt;=0.025,"⚠  MARGINAL","✗  AVOID"))))</f>
        <v>✗  AVOID</v>
      </c>
    </row>
    <row r="252" customFormat="false" ht="15" hidden="false" customHeight="false" outlineLevel="0" collapsed="false">
      <c r="A252" s="137" t="n">
        <v>29.7</v>
      </c>
      <c r="B252" s="138" t="n">
        <f aca="false">IF(Calculator!$E$11="YES",IF(A252&lt;Calculator!$G$11,0,MIN(MIN(MOD(A252/Calculator!$F$11,1),1-MOD(A252/Calculator!$F$11,1)),ABS(MOD(A252/Calculator!$F$11,1)-0.5))),1)</f>
        <v>0</v>
      </c>
      <c r="C252" s="138" t="n">
        <f aca="false">IF(Calculator!$E$12="YES",IF(A252&lt;Calculator!$G$12,0,MIN(MIN(MOD(A252/Calculator!$F$12,1),1-MOD(A252/Calculator!$F$12,1)),ABS(MOD(A252/Calculator!$F$12,1)-0.5))),1)</f>
        <v>0.239263157894737</v>
      </c>
      <c r="D252" s="138" t="n">
        <f aca="false">IF(Calculator!$E$13="YES",IF(A252&lt;Calculator!$G$13,0,MIN(MIN(MOD(A252/Calculator!$F$13,1),1-MOD(A252/Calculator!$F$13,1)),ABS(MOD(A252/Calculator!$F$13,1)-0.5))),1)</f>
        <v>0.116928421052632</v>
      </c>
      <c r="E252" s="138" t="n">
        <f aca="false">IF(Calculator!$E$14="YES",IF(A252&lt;Calculator!$G$14,0,MIN(MIN(MOD(A252/Calculator!$F$14,1),1-MOD(A252/Calculator!$F$14,1)),ABS(MOD(A252/Calculator!$F$14,1)-0.5))),1)</f>
        <v>0.00978947368421057</v>
      </c>
      <c r="F252" s="138" t="n">
        <f aca="false">IF(Calculator!$E$15="YES",IF(A252&lt;Calculator!$G$15,0,MIN(MIN(MOD(A252/Calculator!$F$15,1),1-MOD(A252/Calculator!$F$15,1)),ABS(MOD(A252/Calculator!$F$15,1)-0.5))),1)</f>
        <v>0.110263157894737</v>
      </c>
      <c r="G252" s="138" t="n">
        <f aca="false">IF(Calculator!$E$16="YES",IF(A252&lt;Calculator!$G$16,0,MIN(MIN(MOD(A252/Calculator!$F$16,1),1-MOD(A252/Calculator!$F$16,1)),ABS(MOD(A252/Calculator!$F$16,1)-0.5))),1)</f>
        <v>0.0456315789473685</v>
      </c>
      <c r="H252" s="138" t="n">
        <f aca="false">IF(Calculator!$E$17="YES",IF(A252&lt;Calculator!$G$17,0,MIN(MIN(MOD(A252/Calculator!$F$17,1),1-MOD(A252/Calculator!$F$17,1)),ABS(MOD(A252/Calculator!$F$17,1)-0.5))),1)</f>
        <v>0.223827368421052</v>
      </c>
      <c r="I252" s="138" t="n">
        <f aca="false">IF(Calculator!$E$18="YES",IF(A252&lt;Calculator!$G$18,0,MIN(MIN(MOD(A252/Calculator!$F$18,1),1-MOD(A252/Calculator!$F$18,1)),ABS(MOD(A252/Calculator!$F$18,1)-0.5))),1)</f>
        <v>0.0762631578947364</v>
      </c>
      <c r="J252" s="138" t="n">
        <f aca="false">IF(Calculator!$E$19="YES",IF(A252&lt;Calculator!$G$19,0,MIN(MIN(MOD(A252/Calculator!$F$19,1),1-MOD(A252/Calculator!$F$19,1)),ABS(MOD(A252/Calculator!$F$19,1)-0.5))),1)</f>
        <v>0.198021052631578</v>
      </c>
      <c r="K252" s="138" t="n">
        <f aca="false">IF(Calculator!$E$20="YES",IF(A252&lt;Calculator!$G$20,0,MIN(MIN(MOD(A252/Calculator!$F$20,1),1-MOD(A252/Calculator!$F$20,1)),ABS(MOD(A252/Calculator!$F$20,1)-0.5))),1)</f>
        <v>0.0129473684210524</v>
      </c>
      <c r="L252" s="138" t="n">
        <f aca="false">IF(Calculator!$E$21="YES",IF(A252&lt;Calculator!$G$21,0,MIN(MIN(MOD(A252/Calculator!$F$21,1),1-MOD(A252/Calculator!$F$21,1)),ABS(MOD(A252/Calculator!$F$21,1)-0.5))),1)</f>
        <v>0.162105263157896</v>
      </c>
      <c r="M252" s="138" t="n">
        <f aca="false">MIN(B252:L252)</f>
        <v>0</v>
      </c>
      <c r="N252" s="138" t="n">
        <f aca="false">SUMPRODUCT(($M$5:$M$555&gt;M252)*1)+SUMPRODUCT(($M$5:$M$555=M252)*(ROW($M$5:$M$555)&lt;ROW(M252)))+1</f>
        <v>473</v>
      </c>
      <c r="O252" s="138" t="str">
        <f aca="false">IF(M252&gt;=0.2,"★★★ EXCELLENT",IF(M252&gt;=0.12,"★★  GOOD",IF(M252&gt;=0.07,"★  FAIR",IF(M252&gt;=0.025,"⚠  MARGINAL","✗  AVOID"))))</f>
        <v>✗  AVOID</v>
      </c>
    </row>
    <row r="253" customFormat="false" ht="15" hidden="false" customHeight="false" outlineLevel="0" collapsed="false">
      <c r="A253" s="135" t="n">
        <v>29.8</v>
      </c>
      <c r="B253" s="136" t="n">
        <f aca="false">IF(Calculator!$E$11="YES",IF(A253&lt;Calculator!$G$11,0,MIN(MIN(MOD(A253/Calculator!$F$11,1),1-MOD(A253/Calculator!$F$11,1)),ABS(MOD(A253/Calculator!$F$11,1)-0.5))),1)</f>
        <v>0</v>
      </c>
      <c r="C253" s="136" t="n">
        <f aca="false">IF(Calculator!$E$12="YES",IF(A253&lt;Calculator!$G$12,0,MIN(MIN(MOD(A253/Calculator!$F$12,1),1-MOD(A253/Calculator!$F$12,1)),ABS(MOD(A253/Calculator!$F$12,1)-0.5))),1)</f>
        <v>0.236701754385965</v>
      </c>
      <c r="D253" s="136" t="n">
        <f aca="false">IF(Calculator!$E$13="YES",IF(A253&lt;Calculator!$G$13,0,MIN(MIN(MOD(A253/Calculator!$F$13,1),1-MOD(A253/Calculator!$F$13,1)),ABS(MOD(A253/Calculator!$F$13,1)-0.5))),1)</f>
        <v>0.120689122807017</v>
      </c>
      <c r="E253" s="136" t="n">
        <f aca="false">IF(Calculator!$E$14="YES",IF(A253&lt;Calculator!$G$14,0,MIN(MIN(MOD(A253/Calculator!$F$14,1),1-MOD(A253/Calculator!$F$14,1)),ABS(MOD(A253/Calculator!$F$14,1)-0.5))),1)</f>
        <v>0.00477192982456143</v>
      </c>
      <c r="F253" s="136" t="n">
        <f aca="false">IF(Calculator!$E$15="YES",IF(A253&lt;Calculator!$G$15,0,MIN(MIN(MOD(A253/Calculator!$F$15,1),1-MOD(A253/Calculator!$F$15,1)),ABS(MOD(A253/Calculator!$F$15,1)-0.5))),1)</f>
        <v>0.117368421052632</v>
      </c>
      <c r="G253" s="136" t="n">
        <f aca="false">IF(Calculator!$E$16="YES",IF(A253&lt;Calculator!$G$16,0,MIN(MIN(MOD(A253/Calculator!$F$16,1),1-MOD(A253/Calculator!$F$16,1)),ABS(MOD(A253/Calculator!$F$16,1)-0.5))),1)</f>
        <v>0.0356842105263153</v>
      </c>
      <c r="H253" s="136" t="n">
        <f aca="false">IF(Calculator!$E$17="YES",IF(A253&lt;Calculator!$G$17,0,MIN(MIN(MOD(A253/Calculator!$F$17,1),1-MOD(A253/Calculator!$F$17,1)),ABS(MOD(A253/Calculator!$F$17,1)-0.5))),1)</f>
        <v>0.21111298245614</v>
      </c>
      <c r="I253" s="136" t="n">
        <f aca="false">IF(Calculator!$E$18="YES",IF(A253&lt;Calculator!$G$18,0,MIN(MIN(MOD(A253/Calculator!$F$18,1),1-MOD(A253/Calculator!$F$18,1)),ABS(MOD(A253/Calculator!$F$18,1)-0.5))),1)</f>
        <v>0.0613684210526317</v>
      </c>
      <c r="J253" s="136" t="n">
        <f aca="false">IF(Calculator!$E$19="YES",IF(A253&lt;Calculator!$G$19,0,MIN(MIN(MOD(A253/Calculator!$F$19,1),1-MOD(A253/Calculator!$F$19,1)),ABS(MOD(A253/Calculator!$F$19,1)-0.5))),1)</f>
        <v>0.215522807017543</v>
      </c>
      <c r="K253" s="136" t="n">
        <f aca="false">IF(Calculator!$E$20="YES",IF(A253&lt;Calculator!$G$20,0,MIN(MIN(MOD(A253/Calculator!$F$20,1),1-MOD(A253/Calculator!$F$20,1)),ABS(MOD(A253/Calculator!$F$20,1)-0.5))),1)</f>
        <v>0.0331929824561401</v>
      </c>
      <c r="L253" s="136" t="n">
        <f aca="false">IF(Calculator!$E$21="YES",IF(A253&lt;Calculator!$G$21,0,MIN(MIN(MOD(A253/Calculator!$F$21,1),1-MOD(A253/Calculator!$F$21,1)),ABS(MOD(A253/Calculator!$F$21,1)-0.5))),1)</f>
        <v>0.12561403508772</v>
      </c>
      <c r="M253" s="136" t="n">
        <f aca="false">MIN(B253:L253)</f>
        <v>0</v>
      </c>
      <c r="N253" s="136" t="n">
        <f aca="false">SUMPRODUCT(($M$5:$M$555&gt;M253)*1)+SUMPRODUCT(($M$5:$M$555=M253)*(ROW($M$5:$M$555)&lt;ROW(M253)))+1</f>
        <v>474</v>
      </c>
      <c r="O253" s="136" t="str">
        <f aca="false">IF(M253&gt;=0.2,"★★★ EXCELLENT",IF(M253&gt;=0.12,"★★  GOOD",IF(M253&gt;=0.07,"★  FAIR",IF(M253&gt;=0.025,"⚠  MARGINAL","✗  AVOID"))))</f>
        <v>✗  AVOID</v>
      </c>
    </row>
    <row r="254" customFormat="false" ht="15" hidden="false" customHeight="false" outlineLevel="0" collapsed="false">
      <c r="A254" s="137" t="n">
        <v>29.9</v>
      </c>
      <c r="B254" s="138" t="n">
        <f aca="false">IF(Calculator!$E$11="YES",IF(A254&lt;Calculator!$G$11,0,MIN(MIN(MOD(A254/Calculator!$F$11,1),1-MOD(A254/Calculator!$F$11,1)),ABS(MOD(A254/Calculator!$F$11,1)-0.5))),1)</f>
        <v>0</v>
      </c>
      <c r="C254" s="138" t="n">
        <f aca="false">IF(Calculator!$E$12="YES",IF(A254&lt;Calculator!$G$12,0,MIN(MIN(MOD(A254/Calculator!$F$12,1),1-MOD(A254/Calculator!$F$12,1)),ABS(MOD(A254/Calculator!$F$12,1)-0.5))),1)</f>
        <v>0.234140350877193</v>
      </c>
      <c r="D254" s="138" t="n">
        <f aca="false">IF(Calculator!$E$13="YES",IF(A254&lt;Calculator!$G$13,0,MIN(MIN(MOD(A254/Calculator!$F$13,1),1-MOD(A254/Calculator!$F$13,1)),ABS(MOD(A254/Calculator!$F$13,1)-0.5))),1)</f>
        <v>0.124449824561403</v>
      </c>
      <c r="E254" s="138" t="n">
        <f aca="false">IF(Calculator!$E$14="YES",IF(A254&lt;Calculator!$G$14,0,MIN(MIN(MOD(A254/Calculator!$F$14,1),1-MOD(A254/Calculator!$F$14,1)),ABS(MOD(A254/Calculator!$F$14,1)-0.5))),1)</f>
        <v>0.000245614035087716</v>
      </c>
      <c r="F254" s="138" t="n">
        <f aca="false">IF(Calculator!$E$15="YES",IF(A254&lt;Calculator!$G$15,0,MIN(MIN(MOD(A254/Calculator!$F$15,1),1-MOD(A254/Calculator!$F$15,1)),ABS(MOD(A254/Calculator!$F$15,1)-0.5))),1)</f>
        <v>0.124473684210526</v>
      </c>
      <c r="G254" s="138" t="n">
        <f aca="false">IF(Calculator!$E$16="YES",IF(A254&lt;Calculator!$G$16,0,MIN(MIN(MOD(A254/Calculator!$F$16,1),1-MOD(A254/Calculator!$F$16,1)),ABS(MOD(A254/Calculator!$F$16,1)-0.5))),1)</f>
        <v>0.0257368421052631</v>
      </c>
      <c r="H254" s="138" t="n">
        <f aca="false">IF(Calculator!$E$17="YES",IF(A254&lt;Calculator!$G$17,0,MIN(MIN(MOD(A254/Calculator!$F$17,1),1-MOD(A254/Calculator!$F$17,1)),ABS(MOD(A254/Calculator!$F$17,1)-0.5))),1)</f>
        <v>0.198398596491228</v>
      </c>
      <c r="I254" s="138" t="n">
        <f aca="false">IF(Calculator!$E$18="YES",IF(A254&lt;Calculator!$G$18,0,MIN(MIN(MOD(A254/Calculator!$F$18,1),1-MOD(A254/Calculator!$F$18,1)),ABS(MOD(A254/Calculator!$F$18,1)-0.5))),1)</f>
        <v>0.0464736842105262</v>
      </c>
      <c r="J254" s="138" t="n">
        <f aca="false">IF(Calculator!$E$19="YES",IF(A254&lt;Calculator!$G$19,0,MIN(MIN(MOD(A254/Calculator!$F$19,1),1-MOD(A254/Calculator!$F$19,1)),ABS(MOD(A254/Calculator!$F$19,1)-0.5))),1)</f>
        <v>0.233024561403508</v>
      </c>
      <c r="K254" s="138" t="n">
        <f aca="false">IF(Calculator!$E$20="YES",IF(A254&lt;Calculator!$G$20,0,MIN(MIN(MOD(A254/Calculator!$F$20,1),1-MOD(A254/Calculator!$F$20,1)),ABS(MOD(A254/Calculator!$F$20,1)-0.5))),1)</f>
        <v>0.0534385964912278</v>
      </c>
      <c r="L254" s="138" t="n">
        <f aca="false">IF(Calculator!$E$21="YES",IF(A254&lt;Calculator!$G$21,0,MIN(MIN(MOD(A254/Calculator!$F$21,1),1-MOD(A254/Calculator!$F$21,1)),ABS(MOD(A254/Calculator!$F$21,1)-0.5))),1)</f>
        <v>0.0891228070175441</v>
      </c>
      <c r="M254" s="138" t="n">
        <f aca="false">MIN(B254:L254)</f>
        <v>0</v>
      </c>
      <c r="N254" s="138" t="n">
        <f aca="false">SUMPRODUCT(($M$5:$M$555&gt;M254)*1)+SUMPRODUCT(($M$5:$M$555=M254)*(ROW($M$5:$M$555)&lt;ROW(M254)))+1</f>
        <v>475</v>
      </c>
      <c r="O254" s="138" t="str">
        <f aca="false">IF(M254&gt;=0.2,"★★★ EXCELLENT",IF(M254&gt;=0.12,"★★  GOOD",IF(M254&gt;=0.07,"★  FAIR",IF(M254&gt;=0.025,"⚠  MARGINAL","✗  AVOID"))))</f>
        <v>✗  AVOID</v>
      </c>
    </row>
    <row r="255" customFormat="false" ht="15" hidden="false" customHeight="false" outlineLevel="0" collapsed="false">
      <c r="A255" s="135" t="n">
        <v>30</v>
      </c>
      <c r="B255" s="136" t="n">
        <f aca="false">IF(Calculator!$E$11="YES",IF(A255&lt;Calculator!$G$11,0,MIN(MIN(MOD(A255/Calculator!$F$11,1),1-MOD(A255/Calculator!$F$11,1)),ABS(MOD(A255/Calculator!$F$11,1)-0.5))),1)</f>
        <v>0</v>
      </c>
      <c r="C255" s="136" t="n">
        <f aca="false">IF(Calculator!$E$12="YES",IF(A255&lt;Calculator!$G$12,0,MIN(MIN(MOD(A255/Calculator!$F$12,1),1-MOD(A255/Calculator!$F$12,1)),ABS(MOD(A255/Calculator!$F$12,1)-0.5))),1)</f>
        <v>0.231578947368421</v>
      </c>
      <c r="D255" s="136" t="n">
        <f aca="false">IF(Calculator!$E$13="YES",IF(A255&lt;Calculator!$G$13,0,MIN(MIN(MOD(A255/Calculator!$F$13,1),1-MOD(A255/Calculator!$F$13,1)),ABS(MOD(A255/Calculator!$F$13,1)-0.5))),1)</f>
        <v>0.128210526315789</v>
      </c>
      <c r="E255" s="136" t="n">
        <f aca="false">IF(Calculator!$E$14="YES",IF(A255&lt;Calculator!$G$14,0,MIN(MIN(MOD(A255/Calculator!$F$14,1),1-MOD(A255/Calculator!$F$14,1)),ABS(MOD(A255/Calculator!$F$14,1)-0.5))),1)</f>
        <v>0.00526315789473686</v>
      </c>
      <c r="F255" s="136" t="n">
        <f aca="false">IF(Calculator!$E$15="YES",IF(A255&lt;Calculator!$G$15,0,MIN(MIN(MOD(A255/Calculator!$F$15,1),1-MOD(A255/Calculator!$F$15,1)),ABS(MOD(A255/Calculator!$F$15,1)-0.5))),1)</f>
        <v>0.131578947368421</v>
      </c>
      <c r="G255" s="136" t="n">
        <f aca="false">IF(Calculator!$E$16="YES",IF(A255&lt;Calculator!$G$16,0,MIN(MIN(MOD(A255/Calculator!$F$16,1),1-MOD(A255/Calculator!$F$16,1)),ABS(MOD(A255/Calculator!$F$16,1)-0.5))),1)</f>
        <v>0.0157894736842104</v>
      </c>
      <c r="H255" s="136" t="n">
        <f aca="false">IF(Calculator!$E$17="YES",IF(A255&lt;Calculator!$G$17,0,MIN(MIN(MOD(A255/Calculator!$F$17,1),1-MOD(A255/Calculator!$F$17,1)),ABS(MOD(A255/Calculator!$F$17,1)-0.5))),1)</f>
        <v>0.185684210526315</v>
      </c>
      <c r="I255" s="136" t="n">
        <f aca="false">IF(Calculator!$E$18="YES",IF(A255&lt;Calculator!$G$18,0,MIN(MIN(MOD(A255/Calculator!$F$18,1),1-MOD(A255/Calculator!$F$18,1)),ABS(MOD(A255/Calculator!$F$18,1)-0.5))),1)</f>
        <v>0.0315789473684207</v>
      </c>
      <c r="J255" s="136" t="n">
        <f aca="false">IF(Calculator!$E$19="YES",IF(A255&lt;Calculator!$G$19,0,MIN(MIN(MOD(A255/Calculator!$F$19,1),1-MOD(A255/Calculator!$F$19,1)),ABS(MOD(A255/Calculator!$F$19,1)-0.5))),1)</f>
        <v>0.249473684210527</v>
      </c>
      <c r="K255" s="136" t="n">
        <f aca="false">IF(Calculator!$E$20="YES",IF(A255&lt;Calculator!$G$20,0,MIN(MIN(MOD(A255/Calculator!$F$20,1),1-MOD(A255/Calculator!$F$20,1)),ABS(MOD(A255/Calculator!$F$20,1)-0.5))),1)</f>
        <v>0.0736842105263156</v>
      </c>
      <c r="L255" s="136" t="n">
        <f aca="false">IF(Calculator!$E$21="YES",IF(A255&lt;Calculator!$G$21,0,MIN(MIN(MOD(A255/Calculator!$F$21,1),1-MOD(A255/Calculator!$F$21,1)),ABS(MOD(A255/Calculator!$F$21,1)-0.5))),1)</f>
        <v>0.0526315789473681</v>
      </c>
      <c r="M255" s="136" t="n">
        <f aca="false">MIN(B255:L255)</f>
        <v>0</v>
      </c>
      <c r="N255" s="136" t="n">
        <f aca="false">SUMPRODUCT(($M$5:$M$555&gt;M255)*1)+SUMPRODUCT(($M$5:$M$555=M255)*(ROW($M$5:$M$555)&lt;ROW(M255)))+1</f>
        <v>476</v>
      </c>
      <c r="O255" s="136" t="str">
        <f aca="false">IF(M255&gt;=0.2,"★★★ EXCELLENT",IF(M255&gt;=0.12,"★★  GOOD",IF(M255&gt;=0.07,"★  FAIR",IF(M255&gt;=0.025,"⚠  MARGINAL","✗  AVOID"))))</f>
        <v>✗  AVOID</v>
      </c>
    </row>
    <row r="256" customFormat="false" ht="15" hidden="false" customHeight="false" outlineLevel="0" collapsed="false">
      <c r="A256" s="137" t="n">
        <v>30.1</v>
      </c>
      <c r="B256" s="138" t="n">
        <f aca="false">IF(Calculator!$E$11="YES",IF(A256&lt;Calculator!$G$11,0,MIN(MIN(MOD(A256/Calculator!$F$11,1),1-MOD(A256/Calculator!$F$11,1)),ABS(MOD(A256/Calculator!$F$11,1)-0.5))),1)</f>
        <v>0</v>
      </c>
      <c r="C256" s="138" t="n">
        <f aca="false">IF(Calculator!$E$12="YES",IF(A256&lt;Calculator!$G$12,0,MIN(MIN(MOD(A256/Calculator!$F$12,1),1-MOD(A256/Calculator!$F$12,1)),ABS(MOD(A256/Calculator!$F$12,1)-0.5))),1)</f>
        <v>0.229017543859649</v>
      </c>
      <c r="D256" s="138" t="n">
        <f aca="false">IF(Calculator!$E$13="YES",IF(A256&lt;Calculator!$G$13,0,MIN(MIN(MOD(A256/Calculator!$F$13,1),1-MOD(A256/Calculator!$F$13,1)),ABS(MOD(A256/Calculator!$F$13,1)-0.5))),1)</f>
        <v>0.131971228070175</v>
      </c>
      <c r="E256" s="138" t="n">
        <f aca="false">IF(Calculator!$E$14="YES",IF(A256&lt;Calculator!$G$14,0,MIN(MIN(MOD(A256/Calculator!$F$14,1),1-MOD(A256/Calculator!$F$14,1)),ABS(MOD(A256/Calculator!$F$14,1)-0.5))),1)</f>
        <v>0.010280701754386</v>
      </c>
      <c r="F256" s="138" t="n">
        <f aca="false">IF(Calculator!$E$15="YES",IF(A256&lt;Calculator!$G$15,0,MIN(MIN(MOD(A256/Calculator!$F$15,1),1-MOD(A256/Calculator!$F$15,1)),ABS(MOD(A256/Calculator!$F$15,1)-0.5))),1)</f>
        <v>0.138684210526316</v>
      </c>
      <c r="G256" s="138" t="n">
        <f aca="false">IF(Calculator!$E$16="YES",IF(A256&lt;Calculator!$G$16,0,MIN(MIN(MOD(A256/Calculator!$F$16,1),1-MOD(A256/Calculator!$F$16,1)),ABS(MOD(A256/Calculator!$F$16,1)-0.5))),1)</f>
        <v>0.00584210526315765</v>
      </c>
      <c r="H256" s="138" t="n">
        <f aca="false">IF(Calculator!$E$17="YES",IF(A256&lt;Calculator!$G$17,0,MIN(MIN(MOD(A256/Calculator!$F$17,1),1-MOD(A256/Calculator!$F$17,1)),ABS(MOD(A256/Calculator!$F$17,1)-0.5))),1)</f>
        <v>0.172969824561403</v>
      </c>
      <c r="I256" s="138" t="n">
        <f aca="false">IF(Calculator!$E$18="YES",IF(A256&lt;Calculator!$G$18,0,MIN(MIN(MOD(A256/Calculator!$F$18,1),1-MOD(A256/Calculator!$F$18,1)),ABS(MOD(A256/Calculator!$F$18,1)-0.5))),1)</f>
        <v>0.0166842105263152</v>
      </c>
      <c r="J256" s="138" t="n">
        <f aca="false">IF(Calculator!$E$19="YES",IF(A256&lt;Calculator!$G$19,0,MIN(MIN(MOD(A256/Calculator!$F$19,1),1-MOD(A256/Calculator!$F$19,1)),ABS(MOD(A256/Calculator!$F$19,1)-0.5))),1)</f>
        <v>0.231971929824562</v>
      </c>
      <c r="K256" s="138" t="n">
        <f aca="false">IF(Calculator!$E$20="YES",IF(A256&lt;Calculator!$G$20,0,MIN(MIN(MOD(A256/Calculator!$F$20,1),1-MOD(A256/Calculator!$F$20,1)),ABS(MOD(A256/Calculator!$F$20,1)-0.5))),1)</f>
        <v>0.0939298245614033</v>
      </c>
      <c r="L256" s="138" t="n">
        <f aca="false">IF(Calculator!$E$21="YES",IF(A256&lt;Calculator!$G$21,0,MIN(MIN(MOD(A256/Calculator!$F$21,1),1-MOD(A256/Calculator!$F$21,1)),ABS(MOD(A256/Calculator!$F$21,1)-0.5))),1)</f>
        <v>0.0161403508771922</v>
      </c>
      <c r="M256" s="138" t="n">
        <f aca="false">MIN(B256:L256)</f>
        <v>0</v>
      </c>
      <c r="N256" s="138" t="n">
        <f aca="false">SUMPRODUCT(($M$5:$M$555&gt;M256)*1)+SUMPRODUCT(($M$5:$M$555=M256)*(ROW($M$5:$M$555)&lt;ROW(M256)))+1</f>
        <v>477</v>
      </c>
      <c r="O256" s="138" t="str">
        <f aca="false">IF(M256&gt;=0.2,"★★★ EXCELLENT",IF(M256&gt;=0.12,"★★  GOOD",IF(M256&gt;=0.07,"★  FAIR",IF(M256&gt;=0.025,"⚠  MARGINAL","✗  AVOID"))))</f>
        <v>✗  AVOID</v>
      </c>
    </row>
    <row r="257" customFormat="false" ht="15" hidden="false" customHeight="false" outlineLevel="0" collapsed="false">
      <c r="A257" s="135" t="n">
        <v>30.2</v>
      </c>
      <c r="B257" s="136" t="n">
        <f aca="false">IF(Calculator!$E$11="YES",IF(A257&lt;Calculator!$G$11,0,MIN(MIN(MOD(A257/Calculator!$F$11,1),1-MOD(A257/Calculator!$F$11,1)),ABS(MOD(A257/Calculator!$F$11,1)-0.5))),1)</f>
        <v>0</v>
      </c>
      <c r="C257" s="136" t="n">
        <f aca="false">IF(Calculator!$E$12="YES",IF(A257&lt;Calculator!$G$12,0,MIN(MIN(MOD(A257/Calculator!$F$12,1),1-MOD(A257/Calculator!$F$12,1)),ABS(MOD(A257/Calculator!$F$12,1)-0.5))),1)</f>
        <v>0.226456140350877</v>
      </c>
      <c r="D257" s="136" t="n">
        <f aca="false">IF(Calculator!$E$13="YES",IF(A257&lt;Calculator!$G$13,0,MIN(MIN(MOD(A257/Calculator!$F$13,1),1-MOD(A257/Calculator!$F$13,1)),ABS(MOD(A257/Calculator!$F$13,1)-0.5))),1)</f>
        <v>0.135731929824561</v>
      </c>
      <c r="E257" s="136" t="n">
        <f aca="false">IF(Calculator!$E$14="YES",IF(A257&lt;Calculator!$G$14,0,MIN(MIN(MOD(A257/Calculator!$F$14,1),1-MOD(A257/Calculator!$F$14,1)),ABS(MOD(A257/Calculator!$F$14,1)-0.5))),1)</f>
        <v>0.0152982456140351</v>
      </c>
      <c r="F257" s="136" t="n">
        <f aca="false">IF(Calculator!$E$15="YES",IF(A257&lt;Calculator!$G$15,0,MIN(MIN(MOD(A257/Calculator!$F$15,1),1-MOD(A257/Calculator!$F$15,1)),ABS(MOD(A257/Calculator!$F$15,1)-0.5))),1)</f>
        <v>0.14578947368421</v>
      </c>
      <c r="G257" s="136" t="n">
        <f aca="false">IF(Calculator!$E$16="YES",IF(A257&lt;Calculator!$G$16,0,MIN(MIN(MOD(A257/Calculator!$F$16,1),1-MOD(A257/Calculator!$F$16,1)),ABS(MOD(A257/Calculator!$F$16,1)-0.5))),1)</f>
        <v>0.00410526315789506</v>
      </c>
      <c r="H257" s="136" t="n">
        <f aca="false">IF(Calculator!$E$17="YES",IF(A257&lt;Calculator!$G$17,0,MIN(MIN(MOD(A257/Calculator!$F$17,1),1-MOD(A257/Calculator!$F$17,1)),ABS(MOD(A257/Calculator!$F$17,1)-0.5))),1)</f>
        <v>0.160255438596491</v>
      </c>
      <c r="I257" s="136" t="n">
        <f aca="false">IF(Calculator!$E$18="YES",IF(A257&lt;Calculator!$G$18,0,MIN(MIN(MOD(A257/Calculator!$F$18,1),1-MOD(A257/Calculator!$F$18,1)),ABS(MOD(A257/Calculator!$F$18,1)-0.5))),1)</f>
        <v>0.00178947368421056</v>
      </c>
      <c r="J257" s="136" t="n">
        <f aca="false">IF(Calculator!$E$19="YES",IF(A257&lt;Calculator!$G$19,0,MIN(MIN(MOD(A257/Calculator!$F$19,1),1-MOD(A257/Calculator!$F$19,1)),ABS(MOD(A257/Calculator!$F$19,1)-0.5))),1)</f>
        <v>0.214470175438597</v>
      </c>
      <c r="K257" s="136" t="n">
        <f aca="false">IF(Calculator!$E$20="YES",IF(A257&lt;Calculator!$G$20,0,MIN(MIN(MOD(A257/Calculator!$F$20,1),1-MOD(A257/Calculator!$F$20,1)),ABS(MOD(A257/Calculator!$F$20,1)-0.5))),1)</f>
        <v>0.114175438596491</v>
      </c>
      <c r="L257" s="136" t="n">
        <f aca="false">IF(Calculator!$E$21="YES",IF(A257&lt;Calculator!$G$21,0,MIN(MIN(MOD(A257/Calculator!$F$21,1),1-MOD(A257/Calculator!$F$21,1)),ABS(MOD(A257/Calculator!$F$21,1)-0.5))),1)</f>
        <v>0.0203508771929819</v>
      </c>
      <c r="M257" s="136" t="n">
        <f aca="false">MIN(B257:L257)</f>
        <v>0</v>
      </c>
      <c r="N257" s="136" t="n">
        <f aca="false">SUMPRODUCT(($M$5:$M$555&gt;M257)*1)+SUMPRODUCT(($M$5:$M$555=M257)*(ROW($M$5:$M$555)&lt;ROW(M257)))+1</f>
        <v>478</v>
      </c>
      <c r="O257" s="136" t="str">
        <f aca="false">IF(M257&gt;=0.2,"★★★ EXCELLENT",IF(M257&gt;=0.12,"★★  GOOD",IF(M257&gt;=0.07,"★  FAIR",IF(M257&gt;=0.025,"⚠  MARGINAL","✗  AVOID"))))</f>
        <v>✗  AVOID</v>
      </c>
    </row>
    <row r="258" customFormat="false" ht="15" hidden="false" customHeight="false" outlineLevel="0" collapsed="false">
      <c r="A258" s="137" t="n">
        <v>30.3</v>
      </c>
      <c r="B258" s="138" t="n">
        <f aca="false">IF(Calculator!$E$11="YES",IF(A258&lt;Calculator!$G$11,0,MIN(MIN(MOD(A258/Calculator!$F$11,1),1-MOD(A258/Calculator!$F$11,1)),ABS(MOD(A258/Calculator!$F$11,1)-0.5))),1)</f>
        <v>0</v>
      </c>
      <c r="C258" s="138" t="n">
        <f aca="false">IF(Calculator!$E$12="YES",IF(A258&lt;Calculator!$G$12,0,MIN(MIN(MOD(A258/Calculator!$F$12,1),1-MOD(A258/Calculator!$F$12,1)),ABS(MOD(A258/Calculator!$F$12,1)-0.5))),1)</f>
        <v>0.223894736842105</v>
      </c>
      <c r="D258" s="138" t="n">
        <f aca="false">IF(Calculator!$E$13="YES",IF(A258&lt;Calculator!$G$13,0,MIN(MIN(MOD(A258/Calculator!$F$13,1),1-MOD(A258/Calculator!$F$13,1)),ABS(MOD(A258/Calculator!$F$13,1)-0.5))),1)</f>
        <v>0.139492631578947</v>
      </c>
      <c r="E258" s="138" t="n">
        <f aca="false">IF(Calculator!$E$14="YES",IF(A258&lt;Calculator!$G$14,0,MIN(MIN(MOD(A258/Calculator!$F$14,1),1-MOD(A258/Calculator!$F$14,1)),ABS(MOD(A258/Calculator!$F$14,1)-0.5))),1)</f>
        <v>0.0203157894736843</v>
      </c>
      <c r="F258" s="138" t="n">
        <f aca="false">IF(Calculator!$E$15="YES",IF(A258&lt;Calculator!$G$15,0,MIN(MIN(MOD(A258/Calculator!$F$15,1),1-MOD(A258/Calculator!$F$15,1)),ABS(MOD(A258/Calculator!$F$15,1)-0.5))),1)</f>
        <v>0.152894736842105</v>
      </c>
      <c r="G258" s="138" t="n">
        <f aca="false">IF(Calculator!$E$16="YES",IF(A258&lt;Calculator!$G$16,0,MIN(MIN(MOD(A258/Calculator!$F$16,1),1-MOD(A258/Calculator!$F$16,1)),ABS(MOD(A258/Calculator!$F$16,1)-0.5))),1)</f>
        <v>0.0140526315789478</v>
      </c>
      <c r="H258" s="138" t="n">
        <f aca="false">IF(Calculator!$E$17="YES",IF(A258&lt;Calculator!$G$17,0,MIN(MIN(MOD(A258/Calculator!$F$17,1),1-MOD(A258/Calculator!$F$17,1)),ABS(MOD(A258/Calculator!$F$17,1)-0.5))),1)</f>
        <v>0.147541052631579</v>
      </c>
      <c r="I258" s="138" t="n">
        <f aca="false">IF(Calculator!$E$18="YES",IF(A258&lt;Calculator!$G$18,0,MIN(MIN(MOD(A258/Calculator!$F$18,1),1-MOD(A258/Calculator!$F$18,1)),ABS(MOD(A258/Calculator!$F$18,1)-0.5))),1)</f>
        <v>0.013105263157895</v>
      </c>
      <c r="J258" s="138" t="n">
        <f aca="false">IF(Calculator!$E$19="YES",IF(A258&lt;Calculator!$G$19,0,MIN(MIN(MOD(A258/Calculator!$F$19,1),1-MOD(A258/Calculator!$F$19,1)),ABS(MOD(A258/Calculator!$F$19,1)-0.5))),1)</f>
        <v>0.196968421052632</v>
      </c>
      <c r="K258" s="138" t="n">
        <f aca="false">IF(Calculator!$E$20="YES",IF(A258&lt;Calculator!$G$20,0,MIN(MIN(MOD(A258/Calculator!$F$20,1),1-MOD(A258/Calculator!$F$20,1)),ABS(MOD(A258/Calculator!$F$20,1)-0.5))),1)</f>
        <v>0.134421052631579</v>
      </c>
      <c r="L258" s="138" t="n">
        <f aca="false">IF(Calculator!$E$21="YES",IF(A258&lt;Calculator!$G$21,0,MIN(MIN(MOD(A258/Calculator!$F$21,1),1-MOD(A258/Calculator!$F$21,1)),ABS(MOD(A258/Calculator!$F$21,1)-0.5))),1)</f>
        <v>0.0568421052631578</v>
      </c>
      <c r="M258" s="138" t="n">
        <f aca="false">MIN(B258:L258)</f>
        <v>0</v>
      </c>
      <c r="N258" s="138" t="n">
        <f aca="false">SUMPRODUCT(($M$5:$M$555&gt;M258)*1)+SUMPRODUCT(($M$5:$M$555=M258)*(ROW($M$5:$M$555)&lt;ROW(M258)))+1</f>
        <v>479</v>
      </c>
      <c r="O258" s="138" t="str">
        <f aca="false">IF(M258&gt;=0.2,"★★★ EXCELLENT",IF(M258&gt;=0.12,"★★  GOOD",IF(M258&gt;=0.07,"★  FAIR",IF(M258&gt;=0.025,"⚠  MARGINAL","✗  AVOID"))))</f>
        <v>✗  AVOID</v>
      </c>
    </row>
    <row r="259" customFormat="false" ht="15" hidden="false" customHeight="false" outlineLevel="0" collapsed="false">
      <c r="A259" s="135" t="n">
        <v>30.4</v>
      </c>
      <c r="B259" s="136" t="n">
        <f aca="false">IF(Calculator!$E$11="YES",IF(A259&lt;Calculator!$G$11,0,MIN(MIN(MOD(A259/Calculator!$F$11,1),1-MOD(A259/Calculator!$F$11,1)),ABS(MOD(A259/Calculator!$F$11,1)-0.5))),1)</f>
        <v>0</v>
      </c>
      <c r="C259" s="136" t="n">
        <f aca="false">IF(Calculator!$E$12="YES",IF(A259&lt;Calculator!$G$12,0,MIN(MIN(MOD(A259/Calculator!$F$12,1),1-MOD(A259/Calculator!$F$12,1)),ABS(MOD(A259/Calculator!$F$12,1)-0.5))),1)</f>
        <v>0.221333333333333</v>
      </c>
      <c r="D259" s="136" t="n">
        <f aca="false">IF(Calculator!$E$13="YES",IF(A259&lt;Calculator!$G$13,0,MIN(MIN(MOD(A259/Calculator!$F$13,1),1-MOD(A259/Calculator!$F$13,1)),ABS(MOD(A259/Calculator!$F$13,1)-0.5))),1)</f>
        <v>0.143253333333333</v>
      </c>
      <c r="E259" s="136" t="n">
        <f aca="false">IF(Calculator!$E$14="YES",IF(A259&lt;Calculator!$G$14,0,MIN(MIN(MOD(A259/Calculator!$F$14,1),1-MOD(A259/Calculator!$F$14,1)),ABS(MOD(A259/Calculator!$F$14,1)-0.5))),1)</f>
        <v>0.0253333333333332</v>
      </c>
      <c r="F259" s="136" t="n">
        <f aca="false">IF(Calculator!$E$15="YES",IF(A259&lt;Calculator!$G$15,0,MIN(MIN(MOD(A259/Calculator!$F$15,1),1-MOD(A259/Calculator!$F$15,1)),ABS(MOD(A259/Calculator!$F$15,1)-0.5))),1)</f>
        <v>0.16</v>
      </c>
      <c r="G259" s="136" t="n">
        <f aca="false">IF(Calculator!$E$16="YES",IF(A259&lt;Calculator!$G$16,0,MIN(MIN(MOD(A259/Calculator!$F$16,1),1-MOD(A259/Calculator!$F$16,1)),ABS(MOD(A259/Calculator!$F$16,1)-0.5))),1)</f>
        <v>0.024</v>
      </c>
      <c r="H259" s="136" t="n">
        <f aca="false">IF(Calculator!$E$17="YES",IF(A259&lt;Calculator!$G$17,0,MIN(MIN(MOD(A259/Calculator!$F$17,1),1-MOD(A259/Calculator!$F$17,1)),ABS(MOD(A259/Calculator!$F$17,1)-0.5))),1)</f>
        <v>0.134826666666666</v>
      </c>
      <c r="I259" s="136" t="n">
        <f aca="false">IF(Calculator!$E$18="YES",IF(A259&lt;Calculator!$G$18,0,MIN(MIN(MOD(A259/Calculator!$F$18,1),1-MOD(A259/Calculator!$F$18,1)),ABS(MOD(A259/Calculator!$F$18,1)-0.5))),1)</f>
        <v>0.0279999999999996</v>
      </c>
      <c r="J259" s="136" t="n">
        <f aca="false">IF(Calculator!$E$19="YES",IF(A259&lt;Calculator!$G$19,0,MIN(MIN(MOD(A259/Calculator!$F$19,1),1-MOD(A259/Calculator!$F$19,1)),ABS(MOD(A259/Calculator!$F$19,1)-0.5))),1)</f>
        <v>0.179466666666668</v>
      </c>
      <c r="K259" s="136" t="n">
        <f aca="false">IF(Calculator!$E$20="YES",IF(A259&lt;Calculator!$G$20,0,MIN(MIN(MOD(A259/Calculator!$F$20,1),1-MOD(A259/Calculator!$F$20,1)),ABS(MOD(A259/Calculator!$F$20,1)-0.5))),1)</f>
        <v>0.154666666666667</v>
      </c>
      <c r="L259" s="136" t="n">
        <f aca="false">IF(Calculator!$E$21="YES",IF(A259&lt;Calculator!$G$21,0,MIN(MIN(MOD(A259/Calculator!$F$21,1),1-MOD(A259/Calculator!$F$21,1)),ABS(MOD(A259/Calculator!$F$21,1)-0.5))),1)</f>
        <v>0.0933333333333319</v>
      </c>
      <c r="M259" s="136" t="n">
        <f aca="false">MIN(B259:L259)</f>
        <v>0</v>
      </c>
      <c r="N259" s="136" t="n">
        <f aca="false">SUMPRODUCT(($M$5:$M$555&gt;M259)*1)+SUMPRODUCT(($M$5:$M$555=M259)*(ROW($M$5:$M$555)&lt;ROW(M259)))+1</f>
        <v>480</v>
      </c>
      <c r="O259" s="136" t="str">
        <f aca="false">IF(M259&gt;=0.2,"★★★ EXCELLENT",IF(M259&gt;=0.12,"★★  GOOD",IF(M259&gt;=0.07,"★  FAIR",IF(M259&gt;=0.025,"⚠  MARGINAL","✗  AVOID"))))</f>
        <v>✗  AVOID</v>
      </c>
    </row>
    <row r="260" customFormat="false" ht="15" hidden="false" customHeight="false" outlineLevel="0" collapsed="false">
      <c r="A260" s="137" t="n">
        <v>30.5</v>
      </c>
      <c r="B260" s="138" t="n">
        <f aca="false">IF(Calculator!$E$11="YES",IF(A260&lt;Calculator!$G$11,0,MIN(MIN(MOD(A260/Calculator!$F$11,1),1-MOD(A260/Calculator!$F$11,1)),ABS(MOD(A260/Calculator!$F$11,1)-0.5))),1)</f>
        <v>0</v>
      </c>
      <c r="C260" s="138" t="n">
        <f aca="false">IF(Calculator!$E$12="YES",IF(A260&lt;Calculator!$G$12,0,MIN(MIN(MOD(A260/Calculator!$F$12,1),1-MOD(A260/Calculator!$F$12,1)),ABS(MOD(A260/Calculator!$F$12,1)-0.5))),1)</f>
        <v>0.218771929824561</v>
      </c>
      <c r="D260" s="138" t="n">
        <f aca="false">IF(Calculator!$E$13="YES",IF(A260&lt;Calculator!$G$13,0,MIN(MIN(MOD(A260/Calculator!$F$13,1),1-MOD(A260/Calculator!$F$13,1)),ABS(MOD(A260/Calculator!$F$13,1)-0.5))),1)</f>
        <v>0.147014035087719</v>
      </c>
      <c r="E260" s="138" t="n">
        <f aca="false">IF(Calculator!$E$14="YES",IF(A260&lt;Calculator!$G$14,0,MIN(MIN(MOD(A260/Calculator!$F$14,1),1-MOD(A260/Calculator!$F$14,1)),ABS(MOD(A260/Calculator!$F$14,1)-0.5))),1)</f>
        <v>0.0303508771929826</v>
      </c>
      <c r="F260" s="138" t="n">
        <f aca="false">IF(Calculator!$E$15="YES",IF(A260&lt;Calculator!$G$15,0,MIN(MIN(MOD(A260/Calculator!$F$15,1),1-MOD(A260/Calculator!$F$15,1)),ABS(MOD(A260/Calculator!$F$15,1)-0.5))),1)</f>
        <v>0.167105263157895</v>
      </c>
      <c r="G260" s="138" t="n">
        <f aca="false">IF(Calculator!$E$16="YES",IF(A260&lt;Calculator!$G$16,0,MIN(MIN(MOD(A260/Calculator!$F$16,1),1-MOD(A260/Calculator!$F$16,1)),ABS(MOD(A260/Calculator!$F$16,1)-0.5))),1)</f>
        <v>0.0339473684210527</v>
      </c>
      <c r="H260" s="138" t="n">
        <f aca="false">IF(Calculator!$E$17="YES",IF(A260&lt;Calculator!$G$17,0,MIN(MIN(MOD(A260/Calculator!$F$17,1),1-MOD(A260/Calculator!$F$17,1)),ABS(MOD(A260/Calculator!$F$17,1)-0.5))),1)</f>
        <v>0.122112280701754</v>
      </c>
      <c r="I260" s="138" t="n">
        <f aca="false">IF(Calculator!$E$18="YES",IF(A260&lt;Calculator!$G$18,0,MIN(MIN(MOD(A260/Calculator!$F$18,1),1-MOD(A260/Calculator!$F$18,1)),ABS(MOD(A260/Calculator!$F$18,1)-0.5))),1)</f>
        <v>0.0428947368421051</v>
      </c>
      <c r="J260" s="138" t="n">
        <f aca="false">IF(Calculator!$E$19="YES",IF(A260&lt;Calculator!$G$19,0,MIN(MIN(MOD(A260/Calculator!$F$19,1),1-MOD(A260/Calculator!$F$19,1)),ABS(MOD(A260/Calculator!$F$19,1)-0.5))),1)</f>
        <v>0.161964912280703</v>
      </c>
      <c r="K260" s="138" t="n">
        <f aca="false">IF(Calculator!$E$20="YES",IF(A260&lt;Calculator!$G$20,0,MIN(MIN(MOD(A260/Calculator!$F$20,1),1-MOD(A260/Calculator!$F$20,1)),ABS(MOD(A260/Calculator!$F$20,1)-0.5))),1)</f>
        <v>0.174912280701754</v>
      </c>
      <c r="L260" s="138" t="n">
        <f aca="false">IF(Calculator!$E$21="YES",IF(A260&lt;Calculator!$G$21,0,MIN(MIN(MOD(A260/Calculator!$F$21,1),1-MOD(A260/Calculator!$F$21,1)),ABS(MOD(A260/Calculator!$F$21,1)-0.5))),1)</f>
        <v>0.129824561403508</v>
      </c>
      <c r="M260" s="138" t="n">
        <f aca="false">MIN(B260:L260)</f>
        <v>0</v>
      </c>
      <c r="N260" s="138" t="n">
        <f aca="false">SUMPRODUCT(($M$5:$M$555&gt;M260)*1)+SUMPRODUCT(($M$5:$M$555=M260)*(ROW($M$5:$M$555)&lt;ROW(M260)))+1</f>
        <v>481</v>
      </c>
      <c r="O260" s="138" t="str">
        <f aca="false">IF(M260&gt;=0.2,"★★★ EXCELLENT",IF(M260&gt;=0.12,"★★  GOOD",IF(M260&gt;=0.07,"★  FAIR",IF(M260&gt;=0.025,"⚠  MARGINAL","✗  AVOID"))))</f>
        <v>✗  AVOID</v>
      </c>
    </row>
    <row r="261" customFormat="false" ht="15" hidden="false" customHeight="false" outlineLevel="0" collapsed="false">
      <c r="A261" s="135" t="n">
        <v>30.6</v>
      </c>
      <c r="B261" s="136" t="n">
        <f aca="false">IF(Calculator!$E$11="YES",IF(A261&lt;Calculator!$G$11,0,MIN(MIN(MOD(A261/Calculator!$F$11,1),1-MOD(A261/Calculator!$F$11,1)),ABS(MOD(A261/Calculator!$F$11,1)-0.5))),1)</f>
        <v>0</v>
      </c>
      <c r="C261" s="136" t="n">
        <f aca="false">IF(Calculator!$E$12="YES",IF(A261&lt;Calculator!$G$12,0,MIN(MIN(MOD(A261/Calculator!$F$12,1),1-MOD(A261/Calculator!$F$12,1)),ABS(MOD(A261/Calculator!$F$12,1)-0.5))),1)</f>
        <v>0.216210526315789</v>
      </c>
      <c r="D261" s="136" t="n">
        <f aca="false">IF(Calculator!$E$13="YES",IF(A261&lt;Calculator!$G$13,0,MIN(MIN(MOD(A261/Calculator!$F$13,1),1-MOD(A261/Calculator!$F$13,1)),ABS(MOD(A261/Calculator!$F$13,1)-0.5))),1)</f>
        <v>0.150774736842105</v>
      </c>
      <c r="E261" s="136" t="n">
        <f aca="false">IF(Calculator!$E$14="YES",IF(A261&lt;Calculator!$G$14,0,MIN(MIN(MOD(A261/Calculator!$F$14,1),1-MOD(A261/Calculator!$F$14,1)),ABS(MOD(A261/Calculator!$F$14,1)-0.5))),1)</f>
        <v>0.0353684210526317</v>
      </c>
      <c r="F261" s="136" t="n">
        <f aca="false">IF(Calculator!$E$15="YES",IF(A261&lt;Calculator!$G$15,0,MIN(MIN(MOD(A261/Calculator!$F$15,1),1-MOD(A261/Calculator!$F$15,1)),ABS(MOD(A261/Calculator!$F$15,1)-0.5))),1)</f>
        <v>0.17421052631579</v>
      </c>
      <c r="G261" s="136" t="n">
        <f aca="false">IF(Calculator!$E$16="YES",IF(A261&lt;Calculator!$G$16,0,MIN(MIN(MOD(A261/Calculator!$F$16,1),1-MOD(A261/Calculator!$F$16,1)),ABS(MOD(A261/Calculator!$F$16,1)-0.5))),1)</f>
        <v>0.0438947368421054</v>
      </c>
      <c r="H261" s="136" t="n">
        <f aca="false">IF(Calculator!$E$17="YES",IF(A261&lt;Calculator!$G$17,0,MIN(MIN(MOD(A261/Calculator!$F$17,1),1-MOD(A261/Calculator!$F$17,1)),ABS(MOD(A261/Calculator!$F$17,1)-0.5))),1)</f>
        <v>0.109397894736841</v>
      </c>
      <c r="I261" s="136" t="n">
        <f aca="false">IF(Calculator!$E$18="YES",IF(A261&lt;Calculator!$G$18,0,MIN(MIN(MOD(A261/Calculator!$F$18,1),1-MOD(A261/Calculator!$F$18,1)),ABS(MOD(A261/Calculator!$F$18,1)-0.5))),1)</f>
        <v>0.0577894736842106</v>
      </c>
      <c r="J261" s="136" t="n">
        <f aca="false">IF(Calculator!$E$19="YES",IF(A261&lt;Calculator!$G$19,0,MIN(MIN(MOD(A261/Calculator!$F$19,1),1-MOD(A261/Calculator!$F$19,1)),ABS(MOD(A261/Calculator!$F$19,1)-0.5))),1)</f>
        <v>0.144463157894737</v>
      </c>
      <c r="K261" s="136" t="n">
        <f aca="false">IF(Calculator!$E$20="YES",IF(A261&lt;Calculator!$G$20,0,MIN(MIN(MOD(A261/Calculator!$F$20,1),1-MOD(A261/Calculator!$F$20,1)),ABS(MOD(A261/Calculator!$F$20,1)-0.5))),1)</f>
        <v>0.195157894736842</v>
      </c>
      <c r="L261" s="136" t="n">
        <f aca="false">IF(Calculator!$E$21="YES",IF(A261&lt;Calculator!$G$21,0,MIN(MIN(MOD(A261/Calculator!$F$21,1),1-MOD(A261/Calculator!$F$21,1)),ABS(MOD(A261/Calculator!$F$21,1)-0.5))),1)</f>
        <v>0.166315789473684</v>
      </c>
      <c r="M261" s="136" t="n">
        <f aca="false">MIN(B261:L261)</f>
        <v>0</v>
      </c>
      <c r="N261" s="136" t="n">
        <f aca="false">SUMPRODUCT(($M$5:$M$555&gt;M261)*1)+SUMPRODUCT(($M$5:$M$555=M261)*(ROW($M$5:$M$555)&lt;ROW(M261)))+1</f>
        <v>482</v>
      </c>
      <c r="O261" s="136" t="str">
        <f aca="false">IF(M261&gt;=0.2,"★★★ EXCELLENT",IF(M261&gt;=0.12,"★★  GOOD",IF(M261&gt;=0.07,"★  FAIR",IF(M261&gt;=0.025,"⚠  MARGINAL","✗  AVOID"))))</f>
        <v>✗  AVOID</v>
      </c>
    </row>
    <row r="262" customFormat="false" ht="15" hidden="false" customHeight="false" outlineLevel="0" collapsed="false">
      <c r="A262" s="137" t="n">
        <v>30.7</v>
      </c>
      <c r="B262" s="138" t="n">
        <f aca="false">IF(Calculator!$E$11="YES",IF(A262&lt;Calculator!$G$11,0,MIN(MIN(MOD(A262/Calculator!$F$11,1),1-MOD(A262/Calculator!$F$11,1)),ABS(MOD(A262/Calculator!$F$11,1)-0.5))),1)</f>
        <v>0</v>
      </c>
      <c r="C262" s="138" t="n">
        <f aca="false">IF(Calculator!$E$12="YES",IF(A262&lt;Calculator!$G$12,0,MIN(MIN(MOD(A262/Calculator!$F$12,1),1-MOD(A262/Calculator!$F$12,1)),ABS(MOD(A262/Calculator!$F$12,1)-0.5))),1)</f>
        <v>0.213649122807018</v>
      </c>
      <c r="D262" s="138" t="n">
        <f aca="false">IF(Calculator!$E$13="YES",IF(A262&lt;Calculator!$G$13,0,MIN(MIN(MOD(A262/Calculator!$F$13,1),1-MOD(A262/Calculator!$F$13,1)),ABS(MOD(A262/Calculator!$F$13,1)-0.5))),1)</f>
        <v>0.154535438596491</v>
      </c>
      <c r="E262" s="138" t="n">
        <f aca="false">IF(Calculator!$E$14="YES",IF(A262&lt;Calculator!$G$14,0,MIN(MIN(MOD(A262/Calculator!$F$14,1),1-MOD(A262/Calculator!$F$14,1)),ABS(MOD(A262/Calculator!$F$14,1)-0.5))),1)</f>
        <v>0.0403859649122806</v>
      </c>
      <c r="F262" s="138" t="n">
        <f aca="false">IF(Calculator!$E$15="YES",IF(A262&lt;Calculator!$G$15,0,MIN(MIN(MOD(A262/Calculator!$F$15,1),1-MOD(A262/Calculator!$F$15,1)),ABS(MOD(A262/Calculator!$F$15,1)-0.5))),1)</f>
        <v>0.181315789473684</v>
      </c>
      <c r="G262" s="138" t="n">
        <f aca="false">IF(Calculator!$E$16="YES",IF(A262&lt;Calculator!$G$16,0,MIN(MIN(MOD(A262/Calculator!$F$16,1),1-MOD(A262/Calculator!$F$16,1)),ABS(MOD(A262/Calculator!$F$16,1)-0.5))),1)</f>
        <v>0.0538421052631581</v>
      </c>
      <c r="H262" s="138" t="n">
        <f aca="false">IF(Calculator!$E$17="YES",IF(A262&lt;Calculator!$G$17,0,MIN(MIN(MOD(A262/Calculator!$F$17,1),1-MOD(A262/Calculator!$F$17,1)),ABS(MOD(A262/Calculator!$F$17,1)-0.5))),1)</f>
        <v>0.0966835087719296</v>
      </c>
      <c r="I262" s="138" t="n">
        <f aca="false">IF(Calculator!$E$18="YES",IF(A262&lt;Calculator!$G$18,0,MIN(MIN(MOD(A262/Calculator!$F$18,1),1-MOD(A262/Calculator!$F$18,1)),ABS(MOD(A262/Calculator!$F$18,1)-0.5))),1)</f>
        <v>0.0726842105263161</v>
      </c>
      <c r="J262" s="138" t="n">
        <f aca="false">IF(Calculator!$E$19="YES",IF(A262&lt;Calculator!$G$19,0,MIN(MIN(MOD(A262/Calculator!$F$19,1),1-MOD(A262/Calculator!$F$19,1)),ABS(MOD(A262/Calculator!$F$19,1)-0.5))),1)</f>
        <v>0.126961403508773</v>
      </c>
      <c r="K262" s="138" t="n">
        <f aca="false">IF(Calculator!$E$20="YES",IF(A262&lt;Calculator!$G$20,0,MIN(MIN(MOD(A262/Calculator!$F$20,1),1-MOD(A262/Calculator!$F$20,1)),ABS(MOD(A262/Calculator!$F$20,1)-0.5))),1)</f>
        <v>0.21540350877193</v>
      </c>
      <c r="L262" s="138" t="n">
        <f aca="false">IF(Calculator!$E$21="YES",IF(A262&lt;Calculator!$G$21,0,MIN(MIN(MOD(A262/Calculator!$F$21,1),1-MOD(A262/Calculator!$F$21,1)),ABS(MOD(A262/Calculator!$F$21,1)-0.5))),1)</f>
        <v>0.20280701754386</v>
      </c>
      <c r="M262" s="138" t="n">
        <f aca="false">MIN(B262:L262)</f>
        <v>0</v>
      </c>
      <c r="N262" s="138" t="n">
        <f aca="false">SUMPRODUCT(($M$5:$M$555&gt;M262)*1)+SUMPRODUCT(($M$5:$M$555=M262)*(ROW($M$5:$M$555)&lt;ROW(M262)))+1</f>
        <v>483</v>
      </c>
      <c r="O262" s="138" t="str">
        <f aca="false">IF(M262&gt;=0.2,"★★★ EXCELLENT",IF(M262&gt;=0.12,"★★  GOOD",IF(M262&gt;=0.07,"★  FAIR",IF(M262&gt;=0.025,"⚠  MARGINAL","✗  AVOID"))))</f>
        <v>✗  AVOID</v>
      </c>
    </row>
    <row r="263" customFormat="false" ht="15" hidden="false" customHeight="false" outlineLevel="0" collapsed="false">
      <c r="A263" s="135" t="n">
        <v>30.8</v>
      </c>
      <c r="B263" s="136" t="n">
        <f aca="false">IF(Calculator!$E$11="YES",IF(A263&lt;Calculator!$G$11,0,MIN(MIN(MOD(A263/Calculator!$F$11,1),1-MOD(A263/Calculator!$F$11,1)),ABS(MOD(A263/Calculator!$F$11,1)-0.5))),1)</f>
        <v>0</v>
      </c>
      <c r="C263" s="136" t="n">
        <f aca="false">IF(Calculator!$E$12="YES",IF(A263&lt;Calculator!$G$12,0,MIN(MIN(MOD(A263/Calculator!$F$12,1),1-MOD(A263/Calculator!$F$12,1)),ABS(MOD(A263/Calculator!$F$12,1)-0.5))),1)</f>
        <v>0.211087719298246</v>
      </c>
      <c r="D263" s="136" t="n">
        <f aca="false">IF(Calculator!$E$13="YES",IF(A263&lt;Calculator!$G$13,0,MIN(MIN(MOD(A263/Calculator!$F$13,1),1-MOD(A263/Calculator!$F$13,1)),ABS(MOD(A263/Calculator!$F$13,1)-0.5))),1)</f>
        <v>0.158296140350877</v>
      </c>
      <c r="E263" s="136" t="n">
        <f aca="false">IF(Calculator!$E$14="YES",IF(A263&lt;Calculator!$G$14,0,MIN(MIN(MOD(A263/Calculator!$F$14,1),1-MOD(A263/Calculator!$F$14,1)),ABS(MOD(A263/Calculator!$F$14,1)-0.5))),1)</f>
        <v>0.0454035087719298</v>
      </c>
      <c r="F263" s="136" t="n">
        <f aca="false">IF(Calculator!$E$15="YES",IF(A263&lt;Calculator!$G$15,0,MIN(MIN(MOD(A263/Calculator!$F$15,1),1-MOD(A263/Calculator!$F$15,1)),ABS(MOD(A263/Calculator!$F$15,1)-0.5))),1)</f>
        <v>0.188421052631579</v>
      </c>
      <c r="G263" s="136" t="n">
        <f aca="false">IF(Calculator!$E$16="YES",IF(A263&lt;Calculator!$G$16,0,MIN(MIN(MOD(A263/Calculator!$F$16,1),1-MOD(A263/Calculator!$F$16,1)),ABS(MOD(A263/Calculator!$F$16,1)-0.5))),1)</f>
        <v>0.0637894736842108</v>
      </c>
      <c r="H263" s="136" t="n">
        <f aca="false">IF(Calculator!$E$17="YES",IF(A263&lt;Calculator!$G$17,0,MIN(MIN(MOD(A263/Calculator!$F$17,1),1-MOD(A263/Calculator!$F$17,1)),ABS(MOD(A263/Calculator!$F$17,1)-0.5))),1)</f>
        <v>0.0839691228070172</v>
      </c>
      <c r="I263" s="136" t="n">
        <f aca="false">IF(Calculator!$E$18="YES",IF(A263&lt;Calculator!$G$18,0,MIN(MIN(MOD(A263/Calculator!$F$18,1),1-MOD(A263/Calculator!$F$18,1)),ABS(MOD(A263/Calculator!$F$18,1)-0.5))),1)</f>
        <v>0.0875789473684216</v>
      </c>
      <c r="J263" s="136" t="n">
        <f aca="false">IF(Calculator!$E$19="YES",IF(A263&lt;Calculator!$G$19,0,MIN(MIN(MOD(A263/Calculator!$F$19,1),1-MOD(A263/Calculator!$F$19,1)),ABS(MOD(A263/Calculator!$F$19,1)-0.5))),1)</f>
        <v>0.109459649122808</v>
      </c>
      <c r="K263" s="136" t="n">
        <f aca="false">IF(Calculator!$E$20="YES",IF(A263&lt;Calculator!$G$20,0,MIN(MIN(MOD(A263/Calculator!$F$20,1),1-MOD(A263/Calculator!$F$20,1)),ABS(MOD(A263/Calculator!$F$20,1)-0.5))),1)</f>
        <v>0.235649122807017</v>
      </c>
      <c r="L263" s="136" t="n">
        <f aca="false">IF(Calculator!$E$21="YES",IF(A263&lt;Calculator!$G$21,0,MIN(MIN(MOD(A263/Calculator!$F$21,1),1-MOD(A263/Calculator!$F$21,1)),ABS(MOD(A263/Calculator!$F$21,1)-0.5))),1)</f>
        <v>0.239298245614036</v>
      </c>
      <c r="M263" s="136" t="n">
        <f aca="false">MIN(B263:L263)</f>
        <v>0</v>
      </c>
      <c r="N263" s="136" t="n">
        <f aca="false">SUMPRODUCT(($M$5:$M$555&gt;M263)*1)+SUMPRODUCT(($M$5:$M$555=M263)*(ROW($M$5:$M$555)&lt;ROW(M263)))+1</f>
        <v>484</v>
      </c>
      <c r="O263" s="136" t="str">
        <f aca="false">IF(M263&gt;=0.2,"★★★ EXCELLENT",IF(M263&gt;=0.12,"★★  GOOD",IF(M263&gt;=0.07,"★  FAIR",IF(M263&gt;=0.025,"⚠  MARGINAL","✗  AVOID"))))</f>
        <v>✗  AVOID</v>
      </c>
    </row>
    <row r="264" customFormat="false" ht="15" hidden="false" customHeight="false" outlineLevel="0" collapsed="false">
      <c r="A264" s="137" t="n">
        <v>30.9</v>
      </c>
      <c r="B264" s="138" t="n">
        <f aca="false">IF(Calculator!$E$11="YES",IF(A264&lt;Calculator!$G$11,0,MIN(MIN(MOD(A264/Calculator!$F$11,1),1-MOD(A264/Calculator!$F$11,1)),ABS(MOD(A264/Calculator!$F$11,1)-0.5))),1)</f>
        <v>0</v>
      </c>
      <c r="C264" s="138" t="n">
        <f aca="false">IF(Calculator!$E$12="YES",IF(A264&lt;Calculator!$G$12,0,MIN(MIN(MOD(A264/Calculator!$F$12,1),1-MOD(A264/Calculator!$F$12,1)),ABS(MOD(A264/Calculator!$F$12,1)-0.5))),1)</f>
        <v>0.208526315789474</v>
      </c>
      <c r="D264" s="138" t="n">
        <f aca="false">IF(Calculator!$E$13="YES",IF(A264&lt;Calculator!$G$13,0,MIN(MIN(MOD(A264/Calculator!$F$13,1),1-MOD(A264/Calculator!$F$13,1)),ABS(MOD(A264/Calculator!$F$13,1)-0.5))),1)</f>
        <v>0.162056842105263</v>
      </c>
      <c r="E264" s="138" t="n">
        <f aca="false">IF(Calculator!$E$14="YES",IF(A264&lt;Calculator!$G$14,0,MIN(MIN(MOD(A264/Calculator!$F$14,1),1-MOD(A264/Calculator!$F$14,1)),ABS(MOD(A264/Calculator!$F$14,1)-0.5))),1)</f>
        <v>0.0504210526315789</v>
      </c>
      <c r="F264" s="138" t="n">
        <f aca="false">IF(Calculator!$E$15="YES",IF(A264&lt;Calculator!$G$15,0,MIN(MIN(MOD(A264/Calculator!$F$15,1),1-MOD(A264/Calculator!$F$15,1)),ABS(MOD(A264/Calculator!$F$15,1)-0.5))),1)</f>
        <v>0.195526315789473</v>
      </c>
      <c r="G264" s="138" t="n">
        <f aca="false">IF(Calculator!$E$16="YES",IF(A264&lt;Calculator!$G$16,0,MIN(MIN(MOD(A264/Calculator!$F$16,1),1-MOD(A264/Calculator!$F$16,1)),ABS(MOD(A264/Calculator!$F$16,1)-0.5))),1)</f>
        <v>0.0737368421052631</v>
      </c>
      <c r="H264" s="138" t="n">
        <f aca="false">IF(Calculator!$E$17="YES",IF(A264&lt;Calculator!$G$17,0,MIN(MIN(MOD(A264/Calculator!$F$17,1),1-MOD(A264/Calculator!$F$17,1)),ABS(MOD(A264/Calculator!$F$17,1)-0.5))),1)</f>
        <v>0.0712547368421048</v>
      </c>
      <c r="I264" s="138" t="n">
        <f aca="false">IF(Calculator!$E$18="YES",IF(A264&lt;Calculator!$G$18,0,MIN(MIN(MOD(A264/Calculator!$F$18,1),1-MOD(A264/Calculator!$F$18,1)),ABS(MOD(A264/Calculator!$F$18,1)-0.5))),1)</f>
        <v>0.102473684210526</v>
      </c>
      <c r="J264" s="138" t="n">
        <f aca="false">IF(Calculator!$E$19="YES",IF(A264&lt;Calculator!$G$19,0,MIN(MIN(MOD(A264/Calculator!$F$19,1),1-MOD(A264/Calculator!$F$19,1)),ABS(MOD(A264/Calculator!$F$19,1)-0.5))),1)</f>
        <v>0.0919578947368436</v>
      </c>
      <c r="K264" s="138" t="n">
        <f aca="false">IF(Calculator!$E$20="YES",IF(A264&lt;Calculator!$G$20,0,MIN(MIN(MOD(A264/Calculator!$F$20,1),1-MOD(A264/Calculator!$F$20,1)),ABS(MOD(A264/Calculator!$F$20,1)-0.5))),1)</f>
        <v>0.244105263157895</v>
      </c>
      <c r="L264" s="138" t="n">
        <f aca="false">IF(Calculator!$E$21="YES",IF(A264&lt;Calculator!$G$21,0,MIN(MIN(MOD(A264/Calculator!$F$21,1),1-MOD(A264/Calculator!$F$21,1)),ABS(MOD(A264/Calculator!$F$21,1)-0.5))),1)</f>
        <v>0.22421052631579</v>
      </c>
      <c r="M264" s="138" t="n">
        <f aca="false">MIN(B264:L264)</f>
        <v>0</v>
      </c>
      <c r="N264" s="138" t="n">
        <f aca="false">SUMPRODUCT(($M$5:$M$555&gt;M264)*1)+SUMPRODUCT(($M$5:$M$555=M264)*(ROW($M$5:$M$555)&lt;ROW(M264)))+1</f>
        <v>485</v>
      </c>
      <c r="O264" s="138" t="str">
        <f aca="false">IF(M264&gt;=0.2,"★★★ EXCELLENT",IF(M264&gt;=0.12,"★★  GOOD",IF(M264&gt;=0.07,"★  FAIR",IF(M264&gt;=0.025,"⚠  MARGINAL","✗  AVOID"))))</f>
        <v>✗  AVOID</v>
      </c>
    </row>
    <row r="265" customFormat="false" ht="15" hidden="false" customHeight="false" outlineLevel="0" collapsed="false">
      <c r="A265" s="135" t="n">
        <v>31</v>
      </c>
      <c r="B265" s="136" t="n">
        <f aca="false">IF(Calculator!$E$11="YES",IF(A265&lt;Calculator!$G$11,0,MIN(MIN(MOD(A265/Calculator!$F$11,1),1-MOD(A265/Calculator!$F$11,1)),ABS(MOD(A265/Calculator!$F$11,1)-0.5))),1)</f>
        <v>0</v>
      </c>
      <c r="C265" s="136" t="n">
        <f aca="false">IF(Calculator!$E$12="YES",IF(A265&lt;Calculator!$G$12,0,MIN(MIN(MOD(A265/Calculator!$F$12,1),1-MOD(A265/Calculator!$F$12,1)),ABS(MOD(A265/Calculator!$F$12,1)-0.5))),1)</f>
        <v>0.205964912280702</v>
      </c>
      <c r="D265" s="136" t="n">
        <f aca="false">IF(Calculator!$E$13="YES",IF(A265&lt;Calculator!$G$13,0,MIN(MIN(MOD(A265/Calculator!$F$13,1),1-MOD(A265/Calculator!$F$13,1)),ABS(MOD(A265/Calculator!$F$13,1)-0.5))),1)</f>
        <v>0.165817543859649</v>
      </c>
      <c r="E265" s="136" t="n">
        <f aca="false">IF(Calculator!$E$14="YES",IF(A265&lt;Calculator!$G$14,0,MIN(MIN(MOD(A265/Calculator!$F$14,1),1-MOD(A265/Calculator!$F$14,1)),ABS(MOD(A265/Calculator!$F$14,1)-0.5))),1)</f>
        <v>0.0554385964912281</v>
      </c>
      <c r="F265" s="136" t="n">
        <f aca="false">IF(Calculator!$E$15="YES",IF(A265&lt;Calculator!$G$15,0,MIN(MIN(MOD(A265/Calculator!$F$15,1),1-MOD(A265/Calculator!$F$15,1)),ABS(MOD(A265/Calculator!$F$15,1)-0.5))),1)</f>
        <v>0.202631578947369</v>
      </c>
      <c r="G265" s="136" t="n">
        <f aca="false">IF(Calculator!$E$16="YES",IF(A265&lt;Calculator!$G$16,0,MIN(MIN(MOD(A265/Calculator!$F$16,1),1-MOD(A265/Calculator!$F$16,1)),ABS(MOD(A265/Calculator!$F$16,1)-0.5))),1)</f>
        <v>0.0836842105263163</v>
      </c>
      <c r="H265" s="136" t="n">
        <f aca="false">IF(Calculator!$E$17="YES",IF(A265&lt;Calculator!$G$17,0,MIN(MIN(MOD(A265/Calculator!$F$17,1),1-MOD(A265/Calculator!$F$17,1)),ABS(MOD(A265/Calculator!$F$17,1)-0.5))),1)</f>
        <v>0.0585403508771925</v>
      </c>
      <c r="I265" s="136" t="n">
        <f aca="false">IF(Calculator!$E$18="YES",IF(A265&lt;Calculator!$G$18,0,MIN(MIN(MOD(A265/Calculator!$F$18,1),1-MOD(A265/Calculator!$F$18,1)),ABS(MOD(A265/Calculator!$F$18,1)-0.5))),1)</f>
        <v>0.117368421052632</v>
      </c>
      <c r="J265" s="136" t="n">
        <f aca="false">IF(Calculator!$E$19="YES",IF(A265&lt;Calculator!$G$19,0,MIN(MIN(MOD(A265/Calculator!$F$19,1),1-MOD(A265/Calculator!$F$19,1)),ABS(MOD(A265/Calculator!$F$19,1)-0.5))),1)</f>
        <v>0.0744561403508781</v>
      </c>
      <c r="K265" s="136" t="n">
        <f aca="false">IF(Calculator!$E$20="YES",IF(A265&lt;Calculator!$G$20,0,MIN(MIN(MOD(A265/Calculator!$F$20,1),1-MOD(A265/Calculator!$F$20,1)),ABS(MOD(A265/Calculator!$F$20,1)-0.5))),1)</f>
        <v>0.223859649122807</v>
      </c>
      <c r="L265" s="136" t="n">
        <f aca="false">IF(Calculator!$E$21="YES",IF(A265&lt;Calculator!$G$21,0,MIN(MIN(MOD(A265/Calculator!$F$21,1),1-MOD(A265/Calculator!$F$21,1)),ABS(MOD(A265/Calculator!$F$21,1)-0.5))),1)</f>
        <v>0.187719298245614</v>
      </c>
      <c r="M265" s="136" t="n">
        <f aca="false">MIN(B265:L265)</f>
        <v>0</v>
      </c>
      <c r="N265" s="136" t="n">
        <f aca="false">SUMPRODUCT(($M$5:$M$555&gt;M265)*1)+SUMPRODUCT(($M$5:$M$555=M265)*(ROW($M$5:$M$555)&lt;ROW(M265)))+1</f>
        <v>486</v>
      </c>
      <c r="O265" s="136" t="str">
        <f aca="false">IF(M265&gt;=0.2,"★★★ EXCELLENT",IF(M265&gt;=0.12,"★★  GOOD",IF(M265&gt;=0.07,"★  FAIR",IF(M265&gt;=0.025,"⚠  MARGINAL","✗  AVOID"))))</f>
        <v>✗  AVOID</v>
      </c>
    </row>
    <row r="266" customFormat="false" ht="15" hidden="false" customHeight="false" outlineLevel="0" collapsed="false">
      <c r="A266" s="137" t="n">
        <v>31.1</v>
      </c>
      <c r="B266" s="138" t="n">
        <f aca="false">IF(Calculator!$E$11="YES",IF(A266&lt;Calculator!$G$11,0,MIN(MIN(MOD(A266/Calculator!$F$11,1),1-MOD(A266/Calculator!$F$11,1)),ABS(MOD(A266/Calculator!$F$11,1)-0.5))),1)</f>
        <v>0</v>
      </c>
      <c r="C266" s="138" t="n">
        <f aca="false">IF(Calculator!$E$12="YES",IF(A266&lt;Calculator!$G$12,0,MIN(MIN(MOD(A266/Calculator!$F$12,1),1-MOD(A266/Calculator!$F$12,1)),ABS(MOD(A266/Calculator!$F$12,1)-0.5))),1)</f>
        <v>0.20340350877193</v>
      </c>
      <c r="D266" s="138" t="n">
        <f aca="false">IF(Calculator!$E$13="YES",IF(A266&lt;Calculator!$G$13,0,MIN(MIN(MOD(A266/Calculator!$F$13,1),1-MOD(A266/Calculator!$F$13,1)),ABS(MOD(A266/Calculator!$F$13,1)-0.5))),1)</f>
        <v>0.169578245614035</v>
      </c>
      <c r="E266" s="138" t="n">
        <f aca="false">IF(Calculator!$E$14="YES",IF(A266&lt;Calculator!$G$14,0,MIN(MIN(MOD(A266/Calculator!$F$14,1),1-MOD(A266/Calculator!$F$14,1)),ABS(MOD(A266/Calculator!$F$14,1)-0.5))),1)</f>
        <v>0.0604561403508772</v>
      </c>
      <c r="F266" s="138" t="n">
        <f aca="false">IF(Calculator!$E$15="YES",IF(A266&lt;Calculator!$G$15,0,MIN(MIN(MOD(A266/Calculator!$F$15,1),1-MOD(A266/Calculator!$F$15,1)),ABS(MOD(A266/Calculator!$F$15,1)-0.5))),1)</f>
        <v>0.209736842105263</v>
      </c>
      <c r="G266" s="138" t="n">
        <f aca="false">IF(Calculator!$E$16="YES",IF(A266&lt;Calculator!$G$16,0,MIN(MIN(MOD(A266/Calculator!$F$16,1),1-MOD(A266/Calculator!$F$16,1)),ABS(MOD(A266/Calculator!$F$16,1)-0.5))),1)</f>
        <v>0.093631578947369</v>
      </c>
      <c r="H266" s="138" t="n">
        <f aca="false">IF(Calculator!$E$17="YES",IF(A266&lt;Calculator!$G$17,0,MIN(MIN(MOD(A266/Calculator!$F$17,1),1-MOD(A266/Calculator!$F$17,1)),ABS(MOD(A266/Calculator!$F$17,1)-0.5))),1)</f>
        <v>0.0458259649122801</v>
      </c>
      <c r="I266" s="138" t="n">
        <f aca="false">IF(Calculator!$E$18="YES",IF(A266&lt;Calculator!$G$18,0,MIN(MIN(MOD(A266/Calculator!$F$18,1),1-MOD(A266/Calculator!$F$18,1)),ABS(MOD(A266/Calculator!$F$18,1)-0.5))),1)</f>
        <v>0.132263157894737</v>
      </c>
      <c r="J266" s="138" t="n">
        <f aca="false">IF(Calculator!$E$19="YES",IF(A266&lt;Calculator!$G$19,0,MIN(MIN(MOD(A266/Calculator!$F$19,1),1-MOD(A266/Calculator!$F$19,1)),ABS(MOD(A266/Calculator!$F$19,1)-0.5))),1)</f>
        <v>0.0569543859649126</v>
      </c>
      <c r="K266" s="138" t="n">
        <f aca="false">IF(Calculator!$E$20="YES",IF(A266&lt;Calculator!$G$20,0,MIN(MIN(MOD(A266/Calculator!$F$20,1),1-MOD(A266/Calculator!$F$20,1)),ABS(MOD(A266/Calculator!$F$20,1)-0.5))),1)</f>
        <v>0.203614035087719</v>
      </c>
      <c r="L266" s="138" t="n">
        <f aca="false">IF(Calculator!$E$21="YES",IF(A266&lt;Calculator!$G$21,0,MIN(MIN(MOD(A266/Calculator!$F$21,1),1-MOD(A266/Calculator!$F$21,1)),ABS(MOD(A266/Calculator!$F$21,1)-0.5))),1)</f>
        <v>0.151228070175439</v>
      </c>
      <c r="M266" s="138" t="n">
        <f aca="false">MIN(B266:L266)</f>
        <v>0</v>
      </c>
      <c r="N266" s="138" t="n">
        <f aca="false">SUMPRODUCT(($M$5:$M$555&gt;M266)*1)+SUMPRODUCT(($M$5:$M$555=M266)*(ROW($M$5:$M$555)&lt;ROW(M266)))+1</f>
        <v>487</v>
      </c>
      <c r="O266" s="138" t="str">
        <f aca="false">IF(M266&gt;=0.2,"★★★ EXCELLENT",IF(M266&gt;=0.12,"★★  GOOD",IF(M266&gt;=0.07,"★  FAIR",IF(M266&gt;=0.025,"⚠  MARGINAL","✗  AVOID"))))</f>
        <v>✗  AVOID</v>
      </c>
    </row>
    <row r="267" customFormat="false" ht="15" hidden="false" customHeight="false" outlineLevel="0" collapsed="false">
      <c r="A267" s="135" t="n">
        <v>31.2</v>
      </c>
      <c r="B267" s="136" t="n">
        <f aca="false">IF(Calculator!$E$11="YES",IF(A267&lt;Calculator!$G$11,0,MIN(MIN(MOD(A267/Calculator!$F$11,1),1-MOD(A267/Calculator!$F$11,1)),ABS(MOD(A267/Calculator!$F$11,1)-0.5))),1)</f>
        <v>0</v>
      </c>
      <c r="C267" s="136" t="n">
        <f aca="false">IF(Calculator!$E$12="YES",IF(A267&lt;Calculator!$G$12,0,MIN(MIN(MOD(A267/Calculator!$F$12,1),1-MOD(A267/Calculator!$F$12,1)),ABS(MOD(A267/Calculator!$F$12,1)-0.5))),1)</f>
        <v>0.200842105263158</v>
      </c>
      <c r="D267" s="136" t="n">
        <f aca="false">IF(Calculator!$E$13="YES",IF(A267&lt;Calculator!$G$13,0,MIN(MIN(MOD(A267/Calculator!$F$13,1),1-MOD(A267/Calculator!$F$13,1)),ABS(MOD(A267/Calculator!$F$13,1)-0.5))),1)</f>
        <v>0.173338947368421</v>
      </c>
      <c r="E267" s="136" t="n">
        <f aca="false">IF(Calculator!$E$14="YES",IF(A267&lt;Calculator!$G$14,0,MIN(MIN(MOD(A267/Calculator!$F$14,1),1-MOD(A267/Calculator!$F$14,1)),ABS(MOD(A267/Calculator!$F$14,1)-0.5))),1)</f>
        <v>0.0654736842105264</v>
      </c>
      <c r="F267" s="136" t="n">
        <f aca="false">IF(Calculator!$E$15="YES",IF(A267&lt;Calculator!$G$15,0,MIN(MIN(MOD(A267/Calculator!$F$15,1),1-MOD(A267/Calculator!$F$15,1)),ABS(MOD(A267/Calculator!$F$15,1)-0.5))),1)</f>
        <v>0.216842105263158</v>
      </c>
      <c r="G267" s="136" t="n">
        <f aca="false">IF(Calculator!$E$16="YES",IF(A267&lt;Calculator!$G$16,0,MIN(MIN(MOD(A267/Calculator!$F$16,1),1-MOD(A267/Calculator!$F$16,1)),ABS(MOD(A267/Calculator!$F$16,1)-0.5))),1)</f>
        <v>0.103578947368421</v>
      </c>
      <c r="H267" s="136" t="n">
        <f aca="false">IF(Calculator!$E$17="YES",IF(A267&lt;Calculator!$G$17,0,MIN(MIN(MOD(A267/Calculator!$F$17,1),1-MOD(A267/Calculator!$F$17,1)),ABS(MOD(A267/Calculator!$F$17,1)-0.5))),1)</f>
        <v>0.0331115789473682</v>
      </c>
      <c r="I267" s="136" t="n">
        <f aca="false">IF(Calculator!$E$18="YES",IF(A267&lt;Calculator!$G$18,0,MIN(MIN(MOD(A267/Calculator!$F$18,1),1-MOD(A267/Calculator!$F$18,1)),ABS(MOD(A267/Calculator!$F$18,1)-0.5))),1)</f>
        <v>0.147157894736842</v>
      </c>
      <c r="J267" s="136" t="n">
        <f aca="false">IF(Calculator!$E$19="YES",IF(A267&lt;Calculator!$G$19,0,MIN(MIN(MOD(A267/Calculator!$F$19,1),1-MOD(A267/Calculator!$F$19,1)),ABS(MOD(A267/Calculator!$F$19,1)-0.5))),1)</f>
        <v>0.0394526315789481</v>
      </c>
      <c r="K267" s="136" t="n">
        <f aca="false">IF(Calculator!$E$20="YES",IF(A267&lt;Calculator!$G$20,0,MIN(MIN(MOD(A267/Calculator!$F$20,1),1-MOD(A267/Calculator!$F$20,1)),ABS(MOD(A267/Calculator!$F$20,1)-0.5))),1)</f>
        <v>0.183368421052632</v>
      </c>
      <c r="L267" s="136" t="n">
        <f aca="false">IF(Calculator!$E$21="YES",IF(A267&lt;Calculator!$G$21,0,MIN(MIN(MOD(A267/Calculator!$F$21,1),1-MOD(A267/Calculator!$F$21,1)),ABS(MOD(A267/Calculator!$F$21,1)-0.5))),1)</f>
        <v>0.114736842105264</v>
      </c>
      <c r="M267" s="136" t="n">
        <f aca="false">MIN(B267:L267)</f>
        <v>0</v>
      </c>
      <c r="N267" s="136" t="n">
        <f aca="false">SUMPRODUCT(($M$5:$M$555&gt;M267)*1)+SUMPRODUCT(($M$5:$M$555=M267)*(ROW($M$5:$M$555)&lt;ROW(M267)))+1</f>
        <v>488</v>
      </c>
      <c r="O267" s="136" t="str">
        <f aca="false">IF(M267&gt;=0.2,"★★★ EXCELLENT",IF(M267&gt;=0.12,"★★  GOOD",IF(M267&gt;=0.07,"★  FAIR",IF(M267&gt;=0.025,"⚠  MARGINAL","✗  AVOID"))))</f>
        <v>✗  AVOID</v>
      </c>
    </row>
    <row r="268" customFormat="false" ht="15" hidden="false" customHeight="false" outlineLevel="0" collapsed="false">
      <c r="A268" s="137" t="n">
        <v>31.3</v>
      </c>
      <c r="B268" s="138" t="n">
        <f aca="false">IF(Calculator!$E$11="YES",IF(A268&lt;Calculator!$G$11,0,MIN(MIN(MOD(A268/Calculator!$F$11,1),1-MOD(A268/Calculator!$F$11,1)),ABS(MOD(A268/Calculator!$F$11,1)-0.5))),1)</f>
        <v>0</v>
      </c>
      <c r="C268" s="138" t="n">
        <f aca="false">IF(Calculator!$E$12="YES",IF(A268&lt;Calculator!$G$12,0,MIN(MIN(MOD(A268/Calculator!$F$12,1),1-MOD(A268/Calculator!$F$12,1)),ABS(MOD(A268/Calculator!$F$12,1)-0.5))),1)</f>
        <v>0.198280701754386</v>
      </c>
      <c r="D268" s="138" t="n">
        <f aca="false">IF(Calculator!$E$13="YES",IF(A268&lt;Calculator!$G$13,0,MIN(MIN(MOD(A268/Calculator!$F$13,1),1-MOD(A268/Calculator!$F$13,1)),ABS(MOD(A268/Calculator!$F$13,1)-0.5))),1)</f>
        <v>0.177099649122807</v>
      </c>
      <c r="E268" s="138" t="n">
        <f aca="false">IF(Calculator!$E$14="YES",IF(A268&lt;Calculator!$G$14,0,MIN(MIN(MOD(A268/Calculator!$F$14,1),1-MOD(A268/Calculator!$F$14,1)),ABS(MOD(A268/Calculator!$F$14,1)-0.5))),1)</f>
        <v>0.0704912280701755</v>
      </c>
      <c r="F268" s="138" t="n">
        <f aca="false">IF(Calculator!$E$15="YES",IF(A268&lt;Calculator!$G$15,0,MIN(MIN(MOD(A268/Calculator!$F$15,1),1-MOD(A268/Calculator!$F$15,1)),ABS(MOD(A268/Calculator!$F$15,1)-0.5))),1)</f>
        <v>0.223947368421053</v>
      </c>
      <c r="G268" s="138" t="n">
        <f aca="false">IF(Calculator!$E$16="YES",IF(A268&lt;Calculator!$G$16,0,MIN(MIN(MOD(A268/Calculator!$F$16,1),1-MOD(A268/Calculator!$F$16,1)),ABS(MOD(A268/Calculator!$F$16,1)-0.5))),1)</f>
        <v>0.113526315789474</v>
      </c>
      <c r="H268" s="138" t="n">
        <f aca="false">IF(Calculator!$E$17="YES",IF(A268&lt;Calculator!$G$17,0,MIN(MIN(MOD(A268/Calculator!$F$17,1),1-MOD(A268/Calculator!$F$17,1)),ABS(MOD(A268/Calculator!$F$17,1)-0.5))),1)</f>
        <v>0.0203971929824558</v>
      </c>
      <c r="I268" s="138" t="n">
        <f aca="false">IF(Calculator!$E$18="YES",IF(A268&lt;Calculator!$G$18,0,MIN(MIN(MOD(A268/Calculator!$F$18,1),1-MOD(A268/Calculator!$F$18,1)),ABS(MOD(A268/Calculator!$F$18,1)-0.5))),1)</f>
        <v>0.162052631578947</v>
      </c>
      <c r="J268" s="138" t="n">
        <f aca="false">IF(Calculator!$E$19="YES",IF(A268&lt;Calculator!$G$19,0,MIN(MIN(MOD(A268/Calculator!$F$19,1),1-MOD(A268/Calculator!$F$19,1)),ABS(MOD(A268/Calculator!$F$19,1)-0.5))),1)</f>
        <v>0.0219508771929835</v>
      </c>
      <c r="K268" s="138" t="n">
        <f aca="false">IF(Calculator!$E$20="YES",IF(A268&lt;Calculator!$G$20,0,MIN(MIN(MOD(A268/Calculator!$F$20,1),1-MOD(A268/Calculator!$F$20,1)),ABS(MOD(A268/Calculator!$F$20,1)-0.5))),1)</f>
        <v>0.163122807017544</v>
      </c>
      <c r="L268" s="138" t="n">
        <f aca="false">IF(Calculator!$E$21="YES",IF(A268&lt;Calculator!$G$21,0,MIN(MIN(MOD(A268/Calculator!$F$21,1),1-MOD(A268/Calculator!$F$21,1)),ABS(MOD(A268/Calculator!$F$21,1)-0.5))),1)</f>
        <v>0.0782456140350885</v>
      </c>
      <c r="M268" s="138" t="n">
        <f aca="false">MIN(B268:L268)</f>
        <v>0</v>
      </c>
      <c r="N268" s="138" t="n">
        <f aca="false">SUMPRODUCT(($M$5:$M$555&gt;M268)*1)+SUMPRODUCT(($M$5:$M$555=M268)*(ROW($M$5:$M$555)&lt;ROW(M268)))+1</f>
        <v>489</v>
      </c>
      <c r="O268" s="138" t="str">
        <f aca="false">IF(M268&gt;=0.2,"★★★ EXCELLENT",IF(M268&gt;=0.12,"★★  GOOD",IF(M268&gt;=0.07,"★  FAIR",IF(M268&gt;=0.025,"⚠  MARGINAL","✗  AVOID"))))</f>
        <v>✗  AVOID</v>
      </c>
    </row>
    <row r="269" customFormat="false" ht="15" hidden="false" customHeight="false" outlineLevel="0" collapsed="false">
      <c r="A269" s="135" t="n">
        <v>31.4</v>
      </c>
      <c r="B269" s="136" t="n">
        <f aca="false">IF(Calculator!$E$11="YES",IF(A269&lt;Calculator!$G$11,0,MIN(MIN(MOD(A269/Calculator!$F$11,1),1-MOD(A269/Calculator!$F$11,1)),ABS(MOD(A269/Calculator!$F$11,1)-0.5))),1)</f>
        <v>0</v>
      </c>
      <c r="C269" s="136" t="n">
        <f aca="false">IF(Calculator!$E$12="YES",IF(A269&lt;Calculator!$G$12,0,MIN(MIN(MOD(A269/Calculator!$F$12,1),1-MOD(A269/Calculator!$F$12,1)),ABS(MOD(A269/Calculator!$F$12,1)-0.5))),1)</f>
        <v>0.195719298245614</v>
      </c>
      <c r="D269" s="136" t="n">
        <f aca="false">IF(Calculator!$E$13="YES",IF(A269&lt;Calculator!$G$13,0,MIN(MIN(MOD(A269/Calculator!$F$13,1),1-MOD(A269/Calculator!$F$13,1)),ABS(MOD(A269/Calculator!$F$13,1)-0.5))),1)</f>
        <v>0.180860350877193</v>
      </c>
      <c r="E269" s="136" t="n">
        <f aca="false">IF(Calculator!$E$14="YES",IF(A269&lt;Calculator!$G$14,0,MIN(MIN(MOD(A269/Calculator!$F$14,1),1-MOD(A269/Calculator!$F$14,1)),ABS(MOD(A269/Calculator!$F$14,1)-0.5))),1)</f>
        <v>0.0755087719298244</v>
      </c>
      <c r="F269" s="136" t="n">
        <f aca="false">IF(Calculator!$E$15="YES",IF(A269&lt;Calculator!$G$15,0,MIN(MIN(MOD(A269/Calculator!$F$15,1),1-MOD(A269/Calculator!$F$15,1)),ABS(MOD(A269/Calculator!$F$15,1)-0.5))),1)</f>
        <v>0.231052631578947</v>
      </c>
      <c r="G269" s="136" t="n">
        <f aca="false">IF(Calculator!$E$16="YES",IF(A269&lt;Calculator!$G$16,0,MIN(MIN(MOD(A269/Calculator!$F$16,1),1-MOD(A269/Calculator!$F$16,1)),ABS(MOD(A269/Calculator!$F$16,1)-0.5))),1)</f>
        <v>0.123473684210527</v>
      </c>
      <c r="H269" s="136" t="n">
        <f aca="false">IF(Calculator!$E$17="YES",IF(A269&lt;Calculator!$G$17,0,MIN(MIN(MOD(A269/Calculator!$F$17,1),1-MOD(A269/Calculator!$F$17,1)),ABS(MOD(A269/Calculator!$F$17,1)-0.5))),1)</f>
        <v>0.00768280701754343</v>
      </c>
      <c r="I269" s="136" t="n">
        <f aca="false">IF(Calculator!$E$18="YES",IF(A269&lt;Calculator!$G$18,0,MIN(MIN(MOD(A269/Calculator!$F$18,1),1-MOD(A269/Calculator!$F$18,1)),ABS(MOD(A269/Calculator!$F$18,1)-0.5))),1)</f>
        <v>0.176947368421053</v>
      </c>
      <c r="J269" s="136" t="n">
        <f aca="false">IF(Calculator!$E$19="YES",IF(A269&lt;Calculator!$G$19,0,MIN(MIN(MOD(A269/Calculator!$F$19,1),1-MOD(A269/Calculator!$F$19,1)),ABS(MOD(A269/Calculator!$F$19,1)-0.5))),1)</f>
        <v>0.00444912280701892</v>
      </c>
      <c r="K269" s="136" t="n">
        <f aca="false">IF(Calculator!$E$20="YES",IF(A269&lt;Calculator!$G$20,0,MIN(MIN(MOD(A269/Calculator!$F$20,1),1-MOD(A269/Calculator!$F$20,1)),ABS(MOD(A269/Calculator!$F$20,1)-0.5))),1)</f>
        <v>0.142877192982456</v>
      </c>
      <c r="L269" s="136" t="n">
        <f aca="false">IF(Calculator!$E$21="YES",IF(A269&lt;Calculator!$G$21,0,MIN(MIN(MOD(A269/Calculator!$F$21,1),1-MOD(A269/Calculator!$F$21,1)),ABS(MOD(A269/Calculator!$F$21,1)-0.5))),1)</f>
        <v>0.0417543859649125</v>
      </c>
      <c r="M269" s="136" t="n">
        <f aca="false">MIN(B269:L269)</f>
        <v>0</v>
      </c>
      <c r="N269" s="136" t="n">
        <f aca="false">SUMPRODUCT(($M$5:$M$555&gt;M269)*1)+SUMPRODUCT(($M$5:$M$555=M269)*(ROW($M$5:$M$555)&lt;ROW(M269)))+1</f>
        <v>490</v>
      </c>
      <c r="O269" s="136" t="str">
        <f aca="false">IF(M269&gt;=0.2,"★★★ EXCELLENT",IF(M269&gt;=0.12,"★★  GOOD",IF(M269&gt;=0.07,"★  FAIR",IF(M269&gt;=0.025,"⚠  MARGINAL","✗  AVOID"))))</f>
        <v>✗  AVOID</v>
      </c>
    </row>
    <row r="270" customFormat="false" ht="15" hidden="false" customHeight="false" outlineLevel="0" collapsed="false">
      <c r="A270" s="137" t="n">
        <v>31.5</v>
      </c>
      <c r="B270" s="138" t="n">
        <f aca="false">IF(Calculator!$E$11="YES",IF(A270&lt;Calculator!$G$11,0,MIN(MIN(MOD(A270/Calculator!$F$11,1),1-MOD(A270/Calculator!$F$11,1)),ABS(MOD(A270/Calculator!$F$11,1)-0.5))),1)</f>
        <v>0</v>
      </c>
      <c r="C270" s="138" t="n">
        <f aca="false">IF(Calculator!$E$12="YES",IF(A270&lt;Calculator!$G$12,0,MIN(MIN(MOD(A270/Calculator!$F$12,1),1-MOD(A270/Calculator!$F$12,1)),ABS(MOD(A270/Calculator!$F$12,1)-0.5))),1)</f>
        <v>0.193157894736842</v>
      </c>
      <c r="D270" s="138" t="n">
        <f aca="false">IF(Calculator!$E$13="YES",IF(A270&lt;Calculator!$G$13,0,MIN(MIN(MOD(A270/Calculator!$F$13,1),1-MOD(A270/Calculator!$F$13,1)),ABS(MOD(A270/Calculator!$F$13,1)-0.5))),1)</f>
        <v>0.184621052631579</v>
      </c>
      <c r="E270" s="138" t="n">
        <f aca="false">IF(Calculator!$E$14="YES",IF(A270&lt;Calculator!$G$14,0,MIN(MIN(MOD(A270/Calculator!$F$14,1),1-MOD(A270/Calculator!$F$14,1)),ABS(MOD(A270/Calculator!$F$14,1)-0.5))),1)</f>
        <v>0.0805263157894738</v>
      </c>
      <c r="F270" s="138" t="n">
        <f aca="false">IF(Calculator!$E$15="YES",IF(A270&lt;Calculator!$G$15,0,MIN(MIN(MOD(A270/Calculator!$F$15,1),1-MOD(A270/Calculator!$F$15,1)),ABS(MOD(A270/Calculator!$F$15,1)-0.5))),1)</f>
        <v>0.238157894736842</v>
      </c>
      <c r="G270" s="138" t="n">
        <f aca="false">IF(Calculator!$E$16="YES",IF(A270&lt;Calculator!$G$16,0,MIN(MIN(MOD(A270/Calculator!$F$16,1),1-MOD(A270/Calculator!$F$16,1)),ABS(MOD(A270/Calculator!$F$16,1)-0.5))),1)</f>
        <v>0.133421052631579</v>
      </c>
      <c r="H270" s="138" t="n">
        <f aca="false">IF(Calculator!$E$17="YES",IF(A270&lt;Calculator!$G$17,0,MIN(MIN(MOD(A270/Calculator!$F$17,1),1-MOD(A270/Calculator!$F$17,1)),ABS(MOD(A270/Calculator!$F$17,1)-0.5))),1)</f>
        <v>0.00503157894736894</v>
      </c>
      <c r="I270" s="138" t="n">
        <f aca="false">IF(Calculator!$E$18="YES",IF(A270&lt;Calculator!$G$18,0,MIN(MIN(MOD(A270/Calculator!$F$18,1),1-MOD(A270/Calculator!$F$18,1)),ABS(MOD(A270/Calculator!$F$18,1)-0.5))),1)</f>
        <v>0.191842105263158</v>
      </c>
      <c r="J270" s="138" t="n">
        <f aca="false">IF(Calculator!$E$19="YES",IF(A270&lt;Calculator!$G$19,0,MIN(MIN(MOD(A270/Calculator!$F$19,1),1-MOD(A270/Calculator!$F$19,1)),ABS(MOD(A270/Calculator!$F$19,1)-0.5))),1)</f>
        <v>0.0130526315789465</v>
      </c>
      <c r="K270" s="138" t="n">
        <f aca="false">IF(Calculator!$E$20="YES",IF(A270&lt;Calculator!$G$20,0,MIN(MIN(MOD(A270/Calculator!$F$20,1),1-MOD(A270/Calculator!$F$20,1)),ABS(MOD(A270/Calculator!$F$20,1)-0.5))),1)</f>
        <v>0.122631578947368</v>
      </c>
      <c r="L270" s="138" t="n">
        <f aca="false">IF(Calculator!$E$21="YES",IF(A270&lt;Calculator!$G$21,0,MIN(MIN(MOD(A270/Calculator!$F$21,1),1-MOD(A270/Calculator!$F$21,1)),ABS(MOD(A270/Calculator!$F$21,1)-0.5))),1)</f>
        <v>0.00526315789473664</v>
      </c>
      <c r="M270" s="138" t="n">
        <f aca="false">MIN(B270:L270)</f>
        <v>0</v>
      </c>
      <c r="N270" s="138" t="n">
        <f aca="false">SUMPRODUCT(($M$5:$M$555&gt;M270)*1)+SUMPRODUCT(($M$5:$M$555=M270)*(ROW($M$5:$M$555)&lt;ROW(M270)))+1</f>
        <v>491</v>
      </c>
      <c r="O270" s="138" t="str">
        <f aca="false">IF(M270&gt;=0.2,"★★★ EXCELLENT",IF(M270&gt;=0.12,"★★  GOOD",IF(M270&gt;=0.07,"★  FAIR",IF(M270&gt;=0.025,"⚠  MARGINAL","✗  AVOID"))))</f>
        <v>✗  AVOID</v>
      </c>
    </row>
    <row r="271" customFormat="false" ht="15" hidden="false" customHeight="false" outlineLevel="0" collapsed="false">
      <c r="A271" s="135" t="n">
        <v>31.6</v>
      </c>
      <c r="B271" s="136" t="n">
        <f aca="false">IF(Calculator!$E$11="YES",IF(A271&lt;Calculator!$G$11,0,MIN(MIN(MOD(A271/Calculator!$F$11,1),1-MOD(A271/Calculator!$F$11,1)),ABS(MOD(A271/Calculator!$F$11,1)-0.5))),1)</f>
        <v>0</v>
      </c>
      <c r="C271" s="136" t="n">
        <f aca="false">IF(Calculator!$E$12="YES",IF(A271&lt;Calculator!$G$12,0,MIN(MIN(MOD(A271/Calculator!$F$12,1),1-MOD(A271/Calculator!$F$12,1)),ABS(MOD(A271/Calculator!$F$12,1)-0.5))),1)</f>
        <v>0.19059649122807</v>
      </c>
      <c r="D271" s="136" t="n">
        <f aca="false">IF(Calculator!$E$13="YES",IF(A271&lt;Calculator!$G$13,0,MIN(MIN(MOD(A271/Calculator!$F$13,1),1-MOD(A271/Calculator!$F$13,1)),ABS(MOD(A271/Calculator!$F$13,1)-0.5))),1)</f>
        <v>0.188381754385965</v>
      </c>
      <c r="E271" s="136" t="n">
        <f aca="false">IF(Calculator!$E$14="YES",IF(A271&lt;Calculator!$G$14,0,MIN(MIN(MOD(A271/Calculator!$F$14,1),1-MOD(A271/Calculator!$F$14,1)),ABS(MOD(A271/Calculator!$F$14,1)-0.5))),1)</f>
        <v>0.0855438596491229</v>
      </c>
      <c r="F271" s="136" t="n">
        <f aca="false">IF(Calculator!$E$15="YES",IF(A271&lt;Calculator!$G$15,0,MIN(MIN(MOD(A271/Calculator!$F$15,1),1-MOD(A271/Calculator!$F$15,1)),ABS(MOD(A271/Calculator!$F$15,1)-0.5))),1)</f>
        <v>0.245263157894737</v>
      </c>
      <c r="G271" s="136" t="n">
        <f aca="false">IF(Calculator!$E$16="YES",IF(A271&lt;Calculator!$G$16,0,MIN(MIN(MOD(A271/Calculator!$F$16,1),1-MOD(A271/Calculator!$F$16,1)),ABS(MOD(A271/Calculator!$F$16,1)-0.5))),1)</f>
        <v>0.143368421052632</v>
      </c>
      <c r="H271" s="136" t="n">
        <f aca="false">IF(Calculator!$E$17="YES",IF(A271&lt;Calculator!$G$17,0,MIN(MIN(MOD(A271/Calculator!$F$17,1),1-MOD(A271/Calculator!$F$17,1)),ABS(MOD(A271/Calculator!$F$17,1)-0.5))),1)</f>
        <v>0.0177459649122813</v>
      </c>
      <c r="I271" s="136" t="n">
        <f aca="false">IF(Calculator!$E$18="YES",IF(A271&lt;Calculator!$G$18,0,MIN(MIN(MOD(A271/Calculator!$F$18,1),1-MOD(A271/Calculator!$F$18,1)),ABS(MOD(A271/Calculator!$F$18,1)-0.5))),1)</f>
        <v>0.206736842105263</v>
      </c>
      <c r="J271" s="136" t="n">
        <f aca="false">IF(Calculator!$E$19="YES",IF(A271&lt;Calculator!$G$19,0,MIN(MIN(MOD(A271/Calculator!$F$19,1),1-MOD(A271/Calculator!$F$19,1)),ABS(MOD(A271/Calculator!$F$19,1)-0.5))),1)</f>
        <v>0.030554385964912</v>
      </c>
      <c r="K271" s="136" t="n">
        <f aca="false">IF(Calculator!$E$20="YES",IF(A271&lt;Calculator!$G$20,0,MIN(MIN(MOD(A271/Calculator!$F$20,1),1-MOD(A271/Calculator!$F$20,1)),ABS(MOD(A271/Calculator!$F$20,1)-0.5))),1)</f>
        <v>0.102385964912281</v>
      </c>
      <c r="L271" s="136" t="n">
        <f aca="false">IF(Calculator!$E$21="YES",IF(A271&lt;Calculator!$G$21,0,MIN(MIN(MOD(A271/Calculator!$F$21,1),1-MOD(A271/Calculator!$F$21,1)),ABS(MOD(A271/Calculator!$F$21,1)-0.5))),1)</f>
        <v>0.0312280701754393</v>
      </c>
      <c r="M271" s="136" t="n">
        <f aca="false">MIN(B271:L271)</f>
        <v>0</v>
      </c>
      <c r="N271" s="136" t="n">
        <f aca="false">SUMPRODUCT(($M$5:$M$555&gt;M271)*1)+SUMPRODUCT(($M$5:$M$555=M271)*(ROW($M$5:$M$555)&lt;ROW(M271)))+1</f>
        <v>492</v>
      </c>
      <c r="O271" s="136" t="str">
        <f aca="false">IF(M271&gt;=0.2,"★★★ EXCELLENT",IF(M271&gt;=0.12,"★★  GOOD",IF(M271&gt;=0.07,"★  FAIR",IF(M271&gt;=0.025,"⚠  MARGINAL","✗  AVOID"))))</f>
        <v>✗  AVOID</v>
      </c>
    </row>
    <row r="272" customFormat="false" ht="15" hidden="false" customHeight="false" outlineLevel="0" collapsed="false">
      <c r="A272" s="137" t="n">
        <v>31.7</v>
      </c>
      <c r="B272" s="138" t="n">
        <f aca="false">IF(Calculator!$E$11="YES",IF(A272&lt;Calculator!$G$11,0,MIN(MIN(MOD(A272/Calculator!$F$11,1),1-MOD(A272/Calculator!$F$11,1)),ABS(MOD(A272/Calculator!$F$11,1)-0.5))),1)</f>
        <v>0</v>
      </c>
      <c r="C272" s="138" t="n">
        <f aca="false">IF(Calculator!$E$12="YES",IF(A272&lt;Calculator!$G$12,0,MIN(MIN(MOD(A272/Calculator!$F$12,1),1-MOD(A272/Calculator!$F$12,1)),ABS(MOD(A272/Calculator!$F$12,1)-0.5))),1)</f>
        <v>0.188035087719298</v>
      </c>
      <c r="D272" s="138" t="n">
        <f aca="false">IF(Calculator!$E$13="YES",IF(A272&lt;Calculator!$G$13,0,MIN(MIN(MOD(A272/Calculator!$F$13,1),1-MOD(A272/Calculator!$F$13,1)),ABS(MOD(A272/Calculator!$F$13,1)-0.5))),1)</f>
        <v>0.192142456140351</v>
      </c>
      <c r="E272" s="138" t="n">
        <f aca="false">IF(Calculator!$E$14="YES",IF(A272&lt;Calculator!$G$14,0,MIN(MIN(MOD(A272/Calculator!$F$14,1),1-MOD(A272/Calculator!$F$14,1)),ABS(MOD(A272/Calculator!$F$14,1)-0.5))),1)</f>
        <v>0.0905614035087718</v>
      </c>
      <c r="F272" s="138" t="n">
        <f aca="false">IF(Calculator!$E$15="YES",IF(A272&lt;Calculator!$G$15,0,MIN(MIN(MOD(A272/Calculator!$F$15,1),1-MOD(A272/Calculator!$F$15,1)),ABS(MOD(A272/Calculator!$F$15,1)-0.5))),1)</f>
        <v>0.247631578947368</v>
      </c>
      <c r="G272" s="138" t="n">
        <f aca="false">IF(Calculator!$E$16="YES",IF(A272&lt;Calculator!$G$16,0,MIN(MIN(MOD(A272/Calculator!$F$16,1),1-MOD(A272/Calculator!$F$16,1)),ABS(MOD(A272/Calculator!$F$16,1)-0.5))),1)</f>
        <v>0.153315789473684</v>
      </c>
      <c r="H272" s="138" t="n">
        <f aca="false">IF(Calculator!$E$17="YES",IF(A272&lt;Calculator!$G$17,0,MIN(MIN(MOD(A272/Calculator!$F$17,1),1-MOD(A272/Calculator!$F$17,1)),ABS(MOD(A272/Calculator!$F$17,1)-0.5))),1)</f>
        <v>0.0304603508771937</v>
      </c>
      <c r="I272" s="138" t="n">
        <f aca="false">IF(Calculator!$E$18="YES",IF(A272&lt;Calculator!$G$18,0,MIN(MIN(MOD(A272/Calculator!$F$18,1),1-MOD(A272/Calculator!$F$18,1)),ABS(MOD(A272/Calculator!$F$18,1)-0.5))),1)</f>
        <v>0.221631578947369</v>
      </c>
      <c r="J272" s="138" t="n">
        <f aca="false">IF(Calculator!$E$19="YES",IF(A272&lt;Calculator!$G$19,0,MIN(MIN(MOD(A272/Calculator!$F$19,1),1-MOD(A272/Calculator!$F$19,1)),ABS(MOD(A272/Calculator!$F$19,1)-0.5))),1)</f>
        <v>0.0480561403508766</v>
      </c>
      <c r="K272" s="138" t="n">
        <f aca="false">IF(Calculator!$E$20="YES",IF(A272&lt;Calculator!$G$20,0,MIN(MIN(MOD(A272/Calculator!$F$20,1),1-MOD(A272/Calculator!$F$20,1)),ABS(MOD(A272/Calculator!$F$20,1)-0.5))),1)</f>
        <v>0.082140350877193</v>
      </c>
      <c r="L272" s="138" t="n">
        <f aca="false">IF(Calculator!$E$21="YES",IF(A272&lt;Calculator!$G$21,0,MIN(MIN(MOD(A272/Calculator!$F$21,1),1-MOD(A272/Calculator!$F$21,1)),ABS(MOD(A272/Calculator!$F$21,1)-0.5))),1)</f>
        <v>0.0677192982456134</v>
      </c>
      <c r="M272" s="138" t="n">
        <f aca="false">MIN(B272:L272)</f>
        <v>0</v>
      </c>
      <c r="N272" s="138" t="n">
        <f aca="false">SUMPRODUCT(($M$5:$M$555&gt;M272)*1)+SUMPRODUCT(($M$5:$M$555=M272)*(ROW($M$5:$M$555)&lt;ROW(M272)))+1</f>
        <v>493</v>
      </c>
      <c r="O272" s="138" t="str">
        <f aca="false">IF(M272&gt;=0.2,"★★★ EXCELLENT",IF(M272&gt;=0.12,"★★  GOOD",IF(M272&gt;=0.07,"★  FAIR",IF(M272&gt;=0.025,"⚠  MARGINAL","✗  AVOID"))))</f>
        <v>✗  AVOID</v>
      </c>
    </row>
    <row r="273" customFormat="false" ht="15" hidden="false" customHeight="false" outlineLevel="0" collapsed="false">
      <c r="A273" s="135" t="n">
        <v>31.8</v>
      </c>
      <c r="B273" s="136" t="n">
        <f aca="false">IF(Calculator!$E$11="YES",IF(A273&lt;Calculator!$G$11,0,MIN(MIN(MOD(A273/Calculator!$F$11,1),1-MOD(A273/Calculator!$F$11,1)),ABS(MOD(A273/Calculator!$F$11,1)-0.5))),1)</f>
        <v>0</v>
      </c>
      <c r="C273" s="136" t="n">
        <f aca="false">IF(Calculator!$E$12="YES",IF(A273&lt;Calculator!$G$12,0,MIN(MIN(MOD(A273/Calculator!$F$12,1),1-MOD(A273/Calculator!$F$12,1)),ABS(MOD(A273/Calculator!$F$12,1)-0.5))),1)</f>
        <v>0.185473684210526</v>
      </c>
      <c r="D273" s="136" t="n">
        <f aca="false">IF(Calculator!$E$13="YES",IF(A273&lt;Calculator!$G$13,0,MIN(MIN(MOD(A273/Calculator!$F$13,1),1-MOD(A273/Calculator!$F$13,1)),ABS(MOD(A273/Calculator!$F$13,1)-0.5))),1)</f>
        <v>0.195903157894737</v>
      </c>
      <c r="E273" s="136" t="n">
        <f aca="false">IF(Calculator!$E$14="YES",IF(A273&lt;Calculator!$G$14,0,MIN(MIN(MOD(A273/Calculator!$F$14,1),1-MOD(A273/Calculator!$F$14,1)),ABS(MOD(A273/Calculator!$F$14,1)-0.5))),1)</f>
        <v>0.095578947368421</v>
      </c>
      <c r="F273" s="136" t="n">
        <f aca="false">IF(Calculator!$E$15="YES",IF(A273&lt;Calculator!$G$15,0,MIN(MIN(MOD(A273/Calculator!$F$15,1),1-MOD(A273/Calculator!$F$15,1)),ABS(MOD(A273/Calculator!$F$15,1)-0.5))),1)</f>
        <v>0.240526315789474</v>
      </c>
      <c r="G273" s="136" t="n">
        <f aca="false">IF(Calculator!$E$16="YES",IF(A273&lt;Calculator!$G$16,0,MIN(MIN(MOD(A273/Calculator!$F$16,1),1-MOD(A273/Calculator!$F$16,1)),ABS(MOD(A273/Calculator!$F$16,1)-0.5))),1)</f>
        <v>0.163263157894737</v>
      </c>
      <c r="H273" s="136" t="n">
        <f aca="false">IF(Calculator!$E$17="YES",IF(A273&lt;Calculator!$G$17,0,MIN(MIN(MOD(A273/Calculator!$F$17,1),1-MOD(A273/Calculator!$F$17,1)),ABS(MOD(A273/Calculator!$F$17,1)-0.5))),1)</f>
        <v>0.043174736842106</v>
      </c>
      <c r="I273" s="136" t="n">
        <f aca="false">IF(Calculator!$E$18="YES",IF(A273&lt;Calculator!$G$18,0,MIN(MIN(MOD(A273/Calculator!$F$18,1),1-MOD(A273/Calculator!$F$18,1)),ABS(MOD(A273/Calculator!$F$18,1)-0.5))),1)</f>
        <v>0.236526315789474</v>
      </c>
      <c r="J273" s="136" t="n">
        <f aca="false">IF(Calculator!$E$19="YES",IF(A273&lt;Calculator!$G$19,0,MIN(MIN(MOD(A273/Calculator!$F$19,1),1-MOD(A273/Calculator!$F$19,1)),ABS(MOD(A273/Calculator!$F$19,1)-0.5))),1)</f>
        <v>0.0655578947368412</v>
      </c>
      <c r="K273" s="136" t="n">
        <f aca="false">IF(Calculator!$E$20="YES",IF(A273&lt;Calculator!$G$20,0,MIN(MIN(MOD(A273/Calculator!$F$20,1),1-MOD(A273/Calculator!$F$20,1)),ABS(MOD(A273/Calculator!$F$20,1)-0.5))),1)</f>
        <v>0.0618947368421052</v>
      </c>
      <c r="L273" s="136" t="n">
        <f aca="false">IF(Calculator!$E$21="YES",IF(A273&lt;Calculator!$G$21,0,MIN(MIN(MOD(A273/Calculator!$F$21,1),1-MOD(A273/Calculator!$F$21,1)),ABS(MOD(A273/Calculator!$F$21,1)-0.5))),1)</f>
        <v>0.104210526315789</v>
      </c>
      <c r="M273" s="136" t="n">
        <f aca="false">MIN(B273:L273)</f>
        <v>0</v>
      </c>
      <c r="N273" s="136" t="n">
        <f aca="false">SUMPRODUCT(($M$5:$M$555&gt;M273)*1)+SUMPRODUCT(($M$5:$M$555=M273)*(ROW($M$5:$M$555)&lt;ROW(M273)))+1</f>
        <v>494</v>
      </c>
      <c r="O273" s="136" t="str">
        <f aca="false">IF(M273&gt;=0.2,"★★★ EXCELLENT",IF(M273&gt;=0.12,"★★  GOOD",IF(M273&gt;=0.07,"★  FAIR",IF(M273&gt;=0.025,"⚠  MARGINAL","✗  AVOID"))))</f>
        <v>✗  AVOID</v>
      </c>
    </row>
    <row r="274" customFormat="false" ht="15" hidden="false" customHeight="false" outlineLevel="0" collapsed="false">
      <c r="A274" s="137" t="n">
        <v>31.9</v>
      </c>
      <c r="B274" s="138" t="n">
        <f aca="false">IF(Calculator!$E$11="YES",IF(A274&lt;Calculator!$G$11,0,MIN(MIN(MOD(A274/Calculator!$F$11,1),1-MOD(A274/Calculator!$F$11,1)),ABS(MOD(A274/Calculator!$F$11,1)-0.5))),1)</f>
        <v>0</v>
      </c>
      <c r="C274" s="138" t="n">
        <f aca="false">IF(Calculator!$E$12="YES",IF(A274&lt;Calculator!$G$12,0,MIN(MIN(MOD(A274/Calculator!$F$12,1),1-MOD(A274/Calculator!$F$12,1)),ABS(MOD(A274/Calculator!$F$12,1)-0.5))),1)</f>
        <v>0.182912280701754</v>
      </c>
      <c r="D274" s="138" t="n">
        <f aca="false">IF(Calculator!$E$13="YES",IF(A274&lt;Calculator!$G$13,0,MIN(MIN(MOD(A274/Calculator!$F$13,1),1-MOD(A274/Calculator!$F$13,1)),ABS(MOD(A274/Calculator!$F$13,1)-0.5))),1)</f>
        <v>0.199663859649123</v>
      </c>
      <c r="E274" s="138" t="n">
        <f aca="false">IF(Calculator!$E$14="YES",IF(A274&lt;Calculator!$G$14,0,MIN(MIN(MOD(A274/Calculator!$F$14,1),1-MOD(A274/Calculator!$F$14,1)),ABS(MOD(A274/Calculator!$F$14,1)-0.5))),1)</f>
        <v>0.10059649122807</v>
      </c>
      <c r="F274" s="138" t="n">
        <f aca="false">IF(Calculator!$E$15="YES",IF(A274&lt;Calculator!$G$15,0,MIN(MIN(MOD(A274/Calculator!$F$15,1),1-MOD(A274/Calculator!$F$15,1)),ABS(MOD(A274/Calculator!$F$15,1)-0.5))),1)</f>
        <v>0.233421052631579</v>
      </c>
      <c r="G274" s="138" t="n">
        <f aca="false">IF(Calculator!$E$16="YES",IF(A274&lt;Calculator!$G$16,0,MIN(MIN(MOD(A274/Calculator!$F$16,1),1-MOD(A274/Calculator!$F$16,1)),ABS(MOD(A274/Calculator!$F$16,1)-0.5))),1)</f>
        <v>0.17321052631579</v>
      </c>
      <c r="H274" s="138" t="n">
        <f aca="false">IF(Calculator!$E$17="YES",IF(A274&lt;Calculator!$G$17,0,MIN(MIN(MOD(A274/Calculator!$F$17,1),1-MOD(A274/Calculator!$F$17,1)),ABS(MOD(A274/Calculator!$F$17,1)-0.5))),1)</f>
        <v>0.0558891228070175</v>
      </c>
      <c r="I274" s="138" t="n">
        <f aca="false">IF(Calculator!$E$18="YES",IF(A274&lt;Calculator!$G$18,0,MIN(MIN(MOD(A274/Calculator!$F$18,1),1-MOD(A274/Calculator!$F$18,1)),ABS(MOD(A274/Calculator!$F$18,1)-0.5))),1)</f>
        <v>0.248578947368421</v>
      </c>
      <c r="J274" s="138" t="n">
        <f aca="false">IF(Calculator!$E$19="YES",IF(A274&lt;Calculator!$G$19,0,MIN(MIN(MOD(A274/Calculator!$F$19,1),1-MOD(A274/Calculator!$F$19,1)),ABS(MOD(A274/Calculator!$F$19,1)-0.5))),1)</f>
        <v>0.0830596491228057</v>
      </c>
      <c r="K274" s="138" t="n">
        <f aca="false">IF(Calculator!$E$20="YES",IF(A274&lt;Calculator!$G$20,0,MIN(MIN(MOD(A274/Calculator!$F$20,1),1-MOD(A274/Calculator!$F$20,1)),ABS(MOD(A274/Calculator!$F$20,1)-0.5))),1)</f>
        <v>0.0416491228070175</v>
      </c>
      <c r="L274" s="138" t="n">
        <f aca="false">IF(Calculator!$E$21="YES",IF(A274&lt;Calculator!$G$21,0,MIN(MIN(MOD(A274/Calculator!$F$21,1),1-MOD(A274/Calculator!$F$21,1)),ABS(MOD(A274/Calculator!$F$21,1)-0.5))),1)</f>
        <v>0.140701754385963</v>
      </c>
      <c r="M274" s="138" t="n">
        <f aca="false">MIN(B274:L274)</f>
        <v>0</v>
      </c>
      <c r="N274" s="138" t="n">
        <f aca="false">SUMPRODUCT(($M$5:$M$555&gt;M274)*1)+SUMPRODUCT(($M$5:$M$555=M274)*(ROW($M$5:$M$555)&lt;ROW(M274)))+1</f>
        <v>495</v>
      </c>
      <c r="O274" s="138" t="str">
        <f aca="false">IF(M274&gt;=0.2,"★★★ EXCELLENT",IF(M274&gt;=0.12,"★★  GOOD",IF(M274&gt;=0.07,"★  FAIR",IF(M274&gt;=0.025,"⚠  MARGINAL","✗  AVOID"))))</f>
        <v>✗  AVOID</v>
      </c>
    </row>
    <row r="275" customFormat="false" ht="15" hidden="false" customHeight="false" outlineLevel="0" collapsed="false">
      <c r="A275" s="135" t="n">
        <v>32</v>
      </c>
      <c r="B275" s="136" t="n">
        <f aca="false">IF(Calculator!$E$11="YES",IF(A275&lt;Calculator!$G$11,0,MIN(MIN(MOD(A275/Calculator!$F$11,1),1-MOD(A275/Calculator!$F$11,1)),ABS(MOD(A275/Calculator!$F$11,1)-0.5))),1)</f>
        <v>0</v>
      </c>
      <c r="C275" s="136" t="n">
        <f aca="false">IF(Calculator!$E$12="YES",IF(A275&lt;Calculator!$G$12,0,MIN(MIN(MOD(A275/Calculator!$F$12,1),1-MOD(A275/Calculator!$F$12,1)),ABS(MOD(A275/Calculator!$F$12,1)-0.5))),1)</f>
        <v>0.180350877192982</v>
      </c>
      <c r="D275" s="136" t="n">
        <f aca="false">IF(Calculator!$E$13="YES",IF(A275&lt;Calculator!$G$13,0,MIN(MIN(MOD(A275/Calculator!$F$13,1),1-MOD(A275/Calculator!$F$13,1)),ABS(MOD(A275/Calculator!$F$13,1)-0.5))),1)</f>
        <v>0.203424561403509</v>
      </c>
      <c r="E275" s="136" t="n">
        <f aca="false">IF(Calculator!$E$14="YES",IF(A275&lt;Calculator!$G$14,0,MIN(MIN(MOD(A275/Calculator!$F$14,1),1-MOD(A275/Calculator!$F$14,1)),ABS(MOD(A275/Calculator!$F$14,1)-0.5))),1)</f>
        <v>0.105614035087719</v>
      </c>
      <c r="F275" s="136" t="n">
        <f aca="false">IF(Calculator!$E$15="YES",IF(A275&lt;Calculator!$G$15,0,MIN(MIN(MOD(A275/Calculator!$F$15,1),1-MOD(A275/Calculator!$F$15,1)),ABS(MOD(A275/Calculator!$F$15,1)-0.5))),1)</f>
        <v>0.226315789473684</v>
      </c>
      <c r="G275" s="136" t="n">
        <f aca="false">IF(Calculator!$E$16="YES",IF(A275&lt;Calculator!$G$16,0,MIN(MIN(MOD(A275/Calculator!$F$16,1),1-MOD(A275/Calculator!$F$16,1)),ABS(MOD(A275/Calculator!$F$16,1)-0.5))),1)</f>
        <v>0.183157894736842</v>
      </c>
      <c r="H275" s="136" t="n">
        <f aca="false">IF(Calculator!$E$17="YES",IF(A275&lt;Calculator!$G$17,0,MIN(MIN(MOD(A275/Calculator!$F$17,1),1-MOD(A275/Calculator!$F$17,1)),ABS(MOD(A275/Calculator!$F$17,1)-0.5))),1)</f>
        <v>0.0686035087719299</v>
      </c>
      <c r="I275" s="136" t="n">
        <f aca="false">IF(Calculator!$E$18="YES",IF(A275&lt;Calculator!$G$18,0,MIN(MIN(MOD(A275/Calculator!$F$18,1),1-MOD(A275/Calculator!$F$18,1)),ABS(MOD(A275/Calculator!$F$18,1)-0.5))),1)</f>
        <v>0.233684210526316</v>
      </c>
      <c r="J275" s="136" t="n">
        <f aca="false">IF(Calculator!$E$19="YES",IF(A275&lt;Calculator!$G$19,0,MIN(MIN(MOD(A275/Calculator!$F$19,1),1-MOD(A275/Calculator!$F$19,1)),ABS(MOD(A275/Calculator!$F$19,1)-0.5))),1)</f>
        <v>0.100561403508771</v>
      </c>
      <c r="K275" s="136" t="n">
        <f aca="false">IF(Calculator!$E$20="YES",IF(A275&lt;Calculator!$G$20,0,MIN(MIN(MOD(A275/Calculator!$F$20,1),1-MOD(A275/Calculator!$F$20,1)),ABS(MOD(A275/Calculator!$F$20,1)-0.5))),1)</f>
        <v>0.0214035087719298</v>
      </c>
      <c r="L275" s="136" t="n">
        <f aca="false">IF(Calculator!$E$21="YES",IF(A275&lt;Calculator!$G$21,0,MIN(MIN(MOD(A275/Calculator!$F$21,1),1-MOD(A275/Calculator!$F$21,1)),ABS(MOD(A275/Calculator!$F$21,1)-0.5))),1)</f>
        <v>0.177192982456139</v>
      </c>
      <c r="M275" s="136" t="n">
        <f aca="false">MIN(B275:L275)</f>
        <v>0</v>
      </c>
      <c r="N275" s="136" t="n">
        <f aca="false">SUMPRODUCT(($M$5:$M$555&gt;M275)*1)+SUMPRODUCT(($M$5:$M$555=M275)*(ROW($M$5:$M$555)&lt;ROW(M275)))+1</f>
        <v>496</v>
      </c>
      <c r="O275" s="136" t="str">
        <f aca="false">IF(M275&gt;=0.2,"★★★ EXCELLENT",IF(M275&gt;=0.12,"★★  GOOD",IF(M275&gt;=0.07,"★  FAIR",IF(M275&gt;=0.025,"⚠  MARGINAL","✗  AVOID"))))</f>
        <v>✗  AVOID</v>
      </c>
    </row>
    <row r="276" customFormat="false" ht="15" hidden="false" customHeight="false" outlineLevel="0" collapsed="false">
      <c r="A276" s="137" t="n">
        <v>32.1</v>
      </c>
      <c r="B276" s="138" t="n">
        <f aca="false">IF(Calculator!$E$11="YES",IF(A276&lt;Calculator!$G$11,0,MIN(MIN(MOD(A276/Calculator!$F$11,1),1-MOD(A276/Calculator!$F$11,1)),ABS(MOD(A276/Calculator!$F$11,1)-0.5))),1)</f>
        <v>0</v>
      </c>
      <c r="C276" s="138" t="n">
        <f aca="false">IF(Calculator!$E$12="YES",IF(A276&lt;Calculator!$G$12,0,MIN(MIN(MOD(A276/Calculator!$F$12,1),1-MOD(A276/Calculator!$F$12,1)),ABS(MOD(A276/Calculator!$F$12,1)-0.5))),1)</f>
        <v>0.177789473684211</v>
      </c>
      <c r="D276" s="138" t="n">
        <f aca="false">IF(Calculator!$E$13="YES",IF(A276&lt;Calculator!$G$13,0,MIN(MIN(MOD(A276/Calculator!$F$13,1),1-MOD(A276/Calculator!$F$13,1)),ABS(MOD(A276/Calculator!$F$13,1)-0.5))),1)</f>
        <v>0.207185263157895</v>
      </c>
      <c r="E276" s="138" t="n">
        <f aca="false">IF(Calculator!$E$14="YES",IF(A276&lt;Calculator!$G$14,0,MIN(MIN(MOD(A276/Calculator!$F$14,1),1-MOD(A276/Calculator!$F$14,1)),ABS(MOD(A276/Calculator!$F$14,1)-0.5))),1)</f>
        <v>0.110631578947368</v>
      </c>
      <c r="F276" s="138" t="n">
        <f aca="false">IF(Calculator!$E$15="YES",IF(A276&lt;Calculator!$G$15,0,MIN(MIN(MOD(A276/Calculator!$F$15,1),1-MOD(A276/Calculator!$F$15,1)),ABS(MOD(A276/Calculator!$F$15,1)-0.5))),1)</f>
        <v>0.21921052631579</v>
      </c>
      <c r="G276" s="138" t="n">
        <f aca="false">IF(Calculator!$E$16="YES",IF(A276&lt;Calculator!$G$16,0,MIN(MIN(MOD(A276/Calculator!$F$16,1),1-MOD(A276/Calculator!$F$16,1)),ABS(MOD(A276/Calculator!$F$16,1)-0.5))),1)</f>
        <v>0.193105263157895</v>
      </c>
      <c r="H276" s="138" t="n">
        <f aca="false">IF(Calculator!$E$17="YES",IF(A276&lt;Calculator!$G$17,0,MIN(MIN(MOD(A276/Calculator!$F$17,1),1-MOD(A276/Calculator!$F$17,1)),ABS(MOD(A276/Calculator!$F$17,1)-0.5))),1)</f>
        <v>0.0813178947368431</v>
      </c>
      <c r="I276" s="138" t="n">
        <f aca="false">IF(Calculator!$E$18="YES",IF(A276&lt;Calculator!$G$18,0,MIN(MIN(MOD(A276/Calculator!$F$18,1),1-MOD(A276/Calculator!$F$18,1)),ABS(MOD(A276/Calculator!$F$18,1)-0.5))),1)</f>
        <v>0.21878947368421</v>
      </c>
      <c r="J276" s="138" t="n">
        <f aca="false">IF(Calculator!$E$19="YES",IF(A276&lt;Calculator!$G$19,0,MIN(MIN(MOD(A276/Calculator!$F$19,1),1-MOD(A276/Calculator!$F$19,1)),ABS(MOD(A276/Calculator!$F$19,1)-0.5))),1)</f>
        <v>0.118063157894736</v>
      </c>
      <c r="K276" s="138" t="n">
        <f aca="false">IF(Calculator!$E$20="YES",IF(A276&lt;Calculator!$G$20,0,MIN(MIN(MOD(A276/Calculator!$F$20,1),1-MOD(A276/Calculator!$F$20,1)),ABS(MOD(A276/Calculator!$F$20,1)-0.5))),1)</f>
        <v>0.00115789473684202</v>
      </c>
      <c r="L276" s="138" t="n">
        <f aca="false">IF(Calculator!$E$21="YES",IF(A276&lt;Calculator!$G$21,0,MIN(MIN(MOD(A276/Calculator!$F$21,1),1-MOD(A276/Calculator!$F$21,1)),ABS(MOD(A276/Calculator!$F$21,1)-0.5))),1)</f>
        <v>0.213684210526317</v>
      </c>
      <c r="M276" s="138" t="n">
        <f aca="false">MIN(B276:L276)</f>
        <v>0</v>
      </c>
      <c r="N276" s="138" t="n">
        <f aca="false">SUMPRODUCT(($M$5:$M$555&gt;M276)*1)+SUMPRODUCT(($M$5:$M$555=M276)*(ROW($M$5:$M$555)&lt;ROW(M276)))+1</f>
        <v>497</v>
      </c>
      <c r="O276" s="138" t="str">
        <f aca="false">IF(M276&gt;=0.2,"★★★ EXCELLENT",IF(M276&gt;=0.12,"★★  GOOD",IF(M276&gt;=0.07,"★  FAIR",IF(M276&gt;=0.025,"⚠  MARGINAL","✗  AVOID"))))</f>
        <v>✗  AVOID</v>
      </c>
    </row>
    <row r="277" customFormat="false" ht="15" hidden="false" customHeight="false" outlineLevel="0" collapsed="false">
      <c r="A277" s="135" t="n">
        <v>32.2</v>
      </c>
      <c r="B277" s="136" t="n">
        <f aca="false">IF(Calculator!$E$11="YES",IF(A277&lt;Calculator!$G$11,0,MIN(MIN(MOD(A277/Calculator!$F$11,1),1-MOD(A277/Calculator!$F$11,1)),ABS(MOD(A277/Calculator!$F$11,1)-0.5))),1)</f>
        <v>0</v>
      </c>
      <c r="C277" s="136" t="n">
        <f aca="false">IF(Calculator!$E$12="YES",IF(A277&lt;Calculator!$G$12,0,MIN(MIN(MOD(A277/Calculator!$F$12,1),1-MOD(A277/Calculator!$F$12,1)),ABS(MOD(A277/Calculator!$F$12,1)-0.5))),1)</f>
        <v>0.175228070175439</v>
      </c>
      <c r="D277" s="136" t="n">
        <f aca="false">IF(Calculator!$E$13="YES",IF(A277&lt;Calculator!$G$13,0,MIN(MIN(MOD(A277/Calculator!$F$13,1),1-MOD(A277/Calculator!$F$13,1)),ABS(MOD(A277/Calculator!$F$13,1)-0.5))),1)</f>
        <v>0.210945964912281</v>
      </c>
      <c r="E277" s="136" t="n">
        <f aca="false">IF(Calculator!$E$14="YES",IF(A277&lt;Calculator!$G$14,0,MIN(MIN(MOD(A277/Calculator!$F$14,1),1-MOD(A277/Calculator!$F$14,1)),ABS(MOD(A277/Calculator!$F$14,1)-0.5))),1)</f>
        <v>0.115649122807018</v>
      </c>
      <c r="F277" s="136" t="n">
        <f aca="false">IF(Calculator!$E$15="YES",IF(A277&lt;Calculator!$G$15,0,MIN(MIN(MOD(A277/Calculator!$F$15,1),1-MOD(A277/Calculator!$F$15,1)),ABS(MOD(A277/Calculator!$F$15,1)-0.5))),1)</f>
        <v>0.212105263157895</v>
      </c>
      <c r="G277" s="136" t="n">
        <f aca="false">IF(Calculator!$E$16="YES",IF(A277&lt;Calculator!$G$16,0,MIN(MIN(MOD(A277/Calculator!$F$16,1),1-MOD(A277/Calculator!$F$16,1)),ABS(MOD(A277/Calculator!$F$16,1)-0.5))),1)</f>
        <v>0.203052631578948</v>
      </c>
      <c r="H277" s="136" t="n">
        <f aca="false">IF(Calculator!$E$17="YES",IF(A277&lt;Calculator!$G$17,0,MIN(MIN(MOD(A277/Calculator!$F$17,1),1-MOD(A277/Calculator!$F$17,1)),ABS(MOD(A277/Calculator!$F$17,1)-0.5))),1)</f>
        <v>0.0940322807017555</v>
      </c>
      <c r="I277" s="136" t="n">
        <f aca="false">IF(Calculator!$E$18="YES",IF(A277&lt;Calculator!$G$18,0,MIN(MIN(MOD(A277/Calculator!$F$18,1),1-MOD(A277/Calculator!$F$18,1)),ABS(MOD(A277/Calculator!$F$18,1)-0.5))),1)</f>
        <v>0.203894736842105</v>
      </c>
      <c r="J277" s="136" t="n">
        <f aca="false">IF(Calculator!$E$19="YES",IF(A277&lt;Calculator!$G$19,0,MIN(MIN(MOD(A277/Calculator!$F$19,1),1-MOD(A277/Calculator!$F$19,1)),ABS(MOD(A277/Calculator!$F$19,1)-0.5))),1)</f>
        <v>0.135564912280701</v>
      </c>
      <c r="K277" s="136" t="n">
        <f aca="false">IF(Calculator!$E$20="YES",IF(A277&lt;Calculator!$G$20,0,MIN(MIN(MOD(A277/Calculator!$F$20,1),1-MOD(A277/Calculator!$F$20,1)),ABS(MOD(A277/Calculator!$F$20,1)-0.5))),1)</f>
        <v>0.0190877192982457</v>
      </c>
      <c r="L277" s="136" t="n">
        <f aca="false">IF(Calculator!$E$21="YES",IF(A277&lt;Calculator!$G$21,0,MIN(MIN(MOD(A277/Calculator!$F$21,1),1-MOD(A277/Calculator!$F$21,1)),ABS(MOD(A277/Calculator!$F$21,1)-0.5))),1)</f>
        <v>0.249824561403507</v>
      </c>
      <c r="M277" s="136" t="n">
        <f aca="false">MIN(B277:L277)</f>
        <v>0</v>
      </c>
      <c r="N277" s="136" t="n">
        <f aca="false">SUMPRODUCT(($M$5:$M$555&gt;M277)*1)+SUMPRODUCT(($M$5:$M$555=M277)*(ROW($M$5:$M$555)&lt;ROW(M277)))+1</f>
        <v>498</v>
      </c>
      <c r="O277" s="136" t="str">
        <f aca="false">IF(M277&gt;=0.2,"★★★ EXCELLENT",IF(M277&gt;=0.12,"★★  GOOD",IF(M277&gt;=0.07,"★  FAIR",IF(M277&gt;=0.025,"⚠  MARGINAL","✗  AVOID"))))</f>
        <v>✗  AVOID</v>
      </c>
    </row>
    <row r="278" customFormat="false" ht="15" hidden="false" customHeight="false" outlineLevel="0" collapsed="false">
      <c r="A278" s="137" t="n">
        <v>32.3</v>
      </c>
      <c r="B278" s="138" t="n">
        <f aca="false">IF(Calculator!$E$11="YES",IF(A278&lt;Calculator!$G$11,0,MIN(MIN(MOD(A278/Calculator!$F$11,1),1-MOD(A278/Calculator!$F$11,1)),ABS(MOD(A278/Calculator!$F$11,1)-0.5))),1)</f>
        <v>0</v>
      </c>
      <c r="C278" s="138" t="n">
        <f aca="false">IF(Calculator!$E$12="YES",IF(A278&lt;Calculator!$G$12,0,MIN(MIN(MOD(A278/Calculator!$F$12,1),1-MOD(A278/Calculator!$F$12,1)),ABS(MOD(A278/Calculator!$F$12,1)-0.5))),1)</f>
        <v>0.172666666666667</v>
      </c>
      <c r="D278" s="138" t="n">
        <f aca="false">IF(Calculator!$E$13="YES",IF(A278&lt;Calculator!$G$13,0,MIN(MIN(MOD(A278/Calculator!$F$13,1),1-MOD(A278/Calculator!$F$13,1)),ABS(MOD(A278/Calculator!$F$13,1)-0.5))),1)</f>
        <v>0.214706666666667</v>
      </c>
      <c r="E278" s="138" t="n">
        <f aca="false">IF(Calculator!$E$14="YES",IF(A278&lt;Calculator!$G$14,0,MIN(MIN(MOD(A278/Calculator!$F$14,1),1-MOD(A278/Calculator!$F$14,1)),ABS(MOD(A278/Calculator!$F$14,1)-0.5))),1)</f>
        <v>0.120666666666666</v>
      </c>
      <c r="F278" s="138" t="n">
        <f aca="false">IF(Calculator!$E$15="YES",IF(A278&lt;Calculator!$G$15,0,MIN(MIN(MOD(A278/Calculator!$F$15,1),1-MOD(A278/Calculator!$F$15,1)),ABS(MOD(A278/Calculator!$F$15,1)-0.5))),1)</f>
        <v>0.205</v>
      </c>
      <c r="G278" s="138" t="n">
        <f aca="false">IF(Calculator!$E$16="YES",IF(A278&lt;Calculator!$G$16,0,MIN(MIN(MOD(A278/Calculator!$F$16,1),1-MOD(A278/Calculator!$F$16,1)),ABS(MOD(A278/Calculator!$F$16,1)-0.5))),1)</f>
        <v>0.213</v>
      </c>
      <c r="H278" s="138" t="n">
        <f aca="false">IF(Calculator!$E$17="YES",IF(A278&lt;Calculator!$G$17,0,MIN(MIN(MOD(A278/Calculator!$F$17,1),1-MOD(A278/Calculator!$F$17,1)),ABS(MOD(A278/Calculator!$F$17,1)-0.5))),1)</f>
        <v>0.106746666666667</v>
      </c>
      <c r="I278" s="138" t="n">
        <f aca="false">IF(Calculator!$E$18="YES",IF(A278&lt;Calculator!$G$18,0,MIN(MIN(MOD(A278/Calculator!$F$18,1),1-MOD(A278/Calculator!$F$18,1)),ABS(MOD(A278/Calculator!$F$18,1)-0.5))),1)</f>
        <v>0.189</v>
      </c>
      <c r="J278" s="138" t="n">
        <f aca="false">IF(Calculator!$E$19="YES",IF(A278&lt;Calculator!$G$19,0,MIN(MIN(MOD(A278/Calculator!$F$19,1),1-MOD(A278/Calculator!$F$19,1)),ABS(MOD(A278/Calculator!$F$19,1)-0.5))),1)</f>
        <v>0.153066666666665</v>
      </c>
      <c r="K278" s="138" t="n">
        <f aca="false">IF(Calculator!$E$20="YES",IF(A278&lt;Calculator!$G$20,0,MIN(MIN(MOD(A278/Calculator!$F$20,1),1-MOD(A278/Calculator!$F$20,1)),ABS(MOD(A278/Calculator!$F$20,1)-0.5))),1)</f>
        <v>0.0393333333333326</v>
      </c>
      <c r="L278" s="138" t="n">
        <f aca="false">IF(Calculator!$E$21="YES",IF(A278&lt;Calculator!$G$21,0,MIN(MIN(MOD(A278/Calculator!$F$21,1),1-MOD(A278/Calculator!$F$21,1)),ABS(MOD(A278/Calculator!$F$21,1)-0.5))),1)</f>
        <v>0.213333333333335</v>
      </c>
      <c r="M278" s="138" t="n">
        <f aca="false">MIN(B278:L278)</f>
        <v>0</v>
      </c>
      <c r="N278" s="138" t="n">
        <f aca="false">SUMPRODUCT(($M$5:$M$555&gt;M278)*1)+SUMPRODUCT(($M$5:$M$555=M278)*(ROW($M$5:$M$555)&lt;ROW(M278)))+1</f>
        <v>499</v>
      </c>
      <c r="O278" s="138" t="str">
        <f aca="false">IF(M278&gt;=0.2,"★★★ EXCELLENT",IF(M278&gt;=0.12,"★★  GOOD",IF(M278&gt;=0.07,"★  FAIR",IF(M278&gt;=0.025,"⚠  MARGINAL","✗  AVOID"))))</f>
        <v>✗  AVOID</v>
      </c>
    </row>
    <row r="279" customFormat="false" ht="15" hidden="false" customHeight="false" outlineLevel="0" collapsed="false">
      <c r="A279" s="135" t="n">
        <v>32.4</v>
      </c>
      <c r="B279" s="136" t="n">
        <f aca="false">IF(Calculator!$E$11="YES",IF(A279&lt;Calculator!$G$11,0,MIN(MIN(MOD(A279/Calculator!$F$11,1),1-MOD(A279/Calculator!$F$11,1)),ABS(MOD(A279/Calculator!$F$11,1)-0.5))),1)</f>
        <v>0</v>
      </c>
      <c r="C279" s="136" t="n">
        <f aca="false">IF(Calculator!$E$12="YES",IF(A279&lt;Calculator!$G$12,0,MIN(MIN(MOD(A279/Calculator!$F$12,1),1-MOD(A279/Calculator!$F$12,1)),ABS(MOD(A279/Calculator!$F$12,1)-0.5))),1)</f>
        <v>0.170105263157895</v>
      </c>
      <c r="D279" s="136" t="n">
        <f aca="false">IF(Calculator!$E$13="YES",IF(A279&lt;Calculator!$G$13,0,MIN(MIN(MOD(A279/Calculator!$F$13,1),1-MOD(A279/Calculator!$F$13,1)),ABS(MOD(A279/Calculator!$F$13,1)-0.5))),1)</f>
        <v>0.218467368421053</v>
      </c>
      <c r="E279" s="136" t="n">
        <f aca="false">IF(Calculator!$E$14="YES",IF(A279&lt;Calculator!$G$14,0,MIN(MIN(MOD(A279/Calculator!$F$14,1),1-MOD(A279/Calculator!$F$14,1)),ABS(MOD(A279/Calculator!$F$14,1)-0.5))),1)</f>
        <v>0.125684210526316</v>
      </c>
      <c r="F279" s="136" t="n">
        <f aca="false">IF(Calculator!$E$15="YES",IF(A279&lt;Calculator!$G$15,0,MIN(MIN(MOD(A279/Calculator!$F$15,1),1-MOD(A279/Calculator!$F$15,1)),ABS(MOD(A279/Calculator!$F$15,1)-0.5))),1)</f>
        <v>0.197894736842105</v>
      </c>
      <c r="G279" s="136" t="n">
        <f aca="false">IF(Calculator!$E$16="YES",IF(A279&lt;Calculator!$G$16,0,MIN(MIN(MOD(A279/Calculator!$F$16,1),1-MOD(A279/Calculator!$F$16,1)),ABS(MOD(A279/Calculator!$F$16,1)-0.5))),1)</f>
        <v>0.222947368421053</v>
      </c>
      <c r="H279" s="136" t="n">
        <f aca="false">IF(Calculator!$E$17="YES",IF(A279&lt;Calculator!$G$17,0,MIN(MIN(MOD(A279/Calculator!$F$17,1),1-MOD(A279/Calculator!$F$17,1)),ABS(MOD(A279/Calculator!$F$17,1)-0.5))),1)</f>
        <v>0.119461052631579</v>
      </c>
      <c r="I279" s="136" t="n">
        <f aca="false">IF(Calculator!$E$18="YES",IF(A279&lt;Calculator!$G$18,0,MIN(MIN(MOD(A279/Calculator!$F$18,1),1-MOD(A279/Calculator!$F$18,1)),ABS(MOD(A279/Calculator!$F$18,1)-0.5))),1)</f>
        <v>0.174105263157895</v>
      </c>
      <c r="J279" s="136" t="n">
        <f aca="false">IF(Calculator!$E$19="YES",IF(A279&lt;Calculator!$G$19,0,MIN(MIN(MOD(A279/Calculator!$F$19,1),1-MOD(A279/Calculator!$F$19,1)),ABS(MOD(A279/Calculator!$F$19,1)-0.5))),1)</f>
        <v>0.17056842105263</v>
      </c>
      <c r="K279" s="136" t="n">
        <f aca="false">IF(Calculator!$E$20="YES",IF(A279&lt;Calculator!$G$20,0,MIN(MIN(MOD(A279/Calculator!$F$20,1),1-MOD(A279/Calculator!$F$20,1)),ABS(MOD(A279/Calculator!$F$20,1)-0.5))),1)</f>
        <v>0.0595789473684203</v>
      </c>
      <c r="L279" s="136" t="n">
        <f aca="false">IF(Calculator!$E$21="YES",IF(A279&lt;Calculator!$G$21,0,MIN(MIN(MOD(A279/Calculator!$F$21,1),1-MOD(A279/Calculator!$F$21,1)),ABS(MOD(A279/Calculator!$F$21,1)-0.5))),1)</f>
        <v>0.176842105263159</v>
      </c>
      <c r="M279" s="136" t="n">
        <f aca="false">MIN(B279:L279)</f>
        <v>0</v>
      </c>
      <c r="N279" s="136" t="n">
        <f aca="false">SUMPRODUCT(($M$5:$M$555&gt;M279)*1)+SUMPRODUCT(($M$5:$M$555=M279)*(ROW($M$5:$M$555)&lt;ROW(M279)))+1</f>
        <v>500</v>
      </c>
      <c r="O279" s="136" t="str">
        <f aca="false">IF(M279&gt;=0.2,"★★★ EXCELLENT",IF(M279&gt;=0.12,"★★  GOOD",IF(M279&gt;=0.07,"★  FAIR",IF(M279&gt;=0.025,"⚠  MARGINAL","✗  AVOID"))))</f>
        <v>✗  AVOID</v>
      </c>
    </row>
    <row r="280" customFormat="false" ht="15" hidden="false" customHeight="false" outlineLevel="0" collapsed="false">
      <c r="A280" s="137" t="n">
        <v>32.5</v>
      </c>
      <c r="B280" s="138" t="n">
        <f aca="false">IF(Calculator!$E$11="YES",IF(A280&lt;Calculator!$G$11,0,MIN(MIN(MOD(A280/Calculator!$F$11,1),1-MOD(A280/Calculator!$F$11,1)),ABS(MOD(A280/Calculator!$F$11,1)-0.5))),1)</f>
        <v>0</v>
      </c>
      <c r="C280" s="138" t="n">
        <f aca="false">IF(Calculator!$E$12="YES",IF(A280&lt;Calculator!$G$12,0,MIN(MIN(MOD(A280/Calculator!$F$12,1),1-MOD(A280/Calculator!$F$12,1)),ABS(MOD(A280/Calculator!$F$12,1)-0.5))),1)</f>
        <v>0.167543859649123</v>
      </c>
      <c r="D280" s="138" t="n">
        <f aca="false">IF(Calculator!$E$13="YES",IF(A280&lt;Calculator!$G$13,0,MIN(MIN(MOD(A280/Calculator!$F$13,1),1-MOD(A280/Calculator!$F$13,1)),ABS(MOD(A280/Calculator!$F$13,1)-0.5))),1)</f>
        <v>0.222228070175438</v>
      </c>
      <c r="E280" s="138" t="n">
        <f aca="false">IF(Calculator!$E$14="YES",IF(A280&lt;Calculator!$G$14,0,MIN(MIN(MOD(A280/Calculator!$F$14,1),1-MOD(A280/Calculator!$F$14,1)),ABS(MOD(A280/Calculator!$F$14,1)-0.5))),1)</f>
        <v>0.130701754385965</v>
      </c>
      <c r="F280" s="138" t="n">
        <f aca="false">IF(Calculator!$E$15="YES",IF(A280&lt;Calculator!$G$15,0,MIN(MIN(MOD(A280/Calculator!$F$15,1),1-MOD(A280/Calculator!$F$15,1)),ABS(MOD(A280/Calculator!$F$15,1)-0.5))),1)</f>
        <v>0.190789473684211</v>
      </c>
      <c r="G280" s="138" t="n">
        <f aca="false">IF(Calculator!$E$16="YES",IF(A280&lt;Calculator!$G$16,0,MIN(MIN(MOD(A280/Calculator!$F$16,1),1-MOD(A280/Calculator!$F$16,1)),ABS(MOD(A280/Calculator!$F$16,1)-0.5))),1)</f>
        <v>0.232894736842106</v>
      </c>
      <c r="H280" s="138" t="n">
        <f aca="false">IF(Calculator!$E$17="YES",IF(A280&lt;Calculator!$G$17,0,MIN(MIN(MOD(A280/Calculator!$F$17,1),1-MOD(A280/Calculator!$F$17,1)),ABS(MOD(A280/Calculator!$F$17,1)-0.5))),1)</f>
        <v>0.132175438596492</v>
      </c>
      <c r="I280" s="138" t="n">
        <f aca="false">IF(Calculator!$E$18="YES",IF(A280&lt;Calculator!$G$18,0,MIN(MIN(MOD(A280/Calculator!$F$18,1),1-MOD(A280/Calculator!$F$18,1)),ABS(MOD(A280/Calculator!$F$18,1)-0.5))),1)</f>
        <v>0.159210526315789</v>
      </c>
      <c r="J280" s="138" t="n">
        <f aca="false">IF(Calculator!$E$19="YES",IF(A280&lt;Calculator!$G$19,0,MIN(MIN(MOD(A280/Calculator!$F$19,1),1-MOD(A280/Calculator!$F$19,1)),ABS(MOD(A280/Calculator!$F$19,1)-0.5))),1)</f>
        <v>0.188070175438596</v>
      </c>
      <c r="K280" s="138" t="n">
        <f aca="false">IF(Calculator!$E$20="YES",IF(A280&lt;Calculator!$G$20,0,MIN(MIN(MOD(A280/Calculator!$F$20,1),1-MOD(A280/Calculator!$F$20,1)),ABS(MOD(A280/Calculator!$F$20,1)-0.5))),1)</f>
        <v>0.0798245614035089</v>
      </c>
      <c r="L280" s="138" t="n">
        <f aca="false">IF(Calculator!$E$21="YES",IF(A280&lt;Calculator!$G$21,0,MIN(MIN(MOD(A280/Calculator!$F$21,1),1-MOD(A280/Calculator!$F$21,1)),ABS(MOD(A280/Calculator!$F$21,1)-0.5))),1)</f>
        <v>0.140350877192983</v>
      </c>
      <c r="M280" s="138" t="n">
        <f aca="false">MIN(B280:L280)</f>
        <v>0</v>
      </c>
      <c r="N280" s="138" t="n">
        <f aca="false">SUMPRODUCT(($M$5:$M$555&gt;M280)*1)+SUMPRODUCT(($M$5:$M$555=M280)*(ROW($M$5:$M$555)&lt;ROW(M280)))+1</f>
        <v>501</v>
      </c>
      <c r="O280" s="138" t="str">
        <f aca="false">IF(M280&gt;=0.2,"★★★ EXCELLENT",IF(M280&gt;=0.12,"★★  GOOD",IF(M280&gt;=0.07,"★  FAIR",IF(M280&gt;=0.025,"⚠  MARGINAL","✗  AVOID"))))</f>
        <v>✗  AVOID</v>
      </c>
    </row>
    <row r="281" customFormat="false" ht="15" hidden="false" customHeight="false" outlineLevel="0" collapsed="false">
      <c r="A281" s="135" t="n">
        <v>32.6</v>
      </c>
      <c r="B281" s="136" t="n">
        <f aca="false">IF(Calculator!$E$11="YES",IF(A281&lt;Calculator!$G$11,0,MIN(MIN(MOD(A281/Calculator!$F$11,1),1-MOD(A281/Calculator!$F$11,1)),ABS(MOD(A281/Calculator!$F$11,1)-0.5))),1)</f>
        <v>0</v>
      </c>
      <c r="C281" s="136" t="n">
        <f aca="false">IF(Calculator!$E$12="YES",IF(A281&lt;Calculator!$G$12,0,MIN(MIN(MOD(A281/Calculator!$F$12,1),1-MOD(A281/Calculator!$F$12,1)),ABS(MOD(A281/Calculator!$F$12,1)-0.5))),1)</f>
        <v>0.164982456140351</v>
      </c>
      <c r="D281" s="136" t="n">
        <f aca="false">IF(Calculator!$E$13="YES",IF(A281&lt;Calculator!$G$13,0,MIN(MIN(MOD(A281/Calculator!$F$13,1),1-MOD(A281/Calculator!$F$13,1)),ABS(MOD(A281/Calculator!$F$13,1)-0.5))),1)</f>
        <v>0.225988771929825</v>
      </c>
      <c r="E281" s="136" t="n">
        <f aca="false">IF(Calculator!$E$14="YES",IF(A281&lt;Calculator!$G$14,0,MIN(MIN(MOD(A281/Calculator!$F$14,1),1-MOD(A281/Calculator!$F$14,1)),ABS(MOD(A281/Calculator!$F$14,1)-0.5))),1)</f>
        <v>0.135719298245614</v>
      </c>
      <c r="F281" s="136" t="n">
        <f aca="false">IF(Calculator!$E$15="YES",IF(A281&lt;Calculator!$G$15,0,MIN(MIN(MOD(A281/Calculator!$F$15,1),1-MOD(A281/Calculator!$F$15,1)),ABS(MOD(A281/Calculator!$F$15,1)-0.5))),1)</f>
        <v>0.183684210526316</v>
      </c>
      <c r="G281" s="136" t="n">
        <f aca="false">IF(Calculator!$E$16="YES",IF(A281&lt;Calculator!$G$16,0,MIN(MIN(MOD(A281/Calculator!$F$16,1),1-MOD(A281/Calculator!$F$16,1)),ABS(MOD(A281/Calculator!$F$16,1)-0.5))),1)</f>
        <v>0.242842105263158</v>
      </c>
      <c r="H281" s="136" t="n">
        <f aca="false">IF(Calculator!$E$17="YES",IF(A281&lt;Calculator!$G$17,0,MIN(MIN(MOD(A281/Calculator!$F$17,1),1-MOD(A281/Calculator!$F$17,1)),ABS(MOD(A281/Calculator!$F$17,1)-0.5))),1)</f>
        <v>0.144889824561404</v>
      </c>
      <c r="I281" s="136" t="n">
        <f aca="false">IF(Calculator!$E$18="YES",IF(A281&lt;Calculator!$G$18,0,MIN(MIN(MOD(A281/Calculator!$F$18,1),1-MOD(A281/Calculator!$F$18,1)),ABS(MOD(A281/Calculator!$F$18,1)-0.5))),1)</f>
        <v>0.144315789473684</v>
      </c>
      <c r="J281" s="136" t="n">
        <f aca="false">IF(Calculator!$E$19="YES",IF(A281&lt;Calculator!$G$19,0,MIN(MIN(MOD(A281/Calculator!$F$19,1),1-MOD(A281/Calculator!$F$19,1)),ABS(MOD(A281/Calculator!$F$19,1)-0.5))),1)</f>
        <v>0.20557192982456</v>
      </c>
      <c r="K281" s="136" t="n">
        <f aca="false">IF(Calculator!$E$20="YES",IF(A281&lt;Calculator!$G$20,0,MIN(MIN(MOD(A281/Calculator!$F$20,1),1-MOD(A281/Calculator!$F$20,1)),ABS(MOD(A281/Calculator!$F$20,1)-0.5))),1)</f>
        <v>0.100070175438597</v>
      </c>
      <c r="L281" s="136" t="n">
        <f aca="false">IF(Calculator!$E$21="YES",IF(A281&lt;Calculator!$G$21,0,MIN(MIN(MOD(A281/Calculator!$F$21,1),1-MOD(A281/Calculator!$F$21,1)),ABS(MOD(A281/Calculator!$F$21,1)-0.5))),1)</f>
        <v>0.103859649122807</v>
      </c>
      <c r="M281" s="136" t="n">
        <f aca="false">MIN(B281:L281)</f>
        <v>0</v>
      </c>
      <c r="N281" s="136" t="n">
        <f aca="false">SUMPRODUCT(($M$5:$M$555&gt;M281)*1)+SUMPRODUCT(($M$5:$M$555=M281)*(ROW($M$5:$M$555)&lt;ROW(M281)))+1</f>
        <v>502</v>
      </c>
      <c r="O281" s="136" t="str">
        <f aca="false">IF(M281&gt;=0.2,"★★★ EXCELLENT",IF(M281&gt;=0.12,"★★  GOOD",IF(M281&gt;=0.07,"★  FAIR",IF(M281&gt;=0.025,"⚠  MARGINAL","✗  AVOID"))))</f>
        <v>✗  AVOID</v>
      </c>
    </row>
    <row r="282" customFormat="false" ht="15" hidden="false" customHeight="false" outlineLevel="0" collapsed="false">
      <c r="A282" s="137" t="n">
        <v>32.7</v>
      </c>
      <c r="B282" s="138" t="n">
        <f aca="false">IF(Calculator!$E$11="YES",IF(A282&lt;Calculator!$G$11,0,MIN(MIN(MOD(A282/Calculator!$F$11,1),1-MOD(A282/Calculator!$F$11,1)),ABS(MOD(A282/Calculator!$F$11,1)-0.5))),1)</f>
        <v>0</v>
      </c>
      <c r="C282" s="138" t="n">
        <f aca="false">IF(Calculator!$E$12="YES",IF(A282&lt;Calculator!$G$12,0,MIN(MIN(MOD(A282/Calculator!$F$12,1),1-MOD(A282/Calculator!$F$12,1)),ABS(MOD(A282/Calculator!$F$12,1)-0.5))),1)</f>
        <v>0.162421052631579</v>
      </c>
      <c r="D282" s="138" t="n">
        <f aca="false">IF(Calculator!$E$13="YES",IF(A282&lt;Calculator!$G$13,0,MIN(MIN(MOD(A282/Calculator!$F$13,1),1-MOD(A282/Calculator!$F$13,1)),ABS(MOD(A282/Calculator!$F$13,1)-0.5))),1)</f>
        <v>0.229749473684211</v>
      </c>
      <c r="E282" s="138" t="n">
        <f aca="false">IF(Calculator!$E$14="YES",IF(A282&lt;Calculator!$G$14,0,MIN(MIN(MOD(A282/Calculator!$F$14,1),1-MOD(A282/Calculator!$F$14,1)),ABS(MOD(A282/Calculator!$F$14,1)-0.5))),1)</f>
        <v>0.140736842105263</v>
      </c>
      <c r="F282" s="138" t="n">
        <f aca="false">IF(Calculator!$E$15="YES",IF(A282&lt;Calculator!$G$15,0,MIN(MIN(MOD(A282/Calculator!$F$15,1),1-MOD(A282/Calculator!$F$15,1)),ABS(MOD(A282/Calculator!$F$15,1)-0.5))),1)</f>
        <v>0.176578947368421</v>
      </c>
      <c r="G282" s="138" t="n">
        <f aca="false">IF(Calculator!$E$16="YES",IF(A282&lt;Calculator!$G$16,0,MIN(MIN(MOD(A282/Calculator!$F$16,1),1-MOD(A282/Calculator!$F$16,1)),ABS(MOD(A282/Calculator!$F$16,1)-0.5))),1)</f>
        <v>0.247210526315789</v>
      </c>
      <c r="H282" s="138" t="n">
        <f aca="false">IF(Calculator!$E$17="YES",IF(A282&lt;Calculator!$G$17,0,MIN(MIN(MOD(A282/Calculator!$F$17,1),1-MOD(A282/Calculator!$F$17,1)),ABS(MOD(A282/Calculator!$F$17,1)-0.5))),1)</f>
        <v>0.157604210526316</v>
      </c>
      <c r="I282" s="138" t="n">
        <f aca="false">IF(Calculator!$E$18="YES",IF(A282&lt;Calculator!$G$18,0,MIN(MIN(MOD(A282/Calculator!$F$18,1),1-MOD(A282/Calculator!$F$18,1)),ABS(MOD(A282/Calculator!$F$18,1)-0.5))),1)</f>
        <v>0.129421052631578</v>
      </c>
      <c r="J282" s="138" t="n">
        <f aca="false">IF(Calculator!$E$19="YES",IF(A282&lt;Calculator!$G$19,0,MIN(MIN(MOD(A282/Calculator!$F$19,1),1-MOD(A282/Calculator!$F$19,1)),ABS(MOD(A282/Calculator!$F$19,1)-0.5))),1)</f>
        <v>0.223073684210526</v>
      </c>
      <c r="K282" s="138" t="n">
        <f aca="false">IF(Calculator!$E$20="YES",IF(A282&lt;Calculator!$G$20,0,MIN(MIN(MOD(A282/Calculator!$F$20,1),1-MOD(A282/Calculator!$F$20,1)),ABS(MOD(A282/Calculator!$F$20,1)-0.5))),1)</f>
        <v>0.120315789473684</v>
      </c>
      <c r="L282" s="138" t="n">
        <f aca="false">IF(Calculator!$E$21="YES",IF(A282&lt;Calculator!$G$21,0,MIN(MIN(MOD(A282/Calculator!$F$21,1),1-MOD(A282/Calculator!$F$21,1)),ABS(MOD(A282/Calculator!$F$21,1)-0.5))),1)</f>
        <v>0.0673684210526311</v>
      </c>
      <c r="M282" s="138" t="n">
        <f aca="false">MIN(B282:L282)</f>
        <v>0</v>
      </c>
      <c r="N282" s="138" t="n">
        <f aca="false">SUMPRODUCT(($M$5:$M$555&gt;M282)*1)+SUMPRODUCT(($M$5:$M$555=M282)*(ROW($M$5:$M$555)&lt;ROW(M282)))+1</f>
        <v>503</v>
      </c>
      <c r="O282" s="138" t="str">
        <f aca="false">IF(M282&gt;=0.2,"★★★ EXCELLENT",IF(M282&gt;=0.12,"★★  GOOD",IF(M282&gt;=0.07,"★  FAIR",IF(M282&gt;=0.025,"⚠  MARGINAL","✗  AVOID"))))</f>
        <v>✗  AVOID</v>
      </c>
    </row>
    <row r="283" customFormat="false" ht="15" hidden="false" customHeight="false" outlineLevel="0" collapsed="false">
      <c r="A283" s="135" t="n">
        <v>32.8</v>
      </c>
      <c r="B283" s="136" t="n">
        <f aca="false">IF(Calculator!$E$11="YES",IF(A283&lt;Calculator!$G$11,0,MIN(MIN(MOD(A283/Calculator!$F$11,1),1-MOD(A283/Calculator!$F$11,1)),ABS(MOD(A283/Calculator!$F$11,1)-0.5))),1)</f>
        <v>0</v>
      </c>
      <c r="C283" s="136" t="n">
        <f aca="false">IF(Calculator!$E$12="YES",IF(A283&lt;Calculator!$G$12,0,MIN(MIN(MOD(A283/Calculator!$F$12,1),1-MOD(A283/Calculator!$F$12,1)),ABS(MOD(A283/Calculator!$F$12,1)-0.5))),1)</f>
        <v>0.159859649122807</v>
      </c>
      <c r="D283" s="136" t="n">
        <f aca="false">IF(Calculator!$E$13="YES",IF(A283&lt;Calculator!$G$13,0,MIN(MIN(MOD(A283/Calculator!$F$13,1),1-MOD(A283/Calculator!$F$13,1)),ABS(MOD(A283/Calculator!$F$13,1)-0.5))),1)</f>
        <v>0.233510175438596</v>
      </c>
      <c r="E283" s="136" t="n">
        <f aca="false">IF(Calculator!$E$14="YES",IF(A283&lt;Calculator!$G$14,0,MIN(MIN(MOD(A283/Calculator!$F$14,1),1-MOD(A283/Calculator!$F$14,1)),ABS(MOD(A283/Calculator!$F$14,1)-0.5))),1)</f>
        <v>0.145754385964912</v>
      </c>
      <c r="F283" s="136" t="n">
        <f aca="false">IF(Calculator!$E$15="YES",IF(A283&lt;Calculator!$G$15,0,MIN(MIN(MOD(A283/Calculator!$F$15,1),1-MOD(A283/Calculator!$F$15,1)),ABS(MOD(A283/Calculator!$F$15,1)-0.5))),1)</f>
        <v>0.169473684210526</v>
      </c>
      <c r="G283" s="136" t="n">
        <f aca="false">IF(Calculator!$E$16="YES",IF(A283&lt;Calculator!$G$16,0,MIN(MIN(MOD(A283/Calculator!$F$16,1),1-MOD(A283/Calculator!$F$16,1)),ABS(MOD(A283/Calculator!$F$16,1)-0.5))),1)</f>
        <v>0.237263157894737</v>
      </c>
      <c r="H283" s="136" t="n">
        <f aca="false">IF(Calculator!$E$17="YES",IF(A283&lt;Calculator!$G$17,0,MIN(MIN(MOD(A283/Calculator!$F$17,1),1-MOD(A283/Calculator!$F$17,1)),ABS(MOD(A283/Calculator!$F$17,1)-0.5))),1)</f>
        <v>0.170318596491228</v>
      </c>
      <c r="I283" s="136" t="n">
        <f aca="false">IF(Calculator!$E$18="YES",IF(A283&lt;Calculator!$G$18,0,MIN(MIN(MOD(A283/Calculator!$F$18,1),1-MOD(A283/Calculator!$F$18,1)),ABS(MOD(A283/Calculator!$F$18,1)-0.5))),1)</f>
        <v>0.114526315789474</v>
      </c>
      <c r="J283" s="136" t="n">
        <f aca="false">IF(Calculator!$E$19="YES",IF(A283&lt;Calculator!$G$19,0,MIN(MIN(MOD(A283/Calculator!$F$19,1),1-MOD(A283/Calculator!$F$19,1)),ABS(MOD(A283/Calculator!$F$19,1)-0.5))),1)</f>
        <v>0.24057543859649</v>
      </c>
      <c r="K283" s="136" t="n">
        <f aca="false">IF(Calculator!$E$20="YES",IF(A283&lt;Calculator!$G$20,0,MIN(MIN(MOD(A283/Calculator!$F$20,1),1-MOD(A283/Calculator!$F$20,1)),ABS(MOD(A283/Calculator!$F$20,1)-0.5))),1)</f>
        <v>0.140561403508771</v>
      </c>
      <c r="L283" s="136" t="n">
        <f aca="false">IF(Calculator!$E$21="YES",IF(A283&lt;Calculator!$G$21,0,MIN(MIN(MOD(A283/Calculator!$F$21,1),1-MOD(A283/Calculator!$F$21,1)),ABS(MOD(A283/Calculator!$F$21,1)-0.5))),1)</f>
        <v>0.0308771929824569</v>
      </c>
      <c r="M283" s="136" t="n">
        <f aca="false">MIN(B283:L283)</f>
        <v>0</v>
      </c>
      <c r="N283" s="136" t="n">
        <f aca="false">SUMPRODUCT(($M$5:$M$555&gt;M283)*1)+SUMPRODUCT(($M$5:$M$555=M283)*(ROW($M$5:$M$555)&lt;ROW(M283)))+1</f>
        <v>504</v>
      </c>
      <c r="O283" s="136" t="str">
        <f aca="false">IF(M283&gt;=0.2,"★★★ EXCELLENT",IF(M283&gt;=0.12,"★★  GOOD",IF(M283&gt;=0.07,"★  FAIR",IF(M283&gt;=0.025,"⚠  MARGINAL","✗  AVOID"))))</f>
        <v>✗  AVOID</v>
      </c>
    </row>
    <row r="284" customFormat="false" ht="15" hidden="false" customHeight="false" outlineLevel="0" collapsed="false">
      <c r="A284" s="137" t="n">
        <v>32.9</v>
      </c>
      <c r="B284" s="138" t="n">
        <f aca="false">IF(Calculator!$E$11="YES",IF(A284&lt;Calculator!$G$11,0,MIN(MIN(MOD(A284/Calculator!$F$11,1),1-MOD(A284/Calculator!$F$11,1)),ABS(MOD(A284/Calculator!$F$11,1)-0.5))),1)</f>
        <v>0</v>
      </c>
      <c r="C284" s="138" t="n">
        <f aca="false">IF(Calculator!$E$12="YES",IF(A284&lt;Calculator!$G$12,0,MIN(MIN(MOD(A284/Calculator!$F$12,1),1-MOD(A284/Calculator!$F$12,1)),ABS(MOD(A284/Calculator!$F$12,1)-0.5))),1)</f>
        <v>0.157298245614035</v>
      </c>
      <c r="D284" s="138" t="n">
        <f aca="false">IF(Calculator!$E$13="YES",IF(A284&lt;Calculator!$G$13,0,MIN(MIN(MOD(A284/Calculator!$F$13,1),1-MOD(A284/Calculator!$F$13,1)),ABS(MOD(A284/Calculator!$F$13,1)-0.5))),1)</f>
        <v>0.237270877192982</v>
      </c>
      <c r="E284" s="138" t="n">
        <f aca="false">IF(Calculator!$E$14="YES",IF(A284&lt;Calculator!$G$14,0,MIN(MIN(MOD(A284/Calculator!$F$14,1),1-MOD(A284/Calculator!$F$14,1)),ABS(MOD(A284/Calculator!$F$14,1)-0.5))),1)</f>
        <v>0.150771929824561</v>
      </c>
      <c r="F284" s="138" t="n">
        <f aca="false">IF(Calculator!$E$15="YES",IF(A284&lt;Calculator!$G$15,0,MIN(MIN(MOD(A284/Calculator!$F$15,1),1-MOD(A284/Calculator!$F$15,1)),ABS(MOD(A284/Calculator!$F$15,1)-0.5))),1)</f>
        <v>0.162368421052632</v>
      </c>
      <c r="G284" s="138" t="n">
        <f aca="false">IF(Calculator!$E$16="YES",IF(A284&lt;Calculator!$G$16,0,MIN(MIN(MOD(A284/Calculator!$F$16,1),1-MOD(A284/Calculator!$F$16,1)),ABS(MOD(A284/Calculator!$F$16,1)-0.5))),1)</f>
        <v>0.227315789473684</v>
      </c>
      <c r="H284" s="138" t="n">
        <f aca="false">IF(Calculator!$E$17="YES",IF(A284&lt;Calculator!$G$17,0,MIN(MIN(MOD(A284/Calculator!$F$17,1),1-MOD(A284/Calculator!$F$17,1)),ABS(MOD(A284/Calculator!$F$17,1)-0.5))),1)</f>
        <v>0.18303298245614</v>
      </c>
      <c r="I284" s="138" t="n">
        <f aca="false">IF(Calculator!$E$18="YES",IF(A284&lt;Calculator!$G$18,0,MIN(MIN(MOD(A284/Calculator!$F$18,1),1-MOD(A284/Calculator!$F$18,1)),ABS(MOD(A284/Calculator!$F$18,1)-0.5))),1)</f>
        <v>0.0996315789473687</v>
      </c>
      <c r="J284" s="138" t="n">
        <f aca="false">IF(Calculator!$E$19="YES",IF(A284&lt;Calculator!$G$19,0,MIN(MIN(MOD(A284/Calculator!$F$19,1),1-MOD(A284/Calculator!$F$19,1)),ABS(MOD(A284/Calculator!$F$19,1)-0.5))),1)</f>
        <v>0.241922807017545</v>
      </c>
      <c r="K284" s="138" t="n">
        <f aca="false">IF(Calculator!$E$20="YES",IF(A284&lt;Calculator!$G$20,0,MIN(MIN(MOD(A284/Calculator!$F$20,1),1-MOD(A284/Calculator!$F$20,1)),ABS(MOD(A284/Calculator!$F$20,1)-0.5))),1)</f>
        <v>0.160807017543859</v>
      </c>
      <c r="L284" s="138" t="n">
        <f aca="false">IF(Calculator!$E$21="YES",IF(A284&lt;Calculator!$G$21,0,MIN(MIN(MOD(A284/Calculator!$F$21,1),1-MOD(A284/Calculator!$F$21,1)),ABS(MOD(A284/Calculator!$F$21,1)-0.5))),1)</f>
        <v>0.00561403508771896</v>
      </c>
      <c r="M284" s="138" t="n">
        <f aca="false">MIN(B284:L284)</f>
        <v>0</v>
      </c>
      <c r="N284" s="138" t="n">
        <f aca="false">SUMPRODUCT(($M$5:$M$555&gt;M284)*1)+SUMPRODUCT(($M$5:$M$555=M284)*(ROW($M$5:$M$555)&lt;ROW(M284)))+1</f>
        <v>505</v>
      </c>
      <c r="O284" s="138" t="str">
        <f aca="false">IF(M284&gt;=0.2,"★★★ EXCELLENT",IF(M284&gt;=0.12,"★★  GOOD",IF(M284&gt;=0.07,"★  FAIR",IF(M284&gt;=0.025,"⚠  MARGINAL","✗  AVOID"))))</f>
        <v>✗  AVOID</v>
      </c>
    </row>
    <row r="285" customFormat="false" ht="15" hidden="false" customHeight="false" outlineLevel="0" collapsed="false">
      <c r="A285" s="135" t="n">
        <v>33</v>
      </c>
      <c r="B285" s="136" t="n">
        <f aca="false">IF(Calculator!$E$11="YES",IF(A285&lt;Calculator!$G$11,0,MIN(MIN(MOD(A285/Calculator!$F$11,1),1-MOD(A285/Calculator!$F$11,1)),ABS(MOD(A285/Calculator!$F$11,1)-0.5))),1)</f>
        <v>0</v>
      </c>
      <c r="C285" s="136" t="n">
        <f aca="false">IF(Calculator!$E$12="YES",IF(A285&lt;Calculator!$G$12,0,MIN(MIN(MOD(A285/Calculator!$F$12,1),1-MOD(A285/Calculator!$F$12,1)),ABS(MOD(A285/Calculator!$F$12,1)-0.5))),1)</f>
        <v>0.154736842105263</v>
      </c>
      <c r="D285" s="136" t="n">
        <f aca="false">IF(Calculator!$E$13="YES",IF(A285&lt;Calculator!$G$13,0,MIN(MIN(MOD(A285/Calculator!$F$13,1),1-MOD(A285/Calculator!$F$13,1)),ABS(MOD(A285/Calculator!$F$13,1)-0.5))),1)</f>
        <v>0.241031578947368</v>
      </c>
      <c r="E285" s="136" t="n">
        <f aca="false">IF(Calculator!$E$14="YES",IF(A285&lt;Calculator!$G$14,0,MIN(MIN(MOD(A285/Calculator!$F$14,1),1-MOD(A285/Calculator!$F$14,1)),ABS(MOD(A285/Calculator!$F$14,1)-0.5))),1)</f>
        <v>0.15578947368421</v>
      </c>
      <c r="F285" s="136" t="n">
        <f aca="false">IF(Calculator!$E$15="YES",IF(A285&lt;Calculator!$G$15,0,MIN(MIN(MOD(A285/Calculator!$F$15,1),1-MOD(A285/Calculator!$F$15,1)),ABS(MOD(A285/Calculator!$F$15,1)-0.5))),1)</f>
        <v>0.155263157894737</v>
      </c>
      <c r="G285" s="136" t="n">
        <f aca="false">IF(Calculator!$E$16="YES",IF(A285&lt;Calculator!$G$16,0,MIN(MIN(MOD(A285/Calculator!$F$16,1),1-MOD(A285/Calculator!$F$16,1)),ABS(MOD(A285/Calculator!$F$16,1)-0.5))),1)</f>
        <v>0.217368421052631</v>
      </c>
      <c r="H285" s="136" t="n">
        <f aca="false">IF(Calculator!$E$17="YES",IF(A285&lt;Calculator!$G$17,0,MIN(MIN(MOD(A285/Calculator!$F$17,1),1-MOD(A285/Calculator!$F$17,1)),ABS(MOD(A285/Calculator!$F$17,1)-0.5))),1)</f>
        <v>0.195747368421053</v>
      </c>
      <c r="I285" s="136" t="n">
        <f aca="false">IF(Calculator!$E$18="YES",IF(A285&lt;Calculator!$G$18,0,MIN(MIN(MOD(A285/Calculator!$F$18,1),1-MOD(A285/Calculator!$F$18,1)),ABS(MOD(A285/Calculator!$F$18,1)-0.5))),1)</f>
        <v>0.0847368421052632</v>
      </c>
      <c r="J285" s="136" t="n">
        <f aca="false">IF(Calculator!$E$19="YES",IF(A285&lt;Calculator!$G$19,0,MIN(MIN(MOD(A285/Calculator!$F$19,1),1-MOD(A285/Calculator!$F$19,1)),ABS(MOD(A285/Calculator!$F$19,1)-0.5))),1)</f>
        <v>0.22442105263158</v>
      </c>
      <c r="K285" s="136" t="n">
        <f aca="false">IF(Calculator!$E$20="YES",IF(A285&lt;Calculator!$G$20,0,MIN(MIN(MOD(A285/Calculator!$F$20,1),1-MOD(A285/Calculator!$F$20,1)),ABS(MOD(A285/Calculator!$F$20,1)-0.5))),1)</f>
        <v>0.181052631578948</v>
      </c>
      <c r="L285" s="136" t="n">
        <f aca="false">IF(Calculator!$E$21="YES",IF(A285&lt;Calculator!$G$21,0,MIN(MIN(MOD(A285/Calculator!$F$21,1),1-MOD(A285/Calculator!$F$21,1)),ABS(MOD(A285/Calculator!$F$21,1)-0.5))),1)</f>
        <v>0.0421052631578949</v>
      </c>
      <c r="M285" s="136" t="n">
        <f aca="false">MIN(B285:L285)</f>
        <v>0</v>
      </c>
      <c r="N285" s="136" t="n">
        <f aca="false">SUMPRODUCT(($M$5:$M$555&gt;M285)*1)+SUMPRODUCT(($M$5:$M$555=M285)*(ROW($M$5:$M$555)&lt;ROW(M285)))+1</f>
        <v>506</v>
      </c>
      <c r="O285" s="136" t="str">
        <f aca="false">IF(M285&gt;=0.2,"★★★ EXCELLENT",IF(M285&gt;=0.12,"★★  GOOD",IF(M285&gt;=0.07,"★  FAIR",IF(M285&gt;=0.025,"⚠  MARGINAL","✗  AVOID"))))</f>
        <v>✗  AVOID</v>
      </c>
    </row>
    <row r="286" customFormat="false" ht="15" hidden="false" customHeight="false" outlineLevel="0" collapsed="false">
      <c r="A286" s="137" t="n">
        <v>33.1</v>
      </c>
      <c r="B286" s="138" t="n">
        <f aca="false">IF(Calculator!$E$11="YES",IF(A286&lt;Calculator!$G$11,0,MIN(MIN(MOD(A286/Calculator!$F$11,1),1-MOD(A286/Calculator!$F$11,1)),ABS(MOD(A286/Calculator!$F$11,1)-0.5))),1)</f>
        <v>0</v>
      </c>
      <c r="C286" s="138" t="n">
        <f aca="false">IF(Calculator!$E$12="YES",IF(A286&lt;Calculator!$G$12,0,MIN(MIN(MOD(A286/Calculator!$F$12,1),1-MOD(A286/Calculator!$F$12,1)),ABS(MOD(A286/Calculator!$F$12,1)-0.5))),1)</f>
        <v>0.152175438596491</v>
      </c>
      <c r="D286" s="138" t="n">
        <f aca="false">IF(Calculator!$E$13="YES",IF(A286&lt;Calculator!$G$13,0,MIN(MIN(MOD(A286/Calculator!$F$13,1),1-MOD(A286/Calculator!$F$13,1)),ABS(MOD(A286/Calculator!$F$13,1)-0.5))),1)</f>
        <v>0.244792280701754</v>
      </c>
      <c r="E286" s="138" t="n">
        <f aca="false">IF(Calculator!$E$14="YES",IF(A286&lt;Calculator!$G$14,0,MIN(MIN(MOD(A286/Calculator!$F$14,1),1-MOD(A286/Calculator!$F$14,1)),ABS(MOD(A286/Calculator!$F$14,1)-0.5))),1)</f>
        <v>0.16080701754386</v>
      </c>
      <c r="F286" s="138" t="n">
        <f aca="false">IF(Calculator!$E$15="YES",IF(A286&lt;Calculator!$G$15,0,MIN(MIN(MOD(A286/Calculator!$F$15,1),1-MOD(A286/Calculator!$F$15,1)),ABS(MOD(A286/Calculator!$F$15,1)-0.5))),1)</f>
        <v>0.148157894736842</v>
      </c>
      <c r="G286" s="138" t="n">
        <f aca="false">IF(Calculator!$E$16="YES",IF(A286&lt;Calculator!$G$16,0,MIN(MIN(MOD(A286/Calculator!$F$16,1),1-MOD(A286/Calculator!$F$16,1)),ABS(MOD(A286/Calculator!$F$16,1)-0.5))),1)</f>
        <v>0.207421052631579</v>
      </c>
      <c r="H286" s="138" t="n">
        <f aca="false">IF(Calculator!$E$17="YES",IF(A286&lt;Calculator!$G$17,0,MIN(MIN(MOD(A286/Calculator!$F$17,1),1-MOD(A286/Calculator!$F$17,1)),ABS(MOD(A286/Calculator!$F$17,1)-0.5))),1)</f>
        <v>0.208461754385966</v>
      </c>
      <c r="I286" s="138" t="n">
        <f aca="false">IF(Calculator!$E$18="YES",IF(A286&lt;Calculator!$G$18,0,MIN(MIN(MOD(A286/Calculator!$F$18,1),1-MOD(A286/Calculator!$F$18,1)),ABS(MOD(A286/Calculator!$F$18,1)-0.5))),1)</f>
        <v>0.0698421052631577</v>
      </c>
      <c r="J286" s="138" t="n">
        <f aca="false">IF(Calculator!$E$19="YES",IF(A286&lt;Calculator!$G$19,0,MIN(MIN(MOD(A286/Calculator!$F$19,1),1-MOD(A286/Calculator!$F$19,1)),ABS(MOD(A286/Calculator!$F$19,1)-0.5))),1)</f>
        <v>0.206919298245615</v>
      </c>
      <c r="K286" s="138" t="n">
        <f aca="false">IF(Calculator!$E$20="YES",IF(A286&lt;Calculator!$G$20,0,MIN(MIN(MOD(A286/Calculator!$F$20,1),1-MOD(A286/Calculator!$F$20,1)),ABS(MOD(A286/Calculator!$F$20,1)-0.5))),1)</f>
        <v>0.201298245614035</v>
      </c>
      <c r="L286" s="138" t="n">
        <f aca="false">IF(Calculator!$E$21="YES",IF(A286&lt;Calculator!$G$21,0,MIN(MIN(MOD(A286/Calculator!$F$21,1),1-MOD(A286/Calculator!$F$21,1)),ABS(MOD(A286/Calculator!$F$21,1)-0.5))),1)</f>
        <v>0.0785964912280708</v>
      </c>
      <c r="M286" s="138" t="n">
        <f aca="false">MIN(B286:L286)</f>
        <v>0</v>
      </c>
      <c r="N286" s="138" t="n">
        <f aca="false">SUMPRODUCT(($M$5:$M$555&gt;M286)*1)+SUMPRODUCT(($M$5:$M$555=M286)*(ROW($M$5:$M$555)&lt;ROW(M286)))+1</f>
        <v>507</v>
      </c>
      <c r="O286" s="138" t="str">
        <f aca="false">IF(M286&gt;=0.2,"★★★ EXCELLENT",IF(M286&gt;=0.12,"★★  GOOD",IF(M286&gt;=0.07,"★  FAIR",IF(M286&gt;=0.025,"⚠  MARGINAL","✗  AVOID"))))</f>
        <v>✗  AVOID</v>
      </c>
    </row>
    <row r="287" customFormat="false" ht="15" hidden="false" customHeight="false" outlineLevel="0" collapsed="false">
      <c r="A287" s="135" t="n">
        <v>33.2</v>
      </c>
      <c r="B287" s="136" t="n">
        <f aca="false">IF(Calculator!$E$11="YES",IF(A287&lt;Calculator!$G$11,0,MIN(MIN(MOD(A287/Calculator!$F$11,1),1-MOD(A287/Calculator!$F$11,1)),ABS(MOD(A287/Calculator!$F$11,1)-0.5))),1)</f>
        <v>0</v>
      </c>
      <c r="C287" s="136" t="n">
        <f aca="false">IF(Calculator!$E$12="YES",IF(A287&lt;Calculator!$G$12,0,MIN(MIN(MOD(A287/Calculator!$F$12,1),1-MOD(A287/Calculator!$F$12,1)),ABS(MOD(A287/Calculator!$F$12,1)-0.5))),1)</f>
        <v>0.149614035087719</v>
      </c>
      <c r="D287" s="136" t="n">
        <f aca="false">IF(Calculator!$E$13="YES",IF(A287&lt;Calculator!$G$13,0,MIN(MIN(MOD(A287/Calculator!$F$13,1),1-MOD(A287/Calculator!$F$13,1)),ABS(MOD(A287/Calculator!$F$13,1)-0.5))),1)</f>
        <v>0.24855298245614</v>
      </c>
      <c r="E287" s="136" t="n">
        <f aca="false">IF(Calculator!$E$14="YES",IF(A287&lt;Calculator!$G$14,0,MIN(MIN(MOD(A287/Calculator!$F$14,1),1-MOD(A287/Calculator!$F$14,1)),ABS(MOD(A287/Calculator!$F$14,1)-0.5))),1)</f>
        <v>0.165824561403509</v>
      </c>
      <c r="F287" s="136" t="n">
        <f aca="false">IF(Calculator!$E$15="YES",IF(A287&lt;Calculator!$G$15,0,MIN(MIN(MOD(A287/Calculator!$F$15,1),1-MOD(A287/Calculator!$F$15,1)),ABS(MOD(A287/Calculator!$F$15,1)-0.5))),1)</f>
        <v>0.141052631578947</v>
      </c>
      <c r="G287" s="136" t="n">
        <f aca="false">IF(Calculator!$E$16="YES",IF(A287&lt;Calculator!$G$16,0,MIN(MIN(MOD(A287/Calculator!$F$16,1),1-MOD(A287/Calculator!$F$16,1)),ABS(MOD(A287/Calculator!$F$16,1)-0.5))),1)</f>
        <v>0.197473684210526</v>
      </c>
      <c r="H287" s="136" t="n">
        <f aca="false">IF(Calculator!$E$17="YES",IF(A287&lt;Calculator!$G$17,0,MIN(MIN(MOD(A287/Calculator!$F$17,1),1-MOD(A287/Calculator!$F$17,1)),ABS(MOD(A287/Calculator!$F$17,1)-0.5))),1)</f>
        <v>0.221176140350878</v>
      </c>
      <c r="I287" s="136" t="n">
        <f aca="false">IF(Calculator!$E$18="YES",IF(A287&lt;Calculator!$G$18,0,MIN(MIN(MOD(A287/Calculator!$F$18,1),1-MOD(A287/Calculator!$F$18,1)),ABS(MOD(A287/Calculator!$F$18,1)-0.5))),1)</f>
        <v>0.0549473684210522</v>
      </c>
      <c r="J287" s="136" t="n">
        <f aca="false">IF(Calculator!$E$19="YES",IF(A287&lt;Calculator!$G$19,0,MIN(MIN(MOD(A287/Calculator!$F$19,1),1-MOD(A287/Calculator!$F$19,1)),ABS(MOD(A287/Calculator!$F$19,1)-0.5))),1)</f>
        <v>0.189417543859649</v>
      </c>
      <c r="K287" s="136" t="n">
        <f aca="false">IF(Calculator!$E$20="YES",IF(A287&lt;Calculator!$G$20,0,MIN(MIN(MOD(A287/Calculator!$F$20,1),1-MOD(A287/Calculator!$F$20,1)),ABS(MOD(A287/Calculator!$F$20,1)-0.5))),1)</f>
        <v>0.221543859649123</v>
      </c>
      <c r="L287" s="136" t="n">
        <f aca="false">IF(Calculator!$E$21="YES",IF(A287&lt;Calculator!$G$21,0,MIN(MIN(MOD(A287/Calculator!$F$21,1),1-MOD(A287/Calculator!$F$21,1)),ABS(MOD(A287/Calculator!$F$21,1)-0.5))),1)</f>
        <v>0.115087719298247</v>
      </c>
      <c r="M287" s="136" t="n">
        <f aca="false">MIN(B287:L287)</f>
        <v>0</v>
      </c>
      <c r="N287" s="136" t="n">
        <f aca="false">SUMPRODUCT(($M$5:$M$555&gt;M287)*1)+SUMPRODUCT(($M$5:$M$555=M287)*(ROW($M$5:$M$555)&lt;ROW(M287)))+1</f>
        <v>508</v>
      </c>
      <c r="O287" s="136" t="str">
        <f aca="false">IF(M287&gt;=0.2,"★★★ EXCELLENT",IF(M287&gt;=0.12,"★★  GOOD",IF(M287&gt;=0.07,"★  FAIR",IF(M287&gt;=0.025,"⚠  MARGINAL","✗  AVOID"))))</f>
        <v>✗  AVOID</v>
      </c>
    </row>
    <row r="288" customFormat="false" ht="15" hidden="false" customHeight="false" outlineLevel="0" collapsed="false">
      <c r="A288" s="137" t="n">
        <v>33.3</v>
      </c>
      <c r="B288" s="138" t="n">
        <f aca="false">IF(Calculator!$E$11="YES",IF(A288&lt;Calculator!$G$11,0,MIN(MIN(MOD(A288/Calculator!$F$11,1),1-MOD(A288/Calculator!$F$11,1)),ABS(MOD(A288/Calculator!$F$11,1)-0.5))),1)</f>
        <v>0</v>
      </c>
      <c r="C288" s="138" t="n">
        <f aca="false">IF(Calculator!$E$12="YES",IF(A288&lt;Calculator!$G$12,0,MIN(MIN(MOD(A288/Calculator!$F$12,1),1-MOD(A288/Calculator!$F$12,1)),ABS(MOD(A288/Calculator!$F$12,1)-0.5))),1)</f>
        <v>0.147052631578947</v>
      </c>
      <c r="D288" s="138" t="n">
        <f aca="false">IF(Calculator!$E$13="YES",IF(A288&lt;Calculator!$G$13,0,MIN(MIN(MOD(A288/Calculator!$F$13,1),1-MOD(A288/Calculator!$F$13,1)),ABS(MOD(A288/Calculator!$F$13,1)-0.5))),1)</f>
        <v>0.247686315789474</v>
      </c>
      <c r="E288" s="138" t="n">
        <f aca="false">IF(Calculator!$E$14="YES",IF(A288&lt;Calculator!$G$14,0,MIN(MIN(MOD(A288/Calculator!$F$14,1),1-MOD(A288/Calculator!$F$14,1)),ABS(MOD(A288/Calculator!$F$14,1)-0.5))),1)</f>
        <v>0.170842105263158</v>
      </c>
      <c r="F288" s="138" t="n">
        <f aca="false">IF(Calculator!$E$15="YES",IF(A288&lt;Calculator!$G$15,0,MIN(MIN(MOD(A288/Calculator!$F$15,1),1-MOD(A288/Calculator!$F$15,1)),ABS(MOD(A288/Calculator!$F$15,1)-0.5))),1)</f>
        <v>0.133947368421053</v>
      </c>
      <c r="G288" s="138" t="n">
        <f aca="false">IF(Calculator!$E$16="YES",IF(A288&lt;Calculator!$G$16,0,MIN(MIN(MOD(A288/Calculator!$F$16,1),1-MOD(A288/Calculator!$F$16,1)),ABS(MOD(A288/Calculator!$F$16,1)-0.5))),1)</f>
        <v>0.187526315789474</v>
      </c>
      <c r="H288" s="138" t="n">
        <f aca="false">IF(Calculator!$E$17="YES",IF(A288&lt;Calculator!$G$17,0,MIN(MIN(MOD(A288/Calculator!$F$17,1),1-MOD(A288/Calculator!$F$17,1)),ABS(MOD(A288/Calculator!$F$17,1)-0.5))),1)</f>
        <v>0.23389052631579</v>
      </c>
      <c r="I288" s="138" t="n">
        <f aca="false">IF(Calculator!$E$18="YES",IF(A288&lt;Calculator!$G$18,0,MIN(MIN(MOD(A288/Calculator!$F$18,1),1-MOD(A288/Calculator!$F$18,1)),ABS(MOD(A288/Calculator!$F$18,1)-0.5))),1)</f>
        <v>0.0400526315789476</v>
      </c>
      <c r="J288" s="138" t="n">
        <f aca="false">IF(Calculator!$E$19="YES",IF(A288&lt;Calculator!$G$19,0,MIN(MIN(MOD(A288/Calculator!$F$19,1),1-MOD(A288/Calculator!$F$19,1)),ABS(MOD(A288/Calculator!$F$19,1)-0.5))),1)</f>
        <v>0.171915789473686</v>
      </c>
      <c r="K288" s="138" t="n">
        <f aca="false">IF(Calculator!$E$20="YES",IF(A288&lt;Calculator!$G$20,0,MIN(MIN(MOD(A288/Calculator!$F$20,1),1-MOD(A288/Calculator!$F$20,1)),ABS(MOD(A288/Calculator!$F$20,1)-0.5))),1)</f>
        <v>0.24178947368421</v>
      </c>
      <c r="L288" s="138" t="n">
        <f aca="false">IF(Calculator!$E$21="YES",IF(A288&lt;Calculator!$G$21,0,MIN(MIN(MOD(A288/Calculator!$F$21,1),1-MOD(A288/Calculator!$F$21,1)),ABS(MOD(A288/Calculator!$F$21,1)-0.5))),1)</f>
        <v>0.151578947368419</v>
      </c>
      <c r="M288" s="138" t="n">
        <f aca="false">MIN(B288:L288)</f>
        <v>0</v>
      </c>
      <c r="N288" s="138" t="n">
        <f aca="false">SUMPRODUCT(($M$5:$M$555&gt;M288)*1)+SUMPRODUCT(($M$5:$M$555=M288)*(ROW($M$5:$M$555)&lt;ROW(M288)))+1</f>
        <v>509</v>
      </c>
      <c r="O288" s="138" t="str">
        <f aca="false">IF(M288&gt;=0.2,"★★★ EXCELLENT",IF(M288&gt;=0.12,"★★  GOOD",IF(M288&gt;=0.07,"★  FAIR",IF(M288&gt;=0.025,"⚠  MARGINAL","✗  AVOID"))))</f>
        <v>✗  AVOID</v>
      </c>
    </row>
    <row r="289" customFormat="false" ht="15" hidden="false" customHeight="false" outlineLevel="0" collapsed="false">
      <c r="A289" s="135" t="n">
        <v>33.4</v>
      </c>
      <c r="B289" s="136" t="n">
        <f aca="false">IF(Calculator!$E$11="YES",IF(A289&lt;Calculator!$G$11,0,MIN(MIN(MOD(A289/Calculator!$F$11,1),1-MOD(A289/Calculator!$F$11,1)),ABS(MOD(A289/Calculator!$F$11,1)-0.5))),1)</f>
        <v>0</v>
      </c>
      <c r="C289" s="136" t="n">
        <f aca="false">IF(Calculator!$E$12="YES",IF(A289&lt;Calculator!$G$12,0,MIN(MIN(MOD(A289/Calculator!$F$12,1),1-MOD(A289/Calculator!$F$12,1)),ABS(MOD(A289/Calculator!$F$12,1)-0.5))),1)</f>
        <v>0.144491228070175</v>
      </c>
      <c r="D289" s="136" t="n">
        <f aca="false">IF(Calculator!$E$13="YES",IF(A289&lt;Calculator!$G$13,0,MIN(MIN(MOD(A289/Calculator!$F$13,1),1-MOD(A289/Calculator!$F$13,1)),ABS(MOD(A289/Calculator!$F$13,1)-0.5))),1)</f>
        <v>0.243925614035088</v>
      </c>
      <c r="E289" s="136" t="n">
        <f aca="false">IF(Calculator!$E$14="YES",IF(A289&lt;Calculator!$G$14,0,MIN(MIN(MOD(A289/Calculator!$F$14,1),1-MOD(A289/Calculator!$F$14,1)),ABS(MOD(A289/Calculator!$F$14,1)-0.5))),1)</f>
        <v>0.175859649122807</v>
      </c>
      <c r="F289" s="136" t="n">
        <f aca="false">IF(Calculator!$E$15="YES",IF(A289&lt;Calculator!$G$15,0,MIN(MIN(MOD(A289/Calculator!$F$15,1),1-MOD(A289/Calculator!$F$15,1)),ABS(MOD(A289/Calculator!$F$15,1)-0.5))),1)</f>
        <v>0.126842105263158</v>
      </c>
      <c r="G289" s="136" t="n">
        <f aca="false">IF(Calculator!$E$16="YES",IF(A289&lt;Calculator!$G$16,0,MIN(MIN(MOD(A289/Calculator!$F$16,1),1-MOD(A289/Calculator!$F$16,1)),ABS(MOD(A289/Calculator!$F$16,1)-0.5))),1)</f>
        <v>0.177578947368421</v>
      </c>
      <c r="H289" s="136" t="n">
        <f aca="false">IF(Calculator!$E$17="YES",IF(A289&lt;Calculator!$G$17,0,MIN(MIN(MOD(A289/Calculator!$F$17,1),1-MOD(A289/Calculator!$F$17,1)),ABS(MOD(A289/Calculator!$F$17,1)-0.5))),1)</f>
        <v>0.246604912280702</v>
      </c>
      <c r="I289" s="136" t="n">
        <f aca="false">IF(Calculator!$E$18="YES",IF(A289&lt;Calculator!$G$18,0,MIN(MIN(MOD(A289/Calculator!$F$18,1),1-MOD(A289/Calculator!$F$18,1)),ABS(MOD(A289/Calculator!$F$18,1)-0.5))),1)</f>
        <v>0.025157894736842</v>
      </c>
      <c r="J289" s="136" t="n">
        <f aca="false">IF(Calculator!$E$19="YES",IF(A289&lt;Calculator!$G$19,0,MIN(MIN(MOD(A289/Calculator!$F$19,1),1-MOD(A289/Calculator!$F$19,1)),ABS(MOD(A289/Calculator!$F$19,1)-0.5))),1)</f>
        <v>0.15441403508772</v>
      </c>
      <c r="K289" s="136" t="n">
        <f aca="false">IF(Calculator!$E$20="YES",IF(A289&lt;Calculator!$G$20,0,MIN(MIN(MOD(A289/Calculator!$F$20,1),1-MOD(A289/Calculator!$F$20,1)),ABS(MOD(A289/Calculator!$F$20,1)-0.5))),1)</f>
        <v>0.237964912280702</v>
      </c>
      <c r="L289" s="136" t="n">
        <f aca="false">IF(Calculator!$E$21="YES",IF(A289&lt;Calculator!$G$21,0,MIN(MIN(MOD(A289/Calculator!$F$21,1),1-MOD(A289/Calculator!$F$21,1)),ABS(MOD(A289/Calculator!$F$21,1)-0.5))),1)</f>
        <v>0.188070175438595</v>
      </c>
      <c r="M289" s="136" t="n">
        <f aca="false">MIN(B289:L289)</f>
        <v>0</v>
      </c>
      <c r="N289" s="136" t="n">
        <f aca="false">SUMPRODUCT(($M$5:$M$555&gt;M289)*1)+SUMPRODUCT(($M$5:$M$555=M289)*(ROW($M$5:$M$555)&lt;ROW(M289)))+1</f>
        <v>510</v>
      </c>
      <c r="O289" s="136" t="str">
        <f aca="false">IF(M289&gt;=0.2,"★★★ EXCELLENT",IF(M289&gt;=0.12,"★★  GOOD",IF(M289&gt;=0.07,"★  FAIR",IF(M289&gt;=0.025,"⚠  MARGINAL","✗  AVOID"))))</f>
        <v>✗  AVOID</v>
      </c>
    </row>
    <row r="290" customFormat="false" ht="15" hidden="false" customHeight="false" outlineLevel="0" collapsed="false">
      <c r="A290" s="137" t="n">
        <v>33.5</v>
      </c>
      <c r="B290" s="138" t="n">
        <f aca="false">IF(Calculator!$E$11="YES",IF(A290&lt;Calculator!$G$11,0,MIN(MIN(MOD(A290/Calculator!$F$11,1),1-MOD(A290/Calculator!$F$11,1)),ABS(MOD(A290/Calculator!$F$11,1)-0.5))),1)</f>
        <v>0</v>
      </c>
      <c r="C290" s="138" t="n">
        <f aca="false">IF(Calculator!$E$12="YES",IF(A290&lt;Calculator!$G$12,0,MIN(MIN(MOD(A290/Calculator!$F$12,1),1-MOD(A290/Calculator!$F$12,1)),ABS(MOD(A290/Calculator!$F$12,1)-0.5))),1)</f>
        <v>0.141929824561403</v>
      </c>
      <c r="D290" s="138" t="n">
        <f aca="false">IF(Calculator!$E$13="YES",IF(A290&lt;Calculator!$G$13,0,MIN(MIN(MOD(A290/Calculator!$F$13,1),1-MOD(A290/Calculator!$F$13,1)),ABS(MOD(A290/Calculator!$F$13,1)-0.5))),1)</f>
        <v>0.240164912280702</v>
      </c>
      <c r="E290" s="138" t="n">
        <f aca="false">IF(Calculator!$E$14="YES",IF(A290&lt;Calculator!$G$14,0,MIN(MIN(MOD(A290/Calculator!$F$14,1),1-MOD(A290/Calculator!$F$14,1)),ABS(MOD(A290/Calculator!$F$14,1)-0.5))),1)</f>
        <v>0.180877192982456</v>
      </c>
      <c r="F290" s="138" t="n">
        <f aca="false">IF(Calculator!$E$15="YES",IF(A290&lt;Calculator!$G$15,0,MIN(MIN(MOD(A290/Calculator!$F$15,1),1-MOD(A290/Calculator!$F$15,1)),ABS(MOD(A290/Calculator!$F$15,1)-0.5))),1)</f>
        <v>0.119736842105263</v>
      </c>
      <c r="G290" s="138" t="n">
        <f aca="false">IF(Calculator!$E$16="YES",IF(A290&lt;Calculator!$G$16,0,MIN(MIN(MOD(A290/Calculator!$F$16,1),1-MOD(A290/Calculator!$F$16,1)),ABS(MOD(A290/Calculator!$F$16,1)-0.5))),1)</f>
        <v>0.167631578947368</v>
      </c>
      <c r="H290" s="138" t="n">
        <f aca="false">IF(Calculator!$E$17="YES",IF(A290&lt;Calculator!$G$17,0,MIN(MIN(MOD(A290/Calculator!$F$17,1),1-MOD(A290/Calculator!$F$17,1)),ABS(MOD(A290/Calculator!$F$17,1)-0.5))),1)</f>
        <v>0.240680701754386</v>
      </c>
      <c r="I290" s="138" t="n">
        <f aca="false">IF(Calculator!$E$18="YES",IF(A290&lt;Calculator!$G$18,0,MIN(MIN(MOD(A290/Calculator!$F$18,1),1-MOD(A290/Calculator!$F$18,1)),ABS(MOD(A290/Calculator!$F$18,1)-0.5))),1)</f>
        <v>0.0102631578947365</v>
      </c>
      <c r="J290" s="138" t="n">
        <f aca="false">IF(Calculator!$E$19="YES",IF(A290&lt;Calculator!$G$19,0,MIN(MIN(MOD(A290/Calculator!$F$19,1),1-MOD(A290/Calculator!$F$19,1)),ABS(MOD(A290/Calculator!$F$19,1)-0.5))),1)</f>
        <v>0.136912280701756</v>
      </c>
      <c r="K290" s="138" t="n">
        <f aca="false">IF(Calculator!$E$20="YES",IF(A290&lt;Calculator!$G$20,0,MIN(MIN(MOD(A290/Calculator!$F$20,1),1-MOD(A290/Calculator!$F$20,1)),ABS(MOD(A290/Calculator!$F$20,1)-0.5))),1)</f>
        <v>0.217719298245614</v>
      </c>
      <c r="L290" s="138" t="n">
        <f aca="false">IF(Calculator!$E$21="YES",IF(A290&lt;Calculator!$G$21,0,MIN(MIN(MOD(A290/Calculator!$F$21,1),1-MOD(A290/Calculator!$F$21,1)),ABS(MOD(A290/Calculator!$F$21,1)-0.5))),1)</f>
        <v>0.224561403508773</v>
      </c>
      <c r="M290" s="138" t="n">
        <f aca="false">MIN(B290:L290)</f>
        <v>0</v>
      </c>
      <c r="N290" s="138" t="n">
        <f aca="false">SUMPRODUCT(($M$5:$M$555&gt;M290)*1)+SUMPRODUCT(($M$5:$M$555=M290)*(ROW($M$5:$M$555)&lt;ROW(M290)))+1</f>
        <v>511</v>
      </c>
      <c r="O290" s="138" t="str">
        <f aca="false">IF(M290&gt;=0.2,"★★★ EXCELLENT",IF(M290&gt;=0.12,"★★  GOOD",IF(M290&gt;=0.07,"★  FAIR",IF(M290&gt;=0.025,"⚠  MARGINAL","✗  AVOID"))))</f>
        <v>✗  AVOID</v>
      </c>
    </row>
    <row r="291" customFormat="false" ht="15" hidden="false" customHeight="false" outlineLevel="0" collapsed="false">
      <c r="A291" s="135" t="n">
        <v>33.6</v>
      </c>
      <c r="B291" s="136" t="n">
        <f aca="false">IF(Calculator!$E$11="YES",IF(A291&lt;Calculator!$G$11,0,MIN(MIN(MOD(A291/Calculator!$F$11,1),1-MOD(A291/Calculator!$F$11,1)),ABS(MOD(A291/Calculator!$F$11,1)-0.5))),1)</f>
        <v>0</v>
      </c>
      <c r="C291" s="136" t="n">
        <f aca="false">IF(Calculator!$E$12="YES",IF(A291&lt;Calculator!$G$12,0,MIN(MIN(MOD(A291/Calculator!$F$12,1),1-MOD(A291/Calculator!$F$12,1)),ABS(MOD(A291/Calculator!$F$12,1)-0.5))),1)</f>
        <v>0.139368421052631</v>
      </c>
      <c r="D291" s="136" t="n">
        <f aca="false">IF(Calculator!$E$13="YES",IF(A291&lt;Calculator!$G$13,0,MIN(MIN(MOD(A291/Calculator!$F$13,1),1-MOD(A291/Calculator!$F$13,1)),ABS(MOD(A291/Calculator!$F$13,1)-0.5))),1)</f>
        <v>0.236404210526316</v>
      </c>
      <c r="E291" s="136" t="n">
        <f aca="false">IF(Calculator!$E$14="YES",IF(A291&lt;Calculator!$G$14,0,MIN(MIN(MOD(A291/Calculator!$F$14,1),1-MOD(A291/Calculator!$F$14,1)),ABS(MOD(A291/Calculator!$F$14,1)-0.5))),1)</f>
        <v>0.185894736842105</v>
      </c>
      <c r="F291" s="136" t="n">
        <f aca="false">IF(Calculator!$E$15="YES",IF(A291&lt;Calculator!$G$15,0,MIN(MIN(MOD(A291/Calculator!$F$15,1),1-MOD(A291/Calculator!$F$15,1)),ABS(MOD(A291/Calculator!$F$15,1)-0.5))),1)</f>
        <v>0.112631578947368</v>
      </c>
      <c r="G291" s="136" t="n">
        <f aca="false">IF(Calculator!$E$16="YES",IF(A291&lt;Calculator!$G$16,0,MIN(MIN(MOD(A291/Calculator!$F$16,1),1-MOD(A291/Calculator!$F$16,1)),ABS(MOD(A291/Calculator!$F$16,1)-0.5))),1)</f>
        <v>0.157684210526315</v>
      </c>
      <c r="H291" s="136" t="n">
        <f aca="false">IF(Calculator!$E$17="YES",IF(A291&lt;Calculator!$G$17,0,MIN(MIN(MOD(A291/Calculator!$F$17,1),1-MOD(A291/Calculator!$F$17,1)),ABS(MOD(A291/Calculator!$F$17,1)-0.5))),1)</f>
        <v>0.227966315789473</v>
      </c>
      <c r="I291" s="136" t="n">
        <f aca="false">IF(Calculator!$E$18="YES",IF(A291&lt;Calculator!$G$18,0,MIN(MIN(MOD(A291/Calculator!$F$18,1),1-MOD(A291/Calculator!$F$18,1)),ABS(MOD(A291/Calculator!$F$18,1)-0.5))),1)</f>
        <v>0.00463157894736899</v>
      </c>
      <c r="J291" s="136" t="n">
        <f aca="false">IF(Calculator!$E$19="YES",IF(A291&lt;Calculator!$G$19,0,MIN(MIN(MOD(A291/Calculator!$F$19,1),1-MOD(A291/Calculator!$F$19,1)),ABS(MOD(A291/Calculator!$F$19,1)-0.5))),1)</f>
        <v>0.11941052631579</v>
      </c>
      <c r="K291" s="136" t="n">
        <f aca="false">IF(Calculator!$E$20="YES",IF(A291&lt;Calculator!$G$20,0,MIN(MIN(MOD(A291/Calculator!$F$20,1),1-MOD(A291/Calculator!$F$20,1)),ABS(MOD(A291/Calculator!$F$20,1)-0.5))),1)</f>
        <v>0.197473684210526</v>
      </c>
      <c r="L291" s="136" t="n">
        <f aca="false">IF(Calculator!$E$21="YES",IF(A291&lt;Calculator!$G$21,0,MIN(MIN(MOD(A291/Calculator!$F$21,1),1-MOD(A291/Calculator!$F$21,1)),ABS(MOD(A291/Calculator!$F$21,1)-0.5))),1)</f>
        <v>0.238947368421051</v>
      </c>
      <c r="M291" s="136" t="n">
        <f aca="false">MIN(B291:L291)</f>
        <v>0</v>
      </c>
      <c r="N291" s="136" t="n">
        <f aca="false">SUMPRODUCT(($M$5:$M$555&gt;M291)*1)+SUMPRODUCT(($M$5:$M$555=M291)*(ROW($M$5:$M$555)&lt;ROW(M291)))+1</f>
        <v>512</v>
      </c>
      <c r="O291" s="136" t="str">
        <f aca="false">IF(M291&gt;=0.2,"★★★ EXCELLENT",IF(M291&gt;=0.12,"★★  GOOD",IF(M291&gt;=0.07,"★  FAIR",IF(M291&gt;=0.025,"⚠  MARGINAL","✗  AVOID"))))</f>
        <v>✗  AVOID</v>
      </c>
    </row>
    <row r="292" customFormat="false" ht="15" hidden="false" customHeight="false" outlineLevel="0" collapsed="false">
      <c r="A292" s="137" t="n">
        <v>33.7</v>
      </c>
      <c r="B292" s="138" t="n">
        <f aca="false">IF(Calculator!$E$11="YES",IF(A292&lt;Calculator!$G$11,0,MIN(MIN(MOD(A292/Calculator!$F$11,1),1-MOD(A292/Calculator!$F$11,1)),ABS(MOD(A292/Calculator!$F$11,1)-0.5))),1)</f>
        <v>0</v>
      </c>
      <c r="C292" s="138" t="n">
        <f aca="false">IF(Calculator!$E$12="YES",IF(A292&lt;Calculator!$G$12,0,MIN(MIN(MOD(A292/Calculator!$F$12,1),1-MOD(A292/Calculator!$F$12,1)),ABS(MOD(A292/Calculator!$F$12,1)-0.5))),1)</f>
        <v>0.13680701754386</v>
      </c>
      <c r="D292" s="138" t="n">
        <f aca="false">IF(Calculator!$E$13="YES",IF(A292&lt;Calculator!$G$13,0,MIN(MIN(MOD(A292/Calculator!$F$13,1),1-MOD(A292/Calculator!$F$13,1)),ABS(MOD(A292/Calculator!$F$13,1)-0.5))),1)</f>
        <v>0.23264350877193</v>
      </c>
      <c r="E292" s="138" t="n">
        <f aca="false">IF(Calculator!$E$14="YES",IF(A292&lt;Calculator!$G$14,0,MIN(MIN(MOD(A292/Calculator!$F$14,1),1-MOD(A292/Calculator!$F$14,1)),ABS(MOD(A292/Calculator!$F$14,1)-0.5))),1)</f>
        <v>0.190912280701754</v>
      </c>
      <c r="F292" s="138" t="n">
        <f aca="false">IF(Calculator!$E$15="YES",IF(A292&lt;Calculator!$G$15,0,MIN(MIN(MOD(A292/Calculator!$F$15,1),1-MOD(A292/Calculator!$F$15,1)),ABS(MOD(A292/Calculator!$F$15,1)-0.5))),1)</f>
        <v>0.105526315789473</v>
      </c>
      <c r="G292" s="138" t="n">
        <f aca="false">IF(Calculator!$E$16="YES",IF(A292&lt;Calculator!$G$16,0,MIN(MIN(MOD(A292/Calculator!$F$16,1),1-MOD(A292/Calculator!$F$16,1)),ABS(MOD(A292/Calculator!$F$16,1)-0.5))),1)</f>
        <v>0.147736842105263</v>
      </c>
      <c r="H292" s="138" t="n">
        <f aca="false">IF(Calculator!$E$17="YES",IF(A292&lt;Calculator!$G$17,0,MIN(MIN(MOD(A292/Calculator!$F$17,1),1-MOD(A292/Calculator!$F$17,1)),ABS(MOD(A292/Calculator!$F$17,1)-0.5))),1)</f>
        <v>0.215251929824561</v>
      </c>
      <c r="I292" s="138" t="n">
        <f aca="false">IF(Calculator!$E$18="YES",IF(A292&lt;Calculator!$G$18,0,MIN(MIN(MOD(A292/Calculator!$F$18,1),1-MOD(A292/Calculator!$F$18,1)),ABS(MOD(A292/Calculator!$F$18,1)-0.5))),1)</f>
        <v>0.0195263157894745</v>
      </c>
      <c r="J292" s="138" t="n">
        <f aca="false">IF(Calculator!$E$19="YES",IF(A292&lt;Calculator!$G$19,0,MIN(MIN(MOD(A292/Calculator!$F$19,1),1-MOD(A292/Calculator!$F$19,1)),ABS(MOD(A292/Calculator!$F$19,1)-0.5))),1)</f>
        <v>0.101908771929825</v>
      </c>
      <c r="K292" s="138" t="n">
        <f aca="false">IF(Calculator!$E$20="YES",IF(A292&lt;Calculator!$G$20,0,MIN(MIN(MOD(A292/Calculator!$F$20,1),1-MOD(A292/Calculator!$F$20,1)),ABS(MOD(A292/Calculator!$F$20,1)-0.5))),1)</f>
        <v>0.177228070175438</v>
      </c>
      <c r="L292" s="138" t="n">
        <f aca="false">IF(Calculator!$E$21="YES",IF(A292&lt;Calculator!$G$21,0,MIN(MIN(MOD(A292/Calculator!$F$21,1),1-MOD(A292/Calculator!$F$21,1)),ABS(MOD(A292/Calculator!$F$21,1)-0.5))),1)</f>
        <v>0.202456140350876</v>
      </c>
      <c r="M292" s="138" t="n">
        <f aca="false">MIN(B292:L292)</f>
        <v>0</v>
      </c>
      <c r="N292" s="138" t="n">
        <f aca="false">SUMPRODUCT(($M$5:$M$555&gt;M292)*1)+SUMPRODUCT(($M$5:$M$555=M292)*(ROW($M$5:$M$555)&lt;ROW(M292)))+1</f>
        <v>513</v>
      </c>
      <c r="O292" s="138" t="str">
        <f aca="false">IF(M292&gt;=0.2,"★★★ EXCELLENT",IF(M292&gt;=0.12,"★★  GOOD",IF(M292&gt;=0.07,"★  FAIR",IF(M292&gt;=0.025,"⚠  MARGINAL","✗  AVOID"))))</f>
        <v>✗  AVOID</v>
      </c>
    </row>
    <row r="293" customFormat="false" ht="15" hidden="false" customHeight="false" outlineLevel="0" collapsed="false">
      <c r="A293" s="135" t="n">
        <v>33.8</v>
      </c>
      <c r="B293" s="136" t="n">
        <f aca="false">IF(Calculator!$E$11="YES",IF(A293&lt;Calculator!$G$11,0,MIN(MIN(MOD(A293/Calculator!$F$11,1),1-MOD(A293/Calculator!$F$11,1)),ABS(MOD(A293/Calculator!$F$11,1)-0.5))),1)</f>
        <v>0</v>
      </c>
      <c r="C293" s="136" t="n">
        <f aca="false">IF(Calculator!$E$12="YES",IF(A293&lt;Calculator!$G$12,0,MIN(MIN(MOD(A293/Calculator!$F$12,1),1-MOD(A293/Calculator!$F$12,1)),ABS(MOD(A293/Calculator!$F$12,1)-0.5))),1)</f>
        <v>0.134245614035088</v>
      </c>
      <c r="D293" s="136" t="n">
        <f aca="false">IF(Calculator!$E$13="YES",IF(A293&lt;Calculator!$G$13,0,MIN(MIN(MOD(A293/Calculator!$F$13,1),1-MOD(A293/Calculator!$F$13,1)),ABS(MOD(A293/Calculator!$F$13,1)-0.5))),1)</f>
        <v>0.228882807017544</v>
      </c>
      <c r="E293" s="136" t="n">
        <f aca="false">IF(Calculator!$E$14="YES",IF(A293&lt;Calculator!$G$14,0,MIN(MIN(MOD(A293/Calculator!$F$14,1),1-MOD(A293/Calculator!$F$14,1)),ABS(MOD(A293/Calculator!$F$14,1)-0.5))),1)</f>
        <v>0.195929824561403</v>
      </c>
      <c r="F293" s="136" t="n">
        <f aca="false">IF(Calculator!$E$15="YES",IF(A293&lt;Calculator!$G$15,0,MIN(MIN(MOD(A293/Calculator!$F$15,1),1-MOD(A293/Calculator!$F$15,1)),ABS(MOD(A293/Calculator!$F$15,1)-0.5))),1)</f>
        <v>0.0984210526315792</v>
      </c>
      <c r="G293" s="136" t="n">
        <f aca="false">IF(Calculator!$E$16="YES",IF(A293&lt;Calculator!$G$16,0,MIN(MIN(MOD(A293/Calculator!$F$16,1),1-MOD(A293/Calculator!$F$16,1)),ABS(MOD(A293/Calculator!$F$16,1)-0.5))),1)</f>
        <v>0.137789473684211</v>
      </c>
      <c r="H293" s="136" t="n">
        <f aca="false">IF(Calculator!$E$17="YES",IF(A293&lt;Calculator!$G$17,0,MIN(MIN(MOD(A293/Calculator!$F$17,1),1-MOD(A293/Calculator!$F$17,1)),ABS(MOD(A293/Calculator!$F$17,1)-0.5))),1)</f>
        <v>0.202537543859649</v>
      </c>
      <c r="I293" s="136" t="n">
        <f aca="false">IF(Calculator!$E$18="YES",IF(A293&lt;Calculator!$G$18,0,MIN(MIN(MOD(A293/Calculator!$F$18,1),1-MOD(A293/Calculator!$F$18,1)),ABS(MOD(A293/Calculator!$F$18,1)-0.5))),1)</f>
        <v>0.0344210526315791</v>
      </c>
      <c r="J293" s="136" t="n">
        <f aca="false">IF(Calculator!$E$19="YES",IF(A293&lt;Calculator!$G$19,0,MIN(MIN(MOD(A293/Calculator!$F$19,1),1-MOD(A293/Calculator!$F$19,1)),ABS(MOD(A293/Calculator!$F$19,1)-0.5))),1)</f>
        <v>0.0844070175438612</v>
      </c>
      <c r="K293" s="136" t="n">
        <f aca="false">IF(Calculator!$E$20="YES",IF(A293&lt;Calculator!$G$20,0,MIN(MIN(MOD(A293/Calculator!$F$20,1),1-MOD(A293/Calculator!$F$20,1)),ABS(MOD(A293/Calculator!$F$20,1)-0.5))),1)</f>
        <v>0.156982456140351</v>
      </c>
      <c r="L293" s="136" t="n">
        <f aca="false">IF(Calculator!$E$21="YES",IF(A293&lt;Calculator!$G$21,0,MIN(MIN(MOD(A293/Calculator!$F$21,1),1-MOD(A293/Calculator!$F$21,1)),ABS(MOD(A293/Calculator!$F$21,1)-0.5))),1)</f>
        <v>0.165964912280703</v>
      </c>
      <c r="M293" s="136" t="n">
        <f aca="false">MIN(B293:L293)</f>
        <v>0</v>
      </c>
      <c r="N293" s="136" t="n">
        <f aca="false">SUMPRODUCT(($M$5:$M$555&gt;M293)*1)+SUMPRODUCT(($M$5:$M$555=M293)*(ROW($M$5:$M$555)&lt;ROW(M293)))+1</f>
        <v>514</v>
      </c>
      <c r="O293" s="136" t="str">
        <f aca="false">IF(M293&gt;=0.2,"★★★ EXCELLENT",IF(M293&gt;=0.12,"★★  GOOD",IF(M293&gt;=0.07,"★  FAIR",IF(M293&gt;=0.025,"⚠  MARGINAL","✗  AVOID"))))</f>
        <v>✗  AVOID</v>
      </c>
    </row>
    <row r="294" customFormat="false" ht="15" hidden="false" customHeight="false" outlineLevel="0" collapsed="false">
      <c r="A294" s="137" t="n">
        <v>33.9</v>
      </c>
      <c r="B294" s="138" t="n">
        <f aca="false">IF(Calculator!$E$11="YES",IF(A294&lt;Calculator!$G$11,0,MIN(MIN(MOD(A294/Calculator!$F$11,1),1-MOD(A294/Calculator!$F$11,1)),ABS(MOD(A294/Calculator!$F$11,1)-0.5))),1)</f>
        <v>0</v>
      </c>
      <c r="C294" s="138" t="n">
        <f aca="false">IF(Calculator!$E$12="YES",IF(A294&lt;Calculator!$G$12,0,MIN(MIN(MOD(A294/Calculator!$F$12,1),1-MOD(A294/Calculator!$F$12,1)),ABS(MOD(A294/Calculator!$F$12,1)-0.5))),1)</f>
        <v>0.131684210526316</v>
      </c>
      <c r="D294" s="138" t="n">
        <f aca="false">IF(Calculator!$E$13="YES",IF(A294&lt;Calculator!$G$13,0,MIN(MIN(MOD(A294/Calculator!$F$13,1),1-MOD(A294/Calculator!$F$13,1)),ABS(MOD(A294/Calculator!$F$13,1)-0.5))),1)</f>
        <v>0.225122105263158</v>
      </c>
      <c r="E294" s="138" t="n">
        <f aca="false">IF(Calculator!$E$14="YES",IF(A294&lt;Calculator!$G$14,0,MIN(MIN(MOD(A294/Calculator!$F$14,1),1-MOD(A294/Calculator!$F$14,1)),ABS(MOD(A294/Calculator!$F$14,1)-0.5))),1)</f>
        <v>0.200947368421053</v>
      </c>
      <c r="F294" s="138" t="n">
        <f aca="false">IF(Calculator!$E$15="YES",IF(A294&lt;Calculator!$G$15,0,MIN(MIN(MOD(A294/Calculator!$F$15,1),1-MOD(A294/Calculator!$F$15,1)),ABS(MOD(A294/Calculator!$F$15,1)-0.5))),1)</f>
        <v>0.0913157894736845</v>
      </c>
      <c r="G294" s="138" t="n">
        <f aca="false">IF(Calculator!$E$16="YES",IF(A294&lt;Calculator!$G$16,0,MIN(MIN(MOD(A294/Calculator!$F$16,1),1-MOD(A294/Calculator!$F$16,1)),ABS(MOD(A294/Calculator!$F$16,1)-0.5))),1)</f>
        <v>0.127842105263158</v>
      </c>
      <c r="H294" s="138" t="n">
        <f aca="false">IF(Calculator!$E$17="YES",IF(A294&lt;Calculator!$G$17,0,MIN(MIN(MOD(A294/Calculator!$F$17,1),1-MOD(A294/Calculator!$F$17,1)),ABS(MOD(A294/Calculator!$F$17,1)-0.5))),1)</f>
        <v>0.189823157894737</v>
      </c>
      <c r="I294" s="138" t="n">
        <f aca="false">IF(Calculator!$E$18="YES",IF(A294&lt;Calculator!$G$18,0,MIN(MIN(MOD(A294/Calculator!$F$18,1),1-MOD(A294/Calculator!$F$18,1)),ABS(MOD(A294/Calculator!$F$18,1)-0.5))),1)</f>
        <v>0.0493157894736838</v>
      </c>
      <c r="J294" s="138" t="n">
        <f aca="false">IF(Calculator!$E$19="YES",IF(A294&lt;Calculator!$G$19,0,MIN(MIN(MOD(A294/Calculator!$F$19,1),1-MOD(A294/Calculator!$F$19,1)),ABS(MOD(A294/Calculator!$F$19,1)-0.5))),1)</f>
        <v>0.0669052631578957</v>
      </c>
      <c r="K294" s="138" t="n">
        <f aca="false">IF(Calculator!$E$20="YES",IF(A294&lt;Calculator!$G$20,0,MIN(MIN(MOD(A294/Calculator!$F$20,1),1-MOD(A294/Calculator!$F$20,1)),ABS(MOD(A294/Calculator!$F$20,1)-0.5))),1)</f>
        <v>0.136736842105264</v>
      </c>
      <c r="L294" s="138" t="n">
        <f aca="false">IF(Calculator!$E$21="YES",IF(A294&lt;Calculator!$G$21,0,MIN(MIN(MOD(A294/Calculator!$F$21,1),1-MOD(A294/Calculator!$F$21,1)),ABS(MOD(A294/Calculator!$F$21,1)-0.5))),1)</f>
        <v>0.129473684210527</v>
      </c>
      <c r="M294" s="138" t="n">
        <f aca="false">MIN(B294:L294)</f>
        <v>0</v>
      </c>
      <c r="N294" s="138" t="n">
        <f aca="false">SUMPRODUCT(($M$5:$M$555&gt;M294)*1)+SUMPRODUCT(($M$5:$M$555=M294)*(ROW($M$5:$M$555)&lt;ROW(M294)))+1</f>
        <v>515</v>
      </c>
      <c r="O294" s="138" t="str">
        <f aca="false">IF(M294&gt;=0.2,"★★★ EXCELLENT",IF(M294&gt;=0.12,"★★  GOOD",IF(M294&gt;=0.07,"★  FAIR",IF(M294&gt;=0.025,"⚠  MARGINAL","✗  AVOID"))))</f>
        <v>✗  AVOID</v>
      </c>
    </row>
    <row r="295" customFormat="false" ht="15" hidden="false" customHeight="false" outlineLevel="0" collapsed="false">
      <c r="A295" s="135" t="n">
        <v>34</v>
      </c>
      <c r="B295" s="136" t="n">
        <f aca="false">IF(Calculator!$E$11="YES",IF(A295&lt;Calculator!$G$11,0,MIN(MIN(MOD(A295/Calculator!$F$11,1),1-MOD(A295/Calculator!$F$11,1)),ABS(MOD(A295/Calculator!$F$11,1)-0.5))),1)</f>
        <v>0</v>
      </c>
      <c r="C295" s="136" t="n">
        <f aca="false">IF(Calculator!$E$12="YES",IF(A295&lt;Calculator!$G$12,0,MIN(MIN(MOD(A295/Calculator!$F$12,1),1-MOD(A295/Calculator!$F$12,1)),ABS(MOD(A295/Calculator!$F$12,1)-0.5))),1)</f>
        <v>0.129122807017544</v>
      </c>
      <c r="D295" s="136" t="n">
        <f aca="false">IF(Calculator!$E$13="YES",IF(A295&lt;Calculator!$G$13,0,MIN(MIN(MOD(A295/Calculator!$F$13,1),1-MOD(A295/Calculator!$F$13,1)),ABS(MOD(A295/Calculator!$F$13,1)-0.5))),1)</f>
        <v>0.221361403508772</v>
      </c>
      <c r="E295" s="136" t="n">
        <f aca="false">IF(Calculator!$E$14="YES",IF(A295&lt;Calculator!$G$14,0,MIN(MIN(MOD(A295/Calculator!$F$14,1),1-MOD(A295/Calculator!$F$14,1)),ABS(MOD(A295/Calculator!$F$14,1)-0.5))),1)</f>
        <v>0.205964912280702</v>
      </c>
      <c r="F295" s="136" t="n">
        <f aca="false">IF(Calculator!$E$15="YES",IF(A295&lt;Calculator!$G$15,0,MIN(MIN(MOD(A295/Calculator!$F$15,1),1-MOD(A295/Calculator!$F$15,1)),ABS(MOD(A295/Calculator!$F$15,1)-0.5))),1)</f>
        <v>0.0842105263157897</v>
      </c>
      <c r="G295" s="136" t="n">
        <f aca="false">IF(Calculator!$E$16="YES",IF(A295&lt;Calculator!$G$16,0,MIN(MIN(MOD(A295/Calculator!$F$16,1),1-MOD(A295/Calculator!$F$16,1)),ABS(MOD(A295/Calculator!$F$16,1)-0.5))),1)</f>
        <v>0.117894736842105</v>
      </c>
      <c r="H295" s="136" t="n">
        <f aca="false">IF(Calculator!$E$17="YES",IF(A295&lt;Calculator!$G$17,0,MIN(MIN(MOD(A295/Calculator!$F$17,1),1-MOD(A295/Calculator!$F$17,1)),ABS(MOD(A295/Calculator!$F$17,1)-0.5))),1)</f>
        <v>0.177108771929824</v>
      </c>
      <c r="I295" s="136" t="n">
        <f aca="false">IF(Calculator!$E$18="YES",IF(A295&lt;Calculator!$G$18,0,MIN(MIN(MOD(A295/Calculator!$F$18,1),1-MOD(A295/Calculator!$F$18,1)),ABS(MOD(A295/Calculator!$F$18,1)-0.5))),1)</f>
        <v>0.0642105263157893</v>
      </c>
      <c r="J295" s="136" t="n">
        <f aca="false">IF(Calculator!$E$19="YES",IF(A295&lt;Calculator!$G$19,0,MIN(MIN(MOD(A295/Calculator!$F$19,1),1-MOD(A295/Calculator!$F$19,1)),ABS(MOD(A295/Calculator!$F$19,1)-0.5))),1)</f>
        <v>0.0494035087719311</v>
      </c>
      <c r="K295" s="136" t="n">
        <f aca="false">IF(Calculator!$E$20="YES",IF(A295&lt;Calculator!$G$20,0,MIN(MIN(MOD(A295/Calculator!$F$20,1),1-MOD(A295/Calculator!$F$20,1)),ABS(MOD(A295/Calculator!$F$20,1)-0.5))),1)</f>
        <v>0.116491228070175</v>
      </c>
      <c r="L295" s="136" t="n">
        <f aca="false">IF(Calculator!$E$21="YES",IF(A295&lt;Calculator!$G$21,0,MIN(MIN(MOD(A295/Calculator!$F$21,1),1-MOD(A295/Calculator!$F$21,1)),ABS(MOD(A295/Calculator!$F$21,1)-0.5))),1)</f>
        <v>0.0929824561403514</v>
      </c>
      <c r="M295" s="136" t="n">
        <f aca="false">MIN(B295:L295)</f>
        <v>0</v>
      </c>
      <c r="N295" s="136" t="n">
        <f aca="false">SUMPRODUCT(($M$5:$M$555&gt;M295)*1)+SUMPRODUCT(($M$5:$M$555=M295)*(ROW($M$5:$M$555)&lt;ROW(M295)))+1</f>
        <v>516</v>
      </c>
      <c r="O295" s="136" t="str">
        <f aca="false">IF(M295&gt;=0.2,"★★★ EXCELLENT",IF(M295&gt;=0.12,"★★  GOOD",IF(M295&gt;=0.07,"★  FAIR",IF(M295&gt;=0.025,"⚠  MARGINAL","✗  AVOID"))))</f>
        <v>✗  AVOID</v>
      </c>
    </row>
    <row r="296" customFormat="false" ht="15" hidden="false" customHeight="false" outlineLevel="0" collapsed="false">
      <c r="A296" s="137" t="n">
        <v>34.1</v>
      </c>
      <c r="B296" s="138" t="n">
        <f aca="false">IF(Calculator!$E$11="YES",IF(A296&lt;Calculator!$G$11,0,MIN(MIN(MOD(A296/Calculator!$F$11,1),1-MOD(A296/Calculator!$F$11,1)),ABS(MOD(A296/Calculator!$F$11,1)-0.5))),1)</f>
        <v>0</v>
      </c>
      <c r="C296" s="138" t="n">
        <f aca="false">IF(Calculator!$E$12="YES",IF(A296&lt;Calculator!$G$12,0,MIN(MIN(MOD(A296/Calculator!$F$12,1),1-MOD(A296/Calculator!$F$12,1)),ABS(MOD(A296/Calculator!$F$12,1)-0.5))),1)</f>
        <v>0.126561403508772</v>
      </c>
      <c r="D296" s="138" t="n">
        <f aca="false">IF(Calculator!$E$13="YES",IF(A296&lt;Calculator!$G$13,0,MIN(MIN(MOD(A296/Calculator!$F$13,1),1-MOD(A296/Calculator!$F$13,1)),ABS(MOD(A296/Calculator!$F$13,1)-0.5))),1)</f>
        <v>0.217600701754386</v>
      </c>
      <c r="E296" s="138" t="n">
        <f aca="false">IF(Calculator!$E$14="YES",IF(A296&lt;Calculator!$G$14,0,MIN(MIN(MOD(A296/Calculator!$F$14,1),1-MOD(A296/Calculator!$F$14,1)),ABS(MOD(A296/Calculator!$F$14,1)-0.5))),1)</f>
        <v>0.210982456140351</v>
      </c>
      <c r="F296" s="138" t="n">
        <f aca="false">IF(Calculator!$E$15="YES",IF(A296&lt;Calculator!$G$15,0,MIN(MIN(MOD(A296/Calculator!$F$15,1),1-MOD(A296/Calculator!$F$15,1)),ABS(MOD(A296/Calculator!$F$15,1)-0.5))),1)</f>
        <v>0.0771052631578946</v>
      </c>
      <c r="G296" s="138" t="n">
        <f aca="false">IF(Calculator!$E$16="YES",IF(A296&lt;Calculator!$G$16,0,MIN(MIN(MOD(A296/Calculator!$F$16,1),1-MOD(A296/Calculator!$F$16,1)),ABS(MOD(A296/Calculator!$F$16,1)-0.5))),1)</f>
        <v>0.107947368421052</v>
      </c>
      <c r="H296" s="138" t="n">
        <f aca="false">IF(Calculator!$E$17="YES",IF(A296&lt;Calculator!$G$17,0,MIN(MIN(MOD(A296/Calculator!$F$17,1),1-MOD(A296/Calculator!$F$17,1)),ABS(MOD(A296/Calculator!$F$17,1)-0.5))),1)</f>
        <v>0.164394385964911</v>
      </c>
      <c r="I296" s="138" t="n">
        <f aca="false">IF(Calculator!$E$18="YES",IF(A296&lt;Calculator!$G$18,0,MIN(MIN(MOD(A296/Calculator!$F$18,1),1-MOD(A296/Calculator!$F$18,1)),ABS(MOD(A296/Calculator!$F$18,1)-0.5))),1)</f>
        <v>0.0791052631578948</v>
      </c>
      <c r="J296" s="138" t="n">
        <f aca="false">IF(Calculator!$E$19="YES",IF(A296&lt;Calculator!$G$19,0,MIN(MIN(MOD(A296/Calculator!$F$19,1),1-MOD(A296/Calculator!$F$19,1)),ABS(MOD(A296/Calculator!$F$19,1)-0.5))),1)</f>
        <v>0.0319017543859657</v>
      </c>
      <c r="K296" s="138" t="n">
        <f aca="false">IF(Calculator!$E$20="YES",IF(A296&lt;Calculator!$G$20,0,MIN(MIN(MOD(A296/Calculator!$F$20,1),1-MOD(A296/Calculator!$F$20,1)),ABS(MOD(A296/Calculator!$F$20,1)-0.5))),1)</f>
        <v>0.0962456140350874</v>
      </c>
      <c r="L296" s="138" t="n">
        <f aca="false">IF(Calculator!$E$21="YES",IF(A296&lt;Calculator!$G$21,0,MIN(MIN(MOD(A296/Calculator!$F$21,1),1-MOD(A296/Calculator!$F$21,1)),ABS(MOD(A296/Calculator!$F$21,1)-0.5))),1)</f>
        <v>0.0564912280701755</v>
      </c>
      <c r="M296" s="138" t="n">
        <f aca="false">MIN(B296:L296)</f>
        <v>0</v>
      </c>
      <c r="N296" s="138" t="n">
        <f aca="false">SUMPRODUCT(($M$5:$M$555&gt;M296)*1)+SUMPRODUCT(($M$5:$M$555=M296)*(ROW($M$5:$M$555)&lt;ROW(M296)))+1</f>
        <v>517</v>
      </c>
      <c r="O296" s="138" t="str">
        <f aca="false">IF(M296&gt;=0.2,"★★★ EXCELLENT",IF(M296&gt;=0.12,"★★  GOOD",IF(M296&gt;=0.07,"★  FAIR",IF(M296&gt;=0.025,"⚠  MARGINAL","✗  AVOID"))))</f>
        <v>✗  AVOID</v>
      </c>
    </row>
    <row r="297" customFormat="false" ht="15" hidden="false" customHeight="false" outlineLevel="0" collapsed="false">
      <c r="A297" s="135" t="n">
        <v>34.2</v>
      </c>
      <c r="B297" s="136" t="n">
        <f aca="false">IF(Calculator!$E$11="YES",IF(A297&lt;Calculator!$G$11,0,MIN(MIN(MOD(A297/Calculator!$F$11,1),1-MOD(A297/Calculator!$F$11,1)),ABS(MOD(A297/Calculator!$F$11,1)-0.5))),1)</f>
        <v>0</v>
      </c>
      <c r="C297" s="136" t="n">
        <f aca="false">IF(Calculator!$E$12="YES",IF(A297&lt;Calculator!$G$12,0,MIN(MIN(MOD(A297/Calculator!$F$12,1),1-MOD(A297/Calculator!$F$12,1)),ABS(MOD(A297/Calculator!$F$12,1)-0.5))),1)</f>
        <v>0.124</v>
      </c>
      <c r="D297" s="136" t="n">
        <f aca="false">IF(Calculator!$E$13="YES",IF(A297&lt;Calculator!$G$13,0,MIN(MIN(MOD(A297/Calculator!$F$13,1),1-MOD(A297/Calculator!$F$13,1)),ABS(MOD(A297/Calculator!$F$13,1)-0.5))),1)</f>
        <v>0.21384</v>
      </c>
      <c r="E297" s="136" t="n">
        <f aca="false">IF(Calculator!$E$14="YES",IF(A297&lt;Calculator!$G$14,0,MIN(MIN(MOD(A297/Calculator!$F$14,1),1-MOD(A297/Calculator!$F$14,1)),ABS(MOD(A297/Calculator!$F$14,1)-0.5))),1)</f>
        <v>0.216</v>
      </c>
      <c r="F297" s="136" t="n">
        <f aca="false">IF(Calculator!$E$15="YES",IF(A297&lt;Calculator!$G$15,0,MIN(MIN(MOD(A297/Calculator!$F$15,1),1-MOD(A297/Calculator!$F$15,1)),ABS(MOD(A297/Calculator!$F$15,1)-0.5))),1)</f>
        <v>0.0699999999999998</v>
      </c>
      <c r="G297" s="136" t="n">
        <f aca="false">IF(Calculator!$E$16="YES",IF(A297&lt;Calculator!$G$16,0,MIN(MIN(MOD(A297/Calculator!$F$16,1),1-MOD(A297/Calculator!$F$16,1)),ABS(MOD(A297/Calculator!$F$16,1)-0.5))),1)</f>
        <v>0.0979999999999994</v>
      </c>
      <c r="H297" s="136" t="n">
        <f aca="false">IF(Calculator!$E$17="YES",IF(A297&lt;Calculator!$G$17,0,MIN(MIN(MOD(A297/Calculator!$F$17,1),1-MOD(A297/Calculator!$F$17,1)),ABS(MOD(A297/Calculator!$F$17,1)-0.5))),1)</f>
        <v>0.151679999999999</v>
      </c>
      <c r="I297" s="136" t="n">
        <f aca="false">IF(Calculator!$E$18="YES",IF(A297&lt;Calculator!$G$18,0,MIN(MIN(MOD(A297/Calculator!$F$18,1),1-MOD(A297/Calculator!$F$18,1)),ABS(MOD(A297/Calculator!$F$18,1)-0.5))),1)</f>
        <v>0.0940000000000003</v>
      </c>
      <c r="J297" s="136" t="n">
        <f aca="false">IF(Calculator!$E$19="YES",IF(A297&lt;Calculator!$G$19,0,MIN(MIN(MOD(A297/Calculator!$F$19,1),1-MOD(A297/Calculator!$F$19,1)),ABS(MOD(A297/Calculator!$F$19,1)-0.5))),1)</f>
        <v>0.0144000000000002</v>
      </c>
      <c r="K297" s="136" t="n">
        <f aca="false">IF(Calculator!$E$20="YES",IF(A297&lt;Calculator!$G$20,0,MIN(MIN(MOD(A297/Calculator!$F$20,1),1-MOD(A297/Calculator!$F$20,1)),ABS(MOD(A297/Calculator!$F$20,1)-0.5))),1)</f>
        <v>0.0759999999999996</v>
      </c>
      <c r="L297" s="136" t="n">
        <f aca="false">IF(Calculator!$E$21="YES",IF(A297&lt;Calculator!$G$21,0,MIN(MIN(MOD(A297/Calculator!$F$21,1),1-MOD(A297/Calculator!$F$21,1)),ABS(MOD(A297/Calculator!$F$21,1)-0.5))),1)</f>
        <v>0.0199999999999996</v>
      </c>
      <c r="M297" s="136" t="n">
        <f aca="false">MIN(B297:L297)</f>
        <v>0</v>
      </c>
      <c r="N297" s="136" t="n">
        <f aca="false">SUMPRODUCT(($M$5:$M$555&gt;M297)*1)+SUMPRODUCT(($M$5:$M$555=M297)*(ROW($M$5:$M$555)&lt;ROW(M297)))+1</f>
        <v>518</v>
      </c>
      <c r="O297" s="136" t="str">
        <f aca="false">IF(M297&gt;=0.2,"★★★ EXCELLENT",IF(M297&gt;=0.12,"★★  GOOD",IF(M297&gt;=0.07,"★  FAIR",IF(M297&gt;=0.025,"⚠  MARGINAL","✗  AVOID"))))</f>
        <v>✗  AVOID</v>
      </c>
    </row>
    <row r="298" customFormat="false" ht="15" hidden="false" customHeight="false" outlineLevel="0" collapsed="false">
      <c r="A298" s="137" t="n">
        <v>34.3</v>
      </c>
      <c r="B298" s="138" t="n">
        <f aca="false">IF(Calculator!$E$11="YES",IF(A298&lt;Calculator!$G$11,0,MIN(MIN(MOD(A298/Calculator!$F$11,1),1-MOD(A298/Calculator!$F$11,1)),ABS(MOD(A298/Calculator!$F$11,1)-0.5))),1)</f>
        <v>0</v>
      </c>
      <c r="C298" s="138" t="n">
        <f aca="false">IF(Calculator!$E$12="YES",IF(A298&lt;Calculator!$G$12,0,MIN(MIN(MOD(A298/Calculator!$F$12,1),1-MOD(A298/Calculator!$F$12,1)),ABS(MOD(A298/Calculator!$F$12,1)-0.5))),1)</f>
        <v>0.121438596491228</v>
      </c>
      <c r="D298" s="138" t="n">
        <f aca="false">IF(Calculator!$E$13="YES",IF(A298&lt;Calculator!$G$13,0,MIN(MIN(MOD(A298/Calculator!$F$13,1),1-MOD(A298/Calculator!$F$13,1)),ABS(MOD(A298/Calculator!$F$13,1)-0.5))),1)</f>
        <v>0.210079298245614</v>
      </c>
      <c r="E298" s="138" t="n">
        <f aca="false">IF(Calculator!$E$14="YES",IF(A298&lt;Calculator!$G$14,0,MIN(MIN(MOD(A298/Calculator!$F$14,1),1-MOD(A298/Calculator!$F$14,1)),ABS(MOD(A298/Calculator!$F$14,1)-0.5))),1)</f>
        <v>0.221017543859649</v>
      </c>
      <c r="F298" s="138" t="n">
        <f aca="false">IF(Calculator!$E$15="YES",IF(A298&lt;Calculator!$G$15,0,MIN(MIN(MOD(A298/Calculator!$F$15,1),1-MOD(A298/Calculator!$F$15,1)),ABS(MOD(A298/Calculator!$F$15,1)-0.5))),1)</f>
        <v>0.0628947368421056</v>
      </c>
      <c r="G298" s="138" t="n">
        <f aca="false">IF(Calculator!$E$16="YES",IF(A298&lt;Calculator!$G$16,0,MIN(MIN(MOD(A298/Calculator!$F$16,1),1-MOD(A298/Calculator!$F$16,1)),ABS(MOD(A298/Calculator!$F$16,1)-0.5))),1)</f>
        <v>0.0880526315789476</v>
      </c>
      <c r="H298" s="138" t="n">
        <f aca="false">IF(Calculator!$E$17="YES",IF(A298&lt;Calculator!$G$17,0,MIN(MIN(MOD(A298/Calculator!$F$17,1),1-MOD(A298/Calculator!$F$17,1)),ABS(MOD(A298/Calculator!$F$17,1)-0.5))),1)</f>
        <v>0.138965614035087</v>
      </c>
      <c r="I298" s="138" t="n">
        <f aca="false">IF(Calculator!$E$18="YES",IF(A298&lt;Calculator!$G$18,0,MIN(MIN(MOD(A298/Calculator!$F$18,1),1-MOD(A298/Calculator!$F$18,1)),ABS(MOD(A298/Calculator!$F$18,1)-0.5))),1)</f>
        <v>0.108894736842105</v>
      </c>
      <c r="J298" s="138" t="n">
        <f aca="false">IF(Calculator!$E$19="YES",IF(A298&lt;Calculator!$G$19,0,MIN(MIN(MOD(A298/Calculator!$F$19,1),1-MOD(A298/Calculator!$F$19,1)),ABS(MOD(A298/Calculator!$F$19,1)-0.5))),1)</f>
        <v>0.0031017543859635</v>
      </c>
      <c r="K298" s="138" t="n">
        <f aca="false">IF(Calculator!$E$20="YES",IF(A298&lt;Calculator!$G$20,0,MIN(MIN(MOD(A298/Calculator!$F$20,1),1-MOD(A298/Calculator!$F$20,1)),ABS(MOD(A298/Calculator!$F$20,1)-0.5))),1)</f>
        <v>0.0557543859649128</v>
      </c>
      <c r="L298" s="138" t="n">
        <f aca="false">IF(Calculator!$E$21="YES",IF(A298&lt;Calculator!$G$21,0,MIN(MIN(MOD(A298/Calculator!$F$21,1),1-MOD(A298/Calculator!$F$21,1)),ABS(MOD(A298/Calculator!$F$21,1)-0.5))),1)</f>
        <v>0.0164912280701746</v>
      </c>
      <c r="M298" s="138" t="n">
        <f aca="false">MIN(B298:L298)</f>
        <v>0</v>
      </c>
      <c r="N298" s="138" t="n">
        <f aca="false">SUMPRODUCT(($M$5:$M$555&gt;M298)*1)+SUMPRODUCT(($M$5:$M$555=M298)*(ROW($M$5:$M$555)&lt;ROW(M298)))+1</f>
        <v>519</v>
      </c>
      <c r="O298" s="138" t="str">
        <f aca="false">IF(M298&gt;=0.2,"★★★ EXCELLENT",IF(M298&gt;=0.12,"★★  GOOD",IF(M298&gt;=0.07,"★  FAIR",IF(M298&gt;=0.025,"⚠  MARGINAL","✗  AVOID"))))</f>
        <v>✗  AVOID</v>
      </c>
    </row>
    <row r="299" customFormat="false" ht="15" hidden="false" customHeight="false" outlineLevel="0" collapsed="false">
      <c r="A299" s="135" t="n">
        <v>34.4</v>
      </c>
      <c r="B299" s="136" t="n">
        <f aca="false">IF(Calculator!$E$11="YES",IF(A299&lt;Calculator!$G$11,0,MIN(MIN(MOD(A299/Calculator!$F$11,1),1-MOD(A299/Calculator!$F$11,1)),ABS(MOD(A299/Calculator!$F$11,1)-0.5))),1)</f>
        <v>0</v>
      </c>
      <c r="C299" s="136" t="n">
        <f aca="false">IF(Calculator!$E$12="YES",IF(A299&lt;Calculator!$G$12,0,MIN(MIN(MOD(A299/Calculator!$F$12,1),1-MOD(A299/Calculator!$F$12,1)),ABS(MOD(A299/Calculator!$F$12,1)-0.5))),1)</f>
        <v>0.118877192982456</v>
      </c>
      <c r="D299" s="136" t="n">
        <f aca="false">IF(Calculator!$E$13="YES",IF(A299&lt;Calculator!$G$13,0,MIN(MIN(MOD(A299/Calculator!$F$13,1),1-MOD(A299/Calculator!$F$13,1)),ABS(MOD(A299/Calculator!$F$13,1)-0.5))),1)</f>
        <v>0.206318596491228</v>
      </c>
      <c r="E299" s="136" t="n">
        <f aca="false">IF(Calculator!$E$14="YES",IF(A299&lt;Calculator!$G$14,0,MIN(MIN(MOD(A299/Calculator!$F$14,1),1-MOD(A299/Calculator!$F$14,1)),ABS(MOD(A299/Calculator!$F$14,1)-0.5))),1)</f>
        <v>0.226035087719298</v>
      </c>
      <c r="F299" s="136" t="n">
        <f aca="false">IF(Calculator!$E$15="YES",IF(A299&lt;Calculator!$G$15,0,MIN(MIN(MOD(A299/Calculator!$F$15,1),1-MOD(A299/Calculator!$F$15,1)),ABS(MOD(A299/Calculator!$F$15,1)-0.5))),1)</f>
        <v>0.0557894736842108</v>
      </c>
      <c r="G299" s="136" t="n">
        <f aca="false">IF(Calculator!$E$16="YES",IF(A299&lt;Calculator!$G$16,0,MIN(MIN(MOD(A299/Calculator!$F$16,1),1-MOD(A299/Calculator!$F$16,1)),ABS(MOD(A299/Calculator!$F$16,1)-0.5))),1)</f>
        <v>0.0781052631578945</v>
      </c>
      <c r="H299" s="136" t="n">
        <f aca="false">IF(Calculator!$E$17="YES",IF(A299&lt;Calculator!$G$17,0,MIN(MIN(MOD(A299/Calculator!$F$17,1),1-MOD(A299/Calculator!$F$17,1)),ABS(MOD(A299/Calculator!$F$17,1)-0.5))),1)</f>
        <v>0.126251228070175</v>
      </c>
      <c r="I299" s="136" t="n">
        <f aca="false">IF(Calculator!$E$18="YES",IF(A299&lt;Calculator!$G$18,0,MIN(MIN(MOD(A299/Calculator!$F$18,1),1-MOD(A299/Calculator!$F$18,1)),ABS(MOD(A299/Calculator!$F$18,1)-0.5))),1)</f>
        <v>0.12378947368421</v>
      </c>
      <c r="J299" s="136" t="n">
        <f aca="false">IF(Calculator!$E$19="YES",IF(A299&lt;Calculator!$G$19,0,MIN(MIN(MOD(A299/Calculator!$F$19,1),1-MOD(A299/Calculator!$F$19,1)),ABS(MOD(A299/Calculator!$F$19,1)-0.5))),1)</f>
        <v>0.020603508771929</v>
      </c>
      <c r="K299" s="136" t="n">
        <f aca="false">IF(Calculator!$E$20="YES",IF(A299&lt;Calculator!$G$20,0,MIN(MIN(MOD(A299/Calculator!$F$20,1),1-MOD(A299/Calculator!$F$20,1)),ABS(MOD(A299/Calculator!$F$20,1)-0.5))),1)</f>
        <v>0.035508771929825</v>
      </c>
      <c r="L299" s="136" t="n">
        <f aca="false">IF(Calculator!$E$21="YES",IF(A299&lt;Calculator!$G$21,0,MIN(MIN(MOD(A299/Calculator!$F$21,1),1-MOD(A299/Calculator!$F$21,1)),ABS(MOD(A299/Calculator!$F$21,1)-0.5))),1)</f>
        <v>0.0529824561403505</v>
      </c>
      <c r="M299" s="136" t="n">
        <f aca="false">MIN(B299:L299)</f>
        <v>0</v>
      </c>
      <c r="N299" s="136" t="n">
        <f aca="false">SUMPRODUCT(($M$5:$M$555&gt;M299)*1)+SUMPRODUCT(($M$5:$M$555=M299)*(ROW($M$5:$M$555)&lt;ROW(M299)))+1</f>
        <v>520</v>
      </c>
      <c r="O299" s="136" t="str">
        <f aca="false">IF(M299&gt;=0.2,"★★★ EXCELLENT",IF(M299&gt;=0.12,"★★  GOOD",IF(M299&gt;=0.07,"★  FAIR",IF(M299&gt;=0.025,"⚠  MARGINAL","✗  AVOID"))))</f>
        <v>✗  AVOID</v>
      </c>
    </row>
    <row r="300" customFormat="false" ht="15" hidden="false" customHeight="false" outlineLevel="0" collapsed="false">
      <c r="A300" s="137" t="n">
        <v>34.5</v>
      </c>
      <c r="B300" s="138" t="n">
        <f aca="false">IF(Calculator!$E$11="YES",IF(A300&lt;Calculator!$G$11,0,MIN(MIN(MOD(A300/Calculator!$F$11,1),1-MOD(A300/Calculator!$F$11,1)),ABS(MOD(A300/Calculator!$F$11,1)-0.5))),1)</f>
        <v>0</v>
      </c>
      <c r="C300" s="138" t="n">
        <f aca="false">IF(Calculator!$E$12="YES",IF(A300&lt;Calculator!$G$12,0,MIN(MIN(MOD(A300/Calculator!$F$12,1),1-MOD(A300/Calculator!$F$12,1)),ABS(MOD(A300/Calculator!$F$12,1)-0.5))),1)</f>
        <v>0.116315789473684</v>
      </c>
      <c r="D300" s="138" t="n">
        <f aca="false">IF(Calculator!$E$13="YES",IF(A300&lt;Calculator!$G$13,0,MIN(MIN(MOD(A300/Calculator!$F$13,1),1-MOD(A300/Calculator!$F$13,1)),ABS(MOD(A300/Calculator!$F$13,1)-0.5))),1)</f>
        <v>0.202557894736842</v>
      </c>
      <c r="E300" s="138" t="n">
        <f aca="false">IF(Calculator!$E$14="YES",IF(A300&lt;Calculator!$G$14,0,MIN(MIN(MOD(A300/Calculator!$F$14,1),1-MOD(A300/Calculator!$F$14,1)),ABS(MOD(A300/Calculator!$F$14,1)-0.5))),1)</f>
        <v>0.231052631578947</v>
      </c>
      <c r="F300" s="138" t="n">
        <f aca="false">IF(Calculator!$E$15="YES",IF(A300&lt;Calculator!$G$15,0,MIN(MIN(MOD(A300/Calculator!$F$15,1),1-MOD(A300/Calculator!$F$15,1)),ABS(MOD(A300/Calculator!$F$15,1)-0.5))),1)</f>
        <v>0.0486842105263157</v>
      </c>
      <c r="G300" s="138" t="n">
        <f aca="false">IF(Calculator!$E$16="YES",IF(A300&lt;Calculator!$G$16,0,MIN(MIN(MOD(A300/Calculator!$F$16,1),1-MOD(A300/Calculator!$F$16,1)),ABS(MOD(A300/Calculator!$F$16,1)-0.5))),1)</f>
        <v>0.0681578947368418</v>
      </c>
      <c r="H300" s="138" t="n">
        <f aca="false">IF(Calculator!$E$17="YES",IF(A300&lt;Calculator!$G$17,0,MIN(MIN(MOD(A300/Calculator!$F$17,1),1-MOD(A300/Calculator!$F$17,1)),ABS(MOD(A300/Calculator!$F$17,1)-0.5))),1)</f>
        <v>0.113536842105263</v>
      </c>
      <c r="I300" s="138" t="n">
        <f aca="false">IF(Calculator!$E$18="YES",IF(A300&lt;Calculator!$G$18,0,MIN(MIN(MOD(A300/Calculator!$F$18,1),1-MOD(A300/Calculator!$F$18,1)),ABS(MOD(A300/Calculator!$F$18,1)-0.5))),1)</f>
        <v>0.138684210526316</v>
      </c>
      <c r="J300" s="138" t="n">
        <f aca="false">IF(Calculator!$E$19="YES",IF(A300&lt;Calculator!$G$19,0,MIN(MIN(MOD(A300/Calculator!$F$19,1),1-MOD(A300/Calculator!$F$19,1)),ABS(MOD(A300/Calculator!$F$19,1)-0.5))),1)</f>
        <v>0.0381052631578935</v>
      </c>
      <c r="K300" s="138" t="n">
        <f aca="false">IF(Calculator!$E$20="YES",IF(A300&lt;Calculator!$G$20,0,MIN(MIN(MOD(A300/Calculator!$F$20,1),1-MOD(A300/Calculator!$F$20,1)),ABS(MOD(A300/Calculator!$F$20,1)-0.5))),1)</f>
        <v>0.0152631578947373</v>
      </c>
      <c r="L300" s="138" t="n">
        <f aca="false">IF(Calculator!$E$21="YES",IF(A300&lt;Calculator!$G$21,0,MIN(MIN(MOD(A300/Calculator!$F$21,1),1-MOD(A300/Calculator!$F$21,1)),ABS(MOD(A300/Calculator!$F$21,1)-0.5))),1)</f>
        <v>0.0894736842105264</v>
      </c>
      <c r="M300" s="138" t="n">
        <f aca="false">MIN(B300:L300)</f>
        <v>0</v>
      </c>
      <c r="N300" s="138" t="n">
        <f aca="false">SUMPRODUCT(($M$5:$M$555&gt;M300)*1)+SUMPRODUCT(($M$5:$M$555=M300)*(ROW($M$5:$M$555)&lt;ROW(M300)))+1</f>
        <v>521</v>
      </c>
      <c r="O300" s="138" t="str">
        <f aca="false">IF(M300&gt;=0.2,"★★★ EXCELLENT",IF(M300&gt;=0.12,"★★  GOOD",IF(M300&gt;=0.07,"★  FAIR",IF(M300&gt;=0.025,"⚠  MARGINAL","✗  AVOID"))))</f>
        <v>✗  AVOID</v>
      </c>
    </row>
    <row r="301" customFormat="false" ht="15" hidden="false" customHeight="false" outlineLevel="0" collapsed="false">
      <c r="A301" s="135" t="n">
        <v>34.6</v>
      </c>
      <c r="B301" s="136" t="n">
        <f aca="false">IF(Calculator!$E$11="YES",IF(A301&lt;Calculator!$G$11,0,MIN(MIN(MOD(A301/Calculator!$F$11,1),1-MOD(A301/Calculator!$F$11,1)),ABS(MOD(A301/Calculator!$F$11,1)-0.5))),1)</f>
        <v>0</v>
      </c>
      <c r="C301" s="136" t="n">
        <f aca="false">IF(Calculator!$E$12="YES",IF(A301&lt;Calculator!$G$12,0,MIN(MIN(MOD(A301/Calculator!$F$12,1),1-MOD(A301/Calculator!$F$12,1)),ABS(MOD(A301/Calculator!$F$12,1)-0.5))),1)</f>
        <v>0.113754385964912</v>
      </c>
      <c r="D301" s="136" t="n">
        <f aca="false">IF(Calculator!$E$13="YES",IF(A301&lt;Calculator!$G$13,0,MIN(MIN(MOD(A301/Calculator!$F$13,1),1-MOD(A301/Calculator!$F$13,1)),ABS(MOD(A301/Calculator!$F$13,1)-0.5))),1)</f>
        <v>0.198797192982456</v>
      </c>
      <c r="E301" s="136" t="n">
        <f aca="false">IF(Calculator!$E$14="YES",IF(A301&lt;Calculator!$G$14,0,MIN(MIN(MOD(A301/Calculator!$F$14,1),1-MOD(A301/Calculator!$F$14,1)),ABS(MOD(A301/Calculator!$F$14,1)-0.5))),1)</f>
        <v>0.236070175438597</v>
      </c>
      <c r="F301" s="136" t="n">
        <f aca="false">IF(Calculator!$E$15="YES",IF(A301&lt;Calculator!$G$15,0,MIN(MIN(MOD(A301/Calculator!$F$15,1),1-MOD(A301/Calculator!$F$15,1)),ABS(MOD(A301/Calculator!$F$15,1)-0.5))),1)</f>
        <v>0.0415789473684209</v>
      </c>
      <c r="G301" s="136" t="n">
        <f aca="false">IF(Calculator!$E$16="YES",IF(A301&lt;Calculator!$G$16,0,MIN(MIN(MOD(A301/Calculator!$F$16,1),1-MOD(A301/Calculator!$F$16,1)),ABS(MOD(A301/Calculator!$F$16,1)-0.5))),1)</f>
        <v>0.058210526315789</v>
      </c>
      <c r="H301" s="136" t="n">
        <f aca="false">IF(Calculator!$E$17="YES",IF(A301&lt;Calculator!$G$17,0,MIN(MIN(MOD(A301/Calculator!$F$17,1),1-MOD(A301/Calculator!$F$17,1)),ABS(MOD(A301/Calculator!$F$17,1)-0.5))),1)</f>
        <v>0.10082245614035</v>
      </c>
      <c r="I301" s="136" t="n">
        <f aca="false">IF(Calculator!$E$18="YES",IF(A301&lt;Calculator!$G$18,0,MIN(MIN(MOD(A301/Calculator!$F$18,1),1-MOD(A301/Calculator!$F$18,1)),ABS(MOD(A301/Calculator!$F$18,1)-0.5))),1)</f>
        <v>0.153578947368421</v>
      </c>
      <c r="J301" s="136" t="n">
        <f aca="false">IF(Calculator!$E$19="YES",IF(A301&lt;Calculator!$G$19,0,MIN(MIN(MOD(A301/Calculator!$F$19,1),1-MOD(A301/Calculator!$F$19,1)),ABS(MOD(A301/Calculator!$F$19,1)-0.5))),1)</f>
        <v>0.055607017543859</v>
      </c>
      <c r="K301" s="136" t="n">
        <f aca="false">IF(Calculator!$E$20="YES",IF(A301&lt;Calculator!$G$20,0,MIN(MIN(MOD(A301/Calculator!$F$20,1),1-MOD(A301/Calculator!$F$20,1)),ABS(MOD(A301/Calculator!$F$20,1)-0.5))),1)</f>
        <v>0.00498245614035131</v>
      </c>
      <c r="L301" s="136" t="n">
        <f aca="false">IF(Calculator!$E$21="YES",IF(A301&lt;Calculator!$G$21,0,MIN(MIN(MOD(A301/Calculator!$F$21,1),1-MOD(A301/Calculator!$F$21,1)),ABS(MOD(A301/Calculator!$F$21,1)-0.5))),1)</f>
        <v>0.125964912280702</v>
      </c>
      <c r="M301" s="136" t="n">
        <f aca="false">MIN(B301:L301)</f>
        <v>0</v>
      </c>
      <c r="N301" s="136" t="n">
        <f aca="false">SUMPRODUCT(($M$5:$M$555&gt;M301)*1)+SUMPRODUCT(($M$5:$M$555=M301)*(ROW($M$5:$M$555)&lt;ROW(M301)))+1</f>
        <v>522</v>
      </c>
      <c r="O301" s="136" t="str">
        <f aca="false">IF(M301&gt;=0.2,"★★★ EXCELLENT",IF(M301&gt;=0.12,"★★  GOOD",IF(M301&gt;=0.07,"★  FAIR",IF(M301&gt;=0.025,"⚠  MARGINAL","✗  AVOID"))))</f>
        <v>✗  AVOID</v>
      </c>
    </row>
    <row r="302" customFormat="false" ht="15" hidden="false" customHeight="false" outlineLevel="0" collapsed="false">
      <c r="A302" s="137" t="n">
        <v>34.7</v>
      </c>
      <c r="B302" s="138" t="n">
        <f aca="false">IF(Calculator!$E$11="YES",IF(A302&lt;Calculator!$G$11,0,MIN(MIN(MOD(A302/Calculator!$F$11,1),1-MOD(A302/Calculator!$F$11,1)),ABS(MOD(A302/Calculator!$F$11,1)-0.5))),1)</f>
        <v>0</v>
      </c>
      <c r="C302" s="138" t="n">
        <f aca="false">IF(Calculator!$E$12="YES",IF(A302&lt;Calculator!$G$12,0,MIN(MIN(MOD(A302/Calculator!$F$12,1),1-MOD(A302/Calculator!$F$12,1)),ABS(MOD(A302/Calculator!$F$12,1)-0.5))),1)</f>
        <v>0.11119298245614</v>
      </c>
      <c r="D302" s="138" t="n">
        <f aca="false">IF(Calculator!$E$13="YES",IF(A302&lt;Calculator!$G$13,0,MIN(MIN(MOD(A302/Calculator!$F$13,1),1-MOD(A302/Calculator!$F$13,1)),ABS(MOD(A302/Calculator!$F$13,1)-0.5))),1)</f>
        <v>0.19503649122807</v>
      </c>
      <c r="E302" s="138" t="n">
        <f aca="false">IF(Calculator!$E$14="YES",IF(A302&lt;Calculator!$G$14,0,MIN(MIN(MOD(A302/Calculator!$F$14,1),1-MOD(A302/Calculator!$F$14,1)),ABS(MOD(A302/Calculator!$F$14,1)-0.5))),1)</f>
        <v>0.241087719298246</v>
      </c>
      <c r="F302" s="138" t="n">
        <f aca="false">IF(Calculator!$E$15="YES",IF(A302&lt;Calculator!$G$15,0,MIN(MIN(MOD(A302/Calculator!$F$15,1),1-MOD(A302/Calculator!$F$15,1)),ABS(MOD(A302/Calculator!$F$15,1)-0.5))),1)</f>
        <v>0.0344736842105262</v>
      </c>
      <c r="G302" s="138" t="n">
        <f aca="false">IF(Calculator!$E$16="YES",IF(A302&lt;Calculator!$G$16,0,MIN(MIN(MOD(A302/Calculator!$F$16,1),1-MOD(A302/Calculator!$F$16,1)),ABS(MOD(A302/Calculator!$F$16,1)-0.5))),1)</f>
        <v>0.0482631578947363</v>
      </c>
      <c r="H302" s="138" t="n">
        <f aca="false">IF(Calculator!$E$17="YES",IF(A302&lt;Calculator!$G$17,0,MIN(MIN(MOD(A302/Calculator!$F$17,1),1-MOD(A302/Calculator!$F$17,1)),ABS(MOD(A302/Calculator!$F$17,1)-0.5))),1)</f>
        <v>0.088108070175438</v>
      </c>
      <c r="I302" s="138" t="n">
        <f aca="false">IF(Calculator!$E$18="YES",IF(A302&lt;Calculator!$G$18,0,MIN(MIN(MOD(A302/Calculator!$F$18,1),1-MOD(A302/Calculator!$F$18,1)),ABS(MOD(A302/Calculator!$F$18,1)-0.5))),1)</f>
        <v>0.168473684210527</v>
      </c>
      <c r="J302" s="138" t="n">
        <f aca="false">IF(Calculator!$E$19="YES",IF(A302&lt;Calculator!$G$19,0,MIN(MIN(MOD(A302/Calculator!$F$19,1),1-MOD(A302/Calculator!$F$19,1)),ABS(MOD(A302/Calculator!$F$19,1)-0.5))),1)</f>
        <v>0.0731087719298245</v>
      </c>
      <c r="K302" s="138" t="n">
        <f aca="false">IF(Calculator!$E$20="YES",IF(A302&lt;Calculator!$G$20,0,MIN(MIN(MOD(A302/Calculator!$F$20,1),1-MOD(A302/Calculator!$F$20,1)),ABS(MOD(A302/Calculator!$F$20,1)-0.5))),1)</f>
        <v>0.025228070175439</v>
      </c>
      <c r="L302" s="138" t="n">
        <f aca="false">IF(Calculator!$E$21="YES",IF(A302&lt;Calculator!$G$21,0,MIN(MIN(MOD(A302/Calculator!$F$21,1),1-MOD(A302/Calculator!$F$21,1)),ABS(MOD(A302/Calculator!$F$21,1)-0.5))),1)</f>
        <v>0.162456140350878</v>
      </c>
      <c r="M302" s="138" t="n">
        <f aca="false">MIN(B302:L302)</f>
        <v>0</v>
      </c>
      <c r="N302" s="138" t="n">
        <f aca="false">SUMPRODUCT(($M$5:$M$555&gt;M302)*1)+SUMPRODUCT(($M$5:$M$555=M302)*(ROW($M$5:$M$555)&lt;ROW(M302)))+1</f>
        <v>523</v>
      </c>
      <c r="O302" s="138" t="str">
        <f aca="false">IF(M302&gt;=0.2,"★★★ EXCELLENT",IF(M302&gt;=0.12,"★★  GOOD",IF(M302&gt;=0.07,"★  FAIR",IF(M302&gt;=0.025,"⚠  MARGINAL","✗  AVOID"))))</f>
        <v>✗  AVOID</v>
      </c>
    </row>
    <row r="303" customFormat="false" ht="15" hidden="false" customHeight="false" outlineLevel="0" collapsed="false">
      <c r="A303" s="135" t="n">
        <v>34.8</v>
      </c>
      <c r="B303" s="136" t="n">
        <f aca="false">IF(Calculator!$E$11="YES",IF(A303&lt;Calculator!$G$11,0,MIN(MIN(MOD(A303/Calculator!$F$11,1),1-MOD(A303/Calculator!$F$11,1)),ABS(MOD(A303/Calculator!$F$11,1)-0.5))),1)</f>
        <v>0</v>
      </c>
      <c r="C303" s="136" t="n">
        <f aca="false">IF(Calculator!$E$12="YES",IF(A303&lt;Calculator!$G$12,0,MIN(MIN(MOD(A303/Calculator!$F$12,1),1-MOD(A303/Calculator!$F$12,1)),ABS(MOD(A303/Calculator!$F$12,1)-0.5))),1)</f>
        <v>0.108631578947368</v>
      </c>
      <c r="D303" s="136" t="n">
        <f aca="false">IF(Calculator!$E$13="YES",IF(A303&lt;Calculator!$G$13,0,MIN(MIN(MOD(A303/Calculator!$F$13,1),1-MOD(A303/Calculator!$F$13,1)),ABS(MOD(A303/Calculator!$F$13,1)-0.5))),1)</f>
        <v>0.191275789473684</v>
      </c>
      <c r="E303" s="136" t="n">
        <f aca="false">IF(Calculator!$E$14="YES",IF(A303&lt;Calculator!$G$14,0,MIN(MIN(MOD(A303/Calculator!$F$14,1),1-MOD(A303/Calculator!$F$14,1)),ABS(MOD(A303/Calculator!$F$14,1)-0.5))),1)</f>
        <v>0.246105263157895</v>
      </c>
      <c r="F303" s="136" t="n">
        <f aca="false">IF(Calculator!$E$15="YES",IF(A303&lt;Calculator!$G$15,0,MIN(MIN(MOD(A303/Calculator!$F$15,1),1-MOD(A303/Calculator!$F$15,1)),ABS(MOD(A303/Calculator!$F$15,1)-0.5))),1)</f>
        <v>0.0273684210526319</v>
      </c>
      <c r="G303" s="136" t="n">
        <f aca="false">IF(Calculator!$E$16="YES",IF(A303&lt;Calculator!$G$16,0,MIN(MIN(MOD(A303/Calculator!$F$16,1),1-MOD(A303/Calculator!$F$16,1)),ABS(MOD(A303/Calculator!$F$16,1)-0.5))),1)</f>
        <v>0.0383157894736841</v>
      </c>
      <c r="H303" s="136" t="n">
        <f aca="false">IF(Calculator!$E$17="YES",IF(A303&lt;Calculator!$G$17,0,MIN(MIN(MOD(A303/Calculator!$F$17,1),1-MOD(A303/Calculator!$F$17,1)),ABS(MOD(A303/Calculator!$F$17,1)-0.5))),1)</f>
        <v>0.0753936842105265</v>
      </c>
      <c r="I303" s="136" t="n">
        <f aca="false">IF(Calculator!$E$18="YES",IF(A303&lt;Calculator!$G$18,0,MIN(MIN(MOD(A303/Calculator!$F$18,1),1-MOD(A303/Calculator!$F$18,1)),ABS(MOD(A303/Calculator!$F$18,1)-0.5))),1)</f>
        <v>0.183368421052632</v>
      </c>
      <c r="J303" s="136" t="n">
        <f aca="false">IF(Calculator!$E$19="YES",IF(A303&lt;Calculator!$G$19,0,MIN(MIN(MOD(A303/Calculator!$F$19,1),1-MOD(A303/Calculator!$F$19,1)),ABS(MOD(A303/Calculator!$F$19,1)-0.5))),1)</f>
        <v>0.0906105263157881</v>
      </c>
      <c r="K303" s="136" t="n">
        <f aca="false">IF(Calculator!$E$20="YES",IF(A303&lt;Calculator!$G$20,0,MIN(MIN(MOD(A303/Calculator!$F$20,1),1-MOD(A303/Calculator!$F$20,1)),ABS(MOD(A303/Calculator!$F$20,1)-0.5))),1)</f>
        <v>0.0454736842105259</v>
      </c>
      <c r="L303" s="136" t="n">
        <f aca="false">IF(Calculator!$E$21="YES",IF(A303&lt;Calculator!$G$21,0,MIN(MIN(MOD(A303/Calculator!$F$21,1),1-MOD(A303/Calculator!$F$21,1)),ABS(MOD(A303/Calculator!$F$21,1)-0.5))),1)</f>
        <v>0.198947368421052</v>
      </c>
      <c r="M303" s="136" t="n">
        <f aca="false">MIN(B303:L303)</f>
        <v>0</v>
      </c>
      <c r="N303" s="136" t="n">
        <f aca="false">SUMPRODUCT(($M$5:$M$555&gt;M303)*1)+SUMPRODUCT(($M$5:$M$555=M303)*(ROW($M$5:$M$555)&lt;ROW(M303)))+1</f>
        <v>524</v>
      </c>
      <c r="O303" s="136" t="str">
        <f aca="false">IF(M303&gt;=0.2,"★★★ EXCELLENT",IF(M303&gt;=0.12,"★★  GOOD",IF(M303&gt;=0.07,"★  FAIR",IF(M303&gt;=0.025,"⚠  MARGINAL","✗  AVOID"))))</f>
        <v>✗  AVOID</v>
      </c>
    </row>
    <row r="304" customFormat="false" ht="15" hidden="false" customHeight="false" outlineLevel="0" collapsed="false">
      <c r="A304" s="137" t="n">
        <v>34.9</v>
      </c>
      <c r="B304" s="138" t="n">
        <f aca="false">IF(Calculator!$E$11="YES",IF(A304&lt;Calculator!$G$11,0,MIN(MIN(MOD(A304/Calculator!$F$11,1),1-MOD(A304/Calculator!$F$11,1)),ABS(MOD(A304/Calculator!$F$11,1)-0.5))),1)</f>
        <v>0</v>
      </c>
      <c r="C304" s="138" t="n">
        <f aca="false">IF(Calculator!$E$12="YES",IF(A304&lt;Calculator!$G$12,0,MIN(MIN(MOD(A304/Calculator!$F$12,1),1-MOD(A304/Calculator!$F$12,1)),ABS(MOD(A304/Calculator!$F$12,1)-0.5))),1)</f>
        <v>0.106070175438597</v>
      </c>
      <c r="D304" s="138" t="n">
        <f aca="false">IF(Calculator!$E$13="YES",IF(A304&lt;Calculator!$G$13,0,MIN(MIN(MOD(A304/Calculator!$F$13,1),1-MOD(A304/Calculator!$F$13,1)),ABS(MOD(A304/Calculator!$F$13,1)-0.5))),1)</f>
        <v>0.187515087719298</v>
      </c>
      <c r="E304" s="138" t="n">
        <f aca="false">IF(Calculator!$E$14="YES",IF(A304&lt;Calculator!$G$14,0,MIN(MIN(MOD(A304/Calculator!$F$14,1),1-MOD(A304/Calculator!$F$14,1)),ABS(MOD(A304/Calculator!$F$14,1)-0.5))),1)</f>
        <v>0.248877192982456</v>
      </c>
      <c r="F304" s="138" t="n">
        <f aca="false">IF(Calculator!$E$15="YES",IF(A304&lt;Calculator!$G$15,0,MIN(MIN(MOD(A304/Calculator!$F$15,1),1-MOD(A304/Calculator!$F$15,1)),ABS(MOD(A304/Calculator!$F$15,1)-0.5))),1)</f>
        <v>0.0202631578947372</v>
      </c>
      <c r="G304" s="138" t="n">
        <f aca="false">IF(Calculator!$E$16="YES",IF(A304&lt;Calculator!$G$16,0,MIN(MIN(MOD(A304/Calculator!$F$16,1),1-MOD(A304/Calculator!$F$16,1)),ABS(MOD(A304/Calculator!$F$16,1)-0.5))),1)</f>
        <v>0.0283684210526314</v>
      </c>
      <c r="H304" s="138" t="n">
        <f aca="false">IF(Calculator!$E$17="YES",IF(A304&lt;Calculator!$G$17,0,MIN(MIN(MOD(A304/Calculator!$F$17,1),1-MOD(A304/Calculator!$F$17,1)),ABS(MOD(A304/Calculator!$F$17,1)-0.5))),1)</f>
        <v>0.0626792982456141</v>
      </c>
      <c r="I304" s="138" t="n">
        <f aca="false">IF(Calculator!$E$18="YES",IF(A304&lt;Calculator!$G$18,0,MIN(MIN(MOD(A304/Calculator!$F$18,1),1-MOD(A304/Calculator!$F$18,1)),ABS(MOD(A304/Calculator!$F$18,1)-0.5))),1)</f>
        <v>0.198263157894737</v>
      </c>
      <c r="J304" s="138" t="n">
        <f aca="false">IF(Calculator!$E$19="YES",IF(A304&lt;Calculator!$G$19,0,MIN(MIN(MOD(A304/Calculator!$F$19,1),1-MOD(A304/Calculator!$F$19,1)),ABS(MOD(A304/Calculator!$F$19,1)-0.5))),1)</f>
        <v>0.108112280701753</v>
      </c>
      <c r="K304" s="138" t="n">
        <f aca="false">IF(Calculator!$E$20="YES",IF(A304&lt;Calculator!$G$20,0,MIN(MIN(MOD(A304/Calculator!$F$20,1),1-MOD(A304/Calculator!$F$20,1)),ABS(MOD(A304/Calculator!$F$20,1)-0.5))),1)</f>
        <v>0.0657192982456136</v>
      </c>
      <c r="L304" s="138" t="n">
        <f aca="false">IF(Calculator!$E$21="YES",IF(A304&lt;Calculator!$G$21,0,MIN(MIN(MOD(A304/Calculator!$F$21,1),1-MOD(A304/Calculator!$F$21,1)),ABS(MOD(A304/Calculator!$F$21,1)-0.5))),1)</f>
        <v>0.235438596491228</v>
      </c>
      <c r="M304" s="138" t="n">
        <f aca="false">MIN(B304:L304)</f>
        <v>0</v>
      </c>
      <c r="N304" s="138" t="n">
        <f aca="false">SUMPRODUCT(($M$5:$M$555&gt;M304)*1)+SUMPRODUCT(($M$5:$M$555=M304)*(ROW($M$5:$M$555)&lt;ROW(M304)))+1</f>
        <v>525</v>
      </c>
      <c r="O304" s="138" t="str">
        <f aca="false">IF(M304&gt;=0.2,"★★★ EXCELLENT",IF(M304&gt;=0.12,"★★  GOOD",IF(M304&gt;=0.07,"★  FAIR",IF(M304&gt;=0.025,"⚠  MARGINAL","✗  AVOID"))))</f>
        <v>✗  AVOID</v>
      </c>
    </row>
    <row r="305" customFormat="false" ht="15" hidden="false" customHeight="false" outlineLevel="0" collapsed="false">
      <c r="A305" s="135" t="n">
        <v>35</v>
      </c>
      <c r="B305" s="136" t="n">
        <f aca="false">IF(Calculator!$E$11="YES",IF(A305&lt;Calculator!$G$11,0,MIN(MIN(MOD(A305/Calculator!$F$11,1),1-MOD(A305/Calculator!$F$11,1)),ABS(MOD(A305/Calculator!$F$11,1)-0.5))),1)</f>
        <v>0</v>
      </c>
      <c r="C305" s="136" t="n">
        <f aca="false">IF(Calculator!$E$12="YES",IF(A305&lt;Calculator!$G$12,0,MIN(MIN(MOD(A305/Calculator!$F$12,1),1-MOD(A305/Calculator!$F$12,1)),ABS(MOD(A305/Calculator!$F$12,1)-0.5))),1)</f>
        <v>0.103508771929825</v>
      </c>
      <c r="D305" s="136" t="n">
        <f aca="false">IF(Calculator!$E$13="YES",IF(A305&lt;Calculator!$G$13,0,MIN(MIN(MOD(A305/Calculator!$F$13,1),1-MOD(A305/Calculator!$F$13,1)),ABS(MOD(A305/Calculator!$F$13,1)-0.5))),1)</f>
        <v>0.183754385964912</v>
      </c>
      <c r="E305" s="136" t="n">
        <f aca="false">IF(Calculator!$E$14="YES",IF(A305&lt;Calculator!$G$14,0,MIN(MIN(MOD(A305/Calculator!$F$14,1),1-MOD(A305/Calculator!$F$14,1)),ABS(MOD(A305/Calculator!$F$14,1)-0.5))),1)</f>
        <v>0.243859649122807</v>
      </c>
      <c r="F305" s="136" t="n">
        <f aca="false">IF(Calculator!$E$15="YES",IF(A305&lt;Calculator!$G$15,0,MIN(MIN(MOD(A305/Calculator!$F$15,1),1-MOD(A305/Calculator!$F$15,1)),ABS(MOD(A305/Calculator!$F$15,1)-0.5))),1)</f>
        <v>0.013157894736842</v>
      </c>
      <c r="G305" s="136" t="n">
        <f aca="false">IF(Calculator!$E$16="YES",IF(A305&lt;Calculator!$G$16,0,MIN(MIN(MOD(A305/Calculator!$F$16,1),1-MOD(A305/Calculator!$F$16,1)),ABS(MOD(A305/Calculator!$F$16,1)-0.5))),1)</f>
        <v>0.0184210526315787</v>
      </c>
      <c r="H305" s="136" t="n">
        <f aca="false">IF(Calculator!$E$17="YES",IF(A305&lt;Calculator!$G$17,0,MIN(MIN(MOD(A305/Calculator!$F$17,1),1-MOD(A305/Calculator!$F$17,1)),ABS(MOD(A305/Calculator!$F$17,1)-0.5))),1)</f>
        <v>0.0499649122807009</v>
      </c>
      <c r="I305" s="136" t="n">
        <f aca="false">IF(Calculator!$E$18="YES",IF(A305&lt;Calculator!$G$18,0,MIN(MIN(MOD(A305/Calculator!$F$18,1),1-MOD(A305/Calculator!$F$18,1)),ABS(MOD(A305/Calculator!$F$18,1)-0.5))),1)</f>
        <v>0.213157894736843</v>
      </c>
      <c r="J305" s="136" t="n">
        <f aca="false">IF(Calculator!$E$19="YES",IF(A305&lt;Calculator!$G$19,0,MIN(MIN(MOD(A305/Calculator!$F$19,1),1-MOD(A305/Calculator!$F$19,1)),ABS(MOD(A305/Calculator!$F$19,1)-0.5))),1)</f>
        <v>0.125614035087718</v>
      </c>
      <c r="K305" s="136" t="n">
        <f aca="false">IF(Calculator!$E$20="YES",IF(A305&lt;Calculator!$G$20,0,MIN(MIN(MOD(A305/Calculator!$F$20,1),1-MOD(A305/Calculator!$F$20,1)),ABS(MOD(A305/Calculator!$F$20,1)-0.5))),1)</f>
        <v>0.0859649122807014</v>
      </c>
      <c r="L305" s="136" t="n">
        <f aca="false">IF(Calculator!$E$21="YES",IF(A305&lt;Calculator!$G$21,0,MIN(MIN(MOD(A305/Calculator!$F$21,1),1-MOD(A305/Calculator!$F$21,1)),ABS(MOD(A305/Calculator!$F$21,1)-0.5))),1)</f>
        <v>0.228070175438596</v>
      </c>
      <c r="M305" s="136" t="n">
        <f aca="false">MIN(B305:L305)</f>
        <v>0</v>
      </c>
      <c r="N305" s="136" t="n">
        <f aca="false">SUMPRODUCT(($M$5:$M$555&gt;M305)*1)+SUMPRODUCT(($M$5:$M$555=M305)*(ROW($M$5:$M$555)&lt;ROW(M305)))+1</f>
        <v>526</v>
      </c>
      <c r="O305" s="136" t="str">
        <f aca="false">IF(M305&gt;=0.2,"★★★ EXCELLENT",IF(M305&gt;=0.12,"★★  GOOD",IF(M305&gt;=0.07,"★  FAIR",IF(M305&gt;=0.025,"⚠  MARGINAL","✗  AVOID"))))</f>
        <v>✗  AVOID</v>
      </c>
    </row>
    <row r="306" customFormat="false" ht="15" hidden="false" customHeight="false" outlineLevel="0" collapsed="false">
      <c r="A306" s="137" t="n">
        <v>35.1</v>
      </c>
      <c r="B306" s="138" t="n">
        <f aca="false">IF(Calculator!$E$11="YES",IF(A306&lt;Calculator!$G$11,0,MIN(MIN(MOD(A306/Calculator!$F$11,1),1-MOD(A306/Calculator!$F$11,1)),ABS(MOD(A306/Calculator!$F$11,1)-0.5))),1)</f>
        <v>0</v>
      </c>
      <c r="C306" s="138" t="n">
        <f aca="false">IF(Calculator!$E$12="YES",IF(A306&lt;Calculator!$G$12,0,MIN(MIN(MOD(A306/Calculator!$F$12,1),1-MOD(A306/Calculator!$F$12,1)),ABS(MOD(A306/Calculator!$F$12,1)-0.5))),1)</f>
        <v>0.100947368421053</v>
      </c>
      <c r="D306" s="138" t="n">
        <f aca="false">IF(Calculator!$E$13="YES",IF(A306&lt;Calculator!$G$13,0,MIN(MIN(MOD(A306/Calculator!$F$13,1),1-MOD(A306/Calculator!$F$13,1)),ABS(MOD(A306/Calculator!$F$13,1)-0.5))),1)</f>
        <v>0.179993684210526</v>
      </c>
      <c r="E306" s="138" t="n">
        <f aca="false">IF(Calculator!$E$14="YES",IF(A306&lt;Calculator!$G$14,0,MIN(MIN(MOD(A306/Calculator!$F$14,1),1-MOD(A306/Calculator!$F$14,1)),ABS(MOD(A306/Calculator!$F$14,1)-0.5))),1)</f>
        <v>0.238842105263158</v>
      </c>
      <c r="F306" s="138" t="n">
        <f aca="false">IF(Calculator!$E$15="YES",IF(A306&lt;Calculator!$G$15,0,MIN(MIN(MOD(A306/Calculator!$F$15,1),1-MOD(A306/Calculator!$F$15,1)),ABS(MOD(A306/Calculator!$F$15,1)-0.5))),1)</f>
        <v>0.00605263157894731</v>
      </c>
      <c r="G306" s="138" t="n">
        <f aca="false">IF(Calculator!$E$16="YES",IF(A306&lt;Calculator!$G$16,0,MIN(MIN(MOD(A306/Calculator!$F$16,1),1-MOD(A306/Calculator!$F$16,1)),ABS(MOD(A306/Calculator!$F$16,1)-0.5))),1)</f>
        <v>0.00847368421052597</v>
      </c>
      <c r="H306" s="138" t="n">
        <f aca="false">IF(Calculator!$E$17="YES",IF(A306&lt;Calculator!$G$17,0,MIN(MIN(MOD(A306/Calculator!$F$17,1),1-MOD(A306/Calculator!$F$17,1)),ABS(MOD(A306/Calculator!$F$17,1)-0.5))),1)</f>
        <v>0.0372505263157885</v>
      </c>
      <c r="I306" s="138" t="n">
        <f aca="false">IF(Calculator!$E$18="YES",IF(A306&lt;Calculator!$G$18,0,MIN(MIN(MOD(A306/Calculator!$F$18,1),1-MOD(A306/Calculator!$F$18,1)),ABS(MOD(A306/Calculator!$F$18,1)-0.5))),1)</f>
        <v>0.228052631578948</v>
      </c>
      <c r="J306" s="138" t="n">
        <f aca="false">IF(Calculator!$E$19="YES",IF(A306&lt;Calculator!$G$19,0,MIN(MIN(MOD(A306/Calculator!$F$19,1),1-MOD(A306/Calculator!$F$19,1)),ABS(MOD(A306/Calculator!$F$19,1)-0.5))),1)</f>
        <v>0.143115789473684</v>
      </c>
      <c r="K306" s="138" t="n">
        <f aca="false">IF(Calculator!$E$20="YES",IF(A306&lt;Calculator!$G$20,0,MIN(MIN(MOD(A306/Calculator!$F$20,1),1-MOD(A306/Calculator!$F$20,1)),ABS(MOD(A306/Calculator!$F$20,1)-0.5))),1)</f>
        <v>0.10621052631579</v>
      </c>
      <c r="L306" s="138" t="n">
        <f aca="false">IF(Calculator!$E$21="YES",IF(A306&lt;Calculator!$G$21,0,MIN(MIN(MOD(A306/Calculator!$F$21,1),1-MOD(A306/Calculator!$F$21,1)),ABS(MOD(A306/Calculator!$F$21,1)-0.5))),1)</f>
        <v>0.19157894736842</v>
      </c>
      <c r="M306" s="138" t="n">
        <f aca="false">MIN(B306:L306)</f>
        <v>0</v>
      </c>
      <c r="N306" s="138" t="n">
        <f aca="false">SUMPRODUCT(($M$5:$M$555&gt;M306)*1)+SUMPRODUCT(($M$5:$M$555=M306)*(ROW($M$5:$M$555)&lt;ROW(M306)))+1</f>
        <v>527</v>
      </c>
      <c r="O306" s="138" t="str">
        <f aca="false">IF(M306&gt;=0.2,"★★★ EXCELLENT",IF(M306&gt;=0.12,"★★  GOOD",IF(M306&gt;=0.07,"★  FAIR",IF(M306&gt;=0.025,"⚠  MARGINAL","✗  AVOID"))))</f>
        <v>✗  AVOID</v>
      </c>
    </row>
    <row r="307" customFormat="false" ht="15" hidden="false" customHeight="false" outlineLevel="0" collapsed="false">
      <c r="A307" s="135" t="n">
        <v>35.2</v>
      </c>
      <c r="B307" s="136" t="n">
        <f aca="false">IF(Calculator!$E$11="YES",IF(A307&lt;Calculator!$G$11,0,MIN(MIN(MOD(A307/Calculator!$F$11,1),1-MOD(A307/Calculator!$F$11,1)),ABS(MOD(A307/Calculator!$F$11,1)-0.5))),1)</f>
        <v>0</v>
      </c>
      <c r="C307" s="136" t="n">
        <f aca="false">IF(Calculator!$E$12="YES",IF(A307&lt;Calculator!$G$12,0,MIN(MIN(MOD(A307/Calculator!$F$12,1),1-MOD(A307/Calculator!$F$12,1)),ABS(MOD(A307/Calculator!$F$12,1)-0.5))),1)</f>
        <v>0.0983859649122806</v>
      </c>
      <c r="D307" s="136" t="n">
        <f aca="false">IF(Calculator!$E$13="YES",IF(A307&lt;Calculator!$G$13,0,MIN(MIN(MOD(A307/Calculator!$F$13,1),1-MOD(A307/Calculator!$F$13,1)),ABS(MOD(A307/Calculator!$F$13,1)-0.5))),1)</f>
        <v>0.17623298245614</v>
      </c>
      <c r="E307" s="136" t="n">
        <f aca="false">IF(Calculator!$E$14="YES",IF(A307&lt;Calculator!$G$14,0,MIN(MIN(MOD(A307/Calculator!$F$14,1),1-MOD(A307/Calculator!$F$14,1)),ABS(MOD(A307/Calculator!$F$14,1)-0.5))),1)</f>
        <v>0.233824561403509</v>
      </c>
      <c r="F307" s="136" t="n">
        <f aca="false">IF(Calculator!$E$15="YES",IF(A307&lt;Calculator!$G$15,0,MIN(MIN(MOD(A307/Calculator!$F$15,1),1-MOD(A307/Calculator!$F$15,1)),ABS(MOD(A307/Calculator!$F$15,1)-0.5))),1)</f>
        <v>0.00105263157894742</v>
      </c>
      <c r="G307" s="136" t="n">
        <f aca="false">IF(Calculator!$E$16="YES",IF(A307&lt;Calculator!$G$16,0,MIN(MIN(MOD(A307/Calculator!$F$16,1),1-MOD(A307/Calculator!$F$16,1)),ABS(MOD(A307/Calculator!$F$16,1)-0.5))),1)</f>
        <v>0.00147368421052674</v>
      </c>
      <c r="H307" s="136" t="n">
        <f aca="false">IF(Calculator!$E$17="YES",IF(A307&lt;Calculator!$G$17,0,MIN(MIN(MOD(A307/Calculator!$F$17,1),1-MOD(A307/Calculator!$F$17,1)),ABS(MOD(A307/Calculator!$F$17,1)-0.5))),1)</f>
        <v>0.0245361403508761</v>
      </c>
      <c r="I307" s="136" t="n">
        <f aca="false">IF(Calculator!$E$18="YES",IF(A307&lt;Calculator!$G$18,0,MIN(MIN(MOD(A307/Calculator!$F$18,1),1-MOD(A307/Calculator!$F$18,1)),ABS(MOD(A307/Calculator!$F$18,1)-0.5))),1)</f>
        <v>0.242947368421054</v>
      </c>
      <c r="J307" s="136" t="n">
        <f aca="false">IF(Calculator!$E$19="YES",IF(A307&lt;Calculator!$G$19,0,MIN(MIN(MOD(A307/Calculator!$F$19,1),1-MOD(A307/Calculator!$F$19,1)),ABS(MOD(A307/Calculator!$F$19,1)-0.5))),1)</f>
        <v>0.160617543859648</v>
      </c>
      <c r="K307" s="136" t="n">
        <f aca="false">IF(Calculator!$E$20="YES",IF(A307&lt;Calculator!$G$20,0,MIN(MIN(MOD(A307/Calculator!$F$20,1),1-MOD(A307/Calculator!$F$20,1)),ABS(MOD(A307/Calculator!$F$20,1)-0.5))),1)</f>
        <v>0.126456140350878</v>
      </c>
      <c r="L307" s="136" t="n">
        <f aca="false">IF(Calculator!$E$21="YES",IF(A307&lt;Calculator!$G$21,0,MIN(MIN(MOD(A307/Calculator!$F$21,1),1-MOD(A307/Calculator!$F$21,1)),ABS(MOD(A307/Calculator!$F$21,1)-0.5))),1)</f>
        <v>0.155087719298244</v>
      </c>
      <c r="M307" s="136" t="n">
        <f aca="false">MIN(B307:L307)</f>
        <v>0</v>
      </c>
      <c r="N307" s="136" t="n">
        <f aca="false">SUMPRODUCT(($M$5:$M$555&gt;M307)*1)+SUMPRODUCT(($M$5:$M$555=M307)*(ROW($M$5:$M$555)&lt;ROW(M307)))+1</f>
        <v>528</v>
      </c>
      <c r="O307" s="136" t="str">
        <f aca="false">IF(M307&gt;=0.2,"★★★ EXCELLENT",IF(M307&gt;=0.12,"★★  GOOD",IF(M307&gt;=0.07,"★  FAIR",IF(M307&gt;=0.025,"⚠  MARGINAL","✗  AVOID"))))</f>
        <v>✗  AVOID</v>
      </c>
    </row>
    <row r="308" customFormat="false" ht="15" hidden="false" customHeight="false" outlineLevel="0" collapsed="false">
      <c r="A308" s="137" t="n">
        <v>35.3</v>
      </c>
      <c r="B308" s="138" t="n">
        <f aca="false">IF(Calculator!$E$11="YES",IF(A308&lt;Calculator!$G$11,0,MIN(MIN(MOD(A308/Calculator!$F$11,1),1-MOD(A308/Calculator!$F$11,1)),ABS(MOD(A308/Calculator!$F$11,1)-0.5))),1)</f>
        <v>0</v>
      </c>
      <c r="C308" s="138" t="n">
        <f aca="false">IF(Calculator!$E$12="YES",IF(A308&lt;Calculator!$G$12,0,MIN(MIN(MOD(A308/Calculator!$F$12,1),1-MOD(A308/Calculator!$F$12,1)),ABS(MOD(A308/Calculator!$F$12,1)-0.5))),1)</f>
        <v>0.0958245614035088</v>
      </c>
      <c r="D308" s="138" t="n">
        <f aca="false">IF(Calculator!$E$13="YES",IF(A308&lt;Calculator!$G$13,0,MIN(MIN(MOD(A308/Calculator!$F$13,1),1-MOD(A308/Calculator!$F$13,1)),ABS(MOD(A308/Calculator!$F$13,1)-0.5))),1)</f>
        <v>0.172472280701754</v>
      </c>
      <c r="E308" s="138" t="n">
        <f aca="false">IF(Calculator!$E$14="YES",IF(A308&lt;Calculator!$G$14,0,MIN(MIN(MOD(A308/Calculator!$F$14,1),1-MOD(A308/Calculator!$F$14,1)),ABS(MOD(A308/Calculator!$F$14,1)-0.5))),1)</f>
        <v>0.22880701754386</v>
      </c>
      <c r="F308" s="138" t="n">
        <f aca="false">IF(Calculator!$E$15="YES",IF(A308&lt;Calculator!$G$15,0,MIN(MIN(MOD(A308/Calculator!$F$15,1),1-MOD(A308/Calculator!$F$15,1)),ABS(MOD(A308/Calculator!$F$15,1)-0.5))),1)</f>
        <v>0.0081578947368417</v>
      </c>
      <c r="G308" s="138" t="n">
        <f aca="false">IF(Calculator!$E$16="YES",IF(A308&lt;Calculator!$G$16,0,MIN(MIN(MOD(A308/Calculator!$F$16,1),1-MOD(A308/Calculator!$F$16,1)),ABS(MOD(A308/Calculator!$F$16,1)-0.5))),1)</f>
        <v>0.011421052631579</v>
      </c>
      <c r="H308" s="138" t="n">
        <f aca="false">IF(Calculator!$E$17="YES",IF(A308&lt;Calculator!$G$17,0,MIN(MIN(MOD(A308/Calculator!$F$17,1),1-MOD(A308/Calculator!$F$17,1)),ABS(MOD(A308/Calculator!$F$17,1)-0.5))),1)</f>
        <v>0.0118217543859647</v>
      </c>
      <c r="I308" s="138" t="n">
        <f aca="false">IF(Calculator!$E$18="YES",IF(A308&lt;Calculator!$G$18,0,MIN(MIN(MOD(A308/Calculator!$F$18,1),1-MOD(A308/Calculator!$F$18,1)),ABS(MOD(A308/Calculator!$F$18,1)-0.5))),1)</f>
        <v>0.242157894736843</v>
      </c>
      <c r="J308" s="138" t="n">
        <f aca="false">IF(Calculator!$E$19="YES",IF(A308&lt;Calculator!$G$19,0,MIN(MIN(MOD(A308/Calculator!$F$19,1),1-MOD(A308/Calculator!$F$19,1)),ABS(MOD(A308/Calculator!$F$19,1)-0.5))),1)</f>
        <v>0.178119298245613</v>
      </c>
      <c r="K308" s="138" t="n">
        <f aca="false">IF(Calculator!$E$20="YES",IF(A308&lt;Calculator!$G$20,0,MIN(MIN(MOD(A308/Calculator!$F$20,1),1-MOD(A308/Calculator!$F$20,1)),ABS(MOD(A308/Calculator!$F$20,1)-0.5))),1)</f>
        <v>0.146701754385965</v>
      </c>
      <c r="L308" s="138" t="n">
        <f aca="false">IF(Calculator!$E$21="YES",IF(A308&lt;Calculator!$G$21,0,MIN(MIN(MOD(A308/Calculator!$F$21,1),1-MOD(A308/Calculator!$F$21,1)),ABS(MOD(A308/Calculator!$F$21,1)-0.5))),1)</f>
        <v>0.118596491228072</v>
      </c>
      <c r="M308" s="138" t="n">
        <f aca="false">MIN(B308:L308)</f>
        <v>0</v>
      </c>
      <c r="N308" s="138" t="n">
        <f aca="false">SUMPRODUCT(($M$5:$M$555&gt;M308)*1)+SUMPRODUCT(($M$5:$M$555=M308)*(ROW($M$5:$M$555)&lt;ROW(M308)))+1</f>
        <v>529</v>
      </c>
      <c r="O308" s="138" t="str">
        <f aca="false">IF(M308&gt;=0.2,"★★★ EXCELLENT",IF(M308&gt;=0.12,"★★  GOOD",IF(M308&gt;=0.07,"★  FAIR",IF(M308&gt;=0.025,"⚠  MARGINAL","✗  AVOID"))))</f>
        <v>✗  AVOID</v>
      </c>
    </row>
    <row r="309" customFormat="false" ht="15" hidden="false" customHeight="false" outlineLevel="0" collapsed="false">
      <c r="A309" s="135" t="n">
        <v>35.4</v>
      </c>
      <c r="B309" s="136" t="n">
        <f aca="false">IF(Calculator!$E$11="YES",IF(A309&lt;Calculator!$G$11,0,MIN(MIN(MOD(A309/Calculator!$F$11,1),1-MOD(A309/Calculator!$F$11,1)),ABS(MOD(A309/Calculator!$F$11,1)-0.5))),1)</f>
        <v>0</v>
      </c>
      <c r="C309" s="136" t="n">
        <f aca="false">IF(Calculator!$E$12="YES",IF(A309&lt;Calculator!$G$12,0,MIN(MIN(MOD(A309/Calculator!$F$12,1),1-MOD(A309/Calculator!$F$12,1)),ABS(MOD(A309/Calculator!$F$12,1)-0.5))),1)</f>
        <v>0.0932631578947368</v>
      </c>
      <c r="D309" s="136" t="n">
        <f aca="false">IF(Calculator!$E$13="YES",IF(A309&lt;Calculator!$G$13,0,MIN(MIN(MOD(A309/Calculator!$F$13,1),1-MOD(A309/Calculator!$F$13,1)),ABS(MOD(A309/Calculator!$F$13,1)-0.5))),1)</f>
        <v>0.168711578947369</v>
      </c>
      <c r="E309" s="136" t="n">
        <f aca="false">IF(Calculator!$E$14="YES",IF(A309&lt;Calculator!$G$14,0,MIN(MIN(MOD(A309/Calculator!$F$14,1),1-MOD(A309/Calculator!$F$14,1)),ABS(MOD(A309/Calculator!$F$14,1)-0.5))),1)</f>
        <v>0.223789473684211</v>
      </c>
      <c r="F309" s="136" t="n">
        <f aca="false">IF(Calculator!$E$15="YES",IF(A309&lt;Calculator!$G$15,0,MIN(MIN(MOD(A309/Calculator!$F$15,1),1-MOD(A309/Calculator!$F$15,1)),ABS(MOD(A309/Calculator!$F$15,1)-0.5))),1)</f>
        <v>0.0152631578947369</v>
      </c>
      <c r="G309" s="136" t="n">
        <f aca="false">IF(Calculator!$E$16="YES",IF(A309&lt;Calculator!$G$16,0,MIN(MIN(MOD(A309/Calculator!$F$16,1),1-MOD(A309/Calculator!$F$16,1)),ABS(MOD(A309/Calculator!$F$16,1)-0.5))),1)</f>
        <v>0.0213684210526317</v>
      </c>
      <c r="H309" s="136" t="n">
        <f aca="false">IF(Calculator!$E$17="YES",IF(A309&lt;Calculator!$G$17,0,MIN(MIN(MOD(A309/Calculator!$F$17,1),1-MOD(A309/Calculator!$F$17,1)),ABS(MOD(A309/Calculator!$F$17,1)-0.5))),1)</f>
        <v>0.0008926315789477</v>
      </c>
      <c r="I309" s="136" t="n">
        <f aca="false">IF(Calculator!$E$18="YES",IF(A309&lt;Calculator!$G$18,0,MIN(MIN(MOD(A309/Calculator!$F$18,1),1-MOD(A309/Calculator!$F$18,1)),ABS(MOD(A309/Calculator!$F$18,1)-0.5))),1)</f>
        <v>0.227263157894737</v>
      </c>
      <c r="J309" s="136" t="n">
        <f aca="false">IF(Calculator!$E$19="YES",IF(A309&lt;Calculator!$G$19,0,MIN(MIN(MOD(A309/Calculator!$F$19,1),1-MOD(A309/Calculator!$F$19,1)),ABS(MOD(A309/Calculator!$F$19,1)-0.5))),1)</f>
        <v>0.195621052631577</v>
      </c>
      <c r="K309" s="136" t="n">
        <f aca="false">IF(Calculator!$E$20="YES",IF(A309&lt;Calculator!$G$20,0,MIN(MIN(MOD(A309/Calculator!$F$20,1),1-MOD(A309/Calculator!$F$20,1)),ABS(MOD(A309/Calculator!$F$20,1)-0.5))),1)</f>
        <v>0.166947368421052</v>
      </c>
      <c r="L309" s="136" t="n">
        <f aca="false">IF(Calculator!$E$21="YES",IF(A309&lt;Calculator!$G$21,0,MIN(MIN(MOD(A309/Calculator!$F$21,1),1-MOD(A309/Calculator!$F$21,1)),ABS(MOD(A309/Calculator!$F$21,1)-0.5))),1)</f>
        <v>0.0821052631578958</v>
      </c>
      <c r="M309" s="136" t="n">
        <f aca="false">MIN(B309:L309)</f>
        <v>0</v>
      </c>
      <c r="N309" s="136" t="n">
        <f aca="false">SUMPRODUCT(($M$5:$M$555&gt;M309)*1)+SUMPRODUCT(($M$5:$M$555=M309)*(ROW($M$5:$M$555)&lt;ROW(M309)))+1</f>
        <v>530</v>
      </c>
      <c r="O309" s="136" t="str">
        <f aca="false">IF(M309&gt;=0.2,"★★★ EXCELLENT",IF(M309&gt;=0.12,"★★  GOOD",IF(M309&gt;=0.07,"★  FAIR",IF(M309&gt;=0.025,"⚠  MARGINAL","✗  AVOID"))))</f>
        <v>✗  AVOID</v>
      </c>
    </row>
    <row r="310" customFormat="false" ht="15" hidden="false" customHeight="false" outlineLevel="0" collapsed="false">
      <c r="A310" s="137" t="n">
        <v>35.5</v>
      </c>
      <c r="B310" s="138" t="n">
        <f aca="false">IF(Calculator!$E$11="YES",IF(A310&lt;Calculator!$G$11,0,MIN(MIN(MOD(A310/Calculator!$F$11,1),1-MOD(A310/Calculator!$F$11,1)),ABS(MOD(A310/Calculator!$F$11,1)-0.5))),1)</f>
        <v>0</v>
      </c>
      <c r="C310" s="138" t="n">
        <f aca="false">IF(Calculator!$E$12="YES",IF(A310&lt;Calculator!$G$12,0,MIN(MIN(MOD(A310/Calculator!$F$12,1),1-MOD(A310/Calculator!$F$12,1)),ABS(MOD(A310/Calculator!$F$12,1)-0.5))),1)</f>
        <v>0.0907017543859648</v>
      </c>
      <c r="D310" s="138" t="n">
        <f aca="false">IF(Calculator!$E$13="YES",IF(A310&lt;Calculator!$G$13,0,MIN(MIN(MOD(A310/Calculator!$F$13,1),1-MOD(A310/Calculator!$F$13,1)),ABS(MOD(A310/Calculator!$F$13,1)-0.5))),1)</f>
        <v>0.164950877192983</v>
      </c>
      <c r="E310" s="138" t="n">
        <f aca="false">IF(Calculator!$E$14="YES",IF(A310&lt;Calculator!$G$14,0,MIN(MIN(MOD(A310/Calculator!$F$14,1),1-MOD(A310/Calculator!$F$14,1)),ABS(MOD(A310/Calculator!$F$14,1)-0.5))),1)</f>
        <v>0.218771929824561</v>
      </c>
      <c r="F310" s="138" t="n">
        <f aca="false">IF(Calculator!$E$15="YES",IF(A310&lt;Calculator!$G$15,0,MIN(MIN(MOD(A310/Calculator!$F$15,1),1-MOD(A310/Calculator!$F$15,1)),ABS(MOD(A310/Calculator!$F$15,1)-0.5))),1)</f>
        <v>0.0223684210526316</v>
      </c>
      <c r="G310" s="138" t="n">
        <f aca="false">IF(Calculator!$E$16="YES",IF(A310&lt;Calculator!$G$16,0,MIN(MIN(MOD(A310/Calculator!$F$16,1),1-MOD(A310/Calculator!$F$16,1)),ABS(MOD(A310/Calculator!$F$16,1)-0.5))),1)</f>
        <v>0.0313157894736844</v>
      </c>
      <c r="H310" s="138" t="n">
        <f aca="false">IF(Calculator!$E$17="YES",IF(A310&lt;Calculator!$G$17,0,MIN(MIN(MOD(A310/Calculator!$F$17,1),1-MOD(A310/Calculator!$F$17,1)),ABS(MOD(A310/Calculator!$F$17,1)-0.5))),1)</f>
        <v>0.0136070175438601</v>
      </c>
      <c r="I310" s="138" t="n">
        <f aca="false">IF(Calculator!$E$18="YES",IF(A310&lt;Calculator!$G$18,0,MIN(MIN(MOD(A310/Calculator!$F$18,1),1-MOD(A310/Calculator!$F$18,1)),ABS(MOD(A310/Calculator!$F$18,1)-0.5))),1)</f>
        <v>0.212368421052632</v>
      </c>
      <c r="J310" s="138" t="n">
        <f aca="false">IF(Calculator!$E$19="YES",IF(A310&lt;Calculator!$G$19,0,MIN(MIN(MOD(A310/Calculator!$F$19,1),1-MOD(A310/Calculator!$F$19,1)),ABS(MOD(A310/Calculator!$F$19,1)-0.5))),1)</f>
        <v>0.213122807017543</v>
      </c>
      <c r="K310" s="138" t="n">
        <f aca="false">IF(Calculator!$E$20="YES",IF(A310&lt;Calculator!$G$20,0,MIN(MIN(MOD(A310/Calculator!$F$20,1),1-MOD(A310/Calculator!$F$20,1)),ABS(MOD(A310/Calculator!$F$20,1)-0.5))),1)</f>
        <v>0.18719298245614</v>
      </c>
      <c r="L310" s="138" t="n">
        <f aca="false">IF(Calculator!$E$21="YES",IF(A310&lt;Calculator!$G$21,0,MIN(MIN(MOD(A310/Calculator!$F$21,1),1-MOD(A310/Calculator!$F$21,1)),ABS(MOD(A310/Calculator!$F$21,1)-0.5))),1)</f>
        <v>0.0456140350877199</v>
      </c>
      <c r="M310" s="138" t="n">
        <f aca="false">MIN(B310:L310)</f>
        <v>0</v>
      </c>
      <c r="N310" s="138" t="n">
        <f aca="false">SUMPRODUCT(($M$5:$M$555&gt;M310)*1)+SUMPRODUCT(($M$5:$M$555=M310)*(ROW($M$5:$M$555)&lt;ROW(M310)))+1</f>
        <v>531</v>
      </c>
      <c r="O310" s="138" t="str">
        <f aca="false">IF(M310&gt;=0.2,"★★★ EXCELLENT",IF(M310&gt;=0.12,"★★  GOOD",IF(M310&gt;=0.07,"★  FAIR",IF(M310&gt;=0.025,"⚠  MARGINAL","✗  AVOID"))))</f>
        <v>✗  AVOID</v>
      </c>
    </row>
    <row r="311" customFormat="false" ht="15" hidden="false" customHeight="false" outlineLevel="0" collapsed="false">
      <c r="A311" s="135" t="n">
        <v>35.6</v>
      </c>
      <c r="B311" s="136" t="n">
        <f aca="false">IF(Calculator!$E$11="YES",IF(A311&lt;Calculator!$G$11,0,MIN(MIN(MOD(A311/Calculator!$F$11,1),1-MOD(A311/Calculator!$F$11,1)),ABS(MOD(A311/Calculator!$F$11,1)-0.5))),1)</f>
        <v>0</v>
      </c>
      <c r="C311" s="136" t="n">
        <f aca="false">IF(Calculator!$E$12="YES",IF(A311&lt;Calculator!$G$12,0,MIN(MIN(MOD(A311/Calculator!$F$12,1),1-MOD(A311/Calculator!$F$12,1)),ABS(MOD(A311/Calculator!$F$12,1)-0.5))),1)</f>
        <v>0.088140350877193</v>
      </c>
      <c r="D311" s="136" t="n">
        <f aca="false">IF(Calculator!$E$13="YES",IF(A311&lt;Calculator!$G$13,0,MIN(MIN(MOD(A311/Calculator!$F$13,1),1-MOD(A311/Calculator!$F$13,1)),ABS(MOD(A311/Calculator!$F$13,1)-0.5))),1)</f>
        <v>0.161190175438596</v>
      </c>
      <c r="E311" s="136" t="n">
        <f aca="false">IF(Calculator!$E$14="YES",IF(A311&lt;Calculator!$G$14,0,MIN(MIN(MOD(A311/Calculator!$F$14,1),1-MOD(A311/Calculator!$F$14,1)),ABS(MOD(A311/Calculator!$F$14,1)-0.5))),1)</f>
        <v>0.213754385964912</v>
      </c>
      <c r="F311" s="136" t="n">
        <f aca="false">IF(Calculator!$E$15="YES",IF(A311&lt;Calculator!$G$15,0,MIN(MIN(MOD(A311/Calculator!$F$15,1),1-MOD(A311/Calculator!$F$15,1)),ABS(MOD(A311/Calculator!$F$15,1)-0.5))),1)</f>
        <v>0.0294736842105263</v>
      </c>
      <c r="G311" s="136" t="n">
        <f aca="false">IF(Calculator!$E$16="YES",IF(A311&lt;Calculator!$G$16,0,MIN(MIN(MOD(A311/Calculator!$F$16,1),1-MOD(A311/Calculator!$F$16,1)),ABS(MOD(A311/Calculator!$F$16,1)-0.5))),1)</f>
        <v>0.0412631578947371</v>
      </c>
      <c r="H311" s="136" t="n">
        <f aca="false">IF(Calculator!$E$17="YES",IF(A311&lt;Calculator!$G$17,0,MIN(MIN(MOD(A311/Calculator!$F$17,1),1-MOD(A311/Calculator!$F$17,1)),ABS(MOD(A311/Calculator!$F$17,1)-0.5))),1)</f>
        <v>0.0263214035087724</v>
      </c>
      <c r="I311" s="136" t="n">
        <f aca="false">IF(Calculator!$E$18="YES",IF(A311&lt;Calculator!$G$18,0,MIN(MIN(MOD(A311/Calculator!$F$18,1),1-MOD(A311/Calculator!$F$18,1)),ABS(MOD(A311/Calculator!$F$18,1)-0.5))),1)</f>
        <v>0.197473684210526</v>
      </c>
      <c r="J311" s="136" t="n">
        <f aca="false">IF(Calculator!$E$19="YES",IF(A311&lt;Calculator!$G$19,0,MIN(MIN(MOD(A311/Calculator!$F$19,1),1-MOD(A311/Calculator!$F$19,1)),ABS(MOD(A311/Calculator!$F$19,1)-0.5))),1)</f>
        <v>0.230624561403508</v>
      </c>
      <c r="K311" s="136" t="n">
        <f aca="false">IF(Calculator!$E$20="YES",IF(A311&lt;Calculator!$G$20,0,MIN(MIN(MOD(A311/Calculator!$F$20,1),1-MOD(A311/Calculator!$F$20,1)),ABS(MOD(A311/Calculator!$F$20,1)-0.5))),1)</f>
        <v>0.207438596491229</v>
      </c>
      <c r="L311" s="136" t="n">
        <f aca="false">IF(Calculator!$E$21="YES",IF(A311&lt;Calculator!$G$21,0,MIN(MIN(MOD(A311/Calculator!$F$21,1),1-MOD(A311/Calculator!$F$21,1)),ABS(MOD(A311/Calculator!$F$21,1)-0.5))),1)</f>
        <v>0.00912280701754398</v>
      </c>
      <c r="M311" s="136" t="n">
        <f aca="false">MIN(B311:L311)</f>
        <v>0</v>
      </c>
      <c r="N311" s="136" t="n">
        <f aca="false">SUMPRODUCT(($M$5:$M$555&gt;M311)*1)+SUMPRODUCT(($M$5:$M$555=M311)*(ROW($M$5:$M$555)&lt;ROW(M311)))+1</f>
        <v>532</v>
      </c>
      <c r="O311" s="136" t="str">
        <f aca="false">IF(M311&gt;=0.2,"★★★ EXCELLENT",IF(M311&gt;=0.12,"★★  GOOD",IF(M311&gt;=0.07,"★  FAIR",IF(M311&gt;=0.025,"⚠  MARGINAL","✗  AVOID"))))</f>
        <v>✗  AVOID</v>
      </c>
    </row>
    <row r="312" customFormat="false" ht="15" hidden="false" customHeight="false" outlineLevel="0" collapsed="false">
      <c r="A312" s="137" t="n">
        <v>35.7</v>
      </c>
      <c r="B312" s="138" t="n">
        <f aca="false">IF(Calculator!$E$11="YES",IF(A312&lt;Calculator!$G$11,0,MIN(MIN(MOD(A312/Calculator!$F$11,1),1-MOD(A312/Calculator!$F$11,1)),ABS(MOD(A312/Calculator!$F$11,1)-0.5))),1)</f>
        <v>0</v>
      </c>
      <c r="C312" s="138" t="n">
        <f aca="false">IF(Calculator!$E$12="YES",IF(A312&lt;Calculator!$G$12,0,MIN(MIN(MOD(A312/Calculator!$F$12,1),1-MOD(A312/Calculator!$F$12,1)),ABS(MOD(A312/Calculator!$F$12,1)-0.5))),1)</f>
        <v>0.085578947368421</v>
      </c>
      <c r="D312" s="138" t="n">
        <f aca="false">IF(Calculator!$E$13="YES",IF(A312&lt;Calculator!$G$13,0,MIN(MIN(MOD(A312/Calculator!$F$13,1),1-MOD(A312/Calculator!$F$13,1)),ABS(MOD(A312/Calculator!$F$13,1)-0.5))),1)</f>
        <v>0.157429473684211</v>
      </c>
      <c r="E312" s="138" t="n">
        <f aca="false">IF(Calculator!$E$14="YES",IF(A312&lt;Calculator!$G$14,0,MIN(MIN(MOD(A312/Calculator!$F$14,1),1-MOD(A312/Calculator!$F$14,1)),ABS(MOD(A312/Calculator!$F$14,1)-0.5))),1)</f>
        <v>0.208736842105263</v>
      </c>
      <c r="F312" s="138" t="n">
        <f aca="false">IF(Calculator!$E$15="YES",IF(A312&lt;Calculator!$G$15,0,MIN(MIN(MOD(A312/Calculator!$F$15,1),1-MOD(A312/Calculator!$F$15,1)),ABS(MOD(A312/Calculator!$F$15,1)-0.5))),1)</f>
        <v>0.036578947368421</v>
      </c>
      <c r="G312" s="138" t="n">
        <f aca="false">IF(Calculator!$E$16="YES",IF(A312&lt;Calculator!$G$16,0,MIN(MIN(MOD(A312/Calculator!$F$16,1),1-MOD(A312/Calculator!$F$16,1)),ABS(MOD(A312/Calculator!$F$16,1)-0.5))),1)</f>
        <v>0.0512105263157898</v>
      </c>
      <c r="H312" s="138" t="n">
        <f aca="false">IF(Calculator!$E$17="YES",IF(A312&lt;Calculator!$G$17,0,MIN(MIN(MOD(A312/Calculator!$F$17,1),1-MOD(A312/Calculator!$F$17,1)),ABS(MOD(A312/Calculator!$F$17,1)-0.5))),1)</f>
        <v>0.0390357894736848</v>
      </c>
      <c r="I312" s="138" t="n">
        <f aca="false">IF(Calculator!$E$18="YES",IF(A312&lt;Calculator!$G$18,0,MIN(MIN(MOD(A312/Calculator!$F$18,1),1-MOD(A312/Calculator!$F$18,1)),ABS(MOD(A312/Calculator!$F$18,1)-0.5))),1)</f>
        <v>0.182578947368421</v>
      </c>
      <c r="J312" s="138" t="n">
        <f aca="false">IF(Calculator!$E$19="YES",IF(A312&lt;Calculator!$G$19,0,MIN(MIN(MOD(A312/Calculator!$F$19,1),1-MOD(A312/Calculator!$F$19,1)),ABS(MOD(A312/Calculator!$F$19,1)-0.5))),1)</f>
        <v>0.248126315789473</v>
      </c>
      <c r="K312" s="138" t="n">
        <f aca="false">IF(Calculator!$E$20="YES",IF(A312&lt;Calculator!$G$20,0,MIN(MIN(MOD(A312/Calculator!$F$20,1),1-MOD(A312/Calculator!$F$20,1)),ABS(MOD(A312/Calculator!$F$20,1)-0.5))),1)</f>
        <v>0.227684210526316</v>
      </c>
      <c r="L312" s="138" t="n">
        <f aca="false">IF(Calculator!$E$21="YES",IF(A312&lt;Calculator!$G$21,0,MIN(MIN(MOD(A312/Calculator!$F$21,1),1-MOD(A312/Calculator!$F$21,1)),ABS(MOD(A312/Calculator!$F$21,1)-0.5))),1)</f>
        <v>0.0273684210526319</v>
      </c>
      <c r="M312" s="138" t="n">
        <f aca="false">MIN(B312:L312)</f>
        <v>0</v>
      </c>
      <c r="N312" s="138" t="n">
        <f aca="false">SUMPRODUCT(($M$5:$M$555&gt;M312)*1)+SUMPRODUCT(($M$5:$M$555=M312)*(ROW($M$5:$M$555)&lt;ROW(M312)))+1</f>
        <v>533</v>
      </c>
      <c r="O312" s="138" t="str">
        <f aca="false">IF(M312&gt;=0.2,"★★★ EXCELLENT",IF(M312&gt;=0.12,"★★  GOOD",IF(M312&gt;=0.07,"★  FAIR",IF(M312&gt;=0.025,"⚠  MARGINAL","✗  AVOID"))))</f>
        <v>✗  AVOID</v>
      </c>
    </row>
    <row r="313" customFormat="false" ht="15" hidden="false" customHeight="false" outlineLevel="0" collapsed="false">
      <c r="A313" s="135" t="n">
        <v>35.8</v>
      </c>
      <c r="B313" s="136" t="n">
        <f aca="false">IF(Calculator!$E$11="YES",IF(A313&lt;Calculator!$G$11,0,MIN(MIN(MOD(A313/Calculator!$F$11,1),1-MOD(A313/Calculator!$F$11,1)),ABS(MOD(A313/Calculator!$F$11,1)-0.5))),1)</f>
        <v>0</v>
      </c>
      <c r="C313" s="136" t="n">
        <f aca="false">IF(Calculator!$E$12="YES",IF(A313&lt;Calculator!$G$12,0,MIN(MIN(MOD(A313/Calculator!$F$12,1),1-MOD(A313/Calculator!$F$12,1)),ABS(MOD(A313/Calculator!$F$12,1)-0.5))),1)</f>
        <v>0.0830175438596492</v>
      </c>
      <c r="D313" s="136" t="n">
        <f aca="false">IF(Calculator!$E$13="YES",IF(A313&lt;Calculator!$G$13,0,MIN(MIN(MOD(A313/Calculator!$F$13,1),1-MOD(A313/Calculator!$F$13,1)),ABS(MOD(A313/Calculator!$F$13,1)-0.5))),1)</f>
        <v>0.153668771929825</v>
      </c>
      <c r="E313" s="136" t="n">
        <f aca="false">IF(Calculator!$E$14="YES",IF(A313&lt;Calculator!$G$14,0,MIN(MIN(MOD(A313/Calculator!$F$14,1),1-MOD(A313/Calculator!$F$14,1)),ABS(MOD(A313/Calculator!$F$14,1)-0.5))),1)</f>
        <v>0.203719298245614</v>
      </c>
      <c r="F313" s="136" t="n">
        <f aca="false">IF(Calculator!$E$15="YES",IF(A313&lt;Calculator!$G$15,0,MIN(MIN(MOD(A313/Calculator!$F$15,1),1-MOD(A313/Calculator!$F$15,1)),ABS(MOD(A313/Calculator!$F$15,1)-0.5))),1)</f>
        <v>0.0436842105263153</v>
      </c>
      <c r="G313" s="136" t="n">
        <f aca="false">IF(Calculator!$E$16="YES",IF(A313&lt;Calculator!$G$16,0,MIN(MIN(MOD(A313/Calculator!$F$16,1),1-MOD(A313/Calculator!$F$16,1)),ABS(MOD(A313/Calculator!$F$16,1)-0.5))),1)</f>
        <v>0.0611578947368421</v>
      </c>
      <c r="H313" s="136" t="n">
        <f aca="false">IF(Calculator!$E$17="YES",IF(A313&lt;Calculator!$G$17,0,MIN(MIN(MOD(A313/Calculator!$F$17,1),1-MOD(A313/Calculator!$F$17,1)),ABS(MOD(A313/Calculator!$F$17,1)-0.5))),1)</f>
        <v>0.0517501754385963</v>
      </c>
      <c r="I313" s="136" t="n">
        <f aca="false">IF(Calculator!$E$18="YES",IF(A313&lt;Calculator!$G$18,0,MIN(MIN(MOD(A313/Calculator!$F$18,1),1-MOD(A313/Calculator!$F$18,1)),ABS(MOD(A313/Calculator!$F$18,1)-0.5))),1)</f>
        <v>0.167684210526316</v>
      </c>
      <c r="J313" s="136" t="n">
        <f aca="false">IF(Calculator!$E$19="YES",IF(A313&lt;Calculator!$G$19,0,MIN(MIN(MOD(A313/Calculator!$F$19,1),1-MOD(A313/Calculator!$F$19,1)),ABS(MOD(A313/Calculator!$F$19,1)-0.5))),1)</f>
        <v>0.234371929824563</v>
      </c>
      <c r="K313" s="136" t="n">
        <f aca="false">IF(Calculator!$E$20="YES",IF(A313&lt;Calculator!$G$20,0,MIN(MIN(MOD(A313/Calculator!$F$20,1),1-MOD(A313/Calculator!$F$20,1)),ABS(MOD(A313/Calculator!$F$20,1)-0.5))),1)</f>
        <v>0.247929824561403</v>
      </c>
      <c r="L313" s="136" t="n">
        <f aca="false">IF(Calculator!$E$21="YES",IF(A313&lt;Calculator!$G$21,0,MIN(MIN(MOD(A313/Calculator!$F$21,1),1-MOD(A313/Calculator!$F$21,1)),ABS(MOD(A313/Calculator!$F$21,1)-0.5))),1)</f>
        <v>0.0638596491228061</v>
      </c>
      <c r="M313" s="136" t="n">
        <f aca="false">MIN(B313:L313)</f>
        <v>0</v>
      </c>
      <c r="N313" s="136" t="n">
        <f aca="false">SUMPRODUCT(($M$5:$M$555&gt;M313)*1)+SUMPRODUCT(($M$5:$M$555=M313)*(ROW($M$5:$M$555)&lt;ROW(M313)))+1</f>
        <v>534</v>
      </c>
      <c r="O313" s="136" t="str">
        <f aca="false">IF(M313&gt;=0.2,"★★★ EXCELLENT",IF(M313&gt;=0.12,"★★  GOOD",IF(M313&gt;=0.07,"★  FAIR",IF(M313&gt;=0.025,"⚠  MARGINAL","✗  AVOID"))))</f>
        <v>✗  AVOID</v>
      </c>
    </row>
    <row r="314" customFormat="false" ht="15" hidden="false" customHeight="false" outlineLevel="0" collapsed="false">
      <c r="A314" s="137" t="n">
        <v>35.9</v>
      </c>
      <c r="B314" s="138" t="n">
        <f aca="false">IF(Calculator!$E$11="YES",IF(A314&lt;Calculator!$G$11,0,MIN(MIN(MOD(A314/Calculator!$F$11,1),1-MOD(A314/Calculator!$F$11,1)),ABS(MOD(A314/Calculator!$F$11,1)-0.5))),1)</f>
        <v>0</v>
      </c>
      <c r="C314" s="138" t="n">
        <f aca="false">IF(Calculator!$E$12="YES",IF(A314&lt;Calculator!$G$12,0,MIN(MIN(MOD(A314/Calculator!$F$12,1),1-MOD(A314/Calculator!$F$12,1)),ABS(MOD(A314/Calculator!$F$12,1)-0.5))),1)</f>
        <v>0.0804561403508772</v>
      </c>
      <c r="D314" s="138" t="n">
        <f aca="false">IF(Calculator!$E$13="YES",IF(A314&lt;Calculator!$G$13,0,MIN(MIN(MOD(A314/Calculator!$F$13,1),1-MOD(A314/Calculator!$F$13,1)),ABS(MOD(A314/Calculator!$F$13,1)-0.5))),1)</f>
        <v>0.149908070175439</v>
      </c>
      <c r="E314" s="138" t="n">
        <f aca="false">IF(Calculator!$E$14="YES",IF(A314&lt;Calculator!$G$14,0,MIN(MIN(MOD(A314/Calculator!$F$14,1),1-MOD(A314/Calculator!$F$14,1)),ABS(MOD(A314/Calculator!$F$14,1)-0.5))),1)</f>
        <v>0.198701754385965</v>
      </c>
      <c r="F314" s="138" t="n">
        <f aca="false">IF(Calculator!$E$15="YES",IF(A314&lt;Calculator!$G$15,0,MIN(MIN(MOD(A314/Calculator!$F$15,1),1-MOD(A314/Calculator!$F$15,1)),ABS(MOD(A314/Calculator!$F$15,1)-0.5))),1)</f>
        <v>0.0507894736842105</v>
      </c>
      <c r="G314" s="138" t="n">
        <f aca="false">IF(Calculator!$E$16="YES",IF(A314&lt;Calculator!$G$16,0,MIN(MIN(MOD(A314/Calculator!$F$16,1),1-MOD(A314/Calculator!$F$16,1)),ABS(MOD(A314/Calculator!$F$16,1)-0.5))),1)</f>
        <v>0.0711052631578948</v>
      </c>
      <c r="H314" s="138" t="n">
        <f aca="false">IF(Calculator!$E$17="YES",IF(A314&lt;Calculator!$G$17,0,MIN(MIN(MOD(A314/Calculator!$F$17,1),1-MOD(A314/Calculator!$F$17,1)),ABS(MOD(A314/Calculator!$F$17,1)-0.5))),1)</f>
        <v>0.0644645614035095</v>
      </c>
      <c r="I314" s="138" t="n">
        <f aca="false">IF(Calculator!$E$18="YES",IF(A314&lt;Calculator!$G$18,0,MIN(MIN(MOD(A314/Calculator!$F$18,1),1-MOD(A314/Calculator!$F$18,1)),ABS(MOD(A314/Calculator!$F$18,1)-0.5))),1)</f>
        <v>0.15278947368421</v>
      </c>
      <c r="J314" s="138" t="n">
        <f aca="false">IF(Calculator!$E$19="YES",IF(A314&lt;Calculator!$G$19,0,MIN(MIN(MOD(A314/Calculator!$F$19,1),1-MOD(A314/Calculator!$F$19,1)),ABS(MOD(A314/Calculator!$F$19,1)-0.5))),1)</f>
        <v>0.216870175438598</v>
      </c>
      <c r="K314" s="138" t="n">
        <f aca="false">IF(Calculator!$E$20="YES",IF(A314&lt;Calculator!$G$20,0,MIN(MIN(MOD(A314/Calculator!$F$20,1),1-MOD(A314/Calculator!$F$20,1)),ABS(MOD(A314/Calculator!$F$20,1)-0.5))),1)</f>
        <v>0.231824561403509</v>
      </c>
      <c r="L314" s="138" t="n">
        <f aca="false">IF(Calculator!$E$21="YES",IF(A314&lt;Calculator!$G$21,0,MIN(MIN(MOD(A314/Calculator!$F$21,1),1-MOD(A314/Calculator!$F$21,1)),ABS(MOD(A314/Calculator!$F$21,1)-0.5))),1)</f>
        <v>0.100350877192982</v>
      </c>
      <c r="M314" s="138" t="n">
        <f aca="false">MIN(B314:L314)</f>
        <v>0</v>
      </c>
      <c r="N314" s="138" t="n">
        <f aca="false">SUMPRODUCT(($M$5:$M$555&gt;M314)*1)+SUMPRODUCT(($M$5:$M$555=M314)*(ROW($M$5:$M$555)&lt;ROW(M314)))+1</f>
        <v>535</v>
      </c>
      <c r="O314" s="138" t="str">
        <f aca="false">IF(M314&gt;=0.2,"★★★ EXCELLENT",IF(M314&gt;=0.12,"★★  GOOD",IF(M314&gt;=0.07,"★  FAIR",IF(M314&gt;=0.025,"⚠  MARGINAL","✗  AVOID"))))</f>
        <v>✗  AVOID</v>
      </c>
    </row>
    <row r="315" customFormat="false" ht="15" hidden="false" customHeight="false" outlineLevel="0" collapsed="false">
      <c r="A315" s="135" t="n">
        <v>36</v>
      </c>
      <c r="B315" s="136" t="n">
        <f aca="false">IF(Calculator!$E$11="YES",IF(A315&lt;Calculator!$G$11,0,MIN(MIN(MOD(A315/Calculator!$F$11,1),1-MOD(A315/Calculator!$F$11,1)),ABS(MOD(A315/Calculator!$F$11,1)-0.5))),1)</f>
        <v>0</v>
      </c>
      <c r="C315" s="136" t="n">
        <f aca="false">IF(Calculator!$E$12="YES",IF(A315&lt;Calculator!$G$12,0,MIN(MIN(MOD(A315/Calculator!$F$12,1),1-MOD(A315/Calculator!$F$12,1)),ABS(MOD(A315/Calculator!$F$12,1)-0.5))),1)</f>
        <v>0.0778947368421052</v>
      </c>
      <c r="D315" s="136" t="n">
        <f aca="false">IF(Calculator!$E$13="YES",IF(A315&lt;Calculator!$G$13,0,MIN(MIN(MOD(A315/Calculator!$F$13,1),1-MOD(A315/Calculator!$F$13,1)),ABS(MOD(A315/Calculator!$F$13,1)-0.5))),1)</f>
        <v>0.146147368421053</v>
      </c>
      <c r="E315" s="136" t="n">
        <f aca="false">IF(Calculator!$E$14="YES",IF(A315&lt;Calculator!$G$14,0,MIN(MIN(MOD(A315/Calculator!$F$14,1),1-MOD(A315/Calculator!$F$14,1)),ABS(MOD(A315/Calculator!$F$14,1)-0.5))),1)</f>
        <v>0.193684210526316</v>
      </c>
      <c r="F315" s="136" t="n">
        <f aca="false">IF(Calculator!$E$15="YES",IF(A315&lt;Calculator!$G$15,0,MIN(MIN(MOD(A315/Calculator!$F$15,1),1-MOD(A315/Calculator!$F$15,1)),ABS(MOD(A315/Calculator!$F$15,1)-0.5))),1)</f>
        <v>0.0578947368421052</v>
      </c>
      <c r="G315" s="136" t="n">
        <f aca="false">IF(Calculator!$E$16="YES",IF(A315&lt;Calculator!$G$16,0,MIN(MIN(MOD(A315/Calculator!$F$16,1),1-MOD(A315/Calculator!$F$16,1)),ABS(MOD(A315/Calculator!$F$16,1)-0.5))),1)</f>
        <v>0.0810526315789475</v>
      </c>
      <c r="H315" s="136" t="n">
        <f aca="false">IF(Calculator!$E$17="YES",IF(A315&lt;Calculator!$G$17,0,MIN(MIN(MOD(A315/Calculator!$F$17,1),1-MOD(A315/Calculator!$F$17,1)),ABS(MOD(A315/Calculator!$F$17,1)-0.5))),1)</f>
        <v>0.0771789473684219</v>
      </c>
      <c r="I315" s="136" t="n">
        <f aca="false">IF(Calculator!$E$18="YES",IF(A315&lt;Calculator!$G$18,0,MIN(MIN(MOD(A315/Calculator!$F$18,1),1-MOD(A315/Calculator!$F$18,1)),ABS(MOD(A315/Calculator!$F$18,1)-0.5))),1)</f>
        <v>0.137894736842105</v>
      </c>
      <c r="J315" s="136" t="n">
        <f aca="false">IF(Calculator!$E$19="YES",IF(A315&lt;Calculator!$G$19,0,MIN(MIN(MOD(A315/Calculator!$F$19,1),1-MOD(A315/Calculator!$F$19,1)),ABS(MOD(A315/Calculator!$F$19,1)-0.5))),1)</f>
        <v>0.199368421052633</v>
      </c>
      <c r="K315" s="136" t="n">
        <f aca="false">IF(Calculator!$E$20="YES",IF(A315&lt;Calculator!$G$20,0,MIN(MIN(MOD(A315/Calculator!$F$20,1),1-MOD(A315/Calculator!$F$20,1)),ABS(MOD(A315/Calculator!$F$20,1)-0.5))),1)</f>
        <v>0.211578947368421</v>
      </c>
      <c r="L315" s="136" t="n">
        <f aca="false">IF(Calculator!$E$21="YES",IF(A315&lt;Calculator!$G$21,0,MIN(MIN(MOD(A315/Calculator!$F$21,1),1-MOD(A315/Calculator!$F$21,1)),ABS(MOD(A315/Calculator!$F$21,1)-0.5))),1)</f>
        <v>0.136842105263158</v>
      </c>
      <c r="M315" s="136" t="n">
        <f aca="false">MIN(B315:L315)</f>
        <v>0</v>
      </c>
      <c r="N315" s="136" t="n">
        <f aca="false">SUMPRODUCT(($M$5:$M$555&gt;M315)*1)+SUMPRODUCT(($M$5:$M$555=M315)*(ROW($M$5:$M$555)&lt;ROW(M315)))+1</f>
        <v>536</v>
      </c>
      <c r="O315" s="136" t="str">
        <f aca="false">IF(M315&gt;=0.2,"★★★ EXCELLENT",IF(M315&gt;=0.12,"★★  GOOD",IF(M315&gt;=0.07,"★  FAIR",IF(M315&gt;=0.025,"⚠  MARGINAL","✗  AVOID"))))</f>
        <v>✗  AVOID</v>
      </c>
    </row>
    <row r="316" customFormat="false" ht="15" hidden="false" customHeight="false" outlineLevel="0" collapsed="false">
      <c r="A316" s="137" t="n">
        <v>36.1</v>
      </c>
      <c r="B316" s="138" t="n">
        <f aca="false">IF(Calculator!$E$11="YES",IF(A316&lt;Calculator!$G$11,0,MIN(MIN(MOD(A316/Calculator!$F$11,1),1-MOD(A316/Calculator!$F$11,1)),ABS(MOD(A316/Calculator!$F$11,1)-0.5))),1)</f>
        <v>0</v>
      </c>
      <c r="C316" s="138" t="n">
        <f aca="false">IF(Calculator!$E$12="YES",IF(A316&lt;Calculator!$G$12,0,MIN(MIN(MOD(A316/Calculator!$F$12,1),1-MOD(A316/Calculator!$F$12,1)),ABS(MOD(A316/Calculator!$F$12,1)-0.5))),1)</f>
        <v>0.0753333333333333</v>
      </c>
      <c r="D316" s="138" t="n">
        <f aca="false">IF(Calculator!$E$13="YES",IF(A316&lt;Calculator!$G$13,0,MIN(MIN(MOD(A316/Calculator!$F$13,1),1-MOD(A316/Calculator!$F$13,1)),ABS(MOD(A316/Calculator!$F$13,1)-0.5))),1)</f>
        <v>0.142386666666667</v>
      </c>
      <c r="E316" s="138" t="n">
        <f aca="false">IF(Calculator!$E$14="YES",IF(A316&lt;Calculator!$G$14,0,MIN(MIN(MOD(A316/Calculator!$F$14,1),1-MOD(A316/Calculator!$F$14,1)),ABS(MOD(A316/Calculator!$F$14,1)-0.5))),1)</f>
        <v>0.188666666666667</v>
      </c>
      <c r="F316" s="138" t="n">
        <f aca="false">IF(Calculator!$E$15="YES",IF(A316&lt;Calculator!$G$15,0,MIN(MIN(MOD(A316/Calculator!$F$15,1),1-MOD(A316/Calculator!$F$15,1)),ABS(MOD(A316/Calculator!$F$15,1)-0.5))),1)</f>
        <v>0.065</v>
      </c>
      <c r="G316" s="138" t="n">
        <f aca="false">IF(Calculator!$E$16="YES",IF(A316&lt;Calculator!$G$16,0,MIN(MIN(MOD(A316/Calculator!$F$16,1),1-MOD(A316/Calculator!$F$16,1)),ABS(MOD(A316/Calculator!$F$16,1)-0.5))),1)</f>
        <v>0.0910000000000006</v>
      </c>
      <c r="H316" s="138" t="n">
        <f aca="false">IF(Calculator!$E$17="YES",IF(A316&lt;Calculator!$G$17,0,MIN(MIN(MOD(A316/Calculator!$F$17,1),1-MOD(A316/Calculator!$F$17,1)),ABS(MOD(A316/Calculator!$F$17,1)-0.5))),1)</f>
        <v>0.0898933333333343</v>
      </c>
      <c r="I316" s="138" t="n">
        <f aca="false">IF(Calculator!$E$18="YES",IF(A316&lt;Calculator!$G$18,0,MIN(MIN(MOD(A316/Calculator!$F$18,1),1-MOD(A316/Calculator!$F$18,1)),ABS(MOD(A316/Calculator!$F$18,1)-0.5))),1)</f>
        <v>0.122999999999999</v>
      </c>
      <c r="J316" s="138" t="n">
        <f aca="false">IF(Calculator!$E$19="YES",IF(A316&lt;Calculator!$G$19,0,MIN(MIN(MOD(A316/Calculator!$F$19,1),1-MOD(A316/Calculator!$F$19,1)),ABS(MOD(A316/Calculator!$F$19,1)-0.5))),1)</f>
        <v>0.181866666666667</v>
      </c>
      <c r="K316" s="138" t="n">
        <f aca="false">IF(Calculator!$E$20="YES",IF(A316&lt;Calculator!$G$20,0,MIN(MIN(MOD(A316/Calculator!$F$20,1),1-MOD(A316/Calculator!$F$20,1)),ABS(MOD(A316/Calculator!$F$20,1)-0.5))),1)</f>
        <v>0.191333333333334</v>
      </c>
      <c r="L316" s="138" t="n">
        <f aca="false">IF(Calculator!$E$21="YES",IF(A316&lt;Calculator!$G$21,0,MIN(MIN(MOD(A316/Calculator!$F$21,1),1-MOD(A316/Calculator!$F$21,1)),ABS(MOD(A316/Calculator!$F$21,1)-0.5))),1)</f>
        <v>0.173333333333334</v>
      </c>
      <c r="M316" s="138" t="n">
        <f aca="false">MIN(B316:L316)</f>
        <v>0</v>
      </c>
      <c r="N316" s="138" t="n">
        <f aca="false">SUMPRODUCT(($M$5:$M$555&gt;M316)*1)+SUMPRODUCT(($M$5:$M$555=M316)*(ROW($M$5:$M$555)&lt;ROW(M316)))+1</f>
        <v>537</v>
      </c>
      <c r="O316" s="138" t="str">
        <f aca="false">IF(M316&gt;=0.2,"★★★ EXCELLENT",IF(M316&gt;=0.12,"★★  GOOD",IF(M316&gt;=0.07,"★  FAIR",IF(M316&gt;=0.025,"⚠  MARGINAL","✗  AVOID"))))</f>
        <v>✗  AVOID</v>
      </c>
    </row>
    <row r="317" customFormat="false" ht="15" hidden="false" customHeight="false" outlineLevel="0" collapsed="false">
      <c r="A317" s="135" t="n">
        <v>36.2</v>
      </c>
      <c r="B317" s="136" t="n">
        <f aca="false">IF(Calculator!$E$11="YES",IF(A317&lt;Calculator!$G$11,0,MIN(MIN(MOD(A317/Calculator!$F$11,1),1-MOD(A317/Calculator!$F$11,1)),ABS(MOD(A317/Calculator!$F$11,1)-0.5))),1)</f>
        <v>0</v>
      </c>
      <c r="C317" s="136" t="n">
        <f aca="false">IF(Calculator!$E$12="YES",IF(A317&lt;Calculator!$G$12,0,MIN(MIN(MOD(A317/Calculator!$F$12,1),1-MOD(A317/Calculator!$F$12,1)),ABS(MOD(A317/Calculator!$F$12,1)-0.5))),1)</f>
        <v>0.0727719298245613</v>
      </c>
      <c r="D317" s="136" t="n">
        <f aca="false">IF(Calculator!$E$13="YES",IF(A317&lt;Calculator!$G$13,0,MIN(MIN(MOD(A317/Calculator!$F$13,1),1-MOD(A317/Calculator!$F$13,1)),ABS(MOD(A317/Calculator!$F$13,1)-0.5))),1)</f>
        <v>0.138625964912281</v>
      </c>
      <c r="E317" s="136" t="n">
        <f aca="false">IF(Calculator!$E$14="YES",IF(A317&lt;Calculator!$G$14,0,MIN(MIN(MOD(A317/Calculator!$F$14,1),1-MOD(A317/Calculator!$F$14,1)),ABS(MOD(A317/Calculator!$F$14,1)-0.5))),1)</f>
        <v>0.183649122807017</v>
      </c>
      <c r="F317" s="136" t="n">
        <f aca="false">IF(Calculator!$E$15="YES",IF(A317&lt;Calculator!$G$15,0,MIN(MIN(MOD(A317/Calculator!$F$15,1),1-MOD(A317/Calculator!$F$15,1)),ABS(MOD(A317/Calculator!$F$15,1)-0.5))),1)</f>
        <v>0.0721052631578947</v>
      </c>
      <c r="G317" s="136" t="n">
        <f aca="false">IF(Calculator!$E$16="YES",IF(A317&lt;Calculator!$G$16,0,MIN(MIN(MOD(A317/Calculator!$F$16,1),1-MOD(A317/Calculator!$F$16,1)),ABS(MOD(A317/Calculator!$F$16,1)-0.5))),1)</f>
        <v>0.100947368421053</v>
      </c>
      <c r="H317" s="136" t="n">
        <f aca="false">IF(Calculator!$E$17="YES",IF(A317&lt;Calculator!$G$17,0,MIN(MIN(MOD(A317/Calculator!$F$17,1),1-MOD(A317/Calculator!$F$17,1)),ABS(MOD(A317/Calculator!$F$17,1)-0.5))),1)</f>
        <v>0.102607719298247</v>
      </c>
      <c r="I317" s="136" t="n">
        <f aca="false">IF(Calculator!$E$18="YES",IF(A317&lt;Calculator!$G$18,0,MIN(MIN(MOD(A317/Calculator!$F$18,1),1-MOD(A317/Calculator!$F$18,1)),ABS(MOD(A317/Calculator!$F$18,1)-0.5))),1)</f>
        <v>0.108105263157894</v>
      </c>
      <c r="J317" s="136" t="n">
        <f aca="false">IF(Calculator!$E$19="YES",IF(A317&lt;Calculator!$G$19,0,MIN(MIN(MOD(A317/Calculator!$F$19,1),1-MOD(A317/Calculator!$F$19,1)),ABS(MOD(A317/Calculator!$F$19,1)-0.5))),1)</f>
        <v>0.164364912280703</v>
      </c>
      <c r="K317" s="136" t="n">
        <f aca="false">IF(Calculator!$E$20="YES",IF(A317&lt;Calculator!$G$20,0,MIN(MIN(MOD(A317/Calculator!$F$20,1),1-MOD(A317/Calculator!$F$20,1)),ABS(MOD(A317/Calculator!$F$20,1)-0.5))),1)</f>
        <v>0.171087719298245</v>
      </c>
      <c r="L317" s="136" t="n">
        <f aca="false">IF(Calculator!$E$21="YES",IF(A317&lt;Calculator!$G$21,0,MIN(MIN(MOD(A317/Calculator!$F$21,1),1-MOD(A317/Calculator!$F$21,1)),ABS(MOD(A317/Calculator!$F$21,1)-0.5))),1)</f>
        <v>0.20982456140351</v>
      </c>
      <c r="M317" s="136" t="n">
        <f aca="false">MIN(B317:L317)</f>
        <v>0</v>
      </c>
      <c r="N317" s="136" t="n">
        <f aca="false">SUMPRODUCT(($M$5:$M$555&gt;M317)*1)+SUMPRODUCT(($M$5:$M$555=M317)*(ROW($M$5:$M$555)&lt;ROW(M317)))+1</f>
        <v>538</v>
      </c>
      <c r="O317" s="136" t="str">
        <f aca="false">IF(M317&gt;=0.2,"★★★ EXCELLENT",IF(M317&gt;=0.12,"★★  GOOD",IF(M317&gt;=0.07,"★  FAIR",IF(M317&gt;=0.025,"⚠  MARGINAL","✗  AVOID"))))</f>
        <v>✗  AVOID</v>
      </c>
    </row>
    <row r="318" customFormat="false" ht="15" hidden="false" customHeight="false" outlineLevel="0" collapsed="false">
      <c r="A318" s="137" t="n">
        <v>36.3</v>
      </c>
      <c r="B318" s="138" t="n">
        <f aca="false">IF(Calculator!$E$11="YES",IF(A318&lt;Calculator!$G$11,0,MIN(MIN(MOD(A318/Calculator!$F$11,1),1-MOD(A318/Calculator!$F$11,1)),ABS(MOD(A318/Calculator!$F$11,1)-0.5))),1)</f>
        <v>0</v>
      </c>
      <c r="C318" s="138" t="n">
        <f aca="false">IF(Calculator!$E$12="YES",IF(A318&lt;Calculator!$G$12,0,MIN(MIN(MOD(A318/Calculator!$F$12,1),1-MOD(A318/Calculator!$F$12,1)),ABS(MOD(A318/Calculator!$F$12,1)-0.5))),1)</f>
        <v>0.0702105263157895</v>
      </c>
      <c r="D318" s="138" t="n">
        <f aca="false">IF(Calculator!$E$13="YES",IF(A318&lt;Calculator!$G$13,0,MIN(MIN(MOD(A318/Calculator!$F$13,1),1-MOD(A318/Calculator!$F$13,1)),ABS(MOD(A318/Calculator!$F$13,1)-0.5))),1)</f>
        <v>0.134865263157895</v>
      </c>
      <c r="E318" s="138" t="n">
        <f aca="false">IF(Calculator!$E$14="YES",IF(A318&lt;Calculator!$G$14,0,MIN(MIN(MOD(A318/Calculator!$F$14,1),1-MOD(A318/Calculator!$F$14,1)),ABS(MOD(A318/Calculator!$F$14,1)-0.5))),1)</f>
        <v>0.178631578947368</v>
      </c>
      <c r="F318" s="138" t="n">
        <f aca="false">IF(Calculator!$E$15="YES",IF(A318&lt;Calculator!$G$15,0,MIN(MIN(MOD(A318/Calculator!$F$15,1),1-MOD(A318/Calculator!$F$15,1)),ABS(MOD(A318/Calculator!$F$15,1)-0.5))),1)</f>
        <v>0.0792105263157894</v>
      </c>
      <c r="G318" s="138" t="n">
        <f aca="false">IF(Calculator!$E$16="YES",IF(A318&lt;Calculator!$G$16,0,MIN(MIN(MOD(A318/Calculator!$F$16,1),1-MOD(A318/Calculator!$F$16,1)),ABS(MOD(A318/Calculator!$F$16,1)-0.5))),1)</f>
        <v>0.110894736842105</v>
      </c>
      <c r="H318" s="138" t="n">
        <f aca="false">IF(Calculator!$E$17="YES",IF(A318&lt;Calculator!$G$17,0,MIN(MIN(MOD(A318/Calculator!$F$17,1),1-MOD(A318/Calculator!$F$17,1)),ABS(MOD(A318/Calculator!$F$17,1)-0.5))),1)</f>
        <v>0.115322105263158</v>
      </c>
      <c r="I318" s="138" t="n">
        <f aca="false">IF(Calculator!$E$18="YES",IF(A318&lt;Calculator!$G$18,0,MIN(MIN(MOD(A318/Calculator!$F$18,1),1-MOD(A318/Calculator!$F$18,1)),ABS(MOD(A318/Calculator!$F$18,1)-0.5))),1)</f>
        <v>0.0932105263157901</v>
      </c>
      <c r="J318" s="138" t="n">
        <f aca="false">IF(Calculator!$E$19="YES",IF(A318&lt;Calculator!$G$19,0,MIN(MIN(MOD(A318/Calculator!$F$19,1),1-MOD(A318/Calculator!$F$19,1)),ABS(MOD(A318/Calculator!$F$19,1)-0.5))),1)</f>
        <v>0.146863157894739</v>
      </c>
      <c r="K318" s="138" t="n">
        <f aca="false">IF(Calculator!$E$20="YES",IF(A318&lt;Calculator!$G$20,0,MIN(MIN(MOD(A318/Calculator!$F$20,1),1-MOD(A318/Calculator!$F$20,1)),ABS(MOD(A318/Calculator!$F$20,1)-0.5))),1)</f>
        <v>0.150842105263159</v>
      </c>
      <c r="L318" s="138" t="n">
        <f aca="false">IF(Calculator!$E$21="YES",IF(A318&lt;Calculator!$G$21,0,MIN(MIN(MOD(A318/Calculator!$F$21,1),1-MOD(A318/Calculator!$F$21,1)),ABS(MOD(A318/Calculator!$F$21,1)-0.5))),1)</f>
        <v>0.246315789473684</v>
      </c>
      <c r="M318" s="138" t="n">
        <f aca="false">MIN(B318:L318)</f>
        <v>0</v>
      </c>
      <c r="N318" s="138" t="n">
        <f aca="false">SUMPRODUCT(($M$5:$M$555&gt;M318)*1)+SUMPRODUCT(($M$5:$M$555=M318)*(ROW($M$5:$M$555)&lt;ROW(M318)))+1</f>
        <v>539</v>
      </c>
      <c r="O318" s="138" t="str">
        <f aca="false">IF(M318&gt;=0.2,"★★★ EXCELLENT",IF(M318&gt;=0.12,"★★  GOOD",IF(M318&gt;=0.07,"★  FAIR",IF(M318&gt;=0.025,"⚠  MARGINAL","✗  AVOID"))))</f>
        <v>✗  AVOID</v>
      </c>
    </row>
    <row r="319" customFormat="false" ht="15" hidden="false" customHeight="false" outlineLevel="0" collapsed="false">
      <c r="A319" s="135" t="n">
        <v>36.4</v>
      </c>
      <c r="B319" s="136" t="n">
        <f aca="false">IF(Calculator!$E$11="YES",IF(A319&lt;Calculator!$G$11,0,MIN(MIN(MOD(A319/Calculator!$F$11,1),1-MOD(A319/Calculator!$F$11,1)),ABS(MOD(A319/Calculator!$F$11,1)-0.5))),1)</f>
        <v>0</v>
      </c>
      <c r="C319" s="136" t="n">
        <f aca="false">IF(Calculator!$E$12="YES",IF(A319&lt;Calculator!$G$12,0,MIN(MIN(MOD(A319/Calculator!$F$12,1),1-MOD(A319/Calculator!$F$12,1)),ABS(MOD(A319/Calculator!$F$12,1)-0.5))),1)</f>
        <v>0.0676491228070175</v>
      </c>
      <c r="D319" s="136" t="n">
        <f aca="false">IF(Calculator!$E$13="YES",IF(A319&lt;Calculator!$G$13,0,MIN(MIN(MOD(A319/Calculator!$F$13,1),1-MOD(A319/Calculator!$F$13,1)),ABS(MOD(A319/Calculator!$F$13,1)-0.5))),1)</f>
        <v>0.131104561403509</v>
      </c>
      <c r="E319" s="136" t="n">
        <f aca="false">IF(Calculator!$E$14="YES",IF(A319&lt;Calculator!$G$14,0,MIN(MIN(MOD(A319/Calculator!$F$14,1),1-MOD(A319/Calculator!$F$14,1)),ABS(MOD(A319/Calculator!$F$14,1)-0.5))),1)</f>
        <v>0.173614035087719</v>
      </c>
      <c r="F319" s="136" t="n">
        <f aca="false">IF(Calculator!$E$15="YES",IF(A319&lt;Calculator!$G$15,0,MIN(MIN(MOD(A319/Calculator!$F$15,1),1-MOD(A319/Calculator!$F$15,1)),ABS(MOD(A319/Calculator!$F$15,1)-0.5))),1)</f>
        <v>0.0863157894736841</v>
      </c>
      <c r="G319" s="136" t="n">
        <f aca="false">IF(Calculator!$E$16="YES",IF(A319&lt;Calculator!$G$16,0,MIN(MIN(MOD(A319/Calculator!$F$16,1),1-MOD(A319/Calculator!$F$16,1)),ABS(MOD(A319/Calculator!$F$16,1)-0.5))),1)</f>
        <v>0.120842105263158</v>
      </c>
      <c r="H319" s="136" t="n">
        <f aca="false">IF(Calculator!$E$17="YES",IF(A319&lt;Calculator!$G$17,0,MIN(MIN(MOD(A319/Calculator!$F$17,1),1-MOD(A319/Calculator!$F$17,1)),ABS(MOD(A319/Calculator!$F$17,1)-0.5))),1)</f>
        <v>0.12803649122807</v>
      </c>
      <c r="I319" s="136" t="n">
        <f aca="false">IF(Calculator!$E$18="YES",IF(A319&lt;Calculator!$G$18,0,MIN(MIN(MOD(A319/Calculator!$F$18,1),1-MOD(A319/Calculator!$F$18,1)),ABS(MOD(A319/Calculator!$F$18,1)-0.5))),1)</f>
        <v>0.0783157894736846</v>
      </c>
      <c r="J319" s="136" t="n">
        <f aca="false">IF(Calculator!$E$19="YES",IF(A319&lt;Calculator!$G$19,0,MIN(MIN(MOD(A319/Calculator!$F$19,1),1-MOD(A319/Calculator!$F$19,1)),ABS(MOD(A319/Calculator!$F$19,1)-0.5))),1)</f>
        <v>0.129361403508773</v>
      </c>
      <c r="K319" s="136" t="n">
        <f aca="false">IF(Calculator!$E$20="YES",IF(A319&lt;Calculator!$G$20,0,MIN(MIN(MOD(A319/Calculator!$F$20,1),1-MOD(A319/Calculator!$F$20,1)),ABS(MOD(A319/Calculator!$F$20,1)-0.5))),1)</f>
        <v>0.13059649122807</v>
      </c>
      <c r="L319" s="136" t="n">
        <f aca="false">IF(Calculator!$E$21="YES",IF(A319&lt;Calculator!$G$21,0,MIN(MIN(MOD(A319/Calculator!$F$21,1),1-MOD(A319/Calculator!$F$21,1)),ABS(MOD(A319/Calculator!$F$21,1)-0.5))),1)</f>
        <v>0.21719298245614</v>
      </c>
      <c r="M319" s="136" t="n">
        <f aca="false">MIN(B319:L319)</f>
        <v>0</v>
      </c>
      <c r="N319" s="136" t="n">
        <f aca="false">SUMPRODUCT(($M$5:$M$555&gt;M319)*1)+SUMPRODUCT(($M$5:$M$555=M319)*(ROW($M$5:$M$555)&lt;ROW(M319)))+1</f>
        <v>540</v>
      </c>
      <c r="O319" s="136" t="str">
        <f aca="false">IF(M319&gt;=0.2,"★★★ EXCELLENT",IF(M319&gt;=0.12,"★★  GOOD",IF(M319&gt;=0.07,"★  FAIR",IF(M319&gt;=0.025,"⚠  MARGINAL","✗  AVOID"))))</f>
        <v>✗  AVOID</v>
      </c>
    </row>
    <row r="320" customFormat="false" ht="15" hidden="false" customHeight="false" outlineLevel="0" collapsed="false">
      <c r="A320" s="137" t="n">
        <v>36.5</v>
      </c>
      <c r="B320" s="138" t="n">
        <f aca="false">IF(Calculator!$E$11="YES",IF(A320&lt;Calculator!$G$11,0,MIN(MIN(MOD(A320/Calculator!$F$11,1),1-MOD(A320/Calculator!$F$11,1)),ABS(MOD(A320/Calculator!$F$11,1)-0.5))),1)</f>
        <v>0</v>
      </c>
      <c r="C320" s="138" t="n">
        <f aca="false">IF(Calculator!$E$12="YES",IF(A320&lt;Calculator!$G$12,0,MIN(MIN(MOD(A320/Calculator!$F$12,1),1-MOD(A320/Calculator!$F$12,1)),ABS(MOD(A320/Calculator!$F$12,1)-0.5))),1)</f>
        <v>0.0650877192982456</v>
      </c>
      <c r="D320" s="138" t="n">
        <f aca="false">IF(Calculator!$E$13="YES",IF(A320&lt;Calculator!$G$13,0,MIN(MIN(MOD(A320/Calculator!$F$13,1),1-MOD(A320/Calculator!$F$13,1)),ABS(MOD(A320/Calculator!$F$13,1)-0.5))),1)</f>
        <v>0.127343859649123</v>
      </c>
      <c r="E320" s="138" t="n">
        <f aca="false">IF(Calculator!$E$14="YES",IF(A320&lt;Calculator!$G$14,0,MIN(MIN(MOD(A320/Calculator!$F$14,1),1-MOD(A320/Calculator!$F$14,1)),ABS(MOD(A320/Calculator!$F$14,1)-0.5))),1)</f>
        <v>0.16859649122807</v>
      </c>
      <c r="F320" s="138" t="n">
        <f aca="false">IF(Calculator!$E$15="YES",IF(A320&lt;Calculator!$G$15,0,MIN(MIN(MOD(A320/Calculator!$F$15,1),1-MOD(A320/Calculator!$F$15,1)),ABS(MOD(A320/Calculator!$F$15,1)-0.5))),1)</f>
        <v>0.0934210526315789</v>
      </c>
      <c r="G320" s="138" t="n">
        <f aca="false">IF(Calculator!$E$16="YES",IF(A320&lt;Calculator!$G$16,0,MIN(MIN(MOD(A320/Calculator!$F$16,1),1-MOD(A320/Calculator!$F$16,1)),ABS(MOD(A320/Calculator!$F$16,1)-0.5))),1)</f>
        <v>0.130789473684211</v>
      </c>
      <c r="H320" s="138" t="n">
        <f aca="false">IF(Calculator!$E$17="YES",IF(A320&lt;Calculator!$G$17,0,MIN(MIN(MOD(A320/Calculator!$F$17,1),1-MOD(A320/Calculator!$F$17,1)),ABS(MOD(A320/Calculator!$F$17,1)-0.5))),1)</f>
        <v>0.140750877192983</v>
      </c>
      <c r="I320" s="138" t="n">
        <f aca="false">IF(Calculator!$E$18="YES",IF(A320&lt;Calculator!$G$18,0,MIN(MIN(MOD(A320/Calculator!$F$18,1),1-MOD(A320/Calculator!$F$18,1)),ABS(MOD(A320/Calculator!$F$18,1)-0.5))),1)</f>
        <v>0.063421052631579</v>
      </c>
      <c r="J320" s="138" t="n">
        <f aca="false">IF(Calculator!$E$19="YES",IF(A320&lt;Calculator!$G$19,0,MIN(MIN(MOD(A320/Calculator!$F$19,1),1-MOD(A320/Calculator!$F$19,1)),ABS(MOD(A320/Calculator!$F$19,1)-0.5))),1)</f>
        <v>0.111859649122808</v>
      </c>
      <c r="K320" s="138" t="n">
        <f aca="false">IF(Calculator!$E$20="YES",IF(A320&lt;Calculator!$G$20,0,MIN(MIN(MOD(A320/Calculator!$F$20,1),1-MOD(A320/Calculator!$F$20,1)),ABS(MOD(A320/Calculator!$F$20,1)-0.5))),1)</f>
        <v>0.110350877192983</v>
      </c>
      <c r="L320" s="138" t="n">
        <f aca="false">IF(Calculator!$E$21="YES",IF(A320&lt;Calculator!$G$21,0,MIN(MIN(MOD(A320/Calculator!$F$21,1),1-MOD(A320/Calculator!$F$21,1)),ABS(MOD(A320/Calculator!$F$21,1)-0.5))),1)</f>
        <v>0.180701754385964</v>
      </c>
      <c r="M320" s="138" t="n">
        <f aca="false">MIN(B320:L320)</f>
        <v>0</v>
      </c>
      <c r="N320" s="138" t="n">
        <f aca="false">SUMPRODUCT(($M$5:$M$555&gt;M320)*1)+SUMPRODUCT(($M$5:$M$555=M320)*(ROW($M$5:$M$555)&lt;ROW(M320)))+1</f>
        <v>541</v>
      </c>
      <c r="O320" s="138" t="str">
        <f aca="false">IF(M320&gt;=0.2,"★★★ EXCELLENT",IF(M320&gt;=0.12,"★★  GOOD",IF(M320&gt;=0.07,"★  FAIR",IF(M320&gt;=0.025,"⚠  MARGINAL","✗  AVOID"))))</f>
        <v>✗  AVOID</v>
      </c>
    </row>
    <row r="321" customFormat="false" ht="15" hidden="false" customHeight="false" outlineLevel="0" collapsed="false">
      <c r="A321" s="135" t="n">
        <v>36.6</v>
      </c>
      <c r="B321" s="136" t="n">
        <f aca="false">IF(Calculator!$E$11="YES",IF(A321&lt;Calculator!$G$11,0,MIN(MIN(MOD(A321/Calculator!$F$11,1),1-MOD(A321/Calculator!$F$11,1)),ABS(MOD(A321/Calculator!$F$11,1)-0.5))),1)</f>
        <v>0</v>
      </c>
      <c r="C321" s="136" t="n">
        <f aca="false">IF(Calculator!$E$12="YES",IF(A321&lt;Calculator!$G$12,0,MIN(MIN(MOD(A321/Calculator!$F$12,1),1-MOD(A321/Calculator!$F$12,1)),ABS(MOD(A321/Calculator!$F$12,1)-0.5))),1)</f>
        <v>0.0625263157894737</v>
      </c>
      <c r="D321" s="136" t="n">
        <f aca="false">IF(Calculator!$E$13="YES",IF(A321&lt;Calculator!$G$13,0,MIN(MIN(MOD(A321/Calculator!$F$13,1),1-MOD(A321/Calculator!$F$13,1)),ABS(MOD(A321/Calculator!$F$13,1)-0.5))),1)</f>
        <v>0.123583157894737</v>
      </c>
      <c r="E321" s="136" t="n">
        <f aca="false">IF(Calculator!$E$14="YES",IF(A321&lt;Calculator!$G$14,0,MIN(MIN(MOD(A321/Calculator!$F$14,1),1-MOD(A321/Calculator!$F$14,1)),ABS(MOD(A321/Calculator!$F$14,1)-0.5))),1)</f>
        <v>0.163578947368421</v>
      </c>
      <c r="F321" s="136" t="n">
        <f aca="false">IF(Calculator!$E$15="YES",IF(A321&lt;Calculator!$G$15,0,MIN(MIN(MOD(A321/Calculator!$F$15,1),1-MOD(A321/Calculator!$F$15,1)),ABS(MOD(A321/Calculator!$F$15,1)-0.5))),1)</f>
        <v>0.100526315789474</v>
      </c>
      <c r="G321" s="136" t="n">
        <f aca="false">IF(Calculator!$E$16="YES",IF(A321&lt;Calculator!$G$16,0,MIN(MIN(MOD(A321/Calculator!$F$16,1),1-MOD(A321/Calculator!$F$16,1)),ABS(MOD(A321/Calculator!$F$16,1)-0.5))),1)</f>
        <v>0.140736842105264</v>
      </c>
      <c r="H321" s="136" t="n">
        <f aca="false">IF(Calculator!$E$17="YES",IF(A321&lt;Calculator!$G$17,0,MIN(MIN(MOD(A321/Calculator!$F$17,1),1-MOD(A321/Calculator!$F$17,1)),ABS(MOD(A321/Calculator!$F$17,1)-0.5))),1)</f>
        <v>0.153465263157895</v>
      </c>
      <c r="I321" s="136" t="n">
        <f aca="false">IF(Calculator!$E$18="YES",IF(A321&lt;Calculator!$G$18,0,MIN(MIN(MOD(A321/Calculator!$F$18,1),1-MOD(A321/Calculator!$F$18,1)),ABS(MOD(A321/Calculator!$F$18,1)-0.5))),1)</f>
        <v>0.0485263157894735</v>
      </c>
      <c r="J321" s="136" t="n">
        <f aca="false">IF(Calculator!$E$19="YES",IF(A321&lt;Calculator!$G$19,0,MIN(MIN(MOD(A321/Calculator!$F$19,1),1-MOD(A321/Calculator!$F$19,1)),ABS(MOD(A321/Calculator!$F$19,1)-0.5))),1)</f>
        <v>0.0943578947368433</v>
      </c>
      <c r="K321" s="136" t="n">
        <f aca="false">IF(Calculator!$E$20="YES",IF(A321&lt;Calculator!$G$20,0,MIN(MIN(MOD(A321/Calculator!$F$20,1),1-MOD(A321/Calculator!$F$20,1)),ABS(MOD(A321/Calculator!$F$20,1)-0.5))),1)</f>
        <v>0.0901052631578949</v>
      </c>
      <c r="L321" s="136" t="n">
        <f aca="false">IF(Calculator!$E$21="YES",IF(A321&lt;Calculator!$G$21,0,MIN(MIN(MOD(A321/Calculator!$F$21,1),1-MOD(A321/Calculator!$F$21,1)),ABS(MOD(A321/Calculator!$F$21,1)-0.5))),1)</f>
        <v>0.144210526315788</v>
      </c>
      <c r="M321" s="136" t="n">
        <f aca="false">MIN(B321:L321)</f>
        <v>0</v>
      </c>
      <c r="N321" s="136" t="n">
        <f aca="false">SUMPRODUCT(($M$5:$M$555&gt;M321)*1)+SUMPRODUCT(($M$5:$M$555=M321)*(ROW($M$5:$M$555)&lt;ROW(M321)))+1</f>
        <v>542</v>
      </c>
      <c r="O321" s="136" t="str">
        <f aca="false">IF(M321&gt;=0.2,"★★★ EXCELLENT",IF(M321&gt;=0.12,"★★  GOOD",IF(M321&gt;=0.07,"★  FAIR",IF(M321&gt;=0.025,"⚠  MARGINAL","✗  AVOID"))))</f>
        <v>✗  AVOID</v>
      </c>
    </row>
    <row r="322" customFormat="false" ht="15" hidden="false" customHeight="false" outlineLevel="0" collapsed="false">
      <c r="A322" s="137" t="n">
        <v>36.7</v>
      </c>
      <c r="B322" s="138" t="n">
        <f aca="false">IF(Calculator!$E$11="YES",IF(A322&lt;Calculator!$G$11,0,MIN(MIN(MOD(A322/Calculator!$F$11,1),1-MOD(A322/Calculator!$F$11,1)),ABS(MOD(A322/Calculator!$F$11,1)-0.5))),1)</f>
        <v>0</v>
      </c>
      <c r="C322" s="138" t="n">
        <f aca="false">IF(Calculator!$E$12="YES",IF(A322&lt;Calculator!$G$12,0,MIN(MIN(MOD(A322/Calculator!$F$12,1),1-MOD(A322/Calculator!$F$12,1)),ABS(MOD(A322/Calculator!$F$12,1)-0.5))),1)</f>
        <v>0.0599649122807017</v>
      </c>
      <c r="D322" s="138" t="n">
        <f aca="false">IF(Calculator!$E$13="YES",IF(A322&lt;Calculator!$G$13,0,MIN(MIN(MOD(A322/Calculator!$F$13,1),1-MOD(A322/Calculator!$F$13,1)),ABS(MOD(A322/Calculator!$F$13,1)-0.5))),1)</f>
        <v>0.119822456140351</v>
      </c>
      <c r="E322" s="138" t="n">
        <f aca="false">IF(Calculator!$E$14="YES",IF(A322&lt;Calculator!$G$14,0,MIN(MIN(MOD(A322/Calculator!$F$14,1),1-MOD(A322/Calculator!$F$14,1)),ABS(MOD(A322/Calculator!$F$14,1)-0.5))),1)</f>
        <v>0.158561403508772</v>
      </c>
      <c r="F322" s="138" t="n">
        <f aca="false">IF(Calculator!$E$15="YES",IF(A322&lt;Calculator!$G$15,0,MIN(MIN(MOD(A322/Calculator!$F$15,1),1-MOD(A322/Calculator!$F$15,1)),ABS(MOD(A322/Calculator!$F$15,1)-0.5))),1)</f>
        <v>0.107631578947369</v>
      </c>
      <c r="G322" s="138" t="n">
        <f aca="false">IF(Calculator!$E$16="YES",IF(A322&lt;Calculator!$G$16,0,MIN(MIN(MOD(A322/Calculator!$F$16,1),1-MOD(A322/Calculator!$F$16,1)),ABS(MOD(A322/Calculator!$F$16,1)-0.5))),1)</f>
        <v>0.150684210526316</v>
      </c>
      <c r="H322" s="138" t="n">
        <f aca="false">IF(Calculator!$E$17="YES",IF(A322&lt;Calculator!$G$17,0,MIN(MIN(MOD(A322/Calculator!$F$17,1),1-MOD(A322/Calculator!$F$17,1)),ABS(MOD(A322/Calculator!$F$17,1)-0.5))),1)</f>
        <v>0.166179649122808</v>
      </c>
      <c r="I322" s="138" t="n">
        <f aca="false">IF(Calculator!$E$18="YES",IF(A322&lt;Calculator!$G$18,0,MIN(MIN(MOD(A322/Calculator!$F$18,1),1-MOD(A322/Calculator!$F$18,1)),ABS(MOD(A322/Calculator!$F$18,1)-0.5))),1)</f>
        <v>0.033631578947368</v>
      </c>
      <c r="J322" s="138" t="n">
        <f aca="false">IF(Calculator!$E$19="YES",IF(A322&lt;Calculator!$G$19,0,MIN(MIN(MOD(A322/Calculator!$F$19,1),1-MOD(A322/Calculator!$F$19,1)),ABS(MOD(A322/Calculator!$F$19,1)-0.5))),1)</f>
        <v>0.0768561403508778</v>
      </c>
      <c r="K322" s="138" t="n">
        <f aca="false">IF(Calculator!$E$20="YES",IF(A322&lt;Calculator!$G$20,0,MIN(MIN(MOD(A322/Calculator!$F$20,1),1-MOD(A322/Calculator!$F$20,1)),ABS(MOD(A322/Calculator!$F$20,1)-0.5))),1)</f>
        <v>0.0698596491228063</v>
      </c>
      <c r="L322" s="138" t="n">
        <f aca="false">IF(Calculator!$E$21="YES",IF(A322&lt;Calculator!$G$21,0,MIN(MIN(MOD(A322/Calculator!$F$21,1),1-MOD(A322/Calculator!$F$21,1)),ABS(MOD(A322/Calculator!$F$21,1)-0.5))),1)</f>
        <v>0.107719298245613</v>
      </c>
      <c r="M322" s="138" t="n">
        <f aca="false">MIN(B322:L322)</f>
        <v>0</v>
      </c>
      <c r="N322" s="138" t="n">
        <f aca="false">SUMPRODUCT(($M$5:$M$555&gt;M322)*1)+SUMPRODUCT(($M$5:$M$555=M322)*(ROW($M$5:$M$555)&lt;ROW(M322)))+1</f>
        <v>543</v>
      </c>
      <c r="O322" s="138" t="str">
        <f aca="false">IF(M322&gt;=0.2,"★★★ EXCELLENT",IF(M322&gt;=0.12,"★★  GOOD",IF(M322&gt;=0.07,"★  FAIR",IF(M322&gt;=0.025,"⚠  MARGINAL","✗  AVOID"))))</f>
        <v>✗  AVOID</v>
      </c>
    </row>
    <row r="323" customFormat="false" ht="15" hidden="false" customHeight="false" outlineLevel="0" collapsed="false">
      <c r="A323" s="135" t="n">
        <v>36.8</v>
      </c>
      <c r="B323" s="136" t="n">
        <f aca="false">IF(Calculator!$E$11="YES",IF(A323&lt;Calculator!$G$11,0,MIN(MIN(MOD(A323/Calculator!$F$11,1),1-MOD(A323/Calculator!$F$11,1)),ABS(MOD(A323/Calculator!$F$11,1)-0.5))),1)</f>
        <v>0</v>
      </c>
      <c r="C323" s="136" t="n">
        <f aca="false">IF(Calculator!$E$12="YES",IF(A323&lt;Calculator!$G$12,0,MIN(MIN(MOD(A323/Calculator!$F$12,1),1-MOD(A323/Calculator!$F$12,1)),ABS(MOD(A323/Calculator!$F$12,1)-0.5))),1)</f>
        <v>0.0574035087719299</v>
      </c>
      <c r="D323" s="136" t="n">
        <f aca="false">IF(Calculator!$E$13="YES",IF(A323&lt;Calculator!$G$13,0,MIN(MIN(MOD(A323/Calculator!$F$13,1),1-MOD(A323/Calculator!$F$13,1)),ABS(MOD(A323/Calculator!$F$13,1)-0.5))),1)</f>
        <v>0.116061754385965</v>
      </c>
      <c r="E323" s="136" t="n">
        <f aca="false">IF(Calculator!$E$14="YES",IF(A323&lt;Calculator!$G$14,0,MIN(MIN(MOD(A323/Calculator!$F$14,1),1-MOD(A323/Calculator!$F$14,1)),ABS(MOD(A323/Calculator!$F$14,1)-0.5))),1)</f>
        <v>0.153543859649123</v>
      </c>
      <c r="F323" s="136" t="n">
        <f aca="false">IF(Calculator!$E$15="YES",IF(A323&lt;Calculator!$G$15,0,MIN(MIN(MOD(A323/Calculator!$F$15,1),1-MOD(A323/Calculator!$F$15,1)),ABS(MOD(A323/Calculator!$F$15,1)-0.5))),1)</f>
        <v>0.114736842105263</v>
      </c>
      <c r="G323" s="136" t="n">
        <f aca="false">IF(Calculator!$E$16="YES",IF(A323&lt;Calculator!$G$16,0,MIN(MIN(MOD(A323/Calculator!$F$16,1),1-MOD(A323/Calculator!$F$16,1)),ABS(MOD(A323/Calculator!$F$16,1)-0.5))),1)</f>
        <v>0.160631578947368</v>
      </c>
      <c r="H323" s="136" t="n">
        <f aca="false">IF(Calculator!$E$17="YES",IF(A323&lt;Calculator!$G$17,0,MIN(MIN(MOD(A323/Calculator!$F$17,1),1-MOD(A323/Calculator!$F$17,1)),ABS(MOD(A323/Calculator!$F$17,1)-0.5))),1)</f>
        <v>0.178894035087719</v>
      </c>
      <c r="I323" s="136" t="n">
        <f aca="false">IF(Calculator!$E$18="YES",IF(A323&lt;Calculator!$G$18,0,MIN(MIN(MOD(A323/Calculator!$F$18,1),1-MOD(A323/Calculator!$F$18,1)),ABS(MOD(A323/Calculator!$F$18,1)-0.5))),1)</f>
        <v>0.0187368421052634</v>
      </c>
      <c r="J323" s="136" t="n">
        <f aca="false">IF(Calculator!$E$19="YES",IF(A323&lt;Calculator!$G$19,0,MIN(MIN(MOD(A323/Calculator!$F$19,1),1-MOD(A323/Calculator!$F$19,1)),ABS(MOD(A323/Calculator!$F$19,1)-0.5))),1)</f>
        <v>0.0593543859649142</v>
      </c>
      <c r="K323" s="136" t="n">
        <f aca="false">IF(Calculator!$E$20="YES",IF(A323&lt;Calculator!$G$20,0,MIN(MIN(MOD(A323/Calculator!$F$20,1),1-MOD(A323/Calculator!$F$20,1)),ABS(MOD(A323/Calculator!$F$20,1)-0.5))),1)</f>
        <v>0.0496140350877203</v>
      </c>
      <c r="L323" s="136" t="n">
        <f aca="false">IF(Calculator!$E$21="YES",IF(A323&lt;Calculator!$G$21,0,MIN(MIN(MOD(A323/Calculator!$F$21,1),1-MOD(A323/Calculator!$F$21,1)),ABS(MOD(A323/Calculator!$F$21,1)-0.5))),1)</f>
        <v>0.0712280701754402</v>
      </c>
      <c r="M323" s="136" t="n">
        <f aca="false">MIN(B323:L323)</f>
        <v>0</v>
      </c>
      <c r="N323" s="136" t="n">
        <f aca="false">SUMPRODUCT(($M$5:$M$555&gt;M323)*1)+SUMPRODUCT(($M$5:$M$555=M323)*(ROW($M$5:$M$555)&lt;ROW(M323)))+1</f>
        <v>544</v>
      </c>
      <c r="O323" s="136" t="str">
        <f aca="false">IF(M323&gt;=0.2,"★★★ EXCELLENT",IF(M323&gt;=0.12,"★★  GOOD",IF(M323&gt;=0.07,"★  FAIR",IF(M323&gt;=0.025,"⚠  MARGINAL","✗  AVOID"))))</f>
        <v>✗  AVOID</v>
      </c>
    </row>
    <row r="324" customFormat="false" ht="15" hidden="false" customHeight="false" outlineLevel="0" collapsed="false">
      <c r="A324" s="137" t="n">
        <v>36.9</v>
      </c>
      <c r="B324" s="138" t="n">
        <f aca="false">IF(Calculator!$E$11="YES",IF(A324&lt;Calculator!$G$11,0,MIN(MIN(MOD(A324/Calculator!$F$11,1),1-MOD(A324/Calculator!$F$11,1)),ABS(MOD(A324/Calculator!$F$11,1)-0.5))),1)</f>
        <v>0</v>
      </c>
      <c r="C324" s="138" t="n">
        <f aca="false">IF(Calculator!$E$12="YES",IF(A324&lt;Calculator!$G$12,0,MIN(MIN(MOD(A324/Calculator!$F$12,1),1-MOD(A324/Calculator!$F$12,1)),ABS(MOD(A324/Calculator!$F$12,1)-0.5))),1)</f>
        <v>0.0548421052631579</v>
      </c>
      <c r="D324" s="138" t="n">
        <f aca="false">IF(Calculator!$E$13="YES",IF(A324&lt;Calculator!$G$13,0,MIN(MIN(MOD(A324/Calculator!$F$13,1),1-MOD(A324/Calculator!$F$13,1)),ABS(MOD(A324/Calculator!$F$13,1)-0.5))),1)</f>
        <v>0.112301052631579</v>
      </c>
      <c r="E324" s="138" t="n">
        <f aca="false">IF(Calculator!$E$14="YES",IF(A324&lt;Calculator!$G$14,0,MIN(MIN(MOD(A324/Calculator!$F$14,1),1-MOD(A324/Calculator!$F$14,1)),ABS(MOD(A324/Calculator!$F$14,1)-0.5))),1)</f>
        <v>0.148526315789474</v>
      </c>
      <c r="F324" s="138" t="n">
        <f aca="false">IF(Calculator!$E$15="YES",IF(A324&lt;Calculator!$G$15,0,MIN(MIN(MOD(A324/Calculator!$F$15,1),1-MOD(A324/Calculator!$F$15,1)),ABS(MOD(A324/Calculator!$F$15,1)-0.5))),1)</f>
        <v>0.121842105263158</v>
      </c>
      <c r="G324" s="138" t="n">
        <f aca="false">IF(Calculator!$E$16="YES",IF(A324&lt;Calculator!$G$16,0,MIN(MIN(MOD(A324/Calculator!$F$16,1),1-MOD(A324/Calculator!$F$16,1)),ABS(MOD(A324/Calculator!$F$16,1)-0.5))),1)</f>
        <v>0.170578947368421</v>
      </c>
      <c r="H324" s="138" t="n">
        <f aca="false">IF(Calculator!$E$17="YES",IF(A324&lt;Calculator!$G$17,0,MIN(MIN(MOD(A324/Calculator!$F$17,1),1-MOD(A324/Calculator!$F$17,1)),ABS(MOD(A324/Calculator!$F$17,1)-0.5))),1)</f>
        <v>0.191608421052632</v>
      </c>
      <c r="I324" s="138" t="n">
        <f aca="false">IF(Calculator!$E$18="YES",IF(A324&lt;Calculator!$G$18,0,MIN(MIN(MOD(A324/Calculator!$F$18,1),1-MOD(A324/Calculator!$F$18,1)),ABS(MOD(A324/Calculator!$F$18,1)-0.5))),1)</f>
        <v>0.00384210526315787</v>
      </c>
      <c r="J324" s="138" t="n">
        <f aca="false">IF(Calculator!$E$19="YES",IF(A324&lt;Calculator!$G$19,0,MIN(MIN(MOD(A324/Calculator!$F$19,1),1-MOD(A324/Calculator!$F$19,1)),ABS(MOD(A324/Calculator!$F$19,1)-0.5))),1)</f>
        <v>0.0418526315789487</v>
      </c>
      <c r="K324" s="138" t="n">
        <f aca="false">IF(Calculator!$E$20="YES",IF(A324&lt;Calculator!$G$20,0,MIN(MIN(MOD(A324/Calculator!$F$20,1),1-MOD(A324/Calculator!$F$20,1)),ABS(MOD(A324/Calculator!$F$20,1)-0.5))),1)</f>
        <v>0.0293684210526317</v>
      </c>
      <c r="L324" s="138" t="n">
        <f aca="false">IF(Calculator!$E$21="YES",IF(A324&lt;Calculator!$G$21,0,MIN(MIN(MOD(A324/Calculator!$F$21,1),1-MOD(A324/Calculator!$F$21,1)),ABS(MOD(A324/Calculator!$F$21,1)-0.5))),1)</f>
        <v>0.0347368421052643</v>
      </c>
      <c r="M324" s="138" t="n">
        <f aca="false">MIN(B324:L324)</f>
        <v>0</v>
      </c>
      <c r="N324" s="138" t="n">
        <f aca="false">SUMPRODUCT(($M$5:$M$555&gt;M324)*1)+SUMPRODUCT(($M$5:$M$555=M324)*(ROW($M$5:$M$555)&lt;ROW(M324)))+1</f>
        <v>545</v>
      </c>
      <c r="O324" s="138" t="str">
        <f aca="false">IF(M324&gt;=0.2,"★★★ EXCELLENT",IF(M324&gt;=0.12,"★★  GOOD",IF(M324&gt;=0.07,"★  FAIR",IF(M324&gt;=0.025,"⚠  MARGINAL","✗  AVOID"))))</f>
        <v>✗  AVOID</v>
      </c>
    </row>
    <row r="325" customFormat="false" ht="15" hidden="false" customHeight="false" outlineLevel="0" collapsed="false">
      <c r="A325" s="135" t="n">
        <v>37</v>
      </c>
      <c r="B325" s="136" t="n">
        <f aca="false">IF(Calculator!$E$11="YES",IF(A325&lt;Calculator!$G$11,0,MIN(MIN(MOD(A325/Calculator!$F$11,1),1-MOD(A325/Calculator!$F$11,1)),ABS(MOD(A325/Calculator!$F$11,1)-0.5))),1)</f>
        <v>0</v>
      </c>
      <c r="C325" s="136" t="n">
        <f aca="false">IF(Calculator!$E$12="YES",IF(A325&lt;Calculator!$G$12,0,MIN(MIN(MOD(A325/Calculator!$F$12,1),1-MOD(A325/Calculator!$F$12,1)),ABS(MOD(A325/Calculator!$F$12,1)-0.5))),1)</f>
        <v>0.0522807017543859</v>
      </c>
      <c r="D325" s="136" t="n">
        <f aca="false">IF(Calculator!$E$13="YES",IF(A325&lt;Calculator!$G$13,0,MIN(MIN(MOD(A325/Calculator!$F$13,1),1-MOD(A325/Calculator!$F$13,1)),ABS(MOD(A325/Calculator!$F$13,1)-0.5))),1)</f>
        <v>0.108540350877193</v>
      </c>
      <c r="E325" s="136" t="n">
        <f aca="false">IF(Calculator!$E$14="YES",IF(A325&lt;Calculator!$G$14,0,MIN(MIN(MOD(A325/Calculator!$F$14,1),1-MOD(A325/Calculator!$F$14,1)),ABS(MOD(A325/Calculator!$F$14,1)-0.5))),1)</f>
        <v>0.143508771929824</v>
      </c>
      <c r="F325" s="136" t="n">
        <f aca="false">IF(Calculator!$E$15="YES",IF(A325&lt;Calculator!$G$15,0,MIN(MIN(MOD(A325/Calculator!$F$15,1),1-MOD(A325/Calculator!$F$15,1)),ABS(MOD(A325/Calculator!$F$15,1)-0.5))),1)</f>
        <v>0.128947368421052</v>
      </c>
      <c r="G325" s="136" t="n">
        <f aca="false">IF(Calculator!$E$16="YES",IF(A325&lt;Calculator!$G$16,0,MIN(MIN(MOD(A325/Calculator!$F$16,1),1-MOD(A325/Calculator!$F$16,1)),ABS(MOD(A325/Calculator!$F$16,1)-0.5))),1)</f>
        <v>0.180526315789474</v>
      </c>
      <c r="H325" s="136" t="n">
        <f aca="false">IF(Calculator!$E$17="YES",IF(A325&lt;Calculator!$G$17,0,MIN(MIN(MOD(A325/Calculator!$F$17,1),1-MOD(A325/Calculator!$F$17,1)),ABS(MOD(A325/Calculator!$F$17,1)-0.5))),1)</f>
        <v>0.204322807017545</v>
      </c>
      <c r="I325" s="136" t="n">
        <f aca="false">IF(Calculator!$E$18="YES",IF(A325&lt;Calculator!$G$18,0,MIN(MIN(MOD(A325/Calculator!$F$18,1),1-MOD(A325/Calculator!$F$18,1)),ABS(MOD(A325/Calculator!$F$18,1)-0.5))),1)</f>
        <v>0.0110526315789476</v>
      </c>
      <c r="J325" s="136" t="n">
        <f aca="false">IF(Calculator!$E$19="YES",IF(A325&lt;Calculator!$G$19,0,MIN(MIN(MOD(A325/Calculator!$F$19,1),1-MOD(A325/Calculator!$F$19,1)),ABS(MOD(A325/Calculator!$F$19,1)-0.5))),1)</f>
        <v>0.0243508771929832</v>
      </c>
      <c r="K325" s="136" t="n">
        <f aca="false">IF(Calculator!$E$20="YES",IF(A325&lt;Calculator!$G$20,0,MIN(MIN(MOD(A325/Calculator!$F$20,1),1-MOD(A325/Calculator!$F$20,1)),ABS(MOD(A325/Calculator!$F$20,1)-0.5))),1)</f>
        <v>0.00912280701754398</v>
      </c>
      <c r="L325" s="136" t="n">
        <f aca="false">IF(Calculator!$E$21="YES",IF(A325&lt;Calculator!$G$21,0,MIN(MIN(MOD(A325/Calculator!$F$21,1),1-MOD(A325/Calculator!$F$21,1)),ABS(MOD(A325/Calculator!$F$21,1)-0.5))),1)</f>
        <v>0.00175438596491162</v>
      </c>
      <c r="M325" s="136" t="n">
        <f aca="false">MIN(B325:L325)</f>
        <v>0</v>
      </c>
      <c r="N325" s="136" t="n">
        <f aca="false">SUMPRODUCT(($M$5:$M$555&gt;M325)*1)+SUMPRODUCT(($M$5:$M$555=M325)*(ROW($M$5:$M$555)&lt;ROW(M325)))+1</f>
        <v>546</v>
      </c>
      <c r="O325" s="136" t="str">
        <f aca="false">IF(M325&gt;=0.2,"★★★ EXCELLENT",IF(M325&gt;=0.12,"★★  GOOD",IF(M325&gt;=0.07,"★  FAIR",IF(M325&gt;=0.025,"⚠  MARGINAL","✗  AVOID"))))</f>
        <v>✗  AVOID</v>
      </c>
    </row>
    <row r="326" customFormat="false" ht="15" hidden="false" customHeight="false" outlineLevel="0" collapsed="false">
      <c r="A326" s="137" t="n">
        <v>37.1</v>
      </c>
      <c r="B326" s="138" t="n">
        <f aca="false">IF(Calculator!$E$11="YES",IF(A326&lt;Calculator!$G$11,0,MIN(MIN(MOD(A326/Calculator!$F$11,1),1-MOD(A326/Calculator!$F$11,1)),ABS(MOD(A326/Calculator!$F$11,1)-0.5))),1)</f>
        <v>0</v>
      </c>
      <c r="C326" s="138" t="n">
        <f aca="false">IF(Calculator!$E$12="YES",IF(A326&lt;Calculator!$G$12,0,MIN(MIN(MOD(A326/Calculator!$F$12,1),1-MOD(A326/Calculator!$F$12,1)),ABS(MOD(A326/Calculator!$F$12,1)-0.5))),1)</f>
        <v>0.0497192982456139</v>
      </c>
      <c r="D326" s="138" t="n">
        <f aca="false">IF(Calculator!$E$13="YES",IF(A326&lt;Calculator!$G$13,0,MIN(MIN(MOD(A326/Calculator!$F$13,1),1-MOD(A326/Calculator!$F$13,1)),ABS(MOD(A326/Calculator!$F$13,1)-0.5))),1)</f>
        <v>0.104779649122807</v>
      </c>
      <c r="E326" s="138" t="n">
        <f aca="false">IF(Calculator!$E$14="YES",IF(A326&lt;Calculator!$G$14,0,MIN(MIN(MOD(A326/Calculator!$F$14,1),1-MOD(A326/Calculator!$F$14,1)),ABS(MOD(A326/Calculator!$F$14,1)-0.5))),1)</f>
        <v>0.138491228070175</v>
      </c>
      <c r="F326" s="138" t="n">
        <f aca="false">IF(Calculator!$E$15="YES",IF(A326&lt;Calculator!$G$15,0,MIN(MIN(MOD(A326/Calculator!$F$15,1),1-MOD(A326/Calculator!$F$15,1)),ABS(MOD(A326/Calculator!$F$15,1)-0.5))),1)</f>
        <v>0.136052631578947</v>
      </c>
      <c r="G326" s="138" t="n">
        <f aca="false">IF(Calculator!$E$16="YES",IF(A326&lt;Calculator!$G$16,0,MIN(MIN(MOD(A326/Calculator!$F$16,1),1-MOD(A326/Calculator!$F$16,1)),ABS(MOD(A326/Calculator!$F$16,1)-0.5))),1)</f>
        <v>0.190473684210527</v>
      </c>
      <c r="H326" s="138" t="n">
        <f aca="false">IF(Calculator!$E$17="YES",IF(A326&lt;Calculator!$G$17,0,MIN(MIN(MOD(A326/Calculator!$F$17,1),1-MOD(A326/Calculator!$F$17,1)),ABS(MOD(A326/Calculator!$F$17,1)-0.5))),1)</f>
        <v>0.217037192982457</v>
      </c>
      <c r="I326" s="138" t="n">
        <f aca="false">IF(Calculator!$E$18="YES",IF(A326&lt;Calculator!$G$18,0,MIN(MIN(MOD(A326/Calculator!$F$18,1),1-MOD(A326/Calculator!$F$18,1)),ABS(MOD(A326/Calculator!$F$18,1)-0.5))),1)</f>
        <v>0.0259473684210532</v>
      </c>
      <c r="J326" s="138" t="n">
        <f aca="false">IF(Calculator!$E$19="YES",IF(A326&lt;Calculator!$G$19,0,MIN(MIN(MOD(A326/Calculator!$F$19,1),1-MOD(A326/Calculator!$F$19,1)),ABS(MOD(A326/Calculator!$F$19,1)-0.5))),1)</f>
        <v>0.00684912280701866</v>
      </c>
      <c r="K326" s="138" t="n">
        <f aca="false">IF(Calculator!$E$20="YES",IF(A326&lt;Calculator!$G$20,0,MIN(MIN(MOD(A326/Calculator!$F$20,1),1-MOD(A326/Calculator!$F$20,1)),ABS(MOD(A326/Calculator!$F$20,1)-0.5))),1)</f>
        <v>0.0111228070175438</v>
      </c>
      <c r="L326" s="138" t="n">
        <f aca="false">IF(Calculator!$E$21="YES",IF(A326&lt;Calculator!$G$21,0,MIN(MIN(MOD(A326/Calculator!$F$21,1),1-MOD(A326/Calculator!$F$21,1)),ABS(MOD(A326/Calculator!$F$21,1)-0.5))),1)</f>
        <v>0.0382456140350875</v>
      </c>
      <c r="M326" s="138" t="n">
        <f aca="false">MIN(B326:L326)</f>
        <v>0</v>
      </c>
      <c r="N326" s="138" t="n">
        <f aca="false">SUMPRODUCT(($M$5:$M$555&gt;M326)*1)+SUMPRODUCT(($M$5:$M$555=M326)*(ROW($M$5:$M$555)&lt;ROW(M326)))+1</f>
        <v>547</v>
      </c>
      <c r="O326" s="138" t="str">
        <f aca="false">IF(M326&gt;=0.2,"★★★ EXCELLENT",IF(M326&gt;=0.12,"★★  GOOD",IF(M326&gt;=0.07,"★  FAIR",IF(M326&gt;=0.025,"⚠  MARGINAL","✗  AVOID"))))</f>
        <v>✗  AVOID</v>
      </c>
    </row>
    <row r="327" customFormat="false" ht="15" hidden="false" customHeight="false" outlineLevel="0" collapsed="false">
      <c r="A327" s="135" t="n">
        <v>37.2</v>
      </c>
      <c r="B327" s="136" t="n">
        <f aca="false">IF(Calculator!$E$11="YES",IF(A327&lt;Calculator!$G$11,0,MIN(MIN(MOD(A327/Calculator!$F$11,1),1-MOD(A327/Calculator!$F$11,1)),ABS(MOD(A327/Calculator!$F$11,1)-0.5))),1)</f>
        <v>0</v>
      </c>
      <c r="C327" s="136" t="n">
        <f aca="false">IF(Calculator!$E$12="YES",IF(A327&lt;Calculator!$G$12,0,MIN(MIN(MOD(A327/Calculator!$F$12,1),1-MOD(A327/Calculator!$F$12,1)),ABS(MOD(A327/Calculator!$F$12,1)-0.5))),1)</f>
        <v>0.047157894736842</v>
      </c>
      <c r="D327" s="136" t="n">
        <f aca="false">IF(Calculator!$E$13="YES",IF(A327&lt;Calculator!$G$13,0,MIN(MIN(MOD(A327/Calculator!$F$13,1),1-MOD(A327/Calculator!$F$13,1)),ABS(MOD(A327/Calculator!$F$13,1)-0.5))),1)</f>
        <v>0.101018947368421</v>
      </c>
      <c r="E327" s="136" t="n">
        <f aca="false">IF(Calculator!$E$14="YES",IF(A327&lt;Calculator!$G$14,0,MIN(MIN(MOD(A327/Calculator!$F$14,1),1-MOD(A327/Calculator!$F$14,1)),ABS(MOD(A327/Calculator!$F$14,1)-0.5))),1)</f>
        <v>0.133473684210526</v>
      </c>
      <c r="F327" s="136" t="n">
        <f aca="false">IF(Calculator!$E$15="YES",IF(A327&lt;Calculator!$G$15,0,MIN(MIN(MOD(A327/Calculator!$F$15,1),1-MOD(A327/Calculator!$F$15,1)),ABS(MOD(A327/Calculator!$F$15,1)-0.5))),1)</f>
        <v>0.143157894736842</v>
      </c>
      <c r="G327" s="136" t="n">
        <f aca="false">IF(Calculator!$E$16="YES",IF(A327&lt;Calculator!$G$16,0,MIN(MIN(MOD(A327/Calculator!$F$16,1),1-MOD(A327/Calculator!$F$16,1)),ABS(MOD(A327/Calculator!$F$16,1)-0.5))),1)</f>
        <v>0.20042105263158</v>
      </c>
      <c r="H327" s="136" t="n">
        <f aca="false">IF(Calculator!$E$17="YES",IF(A327&lt;Calculator!$G$17,0,MIN(MIN(MOD(A327/Calculator!$F$17,1),1-MOD(A327/Calculator!$F$17,1)),ABS(MOD(A327/Calculator!$F$17,1)-0.5))),1)</f>
        <v>0.229751578947369</v>
      </c>
      <c r="I327" s="136" t="n">
        <f aca="false">IF(Calculator!$E$18="YES",IF(A327&lt;Calculator!$G$18,0,MIN(MIN(MOD(A327/Calculator!$F$18,1),1-MOD(A327/Calculator!$F$18,1)),ABS(MOD(A327/Calculator!$F$18,1)-0.5))),1)</f>
        <v>0.0408421052631587</v>
      </c>
      <c r="J327" s="136" t="n">
        <f aca="false">IF(Calculator!$E$19="YES",IF(A327&lt;Calculator!$G$19,0,MIN(MIN(MOD(A327/Calculator!$F$19,1),1-MOD(A327/Calculator!$F$19,1)),ABS(MOD(A327/Calculator!$F$19,1)-0.5))),1)</f>
        <v>0.0106526315789468</v>
      </c>
      <c r="K327" s="136" t="n">
        <f aca="false">IF(Calculator!$E$20="YES",IF(A327&lt;Calculator!$G$20,0,MIN(MIN(MOD(A327/Calculator!$F$20,1),1-MOD(A327/Calculator!$F$20,1)),ABS(MOD(A327/Calculator!$F$20,1)-0.5))),1)</f>
        <v>0.0313684210526324</v>
      </c>
      <c r="L327" s="136" t="n">
        <f aca="false">IF(Calculator!$E$21="YES",IF(A327&lt;Calculator!$G$21,0,MIN(MIN(MOD(A327/Calculator!$F$21,1),1-MOD(A327/Calculator!$F$21,1)),ABS(MOD(A327/Calculator!$F$21,1)-0.5))),1)</f>
        <v>0.0747368421052634</v>
      </c>
      <c r="M327" s="136" t="n">
        <f aca="false">MIN(B327:L327)</f>
        <v>0</v>
      </c>
      <c r="N327" s="136" t="n">
        <f aca="false">SUMPRODUCT(($M$5:$M$555&gt;M327)*1)+SUMPRODUCT(($M$5:$M$555=M327)*(ROW($M$5:$M$555)&lt;ROW(M327)))+1</f>
        <v>548</v>
      </c>
      <c r="O327" s="136" t="str">
        <f aca="false">IF(M327&gt;=0.2,"★★★ EXCELLENT",IF(M327&gt;=0.12,"★★  GOOD",IF(M327&gt;=0.07,"★  FAIR",IF(M327&gt;=0.025,"⚠  MARGINAL","✗  AVOID"))))</f>
        <v>✗  AVOID</v>
      </c>
    </row>
    <row r="328" customFormat="false" ht="15" hidden="false" customHeight="false" outlineLevel="0" collapsed="false">
      <c r="A328" s="137" t="n">
        <v>37.3</v>
      </c>
      <c r="B328" s="138" t="n">
        <f aca="false">IF(Calculator!$E$11="YES",IF(A328&lt;Calculator!$G$11,0,MIN(MIN(MOD(A328/Calculator!$F$11,1),1-MOD(A328/Calculator!$F$11,1)),ABS(MOD(A328/Calculator!$F$11,1)-0.5))),1)</f>
        <v>0</v>
      </c>
      <c r="C328" s="138" t="n">
        <f aca="false">IF(Calculator!$E$12="YES",IF(A328&lt;Calculator!$G$12,0,MIN(MIN(MOD(A328/Calculator!$F$12,1),1-MOD(A328/Calculator!$F$12,1)),ABS(MOD(A328/Calculator!$F$12,1)-0.5))),1)</f>
        <v>0.0445964912280702</v>
      </c>
      <c r="D328" s="138" t="n">
        <f aca="false">IF(Calculator!$E$13="YES",IF(A328&lt;Calculator!$G$13,0,MIN(MIN(MOD(A328/Calculator!$F$13,1),1-MOD(A328/Calculator!$F$13,1)),ABS(MOD(A328/Calculator!$F$13,1)-0.5))),1)</f>
        <v>0.0972582456140352</v>
      </c>
      <c r="E328" s="138" t="n">
        <f aca="false">IF(Calculator!$E$14="YES",IF(A328&lt;Calculator!$G$14,0,MIN(MIN(MOD(A328/Calculator!$F$14,1),1-MOD(A328/Calculator!$F$14,1)),ABS(MOD(A328/Calculator!$F$14,1)-0.5))),1)</f>
        <v>0.128456140350877</v>
      </c>
      <c r="F328" s="138" t="n">
        <f aca="false">IF(Calculator!$E$15="YES",IF(A328&lt;Calculator!$G$15,0,MIN(MIN(MOD(A328/Calculator!$F$15,1),1-MOD(A328/Calculator!$F$15,1)),ABS(MOD(A328/Calculator!$F$15,1)-0.5))),1)</f>
        <v>0.150263157894737</v>
      </c>
      <c r="G328" s="138" t="n">
        <f aca="false">IF(Calculator!$E$16="YES",IF(A328&lt;Calculator!$G$16,0,MIN(MIN(MOD(A328/Calculator!$F$16,1),1-MOD(A328/Calculator!$F$16,1)),ABS(MOD(A328/Calculator!$F$16,1)-0.5))),1)</f>
        <v>0.210368421052632</v>
      </c>
      <c r="H328" s="138" t="n">
        <f aca="false">IF(Calculator!$E$17="YES",IF(A328&lt;Calculator!$G$17,0,MIN(MIN(MOD(A328/Calculator!$F$17,1),1-MOD(A328/Calculator!$F$17,1)),ABS(MOD(A328/Calculator!$F$17,1)-0.5))),1)</f>
        <v>0.242465964912281</v>
      </c>
      <c r="I328" s="138" t="n">
        <f aca="false">IF(Calculator!$E$18="YES",IF(A328&lt;Calculator!$G$18,0,MIN(MIN(MOD(A328/Calculator!$F$18,1),1-MOD(A328/Calculator!$F$18,1)),ABS(MOD(A328/Calculator!$F$18,1)-0.5))),1)</f>
        <v>0.0557368421052633</v>
      </c>
      <c r="J328" s="138" t="n">
        <f aca="false">IF(Calculator!$E$19="YES",IF(A328&lt;Calculator!$G$19,0,MIN(MIN(MOD(A328/Calculator!$F$19,1),1-MOD(A328/Calculator!$F$19,1)),ABS(MOD(A328/Calculator!$F$19,1)-0.5))),1)</f>
        <v>0.0281543859649105</v>
      </c>
      <c r="K328" s="138" t="n">
        <f aca="false">IF(Calculator!$E$20="YES",IF(A328&lt;Calculator!$G$20,0,MIN(MIN(MOD(A328/Calculator!$F$20,1),1-MOD(A328/Calculator!$F$20,1)),ABS(MOD(A328/Calculator!$F$20,1)-0.5))),1)</f>
        <v>0.0516140350877183</v>
      </c>
      <c r="L328" s="138" t="n">
        <f aca="false">IF(Calculator!$E$21="YES",IF(A328&lt;Calculator!$G$21,0,MIN(MIN(MOD(A328/Calculator!$F$21,1),1-MOD(A328/Calculator!$F$21,1)),ABS(MOD(A328/Calculator!$F$21,1)-0.5))),1)</f>
        <v>0.111228070175438</v>
      </c>
      <c r="M328" s="138" t="n">
        <f aca="false">MIN(B328:L328)</f>
        <v>0</v>
      </c>
      <c r="N328" s="138" t="n">
        <f aca="false">SUMPRODUCT(($M$5:$M$555&gt;M328)*1)+SUMPRODUCT(($M$5:$M$555=M328)*(ROW($M$5:$M$555)&lt;ROW(M328)))+1</f>
        <v>549</v>
      </c>
      <c r="O328" s="138" t="str">
        <f aca="false">IF(M328&gt;=0.2,"★★★ EXCELLENT",IF(M328&gt;=0.12,"★★  GOOD",IF(M328&gt;=0.07,"★  FAIR",IF(M328&gt;=0.025,"⚠  MARGINAL","✗  AVOID"))))</f>
        <v>✗  AVOID</v>
      </c>
    </row>
    <row r="329" customFormat="false" ht="15" hidden="false" customHeight="false" outlineLevel="0" collapsed="false">
      <c r="A329" s="135" t="n">
        <v>37.4</v>
      </c>
      <c r="B329" s="136" t="n">
        <f aca="false">IF(Calculator!$E$11="YES",IF(A329&lt;Calculator!$G$11,0,MIN(MIN(MOD(A329/Calculator!$F$11,1),1-MOD(A329/Calculator!$F$11,1)),ABS(MOD(A329/Calculator!$F$11,1)-0.5))),1)</f>
        <v>0</v>
      </c>
      <c r="C329" s="136" t="n">
        <f aca="false">IF(Calculator!$E$12="YES",IF(A329&lt;Calculator!$G$12,0,MIN(MIN(MOD(A329/Calculator!$F$12,1),1-MOD(A329/Calculator!$F$12,1)),ABS(MOD(A329/Calculator!$F$12,1)-0.5))),1)</f>
        <v>0.0420350877192982</v>
      </c>
      <c r="D329" s="136" t="n">
        <f aca="false">IF(Calculator!$E$13="YES",IF(A329&lt;Calculator!$G$13,0,MIN(MIN(MOD(A329/Calculator!$F$13,1),1-MOD(A329/Calculator!$F$13,1)),ABS(MOD(A329/Calculator!$F$13,1)-0.5))),1)</f>
        <v>0.0934975438596493</v>
      </c>
      <c r="E329" s="136" t="n">
        <f aca="false">IF(Calculator!$E$14="YES",IF(A329&lt;Calculator!$G$14,0,MIN(MIN(MOD(A329/Calculator!$F$14,1),1-MOD(A329/Calculator!$F$14,1)),ABS(MOD(A329/Calculator!$F$14,1)-0.5))),1)</f>
        <v>0.123438596491228</v>
      </c>
      <c r="F329" s="136" t="n">
        <f aca="false">IF(Calculator!$E$15="YES",IF(A329&lt;Calculator!$G$15,0,MIN(MIN(MOD(A329/Calculator!$F$15,1),1-MOD(A329/Calculator!$F$15,1)),ABS(MOD(A329/Calculator!$F$15,1)-0.5))),1)</f>
        <v>0.157368421052631</v>
      </c>
      <c r="G329" s="136" t="n">
        <f aca="false">IF(Calculator!$E$16="YES",IF(A329&lt;Calculator!$G$16,0,MIN(MIN(MOD(A329/Calculator!$F$16,1),1-MOD(A329/Calculator!$F$16,1)),ABS(MOD(A329/Calculator!$F$16,1)-0.5))),1)</f>
        <v>0.220315789473684</v>
      </c>
      <c r="H329" s="136" t="n">
        <f aca="false">IF(Calculator!$E$17="YES",IF(A329&lt;Calculator!$G$17,0,MIN(MIN(MOD(A329/Calculator!$F$17,1),1-MOD(A329/Calculator!$F$17,1)),ABS(MOD(A329/Calculator!$F$17,1)-0.5))),1)</f>
        <v>0.244819649122807</v>
      </c>
      <c r="I329" s="136" t="n">
        <f aca="false">IF(Calculator!$E$18="YES",IF(A329&lt;Calculator!$G$18,0,MIN(MIN(MOD(A329/Calculator!$F$18,1),1-MOD(A329/Calculator!$F$18,1)),ABS(MOD(A329/Calculator!$F$18,1)-0.5))),1)</f>
        <v>0.0706315789473688</v>
      </c>
      <c r="J329" s="136" t="n">
        <f aca="false">IF(Calculator!$E$19="YES",IF(A329&lt;Calculator!$G$19,0,MIN(MIN(MOD(A329/Calculator!$F$19,1),1-MOD(A329/Calculator!$F$19,1)),ABS(MOD(A329/Calculator!$F$19,1)-0.5))),1)</f>
        <v>0.045656140350876</v>
      </c>
      <c r="K329" s="136" t="n">
        <f aca="false">IF(Calculator!$E$20="YES",IF(A329&lt;Calculator!$G$20,0,MIN(MIN(MOD(A329/Calculator!$F$20,1),1-MOD(A329/Calculator!$F$20,1)),ABS(MOD(A329/Calculator!$F$20,1)-0.5))),1)</f>
        <v>0.071859649122807</v>
      </c>
      <c r="L329" s="136" t="n">
        <f aca="false">IF(Calculator!$E$21="YES",IF(A329&lt;Calculator!$G$21,0,MIN(MIN(MOD(A329/Calculator!$F$21,1),1-MOD(A329/Calculator!$F$21,1)),ABS(MOD(A329/Calculator!$F$21,1)-0.5))),1)</f>
        <v>0.147719298245613</v>
      </c>
      <c r="M329" s="136" t="n">
        <f aca="false">MIN(B329:L329)</f>
        <v>0</v>
      </c>
      <c r="N329" s="136" t="n">
        <f aca="false">SUMPRODUCT(($M$5:$M$555&gt;M329)*1)+SUMPRODUCT(($M$5:$M$555=M329)*(ROW($M$5:$M$555)&lt;ROW(M329)))+1</f>
        <v>550</v>
      </c>
      <c r="O329" s="136" t="str">
        <f aca="false">IF(M329&gt;=0.2,"★★★ EXCELLENT",IF(M329&gt;=0.12,"★★  GOOD",IF(M329&gt;=0.07,"★  FAIR",IF(M329&gt;=0.025,"⚠  MARGINAL","✗  AVOID"))))</f>
        <v>✗  AVOID</v>
      </c>
    </row>
    <row r="330" customFormat="false" ht="15" hidden="false" customHeight="false" outlineLevel="0" collapsed="false">
      <c r="A330" s="137" t="n">
        <v>37.5</v>
      </c>
      <c r="B330" s="138" t="n">
        <f aca="false">IF(Calculator!$E$11="YES",IF(A330&lt;Calculator!$G$11,0,MIN(MIN(MOD(A330/Calculator!$F$11,1),1-MOD(A330/Calculator!$F$11,1)),ABS(MOD(A330/Calculator!$F$11,1)-0.5))),1)</f>
        <v>0</v>
      </c>
      <c r="C330" s="138" t="n">
        <f aca="false">IF(Calculator!$E$12="YES",IF(A330&lt;Calculator!$G$12,0,MIN(MIN(MOD(A330/Calculator!$F$12,1),1-MOD(A330/Calculator!$F$12,1)),ABS(MOD(A330/Calculator!$F$12,1)-0.5))),1)</f>
        <v>0.0394736842105263</v>
      </c>
      <c r="D330" s="138" t="n">
        <f aca="false">IF(Calculator!$E$13="YES",IF(A330&lt;Calculator!$G$13,0,MIN(MIN(MOD(A330/Calculator!$F$13,1),1-MOD(A330/Calculator!$F$13,1)),ABS(MOD(A330/Calculator!$F$13,1)-0.5))),1)</f>
        <v>0.0897368421052631</v>
      </c>
      <c r="E330" s="138" t="n">
        <f aca="false">IF(Calculator!$E$14="YES",IF(A330&lt;Calculator!$G$14,0,MIN(MIN(MOD(A330/Calculator!$F$14,1),1-MOD(A330/Calculator!$F$14,1)),ABS(MOD(A330/Calculator!$F$14,1)-0.5))),1)</f>
        <v>0.118421052631579</v>
      </c>
      <c r="F330" s="138" t="n">
        <f aca="false">IF(Calculator!$E$15="YES",IF(A330&lt;Calculator!$G$15,0,MIN(MIN(MOD(A330/Calculator!$F$15,1),1-MOD(A330/Calculator!$F$15,1)),ABS(MOD(A330/Calculator!$F$15,1)-0.5))),1)</f>
        <v>0.164473684210526</v>
      </c>
      <c r="G330" s="138" t="n">
        <f aca="false">IF(Calculator!$E$16="YES",IF(A330&lt;Calculator!$G$16,0,MIN(MIN(MOD(A330/Calculator!$F$16,1),1-MOD(A330/Calculator!$F$16,1)),ABS(MOD(A330/Calculator!$F$16,1)-0.5))),1)</f>
        <v>0.230263157894737</v>
      </c>
      <c r="H330" s="138" t="n">
        <f aca="false">IF(Calculator!$E$17="YES",IF(A330&lt;Calculator!$G$17,0,MIN(MIN(MOD(A330/Calculator!$F$17,1),1-MOD(A330/Calculator!$F$17,1)),ABS(MOD(A330/Calculator!$F$17,1)-0.5))),1)</f>
        <v>0.232105263157894</v>
      </c>
      <c r="I330" s="138" t="n">
        <f aca="false">IF(Calculator!$E$18="YES",IF(A330&lt;Calculator!$G$18,0,MIN(MIN(MOD(A330/Calculator!$F$18,1),1-MOD(A330/Calculator!$F$18,1)),ABS(MOD(A330/Calculator!$F$18,1)-0.5))),1)</f>
        <v>0.0855263157894743</v>
      </c>
      <c r="J330" s="138" t="n">
        <f aca="false">IF(Calculator!$E$19="YES",IF(A330&lt;Calculator!$G$19,0,MIN(MIN(MOD(A330/Calculator!$F$19,1),1-MOD(A330/Calculator!$F$19,1)),ABS(MOD(A330/Calculator!$F$19,1)-0.5))),1)</f>
        <v>0.0631578947368414</v>
      </c>
      <c r="K330" s="138" t="n">
        <f aca="false">IF(Calculator!$E$20="YES",IF(A330&lt;Calculator!$G$20,0,MIN(MIN(MOD(A330/Calculator!$F$20,1),1-MOD(A330/Calculator!$F$20,1)),ABS(MOD(A330/Calculator!$F$20,1)-0.5))),1)</f>
        <v>0.0921052631578947</v>
      </c>
      <c r="L330" s="138" t="n">
        <f aca="false">IF(Calculator!$E$21="YES",IF(A330&lt;Calculator!$G$21,0,MIN(MIN(MOD(A330/Calculator!$F$21,1),1-MOD(A330/Calculator!$F$21,1)),ABS(MOD(A330/Calculator!$F$21,1)-0.5))),1)</f>
        <v>0.184210526315789</v>
      </c>
      <c r="M330" s="138" t="n">
        <f aca="false">MIN(B330:L330)</f>
        <v>0</v>
      </c>
      <c r="N330" s="138" t="n">
        <f aca="false">SUMPRODUCT(($M$5:$M$555&gt;M330)*1)+SUMPRODUCT(($M$5:$M$555=M330)*(ROW($M$5:$M$555)&lt;ROW(M330)))+1</f>
        <v>551</v>
      </c>
      <c r="O330" s="138" t="str">
        <f aca="false">IF(M330&gt;=0.2,"★★★ EXCELLENT",IF(M330&gt;=0.12,"★★  GOOD",IF(M330&gt;=0.07,"★  FAIR",IF(M330&gt;=0.025,"⚠  MARGINAL","✗  AVOID"))))</f>
        <v>✗  AVOID</v>
      </c>
    </row>
    <row r="331" customFormat="false" ht="15" hidden="false" customHeight="false" outlineLevel="0" collapsed="false">
      <c r="A331" s="135" t="n">
        <v>37.6</v>
      </c>
      <c r="B331" s="136" t="n">
        <f aca="false">IF(Calculator!$E$11="YES",IF(A331&lt;Calculator!$G$11,0,MIN(MIN(MOD(A331/Calculator!$F$11,1),1-MOD(A331/Calculator!$F$11,1)),ABS(MOD(A331/Calculator!$F$11,1)-0.5))),1)</f>
        <v>0.0013333333333333</v>
      </c>
      <c r="C331" s="136" t="n">
        <f aca="false">IF(Calculator!$E$12="YES",IF(A331&lt;Calculator!$G$12,0,MIN(MIN(MOD(A331/Calculator!$F$12,1),1-MOD(A331/Calculator!$F$12,1)),ABS(MOD(A331/Calculator!$F$12,1)-0.5))),1)</f>
        <v>0.0369122807017543</v>
      </c>
      <c r="D331" s="136" t="n">
        <f aca="false">IF(Calculator!$E$13="YES",IF(A331&lt;Calculator!$G$13,0,MIN(MIN(MOD(A331/Calculator!$F$13,1),1-MOD(A331/Calculator!$F$13,1)),ABS(MOD(A331/Calculator!$F$13,1)-0.5))),1)</f>
        <v>0.0859761403508772</v>
      </c>
      <c r="E331" s="136" t="n">
        <f aca="false">IF(Calculator!$E$14="YES",IF(A331&lt;Calculator!$G$14,0,MIN(MIN(MOD(A331/Calculator!$F$14,1),1-MOD(A331/Calculator!$F$14,1)),ABS(MOD(A331/Calculator!$F$14,1)-0.5))),1)</f>
        <v>0.11340350877193</v>
      </c>
      <c r="F331" s="136" t="n">
        <f aca="false">IF(Calculator!$E$15="YES",IF(A331&lt;Calculator!$G$15,0,MIN(MIN(MOD(A331/Calculator!$F$15,1),1-MOD(A331/Calculator!$F$15,1)),ABS(MOD(A331/Calculator!$F$15,1)-0.5))),1)</f>
        <v>0.171578947368421</v>
      </c>
      <c r="G331" s="136" t="n">
        <f aca="false">IF(Calculator!$E$16="YES",IF(A331&lt;Calculator!$G$16,0,MIN(MIN(MOD(A331/Calculator!$F$16,1),1-MOD(A331/Calculator!$F$16,1)),ABS(MOD(A331/Calculator!$F$16,1)-0.5))),1)</f>
        <v>0.24021052631579</v>
      </c>
      <c r="H331" s="136" t="n">
        <f aca="false">IF(Calculator!$E$17="YES",IF(A331&lt;Calculator!$G$17,0,MIN(MIN(MOD(A331/Calculator!$F$17,1),1-MOD(A331/Calculator!$F$17,1)),ABS(MOD(A331/Calculator!$F$17,1)-0.5))),1)</f>
        <v>0.219390877192982</v>
      </c>
      <c r="I331" s="136" t="n">
        <f aca="false">IF(Calculator!$E$18="YES",IF(A331&lt;Calculator!$G$18,0,MIN(MIN(MOD(A331/Calculator!$F$18,1),1-MOD(A331/Calculator!$F$18,1)),ABS(MOD(A331/Calculator!$F$18,1)-0.5))),1)</f>
        <v>0.100421052631579</v>
      </c>
      <c r="J331" s="136" t="n">
        <f aca="false">IF(Calculator!$E$19="YES",IF(A331&lt;Calculator!$G$19,0,MIN(MIN(MOD(A331/Calculator!$F$19,1),1-MOD(A331/Calculator!$F$19,1)),ABS(MOD(A331/Calculator!$F$19,1)-0.5))),1)</f>
        <v>0.080659649122806</v>
      </c>
      <c r="K331" s="136" t="n">
        <f aca="false">IF(Calculator!$E$20="YES",IF(A331&lt;Calculator!$G$20,0,MIN(MIN(MOD(A331/Calculator!$F$20,1),1-MOD(A331/Calculator!$F$20,1)),ABS(MOD(A331/Calculator!$F$20,1)-0.5))),1)</f>
        <v>0.112350877192982</v>
      </c>
      <c r="L331" s="136" t="n">
        <f aca="false">IF(Calculator!$E$21="YES",IF(A331&lt;Calculator!$G$21,0,MIN(MIN(MOD(A331/Calculator!$F$21,1),1-MOD(A331/Calculator!$F$21,1)),ABS(MOD(A331/Calculator!$F$21,1)-0.5))),1)</f>
        <v>0.220701754385965</v>
      </c>
      <c r="M331" s="136" t="n">
        <f aca="false">MIN(B331:L331)</f>
        <v>0.0013333333333333</v>
      </c>
      <c r="N331" s="136" t="n">
        <f aca="false">SUMPRODUCT(($M$5:$M$555&gt;M331)*1)+SUMPRODUCT(($M$5:$M$555=M331)*(ROW($M$5:$M$555)&lt;ROW(M331)))+1</f>
        <v>209</v>
      </c>
      <c r="O331" s="136" t="str">
        <f aca="false">IF(M331&gt;=0.2,"★★★ EXCELLENT",IF(M331&gt;=0.12,"★★  GOOD",IF(M331&gt;=0.07,"★  FAIR",IF(M331&gt;=0.025,"⚠  MARGINAL","✗  AVOID"))))</f>
        <v>✗  AVOID</v>
      </c>
    </row>
    <row r="332" customFormat="false" ht="15" hidden="false" customHeight="false" outlineLevel="0" collapsed="false">
      <c r="A332" s="137" t="n">
        <v>37.7</v>
      </c>
      <c r="B332" s="138" t="n">
        <f aca="false">IF(Calculator!$E$11="YES",IF(A332&lt;Calculator!$G$11,0,MIN(MIN(MOD(A332/Calculator!$F$11,1),1-MOD(A332/Calculator!$F$11,1)),ABS(MOD(A332/Calculator!$F$11,1)-0.5))),1)</f>
        <v>0.00266666666666671</v>
      </c>
      <c r="C332" s="138" t="n">
        <f aca="false">IF(Calculator!$E$12="YES",IF(A332&lt;Calculator!$G$12,0,MIN(MIN(MOD(A332/Calculator!$F$12,1),1-MOD(A332/Calculator!$F$12,1)),ABS(MOD(A332/Calculator!$F$12,1)-0.5))),1)</f>
        <v>0.0343508771929824</v>
      </c>
      <c r="D332" s="138" t="n">
        <f aca="false">IF(Calculator!$E$13="YES",IF(A332&lt;Calculator!$G$13,0,MIN(MIN(MOD(A332/Calculator!$F$13,1),1-MOD(A332/Calculator!$F$13,1)),ABS(MOD(A332/Calculator!$F$13,1)-0.5))),1)</f>
        <v>0.0822154385964913</v>
      </c>
      <c r="E332" s="138" t="n">
        <f aca="false">IF(Calculator!$E$14="YES",IF(A332&lt;Calculator!$G$14,0,MIN(MIN(MOD(A332/Calculator!$F$14,1),1-MOD(A332/Calculator!$F$14,1)),ABS(MOD(A332/Calculator!$F$14,1)-0.5))),1)</f>
        <v>0.10838596491228</v>
      </c>
      <c r="F332" s="138" t="n">
        <f aca="false">IF(Calculator!$E$15="YES",IF(A332&lt;Calculator!$G$15,0,MIN(MIN(MOD(A332/Calculator!$F$15,1),1-MOD(A332/Calculator!$F$15,1)),ABS(MOD(A332/Calculator!$F$15,1)-0.5))),1)</f>
        <v>0.178684210526316</v>
      </c>
      <c r="G332" s="138" t="n">
        <f aca="false">IF(Calculator!$E$16="YES",IF(A332&lt;Calculator!$G$16,0,MIN(MIN(MOD(A332/Calculator!$F$16,1),1-MOD(A332/Calculator!$F$16,1)),ABS(MOD(A332/Calculator!$F$16,1)-0.5))),1)</f>
        <v>0.249842105263157</v>
      </c>
      <c r="H332" s="138" t="n">
        <f aca="false">IF(Calculator!$E$17="YES",IF(A332&lt;Calculator!$G$17,0,MIN(MIN(MOD(A332/Calculator!$F$17,1),1-MOD(A332/Calculator!$F$17,1)),ABS(MOD(A332/Calculator!$F$17,1)-0.5))),1)</f>
        <v>0.20667649122807</v>
      </c>
      <c r="I332" s="138" t="n">
        <f aca="false">IF(Calculator!$E$18="YES",IF(A332&lt;Calculator!$G$18,0,MIN(MIN(MOD(A332/Calculator!$F$18,1),1-MOD(A332/Calculator!$F$18,1)),ABS(MOD(A332/Calculator!$F$18,1)-0.5))),1)</f>
        <v>0.115315789473684</v>
      </c>
      <c r="J332" s="138" t="n">
        <f aca="false">IF(Calculator!$E$19="YES",IF(A332&lt;Calculator!$G$19,0,MIN(MIN(MOD(A332/Calculator!$F$19,1),1-MOD(A332/Calculator!$F$19,1)),ABS(MOD(A332/Calculator!$F$19,1)-0.5))),1)</f>
        <v>0.0981614035087715</v>
      </c>
      <c r="K332" s="138" t="n">
        <f aca="false">IF(Calculator!$E$20="YES",IF(A332&lt;Calculator!$G$20,0,MIN(MIN(MOD(A332/Calculator!$F$20,1),1-MOD(A332/Calculator!$F$20,1)),ABS(MOD(A332/Calculator!$F$20,1)-0.5))),1)</f>
        <v>0.132596491228071</v>
      </c>
      <c r="L332" s="138" t="n">
        <f aca="false">IF(Calculator!$E$21="YES",IF(A332&lt;Calculator!$G$21,0,MIN(MIN(MOD(A332/Calculator!$F$21,1),1-MOD(A332/Calculator!$F$21,1)),ABS(MOD(A332/Calculator!$F$21,1)-0.5))),1)</f>
        <v>0.242807017543859</v>
      </c>
      <c r="M332" s="138" t="n">
        <f aca="false">MIN(B332:L332)</f>
        <v>0.00266666666666671</v>
      </c>
      <c r="N332" s="138" t="n">
        <f aca="false">SUMPRODUCT(($M$5:$M$555&gt;M332)*1)+SUMPRODUCT(($M$5:$M$555=M332)*(ROW($M$5:$M$555)&lt;ROW(M332)))+1</f>
        <v>200</v>
      </c>
      <c r="O332" s="138" t="str">
        <f aca="false">IF(M332&gt;=0.2,"★★★ EXCELLENT",IF(M332&gt;=0.12,"★★  GOOD",IF(M332&gt;=0.07,"★  FAIR",IF(M332&gt;=0.025,"⚠  MARGINAL","✗  AVOID"))))</f>
        <v>✗  AVOID</v>
      </c>
    </row>
    <row r="333" customFormat="false" ht="15" hidden="false" customHeight="false" outlineLevel="0" collapsed="false">
      <c r="A333" s="135" t="n">
        <v>37.8</v>
      </c>
      <c r="B333" s="136" t="n">
        <f aca="false">IF(Calculator!$E$11="YES",IF(A333&lt;Calculator!$G$11,0,MIN(MIN(MOD(A333/Calculator!$F$11,1),1-MOD(A333/Calculator!$F$11,1)),ABS(MOD(A333/Calculator!$F$11,1)-0.5))),1)</f>
        <v>0.004</v>
      </c>
      <c r="C333" s="136" t="n">
        <f aca="false">IF(Calculator!$E$12="YES",IF(A333&lt;Calculator!$G$12,0,MIN(MIN(MOD(A333/Calculator!$F$12,1),1-MOD(A333/Calculator!$F$12,1)),ABS(MOD(A333/Calculator!$F$12,1)-0.5))),1)</f>
        <v>0.0317894736842106</v>
      </c>
      <c r="D333" s="136" t="n">
        <f aca="false">IF(Calculator!$E$13="YES",IF(A333&lt;Calculator!$G$13,0,MIN(MIN(MOD(A333/Calculator!$F$13,1),1-MOD(A333/Calculator!$F$13,1)),ABS(MOD(A333/Calculator!$F$13,1)-0.5))),1)</f>
        <v>0.0784547368421054</v>
      </c>
      <c r="E333" s="136" t="n">
        <f aca="false">IF(Calculator!$E$14="YES",IF(A333&lt;Calculator!$G$14,0,MIN(MIN(MOD(A333/Calculator!$F$14,1),1-MOD(A333/Calculator!$F$14,1)),ABS(MOD(A333/Calculator!$F$14,1)-0.5))),1)</f>
        <v>0.103368421052632</v>
      </c>
      <c r="F333" s="136" t="n">
        <f aca="false">IF(Calculator!$E$15="YES",IF(A333&lt;Calculator!$G$15,0,MIN(MIN(MOD(A333/Calculator!$F$15,1),1-MOD(A333/Calculator!$F$15,1)),ABS(MOD(A333/Calculator!$F$15,1)-0.5))),1)</f>
        <v>0.18578947368421</v>
      </c>
      <c r="G333" s="136" t="n">
        <f aca="false">IF(Calculator!$E$16="YES",IF(A333&lt;Calculator!$G$16,0,MIN(MIN(MOD(A333/Calculator!$F$16,1),1-MOD(A333/Calculator!$F$16,1)),ABS(MOD(A333/Calculator!$F$16,1)-0.5))),1)</f>
        <v>0.239894736842105</v>
      </c>
      <c r="H333" s="136" t="n">
        <f aca="false">IF(Calculator!$E$17="YES",IF(A333&lt;Calculator!$G$17,0,MIN(MIN(MOD(A333/Calculator!$F$17,1),1-MOD(A333/Calculator!$F$17,1)),ABS(MOD(A333/Calculator!$F$17,1)-0.5))),1)</f>
        <v>0.193962105263158</v>
      </c>
      <c r="I333" s="136" t="n">
        <f aca="false">IF(Calculator!$E$18="YES",IF(A333&lt;Calculator!$G$18,0,MIN(MIN(MOD(A333/Calculator!$F$18,1),1-MOD(A333/Calculator!$F$18,1)),ABS(MOD(A333/Calculator!$F$18,1)-0.5))),1)</f>
        <v>0.130210526315789</v>
      </c>
      <c r="J333" s="136" t="n">
        <f aca="false">IF(Calculator!$E$19="YES",IF(A333&lt;Calculator!$G$19,0,MIN(MIN(MOD(A333/Calculator!$F$19,1),1-MOD(A333/Calculator!$F$19,1)),ABS(MOD(A333/Calculator!$F$19,1)-0.5))),1)</f>
        <v>0.115663157894735</v>
      </c>
      <c r="K333" s="136" t="n">
        <f aca="false">IF(Calculator!$E$20="YES",IF(A333&lt;Calculator!$G$20,0,MIN(MIN(MOD(A333/Calculator!$F$20,1),1-MOD(A333/Calculator!$F$20,1)),ABS(MOD(A333/Calculator!$F$20,1)-0.5))),1)</f>
        <v>0.152842105263157</v>
      </c>
      <c r="L333" s="136" t="n">
        <f aca="false">IF(Calculator!$E$21="YES",IF(A333&lt;Calculator!$G$21,0,MIN(MIN(MOD(A333/Calculator!$F$21,1),1-MOD(A333/Calculator!$F$21,1)),ABS(MOD(A333/Calculator!$F$21,1)-0.5))),1)</f>
        <v>0.206315789473685</v>
      </c>
      <c r="M333" s="136" t="n">
        <f aca="false">MIN(B333:L333)</f>
        <v>0.004</v>
      </c>
      <c r="N333" s="136" t="n">
        <f aca="false">SUMPRODUCT(($M$5:$M$555&gt;M333)*1)+SUMPRODUCT(($M$5:$M$555=M333)*(ROW($M$5:$M$555)&lt;ROW(M333)))+1</f>
        <v>185</v>
      </c>
      <c r="O333" s="136" t="str">
        <f aca="false">IF(M333&gt;=0.2,"★★★ EXCELLENT",IF(M333&gt;=0.12,"★★  GOOD",IF(M333&gt;=0.07,"★  FAIR",IF(M333&gt;=0.025,"⚠  MARGINAL","✗  AVOID"))))</f>
        <v>✗  AVOID</v>
      </c>
    </row>
    <row r="334" customFormat="false" ht="15" hidden="false" customHeight="false" outlineLevel="0" collapsed="false">
      <c r="A334" s="137" t="n">
        <v>37.9</v>
      </c>
      <c r="B334" s="138" t="n">
        <f aca="false">IF(Calculator!$E$11="YES",IF(A334&lt;Calculator!$G$11,0,MIN(MIN(MOD(A334/Calculator!$F$11,1),1-MOD(A334/Calculator!$F$11,1)),ABS(MOD(A334/Calculator!$F$11,1)-0.5))),1)</f>
        <v>0.0053333333333333</v>
      </c>
      <c r="C334" s="138" t="n">
        <f aca="false">IF(Calculator!$E$12="YES",IF(A334&lt;Calculator!$G$12,0,MIN(MIN(MOD(A334/Calculator!$F$12,1),1-MOD(A334/Calculator!$F$12,1)),ABS(MOD(A334/Calculator!$F$12,1)-0.5))),1)</f>
        <v>0.0292280701754386</v>
      </c>
      <c r="D334" s="138" t="n">
        <f aca="false">IF(Calculator!$E$13="YES",IF(A334&lt;Calculator!$G$13,0,MIN(MIN(MOD(A334/Calculator!$F$13,1),1-MOD(A334/Calculator!$F$13,1)),ABS(MOD(A334/Calculator!$F$13,1)-0.5))),1)</f>
        <v>0.0746940350877194</v>
      </c>
      <c r="E334" s="138" t="n">
        <f aca="false">IF(Calculator!$E$14="YES",IF(A334&lt;Calculator!$G$14,0,MIN(MIN(MOD(A334/Calculator!$F$14,1),1-MOD(A334/Calculator!$F$14,1)),ABS(MOD(A334/Calculator!$F$14,1)-0.5))),1)</f>
        <v>0.0983508771929824</v>
      </c>
      <c r="F334" s="138" t="n">
        <f aca="false">IF(Calculator!$E$15="YES",IF(A334&lt;Calculator!$G$15,0,MIN(MIN(MOD(A334/Calculator!$F$15,1),1-MOD(A334/Calculator!$F$15,1)),ABS(MOD(A334/Calculator!$F$15,1)-0.5))),1)</f>
        <v>0.192894736842105</v>
      </c>
      <c r="G334" s="138" t="n">
        <f aca="false">IF(Calculator!$E$16="YES",IF(A334&lt;Calculator!$G$16,0,MIN(MIN(MOD(A334/Calculator!$F$16,1),1-MOD(A334/Calculator!$F$16,1)),ABS(MOD(A334/Calculator!$F$16,1)-0.5))),1)</f>
        <v>0.229947368421052</v>
      </c>
      <c r="H334" s="138" t="n">
        <f aca="false">IF(Calculator!$E$17="YES",IF(A334&lt;Calculator!$G$17,0,MIN(MIN(MOD(A334/Calculator!$F$17,1),1-MOD(A334/Calculator!$F$17,1)),ABS(MOD(A334/Calculator!$F$17,1)-0.5))),1)</f>
        <v>0.181247719298245</v>
      </c>
      <c r="I334" s="138" t="n">
        <f aca="false">IF(Calculator!$E$18="YES",IF(A334&lt;Calculator!$G$18,0,MIN(MIN(MOD(A334/Calculator!$F$18,1),1-MOD(A334/Calculator!$F$18,1)),ABS(MOD(A334/Calculator!$F$18,1)-0.5))),1)</f>
        <v>0.145105263157895</v>
      </c>
      <c r="J334" s="138" t="n">
        <f aca="false">IF(Calculator!$E$19="YES",IF(A334&lt;Calculator!$G$19,0,MIN(MIN(MOD(A334/Calculator!$F$19,1),1-MOD(A334/Calculator!$F$19,1)),ABS(MOD(A334/Calculator!$F$19,1)-0.5))),1)</f>
        <v>0.133164912280701</v>
      </c>
      <c r="K334" s="138" t="n">
        <f aca="false">IF(Calculator!$E$20="YES",IF(A334&lt;Calculator!$G$20,0,MIN(MIN(MOD(A334/Calculator!$F$20,1),1-MOD(A334/Calculator!$F$20,1)),ABS(MOD(A334/Calculator!$F$20,1)-0.5))),1)</f>
        <v>0.173087719298246</v>
      </c>
      <c r="L334" s="138" t="n">
        <f aca="false">IF(Calculator!$E$21="YES",IF(A334&lt;Calculator!$G$21,0,MIN(MIN(MOD(A334/Calculator!$F$21,1),1-MOD(A334/Calculator!$F$21,1)),ABS(MOD(A334/Calculator!$F$21,1)-0.5))),1)</f>
        <v>0.169824561403509</v>
      </c>
      <c r="M334" s="138" t="n">
        <f aca="false">MIN(B334:L334)</f>
        <v>0.0053333333333333</v>
      </c>
      <c r="N334" s="138" t="n">
        <f aca="false">SUMPRODUCT(($M$5:$M$555&gt;M334)*1)+SUMPRODUCT(($M$5:$M$555=M334)*(ROW($M$5:$M$555)&lt;ROW(M334)))+1</f>
        <v>174</v>
      </c>
      <c r="O334" s="138" t="str">
        <f aca="false">IF(M334&gt;=0.2,"★★★ EXCELLENT",IF(M334&gt;=0.12,"★★  GOOD",IF(M334&gt;=0.07,"★  FAIR",IF(M334&gt;=0.025,"⚠  MARGINAL","✗  AVOID"))))</f>
        <v>✗  AVOID</v>
      </c>
    </row>
    <row r="335" customFormat="false" ht="15" hidden="false" customHeight="false" outlineLevel="0" collapsed="false">
      <c r="A335" s="135" t="n">
        <v>38</v>
      </c>
      <c r="B335" s="136" t="n">
        <f aca="false">IF(Calculator!$E$11="YES",IF(A335&lt;Calculator!$G$11,0,MIN(MIN(MOD(A335/Calculator!$F$11,1),1-MOD(A335/Calculator!$F$11,1)),ABS(MOD(A335/Calculator!$F$11,1)-0.5))),1)</f>
        <v>0.00666666666666671</v>
      </c>
      <c r="C335" s="136" t="n">
        <f aca="false">IF(Calculator!$E$12="YES",IF(A335&lt;Calculator!$G$12,0,MIN(MIN(MOD(A335/Calculator!$F$12,1),1-MOD(A335/Calculator!$F$12,1)),ABS(MOD(A335/Calculator!$F$12,1)-0.5))),1)</f>
        <v>0.0266666666666666</v>
      </c>
      <c r="D335" s="136" t="n">
        <f aca="false">IF(Calculator!$E$13="YES",IF(A335&lt;Calculator!$G$13,0,MIN(MIN(MOD(A335/Calculator!$F$13,1),1-MOD(A335/Calculator!$F$13,1)),ABS(MOD(A335/Calculator!$F$13,1)-0.5))),1)</f>
        <v>0.0709333333333333</v>
      </c>
      <c r="E335" s="136" t="n">
        <f aca="false">IF(Calculator!$E$14="YES",IF(A335&lt;Calculator!$G$14,0,MIN(MIN(MOD(A335/Calculator!$F$14,1),1-MOD(A335/Calculator!$F$14,1)),ABS(MOD(A335/Calculator!$F$14,1)-0.5))),1)</f>
        <v>0.0933333333333333</v>
      </c>
      <c r="F335" s="136" t="n">
        <f aca="false">IF(Calculator!$E$15="YES",IF(A335&lt;Calculator!$G$15,0,MIN(MIN(MOD(A335/Calculator!$F$15,1),1-MOD(A335/Calculator!$F$15,1)),ABS(MOD(A335/Calculator!$F$15,1)-0.5))),1)</f>
        <v>0.2</v>
      </c>
      <c r="G335" s="136" t="n">
        <f aca="false">IF(Calculator!$E$16="YES",IF(A335&lt;Calculator!$G$16,0,MIN(MIN(MOD(A335/Calculator!$F$16,1),1-MOD(A335/Calculator!$F$16,1)),ABS(MOD(A335/Calculator!$F$16,1)-0.5))),1)</f>
        <v>0.22</v>
      </c>
      <c r="H335" s="136" t="n">
        <f aca="false">IF(Calculator!$E$17="YES",IF(A335&lt;Calculator!$G$17,0,MIN(MIN(MOD(A335/Calculator!$F$17,1),1-MOD(A335/Calculator!$F$17,1)),ABS(MOD(A335/Calculator!$F$17,1)-0.5))),1)</f>
        <v>0.168533333333333</v>
      </c>
      <c r="I335" s="136" t="n">
        <f aca="false">IF(Calculator!$E$18="YES",IF(A335&lt;Calculator!$G$18,0,MIN(MIN(MOD(A335/Calculator!$F$18,1),1-MOD(A335/Calculator!$F$18,1)),ABS(MOD(A335/Calculator!$F$18,1)-0.5))),1)</f>
        <v>0.16</v>
      </c>
      <c r="J335" s="136" t="n">
        <f aca="false">IF(Calculator!$E$19="YES",IF(A335&lt;Calculator!$G$19,0,MIN(MIN(MOD(A335/Calculator!$F$19,1),1-MOD(A335/Calculator!$F$19,1)),ABS(MOD(A335/Calculator!$F$19,1)-0.5))),1)</f>
        <v>0.150666666666665</v>
      </c>
      <c r="K335" s="136" t="n">
        <f aca="false">IF(Calculator!$E$20="YES",IF(A335&lt;Calculator!$G$20,0,MIN(MIN(MOD(A335/Calculator!$F$20,1),1-MOD(A335/Calculator!$F$20,1)),ABS(MOD(A335/Calculator!$F$20,1)-0.5))),1)</f>
        <v>0.193333333333333</v>
      </c>
      <c r="L335" s="136" t="n">
        <f aca="false">IF(Calculator!$E$21="YES",IF(A335&lt;Calculator!$G$21,0,MIN(MIN(MOD(A335/Calculator!$F$21,1),1-MOD(A335/Calculator!$F$21,1)),ABS(MOD(A335/Calculator!$F$21,1)-0.5))),1)</f>
        <v>0.133333333333333</v>
      </c>
      <c r="M335" s="136" t="n">
        <f aca="false">MIN(B335:L335)</f>
        <v>0.00666666666666671</v>
      </c>
      <c r="N335" s="136" t="n">
        <f aca="false">SUMPRODUCT(($M$5:$M$555&gt;M335)*1)+SUMPRODUCT(($M$5:$M$555=M335)*(ROW($M$5:$M$555)&lt;ROW(M335)))+1</f>
        <v>162</v>
      </c>
      <c r="O335" s="136" t="str">
        <f aca="false">IF(M335&gt;=0.2,"★★★ EXCELLENT",IF(M335&gt;=0.12,"★★  GOOD",IF(M335&gt;=0.07,"★  FAIR",IF(M335&gt;=0.025,"⚠  MARGINAL","✗  AVOID"))))</f>
        <v>✗  AVOID</v>
      </c>
    </row>
    <row r="336" customFormat="false" ht="15" hidden="false" customHeight="false" outlineLevel="0" collapsed="false">
      <c r="A336" s="137" t="n">
        <v>38.1</v>
      </c>
      <c r="B336" s="138" t="n">
        <f aca="false">IF(Calculator!$E$11="YES",IF(A336&lt;Calculator!$G$11,0,MIN(MIN(MOD(A336/Calculator!$F$11,1),1-MOD(A336/Calculator!$F$11,1)),ABS(MOD(A336/Calculator!$F$11,1)-0.5))),1)</f>
        <v>0.00800000000000001</v>
      </c>
      <c r="C336" s="138" t="n">
        <f aca="false">IF(Calculator!$E$12="YES",IF(A336&lt;Calculator!$G$12,0,MIN(MIN(MOD(A336/Calculator!$F$12,1),1-MOD(A336/Calculator!$F$12,1)),ABS(MOD(A336/Calculator!$F$12,1)-0.5))),1)</f>
        <v>0.0241052631578946</v>
      </c>
      <c r="D336" s="138" t="n">
        <f aca="false">IF(Calculator!$E$13="YES",IF(A336&lt;Calculator!$G$13,0,MIN(MIN(MOD(A336/Calculator!$F$13,1),1-MOD(A336/Calculator!$F$13,1)),ABS(MOD(A336/Calculator!$F$13,1)-0.5))),1)</f>
        <v>0.0671726315789474</v>
      </c>
      <c r="E336" s="138" t="n">
        <f aca="false">IF(Calculator!$E$14="YES",IF(A336&lt;Calculator!$G$14,0,MIN(MIN(MOD(A336/Calculator!$F$14,1),1-MOD(A336/Calculator!$F$14,1)),ABS(MOD(A336/Calculator!$F$14,1)-0.5))),1)</f>
        <v>0.0883157894736841</v>
      </c>
      <c r="F336" s="138" t="n">
        <f aca="false">IF(Calculator!$E$15="YES",IF(A336&lt;Calculator!$G$15,0,MIN(MIN(MOD(A336/Calculator!$F$15,1),1-MOD(A336/Calculator!$F$15,1)),ABS(MOD(A336/Calculator!$F$15,1)-0.5))),1)</f>
        <v>0.207105263157895</v>
      </c>
      <c r="G336" s="138" t="n">
        <f aca="false">IF(Calculator!$E$16="YES",IF(A336&lt;Calculator!$G$16,0,MIN(MIN(MOD(A336/Calculator!$F$16,1),1-MOD(A336/Calculator!$F$16,1)),ABS(MOD(A336/Calculator!$F$16,1)-0.5))),1)</f>
        <v>0.210052631578947</v>
      </c>
      <c r="H336" s="138" t="n">
        <f aca="false">IF(Calculator!$E$17="YES",IF(A336&lt;Calculator!$G$17,0,MIN(MIN(MOD(A336/Calculator!$F$17,1),1-MOD(A336/Calculator!$F$17,1)),ABS(MOD(A336/Calculator!$F$17,1)-0.5))),1)</f>
        <v>0.15581894736842</v>
      </c>
      <c r="I336" s="138" t="n">
        <f aca="false">IF(Calculator!$E$18="YES",IF(A336&lt;Calculator!$G$18,0,MIN(MIN(MOD(A336/Calculator!$F$18,1),1-MOD(A336/Calculator!$F$18,1)),ABS(MOD(A336/Calculator!$F$18,1)-0.5))),1)</f>
        <v>0.174894736842106</v>
      </c>
      <c r="J336" s="138" t="n">
        <f aca="false">IF(Calculator!$E$19="YES",IF(A336&lt;Calculator!$G$19,0,MIN(MIN(MOD(A336/Calculator!$F$19,1),1-MOD(A336/Calculator!$F$19,1)),ABS(MOD(A336/Calculator!$F$19,1)-0.5))),1)</f>
        <v>0.168168421052631</v>
      </c>
      <c r="K336" s="138" t="n">
        <f aca="false">IF(Calculator!$E$20="YES",IF(A336&lt;Calculator!$G$20,0,MIN(MIN(MOD(A336/Calculator!$F$20,1),1-MOD(A336/Calculator!$F$20,1)),ABS(MOD(A336/Calculator!$F$20,1)-0.5))),1)</f>
        <v>0.213578947368421</v>
      </c>
      <c r="L336" s="138" t="n">
        <f aca="false">IF(Calculator!$E$21="YES",IF(A336&lt;Calculator!$G$21,0,MIN(MIN(MOD(A336/Calculator!$F$21,1),1-MOD(A336/Calculator!$F$21,1)),ABS(MOD(A336/Calculator!$F$21,1)-0.5))),1)</f>
        <v>0.096842105263157</v>
      </c>
      <c r="M336" s="138" t="n">
        <f aca="false">MIN(B336:L336)</f>
        <v>0.00800000000000001</v>
      </c>
      <c r="N336" s="138" t="n">
        <f aca="false">SUMPRODUCT(($M$5:$M$555&gt;M336)*1)+SUMPRODUCT(($M$5:$M$555=M336)*(ROW($M$5:$M$555)&lt;ROW(M336)))+1</f>
        <v>151</v>
      </c>
      <c r="O336" s="138" t="str">
        <f aca="false">IF(M336&gt;=0.2,"★★★ EXCELLENT",IF(M336&gt;=0.12,"★★  GOOD",IF(M336&gt;=0.07,"★  FAIR",IF(M336&gt;=0.025,"⚠  MARGINAL","✗  AVOID"))))</f>
        <v>✗  AVOID</v>
      </c>
    </row>
    <row r="337" customFormat="false" ht="15" hidden="false" customHeight="false" outlineLevel="0" collapsed="false">
      <c r="A337" s="135" t="n">
        <v>38.2</v>
      </c>
      <c r="B337" s="136" t="n">
        <f aca="false">IF(Calculator!$E$11="YES",IF(A337&lt;Calculator!$G$11,0,MIN(MIN(MOD(A337/Calculator!$F$11,1),1-MOD(A337/Calculator!$F$11,1)),ABS(MOD(A337/Calculator!$F$11,1)-0.5))),1)</f>
        <v>0.00933333333333342</v>
      </c>
      <c r="C337" s="136" t="n">
        <f aca="false">IF(Calculator!$E$12="YES",IF(A337&lt;Calculator!$G$12,0,MIN(MIN(MOD(A337/Calculator!$F$12,1),1-MOD(A337/Calculator!$F$12,1)),ABS(MOD(A337/Calculator!$F$12,1)-0.5))),1)</f>
        <v>0.0215438596491228</v>
      </c>
      <c r="D337" s="136" t="n">
        <f aca="false">IF(Calculator!$E$13="YES",IF(A337&lt;Calculator!$G$13,0,MIN(MIN(MOD(A337/Calculator!$F$13,1),1-MOD(A337/Calculator!$F$13,1)),ABS(MOD(A337/Calculator!$F$13,1)-0.5))),1)</f>
        <v>0.0634119298245615</v>
      </c>
      <c r="E337" s="136" t="n">
        <f aca="false">IF(Calculator!$E$14="YES",IF(A337&lt;Calculator!$G$14,0,MIN(MIN(MOD(A337/Calculator!$F$14,1),1-MOD(A337/Calculator!$F$14,1)),ABS(MOD(A337/Calculator!$F$14,1)-0.5))),1)</f>
        <v>0.083298245614035</v>
      </c>
      <c r="F337" s="136" t="n">
        <f aca="false">IF(Calculator!$E$15="YES",IF(A337&lt;Calculator!$G$15,0,MIN(MIN(MOD(A337/Calculator!$F$15,1),1-MOD(A337/Calculator!$F$15,1)),ABS(MOD(A337/Calculator!$F$15,1)-0.5))),1)</f>
        <v>0.21421052631579</v>
      </c>
      <c r="G337" s="136" t="n">
        <f aca="false">IF(Calculator!$E$16="YES",IF(A337&lt;Calculator!$G$16,0,MIN(MIN(MOD(A337/Calculator!$F$16,1),1-MOD(A337/Calculator!$F$16,1)),ABS(MOD(A337/Calculator!$F$16,1)-0.5))),1)</f>
        <v>0.200105263157894</v>
      </c>
      <c r="H337" s="136" t="n">
        <f aca="false">IF(Calculator!$E$17="YES",IF(A337&lt;Calculator!$G$17,0,MIN(MIN(MOD(A337/Calculator!$F$17,1),1-MOD(A337/Calculator!$F$17,1)),ABS(MOD(A337/Calculator!$F$17,1)-0.5))),1)</f>
        <v>0.143104561403508</v>
      </c>
      <c r="I337" s="136" t="n">
        <f aca="false">IF(Calculator!$E$18="YES",IF(A337&lt;Calculator!$G$18,0,MIN(MIN(MOD(A337/Calculator!$F$18,1),1-MOD(A337/Calculator!$F$18,1)),ABS(MOD(A337/Calculator!$F$18,1)-0.5))),1)</f>
        <v>0.189789473684211</v>
      </c>
      <c r="J337" s="136" t="n">
        <f aca="false">IF(Calculator!$E$19="YES",IF(A337&lt;Calculator!$G$19,0,MIN(MIN(MOD(A337/Calculator!$F$19,1),1-MOD(A337/Calculator!$F$19,1)),ABS(MOD(A337/Calculator!$F$19,1)-0.5))),1)</f>
        <v>0.185670175438596</v>
      </c>
      <c r="K337" s="136" t="n">
        <f aca="false">IF(Calculator!$E$20="YES",IF(A337&lt;Calculator!$G$20,0,MIN(MIN(MOD(A337/Calculator!$F$20,1),1-MOD(A337/Calculator!$F$20,1)),ABS(MOD(A337/Calculator!$F$20,1)-0.5))),1)</f>
        <v>0.233824561403509</v>
      </c>
      <c r="L337" s="136" t="n">
        <f aca="false">IF(Calculator!$E$21="YES",IF(A337&lt;Calculator!$G$21,0,MIN(MIN(MOD(A337/Calculator!$F$21,1),1-MOD(A337/Calculator!$F$21,1)),ABS(MOD(A337/Calculator!$F$21,1)-0.5))),1)</f>
        <v>0.060350877192981</v>
      </c>
      <c r="M337" s="136" t="n">
        <f aca="false">MIN(B337:L337)</f>
        <v>0.00933333333333342</v>
      </c>
      <c r="N337" s="136" t="n">
        <f aca="false">SUMPRODUCT(($M$5:$M$555&gt;M337)*1)+SUMPRODUCT(($M$5:$M$555=M337)*(ROW($M$5:$M$555)&lt;ROW(M337)))+1</f>
        <v>137</v>
      </c>
      <c r="O337" s="136" t="str">
        <f aca="false">IF(M337&gt;=0.2,"★★★ EXCELLENT",IF(M337&gt;=0.12,"★★  GOOD",IF(M337&gt;=0.07,"★  FAIR",IF(M337&gt;=0.025,"⚠  MARGINAL","✗  AVOID"))))</f>
        <v>✗  AVOID</v>
      </c>
    </row>
    <row r="338" customFormat="false" ht="15" hidden="false" customHeight="false" outlineLevel="0" collapsed="false">
      <c r="A338" s="137" t="n">
        <v>38.3</v>
      </c>
      <c r="B338" s="138" t="n">
        <f aca="false">IF(Calculator!$E$11="YES",IF(A338&lt;Calculator!$G$11,0,MIN(MIN(MOD(A338/Calculator!$F$11,1),1-MOD(A338/Calculator!$F$11,1)),ABS(MOD(A338/Calculator!$F$11,1)-0.5))),1)</f>
        <v>0.0106666666666666</v>
      </c>
      <c r="C338" s="138" t="n">
        <f aca="false">IF(Calculator!$E$12="YES",IF(A338&lt;Calculator!$G$12,0,MIN(MIN(MOD(A338/Calculator!$F$12,1),1-MOD(A338/Calculator!$F$12,1)),ABS(MOD(A338/Calculator!$F$12,1)-0.5))),1)</f>
        <v>0.0189824561403509</v>
      </c>
      <c r="D338" s="138" t="n">
        <f aca="false">IF(Calculator!$E$13="YES",IF(A338&lt;Calculator!$G$13,0,MIN(MIN(MOD(A338/Calculator!$F$13,1),1-MOD(A338/Calculator!$F$13,1)),ABS(MOD(A338/Calculator!$F$13,1)-0.5))),1)</f>
        <v>0.0596512280701755</v>
      </c>
      <c r="E338" s="138" t="n">
        <f aca="false">IF(Calculator!$E$14="YES",IF(A338&lt;Calculator!$G$14,0,MIN(MIN(MOD(A338/Calculator!$F$14,1),1-MOD(A338/Calculator!$F$14,1)),ABS(MOD(A338/Calculator!$F$14,1)-0.5))),1)</f>
        <v>0.0782807017543861</v>
      </c>
      <c r="F338" s="138" t="n">
        <f aca="false">IF(Calculator!$E$15="YES",IF(A338&lt;Calculator!$G$15,0,MIN(MIN(MOD(A338/Calculator!$F$15,1),1-MOD(A338/Calculator!$F$15,1)),ABS(MOD(A338/Calculator!$F$15,1)-0.5))),1)</f>
        <v>0.221315789473684</v>
      </c>
      <c r="G338" s="138" t="n">
        <f aca="false">IF(Calculator!$E$16="YES",IF(A338&lt;Calculator!$G$16,0,MIN(MIN(MOD(A338/Calculator!$F$16,1),1-MOD(A338/Calculator!$F$16,1)),ABS(MOD(A338/Calculator!$F$16,1)-0.5))),1)</f>
        <v>0.190157894736842</v>
      </c>
      <c r="H338" s="138" t="n">
        <f aca="false">IF(Calculator!$E$17="YES",IF(A338&lt;Calculator!$G$17,0,MIN(MIN(MOD(A338/Calculator!$F$17,1),1-MOD(A338/Calculator!$F$17,1)),ABS(MOD(A338/Calculator!$F$17,1)-0.5))),1)</f>
        <v>0.130390175438596</v>
      </c>
      <c r="I338" s="138" t="n">
        <f aca="false">IF(Calculator!$E$18="YES",IF(A338&lt;Calculator!$G$18,0,MIN(MIN(MOD(A338/Calculator!$F$18,1),1-MOD(A338/Calculator!$F$18,1)),ABS(MOD(A338/Calculator!$F$18,1)-0.5))),1)</f>
        <v>0.204684210526316</v>
      </c>
      <c r="J338" s="138" t="n">
        <f aca="false">IF(Calculator!$E$19="YES",IF(A338&lt;Calculator!$G$19,0,MIN(MIN(MOD(A338/Calculator!$F$19,1),1-MOD(A338/Calculator!$F$19,1)),ABS(MOD(A338/Calculator!$F$19,1)-0.5))),1)</f>
        <v>0.20317192982456</v>
      </c>
      <c r="K338" s="138" t="n">
        <f aca="false">IF(Calculator!$E$20="YES",IF(A338&lt;Calculator!$G$20,0,MIN(MIN(MOD(A338/Calculator!$F$20,1),1-MOD(A338/Calculator!$F$20,1)),ABS(MOD(A338/Calculator!$F$20,1)-0.5))),1)</f>
        <v>0.245929824561404</v>
      </c>
      <c r="L338" s="138" t="n">
        <f aca="false">IF(Calculator!$E$21="YES",IF(A338&lt;Calculator!$G$21,0,MIN(MIN(MOD(A338/Calculator!$F$21,1),1-MOD(A338/Calculator!$F$21,1)),ABS(MOD(A338/Calculator!$F$21,1)-0.5))),1)</f>
        <v>0.0238596491228087</v>
      </c>
      <c r="M338" s="138" t="n">
        <f aca="false">MIN(B338:L338)</f>
        <v>0.0106666666666666</v>
      </c>
      <c r="N338" s="138" t="n">
        <f aca="false">SUMPRODUCT(($M$5:$M$555&gt;M338)*1)+SUMPRODUCT(($M$5:$M$555=M338)*(ROW($M$5:$M$555)&lt;ROW(M338)))+1</f>
        <v>132</v>
      </c>
      <c r="O338" s="138" t="str">
        <f aca="false">IF(M338&gt;=0.2,"★★★ EXCELLENT",IF(M338&gt;=0.12,"★★  GOOD",IF(M338&gt;=0.07,"★  FAIR",IF(M338&gt;=0.025,"⚠  MARGINAL","✗  AVOID"))))</f>
        <v>✗  AVOID</v>
      </c>
    </row>
    <row r="339" customFormat="false" ht="15" hidden="false" customHeight="false" outlineLevel="0" collapsed="false">
      <c r="A339" s="135" t="n">
        <v>38.4</v>
      </c>
      <c r="B339" s="136" t="n">
        <f aca="false">IF(Calculator!$E$11="YES",IF(A339&lt;Calculator!$G$11,0,MIN(MIN(MOD(A339/Calculator!$F$11,1),1-MOD(A339/Calculator!$F$11,1)),ABS(MOD(A339/Calculator!$F$11,1)-0.5))),1)</f>
        <v>0.012</v>
      </c>
      <c r="C339" s="136" t="n">
        <f aca="false">IF(Calculator!$E$12="YES",IF(A339&lt;Calculator!$G$12,0,MIN(MIN(MOD(A339/Calculator!$F$12,1),1-MOD(A339/Calculator!$F$12,1)),ABS(MOD(A339/Calculator!$F$12,1)-0.5))),1)</f>
        <v>0.016421052631579</v>
      </c>
      <c r="D339" s="136" t="n">
        <f aca="false">IF(Calculator!$E$13="YES",IF(A339&lt;Calculator!$G$13,0,MIN(MIN(MOD(A339/Calculator!$F$13,1),1-MOD(A339/Calculator!$F$13,1)),ABS(MOD(A339/Calculator!$F$13,1)-0.5))),1)</f>
        <v>0.0558905263157896</v>
      </c>
      <c r="E339" s="136" t="n">
        <f aca="false">IF(Calculator!$E$14="YES",IF(A339&lt;Calculator!$G$14,0,MIN(MIN(MOD(A339/Calculator!$F$14,1),1-MOD(A339/Calculator!$F$14,1)),ABS(MOD(A339/Calculator!$F$14,1)-0.5))),1)</f>
        <v>0.0732631578947369</v>
      </c>
      <c r="F339" s="136" t="n">
        <f aca="false">IF(Calculator!$E$15="YES",IF(A339&lt;Calculator!$G$15,0,MIN(MIN(MOD(A339/Calculator!$F$15,1),1-MOD(A339/Calculator!$F$15,1)),ABS(MOD(A339/Calculator!$F$15,1)-0.5))),1)</f>
        <v>0.228421052631579</v>
      </c>
      <c r="G339" s="136" t="n">
        <f aca="false">IF(Calculator!$E$16="YES",IF(A339&lt;Calculator!$G$16,0,MIN(MIN(MOD(A339/Calculator!$F$16,1),1-MOD(A339/Calculator!$F$16,1)),ABS(MOD(A339/Calculator!$F$16,1)-0.5))),1)</f>
        <v>0.180210526315789</v>
      </c>
      <c r="H339" s="136" t="n">
        <f aca="false">IF(Calculator!$E$17="YES",IF(A339&lt;Calculator!$G$17,0,MIN(MIN(MOD(A339/Calculator!$F$17,1),1-MOD(A339/Calculator!$F$17,1)),ABS(MOD(A339/Calculator!$F$17,1)-0.5))),1)</f>
        <v>0.117675789473684</v>
      </c>
      <c r="I339" s="136" t="n">
        <f aca="false">IF(Calculator!$E$18="YES",IF(A339&lt;Calculator!$G$18,0,MIN(MIN(MOD(A339/Calculator!$F$18,1),1-MOD(A339/Calculator!$F$18,1)),ABS(MOD(A339/Calculator!$F$18,1)-0.5))),1)</f>
        <v>0.219578947368421</v>
      </c>
      <c r="J339" s="136" t="n">
        <f aca="false">IF(Calculator!$E$19="YES",IF(A339&lt;Calculator!$G$19,0,MIN(MIN(MOD(A339/Calculator!$F$19,1),1-MOD(A339/Calculator!$F$19,1)),ABS(MOD(A339/Calculator!$F$19,1)-0.5))),1)</f>
        <v>0.220673684210525</v>
      </c>
      <c r="K339" s="136" t="n">
        <f aca="false">IF(Calculator!$E$20="YES",IF(A339&lt;Calculator!$G$20,0,MIN(MIN(MOD(A339/Calculator!$F$20,1),1-MOD(A339/Calculator!$F$20,1)),ABS(MOD(A339/Calculator!$F$20,1)-0.5))),1)</f>
        <v>0.225684210526317</v>
      </c>
      <c r="L339" s="136" t="n">
        <f aca="false">IF(Calculator!$E$21="YES",IF(A339&lt;Calculator!$G$21,0,MIN(MIN(MOD(A339/Calculator!$F$21,1),1-MOD(A339/Calculator!$F$21,1)),ABS(MOD(A339/Calculator!$F$21,1)-0.5))),1)</f>
        <v>0.0126315789473672</v>
      </c>
      <c r="M339" s="136" t="n">
        <f aca="false">MIN(B339:L339)</f>
        <v>0.012</v>
      </c>
      <c r="N339" s="136" t="n">
        <f aca="false">SUMPRODUCT(($M$5:$M$555&gt;M339)*1)+SUMPRODUCT(($M$5:$M$555=M339)*(ROW($M$5:$M$555)&lt;ROW(M339)))+1</f>
        <v>119</v>
      </c>
      <c r="O339" s="136" t="str">
        <f aca="false">IF(M339&gt;=0.2,"★★★ EXCELLENT",IF(M339&gt;=0.12,"★★  GOOD",IF(M339&gt;=0.07,"★  FAIR",IF(M339&gt;=0.025,"⚠  MARGINAL","✗  AVOID"))))</f>
        <v>✗  AVOID</v>
      </c>
    </row>
    <row r="340" customFormat="false" ht="15" hidden="false" customHeight="false" outlineLevel="0" collapsed="false">
      <c r="A340" s="137" t="n">
        <v>38.5</v>
      </c>
      <c r="B340" s="138" t="n">
        <f aca="false">IF(Calculator!$E$11="YES",IF(A340&lt;Calculator!$G$11,0,MIN(MIN(MOD(A340/Calculator!$F$11,1),1-MOD(A340/Calculator!$F$11,1)),ABS(MOD(A340/Calculator!$F$11,1)-0.5))),1)</f>
        <v>0.0133333333333333</v>
      </c>
      <c r="C340" s="138" t="n">
        <f aca="false">IF(Calculator!$E$12="YES",IF(A340&lt;Calculator!$G$12,0,MIN(MIN(MOD(A340/Calculator!$F$12,1),1-MOD(A340/Calculator!$F$12,1)),ABS(MOD(A340/Calculator!$F$12,1)-0.5))),1)</f>
        <v>0.013859649122807</v>
      </c>
      <c r="D340" s="138" t="n">
        <f aca="false">IF(Calculator!$E$13="YES",IF(A340&lt;Calculator!$G$13,0,MIN(MIN(MOD(A340/Calculator!$F$13,1),1-MOD(A340/Calculator!$F$13,1)),ABS(MOD(A340/Calculator!$F$13,1)-0.5))),1)</f>
        <v>0.0521298245614035</v>
      </c>
      <c r="E340" s="138" t="n">
        <f aca="false">IF(Calculator!$E$14="YES",IF(A340&lt;Calculator!$G$14,0,MIN(MIN(MOD(A340/Calculator!$F$14,1),1-MOD(A340/Calculator!$F$14,1)),ABS(MOD(A340/Calculator!$F$14,1)-0.5))),1)</f>
        <v>0.0682456140350878</v>
      </c>
      <c r="F340" s="138" t="n">
        <f aca="false">IF(Calculator!$E$15="YES",IF(A340&lt;Calculator!$G$15,0,MIN(MIN(MOD(A340/Calculator!$F$15,1),1-MOD(A340/Calculator!$F$15,1)),ABS(MOD(A340/Calculator!$F$15,1)-0.5))),1)</f>
        <v>0.235526315789474</v>
      </c>
      <c r="G340" s="138" t="n">
        <f aca="false">IF(Calculator!$E$16="YES",IF(A340&lt;Calculator!$G$16,0,MIN(MIN(MOD(A340/Calculator!$F$16,1),1-MOD(A340/Calculator!$F$16,1)),ABS(MOD(A340/Calculator!$F$16,1)-0.5))),1)</f>
        <v>0.170263157894737</v>
      </c>
      <c r="H340" s="138" t="n">
        <f aca="false">IF(Calculator!$E$17="YES",IF(A340&lt;Calculator!$G$17,0,MIN(MIN(MOD(A340/Calculator!$F$17,1),1-MOD(A340/Calculator!$F$17,1)),ABS(MOD(A340/Calculator!$F$17,1)-0.5))),1)</f>
        <v>0.104961403508772</v>
      </c>
      <c r="I340" s="138" t="n">
        <f aca="false">IF(Calculator!$E$18="YES",IF(A340&lt;Calculator!$G$18,0,MIN(MIN(MOD(A340/Calculator!$F$18,1),1-MOD(A340/Calculator!$F$18,1)),ABS(MOD(A340/Calculator!$F$18,1)-0.5))),1)</f>
        <v>0.234473684210527</v>
      </c>
      <c r="J340" s="138" t="n">
        <f aca="false">IF(Calculator!$E$19="YES",IF(A340&lt;Calculator!$G$19,0,MIN(MIN(MOD(A340/Calculator!$F$19,1),1-MOD(A340/Calculator!$F$19,1)),ABS(MOD(A340/Calculator!$F$19,1)-0.5))),1)</f>
        <v>0.23817543859649</v>
      </c>
      <c r="K340" s="138" t="n">
        <f aca="false">IF(Calculator!$E$20="YES",IF(A340&lt;Calculator!$G$20,0,MIN(MIN(MOD(A340/Calculator!$F$20,1),1-MOD(A340/Calculator!$F$20,1)),ABS(MOD(A340/Calculator!$F$20,1)-0.5))),1)</f>
        <v>0.205438596491228</v>
      </c>
      <c r="L340" s="138" t="n">
        <f aca="false">IF(Calculator!$E$21="YES",IF(A340&lt;Calculator!$G$21,0,MIN(MIN(MOD(A340/Calculator!$F$21,1),1-MOD(A340/Calculator!$F$21,1)),ABS(MOD(A340/Calculator!$F$21,1)-0.5))),1)</f>
        <v>0.0491228070175431</v>
      </c>
      <c r="M340" s="138" t="n">
        <f aca="false">MIN(B340:L340)</f>
        <v>0.0133333333333333</v>
      </c>
      <c r="N340" s="138" t="n">
        <f aca="false">SUMPRODUCT(($M$5:$M$555&gt;M340)*1)+SUMPRODUCT(($M$5:$M$555=M340)*(ROW($M$5:$M$555)&lt;ROW(M340)))+1</f>
        <v>116</v>
      </c>
      <c r="O340" s="138" t="str">
        <f aca="false">IF(M340&gt;=0.2,"★★★ EXCELLENT",IF(M340&gt;=0.12,"★★  GOOD",IF(M340&gt;=0.07,"★  FAIR",IF(M340&gt;=0.025,"⚠  MARGINAL","✗  AVOID"))))</f>
        <v>✗  AVOID</v>
      </c>
    </row>
    <row r="341" customFormat="false" ht="15" hidden="false" customHeight="false" outlineLevel="0" collapsed="false">
      <c r="A341" s="135" t="n">
        <v>38.6</v>
      </c>
      <c r="B341" s="136" t="n">
        <f aca="false">IF(Calculator!$E$11="YES",IF(A341&lt;Calculator!$G$11,0,MIN(MIN(MOD(A341/Calculator!$F$11,1),1-MOD(A341/Calculator!$F$11,1)),ABS(MOD(A341/Calculator!$F$11,1)-0.5))),1)</f>
        <v>0.0146666666666667</v>
      </c>
      <c r="C341" s="136" t="n">
        <f aca="false">IF(Calculator!$E$12="YES",IF(A341&lt;Calculator!$G$12,0,MIN(MIN(MOD(A341/Calculator!$F$12,1),1-MOD(A341/Calculator!$F$12,1)),ABS(MOD(A341/Calculator!$F$12,1)-0.5))),1)</f>
        <v>0.011298245614035</v>
      </c>
      <c r="D341" s="136" t="n">
        <f aca="false">IF(Calculator!$E$13="YES",IF(A341&lt;Calculator!$G$13,0,MIN(MIN(MOD(A341/Calculator!$F$13,1),1-MOD(A341/Calculator!$F$13,1)),ABS(MOD(A341/Calculator!$F$13,1)-0.5))),1)</f>
        <v>0.0483691228070176</v>
      </c>
      <c r="E341" s="136" t="n">
        <f aca="false">IF(Calculator!$E$14="YES",IF(A341&lt;Calculator!$G$14,0,MIN(MIN(MOD(A341/Calculator!$F$14,1),1-MOD(A341/Calculator!$F$14,1)),ABS(MOD(A341/Calculator!$F$14,1)-0.5))),1)</f>
        <v>0.0632280701754384</v>
      </c>
      <c r="F341" s="136" t="n">
        <f aca="false">IF(Calculator!$E$15="YES",IF(A341&lt;Calculator!$G$15,0,MIN(MIN(MOD(A341/Calculator!$F$15,1),1-MOD(A341/Calculator!$F$15,1)),ABS(MOD(A341/Calculator!$F$15,1)-0.5))),1)</f>
        <v>0.242631578947369</v>
      </c>
      <c r="G341" s="136" t="n">
        <f aca="false">IF(Calculator!$E$16="YES",IF(A341&lt;Calculator!$G$16,0,MIN(MIN(MOD(A341/Calculator!$F$16,1),1-MOD(A341/Calculator!$F$16,1)),ABS(MOD(A341/Calculator!$F$16,1)-0.5))),1)</f>
        <v>0.160315789473684</v>
      </c>
      <c r="H341" s="136" t="n">
        <f aca="false">IF(Calculator!$E$17="YES",IF(A341&lt;Calculator!$G$17,0,MIN(MIN(MOD(A341/Calculator!$F$17,1),1-MOD(A341/Calculator!$F$17,1)),ABS(MOD(A341/Calculator!$F$17,1)-0.5))),1)</f>
        <v>0.0922470175438592</v>
      </c>
      <c r="I341" s="136" t="n">
        <f aca="false">IF(Calculator!$E$18="YES",IF(A341&lt;Calculator!$G$18,0,MIN(MIN(MOD(A341/Calculator!$F$18,1),1-MOD(A341/Calculator!$F$18,1)),ABS(MOD(A341/Calculator!$F$18,1)-0.5))),1)</f>
        <v>0.249368421052632</v>
      </c>
      <c r="J341" s="136" t="n">
        <f aca="false">IF(Calculator!$E$19="YES",IF(A341&lt;Calculator!$G$19,0,MIN(MIN(MOD(A341/Calculator!$F$19,1),1-MOD(A341/Calculator!$F$19,1)),ABS(MOD(A341/Calculator!$F$19,1)-0.5))),1)</f>
        <v>0.244322807017545</v>
      </c>
      <c r="K341" s="136" t="n">
        <f aca="false">IF(Calculator!$E$20="YES",IF(A341&lt;Calculator!$G$20,0,MIN(MIN(MOD(A341/Calculator!$F$20,1),1-MOD(A341/Calculator!$F$20,1)),ABS(MOD(A341/Calculator!$F$20,1)-0.5))),1)</f>
        <v>0.18519298245614</v>
      </c>
      <c r="L341" s="136" t="n">
        <f aca="false">IF(Calculator!$E$21="YES",IF(A341&lt;Calculator!$G$21,0,MIN(MIN(MOD(A341/Calculator!$F$21,1),1-MOD(A341/Calculator!$F$21,1)),ABS(MOD(A341/Calculator!$F$21,1)-0.5))),1)</f>
        <v>0.085614035087719</v>
      </c>
      <c r="M341" s="136" t="n">
        <f aca="false">MIN(B341:L341)</f>
        <v>0.011298245614035</v>
      </c>
      <c r="N341" s="136" t="n">
        <f aca="false">SUMPRODUCT(($M$5:$M$555&gt;M341)*1)+SUMPRODUCT(($M$5:$M$555=M341)*(ROW($M$5:$M$555)&lt;ROW(M341)))+1</f>
        <v>126</v>
      </c>
      <c r="O341" s="136" t="str">
        <f aca="false">IF(M341&gt;=0.2,"★★★ EXCELLENT",IF(M341&gt;=0.12,"★★  GOOD",IF(M341&gt;=0.07,"★  FAIR",IF(M341&gt;=0.025,"⚠  MARGINAL","✗  AVOID"))))</f>
        <v>✗  AVOID</v>
      </c>
    </row>
    <row r="342" customFormat="false" ht="15" hidden="false" customHeight="false" outlineLevel="0" collapsed="false">
      <c r="A342" s="137" t="n">
        <v>38.7</v>
      </c>
      <c r="B342" s="138" t="n">
        <f aca="false">IF(Calculator!$E$11="YES",IF(A342&lt;Calculator!$G$11,0,MIN(MIN(MOD(A342/Calculator!$F$11,1),1-MOD(A342/Calculator!$F$11,1)),ABS(MOD(A342/Calculator!$F$11,1)-0.5))),1)</f>
        <v>0.016</v>
      </c>
      <c r="C342" s="138" t="n">
        <f aca="false">IF(Calculator!$E$12="YES",IF(A342&lt;Calculator!$G$12,0,MIN(MIN(MOD(A342/Calculator!$F$12,1),1-MOD(A342/Calculator!$F$12,1)),ABS(MOD(A342/Calculator!$F$12,1)-0.5))),1)</f>
        <v>0.00873684210526304</v>
      </c>
      <c r="D342" s="138" t="n">
        <f aca="false">IF(Calculator!$E$13="YES",IF(A342&lt;Calculator!$G$13,0,MIN(MIN(MOD(A342/Calculator!$F$13,1),1-MOD(A342/Calculator!$F$13,1)),ABS(MOD(A342/Calculator!$F$13,1)-0.5))),1)</f>
        <v>0.0446084210526316</v>
      </c>
      <c r="E342" s="138" t="n">
        <f aca="false">IF(Calculator!$E$14="YES",IF(A342&lt;Calculator!$G$14,0,MIN(MIN(MOD(A342/Calculator!$F$14,1),1-MOD(A342/Calculator!$F$14,1)),ABS(MOD(A342/Calculator!$F$14,1)-0.5))),1)</f>
        <v>0.0582105263157893</v>
      </c>
      <c r="F342" s="138" t="n">
        <f aca="false">IF(Calculator!$E$15="YES",IF(A342&lt;Calculator!$G$15,0,MIN(MIN(MOD(A342/Calculator!$F$15,1),1-MOD(A342/Calculator!$F$15,1)),ABS(MOD(A342/Calculator!$F$15,1)-0.5))),1)</f>
        <v>0.249736842105263</v>
      </c>
      <c r="G342" s="138" t="n">
        <f aca="false">IF(Calculator!$E$16="YES",IF(A342&lt;Calculator!$G$16,0,MIN(MIN(MOD(A342/Calculator!$F$16,1),1-MOD(A342/Calculator!$F$16,1)),ABS(MOD(A342/Calculator!$F$16,1)-0.5))),1)</f>
        <v>0.150368421052631</v>
      </c>
      <c r="H342" s="138" t="n">
        <f aca="false">IF(Calculator!$E$17="YES",IF(A342&lt;Calculator!$G$17,0,MIN(MIN(MOD(A342/Calculator!$F$17,1),1-MOD(A342/Calculator!$F$17,1)),ABS(MOD(A342/Calculator!$F$17,1)-0.5))),1)</f>
        <v>0.0795326315789469</v>
      </c>
      <c r="I342" s="138" t="n">
        <f aca="false">IF(Calculator!$E$18="YES",IF(A342&lt;Calculator!$G$18,0,MIN(MIN(MOD(A342/Calculator!$F$18,1),1-MOD(A342/Calculator!$F$18,1)),ABS(MOD(A342/Calculator!$F$18,1)-0.5))),1)</f>
        <v>0.235736842105262</v>
      </c>
      <c r="J342" s="138" t="n">
        <f aca="false">IF(Calculator!$E$19="YES",IF(A342&lt;Calculator!$G$19,0,MIN(MIN(MOD(A342/Calculator!$F$19,1),1-MOD(A342/Calculator!$F$19,1)),ABS(MOD(A342/Calculator!$F$19,1)-0.5))),1)</f>
        <v>0.226821052631579</v>
      </c>
      <c r="K342" s="138" t="n">
        <f aca="false">IF(Calculator!$E$20="YES",IF(A342&lt;Calculator!$G$20,0,MIN(MIN(MOD(A342/Calculator!$F$20,1),1-MOD(A342/Calculator!$F$20,1)),ABS(MOD(A342/Calculator!$F$20,1)-0.5))),1)</f>
        <v>0.164947368421053</v>
      </c>
      <c r="L342" s="138" t="n">
        <f aca="false">IF(Calculator!$E$21="YES",IF(A342&lt;Calculator!$G$21,0,MIN(MIN(MOD(A342/Calculator!$F$21,1),1-MOD(A342/Calculator!$F$21,1)),ABS(MOD(A342/Calculator!$F$21,1)-0.5))),1)</f>
        <v>0.122105263157895</v>
      </c>
      <c r="M342" s="138" t="n">
        <f aca="false">MIN(B342:L342)</f>
        <v>0.00873684210526304</v>
      </c>
      <c r="N342" s="138" t="n">
        <f aca="false">SUMPRODUCT(($M$5:$M$555&gt;M342)*1)+SUMPRODUCT(($M$5:$M$555=M342)*(ROW($M$5:$M$555)&lt;ROW(M342)))+1</f>
        <v>146</v>
      </c>
      <c r="O342" s="138" t="str">
        <f aca="false">IF(M342&gt;=0.2,"★★★ EXCELLENT",IF(M342&gt;=0.12,"★★  GOOD",IF(M342&gt;=0.07,"★  FAIR",IF(M342&gt;=0.025,"⚠  MARGINAL","✗  AVOID"))))</f>
        <v>✗  AVOID</v>
      </c>
    </row>
    <row r="343" customFormat="false" ht="15" hidden="false" customHeight="false" outlineLevel="0" collapsed="false">
      <c r="A343" s="135" t="n">
        <v>38.8</v>
      </c>
      <c r="B343" s="136" t="n">
        <f aca="false">IF(Calculator!$E$11="YES",IF(A343&lt;Calculator!$G$11,0,MIN(MIN(MOD(A343/Calculator!$F$11,1),1-MOD(A343/Calculator!$F$11,1)),ABS(MOD(A343/Calculator!$F$11,1)-0.5))),1)</f>
        <v>0.0173333333333333</v>
      </c>
      <c r="C343" s="136" t="n">
        <f aca="false">IF(Calculator!$E$12="YES",IF(A343&lt;Calculator!$G$12,0,MIN(MIN(MOD(A343/Calculator!$F$12,1),1-MOD(A343/Calculator!$F$12,1)),ABS(MOD(A343/Calculator!$F$12,1)-0.5))),1)</f>
        <v>0.00617543859649128</v>
      </c>
      <c r="D343" s="136" t="n">
        <f aca="false">IF(Calculator!$E$13="YES",IF(A343&lt;Calculator!$G$13,0,MIN(MIN(MOD(A343/Calculator!$F$13,1),1-MOD(A343/Calculator!$F$13,1)),ABS(MOD(A343/Calculator!$F$13,1)-0.5))),1)</f>
        <v>0.0408477192982457</v>
      </c>
      <c r="E343" s="136" t="n">
        <f aca="false">IF(Calculator!$E$14="YES",IF(A343&lt;Calculator!$G$14,0,MIN(MIN(MOD(A343/Calculator!$F$14,1),1-MOD(A343/Calculator!$F$14,1)),ABS(MOD(A343/Calculator!$F$14,1)-0.5))),1)</f>
        <v>0.0531929824561406</v>
      </c>
      <c r="F343" s="136" t="n">
        <f aca="false">IF(Calculator!$E$15="YES",IF(A343&lt;Calculator!$G$15,0,MIN(MIN(MOD(A343/Calculator!$F$15,1),1-MOD(A343/Calculator!$F$15,1)),ABS(MOD(A343/Calculator!$F$15,1)-0.5))),1)</f>
        <v>0.243157894736842</v>
      </c>
      <c r="G343" s="136" t="n">
        <f aca="false">IF(Calculator!$E$16="YES",IF(A343&lt;Calculator!$G$16,0,MIN(MIN(MOD(A343/Calculator!$F$16,1),1-MOD(A343/Calculator!$F$16,1)),ABS(MOD(A343/Calculator!$F$16,1)-0.5))),1)</f>
        <v>0.140421052631579</v>
      </c>
      <c r="H343" s="136" t="n">
        <f aca="false">IF(Calculator!$E$17="YES",IF(A343&lt;Calculator!$G$17,0,MIN(MIN(MOD(A343/Calculator!$F$17,1),1-MOD(A343/Calculator!$F$17,1)),ABS(MOD(A343/Calculator!$F$17,1)-0.5))),1)</f>
        <v>0.0668182456140345</v>
      </c>
      <c r="I343" s="136" t="n">
        <f aca="false">IF(Calculator!$E$18="YES",IF(A343&lt;Calculator!$G$18,0,MIN(MIN(MOD(A343/Calculator!$F$18,1),1-MOD(A343/Calculator!$F$18,1)),ABS(MOD(A343/Calculator!$F$18,1)-0.5))),1)</f>
        <v>0.220842105263158</v>
      </c>
      <c r="J343" s="136" t="n">
        <f aca="false">IF(Calculator!$E$19="YES",IF(A343&lt;Calculator!$G$19,0,MIN(MIN(MOD(A343/Calculator!$F$19,1),1-MOD(A343/Calculator!$F$19,1)),ABS(MOD(A343/Calculator!$F$19,1)-0.5))),1)</f>
        <v>0.209319298245616</v>
      </c>
      <c r="K343" s="136" t="n">
        <f aca="false">IF(Calculator!$E$20="YES",IF(A343&lt;Calculator!$G$20,0,MIN(MIN(MOD(A343/Calculator!$F$20,1),1-MOD(A343/Calculator!$F$20,1)),ABS(MOD(A343/Calculator!$F$20,1)-0.5))),1)</f>
        <v>0.144701754385966</v>
      </c>
      <c r="L343" s="136" t="n">
        <f aca="false">IF(Calculator!$E$21="YES",IF(A343&lt;Calculator!$G$21,0,MIN(MIN(MOD(A343/Calculator!$F$21,1),1-MOD(A343/Calculator!$F$21,1)),ABS(MOD(A343/Calculator!$F$21,1)-0.5))),1)</f>
        <v>0.158596491228069</v>
      </c>
      <c r="M343" s="136" t="n">
        <f aca="false">MIN(B343:L343)</f>
        <v>0.00617543859649128</v>
      </c>
      <c r="N343" s="136" t="n">
        <f aca="false">SUMPRODUCT(($M$5:$M$555&gt;M343)*1)+SUMPRODUCT(($M$5:$M$555=M343)*(ROW($M$5:$M$555)&lt;ROW(M343)))+1</f>
        <v>165</v>
      </c>
      <c r="O343" s="136" t="str">
        <f aca="false">IF(M343&gt;=0.2,"★★★ EXCELLENT",IF(M343&gt;=0.12,"★★  GOOD",IF(M343&gt;=0.07,"★  FAIR",IF(M343&gt;=0.025,"⚠  MARGINAL","✗  AVOID"))))</f>
        <v>✗  AVOID</v>
      </c>
    </row>
    <row r="344" customFormat="false" ht="15" hidden="false" customHeight="false" outlineLevel="0" collapsed="false">
      <c r="A344" s="137" t="n">
        <v>38.9</v>
      </c>
      <c r="B344" s="138" t="n">
        <f aca="false">IF(Calculator!$E$11="YES",IF(A344&lt;Calculator!$G$11,0,MIN(MIN(MOD(A344/Calculator!$F$11,1),1-MOD(A344/Calculator!$F$11,1)),ABS(MOD(A344/Calculator!$F$11,1)-0.5))),1)</f>
        <v>0.0186666666666666</v>
      </c>
      <c r="C344" s="138" t="n">
        <f aca="false">IF(Calculator!$E$12="YES",IF(A344&lt;Calculator!$G$12,0,MIN(MIN(MOD(A344/Calculator!$F$12,1),1-MOD(A344/Calculator!$F$12,1)),ABS(MOD(A344/Calculator!$F$12,1)-0.5))),1)</f>
        <v>0.00361403508771929</v>
      </c>
      <c r="D344" s="138" t="n">
        <f aca="false">IF(Calculator!$E$13="YES",IF(A344&lt;Calculator!$G$13,0,MIN(MIN(MOD(A344/Calculator!$F$13,1),1-MOD(A344/Calculator!$F$13,1)),ABS(MOD(A344/Calculator!$F$13,1)-0.5))),1)</f>
        <v>0.0370870175438598</v>
      </c>
      <c r="E344" s="138" t="n">
        <f aca="false">IF(Calculator!$E$14="YES",IF(A344&lt;Calculator!$G$14,0,MIN(MIN(MOD(A344/Calculator!$F$14,1),1-MOD(A344/Calculator!$F$14,1)),ABS(MOD(A344/Calculator!$F$14,1)-0.5))),1)</f>
        <v>0.0481754385964912</v>
      </c>
      <c r="F344" s="138" t="n">
        <f aca="false">IF(Calculator!$E$15="YES",IF(A344&lt;Calculator!$G$15,0,MIN(MIN(MOD(A344/Calculator!$F$15,1),1-MOD(A344/Calculator!$F$15,1)),ABS(MOD(A344/Calculator!$F$15,1)-0.5))),1)</f>
        <v>0.236052631578948</v>
      </c>
      <c r="G344" s="138" t="n">
        <f aca="false">IF(Calculator!$E$16="YES",IF(A344&lt;Calculator!$G$16,0,MIN(MIN(MOD(A344/Calculator!$F$16,1),1-MOD(A344/Calculator!$F$16,1)),ABS(MOD(A344/Calculator!$F$16,1)-0.5))),1)</f>
        <v>0.130473684210526</v>
      </c>
      <c r="H344" s="138" t="n">
        <f aca="false">IF(Calculator!$E$17="YES",IF(A344&lt;Calculator!$G$17,0,MIN(MIN(MOD(A344/Calculator!$F$17,1),1-MOD(A344/Calculator!$F$17,1)),ABS(MOD(A344/Calculator!$F$17,1)-0.5))),1)</f>
        <v>0.0541038596491221</v>
      </c>
      <c r="I344" s="138" t="n">
        <f aca="false">IF(Calculator!$E$18="YES",IF(A344&lt;Calculator!$G$18,0,MIN(MIN(MOD(A344/Calculator!$F$18,1),1-MOD(A344/Calculator!$F$18,1)),ABS(MOD(A344/Calculator!$F$18,1)-0.5))),1)</f>
        <v>0.205947368421053</v>
      </c>
      <c r="J344" s="138" t="n">
        <f aca="false">IF(Calculator!$E$19="YES",IF(A344&lt;Calculator!$G$19,0,MIN(MIN(MOD(A344/Calculator!$F$19,1),1-MOD(A344/Calculator!$F$19,1)),ABS(MOD(A344/Calculator!$F$19,1)-0.5))),1)</f>
        <v>0.19181754385965</v>
      </c>
      <c r="K344" s="138" t="n">
        <f aca="false">IF(Calculator!$E$20="YES",IF(A344&lt;Calculator!$G$20,0,MIN(MIN(MOD(A344/Calculator!$F$20,1),1-MOD(A344/Calculator!$F$20,1)),ABS(MOD(A344/Calculator!$F$20,1)-0.5))),1)</f>
        <v>0.124456140350878</v>
      </c>
      <c r="L344" s="138" t="n">
        <f aca="false">IF(Calculator!$E$21="YES",IF(A344&lt;Calculator!$G$21,0,MIN(MIN(MOD(A344/Calculator!$F$21,1),1-MOD(A344/Calculator!$F$21,1)),ABS(MOD(A344/Calculator!$F$21,1)-0.5))),1)</f>
        <v>0.195087719298245</v>
      </c>
      <c r="M344" s="138" t="n">
        <f aca="false">MIN(B344:L344)</f>
        <v>0.00361403508771929</v>
      </c>
      <c r="N344" s="138" t="n">
        <f aca="false">SUMPRODUCT(($M$5:$M$555&gt;M344)*1)+SUMPRODUCT(($M$5:$M$555=M344)*(ROW($M$5:$M$555)&lt;ROW(M344)))+1</f>
        <v>188</v>
      </c>
      <c r="O344" s="138" t="str">
        <f aca="false">IF(M344&gt;=0.2,"★★★ EXCELLENT",IF(M344&gt;=0.12,"★★  GOOD",IF(M344&gt;=0.07,"★  FAIR",IF(M344&gt;=0.025,"⚠  MARGINAL","✗  AVOID"))))</f>
        <v>✗  AVOID</v>
      </c>
    </row>
    <row r="345" customFormat="false" ht="15" hidden="false" customHeight="false" outlineLevel="0" collapsed="false">
      <c r="A345" s="135" t="n">
        <v>39</v>
      </c>
      <c r="B345" s="136" t="n">
        <f aca="false">IF(Calculator!$E$11="YES",IF(A345&lt;Calculator!$G$11,0,MIN(MIN(MOD(A345/Calculator!$F$11,1),1-MOD(A345/Calculator!$F$11,1)),ABS(MOD(A345/Calculator!$F$11,1)-0.5))),1)</f>
        <v>0.02</v>
      </c>
      <c r="C345" s="136" t="n">
        <f aca="false">IF(Calculator!$E$12="YES",IF(A345&lt;Calculator!$G$12,0,MIN(MIN(MOD(A345/Calculator!$F$12,1),1-MOD(A345/Calculator!$F$12,1)),ABS(MOD(A345/Calculator!$F$12,1)-0.5))),1)</f>
        <v>0.00105263157894731</v>
      </c>
      <c r="D345" s="136" t="n">
        <f aca="false">IF(Calculator!$E$13="YES",IF(A345&lt;Calculator!$G$13,0,MIN(MIN(MOD(A345/Calculator!$F$13,1),1-MOD(A345/Calculator!$F$13,1)),ABS(MOD(A345/Calculator!$F$13,1)-0.5))),1)</f>
        <v>0.0333263157894737</v>
      </c>
      <c r="E345" s="136" t="n">
        <f aca="false">IF(Calculator!$E$14="YES",IF(A345&lt;Calculator!$G$14,0,MIN(MIN(MOD(A345/Calculator!$F$14,1),1-MOD(A345/Calculator!$F$14,1)),ABS(MOD(A345/Calculator!$F$14,1)-0.5))),1)</f>
        <v>0.0431578947368421</v>
      </c>
      <c r="F345" s="136" t="n">
        <f aca="false">IF(Calculator!$E$15="YES",IF(A345&lt;Calculator!$G$15,0,MIN(MIN(MOD(A345/Calculator!$F$15,1),1-MOD(A345/Calculator!$F$15,1)),ABS(MOD(A345/Calculator!$F$15,1)-0.5))),1)</f>
        <v>0.228947368421053</v>
      </c>
      <c r="G345" s="136" t="n">
        <f aca="false">IF(Calculator!$E$16="YES",IF(A345&lt;Calculator!$G$16,0,MIN(MIN(MOD(A345/Calculator!$F$16,1),1-MOD(A345/Calculator!$F$16,1)),ABS(MOD(A345/Calculator!$F$16,1)-0.5))),1)</f>
        <v>0.120526315789474</v>
      </c>
      <c r="H345" s="136" t="n">
        <f aca="false">IF(Calculator!$E$17="YES",IF(A345&lt;Calculator!$G$17,0,MIN(MIN(MOD(A345/Calculator!$F$17,1),1-MOD(A345/Calculator!$F$17,1)),ABS(MOD(A345/Calculator!$F$17,1)-0.5))),1)</f>
        <v>0.0413894736842098</v>
      </c>
      <c r="I345" s="136" t="n">
        <f aca="false">IF(Calculator!$E$18="YES",IF(A345&lt;Calculator!$G$18,0,MIN(MIN(MOD(A345/Calculator!$F$18,1),1-MOD(A345/Calculator!$F$18,1)),ABS(MOD(A345/Calculator!$F$18,1)-0.5))),1)</f>
        <v>0.191052631578947</v>
      </c>
      <c r="J345" s="136" t="n">
        <f aca="false">IF(Calculator!$E$19="YES",IF(A345&lt;Calculator!$G$19,0,MIN(MIN(MOD(A345/Calculator!$F$19,1),1-MOD(A345/Calculator!$F$19,1)),ABS(MOD(A345/Calculator!$F$19,1)-0.5))),1)</f>
        <v>0.174315789473686</v>
      </c>
      <c r="K345" s="136" t="n">
        <f aca="false">IF(Calculator!$E$20="YES",IF(A345&lt;Calculator!$G$20,0,MIN(MIN(MOD(A345/Calculator!$F$20,1),1-MOD(A345/Calculator!$F$20,1)),ABS(MOD(A345/Calculator!$F$20,1)-0.5))),1)</f>
        <v>0.104210526315789</v>
      </c>
      <c r="L345" s="136" t="n">
        <f aca="false">IF(Calculator!$E$21="YES",IF(A345&lt;Calculator!$G$21,0,MIN(MIN(MOD(A345/Calculator!$F$21,1),1-MOD(A345/Calculator!$F$21,1)),ABS(MOD(A345/Calculator!$F$21,1)-0.5))),1)</f>
        <v>0.231578947368421</v>
      </c>
      <c r="M345" s="136" t="n">
        <f aca="false">MIN(B345:L345)</f>
        <v>0.00105263157894731</v>
      </c>
      <c r="N345" s="136" t="n">
        <f aca="false">SUMPRODUCT(($M$5:$M$555&gt;M345)*1)+SUMPRODUCT(($M$5:$M$555=M345)*(ROW($M$5:$M$555)&lt;ROW(M345)))+1</f>
        <v>214</v>
      </c>
      <c r="O345" s="136" t="str">
        <f aca="false">IF(M345&gt;=0.2,"★★★ EXCELLENT",IF(M345&gt;=0.12,"★★  GOOD",IF(M345&gt;=0.07,"★  FAIR",IF(M345&gt;=0.025,"⚠  MARGINAL","✗  AVOID"))))</f>
        <v>✗  AVOID</v>
      </c>
    </row>
    <row r="346" customFormat="false" ht="15" hidden="false" customHeight="false" outlineLevel="0" collapsed="false">
      <c r="A346" s="137" t="n">
        <v>39.1</v>
      </c>
      <c r="B346" s="138" t="n">
        <f aca="false">IF(Calculator!$E$11="YES",IF(A346&lt;Calculator!$G$11,0,MIN(MIN(MOD(A346/Calculator!$F$11,1),1-MOD(A346/Calculator!$F$11,1)),ABS(MOD(A346/Calculator!$F$11,1)-0.5))),1)</f>
        <v>0.0213333333333333</v>
      </c>
      <c r="C346" s="138" t="n">
        <f aca="false">IF(Calculator!$E$12="YES",IF(A346&lt;Calculator!$G$12,0,MIN(MIN(MOD(A346/Calculator!$F$12,1),1-MOD(A346/Calculator!$F$12,1)),ABS(MOD(A346/Calculator!$F$12,1)-0.5))),1)</f>
        <v>0.00150877192982457</v>
      </c>
      <c r="D346" s="138" t="n">
        <f aca="false">IF(Calculator!$E$13="YES",IF(A346&lt;Calculator!$G$13,0,MIN(MIN(MOD(A346/Calculator!$F$13,1),1-MOD(A346/Calculator!$F$13,1)),ABS(MOD(A346/Calculator!$F$13,1)-0.5))),1)</f>
        <v>0.0295656140350877</v>
      </c>
      <c r="E346" s="138" t="n">
        <f aca="false">IF(Calculator!$E$14="YES",IF(A346&lt;Calculator!$G$14,0,MIN(MIN(MOD(A346/Calculator!$F$14,1),1-MOD(A346/Calculator!$F$14,1)),ABS(MOD(A346/Calculator!$F$14,1)-0.5))),1)</f>
        <v>0.0381403508771929</v>
      </c>
      <c r="F346" s="138" t="n">
        <f aca="false">IF(Calculator!$E$15="YES",IF(A346&lt;Calculator!$G$15,0,MIN(MIN(MOD(A346/Calculator!$F$15,1),1-MOD(A346/Calculator!$F$15,1)),ABS(MOD(A346/Calculator!$F$15,1)-0.5))),1)</f>
        <v>0.221842105263158</v>
      </c>
      <c r="G346" s="138" t="n">
        <f aca="false">IF(Calculator!$E$16="YES",IF(A346&lt;Calculator!$G$16,0,MIN(MIN(MOD(A346/Calculator!$F$16,1),1-MOD(A346/Calculator!$F$16,1)),ABS(MOD(A346/Calculator!$F$16,1)-0.5))),1)</f>
        <v>0.11057894736842</v>
      </c>
      <c r="H346" s="138" t="n">
        <f aca="false">IF(Calculator!$E$17="YES",IF(A346&lt;Calculator!$G$17,0,MIN(MIN(MOD(A346/Calculator!$F$17,1),1-MOD(A346/Calculator!$F$17,1)),ABS(MOD(A346/Calculator!$F$17,1)-0.5))),1)</f>
        <v>0.0286750877192974</v>
      </c>
      <c r="I346" s="138" t="n">
        <f aca="false">IF(Calculator!$E$18="YES",IF(A346&lt;Calculator!$G$18,0,MIN(MIN(MOD(A346/Calculator!$F$18,1),1-MOD(A346/Calculator!$F$18,1)),ABS(MOD(A346/Calculator!$F$18,1)-0.5))),1)</f>
        <v>0.176157894736842</v>
      </c>
      <c r="J346" s="138" t="n">
        <f aca="false">IF(Calculator!$E$19="YES",IF(A346&lt;Calculator!$G$19,0,MIN(MIN(MOD(A346/Calculator!$F$19,1),1-MOD(A346/Calculator!$F$19,1)),ABS(MOD(A346/Calculator!$F$19,1)-0.5))),1)</f>
        <v>0.15681403508772</v>
      </c>
      <c r="K346" s="138" t="n">
        <f aca="false">IF(Calculator!$E$20="YES",IF(A346&lt;Calculator!$G$20,0,MIN(MIN(MOD(A346/Calculator!$F$20,1),1-MOD(A346/Calculator!$F$20,1)),ABS(MOD(A346/Calculator!$F$20,1)-0.5))),1)</f>
        <v>0.0839649122807016</v>
      </c>
      <c r="L346" s="138" t="n">
        <f aca="false">IF(Calculator!$E$21="YES",IF(A346&lt;Calculator!$G$21,0,MIN(MIN(MOD(A346/Calculator!$F$21,1),1-MOD(A346/Calculator!$F$21,1)),ABS(MOD(A346/Calculator!$F$21,1)-0.5))),1)</f>
        <v>0.231929824561403</v>
      </c>
      <c r="M346" s="138" t="n">
        <f aca="false">MIN(B346:L346)</f>
        <v>0.00150877192982457</v>
      </c>
      <c r="N346" s="138" t="n">
        <f aca="false">SUMPRODUCT(($M$5:$M$555&gt;M346)*1)+SUMPRODUCT(($M$5:$M$555=M346)*(ROW($M$5:$M$555)&lt;ROW(M346)))+1</f>
        <v>207</v>
      </c>
      <c r="O346" s="138" t="str">
        <f aca="false">IF(M346&gt;=0.2,"★★★ EXCELLENT",IF(M346&gt;=0.12,"★★  GOOD",IF(M346&gt;=0.07,"★  FAIR",IF(M346&gt;=0.025,"⚠  MARGINAL","✗  AVOID"))))</f>
        <v>✗  AVOID</v>
      </c>
    </row>
    <row r="347" customFormat="false" ht="15" hidden="false" customHeight="false" outlineLevel="0" collapsed="false">
      <c r="A347" s="135" t="n">
        <v>39.2</v>
      </c>
      <c r="B347" s="136" t="n">
        <f aca="false">IF(Calculator!$E$11="YES",IF(A347&lt;Calculator!$G$11,0,MIN(MIN(MOD(A347/Calculator!$F$11,1),1-MOD(A347/Calculator!$F$11,1)),ABS(MOD(A347/Calculator!$F$11,1)-0.5))),1)</f>
        <v>0.0226666666666667</v>
      </c>
      <c r="C347" s="136" t="n">
        <f aca="false">IF(Calculator!$E$12="YES",IF(A347&lt;Calculator!$G$12,0,MIN(MIN(MOD(A347/Calculator!$F$12,1),1-MOD(A347/Calculator!$F$12,1)),ABS(MOD(A347/Calculator!$F$12,1)-0.5))),1)</f>
        <v>0.00407017543859656</v>
      </c>
      <c r="D347" s="136" t="n">
        <f aca="false">IF(Calculator!$E$13="YES",IF(A347&lt;Calculator!$G$13,0,MIN(MIN(MOD(A347/Calculator!$F$13,1),1-MOD(A347/Calculator!$F$13,1)),ABS(MOD(A347/Calculator!$F$13,1)-0.5))),1)</f>
        <v>0.0258049122807018</v>
      </c>
      <c r="E347" s="136" t="n">
        <f aca="false">IF(Calculator!$E$14="YES",IF(A347&lt;Calculator!$G$14,0,MIN(MIN(MOD(A347/Calculator!$F$14,1),1-MOD(A347/Calculator!$F$14,1)),ABS(MOD(A347/Calculator!$F$14,1)-0.5))),1)</f>
        <v>0.0331228070175438</v>
      </c>
      <c r="F347" s="136" t="n">
        <f aca="false">IF(Calculator!$E$15="YES",IF(A347&lt;Calculator!$G$15,0,MIN(MIN(MOD(A347/Calculator!$F$15,1),1-MOD(A347/Calculator!$F$15,1)),ABS(MOD(A347/Calculator!$F$15,1)-0.5))),1)</f>
        <v>0.214736842105263</v>
      </c>
      <c r="G347" s="136" t="n">
        <f aca="false">IF(Calculator!$E$16="YES",IF(A347&lt;Calculator!$G$16,0,MIN(MIN(MOD(A347/Calculator!$F$16,1),1-MOD(A347/Calculator!$F$16,1)),ABS(MOD(A347/Calculator!$F$16,1)-0.5))),1)</f>
        <v>0.100631578947368</v>
      </c>
      <c r="H347" s="136" t="n">
        <f aca="false">IF(Calculator!$E$17="YES",IF(A347&lt;Calculator!$G$17,0,MIN(MIN(MOD(A347/Calculator!$F$17,1),1-MOD(A347/Calculator!$F$17,1)),ABS(MOD(A347/Calculator!$F$17,1)-0.5))),1)</f>
        <v>0.015960701754385</v>
      </c>
      <c r="I347" s="136" t="n">
        <f aca="false">IF(Calculator!$E$18="YES",IF(A347&lt;Calculator!$G$18,0,MIN(MIN(MOD(A347/Calculator!$F$18,1),1-MOD(A347/Calculator!$F$18,1)),ABS(MOD(A347/Calculator!$F$18,1)-0.5))),1)</f>
        <v>0.161263157894736</v>
      </c>
      <c r="J347" s="136" t="n">
        <f aca="false">IF(Calculator!$E$19="YES",IF(A347&lt;Calculator!$G$19,0,MIN(MIN(MOD(A347/Calculator!$F$19,1),1-MOD(A347/Calculator!$F$19,1)),ABS(MOD(A347/Calculator!$F$19,1)-0.5))),1)</f>
        <v>0.139312280701755</v>
      </c>
      <c r="K347" s="136" t="n">
        <f aca="false">IF(Calculator!$E$20="YES",IF(A347&lt;Calculator!$G$20,0,MIN(MIN(MOD(A347/Calculator!$F$20,1),1-MOD(A347/Calculator!$F$20,1)),ABS(MOD(A347/Calculator!$F$20,1)-0.5))),1)</f>
        <v>0.0637192982456138</v>
      </c>
      <c r="L347" s="136" t="n">
        <f aca="false">IF(Calculator!$E$21="YES",IF(A347&lt;Calculator!$G$21,0,MIN(MIN(MOD(A347/Calculator!$F$21,1),1-MOD(A347/Calculator!$F$21,1)),ABS(MOD(A347/Calculator!$F$21,1)-0.5))),1)</f>
        <v>0.195438596491227</v>
      </c>
      <c r="M347" s="136" t="n">
        <f aca="false">MIN(B347:L347)</f>
        <v>0.00407017543859656</v>
      </c>
      <c r="N347" s="136" t="n">
        <f aca="false">SUMPRODUCT(($M$5:$M$555&gt;M347)*1)+SUMPRODUCT(($M$5:$M$555=M347)*(ROW($M$5:$M$555)&lt;ROW(M347)))+1</f>
        <v>184</v>
      </c>
      <c r="O347" s="136" t="str">
        <f aca="false">IF(M347&gt;=0.2,"★★★ EXCELLENT",IF(M347&gt;=0.12,"★★  GOOD",IF(M347&gt;=0.07,"★  FAIR",IF(M347&gt;=0.025,"⚠  MARGINAL","✗  AVOID"))))</f>
        <v>✗  AVOID</v>
      </c>
    </row>
    <row r="348" customFormat="false" ht="15" hidden="false" customHeight="false" outlineLevel="0" collapsed="false">
      <c r="A348" s="137" t="n">
        <v>39.3</v>
      </c>
      <c r="B348" s="138" t="n">
        <f aca="false">IF(Calculator!$E$11="YES",IF(A348&lt;Calculator!$G$11,0,MIN(MIN(MOD(A348/Calculator!$F$11,1),1-MOD(A348/Calculator!$F$11,1)),ABS(MOD(A348/Calculator!$F$11,1)-0.5))),1)</f>
        <v>0.0239999999999999</v>
      </c>
      <c r="C348" s="138" t="n">
        <f aca="false">IF(Calculator!$E$12="YES",IF(A348&lt;Calculator!$G$12,0,MIN(MIN(MOD(A348/Calculator!$F$12,1),1-MOD(A348/Calculator!$F$12,1)),ABS(MOD(A348/Calculator!$F$12,1)-0.5))),1)</f>
        <v>0.00663157894736832</v>
      </c>
      <c r="D348" s="138" t="n">
        <f aca="false">IF(Calculator!$E$13="YES",IF(A348&lt;Calculator!$G$13,0,MIN(MIN(MOD(A348/Calculator!$F$13,1),1-MOD(A348/Calculator!$F$13,1)),ABS(MOD(A348/Calculator!$F$13,1)-0.5))),1)</f>
        <v>0.0220442105263159</v>
      </c>
      <c r="E348" s="138" t="n">
        <f aca="false">IF(Calculator!$E$14="YES",IF(A348&lt;Calculator!$G$14,0,MIN(MIN(MOD(A348/Calculator!$F$14,1),1-MOD(A348/Calculator!$F$14,1)),ABS(MOD(A348/Calculator!$F$14,1)-0.5))),1)</f>
        <v>0.0281052631578949</v>
      </c>
      <c r="F348" s="138" t="n">
        <f aca="false">IF(Calculator!$E$15="YES",IF(A348&lt;Calculator!$G$15,0,MIN(MIN(MOD(A348/Calculator!$F$15,1),1-MOD(A348/Calculator!$F$15,1)),ABS(MOD(A348/Calculator!$F$15,1)-0.5))),1)</f>
        <v>0.207631578947369</v>
      </c>
      <c r="G348" s="138" t="n">
        <f aca="false">IF(Calculator!$E$16="YES",IF(A348&lt;Calculator!$G$16,0,MIN(MIN(MOD(A348/Calculator!$F$16,1),1-MOD(A348/Calculator!$F$16,1)),ABS(MOD(A348/Calculator!$F$16,1)-0.5))),1)</f>
        <v>0.0906842105263159</v>
      </c>
      <c r="H348" s="138" t="n">
        <f aca="false">IF(Calculator!$E$17="YES",IF(A348&lt;Calculator!$G$17,0,MIN(MIN(MOD(A348/Calculator!$F$17,1),1-MOD(A348/Calculator!$F$17,1)),ABS(MOD(A348/Calculator!$F$17,1)-0.5))),1)</f>
        <v>0.00324631578947354</v>
      </c>
      <c r="I348" s="138" t="n">
        <f aca="false">IF(Calculator!$E$18="YES",IF(A348&lt;Calculator!$G$18,0,MIN(MIN(MOD(A348/Calculator!$F$18,1),1-MOD(A348/Calculator!$F$18,1)),ABS(MOD(A348/Calculator!$F$18,1)-0.5))),1)</f>
        <v>0.146368421052632</v>
      </c>
      <c r="J348" s="138" t="n">
        <f aca="false">IF(Calculator!$E$19="YES",IF(A348&lt;Calculator!$G$19,0,MIN(MIN(MOD(A348/Calculator!$F$19,1),1-MOD(A348/Calculator!$F$19,1)),ABS(MOD(A348/Calculator!$F$19,1)-0.5))),1)</f>
        <v>0.121810526315791</v>
      </c>
      <c r="K348" s="138" t="n">
        <f aca="false">IF(Calculator!$E$20="YES",IF(A348&lt;Calculator!$G$20,0,MIN(MIN(MOD(A348/Calculator!$F$20,1),1-MOD(A348/Calculator!$F$20,1)),ABS(MOD(A348/Calculator!$F$20,1)-0.5))),1)</f>
        <v>0.043473684210527</v>
      </c>
      <c r="L348" s="138" t="n">
        <f aca="false">IF(Calculator!$E$21="YES",IF(A348&lt;Calculator!$G$21,0,MIN(MIN(MOD(A348/Calculator!$F$21,1),1-MOD(A348/Calculator!$F$21,1)),ABS(MOD(A348/Calculator!$F$21,1)-0.5))),1)</f>
        <v>0.158947368421053</v>
      </c>
      <c r="M348" s="138" t="n">
        <f aca="false">MIN(B348:L348)</f>
        <v>0.00324631578947354</v>
      </c>
      <c r="N348" s="138" t="n">
        <f aca="false">SUMPRODUCT(($M$5:$M$555&gt;M348)*1)+SUMPRODUCT(($M$5:$M$555=M348)*(ROW($M$5:$M$555)&lt;ROW(M348)))+1</f>
        <v>192</v>
      </c>
      <c r="O348" s="138" t="str">
        <f aca="false">IF(M348&gt;=0.2,"★★★ EXCELLENT",IF(M348&gt;=0.12,"★★  GOOD",IF(M348&gt;=0.07,"★  FAIR",IF(M348&gt;=0.025,"⚠  MARGINAL","✗  AVOID"))))</f>
        <v>✗  AVOID</v>
      </c>
    </row>
    <row r="349" customFormat="false" ht="15" hidden="false" customHeight="false" outlineLevel="0" collapsed="false">
      <c r="A349" s="135" t="n">
        <v>39.4</v>
      </c>
      <c r="B349" s="136" t="n">
        <f aca="false">IF(Calculator!$E$11="YES",IF(A349&lt;Calculator!$G$11,0,MIN(MIN(MOD(A349/Calculator!$F$11,1),1-MOD(A349/Calculator!$F$11,1)),ABS(MOD(A349/Calculator!$F$11,1)-0.5))),1)</f>
        <v>0.0253333333333333</v>
      </c>
      <c r="C349" s="136" t="n">
        <f aca="false">IF(Calculator!$E$12="YES",IF(A349&lt;Calculator!$G$12,0,MIN(MIN(MOD(A349/Calculator!$F$12,1),1-MOD(A349/Calculator!$F$12,1)),ABS(MOD(A349/Calculator!$F$12,1)-0.5))),1)</f>
        <v>0.00919298245614031</v>
      </c>
      <c r="D349" s="136" t="n">
        <f aca="false">IF(Calculator!$E$13="YES",IF(A349&lt;Calculator!$G$13,0,MIN(MIN(MOD(A349/Calculator!$F$13,1),1-MOD(A349/Calculator!$F$13,1)),ABS(MOD(A349/Calculator!$F$13,1)-0.5))),1)</f>
        <v>0.01828350877193</v>
      </c>
      <c r="E349" s="136" t="n">
        <f aca="false">IF(Calculator!$E$14="YES",IF(A349&lt;Calculator!$G$14,0,MIN(MIN(MOD(A349/Calculator!$F$14,1),1-MOD(A349/Calculator!$F$14,1)),ABS(MOD(A349/Calculator!$F$14,1)-0.5))),1)</f>
        <v>0.0230877192982457</v>
      </c>
      <c r="F349" s="136" t="n">
        <f aca="false">IF(Calculator!$E$15="YES",IF(A349&lt;Calculator!$G$15,0,MIN(MIN(MOD(A349/Calculator!$F$15,1),1-MOD(A349/Calculator!$F$15,1)),ABS(MOD(A349/Calculator!$F$15,1)-0.5))),1)</f>
        <v>0.200526315789474</v>
      </c>
      <c r="G349" s="136" t="n">
        <f aca="false">IF(Calculator!$E$16="YES",IF(A349&lt;Calculator!$G$16,0,MIN(MIN(MOD(A349/Calculator!$F$16,1),1-MOD(A349/Calculator!$F$16,1)),ABS(MOD(A349/Calculator!$F$16,1)-0.5))),1)</f>
        <v>0.0807368421052628</v>
      </c>
      <c r="H349" s="136" t="n">
        <f aca="false">IF(Calculator!$E$17="YES",IF(A349&lt;Calculator!$G$17,0,MIN(MIN(MOD(A349/Calculator!$F$17,1),1-MOD(A349/Calculator!$F$17,1)),ABS(MOD(A349/Calculator!$F$17,1)-0.5))),1)</f>
        <v>0.00946807017543883</v>
      </c>
      <c r="I349" s="136" t="n">
        <f aca="false">IF(Calculator!$E$18="YES",IF(A349&lt;Calculator!$G$18,0,MIN(MIN(MOD(A349/Calculator!$F$18,1),1-MOD(A349/Calculator!$F$18,1)),ABS(MOD(A349/Calculator!$F$18,1)-0.5))),1)</f>
        <v>0.131473684210526</v>
      </c>
      <c r="J349" s="136" t="n">
        <f aca="false">IF(Calculator!$E$19="YES",IF(A349&lt;Calculator!$G$19,0,MIN(MIN(MOD(A349/Calculator!$F$19,1),1-MOD(A349/Calculator!$F$19,1)),ABS(MOD(A349/Calculator!$F$19,1)-0.5))),1)</f>
        <v>0.104308771929826</v>
      </c>
      <c r="K349" s="136" t="n">
        <f aca="false">IF(Calculator!$E$20="YES",IF(A349&lt;Calculator!$G$20,0,MIN(MIN(MOD(A349/Calculator!$F$20,1),1-MOD(A349/Calculator!$F$20,1)),ABS(MOD(A349/Calculator!$F$20,1)-0.5))),1)</f>
        <v>0.0232280701754393</v>
      </c>
      <c r="L349" s="136" t="n">
        <f aca="false">IF(Calculator!$E$21="YES",IF(A349&lt;Calculator!$G$21,0,MIN(MIN(MOD(A349/Calculator!$F$21,1),1-MOD(A349/Calculator!$F$21,1)),ABS(MOD(A349/Calculator!$F$21,1)-0.5))),1)</f>
        <v>0.122456140350877</v>
      </c>
      <c r="M349" s="136" t="n">
        <f aca="false">MIN(B349:L349)</f>
        <v>0.00919298245614031</v>
      </c>
      <c r="N349" s="136" t="n">
        <f aca="false">SUMPRODUCT(($M$5:$M$555&gt;M349)*1)+SUMPRODUCT(($M$5:$M$555=M349)*(ROW($M$5:$M$555)&lt;ROW(M349)))+1</f>
        <v>141</v>
      </c>
      <c r="O349" s="136" t="str">
        <f aca="false">IF(M349&gt;=0.2,"★★★ EXCELLENT",IF(M349&gt;=0.12,"★★  GOOD",IF(M349&gt;=0.07,"★  FAIR",IF(M349&gt;=0.025,"⚠  MARGINAL","✗  AVOID"))))</f>
        <v>✗  AVOID</v>
      </c>
    </row>
    <row r="350" customFormat="false" ht="15" hidden="false" customHeight="false" outlineLevel="0" collapsed="false">
      <c r="A350" s="137" t="n">
        <v>39.5</v>
      </c>
      <c r="B350" s="138" t="n">
        <f aca="false">IF(Calculator!$E$11="YES",IF(A350&lt;Calculator!$G$11,0,MIN(MIN(MOD(A350/Calculator!$F$11,1),1-MOD(A350/Calculator!$F$11,1)),ABS(MOD(A350/Calculator!$F$11,1)-0.5))),1)</f>
        <v>0.0266666666666666</v>
      </c>
      <c r="C350" s="138" t="n">
        <f aca="false">IF(Calculator!$E$12="YES",IF(A350&lt;Calculator!$G$12,0,MIN(MIN(MOD(A350/Calculator!$F$12,1),1-MOD(A350/Calculator!$F$12,1)),ABS(MOD(A350/Calculator!$F$12,1)-0.5))),1)</f>
        <v>0.0117543859649123</v>
      </c>
      <c r="D350" s="138" t="n">
        <f aca="false">IF(Calculator!$E$13="YES",IF(A350&lt;Calculator!$G$13,0,MIN(MIN(MOD(A350/Calculator!$F$13,1),1-MOD(A350/Calculator!$F$13,1)),ABS(MOD(A350/Calculator!$F$13,1)-0.5))),1)</f>
        <v>0.0145228070175438</v>
      </c>
      <c r="E350" s="138" t="n">
        <f aca="false">IF(Calculator!$E$14="YES",IF(A350&lt;Calculator!$G$14,0,MIN(MIN(MOD(A350/Calculator!$F$14,1),1-MOD(A350/Calculator!$F$14,1)),ABS(MOD(A350/Calculator!$F$14,1)-0.5))),1)</f>
        <v>0.0180701754385966</v>
      </c>
      <c r="F350" s="138" t="n">
        <f aca="false">IF(Calculator!$E$15="YES",IF(A350&lt;Calculator!$G$15,0,MIN(MIN(MOD(A350/Calculator!$F$15,1),1-MOD(A350/Calculator!$F$15,1)),ABS(MOD(A350/Calculator!$F$15,1)-0.5))),1)</f>
        <v>0.193421052631579</v>
      </c>
      <c r="G350" s="138" t="n">
        <f aca="false">IF(Calculator!$E$16="YES",IF(A350&lt;Calculator!$G$16,0,MIN(MIN(MOD(A350/Calculator!$F$16,1),1-MOD(A350/Calculator!$F$16,1)),ABS(MOD(A350/Calculator!$F$16,1)-0.5))),1)</f>
        <v>0.0707894736842101</v>
      </c>
      <c r="H350" s="138" t="n">
        <f aca="false">IF(Calculator!$E$17="YES",IF(A350&lt;Calculator!$G$17,0,MIN(MIN(MOD(A350/Calculator!$F$17,1),1-MOD(A350/Calculator!$F$17,1)),ABS(MOD(A350/Calculator!$F$17,1)-0.5))),1)</f>
        <v>0.0221824561403512</v>
      </c>
      <c r="I350" s="138" t="n">
        <f aca="false">IF(Calculator!$E$18="YES",IF(A350&lt;Calculator!$G$18,0,MIN(MIN(MOD(A350/Calculator!$F$18,1),1-MOD(A350/Calculator!$F$18,1)),ABS(MOD(A350/Calculator!$F$18,1)-0.5))),1)</f>
        <v>0.116578947368421</v>
      </c>
      <c r="J350" s="138" t="n">
        <f aca="false">IF(Calculator!$E$19="YES",IF(A350&lt;Calculator!$G$19,0,MIN(MIN(MOD(A350/Calculator!$F$19,1),1-MOD(A350/Calculator!$F$19,1)),ABS(MOD(A350/Calculator!$F$19,1)-0.5))),1)</f>
        <v>0.0868070175438609</v>
      </c>
      <c r="K350" s="138" t="n">
        <f aca="false">IF(Calculator!$E$20="YES",IF(A350&lt;Calculator!$G$20,0,MIN(MIN(MOD(A350/Calculator!$F$20,1),1-MOD(A350/Calculator!$F$20,1)),ABS(MOD(A350/Calculator!$F$20,1)-0.5))),1)</f>
        <v>0.00298245614035064</v>
      </c>
      <c r="L350" s="138" t="n">
        <f aca="false">IF(Calculator!$E$21="YES",IF(A350&lt;Calculator!$G$21,0,MIN(MIN(MOD(A350/Calculator!$F$21,1),1-MOD(A350/Calculator!$F$21,1)),ABS(MOD(A350/Calculator!$F$21,1)-0.5))),1)</f>
        <v>0.0859649122807014</v>
      </c>
      <c r="M350" s="138" t="n">
        <f aca="false">MIN(B350:L350)</f>
        <v>0.00298245614035064</v>
      </c>
      <c r="N350" s="138" t="n">
        <f aca="false">SUMPRODUCT(($M$5:$M$555&gt;M350)*1)+SUMPRODUCT(($M$5:$M$555=M350)*(ROW($M$5:$M$555)&lt;ROW(M350)))+1</f>
        <v>196</v>
      </c>
      <c r="O350" s="138" t="str">
        <f aca="false">IF(M350&gt;=0.2,"★★★ EXCELLENT",IF(M350&gt;=0.12,"★★  GOOD",IF(M350&gt;=0.07,"★  FAIR",IF(M350&gt;=0.025,"⚠  MARGINAL","✗  AVOID"))))</f>
        <v>✗  AVOID</v>
      </c>
    </row>
    <row r="351" customFormat="false" ht="15" hidden="false" customHeight="false" outlineLevel="0" collapsed="false">
      <c r="A351" s="135" t="n">
        <v>39.6</v>
      </c>
      <c r="B351" s="136" t="n">
        <f aca="false">IF(Calculator!$E$11="YES",IF(A351&lt;Calculator!$G$11,0,MIN(MIN(MOD(A351/Calculator!$F$11,1),1-MOD(A351/Calculator!$F$11,1)),ABS(MOD(A351/Calculator!$F$11,1)-0.5))),1)</f>
        <v>0.028</v>
      </c>
      <c r="C351" s="136" t="n">
        <f aca="false">IF(Calculator!$E$12="YES",IF(A351&lt;Calculator!$G$12,0,MIN(MIN(MOD(A351/Calculator!$F$12,1),1-MOD(A351/Calculator!$F$12,1)),ABS(MOD(A351/Calculator!$F$12,1)-0.5))),1)</f>
        <v>0.0143157894736843</v>
      </c>
      <c r="D351" s="136" t="n">
        <f aca="false">IF(Calculator!$E$13="YES",IF(A351&lt;Calculator!$G$13,0,MIN(MIN(MOD(A351/Calculator!$F$13,1),1-MOD(A351/Calculator!$F$13,1)),ABS(MOD(A351/Calculator!$F$13,1)-0.5))),1)</f>
        <v>0.0107621052631579</v>
      </c>
      <c r="E351" s="136" t="n">
        <f aca="false">IF(Calculator!$E$14="YES",IF(A351&lt;Calculator!$G$14,0,MIN(MIN(MOD(A351/Calculator!$F$14,1),1-MOD(A351/Calculator!$F$14,1)),ABS(MOD(A351/Calculator!$F$14,1)-0.5))),1)</f>
        <v>0.0130526315789472</v>
      </c>
      <c r="F351" s="136" t="n">
        <f aca="false">IF(Calculator!$E$15="YES",IF(A351&lt;Calculator!$G$15,0,MIN(MIN(MOD(A351/Calculator!$F$15,1),1-MOD(A351/Calculator!$F$15,1)),ABS(MOD(A351/Calculator!$F$15,1)-0.5))),1)</f>
        <v>0.186315789473684</v>
      </c>
      <c r="G351" s="136" t="n">
        <f aca="false">IF(Calculator!$E$16="YES",IF(A351&lt;Calculator!$G$16,0,MIN(MIN(MOD(A351/Calculator!$F$16,1),1-MOD(A351/Calculator!$F$16,1)),ABS(MOD(A351/Calculator!$F$16,1)-0.5))),1)</f>
        <v>0.0608421052631574</v>
      </c>
      <c r="H351" s="136" t="n">
        <f aca="false">IF(Calculator!$E$17="YES",IF(A351&lt;Calculator!$G$17,0,MIN(MIN(MOD(A351/Calculator!$F$17,1),1-MOD(A351/Calculator!$F$17,1)),ABS(MOD(A351/Calculator!$F$17,1)-0.5))),1)</f>
        <v>0.0348968421052636</v>
      </c>
      <c r="I351" s="136" t="n">
        <f aca="false">IF(Calculator!$E$18="YES",IF(A351&lt;Calculator!$G$18,0,MIN(MIN(MOD(A351/Calculator!$F$18,1),1-MOD(A351/Calculator!$F$18,1)),ABS(MOD(A351/Calculator!$F$18,1)-0.5))),1)</f>
        <v>0.101684210526315</v>
      </c>
      <c r="J351" s="136" t="n">
        <f aca="false">IF(Calculator!$E$19="YES",IF(A351&lt;Calculator!$G$19,0,MIN(MIN(MOD(A351/Calculator!$F$19,1),1-MOD(A351/Calculator!$F$19,1)),ABS(MOD(A351/Calculator!$F$19,1)-0.5))),1)</f>
        <v>0.0693052631578954</v>
      </c>
      <c r="K351" s="136" t="n">
        <f aca="false">IF(Calculator!$E$20="YES",IF(A351&lt;Calculator!$G$20,0,MIN(MIN(MOD(A351/Calculator!$F$20,1),1-MOD(A351/Calculator!$F$20,1)),ABS(MOD(A351/Calculator!$F$20,1)-0.5))),1)</f>
        <v>0.0172631578947371</v>
      </c>
      <c r="L351" s="136" t="n">
        <f aca="false">IF(Calculator!$E$21="YES",IF(A351&lt;Calculator!$G$21,0,MIN(MIN(MOD(A351/Calculator!$F$21,1),1-MOD(A351/Calculator!$F$21,1)),ABS(MOD(A351/Calculator!$F$21,1)-0.5))),1)</f>
        <v>0.0494736842105255</v>
      </c>
      <c r="M351" s="136" t="n">
        <f aca="false">MIN(B351:L351)</f>
        <v>0.0107621052631579</v>
      </c>
      <c r="N351" s="136" t="n">
        <f aca="false">SUMPRODUCT(($M$5:$M$555&gt;M351)*1)+SUMPRODUCT(($M$5:$M$555=M351)*(ROW($M$5:$M$555)&lt;ROW(M351)))+1</f>
        <v>131</v>
      </c>
      <c r="O351" s="136" t="str">
        <f aca="false">IF(M351&gt;=0.2,"★★★ EXCELLENT",IF(M351&gt;=0.12,"★★  GOOD",IF(M351&gt;=0.07,"★  FAIR",IF(M351&gt;=0.025,"⚠  MARGINAL","✗  AVOID"))))</f>
        <v>✗  AVOID</v>
      </c>
    </row>
    <row r="352" customFormat="false" ht="15" hidden="false" customHeight="false" outlineLevel="0" collapsed="false">
      <c r="A352" s="137" t="n">
        <v>39.7</v>
      </c>
      <c r="B352" s="138" t="n">
        <f aca="false">IF(Calculator!$E$11="YES",IF(A352&lt;Calculator!$G$11,0,MIN(MIN(MOD(A352/Calculator!$F$11,1),1-MOD(A352/Calculator!$F$11,1)),ABS(MOD(A352/Calculator!$F$11,1)-0.5))),1)</f>
        <v>0.0293333333333333</v>
      </c>
      <c r="C352" s="138" t="n">
        <f aca="false">IF(Calculator!$E$12="YES",IF(A352&lt;Calculator!$G$12,0,MIN(MIN(MOD(A352/Calculator!$F$12,1),1-MOD(A352/Calculator!$F$12,1)),ABS(MOD(A352/Calculator!$F$12,1)-0.5))),1)</f>
        <v>0.0168771929824563</v>
      </c>
      <c r="D352" s="138" t="n">
        <f aca="false">IF(Calculator!$E$13="YES",IF(A352&lt;Calculator!$G$13,0,MIN(MIN(MOD(A352/Calculator!$F$13,1),1-MOD(A352/Calculator!$F$13,1)),ABS(MOD(A352/Calculator!$F$13,1)-0.5))),1)</f>
        <v>0.00700140350877199</v>
      </c>
      <c r="E352" s="138" t="n">
        <f aca="false">IF(Calculator!$E$14="YES",IF(A352&lt;Calculator!$G$14,0,MIN(MIN(MOD(A352/Calculator!$F$14,1),1-MOD(A352/Calculator!$F$14,1)),ABS(MOD(A352/Calculator!$F$14,1)-0.5))),1)</f>
        <v>0.00803508771929806</v>
      </c>
      <c r="F352" s="138" t="n">
        <f aca="false">IF(Calculator!$E$15="YES",IF(A352&lt;Calculator!$G$15,0,MIN(MIN(MOD(A352/Calculator!$F$15,1),1-MOD(A352/Calculator!$F$15,1)),ABS(MOD(A352/Calculator!$F$15,1)-0.5))),1)</f>
        <v>0.17921052631579</v>
      </c>
      <c r="G352" s="138" t="n">
        <f aca="false">IF(Calculator!$E$16="YES",IF(A352&lt;Calculator!$G$16,0,MIN(MIN(MOD(A352/Calculator!$F$16,1),1-MOD(A352/Calculator!$F$16,1)),ABS(MOD(A352/Calculator!$F$16,1)-0.5))),1)</f>
        <v>0.0508947368421047</v>
      </c>
      <c r="H352" s="138" t="n">
        <f aca="false">IF(Calculator!$E$17="YES",IF(A352&lt;Calculator!$G$17,0,MIN(MIN(MOD(A352/Calculator!$F$17,1),1-MOD(A352/Calculator!$F$17,1)),ABS(MOD(A352/Calculator!$F$17,1)-0.5))),1)</f>
        <v>0.0476112280701759</v>
      </c>
      <c r="I352" s="138" t="n">
        <f aca="false">IF(Calculator!$E$18="YES",IF(A352&lt;Calculator!$G$18,0,MIN(MIN(MOD(A352/Calculator!$F$18,1),1-MOD(A352/Calculator!$F$18,1)),ABS(MOD(A352/Calculator!$F$18,1)-0.5))),1)</f>
        <v>0.0867894736842096</v>
      </c>
      <c r="J352" s="138" t="n">
        <f aca="false">IF(Calculator!$E$19="YES",IF(A352&lt;Calculator!$G$19,0,MIN(MIN(MOD(A352/Calculator!$F$19,1),1-MOD(A352/Calculator!$F$19,1)),ABS(MOD(A352/Calculator!$F$19,1)-0.5))),1)</f>
        <v>0.0518035087719309</v>
      </c>
      <c r="K352" s="138" t="n">
        <f aca="false">IF(Calculator!$E$20="YES",IF(A352&lt;Calculator!$G$20,0,MIN(MIN(MOD(A352/Calculator!$F$20,1),1-MOD(A352/Calculator!$F$20,1)),ABS(MOD(A352/Calculator!$F$20,1)-0.5))),1)</f>
        <v>0.0375087719298257</v>
      </c>
      <c r="L352" s="138" t="n">
        <f aca="false">IF(Calculator!$E$21="YES",IF(A352&lt;Calculator!$G$21,0,MIN(MIN(MOD(A352/Calculator!$F$21,1),1-MOD(A352/Calculator!$F$21,1)),ABS(MOD(A352/Calculator!$F$21,1)-0.5))),1)</f>
        <v>0.0129824561403495</v>
      </c>
      <c r="M352" s="138" t="n">
        <f aca="false">MIN(B352:L352)</f>
        <v>0.00700140350877199</v>
      </c>
      <c r="N352" s="138" t="n">
        <f aca="false">SUMPRODUCT(($M$5:$M$555&gt;M352)*1)+SUMPRODUCT(($M$5:$M$555=M352)*(ROW($M$5:$M$555)&lt;ROW(M352)))+1</f>
        <v>156</v>
      </c>
      <c r="O352" s="138" t="str">
        <f aca="false">IF(M352&gt;=0.2,"★★★ EXCELLENT",IF(M352&gt;=0.12,"★★  GOOD",IF(M352&gt;=0.07,"★  FAIR",IF(M352&gt;=0.025,"⚠  MARGINAL","✗  AVOID"))))</f>
        <v>✗  AVOID</v>
      </c>
    </row>
    <row r="353" customFormat="false" ht="15" hidden="false" customHeight="false" outlineLevel="0" collapsed="false">
      <c r="A353" s="135" t="n">
        <v>39.8</v>
      </c>
      <c r="B353" s="136" t="n">
        <f aca="false">IF(Calculator!$E$11="YES",IF(A353&lt;Calculator!$G$11,0,MIN(MIN(MOD(A353/Calculator!$F$11,1),1-MOD(A353/Calculator!$F$11,1)),ABS(MOD(A353/Calculator!$F$11,1)-0.5))),1)</f>
        <v>0.0306666666666666</v>
      </c>
      <c r="C353" s="136" t="n">
        <f aca="false">IF(Calculator!$E$12="YES",IF(A353&lt;Calculator!$G$12,0,MIN(MIN(MOD(A353/Calculator!$F$12,1),1-MOD(A353/Calculator!$F$12,1)),ABS(MOD(A353/Calculator!$F$12,1)-0.5))),1)</f>
        <v>0.019438596491228</v>
      </c>
      <c r="D353" s="136" t="n">
        <f aca="false">IF(Calculator!$E$13="YES",IF(A353&lt;Calculator!$G$13,0,MIN(MIN(MOD(A353/Calculator!$F$13,1),1-MOD(A353/Calculator!$F$13,1)),ABS(MOD(A353/Calculator!$F$13,1)-0.5))),1)</f>
        <v>0.00324070175438607</v>
      </c>
      <c r="E353" s="136" t="n">
        <f aca="false">IF(Calculator!$E$14="YES",IF(A353&lt;Calculator!$G$14,0,MIN(MIN(MOD(A353/Calculator!$F$14,1),1-MOD(A353/Calculator!$F$14,1)),ABS(MOD(A353/Calculator!$F$14,1)-0.5))),1)</f>
        <v>0.00301754385964936</v>
      </c>
      <c r="F353" s="136" t="n">
        <f aca="false">IF(Calculator!$E$15="YES",IF(A353&lt;Calculator!$G$15,0,MIN(MIN(MOD(A353/Calculator!$F$15,1),1-MOD(A353/Calculator!$F$15,1)),ABS(MOD(A353/Calculator!$F$15,1)-0.5))),1)</f>
        <v>0.172105263157895</v>
      </c>
      <c r="G353" s="136" t="n">
        <f aca="false">IF(Calculator!$E$16="YES",IF(A353&lt;Calculator!$G$16,0,MIN(MIN(MOD(A353/Calculator!$F$16,1),1-MOD(A353/Calculator!$F$16,1)),ABS(MOD(A353/Calculator!$F$16,1)-0.5))),1)</f>
        <v>0.0409473684210524</v>
      </c>
      <c r="H353" s="136" t="n">
        <f aca="false">IF(Calculator!$E$17="YES",IF(A353&lt;Calculator!$G$17,0,MIN(MIN(MOD(A353/Calculator!$F$17,1),1-MOD(A353/Calculator!$F$17,1)),ABS(MOD(A353/Calculator!$F$17,1)-0.5))),1)</f>
        <v>0.0603256140350883</v>
      </c>
      <c r="I353" s="136" t="n">
        <f aca="false">IF(Calculator!$E$18="YES",IF(A353&lt;Calculator!$G$18,0,MIN(MIN(MOD(A353/Calculator!$F$18,1),1-MOD(A353/Calculator!$F$18,1)),ABS(MOD(A353/Calculator!$F$18,1)-0.5))),1)</f>
        <v>0.0718947368421059</v>
      </c>
      <c r="J353" s="136" t="n">
        <f aca="false">IF(Calculator!$E$19="YES",IF(A353&lt;Calculator!$G$19,0,MIN(MIN(MOD(A353/Calculator!$F$19,1),1-MOD(A353/Calculator!$F$19,1)),ABS(MOD(A353/Calculator!$F$19,1)-0.5))),1)</f>
        <v>0.0343017543859663</v>
      </c>
      <c r="K353" s="136" t="n">
        <f aca="false">IF(Calculator!$E$20="YES",IF(A353&lt;Calculator!$G$20,0,MIN(MIN(MOD(A353/Calculator!$F$20,1),1-MOD(A353/Calculator!$F$20,1)),ABS(MOD(A353/Calculator!$F$20,1)-0.5))),1)</f>
        <v>0.0577543859649108</v>
      </c>
      <c r="L353" s="136" t="n">
        <f aca="false">IF(Calculator!$E$21="YES",IF(A353&lt;Calculator!$G$21,0,MIN(MIN(MOD(A353/Calculator!$F$21,1),1-MOD(A353/Calculator!$F$21,1)),ABS(MOD(A353/Calculator!$F$21,1)-0.5))),1)</f>
        <v>0.0235087719298228</v>
      </c>
      <c r="M353" s="136" t="n">
        <f aca="false">MIN(B353:L353)</f>
        <v>0.00301754385964936</v>
      </c>
      <c r="N353" s="136" t="n">
        <f aca="false">SUMPRODUCT(($M$5:$M$555&gt;M353)*1)+SUMPRODUCT(($M$5:$M$555=M353)*(ROW($M$5:$M$555)&lt;ROW(M353)))+1</f>
        <v>195</v>
      </c>
      <c r="O353" s="136" t="str">
        <f aca="false">IF(M353&gt;=0.2,"★★★ EXCELLENT",IF(M353&gt;=0.12,"★★  GOOD",IF(M353&gt;=0.07,"★  FAIR",IF(M353&gt;=0.025,"⚠  MARGINAL","✗  AVOID"))))</f>
        <v>✗  AVOID</v>
      </c>
    </row>
    <row r="354" customFormat="false" ht="15" hidden="false" customHeight="false" outlineLevel="0" collapsed="false">
      <c r="A354" s="137" t="n">
        <v>39.9</v>
      </c>
      <c r="B354" s="138" t="n">
        <f aca="false">IF(Calculator!$E$11="YES",IF(A354&lt;Calculator!$G$11,0,MIN(MIN(MOD(A354/Calculator!$F$11,1),1-MOD(A354/Calculator!$F$11,1)),ABS(MOD(A354/Calculator!$F$11,1)-0.5))),1)</f>
        <v>0.032</v>
      </c>
      <c r="C354" s="138" t="n">
        <f aca="false">IF(Calculator!$E$12="YES",IF(A354&lt;Calculator!$G$12,0,MIN(MIN(MOD(A354/Calculator!$F$12,1),1-MOD(A354/Calculator!$F$12,1)),ABS(MOD(A354/Calculator!$F$12,1)-0.5))),1)</f>
        <v>0.022</v>
      </c>
      <c r="D354" s="138" t="n">
        <f aca="false">IF(Calculator!$E$13="YES",IF(A354&lt;Calculator!$G$13,0,MIN(MIN(MOD(A354/Calculator!$F$13,1),1-MOD(A354/Calculator!$F$13,1)),ABS(MOD(A354/Calculator!$F$13,1)-0.5))),1)</f>
        <v>0.000519999999999854</v>
      </c>
      <c r="E354" s="138" t="n">
        <f aca="false">IF(Calculator!$E$14="YES",IF(A354&lt;Calculator!$G$14,0,MIN(MIN(MOD(A354/Calculator!$F$14,1),1-MOD(A354/Calculator!$F$14,1)),ABS(MOD(A354/Calculator!$F$14,1)-0.5))),1)</f>
        <v>0.00199999999999978</v>
      </c>
      <c r="F354" s="138" t="n">
        <f aca="false">IF(Calculator!$E$15="YES",IF(A354&lt;Calculator!$G$15,0,MIN(MIN(MOD(A354/Calculator!$F$15,1),1-MOD(A354/Calculator!$F$15,1)),ABS(MOD(A354/Calculator!$F$15,1)-0.5))),1)</f>
        <v>0.165</v>
      </c>
      <c r="G354" s="138" t="n">
        <f aca="false">IF(Calculator!$E$16="YES",IF(A354&lt;Calculator!$G$16,0,MIN(MIN(MOD(A354/Calculator!$F$16,1),1-MOD(A354/Calculator!$F$16,1)),ABS(MOD(A354/Calculator!$F$16,1)-0.5))),1)</f>
        <v>0.0309999999999997</v>
      </c>
      <c r="H354" s="138" t="n">
        <f aca="false">IF(Calculator!$E$17="YES",IF(A354&lt;Calculator!$G$17,0,MIN(MIN(MOD(A354/Calculator!$F$17,1),1-MOD(A354/Calculator!$F$17,1)),ABS(MOD(A354/Calculator!$F$17,1)-0.5))),1)</f>
        <v>0.0730400000000007</v>
      </c>
      <c r="I354" s="138" t="n">
        <f aca="false">IF(Calculator!$E$18="YES",IF(A354&lt;Calculator!$G$18,0,MIN(MIN(MOD(A354/Calculator!$F$18,1),1-MOD(A354/Calculator!$F$18,1)),ABS(MOD(A354/Calculator!$F$18,1)-0.5))),1)</f>
        <v>0.0570000000000004</v>
      </c>
      <c r="J354" s="138" t="n">
        <f aca="false">IF(Calculator!$E$19="YES",IF(A354&lt;Calculator!$G$19,0,MIN(MIN(MOD(A354/Calculator!$F$19,1),1-MOD(A354/Calculator!$F$19,1)),ABS(MOD(A354/Calculator!$F$19,1)-0.5))),1)</f>
        <v>0.0168000000000017</v>
      </c>
      <c r="K354" s="138" t="n">
        <f aca="false">IF(Calculator!$E$20="YES",IF(A354&lt;Calculator!$G$20,0,MIN(MIN(MOD(A354/Calculator!$F$20,1),1-MOD(A354/Calculator!$F$20,1)),ABS(MOD(A354/Calculator!$F$20,1)-0.5))),1)</f>
        <v>0.0779999999999994</v>
      </c>
      <c r="L354" s="138" t="n">
        <f aca="false">IF(Calculator!$E$21="YES",IF(A354&lt;Calculator!$G$21,0,MIN(MIN(MOD(A354/Calculator!$F$21,1),1-MOD(A354/Calculator!$F$21,1)),ABS(MOD(A354/Calculator!$F$21,1)-0.5))),1)</f>
        <v>0.0599999999999987</v>
      </c>
      <c r="M354" s="138" t="n">
        <f aca="false">MIN(B354:L354)</f>
        <v>0.000519999999999854</v>
      </c>
      <c r="N354" s="138" t="n">
        <f aca="false">SUMPRODUCT(($M$5:$M$555&gt;M354)*1)+SUMPRODUCT(($M$5:$M$555=M354)*(ROW($M$5:$M$555)&lt;ROW(M354)))+1</f>
        <v>222</v>
      </c>
      <c r="O354" s="138" t="str">
        <f aca="false">IF(M354&gt;=0.2,"★★★ EXCELLENT",IF(M354&gt;=0.12,"★★  GOOD",IF(M354&gt;=0.07,"★  FAIR",IF(M354&gt;=0.025,"⚠  MARGINAL","✗  AVOID"))))</f>
        <v>✗  AVOID</v>
      </c>
    </row>
    <row r="355" customFormat="false" ht="15" hidden="false" customHeight="false" outlineLevel="0" collapsed="false">
      <c r="A355" s="135" t="n">
        <v>40</v>
      </c>
      <c r="B355" s="136" t="n">
        <f aca="false">IF(Calculator!$E$11="YES",IF(A355&lt;Calculator!$G$11,0,MIN(MIN(MOD(A355/Calculator!$F$11,1),1-MOD(A355/Calculator!$F$11,1)),ABS(MOD(A355/Calculator!$F$11,1)-0.5))),1)</f>
        <v>0.0333333333333333</v>
      </c>
      <c r="C355" s="136" t="n">
        <f aca="false">IF(Calculator!$E$12="YES",IF(A355&lt;Calculator!$G$12,0,MIN(MIN(MOD(A355/Calculator!$F$12,1),1-MOD(A355/Calculator!$F$12,1)),ABS(MOD(A355/Calculator!$F$12,1)-0.5))),1)</f>
        <v>0.024561403508772</v>
      </c>
      <c r="D355" s="136" t="n">
        <f aca="false">IF(Calculator!$E$13="YES",IF(A355&lt;Calculator!$G$13,0,MIN(MIN(MOD(A355/Calculator!$F$13,1),1-MOD(A355/Calculator!$F$13,1)),ABS(MOD(A355/Calculator!$F$13,1)-0.5))),1)</f>
        <v>0.004280701754386</v>
      </c>
      <c r="E355" s="136" t="n">
        <f aca="false">IF(Calculator!$E$14="YES",IF(A355&lt;Calculator!$G$14,0,MIN(MIN(MOD(A355/Calculator!$F$14,1),1-MOD(A355/Calculator!$F$14,1)),ABS(MOD(A355/Calculator!$F$14,1)-0.5))),1)</f>
        <v>0.00701754385964915</v>
      </c>
      <c r="F355" s="136" t="n">
        <f aca="false">IF(Calculator!$E$15="YES",IF(A355&lt;Calculator!$G$15,0,MIN(MIN(MOD(A355/Calculator!$F$15,1),1-MOD(A355/Calculator!$F$15,1)),ABS(MOD(A355/Calculator!$F$15,1)-0.5))),1)</f>
        <v>0.157894736842105</v>
      </c>
      <c r="G355" s="136" t="n">
        <f aca="false">IF(Calculator!$E$16="YES",IF(A355&lt;Calculator!$G$16,0,MIN(MIN(MOD(A355/Calculator!$F$16,1),1-MOD(A355/Calculator!$F$16,1)),ABS(MOD(A355/Calculator!$F$16,1)-0.5))),1)</f>
        <v>0.021052631578947</v>
      </c>
      <c r="H355" s="136" t="n">
        <f aca="false">IF(Calculator!$E$17="YES",IF(A355&lt;Calculator!$G$17,0,MIN(MIN(MOD(A355/Calculator!$F$17,1),1-MOD(A355/Calculator!$F$17,1)),ABS(MOD(A355/Calculator!$F$17,1)-0.5))),1)</f>
        <v>0.085754385964913</v>
      </c>
      <c r="I355" s="136" t="n">
        <f aca="false">IF(Calculator!$E$18="YES",IF(A355&lt;Calculator!$G$18,0,MIN(MIN(MOD(A355/Calculator!$F$18,1),1-MOD(A355/Calculator!$F$18,1)),ABS(MOD(A355/Calculator!$F$18,1)-0.5))),1)</f>
        <v>0.0421052631578949</v>
      </c>
      <c r="J355" s="136" t="n">
        <f aca="false">IF(Calculator!$E$19="YES",IF(A355&lt;Calculator!$G$19,0,MIN(MIN(MOD(A355/Calculator!$F$19,1),1-MOD(A355/Calculator!$F$19,1)),ABS(MOD(A355/Calculator!$F$19,1)-0.5))),1)</f>
        <v>0.00070175438596376</v>
      </c>
      <c r="K355" s="136" t="n">
        <f aca="false">IF(Calculator!$E$20="YES",IF(A355&lt;Calculator!$G$20,0,MIN(MIN(MOD(A355/Calculator!$F$20,1),1-MOD(A355/Calculator!$F$20,1)),ABS(MOD(A355/Calculator!$F$20,1)-0.5))),1)</f>
        <v>0.098245614035088</v>
      </c>
      <c r="L355" s="136" t="n">
        <f aca="false">IF(Calculator!$E$21="YES",IF(A355&lt;Calculator!$G$21,0,MIN(MIN(MOD(A355/Calculator!$F$21,1),1-MOD(A355/Calculator!$F$21,1)),ABS(MOD(A355/Calculator!$F$21,1)-0.5))),1)</f>
        <v>0.0964912280701746</v>
      </c>
      <c r="M355" s="136" t="n">
        <f aca="false">MIN(B355:L355)</f>
        <v>0.00070175438596376</v>
      </c>
      <c r="N355" s="136" t="n">
        <f aca="false">SUMPRODUCT(($M$5:$M$555&gt;M355)*1)+SUMPRODUCT(($M$5:$M$555=M355)*(ROW($M$5:$M$555)&lt;ROW(M355)))+1</f>
        <v>219</v>
      </c>
      <c r="O355" s="136" t="str">
        <f aca="false">IF(M355&gt;=0.2,"★★★ EXCELLENT",IF(M355&gt;=0.12,"★★  GOOD",IF(M355&gt;=0.07,"★  FAIR",IF(M355&gt;=0.025,"⚠  MARGINAL","✗  AVOID"))))</f>
        <v>✗  AVOID</v>
      </c>
    </row>
    <row r="356" customFormat="false" ht="15" hidden="false" customHeight="false" outlineLevel="0" collapsed="false">
      <c r="A356" s="137" t="n">
        <v>40.1</v>
      </c>
      <c r="B356" s="138" t="n">
        <f aca="false">IF(Calculator!$E$11="YES",IF(A356&lt;Calculator!$G$11,0,MIN(MIN(MOD(A356/Calculator!$F$11,1),1-MOD(A356/Calculator!$F$11,1)),ABS(MOD(A356/Calculator!$F$11,1)-0.5))),1)</f>
        <v>0.0346666666666667</v>
      </c>
      <c r="C356" s="138" t="n">
        <f aca="false">IF(Calculator!$E$12="YES",IF(A356&lt;Calculator!$G$12,0,MIN(MIN(MOD(A356/Calculator!$F$12,1),1-MOD(A356/Calculator!$F$12,1)),ABS(MOD(A356/Calculator!$F$12,1)-0.5))),1)</f>
        <v>0.027122807017544</v>
      </c>
      <c r="D356" s="138" t="n">
        <f aca="false">IF(Calculator!$E$13="YES",IF(A356&lt;Calculator!$G$13,0,MIN(MIN(MOD(A356/Calculator!$F$13,1),1-MOD(A356/Calculator!$F$13,1)),ABS(MOD(A356/Calculator!$F$13,1)-0.5))),1)</f>
        <v>0.00804140350877192</v>
      </c>
      <c r="E356" s="138" t="n">
        <f aca="false">IF(Calculator!$E$14="YES",IF(A356&lt;Calculator!$G$14,0,MIN(MIN(MOD(A356/Calculator!$F$14,1),1-MOD(A356/Calculator!$F$14,1)),ABS(MOD(A356/Calculator!$F$14,1)-0.5))),1)</f>
        <v>0.0120350877192985</v>
      </c>
      <c r="F356" s="138" t="n">
        <f aca="false">IF(Calculator!$E$15="YES",IF(A356&lt;Calculator!$G$15,0,MIN(MIN(MOD(A356/Calculator!$F$15,1),1-MOD(A356/Calculator!$F$15,1)),ABS(MOD(A356/Calculator!$F$15,1)-0.5))),1)</f>
        <v>0.150789473684211</v>
      </c>
      <c r="G356" s="138" t="n">
        <f aca="false">IF(Calculator!$E$16="YES",IF(A356&lt;Calculator!$G$16,0,MIN(MIN(MOD(A356/Calculator!$F$16,1),1-MOD(A356/Calculator!$F$16,1)),ABS(MOD(A356/Calculator!$F$16,1)-0.5))),1)</f>
        <v>0.0111052631578943</v>
      </c>
      <c r="H356" s="138" t="n">
        <f aca="false">IF(Calculator!$E$17="YES",IF(A356&lt;Calculator!$G$17,0,MIN(MIN(MOD(A356/Calculator!$F$17,1),1-MOD(A356/Calculator!$F$17,1)),ABS(MOD(A356/Calculator!$F$17,1)-0.5))),1)</f>
        <v>0.0984687719298254</v>
      </c>
      <c r="I356" s="138" t="n">
        <f aca="false">IF(Calculator!$E$18="YES",IF(A356&lt;Calculator!$G$18,0,MIN(MIN(MOD(A356/Calculator!$F$18,1),1-MOD(A356/Calculator!$F$18,1)),ABS(MOD(A356/Calculator!$F$18,1)-0.5))),1)</f>
        <v>0.0272105263157894</v>
      </c>
      <c r="J356" s="138" t="n">
        <f aca="false">IF(Calculator!$E$19="YES",IF(A356&lt;Calculator!$G$19,0,MIN(MIN(MOD(A356/Calculator!$F$19,1),1-MOD(A356/Calculator!$F$19,1)),ABS(MOD(A356/Calculator!$F$19,1)-0.5))),1)</f>
        <v>0.0182035087719292</v>
      </c>
      <c r="K356" s="138" t="n">
        <f aca="false">IF(Calculator!$E$20="YES",IF(A356&lt;Calculator!$G$20,0,MIN(MIN(MOD(A356/Calculator!$F$20,1),1-MOD(A356/Calculator!$F$20,1)),ABS(MOD(A356/Calculator!$F$20,1)-0.5))),1)</f>
        <v>0.118491228070175</v>
      </c>
      <c r="L356" s="138" t="n">
        <f aca="false">IF(Calculator!$E$21="YES",IF(A356&lt;Calculator!$G$21,0,MIN(MIN(MOD(A356/Calculator!$F$21,1),1-MOD(A356/Calculator!$F$21,1)),ABS(MOD(A356/Calculator!$F$21,1)-0.5))),1)</f>
        <v>0.132982456140351</v>
      </c>
      <c r="M356" s="138" t="n">
        <f aca="false">MIN(B356:L356)</f>
        <v>0.00804140350877192</v>
      </c>
      <c r="N356" s="138" t="n">
        <f aca="false">SUMPRODUCT(($M$5:$M$555&gt;M356)*1)+SUMPRODUCT(($M$5:$M$555=M356)*(ROW($M$5:$M$555)&lt;ROW(M356)))+1</f>
        <v>150</v>
      </c>
      <c r="O356" s="138" t="str">
        <f aca="false">IF(M356&gt;=0.2,"★★★ EXCELLENT",IF(M356&gt;=0.12,"★★  GOOD",IF(M356&gt;=0.07,"★  FAIR",IF(M356&gt;=0.025,"⚠  MARGINAL","✗  AVOID"))))</f>
        <v>✗  AVOID</v>
      </c>
    </row>
    <row r="357" customFormat="false" ht="15" hidden="false" customHeight="false" outlineLevel="0" collapsed="false">
      <c r="A357" s="135" t="n">
        <v>40.2</v>
      </c>
      <c r="B357" s="136" t="n">
        <f aca="false">IF(Calculator!$E$11="YES",IF(A357&lt;Calculator!$G$11,0,MIN(MIN(MOD(A357/Calculator!$F$11,1),1-MOD(A357/Calculator!$F$11,1)),ABS(MOD(A357/Calculator!$F$11,1)-0.5))),1)</f>
        <v>0.036</v>
      </c>
      <c r="C357" s="136" t="n">
        <f aca="false">IF(Calculator!$E$12="YES",IF(A357&lt;Calculator!$G$12,0,MIN(MIN(MOD(A357/Calculator!$F$12,1),1-MOD(A357/Calculator!$F$12,1)),ABS(MOD(A357/Calculator!$F$12,1)-0.5))),1)</f>
        <v>0.029684210526316</v>
      </c>
      <c r="D357" s="136" t="n">
        <f aca="false">IF(Calculator!$E$13="YES",IF(A357&lt;Calculator!$G$13,0,MIN(MIN(MOD(A357/Calculator!$F$13,1),1-MOD(A357/Calculator!$F$13,1)),ABS(MOD(A357/Calculator!$F$13,1)-0.5))),1)</f>
        <v>0.0118021052631578</v>
      </c>
      <c r="E357" s="136" t="n">
        <f aca="false">IF(Calculator!$E$14="YES",IF(A357&lt;Calculator!$G$14,0,MIN(MIN(MOD(A357/Calculator!$F$14,1),1-MOD(A357/Calculator!$F$14,1)),ABS(MOD(A357/Calculator!$F$14,1)-0.5))),1)</f>
        <v>0.0170526315789474</v>
      </c>
      <c r="F357" s="136" t="n">
        <f aca="false">IF(Calculator!$E$15="YES",IF(A357&lt;Calculator!$G$15,0,MIN(MIN(MOD(A357/Calculator!$F$15,1),1-MOD(A357/Calculator!$F$15,1)),ABS(MOD(A357/Calculator!$F$15,1)-0.5))),1)</f>
        <v>0.143684210526316</v>
      </c>
      <c r="G357" s="136" t="n">
        <f aca="false">IF(Calculator!$E$16="YES",IF(A357&lt;Calculator!$G$16,0,MIN(MIN(MOD(A357/Calculator!$F$16,1),1-MOD(A357/Calculator!$F$16,1)),ABS(MOD(A357/Calculator!$F$16,1)-0.5))),1)</f>
        <v>0.00115789473684158</v>
      </c>
      <c r="H357" s="136" t="n">
        <f aca="false">IF(Calculator!$E$17="YES",IF(A357&lt;Calculator!$G$17,0,MIN(MIN(MOD(A357/Calculator!$F$17,1),1-MOD(A357/Calculator!$F$17,1)),ABS(MOD(A357/Calculator!$F$17,1)-0.5))),1)</f>
        <v>0.111183157894738</v>
      </c>
      <c r="I357" s="136" t="n">
        <f aca="false">IF(Calculator!$E$18="YES",IF(A357&lt;Calculator!$G$18,0,MIN(MIN(MOD(A357/Calculator!$F$18,1),1-MOD(A357/Calculator!$F$18,1)),ABS(MOD(A357/Calculator!$F$18,1)-0.5))),1)</f>
        <v>0.0123157894736838</v>
      </c>
      <c r="J357" s="136" t="n">
        <f aca="false">IF(Calculator!$E$19="YES",IF(A357&lt;Calculator!$G$19,0,MIN(MIN(MOD(A357/Calculator!$F$19,1),1-MOD(A357/Calculator!$F$19,1)),ABS(MOD(A357/Calculator!$F$19,1)-0.5))),1)</f>
        <v>0.0357052631578938</v>
      </c>
      <c r="K357" s="136" t="n">
        <f aca="false">IF(Calculator!$E$20="YES",IF(A357&lt;Calculator!$G$20,0,MIN(MIN(MOD(A357/Calculator!$F$20,1),1-MOD(A357/Calculator!$F$20,1)),ABS(MOD(A357/Calculator!$F$20,1)-0.5))),1)</f>
        <v>0.138736842105264</v>
      </c>
      <c r="L357" s="136" t="n">
        <f aca="false">IF(Calculator!$E$21="YES",IF(A357&lt;Calculator!$G$21,0,MIN(MIN(MOD(A357/Calculator!$F$21,1),1-MOD(A357/Calculator!$F$21,1)),ABS(MOD(A357/Calculator!$F$21,1)-0.5))),1)</f>
        <v>0.169473684210526</v>
      </c>
      <c r="M357" s="136" t="n">
        <f aca="false">MIN(B357:L357)</f>
        <v>0.00115789473684158</v>
      </c>
      <c r="N357" s="136" t="n">
        <f aca="false">SUMPRODUCT(($M$5:$M$555&gt;M357)*1)+SUMPRODUCT(($M$5:$M$555=M357)*(ROW($M$5:$M$555)&lt;ROW(M357)))+1</f>
        <v>213</v>
      </c>
      <c r="O357" s="136" t="str">
        <f aca="false">IF(M357&gt;=0.2,"★★★ EXCELLENT",IF(M357&gt;=0.12,"★★  GOOD",IF(M357&gt;=0.07,"★  FAIR",IF(M357&gt;=0.025,"⚠  MARGINAL","✗  AVOID"))))</f>
        <v>✗  AVOID</v>
      </c>
    </row>
    <row r="358" customFormat="false" ht="15" hidden="false" customHeight="false" outlineLevel="0" collapsed="false">
      <c r="A358" s="137" t="n">
        <v>40.3</v>
      </c>
      <c r="B358" s="138" t="n">
        <f aca="false">IF(Calculator!$E$11="YES",IF(A358&lt;Calculator!$G$11,0,MIN(MIN(MOD(A358/Calculator!$F$11,1),1-MOD(A358/Calculator!$F$11,1)),ABS(MOD(A358/Calculator!$F$11,1)-0.5))),1)</f>
        <v>0.0373333333333333</v>
      </c>
      <c r="C358" s="138" t="n">
        <f aca="false">IF(Calculator!$E$12="YES",IF(A358&lt;Calculator!$G$12,0,MIN(MIN(MOD(A358/Calculator!$F$12,1),1-MOD(A358/Calculator!$F$12,1)),ABS(MOD(A358/Calculator!$F$12,1)-0.5))),1)</f>
        <v>0.0322456140350877</v>
      </c>
      <c r="D358" s="138" t="n">
        <f aca="false">IF(Calculator!$E$13="YES",IF(A358&lt;Calculator!$G$13,0,MIN(MIN(MOD(A358/Calculator!$F$13,1),1-MOD(A358/Calculator!$F$13,1)),ABS(MOD(A358/Calculator!$F$13,1)-0.5))),1)</f>
        <v>0.0155628070175438</v>
      </c>
      <c r="E358" s="138" t="n">
        <f aca="false">IF(Calculator!$E$14="YES",IF(A358&lt;Calculator!$G$14,0,MIN(MIN(MOD(A358/Calculator!$F$14,1),1-MOD(A358/Calculator!$F$14,1)),ABS(MOD(A358/Calculator!$F$14,1)-0.5))),1)</f>
        <v>0.0220701754385964</v>
      </c>
      <c r="F358" s="138" t="n">
        <f aca="false">IF(Calculator!$E$15="YES",IF(A358&lt;Calculator!$G$15,0,MIN(MIN(MOD(A358/Calculator!$F$15,1),1-MOD(A358/Calculator!$F$15,1)),ABS(MOD(A358/Calculator!$F$15,1)-0.5))),1)</f>
        <v>0.136578947368421</v>
      </c>
      <c r="G358" s="138" t="n">
        <f aca="false">IF(Calculator!$E$16="YES",IF(A358&lt;Calculator!$G$16,0,MIN(MIN(MOD(A358/Calculator!$F$16,1),1-MOD(A358/Calculator!$F$16,1)),ABS(MOD(A358/Calculator!$F$16,1)-0.5))),1)</f>
        <v>0.00878947368421024</v>
      </c>
      <c r="H358" s="138" t="n">
        <f aca="false">IF(Calculator!$E$17="YES",IF(A358&lt;Calculator!$G$17,0,MIN(MIN(MOD(A358/Calculator!$F$17,1),1-MOD(A358/Calculator!$F$17,1)),ABS(MOD(A358/Calculator!$F$17,1)-0.5))),1)</f>
        <v>0.123897543859649</v>
      </c>
      <c r="I358" s="138" t="n">
        <f aca="false">IF(Calculator!$E$18="YES",IF(A358&lt;Calculator!$G$18,0,MIN(MIN(MOD(A358/Calculator!$F$18,1),1-MOD(A358/Calculator!$F$18,1)),ABS(MOD(A358/Calculator!$F$18,1)-0.5))),1)</f>
        <v>0.00257894736842079</v>
      </c>
      <c r="J358" s="138" t="n">
        <f aca="false">IF(Calculator!$E$19="YES",IF(A358&lt;Calculator!$G$19,0,MIN(MIN(MOD(A358/Calculator!$F$19,1),1-MOD(A358/Calculator!$F$19,1)),ABS(MOD(A358/Calculator!$F$19,1)-0.5))),1)</f>
        <v>0.0532070175438584</v>
      </c>
      <c r="K358" s="138" t="n">
        <f aca="false">IF(Calculator!$E$20="YES",IF(A358&lt;Calculator!$G$20,0,MIN(MIN(MOD(A358/Calculator!$F$20,1),1-MOD(A358/Calculator!$F$20,1)),ABS(MOD(A358/Calculator!$F$20,1)-0.5))),1)</f>
        <v>0.15898245614035</v>
      </c>
      <c r="L358" s="138" t="n">
        <f aca="false">IF(Calculator!$E$21="YES",IF(A358&lt;Calculator!$G$21,0,MIN(MIN(MOD(A358/Calculator!$F$21,1),1-MOD(A358/Calculator!$F$21,1)),ABS(MOD(A358/Calculator!$F$21,1)-0.5))),1)</f>
        <v>0.205964912280701</v>
      </c>
      <c r="M358" s="138" t="n">
        <f aca="false">MIN(B358:L358)</f>
        <v>0.00257894736842079</v>
      </c>
      <c r="N358" s="138" t="n">
        <f aca="false">SUMPRODUCT(($M$5:$M$555&gt;M358)*1)+SUMPRODUCT(($M$5:$M$555=M358)*(ROW($M$5:$M$555)&lt;ROW(M358)))+1</f>
        <v>201</v>
      </c>
      <c r="O358" s="138" t="str">
        <f aca="false">IF(M358&gt;=0.2,"★★★ EXCELLENT",IF(M358&gt;=0.12,"★★  GOOD",IF(M358&gt;=0.07,"★  FAIR",IF(M358&gt;=0.025,"⚠  MARGINAL","✗  AVOID"))))</f>
        <v>✗  AVOID</v>
      </c>
    </row>
    <row r="359" customFormat="false" ht="15" hidden="false" customHeight="false" outlineLevel="0" collapsed="false">
      <c r="A359" s="135" t="n">
        <v>40.4</v>
      </c>
      <c r="B359" s="136" t="n">
        <f aca="false">IF(Calculator!$E$11="YES",IF(A359&lt;Calculator!$G$11,0,MIN(MIN(MOD(A359/Calculator!$F$11,1),1-MOD(A359/Calculator!$F$11,1)),ABS(MOD(A359/Calculator!$F$11,1)-0.5))),1)</f>
        <v>0.0386666666666666</v>
      </c>
      <c r="C359" s="136" t="n">
        <f aca="false">IF(Calculator!$E$12="YES",IF(A359&lt;Calculator!$G$12,0,MIN(MIN(MOD(A359/Calculator!$F$12,1),1-MOD(A359/Calculator!$F$12,1)),ABS(MOD(A359/Calculator!$F$12,1)-0.5))),1)</f>
        <v>0.0348070175438597</v>
      </c>
      <c r="D359" s="136" t="n">
        <f aca="false">IF(Calculator!$E$13="YES",IF(A359&lt;Calculator!$G$13,0,MIN(MIN(MOD(A359/Calculator!$F$13,1),1-MOD(A359/Calculator!$F$13,1)),ABS(MOD(A359/Calculator!$F$13,1)-0.5))),1)</f>
        <v>0.0193235087719297</v>
      </c>
      <c r="E359" s="136" t="n">
        <f aca="false">IF(Calculator!$E$14="YES",IF(A359&lt;Calculator!$G$14,0,MIN(MIN(MOD(A359/Calculator!$F$14,1),1-MOD(A359/Calculator!$F$14,1)),ABS(MOD(A359/Calculator!$F$14,1)-0.5))),1)</f>
        <v>0.0270877192982457</v>
      </c>
      <c r="F359" s="136" t="n">
        <f aca="false">IF(Calculator!$E$15="YES",IF(A359&lt;Calculator!$G$15,0,MIN(MIN(MOD(A359/Calculator!$F$15,1),1-MOD(A359/Calculator!$F$15,1)),ABS(MOD(A359/Calculator!$F$15,1)-0.5))),1)</f>
        <v>0.129473684210526</v>
      </c>
      <c r="G359" s="136" t="n">
        <f aca="false">IF(Calculator!$E$16="YES",IF(A359&lt;Calculator!$G$16,0,MIN(MIN(MOD(A359/Calculator!$F$16,1),1-MOD(A359/Calculator!$F$16,1)),ABS(MOD(A359/Calculator!$F$16,1)-0.5))),1)</f>
        <v>0.0187368421052634</v>
      </c>
      <c r="H359" s="136" t="n">
        <f aca="false">IF(Calculator!$E$17="YES",IF(A359&lt;Calculator!$G$17,0,MIN(MIN(MOD(A359/Calculator!$F$17,1),1-MOD(A359/Calculator!$F$17,1)),ABS(MOD(A359/Calculator!$F$17,1)-0.5))),1)</f>
        <v>0.136611929824562</v>
      </c>
      <c r="I359" s="136" t="n">
        <f aca="false">IF(Calculator!$E$18="YES",IF(A359&lt;Calculator!$G$18,0,MIN(MIN(MOD(A359/Calculator!$F$18,1),1-MOD(A359/Calculator!$F$18,1)),ABS(MOD(A359/Calculator!$F$18,1)-0.5))),1)</f>
        <v>0.0174736842105263</v>
      </c>
      <c r="J359" s="136" t="n">
        <f aca="false">IF(Calculator!$E$19="YES",IF(A359&lt;Calculator!$G$19,0,MIN(MIN(MOD(A359/Calculator!$F$19,1),1-MOD(A359/Calculator!$F$19,1)),ABS(MOD(A359/Calculator!$F$19,1)-0.5))),1)</f>
        <v>0.0707087719298229</v>
      </c>
      <c r="K359" s="136" t="n">
        <f aca="false">IF(Calculator!$E$20="YES",IF(A359&lt;Calculator!$G$20,0,MIN(MIN(MOD(A359/Calculator!$F$20,1),1-MOD(A359/Calculator!$F$20,1)),ABS(MOD(A359/Calculator!$F$20,1)-0.5))),1)</f>
        <v>0.179228070175439</v>
      </c>
      <c r="L359" s="136" t="n">
        <f aca="false">IF(Calculator!$E$21="YES",IF(A359&lt;Calculator!$G$21,0,MIN(MIN(MOD(A359/Calculator!$F$21,1),1-MOD(A359/Calculator!$F$21,1)),ABS(MOD(A359/Calculator!$F$21,1)-0.5))),1)</f>
        <v>0.242456140350876</v>
      </c>
      <c r="M359" s="136" t="n">
        <f aca="false">MIN(B359:L359)</f>
        <v>0.0174736842105263</v>
      </c>
      <c r="N359" s="136" t="n">
        <f aca="false">SUMPRODUCT(($M$5:$M$555&gt;M359)*1)+SUMPRODUCT(($M$5:$M$555=M359)*(ROW($M$5:$M$555)&lt;ROW(M359)))+1</f>
        <v>92</v>
      </c>
      <c r="O359" s="136" t="str">
        <f aca="false">IF(M359&gt;=0.2,"★★★ EXCELLENT",IF(M359&gt;=0.12,"★★  GOOD",IF(M359&gt;=0.07,"★  FAIR",IF(M359&gt;=0.025,"⚠  MARGINAL","✗  AVOID"))))</f>
        <v>✗  AVOID</v>
      </c>
    </row>
    <row r="360" customFormat="false" ht="15" hidden="false" customHeight="false" outlineLevel="0" collapsed="false">
      <c r="A360" s="137" t="n">
        <v>40.5</v>
      </c>
      <c r="B360" s="138" t="n">
        <f aca="false">IF(Calculator!$E$11="YES",IF(A360&lt;Calculator!$G$11,0,MIN(MIN(MOD(A360/Calculator!$F$11,1),1-MOD(A360/Calculator!$F$11,1)),ABS(MOD(A360/Calculator!$F$11,1)-0.5))),1)</f>
        <v>0.04</v>
      </c>
      <c r="C360" s="138" t="n">
        <f aca="false">IF(Calculator!$E$12="YES",IF(A360&lt;Calculator!$G$12,0,MIN(MIN(MOD(A360/Calculator!$F$12,1),1-MOD(A360/Calculator!$F$12,1)),ABS(MOD(A360/Calculator!$F$12,1)-0.5))),1)</f>
        <v>0.0373684210526317</v>
      </c>
      <c r="D360" s="138" t="n">
        <f aca="false">IF(Calculator!$E$13="YES",IF(A360&lt;Calculator!$G$13,0,MIN(MIN(MOD(A360/Calculator!$F$13,1),1-MOD(A360/Calculator!$F$13,1)),ABS(MOD(A360/Calculator!$F$13,1)-0.5))),1)</f>
        <v>0.0230842105263158</v>
      </c>
      <c r="E360" s="138" t="n">
        <f aca="false">IF(Calculator!$E$14="YES",IF(A360&lt;Calculator!$G$14,0,MIN(MIN(MOD(A360/Calculator!$F$14,1),1-MOD(A360/Calculator!$F$14,1)),ABS(MOD(A360/Calculator!$F$14,1)-0.5))),1)</f>
        <v>0.0321052631578946</v>
      </c>
      <c r="F360" s="138" t="n">
        <f aca="false">IF(Calculator!$E$15="YES",IF(A360&lt;Calculator!$G$15,0,MIN(MIN(MOD(A360/Calculator!$F$15,1),1-MOD(A360/Calculator!$F$15,1)),ABS(MOD(A360/Calculator!$F$15,1)-0.5))),1)</f>
        <v>0.122368421052632</v>
      </c>
      <c r="G360" s="138" t="n">
        <f aca="false">IF(Calculator!$E$16="YES",IF(A360&lt;Calculator!$G$16,0,MIN(MIN(MOD(A360/Calculator!$F$16,1),1-MOD(A360/Calculator!$F$16,1)),ABS(MOD(A360/Calculator!$F$16,1)-0.5))),1)</f>
        <v>0.0286842105263165</v>
      </c>
      <c r="H360" s="138" t="n">
        <f aca="false">IF(Calculator!$E$17="YES",IF(A360&lt;Calculator!$G$17,0,MIN(MIN(MOD(A360/Calculator!$F$17,1),1-MOD(A360/Calculator!$F$17,1)),ABS(MOD(A360/Calculator!$F$17,1)-0.5))),1)</f>
        <v>0.149326315789474</v>
      </c>
      <c r="I360" s="138" t="n">
        <f aca="false">IF(Calculator!$E$18="YES",IF(A360&lt;Calculator!$G$18,0,MIN(MIN(MOD(A360/Calculator!$F$18,1),1-MOD(A360/Calculator!$F$18,1)),ABS(MOD(A360/Calculator!$F$18,1)-0.5))),1)</f>
        <v>0.0323684210526318</v>
      </c>
      <c r="J360" s="138" t="n">
        <f aca="false">IF(Calculator!$E$19="YES",IF(A360&lt;Calculator!$G$19,0,MIN(MIN(MOD(A360/Calculator!$F$19,1),1-MOD(A360/Calculator!$F$19,1)),ABS(MOD(A360/Calculator!$F$19,1)-0.5))),1)</f>
        <v>0.0882105263157884</v>
      </c>
      <c r="K360" s="138" t="n">
        <f aca="false">IF(Calculator!$E$20="YES",IF(A360&lt;Calculator!$G$20,0,MIN(MIN(MOD(A360/Calculator!$F$20,1),1-MOD(A360/Calculator!$F$20,1)),ABS(MOD(A360/Calculator!$F$20,1)-0.5))),1)</f>
        <v>0.199473684210526</v>
      </c>
      <c r="L360" s="138" t="n">
        <f aca="false">IF(Calculator!$E$21="YES",IF(A360&lt;Calculator!$G$21,0,MIN(MIN(MOD(A360/Calculator!$F$21,1),1-MOD(A360/Calculator!$F$21,1)),ABS(MOD(A360/Calculator!$F$21,1)-0.5))),1)</f>
        <v>0.221052631578948</v>
      </c>
      <c r="M360" s="138" t="n">
        <f aca="false">MIN(B360:L360)</f>
        <v>0.0230842105263158</v>
      </c>
      <c r="N360" s="138" t="n">
        <f aca="false">SUMPRODUCT(($M$5:$M$555&gt;M360)*1)+SUMPRODUCT(($M$5:$M$555=M360)*(ROW($M$5:$M$555)&lt;ROW(M360)))+1</f>
        <v>69</v>
      </c>
      <c r="O360" s="138" t="str">
        <f aca="false">IF(M360&gt;=0.2,"★★★ EXCELLENT",IF(M360&gt;=0.12,"★★  GOOD",IF(M360&gt;=0.07,"★  FAIR",IF(M360&gt;=0.025,"⚠  MARGINAL","✗  AVOID"))))</f>
        <v>✗  AVOID</v>
      </c>
    </row>
    <row r="361" customFormat="false" ht="15" hidden="false" customHeight="false" outlineLevel="0" collapsed="false">
      <c r="A361" s="135" t="n">
        <v>40.6</v>
      </c>
      <c r="B361" s="136" t="n">
        <f aca="false">IF(Calculator!$E$11="YES",IF(A361&lt;Calculator!$G$11,0,MIN(MIN(MOD(A361/Calculator!$F$11,1),1-MOD(A361/Calculator!$F$11,1)),ABS(MOD(A361/Calculator!$F$11,1)-0.5))),1)</f>
        <v>0.0413333333333333</v>
      </c>
      <c r="C361" s="136" t="n">
        <f aca="false">IF(Calculator!$E$12="YES",IF(A361&lt;Calculator!$G$12,0,MIN(MIN(MOD(A361/Calculator!$F$12,1),1-MOD(A361/Calculator!$F$12,1)),ABS(MOD(A361/Calculator!$F$12,1)-0.5))),1)</f>
        <v>0.0399298245614035</v>
      </c>
      <c r="D361" s="136" t="n">
        <f aca="false">IF(Calculator!$E$13="YES",IF(A361&lt;Calculator!$G$13,0,MIN(MIN(MOD(A361/Calculator!$F$13,1),1-MOD(A361/Calculator!$F$13,1)),ABS(MOD(A361/Calculator!$F$13,1)-0.5))),1)</f>
        <v>0.0268449122807017</v>
      </c>
      <c r="E361" s="136" t="n">
        <f aca="false">IF(Calculator!$E$14="YES",IF(A361&lt;Calculator!$G$14,0,MIN(MIN(MOD(A361/Calculator!$F$14,1),1-MOD(A361/Calculator!$F$14,1)),ABS(MOD(A361/Calculator!$F$14,1)-0.5))),1)</f>
        <v>0.037122807017544</v>
      </c>
      <c r="F361" s="136" t="n">
        <f aca="false">IF(Calculator!$E$15="YES",IF(A361&lt;Calculator!$G$15,0,MIN(MIN(MOD(A361/Calculator!$F$15,1),1-MOD(A361/Calculator!$F$15,1)),ABS(MOD(A361/Calculator!$F$15,1)-0.5))),1)</f>
        <v>0.115263157894737</v>
      </c>
      <c r="G361" s="136" t="n">
        <f aca="false">IF(Calculator!$E$16="YES",IF(A361&lt;Calculator!$G$16,0,MIN(MIN(MOD(A361/Calculator!$F$16,1),1-MOD(A361/Calculator!$F$16,1)),ABS(MOD(A361/Calculator!$F$16,1)-0.5))),1)</f>
        <v>0.0386315789473688</v>
      </c>
      <c r="H361" s="136" t="n">
        <f aca="false">IF(Calculator!$E$17="YES",IF(A361&lt;Calculator!$G$17,0,MIN(MIN(MOD(A361/Calculator!$F$17,1),1-MOD(A361/Calculator!$F$17,1)),ABS(MOD(A361/Calculator!$F$17,1)-0.5))),1)</f>
        <v>0.162040701754386</v>
      </c>
      <c r="I361" s="136" t="n">
        <f aca="false">IF(Calculator!$E$18="YES",IF(A361&lt;Calculator!$G$18,0,MIN(MIN(MOD(A361/Calculator!$F$18,1),1-MOD(A361/Calculator!$F$18,1)),ABS(MOD(A361/Calculator!$F$18,1)-0.5))),1)</f>
        <v>0.0472631578947373</v>
      </c>
      <c r="J361" s="136" t="n">
        <f aca="false">IF(Calculator!$E$19="YES",IF(A361&lt;Calculator!$G$19,0,MIN(MIN(MOD(A361/Calculator!$F$19,1),1-MOD(A361/Calculator!$F$19,1)),ABS(MOD(A361/Calculator!$F$19,1)-0.5))),1)</f>
        <v>0.105712280701754</v>
      </c>
      <c r="K361" s="136" t="n">
        <f aca="false">IF(Calculator!$E$20="YES",IF(A361&lt;Calculator!$G$20,0,MIN(MIN(MOD(A361/Calculator!$F$20,1),1-MOD(A361/Calculator!$F$20,1)),ABS(MOD(A361/Calculator!$F$20,1)-0.5))),1)</f>
        <v>0.219719298245614</v>
      </c>
      <c r="L361" s="136" t="n">
        <f aca="false">IF(Calculator!$E$21="YES",IF(A361&lt;Calculator!$G$21,0,MIN(MIN(MOD(A361/Calculator!$F$21,1),1-MOD(A361/Calculator!$F$21,1)),ABS(MOD(A361/Calculator!$F$21,1)-0.5))),1)</f>
        <v>0.184561403508772</v>
      </c>
      <c r="M361" s="136" t="n">
        <f aca="false">MIN(B361:L361)</f>
        <v>0.0268449122807017</v>
      </c>
      <c r="N361" s="136" t="n">
        <f aca="false">SUMPRODUCT(($M$5:$M$555&gt;M361)*1)+SUMPRODUCT(($M$5:$M$555=M361)*(ROW($M$5:$M$555)&lt;ROW(M361)))+1</f>
        <v>57</v>
      </c>
      <c r="O361" s="136" t="str">
        <f aca="false">IF(M361&gt;=0.2,"★★★ EXCELLENT",IF(M361&gt;=0.12,"★★  GOOD",IF(M361&gt;=0.07,"★  FAIR",IF(M361&gt;=0.025,"⚠  MARGINAL","✗  AVOID"))))</f>
        <v>⚠  MARGINAL</v>
      </c>
    </row>
    <row r="362" customFormat="false" ht="15" hidden="false" customHeight="false" outlineLevel="0" collapsed="false">
      <c r="A362" s="137" t="n">
        <v>40.7</v>
      </c>
      <c r="B362" s="138" t="n">
        <f aca="false">IF(Calculator!$E$11="YES",IF(A362&lt;Calculator!$G$11,0,MIN(MIN(MOD(A362/Calculator!$F$11,1),1-MOD(A362/Calculator!$F$11,1)),ABS(MOD(A362/Calculator!$F$11,1)-0.5))),1)</f>
        <v>0.0426666666666667</v>
      </c>
      <c r="C362" s="138" t="n">
        <f aca="false">IF(Calculator!$E$12="YES",IF(A362&lt;Calculator!$G$12,0,MIN(MIN(MOD(A362/Calculator!$F$12,1),1-MOD(A362/Calculator!$F$12,1)),ABS(MOD(A362/Calculator!$F$12,1)-0.5))),1)</f>
        <v>0.0424912280701755</v>
      </c>
      <c r="D362" s="138" t="n">
        <f aca="false">IF(Calculator!$E$13="YES",IF(A362&lt;Calculator!$G$13,0,MIN(MIN(MOD(A362/Calculator!$F$13,1),1-MOD(A362/Calculator!$F$13,1)),ABS(MOD(A362/Calculator!$F$13,1)-0.5))),1)</f>
        <v>0.0306056140350877</v>
      </c>
      <c r="E362" s="138" t="n">
        <f aca="false">IF(Calculator!$E$14="YES",IF(A362&lt;Calculator!$G$14,0,MIN(MIN(MOD(A362/Calculator!$F$14,1),1-MOD(A362/Calculator!$F$14,1)),ABS(MOD(A362/Calculator!$F$14,1)-0.5))),1)</f>
        <v>0.0421403508771929</v>
      </c>
      <c r="F362" s="138" t="n">
        <f aca="false">IF(Calculator!$E$15="YES",IF(A362&lt;Calculator!$G$15,0,MIN(MIN(MOD(A362/Calculator!$F$15,1),1-MOD(A362/Calculator!$F$15,1)),ABS(MOD(A362/Calculator!$F$15,1)-0.5))),1)</f>
        <v>0.108157894736842</v>
      </c>
      <c r="G362" s="138" t="n">
        <f aca="false">IF(Calculator!$E$16="YES",IF(A362&lt;Calculator!$G$16,0,MIN(MIN(MOD(A362/Calculator!$F$16,1),1-MOD(A362/Calculator!$F$16,1)),ABS(MOD(A362/Calculator!$F$16,1)-0.5))),1)</f>
        <v>0.0485789473684219</v>
      </c>
      <c r="H362" s="138" t="n">
        <f aca="false">IF(Calculator!$E$17="YES",IF(A362&lt;Calculator!$G$17,0,MIN(MIN(MOD(A362/Calculator!$F$17,1),1-MOD(A362/Calculator!$F$17,1)),ABS(MOD(A362/Calculator!$F$17,1)-0.5))),1)</f>
        <v>0.1747550877193</v>
      </c>
      <c r="I362" s="138" t="n">
        <f aca="false">IF(Calculator!$E$18="YES",IF(A362&lt;Calculator!$G$18,0,MIN(MIN(MOD(A362/Calculator!$F$18,1),1-MOD(A362/Calculator!$F$18,1)),ABS(MOD(A362/Calculator!$F$18,1)-0.5))),1)</f>
        <v>0.0621578947368429</v>
      </c>
      <c r="J362" s="138" t="n">
        <f aca="false">IF(Calculator!$E$19="YES",IF(A362&lt;Calculator!$G$19,0,MIN(MIN(MOD(A362/Calculator!$F$19,1),1-MOD(A362/Calculator!$F$19,1)),ABS(MOD(A362/Calculator!$F$19,1)-0.5))),1)</f>
        <v>0.123214035087718</v>
      </c>
      <c r="K362" s="138" t="n">
        <f aca="false">IF(Calculator!$E$20="YES",IF(A362&lt;Calculator!$G$20,0,MIN(MIN(MOD(A362/Calculator!$F$20,1),1-MOD(A362/Calculator!$F$20,1)),ABS(MOD(A362/Calculator!$F$20,1)-0.5))),1)</f>
        <v>0.239964912280703</v>
      </c>
      <c r="L362" s="138" t="n">
        <f aca="false">IF(Calculator!$E$21="YES",IF(A362&lt;Calculator!$G$21,0,MIN(MIN(MOD(A362/Calculator!$F$21,1),1-MOD(A362/Calculator!$F$21,1)),ABS(MOD(A362/Calculator!$F$21,1)-0.5))),1)</f>
        <v>0.148070175438596</v>
      </c>
      <c r="M362" s="138" t="n">
        <f aca="false">MIN(B362:L362)</f>
        <v>0.0306056140350877</v>
      </c>
      <c r="N362" s="138" t="n">
        <f aca="false">SUMPRODUCT(($M$5:$M$555&gt;M362)*1)+SUMPRODUCT(($M$5:$M$555=M362)*(ROW($M$5:$M$555)&lt;ROW(M362)))+1</f>
        <v>47</v>
      </c>
      <c r="O362" s="138" t="str">
        <f aca="false">IF(M362&gt;=0.2,"★★★ EXCELLENT",IF(M362&gt;=0.12,"★★  GOOD",IF(M362&gt;=0.07,"★  FAIR",IF(M362&gt;=0.025,"⚠  MARGINAL","✗  AVOID"))))</f>
        <v>⚠  MARGINAL</v>
      </c>
    </row>
    <row r="363" customFormat="false" ht="15" hidden="false" customHeight="false" outlineLevel="0" collapsed="false">
      <c r="A363" s="135" t="n">
        <v>40.8</v>
      </c>
      <c r="B363" s="136" t="n">
        <f aca="false">IF(Calculator!$E$11="YES",IF(A363&lt;Calculator!$G$11,0,MIN(MIN(MOD(A363/Calculator!$F$11,1),1-MOD(A363/Calculator!$F$11,1)),ABS(MOD(A363/Calculator!$F$11,1)-0.5))),1)</f>
        <v>0.0439999999999999</v>
      </c>
      <c r="C363" s="136" t="n">
        <f aca="false">IF(Calculator!$E$12="YES",IF(A363&lt;Calculator!$G$12,0,MIN(MIN(MOD(A363/Calculator!$F$12,1),1-MOD(A363/Calculator!$F$12,1)),ABS(MOD(A363/Calculator!$F$12,1)-0.5))),1)</f>
        <v>0.0450526315789472</v>
      </c>
      <c r="D363" s="136" t="n">
        <f aca="false">IF(Calculator!$E$13="YES",IF(A363&lt;Calculator!$G$13,0,MIN(MIN(MOD(A363/Calculator!$F$13,1),1-MOD(A363/Calculator!$F$13,1)),ABS(MOD(A363/Calculator!$F$13,1)-0.5))),1)</f>
        <v>0.0343663157894736</v>
      </c>
      <c r="E363" s="136" t="n">
        <f aca="false">IF(Calculator!$E$14="YES",IF(A363&lt;Calculator!$G$14,0,MIN(MIN(MOD(A363/Calculator!$F$14,1),1-MOD(A363/Calculator!$F$14,1)),ABS(MOD(A363/Calculator!$F$14,1)-0.5))),1)</f>
        <v>0.0471578947368418</v>
      </c>
      <c r="F363" s="136" t="n">
        <f aca="false">IF(Calculator!$E$15="YES",IF(A363&lt;Calculator!$G$15,0,MIN(MIN(MOD(A363/Calculator!$F$15,1),1-MOD(A363/Calculator!$F$15,1)),ABS(MOD(A363/Calculator!$F$15,1)-0.5))),1)</f>
        <v>0.101052631578948</v>
      </c>
      <c r="G363" s="136" t="n">
        <f aca="false">IF(Calculator!$E$16="YES",IF(A363&lt;Calculator!$G$16,0,MIN(MIN(MOD(A363/Calculator!$F$16,1),1-MOD(A363/Calculator!$F$16,1)),ABS(MOD(A363/Calculator!$F$16,1)-0.5))),1)</f>
        <v>0.0585263157894733</v>
      </c>
      <c r="H363" s="136" t="n">
        <f aca="false">IF(Calculator!$E$17="YES",IF(A363&lt;Calculator!$G$17,0,MIN(MIN(MOD(A363/Calculator!$F$17,1),1-MOD(A363/Calculator!$F$17,1)),ABS(MOD(A363/Calculator!$F$17,1)-0.5))),1)</f>
        <v>0.187469473684211</v>
      </c>
      <c r="I363" s="136" t="n">
        <f aca="false">IF(Calculator!$E$18="YES",IF(A363&lt;Calculator!$G$18,0,MIN(MIN(MOD(A363/Calculator!$F$18,1),1-MOD(A363/Calculator!$F$18,1)),ABS(MOD(A363/Calculator!$F$18,1)-0.5))),1)</f>
        <v>0.0770526315789475</v>
      </c>
      <c r="J363" s="136" t="n">
        <f aca="false">IF(Calculator!$E$19="YES",IF(A363&lt;Calculator!$G$19,0,MIN(MIN(MOD(A363/Calculator!$F$19,1),1-MOD(A363/Calculator!$F$19,1)),ABS(MOD(A363/Calculator!$F$19,1)-0.5))),1)</f>
        <v>0.140715789473682</v>
      </c>
      <c r="K363" s="136" t="n">
        <f aca="false">IF(Calculator!$E$20="YES",IF(A363&lt;Calculator!$G$20,0,MIN(MIN(MOD(A363/Calculator!$F$20,1),1-MOD(A363/Calculator!$F$20,1)),ABS(MOD(A363/Calculator!$F$20,1)-0.5))),1)</f>
        <v>0.239789473684212</v>
      </c>
      <c r="L363" s="136" t="n">
        <f aca="false">IF(Calculator!$E$21="YES",IF(A363&lt;Calculator!$G$21,0,MIN(MIN(MOD(A363/Calculator!$F$21,1),1-MOD(A363/Calculator!$F$21,1)),ABS(MOD(A363/Calculator!$F$21,1)-0.5))),1)</f>
        <v>0.111578947368422</v>
      </c>
      <c r="M363" s="136" t="n">
        <f aca="false">MIN(B363:L363)</f>
        <v>0.0343663157894736</v>
      </c>
      <c r="N363" s="136" t="n">
        <f aca="false">SUMPRODUCT(($M$5:$M$555&gt;M363)*1)+SUMPRODUCT(($M$5:$M$555=M363)*(ROW($M$5:$M$555)&lt;ROW(M363)))+1</f>
        <v>33</v>
      </c>
      <c r="O363" s="136" t="str">
        <f aca="false">IF(M363&gt;=0.2,"★★★ EXCELLENT",IF(M363&gt;=0.12,"★★  GOOD",IF(M363&gt;=0.07,"★  FAIR",IF(M363&gt;=0.025,"⚠  MARGINAL","✗  AVOID"))))</f>
        <v>⚠  MARGINAL</v>
      </c>
    </row>
    <row r="364" customFormat="false" ht="15" hidden="false" customHeight="false" outlineLevel="0" collapsed="false">
      <c r="A364" s="137" t="n">
        <v>40.9</v>
      </c>
      <c r="B364" s="138" t="n">
        <f aca="false">IF(Calculator!$E$11="YES",IF(A364&lt;Calculator!$G$11,0,MIN(MIN(MOD(A364/Calculator!$F$11,1),1-MOD(A364/Calculator!$F$11,1)),ABS(MOD(A364/Calculator!$F$11,1)-0.5))),1)</f>
        <v>0.0453333333333333</v>
      </c>
      <c r="C364" s="138" t="n">
        <f aca="false">IF(Calculator!$E$12="YES",IF(A364&lt;Calculator!$G$12,0,MIN(MIN(MOD(A364/Calculator!$F$12,1),1-MOD(A364/Calculator!$F$12,1)),ABS(MOD(A364/Calculator!$F$12,1)-0.5))),1)</f>
        <v>0.0476140350877192</v>
      </c>
      <c r="D364" s="138" t="n">
        <f aca="false">IF(Calculator!$E$13="YES",IF(A364&lt;Calculator!$G$13,0,MIN(MIN(MOD(A364/Calculator!$F$13,1),1-MOD(A364/Calculator!$F$13,1)),ABS(MOD(A364/Calculator!$F$13,1)-0.5))),1)</f>
        <v>0.0381270175438595</v>
      </c>
      <c r="E364" s="138" t="n">
        <f aca="false">IF(Calculator!$E$14="YES",IF(A364&lt;Calculator!$G$14,0,MIN(MIN(MOD(A364/Calculator!$F$14,1),1-MOD(A364/Calculator!$F$14,1)),ABS(MOD(A364/Calculator!$F$14,1)-0.5))),1)</f>
        <v>0.0521754385964912</v>
      </c>
      <c r="F364" s="138" t="n">
        <f aca="false">IF(Calculator!$E$15="YES",IF(A364&lt;Calculator!$G$15,0,MIN(MIN(MOD(A364/Calculator!$F$15,1),1-MOD(A364/Calculator!$F$15,1)),ABS(MOD(A364/Calculator!$F$15,1)-0.5))),1)</f>
        <v>0.0939473684210528</v>
      </c>
      <c r="G364" s="138" t="n">
        <f aca="false">IF(Calculator!$E$16="YES",IF(A364&lt;Calculator!$G$16,0,MIN(MIN(MOD(A364/Calculator!$F$16,1),1-MOD(A364/Calculator!$F$16,1)),ABS(MOD(A364/Calculator!$F$16,1)-0.5))),1)</f>
        <v>0.0684736842105265</v>
      </c>
      <c r="H364" s="138" t="n">
        <f aca="false">IF(Calculator!$E$17="YES",IF(A364&lt;Calculator!$G$17,0,MIN(MIN(MOD(A364/Calculator!$F$17,1),1-MOD(A364/Calculator!$F$17,1)),ABS(MOD(A364/Calculator!$F$17,1)-0.5))),1)</f>
        <v>0.200183859649123</v>
      </c>
      <c r="I364" s="138" t="n">
        <f aca="false">IF(Calculator!$E$18="YES",IF(A364&lt;Calculator!$G$18,0,MIN(MIN(MOD(A364/Calculator!$F$18,1),1-MOD(A364/Calculator!$F$18,1)),ABS(MOD(A364/Calculator!$F$18,1)-0.5))),1)</f>
        <v>0.091947368421053</v>
      </c>
      <c r="J364" s="138" t="n">
        <f aca="false">IF(Calculator!$E$19="YES",IF(A364&lt;Calculator!$G$19,0,MIN(MIN(MOD(A364/Calculator!$F$19,1),1-MOD(A364/Calculator!$F$19,1)),ABS(MOD(A364/Calculator!$F$19,1)-0.5))),1)</f>
        <v>0.158217543859648</v>
      </c>
      <c r="K364" s="138" t="n">
        <f aca="false">IF(Calculator!$E$20="YES",IF(A364&lt;Calculator!$G$20,0,MIN(MIN(MOD(A364/Calculator!$F$20,1),1-MOD(A364/Calculator!$F$20,1)),ABS(MOD(A364/Calculator!$F$20,1)-0.5))),1)</f>
        <v>0.219543859649123</v>
      </c>
      <c r="L364" s="138" t="n">
        <f aca="false">IF(Calculator!$E$21="YES",IF(A364&lt;Calculator!$G$21,0,MIN(MIN(MOD(A364/Calculator!$F$21,1),1-MOD(A364/Calculator!$F$21,1)),ABS(MOD(A364/Calculator!$F$21,1)-0.5))),1)</f>
        <v>0.0750877192982458</v>
      </c>
      <c r="M364" s="138" t="n">
        <f aca="false">MIN(B364:L364)</f>
        <v>0.0381270175438595</v>
      </c>
      <c r="N364" s="138" t="n">
        <f aca="false">SUMPRODUCT(($M$5:$M$555&gt;M364)*1)+SUMPRODUCT(($M$5:$M$555=M364)*(ROW($M$5:$M$555)&lt;ROW(M364)))+1</f>
        <v>27</v>
      </c>
      <c r="O364" s="138" t="str">
        <f aca="false">IF(M364&gt;=0.2,"★★★ EXCELLENT",IF(M364&gt;=0.12,"★★  GOOD",IF(M364&gt;=0.07,"★  FAIR",IF(M364&gt;=0.025,"⚠  MARGINAL","✗  AVOID"))))</f>
        <v>⚠  MARGINAL</v>
      </c>
    </row>
    <row r="365" customFormat="false" ht="15" hidden="false" customHeight="false" outlineLevel="0" collapsed="false">
      <c r="A365" s="135" t="n">
        <v>41</v>
      </c>
      <c r="B365" s="136" t="n">
        <f aca="false">IF(Calculator!$E$11="YES",IF(A365&lt;Calculator!$G$11,0,MIN(MIN(MOD(A365/Calculator!$F$11,1),1-MOD(A365/Calculator!$F$11,1)),ABS(MOD(A365/Calculator!$F$11,1)-0.5))),1)</f>
        <v>0.0466666666666666</v>
      </c>
      <c r="C365" s="136" t="n">
        <f aca="false">IF(Calculator!$E$12="YES",IF(A365&lt;Calculator!$G$12,0,MIN(MIN(MOD(A365/Calculator!$F$12,1),1-MOD(A365/Calculator!$F$12,1)),ABS(MOD(A365/Calculator!$F$12,1)-0.5))),1)</f>
        <v>0.0501754385964912</v>
      </c>
      <c r="D365" s="136" t="n">
        <f aca="false">IF(Calculator!$E$13="YES",IF(A365&lt;Calculator!$G$13,0,MIN(MIN(MOD(A365/Calculator!$F$13,1),1-MOD(A365/Calculator!$F$13,1)),ABS(MOD(A365/Calculator!$F$13,1)-0.5))),1)</f>
        <v>0.0418877192982456</v>
      </c>
      <c r="E365" s="136" t="n">
        <f aca="false">IF(Calculator!$E$14="YES",IF(A365&lt;Calculator!$G$14,0,MIN(MIN(MOD(A365/Calculator!$F$14,1),1-MOD(A365/Calculator!$F$14,1)),ABS(MOD(A365/Calculator!$F$14,1)-0.5))),1)</f>
        <v>0.0571929824561406</v>
      </c>
      <c r="F365" s="136" t="n">
        <f aca="false">IF(Calculator!$E$15="YES",IF(A365&lt;Calculator!$G$15,0,MIN(MIN(MOD(A365/Calculator!$F$15,1),1-MOD(A365/Calculator!$F$15,1)),ABS(MOD(A365/Calculator!$F$15,1)-0.5))),1)</f>
        <v>0.0868421052631581</v>
      </c>
      <c r="G365" s="136" t="n">
        <f aca="false">IF(Calculator!$E$16="YES",IF(A365&lt;Calculator!$G$16,0,MIN(MIN(MOD(A365/Calculator!$F$16,1),1-MOD(A365/Calculator!$F$16,1)),ABS(MOD(A365/Calculator!$F$16,1)-0.5))),1)</f>
        <v>0.0784210526315796</v>
      </c>
      <c r="H365" s="136" t="n">
        <f aca="false">IF(Calculator!$E$17="YES",IF(A365&lt;Calculator!$G$17,0,MIN(MIN(MOD(A365/Calculator!$F$17,1),1-MOD(A365/Calculator!$F$17,1)),ABS(MOD(A365/Calculator!$F$17,1)-0.5))),1)</f>
        <v>0.212898245614036</v>
      </c>
      <c r="I365" s="136" t="n">
        <f aca="false">IF(Calculator!$E$18="YES",IF(A365&lt;Calculator!$G$18,0,MIN(MIN(MOD(A365/Calculator!$F$18,1),1-MOD(A365/Calculator!$F$18,1)),ABS(MOD(A365/Calculator!$F$18,1)-0.5))),1)</f>
        <v>0.106842105263159</v>
      </c>
      <c r="J365" s="136" t="n">
        <f aca="false">IF(Calculator!$E$19="YES",IF(A365&lt;Calculator!$G$19,0,MIN(MIN(MOD(A365/Calculator!$F$19,1),1-MOD(A365/Calculator!$F$19,1)),ABS(MOD(A365/Calculator!$F$19,1)-0.5))),1)</f>
        <v>0.175719298245613</v>
      </c>
      <c r="K365" s="136" t="n">
        <f aca="false">IF(Calculator!$E$20="YES",IF(A365&lt;Calculator!$G$20,0,MIN(MIN(MOD(A365/Calculator!$F$20,1),1-MOD(A365/Calculator!$F$20,1)),ABS(MOD(A365/Calculator!$F$20,1)-0.5))),1)</f>
        <v>0.199298245614035</v>
      </c>
      <c r="L365" s="136" t="n">
        <f aca="false">IF(Calculator!$E$21="YES",IF(A365&lt;Calculator!$G$21,0,MIN(MIN(MOD(A365/Calculator!$F$21,1),1-MOD(A365/Calculator!$F$21,1)),ABS(MOD(A365/Calculator!$F$21,1)-0.5))),1)</f>
        <v>0.0385964912280699</v>
      </c>
      <c r="M365" s="136" t="n">
        <f aca="false">MIN(B365:L365)</f>
        <v>0.0385964912280699</v>
      </c>
      <c r="N365" s="136" t="n">
        <f aca="false">SUMPRODUCT(($M$5:$M$555&gt;M365)*1)+SUMPRODUCT(($M$5:$M$555=M365)*(ROW($M$5:$M$555)&lt;ROW(M365)))+1</f>
        <v>26</v>
      </c>
      <c r="O365" s="136" t="str">
        <f aca="false">IF(M365&gt;=0.2,"★★★ EXCELLENT",IF(M365&gt;=0.12,"★★  GOOD",IF(M365&gt;=0.07,"★  FAIR",IF(M365&gt;=0.025,"⚠  MARGINAL","✗  AVOID"))))</f>
        <v>⚠  MARGINAL</v>
      </c>
    </row>
    <row r="366" customFormat="false" ht="15" hidden="false" customHeight="false" outlineLevel="0" collapsed="false">
      <c r="A366" s="137" t="n">
        <v>41.1</v>
      </c>
      <c r="B366" s="138" t="n">
        <f aca="false">IF(Calculator!$E$11="YES",IF(A366&lt;Calculator!$G$11,0,MIN(MIN(MOD(A366/Calculator!$F$11,1),1-MOD(A366/Calculator!$F$11,1)),ABS(MOD(A366/Calculator!$F$11,1)-0.5))),1)</f>
        <v>0.048</v>
      </c>
      <c r="C366" s="138" t="n">
        <f aca="false">IF(Calculator!$E$12="YES",IF(A366&lt;Calculator!$G$12,0,MIN(MIN(MOD(A366/Calculator!$F$12,1),1-MOD(A366/Calculator!$F$12,1)),ABS(MOD(A366/Calculator!$F$12,1)-0.5))),1)</f>
        <v>0.0527368421052632</v>
      </c>
      <c r="D366" s="138" t="n">
        <f aca="false">IF(Calculator!$E$13="YES",IF(A366&lt;Calculator!$G$13,0,MIN(MIN(MOD(A366/Calculator!$F$13,1),1-MOD(A366/Calculator!$F$13,1)),ABS(MOD(A366/Calculator!$F$13,1)-0.5))),1)</f>
        <v>0.0456484210526316</v>
      </c>
      <c r="E366" s="138" t="n">
        <f aca="false">IF(Calculator!$E$14="YES",IF(A366&lt;Calculator!$G$14,0,MIN(MIN(MOD(A366/Calculator!$F$14,1),1-MOD(A366/Calculator!$F$14,1)),ABS(MOD(A366/Calculator!$F$14,1)-0.5))),1)</f>
        <v>0.0622105263157895</v>
      </c>
      <c r="F366" s="138" t="n">
        <f aca="false">IF(Calculator!$E$15="YES",IF(A366&lt;Calculator!$G$15,0,MIN(MIN(MOD(A366/Calculator!$F$15,1),1-MOD(A366/Calculator!$F$15,1)),ABS(MOD(A366/Calculator!$F$15,1)-0.5))),1)</f>
        <v>0.0797368421052633</v>
      </c>
      <c r="G366" s="138" t="n">
        <f aca="false">IF(Calculator!$E$16="YES",IF(A366&lt;Calculator!$G$16,0,MIN(MIN(MOD(A366/Calculator!$F$16,1),1-MOD(A366/Calculator!$F$16,1)),ABS(MOD(A366/Calculator!$F$16,1)-0.5))),1)</f>
        <v>0.0883684210526319</v>
      </c>
      <c r="H366" s="138" t="n">
        <f aca="false">IF(Calculator!$E$17="YES",IF(A366&lt;Calculator!$G$17,0,MIN(MIN(MOD(A366/Calculator!$F$17,1),1-MOD(A366/Calculator!$F$17,1)),ABS(MOD(A366/Calculator!$F$17,1)-0.5))),1)</f>
        <v>0.225612631578948</v>
      </c>
      <c r="I366" s="138" t="n">
        <f aca="false">IF(Calculator!$E$18="YES",IF(A366&lt;Calculator!$G$18,0,MIN(MIN(MOD(A366/Calculator!$F$18,1),1-MOD(A366/Calculator!$F$18,1)),ABS(MOD(A366/Calculator!$F$18,1)-0.5))),1)</f>
        <v>0.121736842105264</v>
      </c>
      <c r="J366" s="138" t="n">
        <f aca="false">IF(Calculator!$E$19="YES",IF(A366&lt;Calculator!$G$19,0,MIN(MIN(MOD(A366/Calculator!$F$19,1),1-MOD(A366/Calculator!$F$19,1)),ABS(MOD(A366/Calculator!$F$19,1)-0.5))),1)</f>
        <v>0.193221052631578</v>
      </c>
      <c r="K366" s="138" t="n">
        <f aca="false">IF(Calculator!$E$20="YES",IF(A366&lt;Calculator!$G$20,0,MIN(MIN(MOD(A366/Calculator!$F$20,1),1-MOD(A366/Calculator!$F$20,1)),ABS(MOD(A366/Calculator!$F$20,1)-0.5))),1)</f>
        <v>0.179052631578948</v>
      </c>
      <c r="L366" s="138" t="n">
        <f aca="false">IF(Calculator!$E$21="YES",IF(A366&lt;Calculator!$G$21,0,MIN(MIN(MOD(A366/Calculator!$F$21,1),1-MOD(A366/Calculator!$F$21,1)),ABS(MOD(A366/Calculator!$F$21,1)-0.5))),1)</f>
        <v>0.00210526315789394</v>
      </c>
      <c r="M366" s="138" t="n">
        <f aca="false">MIN(B366:L366)</f>
        <v>0.00210526315789394</v>
      </c>
      <c r="N366" s="138" t="n">
        <f aca="false">SUMPRODUCT(($M$5:$M$555&gt;M366)*1)+SUMPRODUCT(($M$5:$M$555=M366)*(ROW($M$5:$M$555)&lt;ROW(M366)))+1</f>
        <v>202</v>
      </c>
      <c r="O366" s="138" t="str">
        <f aca="false">IF(M366&gt;=0.2,"★★★ EXCELLENT",IF(M366&gt;=0.12,"★★  GOOD",IF(M366&gt;=0.07,"★  FAIR",IF(M366&gt;=0.025,"⚠  MARGINAL","✗  AVOID"))))</f>
        <v>✗  AVOID</v>
      </c>
    </row>
    <row r="367" customFormat="false" ht="15" hidden="false" customHeight="false" outlineLevel="0" collapsed="false">
      <c r="A367" s="135" t="n">
        <v>41.2</v>
      </c>
      <c r="B367" s="136" t="n">
        <f aca="false">IF(Calculator!$E$11="YES",IF(A367&lt;Calculator!$G$11,0,MIN(MIN(MOD(A367/Calculator!$F$11,1),1-MOD(A367/Calculator!$F$11,1)),ABS(MOD(A367/Calculator!$F$11,1)-0.5))),1)</f>
        <v>0.0493333333333333</v>
      </c>
      <c r="C367" s="136" t="n">
        <f aca="false">IF(Calculator!$E$12="YES",IF(A367&lt;Calculator!$G$12,0,MIN(MIN(MOD(A367/Calculator!$F$12,1),1-MOD(A367/Calculator!$F$12,1)),ABS(MOD(A367/Calculator!$F$12,1)-0.5))),1)</f>
        <v>0.0552982456140352</v>
      </c>
      <c r="D367" s="136" t="n">
        <f aca="false">IF(Calculator!$E$13="YES",IF(A367&lt;Calculator!$G$13,0,MIN(MIN(MOD(A367/Calculator!$F$13,1),1-MOD(A367/Calculator!$F$13,1)),ABS(MOD(A367/Calculator!$F$13,1)-0.5))),1)</f>
        <v>0.0494091228070175</v>
      </c>
      <c r="E367" s="136" t="n">
        <f aca="false">IF(Calculator!$E$14="YES",IF(A367&lt;Calculator!$G$14,0,MIN(MIN(MOD(A367/Calculator!$F$14,1),1-MOD(A367/Calculator!$F$14,1)),ABS(MOD(A367/Calculator!$F$14,1)-0.5))),1)</f>
        <v>0.0672280701754389</v>
      </c>
      <c r="F367" s="136" t="n">
        <f aca="false">IF(Calculator!$E$15="YES",IF(A367&lt;Calculator!$G$15,0,MIN(MIN(MOD(A367/Calculator!$F$15,1),1-MOD(A367/Calculator!$F$15,1)),ABS(MOD(A367/Calculator!$F$15,1)-0.5))),1)</f>
        <v>0.0726315789473682</v>
      </c>
      <c r="G367" s="136" t="n">
        <f aca="false">IF(Calculator!$E$16="YES",IF(A367&lt;Calculator!$G$16,0,MIN(MIN(MOD(A367/Calculator!$F$16,1),1-MOD(A367/Calculator!$F$16,1)),ABS(MOD(A367/Calculator!$F$16,1)-0.5))),1)</f>
        <v>0.098315789473685</v>
      </c>
      <c r="H367" s="136" t="n">
        <f aca="false">IF(Calculator!$E$17="YES",IF(A367&lt;Calculator!$G$17,0,MIN(MIN(MOD(A367/Calculator!$F$17,1),1-MOD(A367/Calculator!$F$17,1)),ABS(MOD(A367/Calculator!$F$17,1)-0.5))),1)</f>
        <v>0.238327017543861</v>
      </c>
      <c r="I367" s="136" t="n">
        <f aca="false">IF(Calculator!$E$18="YES",IF(A367&lt;Calculator!$G$18,0,MIN(MIN(MOD(A367/Calculator!$F$18,1),1-MOD(A367/Calculator!$F$18,1)),ABS(MOD(A367/Calculator!$F$18,1)-0.5))),1)</f>
        <v>0.136631578947369</v>
      </c>
      <c r="J367" s="136" t="n">
        <f aca="false">IF(Calculator!$E$19="YES",IF(A367&lt;Calculator!$G$19,0,MIN(MIN(MOD(A367/Calculator!$F$19,1),1-MOD(A367/Calculator!$F$19,1)),ABS(MOD(A367/Calculator!$F$19,1)-0.5))),1)</f>
        <v>0.210722807017543</v>
      </c>
      <c r="K367" s="136" t="n">
        <f aca="false">IF(Calculator!$E$20="YES",IF(A367&lt;Calculator!$G$20,0,MIN(MIN(MOD(A367/Calculator!$F$20,1),1-MOD(A367/Calculator!$F$20,1)),ABS(MOD(A367/Calculator!$F$20,1)-0.5))),1)</f>
        <v>0.158807017543859</v>
      </c>
      <c r="L367" s="136" t="n">
        <f aca="false">IF(Calculator!$E$21="YES",IF(A367&lt;Calculator!$G$21,0,MIN(MIN(MOD(A367/Calculator!$F$21,1),1-MOD(A367/Calculator!$F$21,1)),ABS(MOD(A367/Calculator!$F$21,1)-0.5))),1)</f>
        <v>0.034385964912282</v>
      </c>
      <c r="M367" s="136" t="n">
        <f aca="false">MIN(B367:L367)</f>
        <v>0.034385964912282</v>
      </c>
      <c r="N367" s="136" t="n">
        <f aca="false">SUMPRODUCT(($M$5:$M$555&gt;M367)*1)+SUMPRODUCT(($M$5:$M$555=M367)*(ROW($M$5:$M$555)&lt;ROW(M367)))+1</f>
        <v>32</v>
      </c>
      <c r="O367" s="136" t="str">
        <f aca="false">IF(M367&gt;=0.2,"★★★ EXCELLENT",IF(M367&gt;=0.12,"★★  GOOD",IF(M367&gt;=0.07,"★  FAIR",IF(M367&gt;=0.025,"⚠  MARGINAL","✗  AVOID"))))</f>
        <v>⚠  MARGINAL</v>
      </c>
    </row>
    <row r="368" customFormat="false" ht="15" hidden="false" customHeight="false" outlineLevel="0" collapsed="false">
      <c r="A368" s="137" t="n">
        <v>41.3</v>
      </c>
      <c r="B368" s="138" t="n">
        <f aca="false">IF(Calculator!$E$11="YES",IF(A368&lt;Calculator!$G$11,0,MIN(MIN(MOD(A368/Calculator!$F$11,1),1-MOD(A368/Calculator!$F$11,1)),ABS(MOD(A368/Calculator!$F$11,1)-0.5))),1)</f>
        <v>0.0506666666666666</v>
      </c>
      <c r="C368" s="138" t="n">
        <f aca="false">IF(Calculator!$E$12="YES",IF(A368&lt;Calculator!$G$12,0,MIN(MIN(MOD(A368/Calculator!$F$12,1),1-MOD(A368/Calculator!$F$12,1)),ABS(MOD(A368/Calculator!$F$12,1)-0.5))),1)</f>
        <v>0.0578596491228069</v>
      </c>
      <c r="D368" s="138" t="n">
        <f aca="false">IF(Calculator!$E$13="YES",IF(A368&lt;Calculator!$G$13,0,MIN(MIN(MOD(A368/Calculator!$F$13,1),1-MOD(A368/Calculator!$F$13,1)),ABS(MOD(A368/Calculator!$F$13,1)-0.5))),1)</f>
        <v>0.0531698245614034</v>
      </c>
      <c r="E368" s="138" t="n">
        <f aca="false">IF(Calculator!$E$14="YES",IF(A368&lt;Calculator!$G$14,0,MIN(MIN(MOD(A368/Calculator!$F$14,1),1-MOD(A368/Calculator!$F$14,1)),ABS(MOD(A368/Calculator!$F$14,1)-0.5))),1)</f>
        <v>0.0722456140350878</v>
      </c>
      <c r="F368" s="138" t="n">
        <f aca="false">IF(Calculator!$E$15="YES",IF(A368&lt;Calculator!$G$15,0,MIN(MIN(MOD(A368/Calculator!$F$15,1),1-MOD(A368/Calculator!$F$15,1)),ABS(MOD(A368/Calculator!$F$15,1)-0.5))),1)</f>
        <v>0.0655263157894739</v>
      </c>
      <c r="G368" s="138" t="n">
        <f aca="false">IF(Calculator!$E$16="YES",IF(A368&lt;Calculator!$G$16,0,MIN(MIN(MOD(A368/Calculator!$F$16,1),1-MOD(A368/Calculator!$F$16,1)),ABS(MOD(A368/Calculator!$F$16,1)-0.5))),1)</f>
        <v>0.108263157894737</v>
      </c>
      <c r="H368" s="138" t="n">
        <f aca="false">IF(Calculator!$E$17="YES",IF(A368&lt;Calculator!$G$17,0,MIN(MIN(MOD(A368/Calculator!$F$17,1),1-MOD(A368/Calculator!$F$17,1)),ABS(MOD(A368/Calculator!$F$17,1)-0.5))),1)</f>
        <v>0.248958596491228</v>
      </c>
      <c r="I368" s="138" t="n">
        <f aca="false">IF(Calculator!$E$18="YES",IF(A368&lt;Calculator!$G$18,0,MIN(MIN(MOD(A368/Calculator!$F$18,1),1-MOD(A368/Calculator!$F$18,1)),ABS(MOD(A368/Calculator!$F$18,1)-0.5))),1)</f>
        <v>0.151526315789473</v>
      </c>
      <c r="J368" s="138" t="n">
        <f aca="false">IF(Calculator!$E$19="YES",IF(A368&lt;Calculator!$G$19,0,MIN(MIN(MOD(A368/Calculator!$F$19,1),1-MOD(A368/Calculator!$F$19,1)),ABS(MOD(A368/Calculator!$F$19,1)-0.5))),1)</f>
        <v>0.228224561403507</v>
      </c>
      <c r="K368" s="138" t="n">
        <f aca="false">IF(Calculator!$E$20="YES",IF(A368&lt;Calculator!$G$20,0,MIN(MIN(MOD(A368/Calculator!$F$20,1),1-MOD(A368/Calculator!$F$20,1)),ABS(MOD(A368/Calculator!$F$20,1)-0.5))),1)</f>
        <v>0.138561403508772</v>
      </c>
      <c r="L368" s="138" t="n">
        <f aca="false">IF(Calculator!$E$21="YES",IF(A368&lt;Calculator!$G$21,0,MIN(MIN(MOD(A368/Calculator!$F$21,1),1-MOD(A368/Calculator!$F$21,1)),ABS(MOD(A368/Calculator!$F$21,1)-0.5))),1)</f>
        <v>0.0708771929824543</v>
      </c>
      <c r="M368" s="138" t="n">
        <f aca="false">MIN(B368:L368)</f>
        <v>0.0506666666666666</v>
      </c>
      <c r="N368" s="138" t="n">
        <f aca="false">SUMPRODUCT(($M$5:$M$555&gt;M368)*1)+SUMPRODUCT(($M$5:$M$555=M368)*(ROW($M$5:$M$555)&lt;ROW(M368)))+1</f>
        <v>17</v>
      </c>
      <c r="O368" s="138" t="str">
        <f aca="false">IF(M368&gt;=0.2,"★★★ EXCELLENT",IF(M368&gt;=0.12,"★★  GOOD",IF(M368&gt;=0.07,"★  FAIR",IF(M368&gt;=0.025,"⚠  MARGINAL","✗  AVOID"))))</f>
        <v>⚠  MARGINAL</v>
      </c>
    </row>
    <row r="369" customFormat="false" ht="15" hidden="false" customHeight="false" outlineLevel="0" collapsed="false">
      <c r="A369" s="135" t="n">
        <v>41.4</v>
      </c>
      <c r="B369" s="136" t="n">
        <f aca="false">IF(Calculator!$E$11="YES",IF(A369&lt;Calculator!$G$11,0,MIN(MIN(MOD(A369/Calculator!$F$11,1),1-MOD(A369/Calculator!$F$11,1)),ABS(MOD(A369/Calculator!$F$11,1)-0.5))),1)</f>
        <v>0.0519999999999999</v>
      </c>
      <c r="C369" s="136" t="n">
        <f aca="false">IF(Calculator!$E$12="YES",IF(A369&lt;Calculator!$G$12,0,MIN(MIN(MOD(A369/Calculator!$F$12,1),1-MOD(A369/Calculator!$F$12,1)),ABS(MOD(A369/Calculator!$F$12,1)-0.5))),1)</f>
        <v>0.0604210526315789</v>
      </c>
      <c r="D369" s="136" t="n">
        <f aca="false">IF(Calculator!$E$13="YES",IF(A369&lt;Calculator!$G$13,0,MIN(MIN(MOD(A369/Calculator!$F$13,1),1-MOD(A369/Calculator!$F$13,1)),ABS(MOD(A369/Calculator!$F$13,1)-0.5))),1)</f>
        <v>0.0569305263157893</v>
      </c>
      <c r="E369" s="136" t="n">
        <f aca="false">IF(Calculator!$E$14="YES",IF(A369&lt;Calculator!$G$14,0,MIN(MIN(MOD(A369/Calculator!$F$14,1),1-MOD(A369/Calculator!$F$14,1)),ABS(MOD(A369/Calculator!$F$14,1)-0.5))),1)</f>
        <v>0.0772631578947367</v>
      </c>
      <c r="F369" s="136" t="n">
        <f aca="false">IF(Calculator!$E$15="YES",IF(A369&lt;Calculator!$G$15,0,MIN(MIN(MOD(A369/Calculator!$F$15,1),1-MOD(A369/Calculator!$F$15,1)),ABS(MOD(A369/Calculator!$F$15,1)-0.5))),1)</f>
        <v>0.0584210526315792</v>
      </c>
      <c r="G369" s="136" t="n">
        <f aca="false">IF(Calculator!$E$16="YES",IF(A369&lt;Calculator!$G$16,0,MIN(MIN(MOD(A369/Calculator!$F$16,1),1-MOD(A369/Calculator!$F$16,1)),ABS(MOD(A369/Calculator!$F$16,1)-0.5))),1)</f>
        <v>0.11821052631579</v>
      </c>
      <c r="H369" s="136" t="n">
        <f aca="false">IF(Calculator!$E$17="YES",IF(A369&lt;Calculator!$G$17,0,MIN(MIN(MOD(A369/Calculator!$F$17,1),1-MOD(A369/Calculator!$F$17,1)),ABS(MOD(A369/Calculator!$F$17,1)-0.5))),1)</f>
        <v>0.236244210526316</v>
      </c>
      <c r="I369" s="136" t="n">
        <f aca="false">IF(Calculator!$E$18="YES",IF(A369&lt;Calculator!$G$18,0,MIN(MIN(MOD(A369/Calculator!$F$18,1),1-MOD(A369/Calculator!$F$18,1)),ABS(MOD(A369/Calculator!$F$18,1)-0.5))),1)</f>
        <v>0.166421052631579</v>
      </c>
      <c r="J369" s="136" t="n">
        <f aca="false">IF(Calculator!$E$19="YES",IF(A369&lt;Calculator!$G$19,0,MIN(MIN(MOD(A369/Calculator!$F$19,1),1-MOD(A369/Calculator!$F$19,1)),ABS(MOD(A369/Calculator!$F$19,1)-0.5))),1)</f>
        <v>0.245726315789472</v>
      </c>
      <c r="K369" s="136" t="n">
        <f aca="false">IF(Calculator!$E$20="YES",IF(A369&lt;Calculator!$G$20,0,MIN(MIN(MOD(A369/Calculator!$F$20,1),1-MOD(A369/Calculator!$F$20,1)),ABS(MOD(A369/Calculator!$F$20,1)-0.5))),1)</f>
        <v>0.118315789473685</v>
      </c>
      <c r="L369" s="136" t="n">
        <f aca="false">IF(Calculator!$E$21="YES",IF(A369&lt;Calculator!$G$21,0,MIN(MIN(MOD(A369/Calculator!$F$21,1),1-MOD(A369/Calculator!$F$21,1)),ABS(MOD(A369/Calculator!$F$21,1)-0.5))),1)</f>
        <v>0.10736842105263</v>
      </c>
      <c r="M369" s="136" t="n">
        <f aca="false">MIN(B369:L369)</f>
        <v>0.0519999999999999</v>
      </c>
      <c r="N369" s="136" t="n">
        <f aca="false">SUMPRODUCT(($M$5:$M$555&gt;M369)*1)+SUMPRODUCT(($M$5:$M$555=M369)*(ROW($M$5:$M$555)&lt;ROW(M369)))+1</f>
        <v>13</v>
      </c>
      <c r="O369" s="136" t="str">
        <f aca="false">IF(M369&gt;=0.2,"★★★ EXCELLENT",IF(M369&gt;=0.12,"★★  GOOD",IF(M369&gt;=0.07,"★  FAIR",IF(M369&gt;=0.025,"⚠  MARGINAL","✗  AVOID"))))</f>
        <v>⚠  MARGINAL</v>
      </c>
    </row>
    <row r="370" customFormat="false" ht="15" hidden="false" customHeight="false" outlineLevel="0" collapsed="false">
      <c r="A370" s="137" t="n">
        <v>41.5</v>
      </c>
      <c r="B370" s="138" t="n">
        <f aca="false">IF(Calculator!$E$11="YES",IF(A370&lt;Calculator!$G$11,0,MIN(MIN(MOD(A370/Calculator!$F$11,1),1-MOD(A370/Calculator!$F$11,1)),ABS(MOD(A370/Calculator!$F$11,1)-0.5))),1)</f>
        <v>0.0533333333333333</v>
      </c>
      <c r="C370" s="138" t="n">
        <f aca="false">IF(Calculator!$E$12="YES",IF(A370&lt;Calculator!$G$12,0,MIN(MIN(MOD(A370/Calculator!$F$12,1),1-MOD(A370/Calculator!$F$12,1)),ABS(MOD(A370/Calculator!$F$12,1)-0.5))),1)</f>
        <v>0.0629824561403509</v>
      </c>
      <c r="D370" s="138" t="n">
        <f aca="false">IF(Calculator!$E$13="YES",IF(A370&lt;Calculator!$G$13,0,MIN(MIN(MOD(A370/Calculator!$F$13,1),1-MOD(A370/Calculator!$F$13,1)),ABS(MOD(A370/Calculator!$F$13,1)-0.5))),1)</f>
        <v>0.0606912280701755</v>
      </c>
      <c r="E370" s="138" t="n">
        <f aca="false">IF(Calculator!$E$14="YES",IF(A370&lt;Calculator!$G$14,0,MIN(MIN(MOD(A370/Calculator!$F$14,1),1-MOD(A370/Calculator!$F$14,1)),ABS(MOD(A370/Calculator!$F$14,1)-0.5))),1)</f>
        <v>0.0822807017543861</v>
      </c>
      <c r="F370" s="138" t="n">
        <f aca="false">IF(Calculator!$E$15="YES",IF(A370&lt;Calculator!$G$15,0,MIN(MIN(MOD(A370/Calculator!$F$15,1),1-MOD(A370/Calculator!$F$15,1)),ABS(MOD(A370/Calculator!$F$15,1)-0.5))),1)</f>
        <v>0.0513157894736844</v>
      </c>
      <c r="G370" s="138" t="n">
        <f aca="false">IF(Calculator!$E$16="YES",IF(A370&lt;Calculator!$G$16,0,MIN(MIN(MOD(A370/Calculator!$F$16,1),1-MOD(A370/Calculator!$F$16,1)),ABS(MOD(A370/Calculator!$F$16,1)-0.5))),1)</f>
        <v>0.128157894736843</v>
      </c>
      <c r="H370" s="138" t="n">
        <f aca="false">IF(Calculator!$E$17="YES",IF(A370&lt;Calculator!$G$17,0,MIN(MIN(MOD(A370/Calculator!$F$17,1),1-MOD(A370/Calculator!$F$17,1)),ABS(MOD(A370/Calculator!$F$17,1)-0.5))),1)</f>
        <v>0.223529824561403</v>
      </c>
      <c r="I370" s="138" t="n">
        <f aca="false">IF(Calculator!$E$18="YES",IF(A370&lt;Calculator!$G$18,0,MIN(MIN(MOD(A370/Calculator!$F$18,1),1-MOD(A370/Calculator!$F$18,1)),ABS(MOD(A370/Calculator!$F$18,1)-0.5))),1)</f>
        <v>0.181315789473684</v>
      </c>
      <c r="J370" s="138" t="n">
        <f aca="false">IF(Calculator!$E$19="YES",IF(A370&lt;Calculator!$G$19,0,MIN(MIN(MOD(A370/Calculator!$F$19,1),1-MOD(A370/Calculator!$F$19,1)),ABS(MOD(A370/Calculator!$F$19,1)-0.5))),1)</f>
        <v>0.236771929824562</v>
      </c>
      <c r="K370" s="138" t="n">
        <f aca="false">IF(Calculator!$E$20="YES",IF(A370&lt;Calculator!$G$20,0,MIN(MIN(MOD(A370/Calculator!$F$20,1),1-MOD(A370/Calculator!$F$20,1)),ABS(MOD(A370/Calculator!$F$20,1)-0.5))),1)</f>
        <v>0.0980701754385969</v>
      </c>
      <c r="L370" s="138" t="n">
        <f aca="false">IF(Calculator!$E$21="YES",IF(A370&lt;Calculator!$G$21,0,MIN(MIN(MOD(A370/Calculator!$F$21,1),1-MOD(A370/Calculator!$F$21,1)),ABS(MOD(A370/Calculator!$F$21,1)-0.5))),1)</f>
        <v>0.143859649122806</v>
      </c>
      <c r="M370" s="138" t="n">
        <f aca="false">MIN(B370:L370)</f>
        <v>0.0513157894736844</v>
      </c>
      <c r="N370" s="138" t="n">
        <f aca="false">SUMPRODUCT(($M$5:$M$555&gt;M370)*1)+SUMPRODUCT(($M$5:$M$555=M370)*(ROW($M$5:$M$555)&lt;ROW(M370)))+1</f>
        <v>15</v>
      </c>
      <c r="O370" s="138" t="str">
        <f aca="false">IF(M370&gt;=0.2,"★★★ EXCELLENT",IF(M370&gt;=0.12,"★★  GOOD",IF(M370&gt;=0.07,"★  FAIR",IF(M370&gt;=0.025,"⚠  MARGINAL","✗  AVOID"))))</f>
        <v>⚠  MARGINAL</v>
      </c>
    </row>
    <row r="371" customFormat="false" ht="15" hidden="false" customHeight="false" outlineLevel="0" collapsed="false">
      <c r="A371" s="135" t="n">
        <v>41.6</v>
      </c>
      <c r="B371" s="136" t="n">
        <f aca="false">IF(Calculator!$E$11="YES",IF(A371&lt;Calculator!$G$11,0,MIN(MIN(MOD(A371/Calculator!$F$11,1),1-MOD(A371/Calculator!$F$11,1)),ABS(MOD(A371/Calculator!$F$11,1)-0.5))),1)</f>
        <v>0.0546666666666666</v>
      </c>
      <c r="C371" s="136" t="n">
        <f aca="false">IF(Calculator!$E$12="YES",IF(A371&lt;Calculator!$G$12,0,MIN(MIN(MOD(A371/Calculator!$F$12,1),1-MOD(A371/Calculator!$F$12,1)),ABS(MOD(A371/Calculator!$F$12,1)-0.5))),1)</f>
        <v>0.0655438596491229</v>
      </c>
      <c r="D371" s="136" t="n">
        <f aca="false">IF(Calculator!$E$13="YES",IF(A371&lt;Calculator!$G$13,0,MIN(MIN(MOD(A371/Calculator!$F$13,1),1-MOD(A371/Calculator!$F$13,1)),ABS(MOD(A371/Calculator!$F$13,1)-0.5))),1)</f>
        <v>0.0644519298245614</v>
      </c>
      <c r="E371" s="136" t="n">
        <f aca="false">IF(Calculator!$E$14="YES",IF(A371&lt;Calculator!$G$14,0,MIN(MIN(MOD(A371/Calculator!$F$14,1),1-MOD(A371/Calculator!$F$14,1)),ABS(MOD(A371/Calculator!$F$14,1)-0.5))),1)</f>
        <v>0.087298245614035</v>
      </c>
      <c r="F371" s="136" t="n">
        <f aca="false">IF(Calculator!$E$15="YES",IF(A371&lt;Calculator!$G$15,0,MIN(MIN(MOD(A371/Calculator!$F$15,1),1-MOD(A371/Calculator!$F$15,1)),ABS(MOD(A371/Calculator!$F$15,1)-0.5))),1)</f>
        <v>0.0442105263157893</v>
      </c>
      <c r="G371" s="136" t="n">
        <f aca="false">IF(Calculator!$E$16="YES",IF(A371&lt;Calculator!$G$16,0,MIN(MIN(MOD(A371/Calculator!$F$16,1),1-MOD(A371/Calculator!$F$16,1)),ABS(MOD(A371/Calculator!$F$16,1)-0.5))),1)</f>
        <v>0.138105263157895</v>
      </c>
      <c r="H371" s="136" t="n">
        <f aca="false">IF(Calculator!$E$17="YES",IF(A371&lt;Calculator!$G$17,0,MIN(MIN(MOD(A371/Calculator!$F$17,1),1-MOD(A371/Calculator!$F$17,1)),ABS(MOD(A371/Calculator!$F$17,1)-0.5))),1)</f>
        <v>0.210815438596491</v>
      </c>
      <c r="I371" s="136" t="n">
        <f aca="false">IF(Calculator!$E$18="YES",IF(A371&lt;Calculator!$G$18,0,MIN(MIN(MOD(A371/Calculator!$F$18,1),1-MOD(A371/Calculator!$F$18,1)),ABS(MOD(A371/Calculator!$F$18,1)-0.5))),1)</f>
        <v>0.19621052631579</v>
      </c>
      <c r="J371" s="136" t="n">
        <f aca="false">IF(Calculator!$E$19="YES",IF(A371&lt;Calculator!$G$19,0,MIN(MIN(MOD(A371/Calculator!$F$19,1),1-MOD(A371/Calculator!$F$19,1)),ABS(MOD(A371/Calculator!$F$19,1)-0.5))),1)</f>
        <v>0.219270175438598</v>
      </c>
      <c r="K371" s="136" t="n">
        <f aca="false">IF(Calculator!$E$20="YES",IF(A371&lt;Calculator!$G$20,0,MIN(MIN(MOD(A371/Calculator!$F$20,1),1-MOD(A371/Calculator!$F$20,1)),ABS(MOD(A371/Calculator!$F$20,1)-0.5))),1)</f>
        <v>0.0778245614035082</v>
      </c>
      <c r="L371" s="136" t="n">
        <f aca="false">IF(Calculator!$E$21="YES",IF(A371&lt;Calculator!$G$21,0,MIN(MIN(MOD(A371/Calculator!$F$21,1),1-MOD(A371/Calculator!$F$21,1)),ABS(MOD(A371/Calculator!$F$21,1)-0.5))),1)</f>
        <v>0.180350877192982</v>
      </c>
      <c r="M371" s="136" t="n">
        <f aca="false">MIN(B371:L371)</f>
        <v>0.0442105263157893</v>
      </c>
      <c r="N371" s="136" t="n">
        <f aca="false">SUMPRODUCT(($M$5:$M$555&gt;M371)*1)+SUMPRODUCT(($M$5:$M$555=M371)*(ROW($M$5:$M$555)&lt;ROW(M371)))+1</f>
        <v>20</v>
      </c>
      <c r="O371" s="136" t="str">
        <f aca="false">IF(M371&gt;=0.2,"★★★ EXCELLENT",IF(M371&gt;=0.12,"★★  GOOD",IF(M371&gt;=0.07,"★  FAIR",IF(M371&gt;=0.025,"⚠  MARGINAL","✗  AVOID"))))</f>
        <v>⚠  MARGINAL</v>
      </c>
    </row>
    <row r="372" customFormat="false" ht="15" hidden="false" customHeight="false" outlineLevel="0" collapsed="false">
      <c r="A372" s="137" t="n">
        <v>41.7</v>
      </c>
      <c r="B372" s="138" t="n">
        <f aca="false">IF(Calculator!$E$11="YES",IF(A372&lt;Calculator!$G$11,0,MIN(MIN(MOD(A372/Calculator!$F$11,1),1-MOD(A372/Calculator!$F$11,1)),ABS(MOD(A372/Calculator!$F$11,1)-0.5))),1)</f>
        <v>0.0560000000000001</v>
      </c>
      <c r="C372" s="138" t="n">
        <f aca="false">IF(Calculator!$E$12="YES",IF(A372&lt;Calculator!$G$12,0,MIN(MIN(MOD(A372/Calculator!$F$12,1),1-MOD(A372/Calculator!$F$12,1)),ABS(MOD(A372/Calculator!$F$12,1)-0.5))),1)</f>
        <v>0.0681052631578949</v>
      </c>
      <c r="D372" s="138" t="n">
        <f aca="false">IF(Calculator!$E$13="YES",IF(A372&lt;Calculator!$G$13,0,MIN(MIN(MOD(A372/Calculator!$F$13,1),1-MOD(A372/Calculator!$F$13,1)),ABS(MOD(A372/Calculator!$F$13,1)-0.5))),1)</f>
        <v>0.0682126315789473</v>
      </c>
      <c r="E372" s="138" t="n">
        <f aca="false">IF(Calculator!$E$14="YES",IF(A372&lt;Calculator!$G$14,0,MIN(MIN(MOD(A372/Calculator!$F$14,1),1-MOD(A372/Calculator!$F$14,1)),ABS(MOD(A372/Calculator!$F$14,1)-0.5))),1)</f>
        <v>0.0923157894736844</v>
      </c>
      <c r="F372" s="138" t="n">
        <f aca="false">IF(Calculator!$E$15="YES",IF(A372&lt;Calculator!$G$15,0,MIN(MIN(MOD(A372/Calculator!$F$15,1),1-MOD(A372/Calculator!$F$15,1)),ABS(MOD(A372/Calculator!$F$15,1)-0.5))),1)</f>
        <v>0.0371052631578945</v>
      </c>
      <c r="G372" s="138" t="n">
        <f aca="false">IF(Calculator!$E$16="YES",IF(A372&lt;Calculator!$G$16,0,MIN(MIN(MOD(A372/Calculator!$F$16,1),1-MOD(A372/Calculator!$F$16,1)),ABS(MOD(A372/Calculator!$F$16,1)-0.5))),1)</f>
        <v>0.148052631578948</v>
      </c>
      <c r="H372" s="138" t="n">
        <f aca="false">IF(Calculator!$E$17="YES",IF(A372&lt;Calculator!$G$17,0,MIN(MIN(MOD(A372/Calculator!$F$17,1),1-MOD(A372/Calculator!$F$17,1)),ABS(MOD(A372/Calculator!$F$17,1)-0.5))),1)</f>
        <v>0.198101052631578</v>
      </c>
      <c r="I372" s="138" t="n">
        <f aca="false">IF(Calculator!$E$18="YES",IF(A372&lt;Calculator!$G$18,0,MIN(MIN(MOD(A372/Calculator!$F$18,1),1-MOD(A372/Calculator!$F$18,1)),ABS(MOD(A372/Calculator!$F$18,1)-0.5))),1)</f>
        <v>0.211105263157895</v>
      </c>
      <c r="J372" s="138" t="n">
        <f aca="false">IF(Calculator!$E$19="YES",IF(A372&lt;Calculator!$G$19,0,MIN(MIN(MOD(A372/Calculator!$F$19,1),1-MOD(A372/Calculator!$F$19,1)),ABS(MOD(A372/Calculator!$F$19,1)-0.5))),1)</f>
        <v>0.201768421052632</v>
      </c>
      <c r="K372" s="138" t="n">
        <f aca="false">IF(Calculator!$E$20="YES",IF(A372&lt;Calculator!$G$20,0,MIN(MIN(MOD(A372/Calculator!$F$20,1),1-MOD(A372/Calculator!$F$20,1)),ABS(MOD(A372/Calculator!$F$20,1)-0.5))),1)</f>
        <v>0.0575789473684214</v>
      </c>
      <c r="L372" s="138" t="n">
        <f aca="false">IF(Calculator!$E$21="YES",IF(A372&lt;Calculator!$G$21,0,MIN(MIN(MOD(A372/Calculator!$F$21,1),1-MOD(A372/Calculator!$F$21,1)),ABS(MOD(A372/Calculator!$F$21,1)-0.5))),1)</f>
        <v>0.216842105263158</v>
      </c>
      <c r="M372" s="138" t="n">
        <f aca="false">MIN(B372:L372)</f>
        <v>0.0371052631578945</v>
      </c>
      <c r="N372" s="138" t="n">
        <f aca="false">SUMPRODUCT(($M$5:$M$555&gt;M372)*1)+SUMPRODUCT(($M$5:$M$555=M372)*(ROW($M$5:$M$555)&lt;ROW(M372)))+1</f>
        <v>29</v>
      </c>
      <c r="O372" s="138" t="str">
        <f aca="false">IF(M372&gt;=0.2,"★★★ EXCELLENT",IF(M372&gt;=0.12,"★★  GOOD",IF(M372&gt;=0.07,"★  FAIR",IF(M372&gt;=0.025,"⚠  MARGINAL","✗  AVOID"))))</f>
        <v>⚠  MARGINAL</v>
      </c>
    </row>
    <row r="373" customFormat="false" ht="15" hidden="false" customHeight="false" outlineLevel="0" collapsed="false">
      <c r="A373" s="135" t="n">
        <v>41.8</v>
      </c>
      <c r="B373" s="136" t="n">
        <f aca="false">IF(Calculator!$E$11="YES",IF(A373&lt;Calculator!$G$11,0,MIN(MIN(MOD(A373/Calculator!$F$11,1),1-MOD(A373/Calculator!$F$11,1)),ABS(MOD(A373/Calculator!$F$11,1)-0.5))),1)</f>
        <v>0.0573333333333334</v>
      </c>
      <c r="C373" s="136" t="n">
        <f aca="false">IF(Calculator!$E$12="YES",IF(A373&lt;Calculator!$G$12,0,MIN(MIN(MOD(A373/Calculator!$F$12,1),1-MOD(A373/Calculator!$F$12,1)),ABS(MOD(A373/Calculator!$F$12,1)-0.5))),1)</f>
        <v>0.0706666666666667</v>
      </c>
      <c r="D373" s="136" t="n">
        <f aca="false">IF(Calculator!$E$13="YES",IF(A373&lt;Calculator!$G$13,0,MIN(MIN(MOD(A373/Calculator!$F$13,1),1-MOD(A373/Calculator!$F$13,1)),ABS(MOD(A373/Calculator!$F$13,1)-0.5))),1)</f>
        <v>0.0719733333333332</v>
      </c>
      <c r="E373" s="136" t="n">
        <f aca="false">IF(Calculator!$E$14="YES",IF(A373&lt;Calculator!$G$14,0,MIN(MIN(MOD(A373/Calculator!$F$14,1),1-MOD(A373/Calculator!$F$14,1)),ABS(MOD(A373/Calculator!$F$14,1)-0.5))),1)</f>
        <v>0.0973333333333333</v>
      </c>
      <c r="F373" s="136" t="n">
        <f aca="false">IF(Calculator!$E$15="YES",IF(A373&lt;Calculator!$G$15,0,MIN(MIN(MOD(A373/Calculator!$F$15,1),1-MOD(A373/Calculator!$F$15,1)),ABS(MOD(A373/Calculator!$F$15,1)-0.5))),1)</f>
        <v>0.0300000000000003</v>
      </c>
      <c r="G373" s="136" t="n">
        <f aca="false">IF(Calculator!$E$16="YES",IF(A373&lt;Calculator!$G$16,0,MIN(MIN(MOD(A373/Calculator!$F$16,1),1-MOD(A373/Calculator!$F$16,1)),ABS(MOD(A373/Calculator!$F$16,1)-0.5))),1)</f>
        <v>0.158</v>
      </c>
      <c r="H373" s="136" t="n">
        <f aca="false">IF(Calculator!$E$17="YES",IF(A373&lt;Calculator!$G$17,0,MIN(MIN(MOD(A373/Calculator!$F$17,1),1-MOD(A373/Calculator!$F$17,1)),ABS(MOD(A373/Calculator!$F$17,1)-0.5))),1)</f>
        <v>0.185386666666666</v>
      </c>
      <c r="I373" s="136" t="n">
        <f aca="false">IF(Calculator!$E$18="YES",IF(A373&lt;Calculator!$G$18,0,MIN(MIN(MOD(A373/Calculator!$F$18,1),1-MOD(A373/Calculator!$F$18,1)),ABS(MOD(A373/Calculator!$F$18,1)-0.5))),1)</f>
        <v>0.226</v>
      </c>
      <c r="J373" s="136" t="n">
        <f aca="false">IF(Calculator!$E$19="YES",IF(A373&lt;Calculator!$G$19,0,MIN(MIN(MOD(A373/Calculator!$F$19,1),1-MOD(A373/Calculator!$F$19,1)),ABS(MOD(A373/Calculator!$F$19,1)-0.5))),1)</f>
        <v>0.184266666666669</v>
      </c>
      <c r="K373" s="136" t="n">
        <f aca="false">IF(Calculator!$E$20="YES",IF(A373&lt;Calculator!$G$20,0,MIN(MIN(MOD(A373/Calculator!$F$20,1),1-MOD(A373/Calculator!$F$20,1)),ABS(MOD(A373/Calculator!$F$20,1)-0.5))),1)</f>
        <v>0.0373333333333346</v>
      </c>
      <c r="L373" s="136" t="n">
        <f aca="false">IF(Calculator!$E$21="YES",IF(A373&lt;Calculator!$G$21,0,MIN(MIN(MOD(A373/Calculator!$F$21,1),1-MOD(A373/Calculator!$F$21,1)),ABS(MOD(A373/Calculator!$F$21,1)-0.5))),1)</f>
        <v>0.246666666666668</v>
      </c>
      <c r="M373" s="136" t="n">
        <f aca="false">MIN(B373:L373)</f>
        <v>0.0300000000000003</v>
      </c>
      <c r="N373" s="136" t="n">
        <f aca="false">SUMPRODUCT(($M$5:$M$555&gt;M373)*1)+SUMPRODUCT(($M$5:$M$555=M373)*(ROW($M$5:$M$555)&lt;ROW(M373)))+1</f>
        <v>48</v>
      </c>
      <c r="O373" s="136" t="str">
        <f aca="false">IF(M373&gt;=0.2,"★★★ EXCELLENT",IF(M373&gt;=0.12,"★★  GOOD",IF(M373&gt;=0.07,"★  FAIR",IF(M373&gt;=0.025,"⚠  MARGINAL","✗  AVOID"))))</f>
        <v>⚠  MARGINAL</v>
      </c>
    </row>
    <row r="374" customFormat="false" ht="15" hidden="false" customHeight="false" outlineLevel="0" collapsed="false">
      <c r="A374" s="137" t="n">
        <v>41.9</v>
      </c>
      <c r="B374" s="138" t="n">
        <f aca="false">IF(Calculator!$E$11="YES",IF(A374&lt;Calculator!$G$11,0,MIN(MIN(MOD(A374/Calculator!$F$11,1),1-MOD(A374/Calculator!$F$11,1)),ABS(MOD(A374/Calculator!$F$11,1)-0.5))),1)</f>
        <v>0.0586666666666666</v>
      </c>
      <c r="C374" s="138" t="n">
        <f aca="false">IF(Calculator!$E$12="YES",IF(A374&lt;Calculator!$G$12,0,MIN(MIN(MOD(A374/Calculator!$F$12,1),1-MOD(A374/Calculator!$F$12,1)),ABS(MOD(A374/Calculator!$F$12,1)-0.5))),1)</f>
        <v>0.0732280701754386</v>
      </c>
      <c r="D374" s="138" t="n">
        <f aca="false">IF(Calculator!$E$13="YES",IF(A374&lt;Calculator!$G$13,0,MIN(MIN(MOD(A374/Calculator!$F$13,1),1-MOD(A374/Calculator!$F$13,1)),ABS(MOD(A374/Calculator!$F$13,1)-0.5))),1)</f>
        <v>0.0757340350877191</v>
      </c>
      <c r="E374" s="138" t="n">
        <f aca="false">IF(Calculator!$E$14="YES",IF(A374&lt;Calculator!$G$14,0,MIN(MIN(MOD(A374/Calculator!$F$14,1),1-MOD(A374/Calculator!$F$14,1)),ABS(MOD(A374/Calculator!$F$14,1)-0.5))),1)</f>
        <v>0.102350877192982</v>
      </c>
      <c r="F374" s="138" t="n">
        <f aca="false">IF(Calculator!$E$15="YES",IF(A374&lt;Calculator!$G$15,0,MIN(MIN(MOD(A374/Calculator!$F$15,1),1-MOD(A374/Calculator!$F$15,1)),ABS(MOD(A374/Calculator!$F$15,1)-0.5))),1)</f>
        <v>0.0228947368421055</v>
      </c>
      <c r="G374" s="138" t="n">
        <f aca="false">IF(Calculator!$E$16="YES",IF(A374&lt;Calculator!$G$16,0,MIN(MIN(MOD(A374/Calculator!$F$16,1),1-MOD(A374/Calculator!$F$16,1)),ABS(MOD(A374/Calculator!$F$16,1)-0.5))),1)</f>
        <v>0.167947368421053</v>
      </c>
      <c r="H374" s="138" t="n">
        <f aca="false">IF(Calculator!$E$17="YES",IF(A374&lt;Calculator!$G$17,0,MIN(MIN(MOD(A374/Calculator!$F$17,1),1-MOD(A374/Calculator!$F$17,1)),ABS(MOD(A374/Calculator!$F$17,1)-0.5))),1)</f>
        <v>0.172672280701754</v>
      </c>
      <c r="I374" s="138" t="n">
        <f aca="false">IF(Calculator!$E$18="YES",IF(A374&lt;Calculator!$G$18,0,MIN(MIN(MOD(A374/Calculator!$F$18,1),1-MOD(A374/Calculator!$F$18,1)),ABS(MOD(A374/Calculator!$F$18,1)-0.5))),1)</f>
        <v>0.240894736842106</v>
      </c>
      <c r="J374" s="138" t="n">
        <f aca="false">IF(Calculator!$E$19="YES",IF(A374&lt;Calculator!$G$19,0,MIN(MIN(MOD(A374/Calculator!$F$19,1),1-MOD(A374/Calculator!$F$19,1)),ABS(MOD(A374/Calculator!$F$19,1)-0.5))),1)</f>
        <v>0.166764912280703</v>
      </c>
      <c r="K374" s="138" t="n">
        <f aca="false">IF(Calculator!$E$20="YES",IF(A374&lt;Calculator!$G$20,0,MIN(MIN(MOD(A374/Calculator!$F$20,1),1-MOD(A374/Calculator!$F$20,1)),ABS(MOD(A374/Calculator!$F$20,1)-0.5))),1)</f>
        <v>0.0170877192982459</v>
      </c>
      <c r="L374" s="138" t="n">
        <f aca="false">IF(Calculator!$E$21="YES",IF(A374&lt;Calculator!$G$21,0,MIN(MIN(MOD(A374/Calculator!$F$21,1),1-MOD(A374/Calculator!$F$21,1)),ABS(MOD(A374/Calculator!$F$21,1)-0.5))),1)</f>
        <v>0.210175438596492</v>
      </c>
      <c r="M374" s="138" t="n">
        <f aca="false">MIN(B374:L374)</f>
        <v>0.0170877192982459</v>
      </c>
      <c r="N374" s="138" t="n">
        <f aca="false">SUMPRODUCT(($M$5:$M$555&gt;M374)*1)+SUMPRODUCT(($M$5:$M$555=M374)*(ROW($M$5:$M$555)&lt;ROW(M374)))+1</f>
        <v>93</v>
      </c>
      <c r="O374" s="138" t="str">
        <f aca="false">IF(M374&gt;=0.2,"★★★ EXCELLENT",IF(M374&gt;=0.12,"★★  GOOD",IF(M374&gt;=0.07,"★  FAIR",IF(M374&gt;=0.025,"⚠  MARGINAL","✗  AVOID"))))</f>
        <v>✗  AVOID</v>
      </c>
    </row>
    <row r="375" customFormat="false" ht="15" hidden="false" customHeight="false" outlineLevel="0" collapsed="false">
      <c r="A375" s="135" t="n">
        <v>42</v>
      </c>
      <c r="B375" s="136" t="n">
        <f aca="false">IF(Calculator!$E$11="YES",IF(A375&lt;Calculator!$G$11,0,MIN(MIN(MOD(A375/Calculator!$F$11,1),1-MOD(A375/Calculator!$F$11,1)),ABS(MOD(A375/Calculator!$F$11,1)-0.5))),1)</f>
        <v>0.0600000000000001</v>
      </c>
      <c r="C375" s="136" t="n">
        <f aca="false">IF(Calculator!$E$12="YES",IF(A375&lt;Calculator!$G$12,0,MIN(MIN(MOD(A375/Calculator!$F$12,1),1-MOD(A375/Calculator!$F$12,1)),ABS(MOD(A375/Calculator!$F$12,1)-0.5))),1)</f>
        <v>0.0757894736842106</v>
      </c>
      <c r="D375" s="136" t="n">
        <f aca="false">IF(Calculator!$E$13="YES",IF(A375&lt;Calculator!$G$13,0,MIN(MIN(MOD(A375/Calculator!$F$13,1),1-MOD(A375/Calculator!$F$13,1)),ABS(MOD(A375/Calculator!$F$13,1)-0.5))),1)</f>
        <v>0.0794947368421053</v>
      </c>
      <c r="E375" s="136" t="n">
        <f aca="false">IF(Calculator!$E$14="YES",IF(A375&lt;Calculator!$G$14,0,MIN(MIN(MOD(A375/Calculator!$F$14,1),1-MOD(A375/Calculator!$F$14,1)),ABS(MOD(A375/Calculator!$F$14,1)-0.5))),1)</f>
        <v>0.107368421052632</v>
      </c>
      <c r="F375" s="136" t="n">
        <f aca="false">IF(Calculator!$E$15="YES",IF(A375&lt;Calculator!$G$15,0,MIN(MIN(MOD(A375/Calculator!$F$15,1),1-MOD(A375/Calculator!$F$15,1)),ABS(MOD(A375/Calculator!$F$15,1)-0.5))),1)</f>
        <v>0.0157894736842108</v>
      </c>
      <c r="G375" s="136" t="n">
        <f aca="false">IF(Calculator!$E$16="YES",IF(A375&lt;Calculator!$G$16,0,MIN(MIN(MOD(A375/Calculator!$F$16,1),1-MOD(A375/Calculator!$F$16,1)),ABS(MOD(A375/Calculator!$F$16,1)-0.5))),1)</f>
        <v>0.177894736842106</v>
      </c>
      <c r="H375" s="136" t="n">
        <f aca="false">IF(Calculator!$E$17="YES",IF(A375&lt;Calculator!$G$17,0,MIN(MIN(MOD(A375/Calculator!$F$17,1),1-MOD(A375/Calculator!$F$17,1)),ABS(MOD(A375/Calculator!$F$17,1)-0.5))),1)</f>
        <v>0.159957894736841</v>
      </c>
      <c r="I375" s="136" t="n">
        <f aca="false">IF(Calculator!$E$18="YES",IF(A375&lt;Calculator!$G$18,0,MIN(MIN(MOD(A375/Calculator!$F$18,1),1-MOD(A375/Calculator!$F$18,1)),ABS(MOD(A375/Calculator!$F$18,1)-0.5))),1)</f>
        <v>0.244210526315789</v>
      </c>
      <c r="J375" s="136" t="n">
        <f aca="false">IF(Calculator!$E$19="YES",IF(A375&lt;Calculator!$G$19,0,MIN(MIN(MOD(A375/Calculator!$F$19,1),1-MOD(A375/Calculator!$F$19,1)),ABS(MOD(A375/Calculator!$F$19,1)-0.5))),1)</f>
        <v>0.149263157894738</v>
      </c>
      <c r="K375" s="136" t="n">
        <f aca="false">IF(Calculator!$E$20="YES",IF(A375&lt;Calculator!$G$20,0,MIN(MIN(MOD(A375/Calculator!$F$20,1),1-MOD(A375/Calculator!$F$20,1)),ABS(MOD(A375/Calculator!$F$20,1)-0.5))),1)</f>
        <v>0.00315789473684269</v>
      </c>
      <c r="L375" s="136" t="n">
        <f aca="false">IF(Calculator!$E$21="YES",IF(A375&lt;Calculator!$G$21,0,MIN(MIN(MOD(A375/Calculator!$F$21,1),1-MOD(A375/Calculator!$F$21,1)),ABS(MOD(A375/Calculator!$F$21,1)-0.5))),1)</f>
        <v>0.173684210526316</v>
      </c>
      <c r="M375" s="136" t="n">
        <f aca="false">MIN(B375:L375)</f>
        <v>0.00315789473684269</v>
      </c>
      <c r="N375" s="136" t="n">
        <f aca="false">SUMPRODUCT(($M$5:$M$555&gt;M375)*1)+SUMPRODUCT(($M$5:$M$555=M375)*(ROW($M$5:$M$555)&lt;ROW(M375)))+1</f>
        <v>193</v>
      </c>
      <c r="O375" s="136" t="str">
        <f aca="false">IF(M375&gt;=0.2,"★★★ EXCELLENT",IF(M375&gt;=0.12,"★★  GOOD",IF(M375&gt;=0.07,"★  FAIR",IF(M375&gt;=0.025,"⚠  MARGINAL","✗  AVOID"))))</f>
        <v>✗  AVOID</v>
      </c>
    </row>
    <row r="376" customFormat="false" ht="15" hidden="false" customHeight="false" outlineLevel="0" collapsed="false">
      <c r="A376" s="137" t="n">
        <v>42.1</v>
      </c>
      <c r="B376" s="138" t="n">
        <f aca="false">IF(Calculator!$E$11="YES",IF(A376&lt;Calculator!$G$11,0,MIN(MIN(MOD(A376/Calculator!$F$11,1),1-MOD(A376/Calculator!$F$11,1)),ABS(MOD(A376/Calculator!$F$11,1)-0.5))),1)</f>
        <v>0.0613333333333334</v>
      </c>
      <c r="C376" s="138" t="n">
        <f aca="false">IF(Calculator!$E$12="YES",IF(A376&lt;Calculator!$G$12,0,MIN(MIN(MOD(A376/Calculator!$F$12,1),1-MOD(A376/Calculator!$F$12,1)),ABS(MOD(A376/Calculator!$F$12,1)-0.5))),1)</f>
        <v>0.0783508771929826</v>
      </c>
      <c r="D376" s="138" t="n">
        <f aca="false">IF(Calculator!$E$13="YES",IF(A376&lt;Calculator!$G$13,0,MIN(MIN(MOD(A376/Calculator!$F$13,1),1-MOD(A376/Calculator!$F$13,1)),ABS(MOD(A376/Calculator!$F$13,1)-0.5))),1)</f>
        <v>0.0832554385964912</v>
      </c>
      <c r="E376" s="138" t="n">
        <f aca="false">IF(Calculator!$E$14="YES",IF(A376&lt;Calculator!$G$14,0,MIN(MIN(MOD(A376/Calculator!$F$14,1),1-MOD(A376/Calculator!$F$14,1)),ABS(MOD(A376/Calculator!$F$14,1)-0.5))),1)</f>
        <v>0.112385964912281</v>
      </c>
      <c r="F376" s="138" t="n">
        <f aca="false">IF(Calculator!$E$15="YES",IF(A376&lt;Calculator!$G$15,0,MIN(MIN(MOD(A376/Calculator!$F$15,1),1-MOD(A376/Calculator!$F$15,1)),ABS(MOD(A376/Calculator!$F$15,1)-0.5))),1)</f>
        <v>0.00868421052631563</v>
      </c>
      <c r="G376" s="138" t="n">
        <f aca="false">IF(Calculator!$E$16="YES",IF(A376&lt;Calculator!$G$16,0,MIN(MIN(MOD(A376/Calculator!$F$16,1),1-MOD(A376/Calculator!$F$16,1)),ABS(MOD(A376/Calculator!$F$16,1)-0.5))),1)</f>
        <v>0.187842105263158</v>
      </c>
      <c r="H376" s="138" t="n">
        <f aca="false">IF(Calculator!$E$17="YES",IF(A376&lt;Calculator!$G$17,0,MIN(MIN(MOD(A376/Calculator!$F$17,1),1-MOD(A376/Calculator!$F$17,1)),ABS(MOD(A376/Calculator!$F$17,1)-0.5))),1)</f>
        <v>0.147243508771929</v>
      </c>
      <c r="I376" s="138" t="n">
        <f aca="false">IF(Calculator!$E$18="YES",IF(A376&lt;Calculator!$G$18,0,MIN(MIN(MOD(A376/Calculator!$F$18,1),1-MOD(A376/Calculator!$F$18,1)),ABS(MOD(A376/Calculator!$F$18,1)-0.5))),1)</f>
        <v>0.229315789473683</v>
      </c>
      <c r="J376" s="138" t="n">
        <f aca="false">IF(Calculator!$E$19="YES",IF(A376&lt;Calculator!$G$19,0,MIN(MIN(MOD(A376/Calculator!$F$19,1),1-MOD(A376/Calculator!$F$19,1)),ABS(MOD(A376/Calculator!$F$19,1)-0.5))),1)</f>
        <v>0.131761403508773</v>
      </c>
      <c r="K376" s="138" t="n">
        <f aca="false">IF(Calculator!$E$20="YES",IF(A376&lt;Calculator!$G$20,0,MIN(MIN(MOD(A376/Calculator!$F$20,1),1-MOD(A376/Calculator!$F$20,1)),ABS(MOD(A376/Calculator!$F$20,1)-0.5))),1)</f>
        <v>0.0234035087719295</v>
      </c>
      <c r="L376" s="138" t="n">
        <f aca="false">IF(Calculator!$E$21="YES",IF(A376&lt;Calculator!$G$21,0,MIN(MIN(MOD(A376/Calculator!$F$21,1),1-MOD(A376/Calculator!$F$21,1)),ABS(MOD(A376/Calculator!$F$21,1)-0.5))),1)</f>
        <v>0.13719298245614</v>
      </c>
      <c r="M376" s="138" t="n">
        <f aca="false">MIN(B376:L376)</f>
        <v>0.00868421052631563</v>
      </c>
      <c r="N376" s="138" t="n">
        <f aca="false">SUMPRODUCT(($M$5:$M$555&gt;M376)*1)+SUMPRODUCT(($M$5:$M$555=M376)*(ROW($M$5:$M$555)&lt;ROW(M376)))+1</f>
        <v>147</v>
      </c>
      <c r="O376" s="138" t="str">
        <f aca="false">IF(M376&gt;=0.2,"★★★ EXCELLENT",IF(M376&gt;=0.12,"★★  GOOD",IF(M376&gt;=0.07,"★  FAIR",IF(M376&gt;=0.025,"⚠  MARGINAL","✗  AVOID"))))</f>
        <v>✗  AVOID</v>
      </c>
    </row>
    <row r="377" customFormat="false" ht="15" hidden="false" customHeight="false" outlineLevel="0" collapsed="false">
      <c r="A377" s="135" t="n">
        <v>42.2</v>
      </c>
      <c r="B377" s="136" t="n">
        <f aca="false">IF(Calculator!$E$11="YES",IF(A377&lt;Calculator!$G$11,0,MIN(MIN(MOD(A377/Calculator!$F$11,1),1-MOD(A377/Calculator!$F$11,1)),ABS(MOD(A377/Calculator!$F$11,1)-0.5))),1)</f>
        <v>0.0626666666666668</v>
      </c>
      <c r="C377" s="136" t="n">
        <f aca="false">IF(Calculator!$E$12="YES",IF(A377&lt;Calculator!$G$12,0,MIN(MIN(MOD(A377/Calculator!$F$12,1),1-MOD(A377/Calculator!$F$12,1)),ABS(MOD(A377/Calculator!$F$12,1)-0.5))),1)</f>
        <v>0.0809122807017546</v>
      </c>
      <c r="D377" s="136" t="n">
        <f aca="false">IF(Calculator!$E$13="YES",IF(A377&lt;Calculator!$G$13,0,MIN(MIN(MOD(A377/Calculator!$F$13,1),1-MOD(A377/Calculator!$F$13,1)),ABS(MOD(A377/Calculator!$F$13,1)-0.5))),1)</f>
        <v>0.0870161403508771</v>
      </c>
      <c r="E377" s="136" t="n">
        <f aca="false">IF(Calculator!$E$14="YES",IF(A377&lt;Calculator!$G$14,0,MIN(MIN(MOD(A377/Calculator!$F$14,1),1-MOD(A377/Calculator!$F$14,1)),ABS(MOD(A377/Calculator!$F$14,1)-0.5))),1)</f>
        <v>0.11740350877193</v>
      </c>
      <c r="F377" s="136" t="n">
        <f aca="false">IF(Calculator!$E$15="YES",IF(A377&lt;Calculator!$G$15,0,MIN(MIN(MOD(A377/Calculator!$F$15,1),1-MOD(A377/Calculator!$F$15,1)),ABS(MOD(A377/Calculator!$F$15,1)-0.5))),1)</f>
        <v>0.0015789473684209</v>
      </c>
      <c r="G377" s="136" t="n">
        <f aca="false">IF(Calculator!$E$16="YES",IF(A377&lt;Calculator!$G$16,0,MIN(MIN(MOD(A377/Calculator!$F$16,1),1-MOD(A377/Calculator!$F$16,1)),ABS(MOD(A377/Calculator!$F$16,1)-0.5))),1)</f>
        <v>0.197789473684211</v>
      </c>
      <c r="H377" s="136" t="n">
        <f aca="false">IF(Calculator!$E$17="YES",IF(A377&lt;Calculator!$G$17,0,MIN(MIN(MOD(A377/Calculator!$F$17,1),1-MOD(A377/Calculator!$F$17,1)),ABS(MOD(A377/Calculator!$F$17,1)-0.5))),1)</f>
        <v>0.134529122807017</v>
      </c>
      <c r="I377" s="136" t="n">
        <f aca="false">IF(Calculator!$E$18="YES",IF(A377&lt;Calculator!$G$18,0,MIN(MIN(MOD(A377/Calculator!$F$18,1),1-MOD(A377/Calculator!$F$18,1)),ABS(MOD(A377/Calculator!$F$18,1)-0.5))),1)</f>
        <v>0.214421052631578</v>
      </c>
      <c r="J377" s="136" t="n">
        <f aca="false">IF(Calculator!$E$19="YES",IF(A377&lt;Calculator!$G$19,0,MIN(MIN(MOD(A377/Calculator!$F$19,1),1-MOD(A377/Calculator!$F$19,1)),ABS(MOD(A377/Calculator!$F$19,1)-0.5))),1)</f>
        <v>0.114259649122808</v>
      </c>
      <c r="K377" s="136" t="n">
        <f aca="false">IF(Calculator!$E$20="YES",IF(A377&lt;Calculator!$G$20,0,MIN(MIN(MOD(A377/Calculator!$F$20,1),1-MOD(A377/Calculator!$F$20,1)),ABS(MOD(A377/Calculator!$F$20,1)-0.5))),1)</f>
        <v>0.0436491228070182</v>
      </c>
      <c r="L377" s="136" t="n">
        <f aca="false">IF(Calculator!$E$21="YES",IF(A377&lt;Calculator!$G$21,0,MIN(MIN(MOD(A377/Calculator!$F$21,1),1-MOD(A377/Calculator!$F$21,1)),ABS(MOD(A377/Calculator!$F$21,1)-0.5))),1)</f>
        <v>0.100701754385964</v>
      </c>
      <c r="M377" s="136" t="n">
        <f aca="false">MIN(B377:L377)</f>
        <v>0.0015789473684209</v>
      </c>
      <c r="N377" s="136" t="n">
        <f aca="false">SUMPRODUCT(($M$5:$M$555&gt;M377)*1)+SUMPRODUCT(($M$5:$M$555=M377)*(ROW($M$5:$M$555)&lt;ROW(M377)))+1</f>
        <v>204</v>
      </c>
      <c r="O377" s="136" t="str">
        <f aca="false">IF(M377&gt;=0.2,"★★★ EXCELLENT",IF(M377&gt;=0.12,"★★  GOOD",IF(M377&gt;=0.07,"★  FAIR",IF(M377&gt;=0.025,"⚠  MARGINAL","✗  AVOID"))))</f>
        <v>✗  AVOID</v>
      </c>
    </row>
    <row r="378" customFormat="false" ht="15" hidden="false" customHeight="false" outlineLevel="0" collapsed="false">
      <c r="A378" s="137" t="n">
        <v>42.3</v>
      </c>
      <c r="B378" s="138" t="n">
        <f aca="false">IF(Calculator!$E$11="YES",IF(A378&lt;Calculator!$G$11,0,MIN(MIN(MOD(A378/Calculator!$F$11,1),1-MOD(A378/Calculator!$F$11,1)),ABS(MOD(A378/Calculator!$F$11,1)-0.5))),1)</f>
        <v>0.064</v>
      </c>
      <c r="C378" s="138" t="n">
        <f aca="false">IF(Calculator!$E$12="YES",IF(A378&lt;Calculator!$G$12,0,MIN(MIN(MOD(A378/Calculator!$F$12,1),1-MOD(A378/Calculator!$F$12,1)),ABS(MOD(A378/Calculator!$F$12,1)-0.5))),1)</f>
        <v>0.0834736842105264</v>
      </c>
      <c r="D378" s="138" t="n">
        <f aca="false">IF(Calculator!$E$13="YES",IF(A378&lt;Calculator!$G$13,0,MIN(MIN(MOD(A378/Calculator!$F$13,1),1-MOD(A378/Calculator!$F$13,1)),ABS(MOD(A378/Calculator!$F$13,1)-0.5))),1)</f>
        <v>0.090776842105263</v>
      </c>
      <c r="E378" s="138" t="n">
        <f aca="false">IF(Calculator!$E$14="YES",IF(A378&lt;Calculator!$G$14,0,MIN(MIN(MOD(A378/Calculator!$F$14,1),1-MOD(A378/Calculator!$F$14,1)),ABS(MOD(A378/Calculator!$F$14,1)-0.5))),1)</f>
        <v>0.122421052631579</v>
      </c>
      <c r="F378" s="138" t="n">
        <f aca="false">IF(Calculator!$E$15="YES",IF(A378&lt;Calculator!$G$15,0,MIN(MIN(MOD(A378/Calculator!$F$15,1),1-MOD(A378/Calculator!$F$15,1)),ABS(MOD(A378/Calculator!$F$15,1)-0.5))),1)</f>
        <v>0.00552631578947338</v>
      </c>
      <c r="G378" s="138" t="n">
        <f aca="false">IF(Calculator!$E$16="YES",IF(A378&lt;Calculator!$G$16,0,MIN(MIN(MOD(A378/Calculator!$F$16,1),1-MOD(A378/Calculator!$F$16,1)),ABS(MOD(A378/Calculator!$F$16,1)-0.5))),1)</f>
        <v>0.207736842105263</v>
      </c>
      <c r="H378" s="138" t="n">
        <f aca="false">IF(Calculator!$E$17="YES",IF(A378&lt;Calculator!$G$17,0,MIN(MIN(MOD(A378/Calculator!$F$17,1),1-MOD(A378/Calculator!$F$17,1)),ABS(MOD(A378/Calculator!$F$17,1)-0.5))),1)</f>
        <v>0.121814736842105</v>
      </c>
      <c r="I378" s="138" t="n">
        <f aca="false">IF(Calculator!$E$18="YES",IF(A378&lt;Calculator!$G$18,0,MIN(MIN(MOD(A378/Calculator!$F$18,1),1-MOD(A378/Calculator!$F$18,1)),ABS(MOD(A378/Calculator!$F$18,1)-0.5))),1)</f>
        <v>0.199526315789474</v>
      </c>
      <c r="J378" s="138" t="n">
        <f aca="false">IF(Calculator!$E$19="YES",IF(A378&lt;Calculator!$G$19,0,MIN(MIN(MOD(A378/Calculator!$F$19,1),1-MOD(A378/Calculator!$F$19,1)),ABS(MOD(A378/Calculator!$F$19,1)-0.5))),1)</f>
        <v>0.0967578947368439</v>
      </c>
      <c r="K378" s="138" t="n">
        <f aca="false">IF(Calculator!$E$20="YES",IF(A378&lt;Calculator!$G$20,0,MIN(MIN(MOD(A378/Calculator!$F$20,1),1-MOD(A378/Calculator!$F$20,1)),ABS(MOD(A378/Calculator!$F$20,1)-0.5))),1)</f>
        <v>0.063894736842105</v>
      </c>
      <c r="L378" s="138" t="n">
        <f aca="false">IF(Calculator!$E$21="YES",IF(A378&lt;Calculator!$G$21,0,MIN(MIN(MOD(A378/Calculator!$F$21,1),1-MOD(A378/Calculator!$F$21,1)),ABS(MOD(A378/Calculator!$F$21,1)-0.5))),1)</f>
        <v>0.0642105263157902</v>
      </c>
      <c r="M378" s="138" t="n">
        <f aca="false">MIN(B378:L378)</f>
        <v>0.00552631578947338</v>
      </c>
      <c r="N378" s="138" t="n">
        <f aca="false">SUMPRODUCT(($M$5:$M$555&gt;M378)*1)+SUMPRODUCT(($M$5:$M$555=M378)*(ROW($M$5:$M$555)&lt;ROW(M378)))+1</f>
        <v>172</v>
      </c>
      <c r="O378" s="138" t="str">
        <f aca="false">IF(M378&gt;=0.2,"★★★ EXCELLENT",IF(M378&gt;=0.12,"★★  GOOD",IF(M378&gt;=0.07,"★  FAIR",IF(M378&gt;=0.025,"⚠  MARGINAL","✗  AVOID"))))</f>
        <v>✗  AVOID</v>
      </c>
    </row>
    <row r="379" customFormat="false" ht="15" hidden="false" customHeight="false" outlineLevel="0" collapsed="false">
      <c r="A379" s="135" t="n">
        <v>42.4</v>
      </c>
      <c r="B379" s="136" t="n">
        <f aca="false">IF(Calculator!$E$11="YES",IF(A379&lt;Calculator!$G$11,0,MIN(MIN(MOD(A379/Calculator!$F$11,1),1-MOD(A379/Calculator!$F$11,1)),ABS(MOD(A379/Calculator!$F$11,1)-0.5))),1)</f>
        <v>0.0653333333333334</v>
      </c>
      <c r="C379" s="136" t="n">
        <f aca="false">IF(Calculator!$E$12="YES",IF(A379&lt;Calculator!$G$12,0,MIN(MIN(MOD(A379/Calculator!$F$12,1),1-MOD(A379/Calculator!$F$12,1)),ABS(MOD(A379/Calculator!$F$12,1)-0.5))),1)</f>
        <v>0.0860350877192981</v>
      </c>
      <c r="D379" s="136" t="n">
        <f aca="false">IF(Calculator!$E$13="YES",IF(A379&lt;Calculator!$G$13,0,MIN(MIN(MOD(A379/Calculator!$F$13,1),1-MOD(A379/Calculator!$F$13,1)),ABS(MOD(A379/Calculator!$F$13,1)-0.5))),1)</f>
        <v>0.094537543859649</v>
      </c>
      <c r="E379" s="136" t="n">
        <f aca="false">IF(Calculator!$E$14="YES",IF(A379&lt;Calculator!$G$14,0,MIN(MIN(MOD(A379/Calculator!$F$14,1),1-MOD(A379/Calculator!$F$14,1)),ABS(MOD(A379/Calculator!$F$14,1)-0.5))),1)</f>
        <v>0.127438596491228</v>
      </c>
      <c r="F379" s="136" t="n">
        <f aca="false">IF(Calculator!$E$15="YES",IF(A379&lt;Calculator!$G$15,0,MIN(MIN(MOD(A379/Calculator!$F$15,1),1-MOD(A379/Calculator!$F$15,1)),ABS(MOD(A379/Calculator!$F$15,1)-0.5))),1)</f>
        <v>0.0126315789473681</v>
      </c>
      <c r="G379" s="136" t="n">
        <f aca="false">IF(Calculator!$E$16="YES",IF(A379&lt;Calculator!$G$16,0,MIN(MIN(MOD(A379/Calculator!$F$16,1),1-MOD(A379/Calculator!$F$16,1)),ABS(MOD(A379/Calculator!$F$16,1)-0.5))),1)</f>
        <v>0.217684210526316</v>
      </c>
      <c r="H379" s="136" t="n">
        <f aca="false">IF(Calculator!$E$17="YES",IF(A379&lt;Calculator!$G$17,0,MIN(MIN(MOD(A379/Calculator!$F$17,1),1-MOD(A379/Calculator!$F$17,1)),ABS(MOD(A379/Calculator!$F$17,1)-0.5))),1)</f>
        <v>0.109100350877193</v>
      </c>
      <c r="I379" s="136" t="n">
        <f aca="false">IF(Calculator!$E$18="YES",IF(A379&lt;Calculator!$G$18,0,MIN(MIN(MOD(A379/Calculator!$F$18,1),1-MOD(A379/Calculator!$F$18,1)),ABS(MOD(A379/Calculator!$F$18,1)-0.5))),1)</f>
        <v>0.184631578947369</v>
      </c>
      <c r="J379" s="136" t="n">
        <f aca="false">IF(Calculator!$E$19="YES",IF(A379&lt;Calculator!$G$19,0,MIN(MIN(MOD(A379/Calculator!$F$19,1),1-MOD(A379/Calculator!$F$19,1)),ABS(MOD(A379/Calculator!$F$19,1)-0.5))),1)</f>
        <v>0.0792561403508785</v>
      </c>
      <c r="K379" s="136" t="n">
        <f aca="false">IF(Calculator!$E$20="YES",IF(A379&lt;Calculator!$G$20,0,MIN(MIN(MOD(A379/Calculator!$F$20,1),1-MOD(A379/Calculator!$F$20,1)),ABS(MOD(A379/Calculator!$F$20,1)-0.5))),1)</f>
        <v>0.0841403508771919</v>
      </c>
      <c r="L379" s="136" t="n">
        <f aca="false">IF(Calculator!$E$21="YES",IF(A379&lt;Calculator!$G$21,0,MIN(MIN(MOD(A379/Calculator!$F$21,1),1-MOD(A379/Calculator!$F$21,1)),ABS(MOD(A379/Calculator!$F$21,1)-0.5))),1)</f>
        <v>0.0277192982456143</v>
      </c>
      <c r="M379" s="136" t="n">
        <f aca="false">MIN(B379:L379)</f>
        <v>0.0126315789473681</v>
      </c>
      <c r="N379" s="136" t="n">
        <f aca="false">SUMPRODUCT(($M$5:$M$555&gt;M379)*1)+SUMPRODUCT(($M$5:$M$555=M379)*(ROW($M$5:$M$555)&lt;ROW(M379)))+1</f>
        <v>118</v>
      </c>
      <c r="O379" s="136" t="str">
        <f aca="false">IF(M379&gt;=0.2,"★★★ EXCELLENT",IF(M379&gt;=0.12,"★★  GOOD",IF(M379&gt;=0.07,"★  FAIR",IF(M379&gt;=0.025,"⚠  MARGINAL","✗  AVOID"))))</f>
        <v>✗  AVOID</v>
      </c>
    </row>
    <row r="380" customFormat="false" ht="15" hidden="false" customHeight="false" outlineLevel="0" collapsed="false">
      <c r="A380" s="137" t="n">
        <v>42.5</v>
      </c>
      <c r="B380" s="138" t="n">
        <f aca="false">IF(Calculator!$E$11="YES",IF(A380&lt;Calculator!$G$11,0,MIN(MIN(MOD(A380/Calculator!$F$11,1),1-MOD(A380/Calculator!$F$11,1)),ABS(MOD(A380/Calculator!$F$11,1)-0.5))),1)</f>
        <v>0.0666666666666667</v>
      </c>
      <c r="C380" s="138" t="n">
        <f aca="false">IF(Calculator!$E$12="YES",IF(A380&lt;Calculator!$G$12,0,MIN(MIN(MOD(A380/Calculator!$F$12,1),1-MOD(A380/Calculator!$F$12,1)),ABS(MOD(A380/Calculator!$F$12,1)-0.5))),1)</f>
        <v>0.0885964912280701</v>
      </c>
      <c r="D380" s="138" t="n">
        <f aca="false">IF(Calculator!$E$13="YES",IF(A380&lt;Calculator!$G$13,0,MIN(MIN(MOD(A380/Calculator!$F$13,1),1-MOD(A380/Calculator!$F$13,1)),ABS(MOD(A380/Calculator!$F$13,1)-0.5))),1)</f>
        <v>0.0982982456140351</v>
      </c>
      <c r="E380" s="138" t="n">
        <f aca="false">IF(Calculator!$E$14="YES",IF(A380&lt;Calculator!$G$14,0,MIN(MIN(MOD(A380/Calculator!$F$14,1),1-MOD(A380/Calculator!$F$14,1)),ABS(MOD(A380/Calculator!$F$14,1)-0.5))),1)</f>
        <v>0.132456140350877</v>
      </c>
      <c r="F380" s="138" t="n">
        <f aca="false">IF(Calculator!$E$15="YES",IF(A380&lt;Calculator!$G$15,0,MIN(MIN(MOD(A380/Calculator!$F$15,1),1-MOD(A380/Calculator!$F$15,1)),ABS(MOD(A380/Calculator!$F$15,1)-0.5))),1)</f>
        <v>0.0197368421052633</v>
      </c>
      <c r="G380" s="138" t="n">
        <f aca="false">IF(Calculator!$E$16="YES",IF(A380&lt;Calculator!$G$16,0,MIN(MIN(MOD(A380/Calculator!$F$16,1),1-MOD(A380/Calculator!$F$16,1)),ABS(MOD(A380/Calculator!$F$16,1)-0.5))),1)</f>
        <v>0.227631578947369</v>
      </c>
      <c r="H380" s="138" t="n">
        <f aca="false">IF(Calculator!$E$17="YES",IF(A380&lt;Calculator!$G$17,0,MIN(MIN(MOD(A380/Calculator!$F$17,1),1-MOD(A380/Calculator!$F$17,1)),ABS(MOD(A380/Calculator!$F$17,1)-0.5))),1)</f>
        <v>0.0963859649122805</v>
      </c>
      <c r="I380" s="138" t="n">
        <f aca="false">IF(Calculator!$E$18="YES",IF(A380&lt;Calculator!$G$18,0,MIN(MIN(MOD(A380/Calculator!$F$18,1),1-MOD(A380/Calculator!$F$18,1)),ABS(MOD(A380/Calculator!$F$18,1)-0.5))),1)</f>
        <v>0.169736842105263</v>
      </c>
      <c r="J380" s="138" t="n">
        <f aca="false">IF(Calculator!$E$19="YES",IF(A380&lt;Calculator!$G$19,0,MIN(MIN(MOD(A380/Calculator!$F$19,1),1-MOD(A380/Calculator!$F$19,1)),ABS(MOD(A380/Calculator!$F$19,1)-0.5))),1)</f>
        <v>0.0617543859649139</v>
      </c>
      <c r="K380" s="138" t="n">
        <f aca="false">IF(Calculator!$E$20="YES",IF(A380&lt;Calculator!$G$20,0,MIN(MIN(MOD(A380/Calculator!$F$20,1),1-MOD(A380/Calculator!$F$20,1)),ABS(MOD(A380/Calculator!$F$20,1)-0.5))),1)</f>
        <v>0.10438596491228</v>
      </c>
      <c r="L380" s="138" t="n">
        <f aca="false">IF(Calculator!$E$21="YES",IF(A380&lt;Calculator!$G$21,0,MIN(MIN(MOD(A380/Calculator!$F$21,1),1-MOD(A380/Calculator!$F$21,1)),ABS(MOD(A380/Calculator!$F$21,1)-0.5))),1)</f>
        <v>0.00877192982456165</v>
      </c>
      <c r="M380" s="138" t="n">
        <f aca="false">MIN(B380:L380)</f>
        <v>0.00877192982456165</v>
      </c>
      <c r="N380" s="138" t="n">
        <f aca="false">SUMPRODUCT(($M$5:$M$555&gt;M380)*1)+SUMPRODUCT(($M$5:$M$555=M380)*(ROW($M$5:$M$555)&lt;ROW(M380)))+1</f>
        <v>144</v>
      </c>
      <c r="O380" s="138" t="str">
        <f aca="false">IF(M380&gt;=0.2,"★★★ EXCELLENT",IF(M380&gt;=0.12,"★★  GOOD",IF(M380&gt;=0.07,"★  FAIR",IF(M380&gt;=0.025,"⚠  MARGINAL","✗  AVOID"))))</f>
        <v>✗  AVOID</v>
      </c>
    </row>
    <row r="381" customFormat="false" ht="15" hidden="false" customHeight="false" outlineLevel="0" collapsed="false">
      <c r="A381" s="135" t="n">
        <v>42.6</v>
      </c>
      <c r="B381" s="136" t="n">
        <f aca="false">IF(Calculator!$E$11="YES",IF(A381&lt;Calculator!$G$11,0,MIN(MIN(MOD(A381/Calculator!$F$11,1),1-MOD(A381/Calculator!$F$11,1)),ABS(MOD(A381/Calculator!$F$11,1)-0.5))),1)</f>
        <v>0.0680000000000001</v>
      </c>
      <c r="C381" s="136" t="n">
        <f aca="false">IF(Calculator!$E$12="YES",IF(A381&lt;Calculator!$G$12,0,MIN(MIN(MOD(A381/Calculator!$F$12,1),1-MOD(A381/Calculator!$F$12,1)),ABS(MOD(A381/Calculator!$F$12,1)-0.5))),1)</f>
        <v>0.0911578947368421</v>
      </c>
      <c r="D381" s="136" t="n">
        <f aca="false">IF(Calculator!$E$13="YES",IF(A381&lt;Calculator!$G$13,0,MIN(MIN(MOD(A381/Calculator!$F$13,1),1-MOD(A381/Calculator!$F$13,1)),ABS(MOD(A381/Calculator!$F$13,1)-0.5))),1)</f>
        <v>0.102058947368421</v>
      </c>
      <c r="E381" s="136" t="n">
        <f aca="false">IF(Calculator!$E$14="YES",IF(A381&lt;Calculator!$G$14,0,MIN(MIN(MOD(A381/Calculator!$F$14,1),1-MOD(A381/Calculator!$F$14,1)),ABS(MOD(A381/Calculator!$F$14,1)-0.5))),1)</f>
        <v>0.137473684210526</v>
      </c>
      <c r="F381" s="136" t="n">
        <f aca="false">IF(Calculator!$E$15="YES",IF(A381&lt;Calculator!$G$15,0,MIN(MIN(MOD(A381/Calculator!$F$15,1),1-MOD(A381/Calculator!$F$15,1)),ABS(MOD(A381/Calculator!$F$15,1)-0.5))),1)</f>
        <v>0.026842105263158</v>
      </c>
      <c r="G381" s="136" t="n">
        <f aca="false">IF(Calculator!$E$16="YES",IF(A381&lt;Calculator!$G$16,0,MIN(MIN(MOD(A381/Calculator!$F$16,1),1-MOD(A381/Calculator!$F$16,1)),ABS(MOD(A381/Calculator!$F$16,1)-0.5))),1)</f>
        <v>0.237578947368421</v>
      </c>
      <c r="H381" s="136" t="n">
        <f aca="false">IF(Calculator!$E$17="YES",IF(A381&lt;Calculator!$G$17,0,MIN(MIN(MOD(A381/Calculator!$F$17,1),1-MOD(A381/Calculator!$F$17,1)),ABS(MOD(A381/Calculator!$F$17,1)-0.5))),1)</f>
        <v>0.0836715789473672</v>
      </c>
      <c r="I381" s="136" t="n">
        <f aca="false">IF(Calculator!$E$18="YES",IF(A381&lt;Calculator!$G$18,0,MIN(MIN(MOD(A381/Calculator!$F$18,1),1-MOD(A381/Calculator!$F$18,1)),ABS(MOD(A381/Calculator!$F$18,1)-0.5))),1)</f>
        <v>0.154842105263158</v>
      </c>
      <c r="J381" s="136" t="n">
        <f aca="false">IF(Calculator!$E$19="YES",IF(A381&lt;Calculator!$G$19,0,MIN(MIN(MOD(A381/Calculator!$F$19,1),1-MOD(A381/Calculator!$F$19,1)),ABS(MOD(A381/Calculator!$F$19,1)-0.5))),1)</f>
        <v>0.0442526315789484</v>
      </c>
      <c r="K381" s="136" t="n">
        <f aca="false">IF(Calculator!$E$20="YES",IF(A381&lt;Calculator!$G$20,0,MIN(MIN(MOD(A381/Calculator!$F$20,1),1-MOD(A381/Calculator!$F$20,1)),ABS(MOD(A381/Calculator!$F$20,1)-0.5))),1)</f>
        <v>0.124631578947369</v>
      </c>
      <c r="L381" s="136" t="n">
        <f aca="false">IF(Calculator!$E$21="YES",IF(A381&lt;Calculator!$G$21,0,MIN(MIN(MOD(A381/Calculator!$F$21,1),1-MOD(A381/Calculator!$F$21,1)),ABS(MOD(A381/Calculator!$F$21,1)-0.5))),1)</f>
        <v>0.0452631578947376</v>
      </c>
      <c r="M381" s="136" t="n">
        <f aca="false">MIN(B381:L381)</f>
        <v>0.026842105263158</v>
      </c>
      <c r="N381" s="136" t="n">
        <f aca="false">SUMPRODUCT(($M$5:$M$555&gt;M381)*1)+SUMPRODUCT(($M$5:$M$555=M381)*(ROW($M$5:$M$555)&lt;ROW(M381)))+1</f>
        <v>58</v>
      </c>
      <c r="O381" s="136" t="str">
        <f aca="false">IF(M381&gt;=0.2,"★★★ EXCELLENT",IF(M381&gt;=0.12,"★★  GOOD",IF(M381&gt;=0.07,"★  FAIR",IF(M381&gt;=0.025,"⚠  MARGINAL","✗  AVOID"))))</f>
        <v>⚠  MARGINAL</v>
      </c>
    </row>
    <row r="382" customFormat="false" ht="15" hidden="false" customHeight="false" outlineLevel="0" collapsed="false">
      <c r="A382" s="137" t="n">
        <v>42.7</v>
      </c>
      <c r="B382" s="138" t="n">
        <f aca="false">IF(Calculator!$E$11="YES",IF(A382&lt;Calculator!$G$11,0,MIN(MIN(MOD(A382/Calculator!$F$11,1),1-MOD(A382/Calculator!$F$11,1)),ABS(MOD(A382/Calculator!$F$11,1)-0.5))),1)</f>
        <v>0.0693333333333334</v>
      </c>
      <c r="C382" s="138" t="n">
        <f aca="false">IF(Calculator!$E$12="YES",IF(A382&lt;Calculator!$G$12,0,MIN(MIN(MOD(A382/Calculator!$F$12,1),1-MOD(A382/Calculator!$F$12,1)),ABS(MOD(A382/Calculator!$F$12,1)-0.5))),1)</f>
        <v>0.0937192982456141</v>
      </c>
      <c r="D382" s="138" t="n">
        <f aca="false">IF(Calculator!$E$13="YES",IF(A382&lt;Calculator!$G$13,0,MIN(MIN(MOD(A382/Calculator!$F$13,1),1-MOD(A382/Calculator!$F$13,1)),ABS(MOD(A382/Calculator!$F$13,1)-0.5))),1)</f>
        <v>0.105819649122807</v>
      </c>
      <c r="E382" s="138" t="n">
        <f aca="false">IF(Calculator!$E$14="YES",IF(A382&lt;Calculator!$G$14,0,MIN(MIN(MOD(A382/Calculator!$F$14,1),1-MOD(A382/Calculator!$F$14,1)),ABS(MOD(A382/Calculator!$F$14,1)-0.5))),1)</f>
        <v>0.142491228070176</v>
      </c>
      <c r="F382" s="138" t="n">
        <f aca="false">IF(Calculator!$E$15="YES",IF(A382&lt;Calculator!$G$15,0,MIN(MIN(MOD(A382/Calculator!$F$15,1),1-MOD(A382/Calculator!$F$15,1)),ABS(MOD(A382/Calculator!$F$15,1)-0.5))),1)</f>
        <v>0.0339473684210527</v>
      </c>
      <c r="G382" s="138" t="n">
        <f aca="false">IF(Calculator!$E$16="YES",IF(A382&lt;Calculator!$G$16,0,MIN(MIN(MOD(A382/Calculator!$F$16,1),1-MOD(A382/Calculator!$F$16,1)),ABS(MOD(A382/Calculator!$F$16,1)-0.5))),1)</f>
        <v>0.247526315789474</v>
      </c>
      <c r="H382" s="138" t="n">
        <f aca="false">IF(Calculator!$E$17="YES",IF(A382&lt;Calculator!$G$17,0,MIN(MIN(MOD(A382/Calculator!$F$17,1),1-MOD(A382/Calculator!$F$17,1)),ABS(MOD(A382/Calculator!$F$17,1)-0.5))),1)</f>
        <v>0.0709571929824548</v>
      </c>
      <c r="I382" s="138" t="n">
        <f aca="false">IF(Calculator!$E$18="YES",IF(A382&lt;Calculator!$G$18,0,MIN(MIN(MOD(A382/Calculator!$F$18,1),1-MOD(A382/Calculator!$F$18,1)),ABS(MOD(A382/Calculator!$F$18,1)-0.5))),1)</f>
        <v>0.139947368421052</v>
      </c>
      <c r="J382" s="138" t="n">
        <f aca="false">IF(Calculator!$E$19="YES",IF(A382&lt;Calculator!$G$19,0,MIN(MIN(MOD(A382/Calculator!$F$19,1),1-MOD(A382/Calculator!$F$19,1)),ABS(MOD(A382/Calculator!$F$19,1)-0.5))),1)</f>
        <v>0.026750877192983</v>
      </c>
      <c r="K382" s="138" t="n">
        <f aca="false">IF(Calculator!$E$20="YES",IF(A382&lt;Calculator!$G$20,0,MIN(MIN(MOD(A382/Calculator!$F$20,1),1-MOD(A382/Calculator!$F$20,1)),ABS(MOD(A382/Calculator!$F$20,1)-0.5))),1)</f>
        <v>0.144877192982456</v>
      </c>
      <c r="L382" s="138" t="n">
        <f aca="false">IF(Calculator!$E$21="YES",IF(A382&lt;Calculator!$G$21,0,MIN(MIN(MOD(A382/Calculator!$F$21,1),1-MOD(A382/Calculator!$F$21,1)),ABS(MOD(A382/Calculator!$F$21,1)-0.5))),1)</f>
        <v>0.0817543859649135</v>
      </c>
      <c r="M382" s="138" t="n">
        <f aca="false">MIN(B382:L382)</f>
        <v>0.026750877192983</v>
      </c>
      <c r="N382" s="138" t="n">
        <f aca="false">SUMPRODUCT(($M$5:$M$555&gt;M382)*1)+SUMPRODUCT(($M$5:$M$555=M382)*(ROW($M$5:$M$555)&lt;ROW(M382)))+1</f>
        <v>59</v>
      </c>
      <c r="O382" s="138" t="str">
        <f aca="false">IF(M382&gt;=0.2,"★★★ EXCELLENT",IF(M382&gt;=0.12,"★★  GOOD",IF(M382&gt;=0.07,"★  FAIR",IF(M382&gt;=0.025,"⚠  MARGINAL","✗  AVOID"))))</f>
        <v>⚠  MARGINAL</v>
      </c>
    </row>
    <row r="383" customFormat="false" ht="15" hidden="false" customHeight="false" outlineLevel="0" collapsed="false">
      <c r="A383" s="135" t="n">
        <v>42.8</v>
      </c>
      <c r="B383" s="136" t="n">
        <f aca="false">IF(Calculator!$E$11="YES",IF(A383&lt;Calculator!$G$11,0,MIN(MIN(MOD(A383/Calculator!$F$11,1),1-MOD(A383/Calculator!$F$11,1)),ABS(MOD(A383/Calculator!$F$11,1)-0.5))),1)</f>
        <v>0.0706666666666667</v>
      </c>
      <c r="C383" s="136" t="n">
        <f aca="false">IF(Calculator!$E$12="YES",IF(A383&lt;Calculator!$G$12,0,MIN(MIN(MOD(A383/Calculator!$F$12,1),1-MOD(A383/Calculator!$F$12,1)),ABS(MOD(A383/Calculator!$F$12,1)-0.5))),1)</f>
        <v>0.0962807017543859</v>
      </c>
      <c r="D383" s="136" t="n">
        <f aca="false">IF(Calculator!$E$13="YES",IF(A383&lt;Calculator!$G$13,0,MIN(MIN(MOD(A383/Calculator!$F$13,1),1-MOD(A383/Calculator!$F$13,1)),ABS(MOD(A383/Calculator!$F$13,1)-0.5))),1)</f>
        <v>0.109580350877193</v>
      </c>
      <c r="E383" s="136" t="n">
        <f aca="false">IF(Calculator!$E$14="YES",IF(A383&lt;Calculator!$G$14,0,MIN(MIN(MOD(A383/Calculator!$F$14,1),1-MOD(A383/Calculator!$F$14,1)),ABS(MOD(A383/Calculator!$F$14,1)-0.5))),1)</f>
        <v>0.147508771929824</v>
      </c>
      <c r="F383" s="136" t="n">
        <f aca="false">IF(Calculator!$E$15="YES",IF(A383&lt;Calculator!$G$15,0,MIN(MIN(MOD(A383/Calculator!$F$15,1),1-MOD(A383/Calculator!$F$15,1)),ABS(MOD(A383/Calculator!$F$15,1)-0.5))),1)</f>
        <v>0.041052631578947</v>
      </c>
      <c r="G383" s="136" t="n">
        <f aca="false">IF(Calculator!$E$16="YES",IF(A383&lt;Calculator!$G$16,0,MIN(MIN(MOD(A383/Calculator!$F$16,1),1-MOD(A383/Calculator!$F$16,1)),ABS(MOD(A383/Calculator!$F$16,1)-0.5))),1)</f>
        <v>0.242526315789473</v>
      </c>
      <c r="H383" s="136" t="n">
        <f aca="false">IF(Calculator!$E$17="YES",IF(A383&lt;Calculator!$G$17,0,MIN(MIN(MOD(A383/Calculator!$F$17,1),1-MOD(A383/Calculator!$F$17,1)),ABS(MOD(A383/Calculator!$F$17,1)-0.5))),1)</f>
        <v>0.0582428070175434</v>
      </c>
      <c r="I383" s="136" t="n">
        <f aca="false">IF(Calculator!$E$18="YES",IF(A383&lt;Calculator!$G$18,0,MIN(MIN(MOD(A383/Calculator!$F$18,1),1-MOD(A383/Calculator!$F$18,1)),ABS(MOD(A383/Calculator!$F$18,1)-0.5))),1)</f>
        <v>0.125052631578948</v>
      </c>
      <c r="J383" s="136" t="n">
        <f aca="false">IF(Calculator!$E$19="YES",IF(A383&lt;Calculator!$G$19,0,MIN(MIN(MOD(A383/Calculator!$F$19,1),1-MOD(A383/Calculator!$F$19,1)),ABS(MOD(A383/Calculator!$F$19,1)-0.5))),1)</f>
        <v>0.00924912280701928</v>
      </c>
      <c r="K383" s="136" t="n">
        <f aca="false">IF(Calculator!$E$20="YES",IF(A383&lt;Calculator!$G$20,0,MIN(MIN(MOD(A383/Calculator!$F$20,1),1-MOD(A383/Calculator!$F$20,1)),ABS(MOD(A383/Calculator!$F$20,1)-0.5))),1)</f>
        <v>0.165122807017543</v>
      </c>
      <c r="L383" s="136" t="n">
        <f aca="false">IF(Calculator!$E$21="YES",IF(A383&lt;Calculator!$G$21,0,MIN(MIN(MOD(A383/Calculator!$F$21,1),1-MOD(A383/Calculator!$F$21,1)),ABS(MOD(A383/Calculator!$F$21,1)-0.5))),1)</f>
        <v>0.118245614035086</v>
      </c>
      <c r="M383" s="136" t="n">
        <f aca="false">MIN(B383:L383)</f>
        <v>0.00924912280701928</v>
      </c>
      <c r="N383" s="136" t="n">
        <f aca="false">SUMPRODUCT(($M$5:$M$555&gt;M383)*1)+SUMPRODUCT(($M$5:$M$555=M383)*(ROW($M$5:$M$555)&lt;ROW(M383)))+1</f>
        <v>140</v>
      </c>
      <c r="O383" s="136" t="str">
        <f aca="false">IF(M383&gt;=0.2,"★★★ EXCELLENT",IF(M383&gt;=0.12,"★★  GOOD",IF(M383&gt;=0.07,"★  FAIR",IF(M383&gt;=0.025,"⚠  MARGINAL","✗  AVOID"))))</f>
        <v>✗  AVOID</v>
      </c>
    </row>
    <row r="384" customFormat="false" ht="15" hidden="false" customHeight="false" outlineLevel="0" collapsed="false">
      <c r="A384" s="137" t="n">
        <v>42.9</v>
      </c>
      <c r="B384" s="138" t="n">
        <f aca="false">IF(Calculator!$E$11="YES",IF(A384&lt;Calculator!$G$11,0,MIN(MIN(MOD(A384/Calculator!$F$11,1),1-MOD(A384/Calculator!$F$11,1)),ABS(MOD(A384/Calculator!$F$11,1)-0.5))),1)</f>
        <v>0.072</v>
      </c>
      <c r="C384" s="138" t="n">
        <f aca="false">IF(Calculator!$E$12="YES",IF(A384&lt;Calculator!$G$12,0,MIN(MIN(MOD(A384/Calculator!$F$12,1),1-MOD(A384/Calculator!$F$12,1)),ABS(MOD(A384/Calculator!$F$12,1)-0.5))),1)</f>
        <v>0.0988421052631578</v>
      </c>
      <c r="D384" s="138" t="n">
        <f aca="false">IF(Calculator!$E$13="YES",IF(A384&lt;Calculator!$G$13,0,MIN(MIN(MOD(A384/Calculator!$F$13,1),1-MOD(A384/Calculator!$F$13,1)),ABS(MOD(A384/Calculator!$F$13,1)-0.5))),1)</f>
        <v>0.113341052631579</v>
      </c>
      <c r="E384" s="138" t="n">
        <f aca="false">IF(Calculator!$E$14="YES",IF(A384&lt;Calculator!$G$14,0,MIN(MIN(MOD(A384/Calculator!$F$14,1),1-MOD(A384/Calculator!$F$14,1)),ABS(MOD(A384/Calculator!$F$14,1)-0.5))),1)</f>
        <v>0.152526315789474</v>
      </c>
      <c r="F384" s="138" t="n">
        <f aca="false">IF(Calculator!$E$15="YES",IF(A384&lt;Calculator!$G$15,0,MIN(MIN(MOD(A384/Calculator!$F$15,1),1-MOD(A384/Calculator!$F$15,1)),ABS(MOD(A384/Calculator!$F$15,1)-0.5))),1)</f>
        <v>0.0481578947368417</v>
      </c>
      <c r="G384" s="138" t="n">
        <f aca="false">IF(Calculator!$E$16="YES",IF(A384&lt;Calculator!$G$16,0,MIN(MIN(MOD(A384/Calculator!$F$16,1),1-MOD(A384/Calculator!$F$16,1)),ABS(MOD(A384/Calculator!$F$16,1)-0.5))),1)</f>
        <v>0.232578947368421</v>
      </c>
      <c r="H384" s="138" t="n">
        <f aca="false">IF(Calculator!$E$17="YES",IF(A384&lt;Calculator!$G$17,0,MIN(MIN(MOD(A384/Calculator!$F$17,1),1-MOD(A384/Calculator!$F$17,1)),ABS(MOD(A384/Calculator!$F$17,1)-0.5))),1)</f>
        <v>0.045528421052631</v>
      </c>
      <c r="I384" s="138" t="n">
        <f aca="false">IF(Calculator!$E$18="YES",IF(A384&lt;Calculator!$G$18,0,MIN(MIN(MOD(A384/Calculator!$F$18,1),1-MOD(A384/Calculator!$F$18,1)),ABS(MOD(A384/Calculator!$F$18,1)-0.5))),1)</f>
        <v>0.110157894736842</v>
      </c>
      <c r="J384" s="138" t="n">
        <f aca="false">IF(Calculator!$E$19="YES",IF(A384&lt;Calculator!$G$19,0,MIN(MIN(MOD(A384/Calculator!$F$19,1),1-MOD(A384/Calculator!$F$19,1)),ABS(MOD(A384/Calculator!$F$19,1)-0.5))),1)</f>
        <v>0.00825263157894618</v>
      </c>
      <c r="K384" s="138" t="n">
        <f aca="false">IF(Calculator!$E$20="YES",IF(A384&lt;Calculator!$G$20,0,MIN(MIN(MOD(A384/Calculator!$F$20,1),1-MOD(A384/Calculator!$F$20,1)),ABS(MOD(A384/Calculator!$F$20,1)-0.5))),1)</f>
        <v>0.185368421052631</v>
      </c>
      <c r="L384" s="138" t="n">
        <f aca="false">IF(Calculator!$E$21="YES",IF(A384&lt;Calculator!$G$21,0,MIN(MIN(MOD(A384/Calculator!$F$21,1),1-MOD(A384/Calculator!$F$21,1)),ABS(MOD(A384/Calculator!$F$21,1)-0.5))),1)</f>
        <v>0.154736842105262</v>
      </c>
      <c r="M384" s="138" t="n">
        <f aca="false">MIN(B384:L384)</f>
        <v>0.00825263157894618</v>
      </c>
      <c r="N384" s="138" t="n">
        <f aca="false">SUMPRODUCT(($M$5:$M$555&gt;M384)*1)+SUMPRODUCT(($M$5:$M$555=M384)*(ROW($M$5:$M$555)&lt;ROW(M384)))+1</f>
        <v>148</v>
      </c>
      <c r="O384" s="138" t="str">
        <f aca="false">IF(M384&gt;=0.2,"★★★ EXCELLENT",IF(M384&gt;=0.12,"★★  GOOD",IF(M384&gt;=0.07,"★  FAIR",IF(M384&gt;=0.025,"⚠  MARGINAL","✗  AVOID"))))</f>
        <v>✗  AVOID</v>
      </c>
    </row>
    <row r="385" customFormat="false" ht="15" hidden="false" customHeight="false" outlineLevel="0" collapsed="false">
      <c r="A385" s="135" t="n">
        <v>43</v>
      </c>
      <c r="B385" s="136" t="n">
        <f aca="false">IF(Calculator!$E$11="YES",IF(A385&lt;Calculator!$G$11,0,MIN(MIN(MOD(A385/Calculator!$F$11,1),1-MOD(A385/Calculator!$F$11,1)),ABS(MOD(A385/Calculator!$F$11,1)-0.5))),1)</f>
        <v>0.0733333333333334</v>
      </c>
      <c r="C385" s="136" t="n">
        <f aca="false">IF(Calculator!$E$12="YES",IF(A385&lt;Calculator!$G$12,0,MIN(MIN(MOD(A385/Calculator!$F$12,1),1-MOD(A385/Calculator!$F$12,1)),ABS(MOD(A385/Calculator!$F$12,1)-0.5))),1)</f>
        <v>0.10140350877193</v>
      </c>
      <c r="D385" s="136" t="n">
        <f aca="false">IF(Calculator!$E$13="YES",IF(A385&lt;Calculator!$G$13,0,MIN(MIN(MOD(A385/Calculator!$F$13,1),1-MOD(A385/Calculator!$F$13,1)),ABS(MOD(A385/Calculator!$F$13,1)-0.5))),1)</f>
        <v>0.117101754385965</v>
      </c>
      <c r="E385" s="136" t="n">
        <f aca="false">IF(Calculator!$E$14="YES",IF(A385&lt;Calculator!$G$14,0,MIN(MIN(MOD(A385/Calculator!$F$14,1),1-MOD(A385/Calculator!$F$14,1)),ABS(MOD(A385/Calculator!$F$14,1)-0.5))),1)</f>
        <v>0.157543859649123</v>
      </c>
      <c r="F385" s="136" t="n">
        <f aca="false">IF(Calculator!$E$15="YES",IF(A385&lt;Calculator!$G$15,0,MIN(MIN(MOD(A385/Calculator!$F$15,1),1-MOD(A385/Calculator!$F$15,1)),ABS(MOD(A385/Calculator!$F$15,1)-0.5))),1)</f>
        <v>0.0552631578947369</v>
      </c>
      <c r="G385" s="136" t="n">
        <f aca="false">IF(Calculator!$E$16="YES",IF(A385&lt;Calculator!$G$16,0,MIN(MIN(MOD(A385/Calculator!$F$16,1),1-MOD(A385/Calculator!$F$16,1)),ABS(MOD(A385/Calculator!$F$16,1)-0.5))),1)</f>
        <v>0.222631578947368</v>
      </c>
      <c r="H385" s="136" t="n">
        <f aca="false">IF(Calculator!$E$17="YES",IF(A385&lt;Calculator!$G$17,0,MIN(MIN(MOD(A385/Calculator!$F$17,1),1-MOD(A385/Calculator!$F$17,1)),ABS(MOD(A385/Calculator!$F$17,1)-0.5))),1)</f>
        <v>0.0328140350877186</v>
      </c>
      <c r="I385" s="136" t="n">
        <f aca="false">IF(Calculator!$E$18="YES",IF(A385&lt;Calculator!$G$18,0,MIN(MIN(MOD(A385/Calculator!$F$18,1),1-MOD(A385/Calculator!$F$18,1)),ABS(MOD(A385/Calculator!$F$18,1)-0.5))),1)</f>
        <v>0.0952631578947365</v>
      </c>
      <c r="J385" s="136" t="n">
        <f aca="false">IF(Calculator!$E$19="YES",IF(A385&lt;Calculator!$G$19,0,MIN(MIN(MOD(A385/Calculator!$F$19,1),1-MOD(A385/Calculator!$F$19,1)),ABS(MOD(A385/Calculator!$F$19,1)-0.5))),1)</f>
        <v>0.0257543859649108</v>
      </c>
      <c r="K385" s="136" t="n">
        <f aca="false">IF(Calculator!$E$20="YES",IF(A385&lt;Calculator!$G$20,0,MIN(MIN(MOD(A385/Calculator!$F$20,1),1-MOD(A385/Calculator!$F$20,1)),ABS(MOD(A385/Calculator!$F$20,1)-0.5))),1)</f>
        <v>0.20561403508772</v>
      </c>
      <c r="L385" s="136" t="n">
        <f aca="false">IF(Calculator!$E$21="YES",IF(A385&lt;Calculator!$G$21,0,MIN(MIN(MOD(A385/Calculator!$F$21,1),1-MOD(A385/Calculator!$F$21,1)),ABS(MOD(A385/Calculator!$F$21,1)-0.5))),1)</f>
        <v>0.191228070175438</v>
      </c>
      <c r="M385" s="136" t="n">
        <f aca="false">MIN(B385:L385)</f>
        <v>0.0257543859649108</v>
      </c>
      <c r="N385" s="136" t="n">
        <f aca="false">SUMPRODUCT(($M$5:$M$555&gt;M385)*1)+SUMPRODUCT(($M$5:$M$555=M385)*(ROW($M$5:$M$555)&lt;ROW(M385)))+1</f>
        <v>62</v>
      </c>
      <c r="O385" s="136" t="str">
        <f aca="false">IF(M385&gt;=0.2,"★★★ EXCELLENT",IF(M385&gt;=0.12,"★★  GOOD",IF(M385&gt;=0.07,"★  FAIR",IF(M385&gt;=0.025,"⚠  MARGINAL","✗  AVOID"))))</f>
        <v>⚠  MARGINAL</v>
      </c>
    </row>
    <row r="386" customFormat="false" ht="15" hidden="false" customHeight="false" outlineLevel="0" collapsed="false">
      <c r="A386" s="137" t="n">
        <v>43.1</v>
      </c>
      <c r="B386" s="138" t="n">
        <f aca="false">IF(Calculator!$E$11="YES",IF(A386&lt;Calculator!$G$11,0,MIN(MIN(MOD(A386/Calculator!$F$11,1),1-MOD(A386/Calculator!$F$11,1)),ABS(MOD(A386/Calculator!$F$11,1)-0.5))),1)</f>
        <v>0.0746666666666667</v>
      </c>
      <c r="C386" s="138" t="n">
        <f aca="false">IF(Calculator!$E$12="YES",IF(A386&lt;Calculator!$G$12,0,MIN(MIN(MOD(A386/Calculator!$F$12,1),1-MOD(A386/Calculator!$F$12,1)),ABS(MOD(A386/Calculator!$F$12,1)-0.5))),1)</f>
        <v>0.103964912280702</v>
      </c>
      <c r="D386" s="138" t="n">
        <f aca="false">IF(Calculator!$E$13="YES",IF(A386&lt;Calculator!$G$13,0,MIN(MIN(MOD(A386/Calculator!$F$13,1),1-MOD(A386/Calculator!$F$13,1)),ABS(MOD(A386/Calculator!$F$13,1)-0.5))),1)</f>
        <v>0.120862456140351</v>
      </c>
      <c r="E386" s="138" t="n">
        <f aca="false">IF(Calculator!$E$14="YES",IF(A386&lt;Calculator!$G$14,0,MIN(MIN(MOD(A386/Calculator!$F$14,1),1-MOD(A386/Calculator!$F$14,1)),ABS(MOD(A386/Calculator!$F$14,1)-0.5))),1)</f>
        <v>0.162561403508772</v>
      </c>
      <c r="F386" s="138" t="n">
        <f aca="false">IF(Calculator!$E$15="YES",IF(A386&lt;Calculator!$G$15,0,MIN(MIN(MOD(A386/Calculator!$F$15,1),1-MOD(A386/Calculator!$F$15,1)),ABS(MOD(A386/Calculator!$F$15,1)-0.5))),1)</f>
        <v>0.0623684210526316</v>
      </c>
      <c r="G386" s="138" t="n">
        <f aca="false">IF(Calculator!$E$16="YES",IF(A386&lt;Calculator!$G$16,0,MIN(MIN(MOD(A386/Calculator!$F$16,1),1-MOD(A386/Calculator!$F$16,1)),ABS(MOD(A386/Calculator!$F$16,1)-0.5))),1)</f>
        <v>0.212684210526315</v>
      </c>
      <c r="H386" s="138" t="n">
        <f aca="false">IF(Calculator!$E$17="YES",IF(A386&lt;Calculator!$G$17,0,MIN(MIN(MOD(A386/Calculator!$F$17,1),1-MOD(A386/Calculator!$F$17,1)),ABS(MOD(A386/Calculator!$F$17,1)-0.5))),1)</f>
        <v>0.0200996491228063</v>
      </c>
      <c r="I386" s="138" t="n">
        <f aca="false">IF(Calculator!$E$18="YES",IF(A386&lt;Calculator!$G$18,0,MIN(MIN(MOD(A386/Calculator!$F$18,1),1-MOD(A386/Calculator!$F$18,1)),ABS(MOD(A386/Calculator!$F$18,1)-0.5))),1)</f>
        <v>0.080368421052631</v>
      </c>
      <c r="J386" s="138" t="n">
        <f aca="false">IF(Calculator!$E$19="YES",IF(A386&lt;Calculator!$G$19,0,MIN(MIN(MOD(A386/Calculator!$F$19,1),1-MOD(A386/Calculator!$F$19,1)),ABS(MOD(A386/Calculator!$F$19,1)-0.5))),1)</f>
        <v>0.0432561403508762</v>
      </c>
      <c r="K386" s="138" t="n">
        <f aca="false">IF(Calculator!$E$20="YES",IF(A386&lt;Calculator!$G$20,0,MIN(MIN(MOD(A386/Calculator!$F$20,1),1-MOD(A386/Calculator!$F$20,1)),ABS(MOD(A386/Calculator!$F$20,1)-0.5))),1)</f>
        <v>0.225859649122807</v>
      </c>
      <c r="L386" s="138" t="n">
        <f aca="false">IF(Calculator!$E$21="YES",IF(A386&lt;Calculator!$G$21,0,MIN(MIN(MOD(A386/Calculator!$F$21,1),1-MOD(A386/Calculator!$F$21,1)),ABS(MOD(A386/Calculator!$F$21,1)-0.5))),1)</f>
        <v>0.227719298245614</v>
      </c>
      <c r="M386" s="138" t="n">
        <f aca="false">MIN(B386:L386)</f>
        <v>0.0200996491228063</v>
      </c>
      <c r="N386" s="138" t="n">
        <f aca="false">SUMPRODUCT(($M$5:$M$555&gt;M386)*1)+SUMPRODUCT(($M$5:$M$555=M386)*(ROW($M$5:$M$555)&lt;ROW(M386)))+1</f>
        <v>80</v>
      </c>
      <c r="O386" s="138" t="str">
        <f aca="false">IF(M386&gt;=0.2,"★★★ EXCELLENT",IF(M386&gt;=0.12,"★★  GOOD",IF(M386&gt;=0.07,"★  FAIR",IF(M386&gt;=0.025,"⚠  MARGINAL","✗  AVOID"))))</f>
        <v>✗  AVOID</v>
      </c>
    </row>
    <row r="387" customFormat="false" ht="15" hidden="false" customHeight="false" outlineLevel="0" collapsed="false">
      <c r="A387" s="135" t="n">
        <v>43.2</v>
      </c>
      <c r="B387" s="136" t="n">
        <f aca="false">IF(Calculator!$E$11="YES",IF(A387&lt;Calculator!$G$11,0,MIN(MIN(MOD(A387/Calculator!$F$11,1),1-MOD(A387/Calculator!$F$11,1)),ABS(MOD(A387/Calculator!$F$11,1)-0.5))),1)</f>
        <v>0.0760000000000001</v>
      </c>
      <c r="C387" s="136" t="n">
        <f aca="false">IF(Calculator!$E$12="YES",IF(A387&lt;Calculator!$G$12,0,MIN(MIN(MOD(A387/Calculator!$F$12,1),1-MOD(A387/Calculator!$F$12,1)),ABS(MOD(A387/Calculator!$F$12,1)-0.5))),1)</f>
        <v>0.106526315789474</v>
      </c>
      <c r="D387" s="136" t="n">
        <f aca="false">IF(Calculator!$E$13="YES",IF(A387&lt;Calculator!$G$13,0,MIN(MIN(MOD(A387/Calculator!$F$13,1),1-MOD(A387/Calculator!$F$13,1)),ABS(MOD(A387/Calculator!$F$13,1)-0.5))),1)</f>
        <v>0.124623157894737</v>
      </c>
      <c r="E387" s="136" t="n">
        <f aca="false">IF(Calculator!$E$14="YES",IF(A387&lt;Calculator!$G$14,0,MIN(MIN(MOD(A387/Calculator!$F$14,1),1-MOD(A387/Calculator!$F$14,1)),ABS(MOD(A387/Calculator!$F$14,1)-0.5))),1)</f>
        <v>0.167578947368421</v>
      </c>
      <c r="F387" s="136" t="n">
        <f aca="false">IF(Calculator!$E$15="YES",IF(A387&lt;Calculator!$G$15,0,MIN(MIN(MOD(A387/Calculator!$F$15,1),1-MOD(A387/Calculator!$F$15,1)),ABS(MOD(A387/Calculator!$F$15,1)-0.5))),1)</f>
        <v>0.0694736842105264</v>
      </c>
      <c r="G387" s="136" t="n">
        <f aca="false">IF(Calculator!$E$16="YES",IF(A387&lt;Calculator!$G$16,0,MIN(MIN(MOD(A387/Calculator!$F$16,1),1-MOD(A387/Calculator!$F$16,1)),ABS(MOD(A387/Calculator!$F$16,1)-0.5))),1)</f>
        <v>0.202736842105263</v>
      </c>
      <c r="H387" s="136" t="n">
        <f aca="false">IF(Calculator!$E$17="YES",IF(A387&lt;Calculator!$G$17,0,MIN(MIN(MOD(A387/Calculator!$F$17,1),1-MOD(A387/Calculator!$F$17,1)),ABS(MOD(A387/Calculator!$F$17,1)-0.5))),1)</f>
        <v>0.0073852631578939</v>
      </c>
      <c r="I387" s="136" t="n">
        <f aca="false">IF(Calculator!$E$18="YES",IF(A387&lt;Calculator!$G$18,0,MIN(MIN(MOD(A387/Calculator!$F$18,1),1-MOD(A387/Calculator!$F$18,1)),ABS(MOD(A387/Calculator!$F$18,1)-0.5))),1)</f>
        <v>0.0654736842105255</v>
      </c>
      <c r="J387" s="136" t="n">
        <f aca="false">IF(Calculator!$E$19="YES",IF(A387&lt;Calculator!$G$19,0,MIN(MIN(MOD(A387/Calculator!$F$19,1),1-MOD(A387/Calculator!$F$19,1)),ABS(MOD(A387/Calculator!$F$19,1)-0.5))),1)</f>
        <v>0.0607578947368417</v>
      </c>
      <c r="K387" s="136" t="n">
        <f aca="false">IF(Calculator!$E$20="YES",IF(A387&lt;Calculator!$G$20,0,MIN(MIN(MOD(A387/Calculator!$F$20,1),1-MOD(A387/Calculator!$F$20,1)),ABS(MOD(A387/Calculator!$F$20,1)-0.5))),1)</f>
        <v>0.246105263157896</v>
      </c>
      <c r="L387" s="136" t="n">
        <f aca="false">IF(Calculator!$E$21="YES",IF(A387&lt;Calculator!$G$21,0,MIN(MIN(MOD(A387/Calculator!$F$21,1),1-MOD(A387/Calculator!$F$21,1)),ABS(MOD(A387/Calculator!$F$21,1)-0.5))),1)</f>
        <v>0.235789473684211</v>
      </c>
      <c r="M387" s="136" t="n">
        <f aca="false">MIN(B387:L387)</f>
        <v>0.0073852631578939</v>
      </c>
      <c r="N387" s="136" t="n">
        <f aca="false">SUMPRODUCT(($M$5:$M$555&gt;M387)*1)+SUMPRODUCT(($M$5:$M$555=M387)*(ROW($M$5:$M$555)&lt;ROW(M387)))+1</f>
        <v>153</v>
      </c>
      <c r="O387" s="136" t="str">
        <f aca="false">IF(M387&gt;=0.2,"★★★ EXCELLENT",IF(M387&gt;=0.12,"★★  GOOD",IF(M387&gt;=0.07,"★  FAIR",IF(M387&gt;=0.025,"⚠  MARGINAL","✗  AVOID"))))</f>
        <v>✗  AVOID</v>
      </c>
    </row>
    <row r="388" customFormat="false" ht="15" hidden="false" customHeight="false" outlineLevel="0" collapsed="false">
      <c r="A388" s="137" t="n">
        <v>43.3</v>
      </c>
      <c r="B388" s="138" t="n">
        <f aca="false">IF(Calculator!$E$11="YES",IF(A388&lt;Calculator!$G$11,0,MIN(MIN(MOD(A388/Calculator!$F$11,1),1-MOD(A388/Calculator!$F$11,1)),ABS(MOD(A388/Calculator!$F$11,1)-0.5))),1)</f>
        <v>0.0773333333333333</v>
      </c>
      <c r="C388" s="138" t="n">
        <f aca="false">IF(Calculator!$E$12="YES",IF(A388&lt;Calculator!$G$12,0,MIN(MIN(MOD(A388/Calculator!$F$12,1),1-MOD(A388/Calculator!$F$12,1)),ABS(MOD(A388/Calculator!$F$12,1)-0.5))),1)</f>
        <v>0.109087719298246</v>
      </c>
      <c r="D388" s="138" t="n">
        <f aca="false">IF(Calculator!$E$13="YES",IF(A388&lt;Calculator!$G$13,0,MIN(MIN(MOD(A388/Calculator!$F$13,1),1-MOD(A388/Calculator!$F$13,1)),ABS(MOD(A388/Calculator!$F$13,1)-0.5))),1)</f>
        <v>0.128383859649123</v>
      </c>
      <c r="E388" s="138" t="n">
        <f aca="false">IF(Calculator!$E$14="YES",IF(A388&lt;Calculator!$G$14,0,MIN(MIN(MOD(A388/Calculator!$F$14,1),1-MOD(A388/Calculator!$F$14,1)),ABS(MOD(A388/Calculator!$F$14,1)-0.5))),1)</f>
        <v>0.17259649122807</v>
      </c>
      <c r="F388" s="138" t="n">
        <f aca="false">IF(Calculator!$E$15="YES",IF(A388&lt;Calculator!$G$15,0,MIN(MIN(MOD(A388/Calculator!$F$15,1),1-MOD(A388/Calculator!$F$15,1)),ABS(MOD(A388/Calculator!$F$15,1)-0.5))),1)</f>
        <v>0.0765789473684206</v>
      </c>
      <c r="G388" s="138" t="n">
        <f aca="false">IF(Calculator!$E$16="YES",IF(A388&lt;Calculator!$G$16,0,MIN(MIN(MOD(A388/Calculator!$F$16,1),1-MOD(A388/Calculator!$F$16,1)),ABS(MOD(A388/Calculator!$F$16,1)-0.5))),1)</f>
        <v>0.19278947368421</v>
      </c>
      <c r="H388" s="138" t="n">
        <f aca="false">IF(Calculator!$E$17="YES",IF(A388&lt;Calculator!$G$17,0,MIN(MIN(MOD(A388/Calculator!$F$17,1),1-MOD(A388/Calculator!$F$17,1)),ABS(MOD(A388/Calculator!$F$17,1)-0.5))),1)</f>
        <v>0.00532912280701758</v>
      </c>
      <c r="I388" s="138" t="n">
        <f aca="false">IF(Calculator!$E$18="YES",IF(A388&lt;Calculator!$G$18,0,MIN(MIN(MOD(A388/Calculator!$F$18,1),1-MOD(A388/Calculator!$F$18,1)),ABS(MOD(A388/Calculator!$F$18,1)-0.5))),1)</f>
        <v>0.0505789473684208</v>
      </c>
      <c r="J388" s="138" t="n">
        <f aca="false">IF(Calculator!$E$19="YES",IF(A388&lt;Calculator!$G$19,0,MIN(MIN(MOD(A388/Calculator!$F$19,1),1-MOD(A388/Calculator!$F$19,1)),ABS(MOD(A388/Calculator!$F$19,1)-0.5))),1)</f>
        <v>0.0782596491228054</v>
      </c>
      <c r="K388" s="138" t="n">
        <f aca="false">IF(Calculator!$E$20="YES",IF(A388&lt;Calculator!$G$20,0,MIN(MIN(MOD(A388/Calculator!$F$20,1),1-MOD(A388/Calculator!$F$20,1)),ABS(MOD(A388/Calculator!$F$20,1)-0.5))),1)</f>
        <v>0.233649122807018</v>
      </c>
      <c r="L388" s="138" t="n">
        <f aca="false">IF(Calculator!$E$21="YES",IF(A388&lt;Calculator!$G$21,0,MIN(MIN(MOD(A388/Calculator!$F$21,1),1-MOD(A388/Calculator!$F$21,1)),ABS(MOD(A388/Calculator!$F$21,1)-0.5))),1)</f>
        <v>0.199298245614036</v>
      </c>
      <c r="M388" s="138" t="n">
        <f aca="false">MIN(B388:L388)</f>
        <v>0.00532912280701758</v>
      </c>
      <c r="N388" s="138" t="n">
        <f aca="false">SUMPRODUCT(($M$5:$M$555&gt;M388)*1)+SUMPRODUCT(($M$5:$M$555=M388)*(ROW($M$5:$M$555)&lt;ROW(M388)))+1</f>
        <v>175</v>
      </c>
      <c r="O388" s="138" t="str">
        <f aca="false">IF(M388&gt;=0.2,"★★★ EXCELLENT",IF(M388&gt;=0.12,"★★  GOOD",IF(M388&gt;=0.07,"★  FAIR",IF(M388&gt;=0.025,"⚠  MARGINAL","✗  AVOID"))))</f>
        <v>✗  AVOID</v>
      </c>
    </row>
    <row r="389" customFormat="false" ht="15" hidden="false" customHeight="false" outlineLevel="0" collapsed="false">
      <c r="A389" s="135" t="n">
        <v>43.4</v>
      </c>
      <c r="B389" s="136" t="n">
        <f aca="false">IF(Calculator!$E$11="YES",IF(A389&lt;Calculator!$G$11,0,MIN(MIN(MOD(A389/Calculator!$F$11,1),1-MOD(A389/Calculator!$F$11,1)),ABS(MOD(A389/Calculator!$F$11,1)-0.5))),1)</f>
        <v>0.0786666666666667</v>
      </c>
      <c r="C389" s="136" t="n">
        <f aca="false">IF(Calculator!$E$12="YES",IF(A389&lt;Calculator!$G$12,0,MIN(MIN(MOD(A389/Calculator!$F$12,1),1-MOD(A389/Calculator!$F$12,1)),ABS(MOD(A389/Calculator!$F$12,1)-0.5))),1)</f>
        <v>0.111649122807018</v>
      </c>
      <c r="D389" s="136" t="n">
        <f aca="false">IF(Calculator!$E$13="YES",IF(A389&lt;Calculator!$G$13,0,MIN(MIN(MOD(A389/Calculator!$F$13,1),1-MOD(A389/Calculator!$F$13,1)),ABS(MOD(A389/Calculator!$F$13,1)-0.5))),1)</f>
        <v>0.132144561403509</v>
      </c>
      <c r="E389" s="136" t="n">
        <f aca="false">IF(Calculator!$E$14="YES",IF(A389&lt;Calculator!$G$14,0,MIN(MIN(MOD(A389/Calculator!$F$14,1),1-MOD(A389/Calculator!$F$14,1)),ABS(MOD(A389/Calculator!$F$14,1)-0.5))),1)</f>
        <v>0.177614035087719</v>
      </c>
      <c r="F389" s="136" t="n">
        <f aca="false">IF(Calculator!$E$15="YES",IF(A389&lt;Calculator!$G$15,0,MIN(MIN(MOD(A389/Calculator!$F$15,1),1-MOD(A389/Calculator!$F$15,1)),ABS(MOD(A389/Calculator!$F$15,1)-0.5))),1)</f>
        <v>0.0836842105263158</v>
      </c>
      <c r="G389" s="136" t="n">
        <f aca="false">IF(Calculator!$E$16="YES",IF(A389&lt;Calculator!$G$16,0,MIN(MIN(MOD(A389/Calculator!$F$16,1),1-MOD(A389/Calculator!$F$16,1)),ABS(MOD(A389/Calculator!$F$16,1)-0.5))),1)</f>
        <v>0.182842105263158</v>
      </c>
      <c r="H389" s="136" t="n">
        <f aca="false">IF(Calculator!$E$17="YES",IF(A389&lt;Calculator!$G$17,0,MIN(MIN(MOD(A389/Calculator!$F$17,1),1-MOD(A389/Calculator!$F$17,1)),ABS(MOD(A389/Calculator!$F$17,1)-0.5))),1)</f>
        <v>0.01804350877193</v>
      </c>
      <c r="I389" s="136" t="n">
        <f aca="false">IF(Calculator!$E$18="YES",IF(A389&lt;Calculator!$G$18,0,MIN(MIN(MOD(A389/Calculator!$F$18,1),1-MOD(A389/Calculator!$F$18,1)),ABS(MOD(A389/Calculator!$F$18,1)-0.5))),1)</f>
        <v>0.0356842105263153</v>
      </c>
      <c r="J389" s="136" t="n">
        <f aca="false">IF(Calculator!$E$19="YES",IF(A389&lt;Calculator!$G$19,0,MIN(MIN(MOD(A389/Calculator!$F$19,1),1-MOD(A389/Calculator!$F$19,1)),ABS(MOD(A389/Calculator!$F$19,1)-0.5))),1)</f>
        <v>0.0957614035087708</v>
      </c>
      <c r="K389" s="136" t="n">
        <f aca="false">IF(Calculator!$E$20="YES",IF(A389&lt;Calculator!$G$20,0,MIN(MIN(MOD(A389/Calculator!$F$20,1),1-MOD(A389/Calculator!$F$20,1)),ABS(MOD(A389/Calculator!$F$20,1)-0.5))),1)</f>
        <v>0.213403508771931</v>
      </c>
      <c r="L389" s="136" t="n">
        <f aca="false">IF(Calculator!$E$21="YES",IF(A389&lt;Calculator!$G$21,0,MIN(MIN(MOD(A389/Calculator!$F$21,1),1-MOD(A389/Calculator!$F$21,1)),ABS(MOD(A389/Calculator!$F$21,1)-0.5))),1)</f>
        <v>0.162807017543861</v>
      </c>
      <c r="M389" s="136" t="n">
        <f aca="false">MIN(B389:L389)</f>
        <v>0.01804350877193</v>
      </c>
      <c r="N389" s="136" t="n">
        <f aca="false">SUMPRODUCT(($M$5:$M$555&gt;M389)*1)+SUMPRODUCT(($M$5:$M$555=M389)*(ROW($M$5:$M$555)&lt;ROW(M389)))+1</f>
        <v>90</v>
      </c>
      <c r="O389" s="136" t="str">
        <f aca="false">IF(M389&gt;=0.2,"★★★ EXCELLENT",IF(M389&gt;=0.12,"★★  GOOD",IF(M389&gt;=0.07,"★  FAIR",IF(M389&gt;=0.025,"⚠  MARGINAL","✗  AVOID"))))</f>
        <v>✗  AVOID</v>
      </c>
    </row>
    <row r="390" customFormat="false" ht="15" hidden="false" customHeight="false" outlineLevel="0" collapsed="false">
      <c r="A390" s="137" t="n">
        <v>43.5</v>
      </c>
      <c r="B390" s="138" t="n">
        <f aca="false">IF(Calculator!$E$11="YES",IF(A390&lt;Calculator!$G$11,0,MIN(MIN(MOD(A390/Calculator!$F$11,1),1-MOD(A390/Calculator!$F$11,1)),ABS(MOD(A390/Calculator!$F$11,1)-0.5))),1)</f>
        <v>0.08</v>
      </c>
      <c r="C390" s="138" t="n">
        <f aca="false">IF(Calculator!$E$12="YES",IF(A390&lt;Calculator!$G$12,0,MIN(MIN(MOD(A390/Calculator!$F$12,1),1-MOD(A390/Calculator!$F$12,1)),ABS(MOD(A390/Calculator!$F$12,1)-0.5))),1)</f>
        <v>0.11421052631579</v>
      </c>
      <c r="D390" s="138" t="n">
        <f aca="false">IF(Calculator!$E$13="YES",IF(A390&lt;Calculator!$G$13,0,MIN(MIN(MOD(A390/Calculator!$F$13,1),1-MOD(A390/Calculator!$F$13,1)),ABS(MOD(A390/Calculator!$F$13,1)-0.5))),1)</f>
        <v>0.135905263157895</v>
      </c>
      <c r="E390" s="138" t="n">
        <f aca="false">IF(Calculator!$E$14="YES",IF(A390&lt;Calculator!$G$14,0,MIN(MIN(MOD(A390/Calculator!$F$14,1),1-MOD(A390/Calculator!$F$14,1)),ABS(MOD(A390/Calculator!$F$14,1)-0.5))),1)</f>
        <v>0.182631578947368</v>
      </c>
      <c r="F390" s="138" t="n">
        <f aca="false">IF(Calculator!$E$15="YES",IF(A390&lt;Calculator!$G$15,0,MIN(MIN(MOD(A390/Calculator!$F$15,1),1-MOD(A390/Calculator!$F$15,1)),ABS(MOD(A390/Calculator!$F$15,1)-0.5))),1)</f>
        <v>0.0907894736842105</v>
      </c>
      <c r="G390" s="138" t="n">
        <f aca="false">IF(Calculator!$E$16="YES",IF(A390&lt;Calculator!$G$16,0,MIN(MIN(MOD(A390/Calculator!$F$16,1),1-MOD(A390/Calculator!$F$16,1)),ABS(MOD(A390/Calculator!$F$16,1)-0.5))),1)</f>
        <v>0.172894736842105</v>
      </c>
      <c r="H390" s="138" t="n">
        <f aca="false">IF(Calculator!$E$17="YES",IF(A390&lt;Calculator!$G$17,0,MIN(MIN(MOD(A390/Calculator!$F$17,1),1-MOD(A390/Calculator!$F$17,1)),ABS(MOD(A390/Calculator!$F$17,1)-0.5))),1)</f>
        <v>0.0307578947368423</v>
      </c>
      <c r="I390" s="138" t="n">
        <f aca="false">IF(Calculator!$E$18="YES",IF(A390&lt;Calculator!$G$18,0,MIN(MIN(MOD(A390/Calculator!$F$18,1),1-MOD(A390/Calculator!$F$18,1)),ABS(MOD(A390/Calculator!$F$18,1)-0.5))),1)</f>
        <v>0.0207894736842107</v>
      </c>
      <c r="J390" s="138" t="n">
        <f aca="false">IF(Calculator!$E$19="YES",IF(A390&lt;Calculator!$G$19,0,MIN(MIN(MOD(A390/Calculator!$F$19,1),1-MOD(A390/Calculator!$F$19,1)),ABS(MOD(A390/Calculator!$F$19,1)-0.5))),1)</f>
        <v>0.113263157894735</v>
      </c>
      <c r="K390" s="138" t="n">
        <f aca="false">IF(Calculator!$E$20="YES",IF(A390&lt;Calculator!$G$20,0,MIN(MIN(MOD(A390/Calculator!$F$20,1),1-MOD(A390/Calculator!$F$20,1)),ABS(MOD(A390/Calculator!$F$20,1)-0.5))),1)</f>
        <v>0.193157894736842</v>
      </c>
      <c r="L390" s="138" t="n">
        <f aca="false">IF(Calculator!$E$21="YES",IF(A390&lt;Calculator!$G$21,0,MIN(MIN(MOD(A390/Calculator!$F$21,1),1-MOD(A390/Calculator!$F$21,1)),ABS(MOD(A390/Calculator!$F$21,1)-0.5))),1)</f>
        <v>0.126315789473685</v>
      </c>
      <c r="M390" s="138" t="n">
        <f aca="false">MIN(B390:L390)</f>
        <v>0.0207894736842107</v>
      </c>
      <c r="N390" s="138" t="n">
        <f aca="false">SUMPRODUCT(($M$5:$M$555&gt;M390)*1)+SUMPRODUCT(($M$5:$M$555=M390)*(ROW($M$5:$M$555)&lt;ROW(M390)))+1</f>
        <v>76</v>
      </c>
      <c r="O390" s="138" t="str">
        <f aca="false">IF(M390&gt;=0.2,"★★★ EXCELLENT",IF(M390&gt;=0.12,"★★  GOOD",IF(M390&gt;=0.07,"★  FAIR",IF(M390&gt;=0.025,"⚠  MARGINAL","✗  AVOID"))))</f>
        <v>✗  AVOID</v>
      </c>
    </row>
    <row r="391" customFormat="false" ht="15" hidden="false" customHeight="false" outlineLevel="0" collapsed="false">
      <c r="A391" s="135" t="n">
        <v>43.6</v>
      </c>
      <c r="B391" s="136" t="n">
        <f aca="false">IF(Calculator!$E$11="YES",IF(A391&lt;Calculator!$G$11,0,MIN(MIN(MOD(A391/Calculator!$F$11,1),1-MOD(A391/Calculator!$F$11,1)),ABS(MOD(A391/Calculator!$F$11,1)-0.5))),1)</f>
        <v>0.0813333333333334</v>
      </c>
      <c r="C391" s="136" t="n">
        <f aca="false">IF(Calculator!$E$12="YES",IF(A391&lt;Calculator!$G$12,0,MIN(MIN(MOD(A391/Calculator!$F$12,1),1-MOD(A391/Calculator!$F$12,1)),ABS(MOD(A391/Calculator!$F$12,1)-0.5))),1)</f>
        <v>0.116771929824562</v>
      </c>
      <c r="D391" s="136" t="n">
        <f aca="false">IF(Calculator!$E$13="YES",IF(A391&lt;Calculator!$G$13,0,MIN(MIN(MOD(A391/Calculator!$F$13,1),1-MOD(A391/Calculator!$F$13,1)),ABS(MOD(A391/Calculator!$F$13,1)-0.5))),1)</f>
        <v>0.139665964912281</v>
      </c>
      <c r="E391" s="136" t="n">
        <f aca="false">IF(Calculator!$E$14="YES",IF(A391&lt;Calculator!$G$14,0,MIN(MIN(MOD(A391/Calculator!$F$14,1),1-MOD(A391/Calculator!$F$14,1)),ABS(MOD(A391/Calculator!$F$14,1)-0.5))),1)</f>
        <v>0.187649122807018</v>
      </c>
      <c r="F391" s="136" t="n">
        <f aca="false">IF(Calculator!$E$15="YES",IF(A391&lt;Calculator!$G$15,0,MIN(MIN(MOD(A391/Calculator!$F$15,1),1-MOD(A391/Calculator!$F$15,1)),ABS(MOD(A391/Calculator!$F$15,1)-0.5))),1)</f>
        <v>0.0978947368421053</v>
      </c>
      <c r="G391" s="136" t="n">
        <f aca="false">IF(Calculator!$E$16="YES",IF(A391&lt;Calculator!$G$16,0,MIN(MIN(MOD(A391/Calculator!$F$16,1),1-MOD(A391/Calculator!$F$16,1)),ABS(MOD(A391/Calculator!$F$16,1)-0.5))),1)</f>
        <v>0.162947368421052</v>
      </c>
      <c r="H391" s="136" t="n">
        <f aca="false">IF(Calculator!$E$17="YES",IF(A391&lt;Calculator!$G$17,0,MIN(MIN(MOD(A391/Calculator!$F$17,1),1-MOD(A391/Calculator!$F$17,1)),ABS(MOD(A391/Calculator!$F$17,1)-0.5))),1)</f>
        <v>0.0434722807017556</v>
      </c>
      <c r="I391" s="136" t="n">
        <f aca="false">IF(Calculator!$E$18="YES",IF(A391&lt;Calculator!$G$18,0,MIN(MIN(MOD(A391/Calculator!$F$18,1),1-MOD(A391/Calculator!$F$18,1)),ABS(MOD(A391/Calculator!$F$18,1)-0.5))),1)</f>
        <v>0.00589473684210518</v>
      </c>
      <c r="J391" s="136" t="n">
        <f aca="false">IF(Calculator!$E$19="YES",IF(A391&lt;Calculator!$G$19,0,MIN(MIN(MOD(A391/Calculator!$F$19,1),1-MOD(A391/Calculator!$F$19,1)),ABS(MOD(A391/Calculator!$F$19,1)-0.5))),1)</f>
        <v>0.130764912280701</v>
      </c>
      <c r="K391" s="136" t="n">
        <f aca="false">IF(Calculator!$E$20="YES",IF(A391&lt;Calculator!$G$20,0,MIN(MIN(MOD(A391/Calculator!$F$20,1),1-MOD(A391/Calculator!$F$20,1)),ABS(MOD(A391/Calculator!$F$20,1)-0.5))),1)</f>
        <v>0.172912280701754</v>
      </c>
      <c r="L391" s="136" t="n">
        <f aca="false">IF(Calculator!$E$21="YES",IF(A391&lt;Calculator!$G$21,0,MIN(MIN(MOD(A391/Calculator!$F$21,1),1-MOD(A391/Calculator!$F$21,1)),ABS(MOD(A391/Calculator!$F$21,1)-0.5))),1)</f>
        <v>0.0898245614035087</v>
      </c>
      <c r="M391" s="136" t="n">
        <f aca="false">MIN(B391:L391)</f>
        <v>0.00589473684210518</v>
      </c>
      <c r="N391" s="136" t="n">
        <f aca="false">SUMPRODUCT(($M$5:$M$555&gt;M391)*1)+SUMPRODUCT(($M$5:$M$555=M391)*(ROW($M$5:$M$555)&lt;ROW(M391)))+1</f>
        <v>168</v>
      </c>
      <c r="O391" s="136" t="str">
        <f aca="false">IF(M391&gt;=0.2,"★★★ EXCELLENT",IF(M391&gt;=0.12,"★★  GOOD",IF(M391&gt;=0.07,"★  FAIR",IF(M391&gt;=0.025,"⚠  MARGINAL","✗  AVOID"))))</f>
        <v>✗  AVOID</v>
      </c>
    </row>
    <row r="392" customFormat="false" ht="15" hidden="false" customHeight="false" outlineLevel="0" collapsed="false">
      <c r="A392" s="137" t="n">
        <v>43.7</v>
      </c>
      <c r="B392" s="138" t="n">
        <f aca="false">IF(Calculator!$E$11="YES",IF(A392&lt;Calculator!$G$11,0,MIN(MIN(MOD(A392/Calculator!$F$11,1),1-MOD(A392/Calculator!$F$11,1)),ABS(MOD(A392/Calculator!$F$11,1)-0.5))),1)</f>
        <v>0.0826666666666667</v>
      </c>
      <c r="C392" s="138" t="n">
        <f aca="false">IF(Calculator!$E$12="YES",IF(A392&lt;Calculator!$G$12,0,MIN(MIN(MOD(A392/Calculator!$F$12,1),1-MOD(A392/Calculator!$F$12,1)),ABS(MOD(A392/Calculator!$F$12,1)-0.5))),1)</f>
        <v>0.119333333333334</v>
      </c>
      <c r="D392" s="138" t="n">
        <f aca="false">IF(Calculator!$E$13="YES",IF(A392&lt;Calculator!$G$13,0,MIN(MIN(MOD(A392/Calculator!$F$13,1),1-MOD(A392/Calculator!$F$13,1)),ABS(MOD(A392/Calculator!$F$13,1)-0.5))),1)</f>
        <v>0.143426666666667</v>
      </c>
      <c r="E392" s="138" t="n">
        <f aca="false">IF(Calculator!$E$14="YES",IF(A392&lt;Calculator!$G$14,0,MIN(MIN(MOD(A392/Calculator!$F$14,1),1-MOD(A392/Calculator!$F$14,1)),ABS(MOD(A392/Calculator!$F$14,1)-0.5))),1)</f>
        <v>0.192666666666667</v>
      </c>
      <c r="F392" s="138" t="n">
        <f aca="false">IF(Calculator!$E$15="YES",IF(A392&lt;Calculator!$G$15,0,MIN(MIN(MOD(A392/Calculator!$F$15,1),1-MOD(A392/Calculator!$F$15,1)),ABS(MOD(A392/Calculator!$F$15,1)-0.5))),1)</f>
        <v>0.105</v>
      </c>
      <c r="G392" s="138" t="n">
        <f aca="false">IF(Calculator!$E$16="YES",IF(A392&lt;Calculator!$G$16,0,MIN(MIN(MOD(A392/Calculator!$F$16,1),1-MOD(A392/Calculator!$F$16,1)),ABS(MOD(A392/Calculator!$F$16,1)-0.5))),1)</f>
        <v>0.153</v>
      </c>
      <c r="H392" s="138" t="n">
        <f aca="false">IF(Calculator!$E$17="YES",IF(A392&lt;Calculator!$G$17,0,MIN(MIN(MOD(A392/Calculator!$F$17,1),1-MOD(A392/Calculator!$F$17,1)),ABS(MOD(A392/Calculator!$F$17,1)-0.5))),1)</f>
        <v>0.0561866666666679</v>
      </c>
      <c r="I392" s="138" t="n">
        <f aca="false">IF(Calculator!$E$18="YES",IF(A392&lt;Calculator!$G$18,0,MIN(MIN(MOD(A392/Calculator!$F$18,1),1-MOD(A392/Calculator!$F$18,1)),ABS(MOD(A392/Calculator!$F$18,1)-0.5))),1)</f>
        <v>0.00900000000000034</v>
      </c>
      <c r="J392" s="138" t="n">
        <f aca="false">IF(Calculator!$E$19="YES",IF(A392&lt;Calculator!$G$19,0,MIN(MIN(MOD(A392/Calculator!$F$19,1),1-MOD(A392/Calculator!$F$19,1)),ABS(MOD(A392/Calculator!$F$19,1)-0.5))),1)</f>
        <v>0.148266666666665</v>
      </c>
      <c r="K392" s="138" t="n">
        <f aca="false">IF(Calculator!$E$20="YES",IF(A392&lt;Calculator!$G$20,0,MIN(MIN(MOD(A392/Calculator!$F$20,1),1-MOD(A392/Calculator!$F$20,1)),ABS(MOD(A392/Calculator!$F$20,1)-0.5))),1)</f>
        <v>0.152666666666667</v>
      </c>
      <c r="L392" s="138" t="n">
        <f aca="false">IF(Calculator!$E$21="YES",IF(A392&lt;Calculator!$G$21,0,MIN(MIN(MOD(A392/Calculator!$F$21,1),1-MOD(A392/Calculator!$F$21,1)),ABS(MOD(A392/Calculator!$F$21,1)-0.5))),1)</f>
        <v>0.0533333333333328</v>
      </c>
      <c r="M392" s="138" t="n">
        <f aca="false">MIN(B392:L392)</f>
        <v>0.00900000000000034</v>
      </c>
      <c r="N392" s="138" t="n">
        <f aca="false">SUMPRODUCT(($M$5:$M$555&gt;M392)*1)+SUMPRODUCT(($M$5:$M$555=M392)*(ROW($M$5:$M$555)&lt;ROW(M392)))+1</f>
        <v>143</v>
      </c>
      <c r="O392" s="138" t="str">
        <f aca="false">IF(M392&gt;=0.2,"★★★ EXCELLENT",IF(M392&gt;=0.12,"★★  GOOD",IF(M392&gt;=0.07,"★  FAIR",IF(M392&gt;=0.025,"⚠  MARGINAL","✗  AVOID"))))</f>
        <v>✗  AVOID</v>
      </c>
    </row>
    <row r="393" customFormat="false" ht="15" hidden="false" customHeight="false" outlineLevel="0" collapsed="false">
      <c r="A393" s="135" t="n">
        <v>43.8</v>
      </c>
      <c r="B393" s="136" t="n">
        <f aca="false">IF(Calculator!$E$11="YES",IF(A393&lt;Calculator!$G$11,0,MIN(MIN(MOD(A393/Calculator!$F$11,1),1-MOD(A393/Calculator!$F$11,1)),ABS(MOD(A393/Calculator!$F$11,1)-0.5))),1)</f>
        <v>0.084</v>
      </c>
      <c r="C393" s="136" t="n">
        <f aca="false">IF(Calculator!$E$12="YES",IF(A393&lt;Calculator!$G$12,0,MIN(MIN(MOD(A393/Calculator!$F$12,1),1-MOD(A393/Calculator!$F$12,1)),ABS(MOD(A393/Calculator!$F$12,1)-0.5))),1)</f>
        <v>0.121894736842105</v>
      </c>
      <c r="D393" s="136" t="n">
        <f aca="false">IF(Calculator!$E$13="YES",IF(A393&lt;Calculator!$G$13,0,MIN(MIN(MOD(A393/Calculator!$F$13,1),1-MOD(A393/Calculator!$F$13,1)),ABS(MOD(A393/Calculator!$F$13,1)-0.5))),1)</f>
        <v>0.147187368421053</v>
      </c>
      <c r="E393" s="136" t="n">
        <f aca="false">IF(Calculator!$E$14="YES",IF(A393&lt;Calculator!$G$14,0,MIN(MIN(MOD(A393/Calculator!$F$14,1),1-MOD(A393/Calculator!$F$14,1)),ABS(MOD(A393/Calculator!$F$14,1)-0.5))),1)</f>
        <v>0.197684210526316</v>
      </c>
      <c r="F393" s="136" t="n">
        <f aca="false">IF(Calculator!$E$15="YES",IF(A393&lt;Calculator!$G$15,0,MIN(MIN(MOD(A393/Calculator!$F$15,1),1-MOD(A393/Calculator!$F$15,1)),ABS(MOD(A393/Calculator!$F$15,1)-0.5))),1)</f>
        <v>0.112105263157894</v>
      </c>
      <c r="G393" s="136" t="n">
        <f aca="false">IF(Calculator!$E$16="YES",IF(A393&lt;Calculator!$G$16,0,MIN(MIN(MOD(A393/Calculator!$F$16,1),1-MOD(A393/Calculator!$F$16,1)),ABS(MOD(A393/Calculator!$F$16,1)-0.5))),1)</f>
        <v>0.143052631578947</v>
      </c>
      <c r="H393" s="136" t="n">
        <f aca="false">IF(Calculator!$E$17="YES",IF(A393&lt;Calculator!$G$17,0,MIN(MIN(MOD(A393/Calculator!$F$17,1),1-MOD(A393/Calculator!$F$17,1)),ABS(MOD(A393/Calculator!$F$17,1)-0.5))),1)</f>
        <v>0.0689010526315794</v>
      </c>
      <c r="I393" s="136" t="n">
        <f aca="false">IF(Calculator!$E$18="YES",IF(A393&lt;Calculator!$G$18,0,MIN(MIN(MOD(A393/Calculator!$F$18,1),1-MOD(A393/Calculator!$F$18,1)),ABS(MOD(A393/Calculator!$F$18,1)-0.5))),1)</f>
        <v>0.023894736842105</v>
      </c>
      <c r="J393" s="136" t="n">
        <f aca="false">IF(Calculator!$E$19="YES",IF(A393&lt;Calculator!$G$19,0,MIN(MIN(MOD(A393/Calculator!$F$19,1),1-MOD(A393/Calculator!$F$19,1)),ABS(MOD(A393/Calculator!$F$19,1)-0.5))),1)</f>
        <v>0.16576842105263</v>
      </c>
      <c r="K393" s="136" t="n">
        <f aca="false">IF(Calculator!$E$20="YES",IF(A393&lt;Calculator!$G$20,0,MIN(MIN(MOD(A393/Calculator!$F$20,1),1-MOD(A393/Calculator!$F$20,1)),ABS(MOD(A393/Calculator!$F$20,1)-0.5))),1)</f>
        <v>0.13242105263158</v>
      </c>
      <c r="L393" s="136" t="n">
        <f aca="false">IF(Calculator!$E$21="YES",IF(A393&lt;Calculator!$G$21,0,MIN(MIN(MOD(A393/Calculator!$F$21,1),1-MOD(A393/Calculator!$F$21,1)),ABS(MOD(A393/Calculator!$F$21,1)-0.5))),1)</f>
        <v>0.0168421052631587</v>
      </c>
      <c r="M393" s="136" t="n">
        <f aca="false">MIN(B393:L393)</f>
        <v>0.0168421052631587</v>
      </c>
      <c r="N393" s="136" t="n">
        <f aca="false">SUMPRODUCT(($M$5:$M$555&gt;M393)*1)+SUMPRODUCT(($M$5:$M$555=M393)*(ROW($M$5:$M$555)&lt;ROW(M393)))+1</f>
        <v>95</v>
      </c>
      <c r="O393" s="136" t="str">
        <f aca="false">IF(M393&gt;=0.2,"★★★ EXCELLENT",IF(M393&gt;=0.12,"★★  GOOD",IF(M393&gt;=0.07,"★  FAIR",IF(M393&gt;=0.025,"⚠  MARGINAL","✗  AVOID"))))</f>
        <v>✗  AVOID</v>
      </c>
    </row>
    <row r="394" customFormat="false" ht="15" hidden="false" customHeight="false" outlineLevel="0" collapsed="false">
      <c r="A394" s="137" t="n">
        <v>43.9</v>
      </c>
      <c r="B394" s="138" t="n">
        <f aca="false">IF(Calculator!$E$11="YES",IF(A394&lt;Calculator!$G$11,0,MIN(MIN(MOD(A394/Calculator!$F$11,1),1-MOD(A394/Calculator!$F$11,1)),ABS(MOD(A394/Calculator!$F$11,1)-0.5))),1)</f>
        <v>0.0853333333333333</v>
      </c>
      <c r="C394" s="138" t="n">
        <f aca="false">IF(Calculator!$E$12="YES",IF(A394&lt;Calculator!$G$12,0,MIN(MIN(MOD(A394/Calculator!$F$12,1),1-MOD(A394/Calculator!$F$12,1)),ABS(MOD(A394/Calculator!$F$12,1)-0.5))),1)</f>
        <v>0.124456140350877</v>
      </c>
      <c r="D394" s="138" t="n">
        <f aca="false">IF(Calculator!$E$13="YES",IF(A394&lt;Calculator!$G$13,0,MIN(MIN(MOD(A394/Calculator!$F$13,1),1-MOD(A394/Calculator!$F$13,1)),ABS(MOD(A394/Calculator!$F$13,1)-0.5))),1)</f>
        <v>0.150948070175438</v>
      </c>
      <c r="E394" s="138" t="n">
        <f aca="false">IF(Calculator!$E$14="YES",IF(A394&lt;Calculator!$G$14,0,MIN(MIN(MOD(A394/Calculator!$F$14,1),1-MOD(A394/Calculator!$F$14,1)),ABS(MOD(A394/Calculator!$F$14,1)-0.5))),1)</f>
        <v>0.202701754385965</v>
      </c>
      <c r="F394" s="138" t="n">
        <f aca="false">IF(Calculator!$E$15="YES",IF(A394&lt;Calculator!$G$15,0,MIN(MIN(MOD(A394/Calculator!$F$15,1),1-MOD(A394/Calculator!$F$15,1)),ABS(MOD(A394/Calculator!$F$15,1)-0.5))),1)</f>
        <v>0.119210526315789</v>
      </c>
      <c r="G394" s="138" t="n">
        <f aca="false">IF(Calculator!$E$16="YES",IF(A394&lt;Calculator!$G$16,0,MIN(MIN(MOD(A394/Calculator!$F$16,1),1-MOD(A394/Calculator!$F$16,1)),ABS(MOD(A394/Calculator!$F$16,1)-0.5))),1)</f>
        <v>0.133105263157894</v>
      </c>
      <c r="H394" s="138" t="n">
        <f aca="false">IF(Calculator!$E$17="YES",IF(A394&lt;Calculator!$G$17,0,MIN(MIN(MOD(A394/Calculator!$F$17,1),1-MOD(A394/Calculator!$F$17,1)),ABS(MOD(A394/Calculator!$F$17,1)-0.5))),1)</f>
        <v>0.0816154385964918</v>
      </c>
      <c r="I394" s="138" t="n">
        <f aca="false">IF(Calculator!$E$18="YES",IF(A394&lt;Calculator!$G$18,0,MIN(MIN(MOD(A394/Calculator!$F$18,1),1-MOD(A394/Calculator!$F$18,1)),ABS(MOD(A394/Calculator!$F$18,1)-0.5))),1)</f>
        <v>0.0387894736842105</v>
      </c>
      <c r="J394" s="138" t="n">
        <f aca="false">IF(Calculator!$E$19="YES",IF(A394&lt;Calculator!$G$19,0,MIN(MIN(MOD(A394/Calculator!$F$19,1),1-MOD(A394/Calculator!$F$19,1)),ABS(MOD(A394/Calculator!$F$19,1)-0.5))),1)</f>
        <v>0.183270175438595</v>
      </c>
      <c r="K394" s="138" t="n">
        <f aca="false">IF(Calculator!$E$20="YES",IF(A394&lt;Calculator!$G$20,0,MIN(MIN(MOD(A394/Calculator!$F$20,1),1-MOD(A394/Calculator!$F$20,1)),ABS(MOD(A394/Calculator!$F$20,1)-0.5))),1)</f>
        <v>0.112175438596491</v>
      </c>
      <c r="L394" s="138" t="n">
        <f aca="false">IF(Calculator!$E$21="YES",IF(A394&lt;Calculator!$G$21,0,MIN(MIN(MOD(A394/Calculator!$F$21,1),1-MOD(A394/Calculator!$F$21,1)),ABS(MOD(A394/Calculator!$F$21,1)-0.5))),1)</f>
        <v>0.0196491228070173</v>
      </c>
      <c r="M394" s="138" t="n">
        <f aca="false">MIN(B394:L394)</f>
        <v>0.0196491228070173</v>
      </c>
      <c r="N394" s="138" t="n">
        <f aca="false">SUMPRODUCT(($M$5:$M$555&gt;M394)*1)+SUMPRODUCT(($M$5:$M$555=M394)*(ROW($M$5:$M$555)&lt;ROW(M394)))+1</f>
        <v>83</v>
      </c>
      <c r="O394" s="138" t="str">
        <f aca="false">IF(M394&gt;=0.2,"★★★ EXCELLENT",IF(M394&gt;=0.12,"★★  GOOD",IF(M394&gt;=0.07,"★  FAIR",IF(M394&gt;=0.025,"⚠  MARGINAL","✗  AVOID"))))</f>
        <v>✗  AVOID</v>
      </c>
    </row>
    <row r="395" customFormat="false" ht="15" hidden="false" customHeight="false" outlineLevel="0" collapsed="false">
      <c r="A395" s="135" t="n">
        <v>44</v>
      </c>
      <c r="B395" s="136" t="n">
        <f aca="false">IF(Calculator!$E$11="YES",IF(A395&lt;Calculator!$G$11,0,MIN(MIN(MOD(A395/Calculator!$F$11,1),1-MOD(A395/Calculator!$F$11,1)),ABS(MOD(A395/Calculator!$F$11,1)-0.5))),1)</f>
        <v>0.0866666666666667</v>
      </c>
      <c r="C395" s="136" t="n">
        <f aca="false">IF(Calculator!$E$12="YES",IF(A395&lt;Calculator!$G$12,0,MIN(MIN(MOD(A395/Calculator!$F$12,1),1-MOD(A395/Calculator!$F$12,1)),ABS(MOD(A395/Calculator!$F$12,1)-0.5))),1)</f>
        <v>0.127017543859649</v>
      </c>
      <c r="D395" s="136" t="n">
        <f aca="false">IF(Calculator!$E$13="YES",IF(A395&lt;Calculator!$G$13,0,MIN(MIN(MOD(A395/Calculator!$F$13,1),1-MOD(A395/Calculator!$F$13,1)),ABS(MOD(A395/Calculator!$F$13,1)-0.5))),1)</f>
        <v>0.154708771929825</v>
      </c>
      <c r="E395" s="136" t="n">
        <f aca="false">IF(Calculator!$E$14="YES",IF(A395&lt;Calculator!$G$14,0,MIN(MIN(MOD(A395/Calculator!$F$14,1),1-MOD(A395/Calculator!$F$14,1)),ABS(MOD(A395/Calculator!$F$14,1)-0.5))),1)</f>
        <v>0.207719298245614</v>
      </c>
      <c r="F395" s="136" t="n">
        <f aca="false">IF(Calculator!$E$15="YES",IF(A395&lt;Calculator!$G$15,0,MIN(MIN(MOD(A395/Calculator!$F$15,1),1-MOD(A395/Calculator!$F$15,1)),ABS(MOD(A395/Calculator!$F$15,1)-0.5))),1)</f>
        <v>0.126315789473684</v>
      </c>
      <c r="G395" s="136" t="n">
        <f aca="false">IF(Calculator!$E$16="YES",IF(A395&lt;Calculator!$G$16,0,MIN(MIN(MOD(A395/Calculator!$F$16,1),1-MOD(A395/Calculator!$F$16,1)),ABS(MOD(A395/Calculator!$F$16,1)-0.5))),1)</f>
        <v>0.123157894736842</v>
      </c>
      <c r="H395" s="136" t="n">
        <f aca="false">IF(Calculator!$E$17="YES",IF(A395&lt;Calculator!$G$17,0,MIN(MIN(MOD(A395/Calculator!$F$17,1),1-MOD(A395/Calculator!$F$17,1)),ABS(MOD(A395/Calculator!$F$17,1)-0.5))),1)</f>
        <v>0.0943298245614042</v>
      </c>
      <c r="I395" s="136" t="n">
        <f aca="false">IF(Calculator!$E$18="YES",IF(A395&lt;Calculator!$G$18,0,MIN(MIN(MOD(A395/Calculator!$F$18,1),1-MOD(A395/Calculator!$F$18,1)),ABS(MOD(A395/Calculator!$F$18,1)-0.5))),1)</f>
        <v>0.053684210526316</v>
      </c>
      <c r="J395" s="136" t="n">
        <f aca="false">IF(Calculator!$E$19="YES",IF(A395&lt;Calculator!$G$19,0,MIN(MIN(MOD(A395/Calculator!$F$19,1),1-MOD(A395/Calculator!$F$19,1)),ABS(MOD(A395/Calculator!$F$19,1)-0.5))),1)</f>
        <v>0.20077192982456</v>
      </c>
      <c r="K395" s="136" t="n">
        <f aca="false">IF(Calculator!$E$20="YES",IF(A395&lt;Calculator!$G$20,0,MIN(MIN(MOD(A395/Calculator!$F$20,1),1-MOD(A395/Calculator!$F$20,1)),ABS(MOD(A395/Calculator!$F$20,1)-0.5))),1)</f>
        <v>0.0919298245614044</v>
      </c>
      <c r="L395" s="136" t="n">
        <f aca="false">IF(Calculator!$E$21="YES",IF(A395&lt;Calculator!$G$21,0,MIN(MIN(MOD(A395/Calculator!$F$21,1),1-MOD(A395/Calculator!$F$21,1)),ABS(MOD(A395/Calculator!$F$21,1)-0.5))),1)</f>
        <v>0.0561403508771932</v>
      </c>
      <c r="M395" s="136" t="n">
        <f aca="false">MIN(B395:L395)</f>
        <v>0.053684210526316</v>
      </c>
      <c r="N395" s="136" t="n">
        <f aca="false">SUMPRODUCT(($M$5:$M$555&gt;M395)*1)+SUMPRODUCT(($M$5:$M$555=M395)*(ROW($M$5:$M$555)&lt;ROW(M395)))+1</f>
        <v>9</v>
      </c>
      <c r="O395" s="136" t="str">
        <f aca="false">IF(M395&gt;=0.2,"★★★ EXCELLENT",IF(M395&gt;=0.12,"★★  GOOD",IF(M395&gt;=0.07,"★  FAIR",IF(M395&gt;=0.025,"⚠  MARGINAL","✗  AVOID"))))</f>
        <v>⚠  MARGINAL</v>
      </c>
    </row>
    <row r="396" customFormat="false" ht="15" hidden="false" customHeight="false" outlineLevel="0" collapsed="false">
      <c r="A396" s="137" t="n">
        <v>44.1</v>
      </c>
      <c r="B396" s="138" t="n">
        <f aca="false">IF(Calculator!$E$11="YES",IF(A396&lt;Calculator!$G$11,0,MIN(MIN(MOD(A396/Calculator!$F$11,1),1-MOD(A396/Calculator!$F$11,1)),ABS(MOD(A396/Calculator!$F$11,1)-0.5))),1)</f>
        <v>0.088</v>
      </c>
      <c r="C396" s="138" t="n">
        <f aca="false">IF(Calculator!$E$12="YES",IF(A396&lt;Calculator!$G$12,0,MIN(MIN(MOD(A396/Calculator!$F$12,1),1-MOD(A396/Calculator!$F$12,1)),ABS(MOD(A396/Calculator!$F$12,1)-0.5))),1)</f>
        <v>0.129578947368421</v>
      </c>
      <c r="D396" s="138" t="n">
        <f aca="false">IF(Calculator!$E$13="YES",IF(A396&lt;Calculator!$G$13,0,MIN(MIN(MOD(A396/Calculator!$F$13,1),1-MOD(A396/Calculator!$F$13,1)),ABS(MOD(A396/Calculator!$F$13,1)-0.5))),1)</f>
        <v>0.158469473684211</v>
      </c>
      <c r="E396" s="138" t="n">
        <f aca="false">IF(Calculator!$E$14="YES",IF(A396&lt;Calculator!$G$14,0,MIN(MIN(MOD(A396/Calculator!$F$14,1),1-MOD(A396/Calculator!$F$14,1)),ABS(MOD(A396/Calculator!$F$14,1)-0.5))),1)</f>
        <v>0.212736842105263</v>
      </c>
      <c r="F396" s="138" t="n">
        <f aca="false">IF(Calculator!$E$15="YES",IF(A396&lt;Calculator!$G$15,0,MIN(MIN(MOD(A396/Calculator!$F$15,1),1-MOD(A396/Calculator!$F$15,1)),ABS(MOD(A396/Calculator!$F$15,1)-0.5))),1)</f>
        <v>0.133421052631579</v>
      </c>
      <c r="G396" s="138" t="n">
        <f aca="false">IF(Calculator!$E$16="YES",IF(A396&lt;Calculator!$G$16,0,MIN(MIN(MOD(A396/Calculator!$F$16,1),1-MOD(A396/Calculator!$F$16,1)),ABS(MOD(A396/Calculator!$F$16,1)-0.5))),1)</f>
        <v>0.113210526315789</v>
      </c>
      <c r="H396" s="138" t="n">
        <f aca="false">IF(Calculator!$E$17="YES",IF(A396&lt;Calculator!$G$17,0,MIN(MIN(MOD(A396/Calculator!$F$17,1),1-MOD(A396/Calculator!$F$17,1)),ABS(MOD(A396/Calculator!$F$17,1)-0.5))),1)</f>
        <v>0.107044210526317</v>
      </c>
      <c r="I396" s="138" t="n">
        <f aca="false">IF(Calculator!$E$18="YES",IF(A396&lt;Calculator!$G$18,0,MIN(MIN(MOD(A396/Calculator!$F$18,1),1-MOD(A396/Calculator!$F$18,1)),ABS(MOD(A396/Calculator!$F$18,1)-0.5))),1)</f>
        <v>0.0685789473684215</v>
      </c>
      <c r="J396" s="138" t="n">
        <f aca="false">IF(Calculator!$E$19="YES",IF(A396&lt;Calculator!$G$19,0,MIN(MIN(MOD(A396/Calculator!$F$19,1),1-MOD(A396/Calculator!$F$19,1)),ABS(MOD(A396/Calculator!$F$19,1)-0.5))),1)</f>
        <v>0.218273684210526</v>
      </c>
      <c r="K396" s="138" t="n">
        <f aca="false">IF(Calculator!$E$20="YES",IF(A396&lt;Calculator!$G$20,0,MIN(MIN(MOD(A396/Calculator!$F$20,1),1-MOD(A396/Calculator!$F$20,1)),ABS(MOD(A396/Calculator!$F$20,1)-0.5))),1)</f>
        <v>0.0716842105263158</v>
      </c>
      <c r="L396" s="138" t="n">
        <f aca="false">IF(Calculator!$E$21="YES",IF(A396&lt;Calculator!$G$21,0,MIN(MIN(MOD(A396/Calculator!$F$21,1),1-MOD(A396/Calculator!$F$21,1)),ABS(MOD(A396/Calculator!$F$21,1)-0.5))),1)</f>
        <v>0.0926315789473691</v>
      </c>
      <c r="M396" s="138" t="n">
        <f aca="false">MIN(B396:L396)</f>
        <v>0.0685789473684215</v>
      </c>
      <c r="N396" s="138" t="n">
        <f aca="false">SUMPRODUCT(($M$5:$M$555&gt;M396)*1)+SUMPRODUCT(($M$5:$M$555=M396)*(ROW($M$5:$M$555)&lt;ROW(M396)))+1</f>
        <v>3</v>
      </c>
      <c r="O396" s="138" t="str">
        <f aca="false">IF(M396&gt;=0.2,"★★★ EXCELLENT",IF(M396&gt;=0.12,"★★  GOOD",IF(M396&gt;=0.07,"★  FAIR",IF(M396&gt;=0.025,"⚠  MARGINAL","✗  AVOID"))))</f>
        <v>⚠  MARGINAL</v>
      </c>
    </row>
    <row r="397" customFormat="false" ht="15" hidden="false" customHeight="false" outlineLevel="0" collapsed="false">
      <c r="A397" s="135" t="n">
        <v>44.2</v>
      </c>
      <c r="B397" s="136" t="n">
        <f aca="false">IF(Calculator!$E$11="YES",IF(A397&lt;Calculator!$G$11,0,MIN(MIN(MOD(A397/Calculator!$F$11,1),1-MOD(A397/Calculator!$F$11,1)),ABS(MOD(A397/Calculator!$F$11,1)-0.5))),1)</f>
        <v>0.0893333333333334</v>
      </c>
      <c r="C397" s="136" t="n">
        <f aca="false">IF(Calculator!$E$12="YES",IF(A397&lt;Calculator!$G$12,0,MIN(MIN(MOD(A397/Calculator!$F$12,1),1-MOD(A397/Calculator!$F$12,1)),ABS(MOD(A397/Calculator!$F$12,1)-0.5))),1)</f>
        <v>0.132140350877193</v>
      </c>
      <c r="D397" s="136" t="n">
        <f aca="false">IF(Calculator!$E$13="YES",IF(A397&lt;Calculator!$G$13,0,MIN(MIN(MOD(A397/Calculator!$F$13,1),1-MOD(A397/Calculator!$F$13,1)),ABS(MOD(A397/Calculator!$F$13,1)-0.5))),1)</f>
        <v>0.162230175438596</v>
      </c>
      <c r="E397" s="136" t="n">
        <f aca="false">IF(Calculator!$E$14="YES",IF(A397&lt;Calculator!$G$14,0,MIN(MIN(MOD(A397/Calculator!$F$14,1),1-MOD(A397/Calculator!$F$14,1)),ABS(MOD(A397/Calculator!$F$14,1)-0.5))),1)</f>
        <v>0.217754385964912</v>
      </c>
      <c r="F397" s="136" t="n">
        <f aca="false">IF(Calculator!$E$15="YES",IF(A397&lt;Calculator!$G$15,0,MIN(MIN(MOD(A397/Calculator!$F$15,1),1-MOD(A397/Calculator!$F$15,1)),ABS(MOD(A397/Calculator!$F$15,1)-0.5))),1)</f>
        <v>0.140526315789474</v>
      </c>
      <c r="G397" s="136" t="n">
        <f aca="false">IF(Calculator!$E$16="YES",IF(A397&lt;Calculator!$G$16,0,MIN(MIN(MOD(A397/Calculator!$F$16,1),1-MOD(A397/Calculator!$F$16,1)),ABS(MOD(A397/Calculator!$F$16,1)-0.5))),1)</f>
        <v>0.103263157894737</v>
      </c>
      <c r="H397" s="136" t="n">
        <f aca="false">IF(Calculator!$E$17="YES",IF(A397&lt;Calculator!$G$17,0,MIN(MIN(MOD(A397/Calculator!$F$17,1),1-MOD(A397/Calculator!$F$17,1)),ABS(MOD(A397/Calculator!$F$17,1)-0.5))),1)</f>
        <v>0.119758596491229</v>
      </c>
      <c r="I397" s="136" t="n">
        <f aca="false">IF(Calculator!$E$18="YES",IF(A397&lt;Calculator!$G$18,0,MIN(MIN(MOD(A397/Calculator!$F$18,1),1-MOD(A397/Calculator!$F$18,1)),ABS(MOD(A397/Calculator!$F$18,1)-0.5))),1)</f>
        <v>0.083473684210527</v>
      </c>
      <c r="J397" s="136" t="n">
        <f aca="false">IF(Calculator!$E$19="YES",IF(A397&lt;Calculator!$G$19,0,MIN(MIN(MOD(A397/Calculator!$F$19,1),1-MOD(A397/Calculator!$F$19,1)),ABS(MOD(A397/Calculator!$F$19,1)-0.5))),1)</f>
        <v>0.23577543859649</v>
      </c>
      <c r="K397" s="136" t="n">
        <f aca="false">IF(Calculator!$E$20="YES",IF(A397&lt;Calculator!$G$20,0,MIN(MIN(MOD(A397/Calculator!$F$20,1),1-MOD(A397/Calculator!$F$20,1)),ABS(MOD(A397/Calculator!$F$20,1)-0.5))),1)</f>
        <v>0.0514385964912272</v>
      </c>
      <c r="L397" s="136" t="n">
        <f aca="false">IF(Calculator!$E$21="YES",IF(A397&lt;Calculator!$G$21,0,MIN(MIN(MOD(A397/Calculator!$F$21,1),1-MOD(A397/Calculator!$F$21,1)),ABS(MOD(A397/Calculator!$F$21,1)-0.5))),1)</f>
        <v>0.129122807017545</v>
      </c>
      <c r="M397" s="136" t="n">
        <f aca="false">MIN(B397:L397)</f>
        <v>0.0514385964912272</v>
      </c>
      <c r="N397" s="136" t="n">
        <f aca="false">SUMPRODUCT(($M$5:$M$555&gt;M397)*1)+SUMPRODUCT(($M$5:$M$555=M397)*(ROW($M$5:$M$555)&lt;ROW(M397)))+1</f>
        <v>14</v>
      </c>
      <c r="O397" s="136" t="str">
        <f aca="false">IF(M397&gt;=0.2,"★★★ EXCELLENT",IF(M397&gt;=0.12,"★★  GOOD",IF(M397&gt;=0.07,"★  FAIR",IF(M397&gt;=0.025,"⚠  MARGINAL","✗  AVOID"))))</f>
        <v>⚠  MARGINAL</v>
      </c>
    </row>
    <row r="398" customFormat="false" ht="15" hidden="false" customHeight="false" outlineLevel="0" collapsed="false">
      <c r="A398" s="137" t="n">
        <v>44.3</v>
      </c>
      <c r="B398" s="138" t="n">
        <f aca="false">IF(Calculator!$E$11="YES",IF(A398&lt;Calculator!$G$11,0,MIN(MIN(MOD(A398/Calculator!$F$11,1),1-MOD(A398/Calculator!$F$11,1)),ABS(MOD(A398/Calculator!$F$11,1)-0.5))),1)</f>
        <v>0.0906666666666667</v>
      </c>
      <c r="C398" s="138" t="n">
        <f aca="false">IF(Calculator!$E$12="YES",IF(A398&lt;Calculator!$G$12,0,MIN(MIN(MOD(A398/Calculator!$F$12,1),1-MOD(A398/Calculator!$F$12,1)),ABS(MOD(A398/Calculator!$F$12,1)-0.5))),1)</f>
        <v>0.134701754385965</v>
      </c>
      <c r="D398" s="138" t="n">
        <f aca="false">IF(Calculator!$E$13="YES",IF(A398&lt;Calculator!$G$13,0,MIN(MIN(MOD(A398/Calculator!$F$13,1),1-MOD(A398/Calculator!$F$13,1)),ABS(MOD(A398/Calculator!$F$13,1)-0.5))),1)</f>
        <v>0.165990877192982</v>
      </c>
      <c r="E398" s="138" t="n">
        <f aca="false">IF(Calculator!$E$14="YES",IF(A398&lt;Calculator!$G$14,0,MIN(MIN(MOD(A398/Calculator!$F$14,1),1-MOD(A398/Calculator!$F$14,1)),ABS(MOD(A398/Calculator!$F$14,1)-0.5))),1)</f>
        <v>0.222771929824561</v>
      </c>
      <c r="F398" s="138" t="n">
        <f aca="false">IF(Calculator!$E$15="YES",IF(A398&lt;Calculator!$G$15,0,MIN(MIN(MOD(A398/Calculator!$F$15,1),1-MOD(A398/Calculator!$F$15,1)),ABS(MOD(A398/Calculator!$F$15,1)-0.5))),1)</f>
        <v>0.147631578947368</v>
      </c>
      <c r="G398" s="138" t="n">
        <f aca="false">IF(Calculator!$E$16="YES",IF(A398&lt;Calculator!$G$16,0,MIN(MIN(MOD(A398/Calculator!$F$16,1),1-MOD(A398/Calculator!$F$16,1)),ABS(MOD(A398/Calculator!$F$16,1)-0.5))),1)</f>
        <v>0.0933157894736842</v>
      </c>
      <c r="H398" s="138" t="n">
        <f aca="false">IF(Calculator!$E$17="YES",IF(A398&lt;Calculator!$G$17,0,MIN(MIN(MOD(A398/Calculator!$F$17,1),1-MOD(A398/Calculator!$F$17,1)),ABS(MOD(A398/Calculator!$F$17,1)-0.5))),1)</f>
        <v>0.13247298245614</v>
      </c>
      <c r="I398" s="138" t="n">
        <f aca="false">IF(Calculator!$E$18="YES",IF(A398&lt;Calculator!$G$18,0,MIN(MIN(MOD(A398/Calculator!$F$18,1),1-MOD(A398/Calculator!$F$18,1)),ABS(MOD(A398/Calculator!$F$18,1)-0.5))),1)</f>
        <v>0.0983684210526317</v>
      </c>
      <c r="J398" s="138" t="n">
        <f aca="false">IF(Calculator!$E$19="YES",IF(A398&lt;Calculator!$G$19,0,MIN(MIN(MOD(A398/Calculator!$F$19,1),1-MOD(A398/Calculator!$F$19,1)),ABS(MOD(A398/Calculator!$F$19,1)-0.5))),1)</f>
        <v>0.246722807017545</v>
      </c>
      <c r="K398" s="138" t="n">
        <f aca="false">IF(Calculator!$E$20="YES",IF(A398&lt;Calculator!$G$20,0,MIN(MIN(MOD(A398/Calculator!$F$20,1),1-MOD(A398/Calculator!$F$20,1)),ABS(MOD(A398/Calculator!$F$20,1)-0.5))),1)</f>
        <v>0.0311929824561403</v>
      </c>
      <c r="L398" s="138" t="n">
        <f aca="false">IF(Calculator!$E$21="YES",IF(A398&lt;Calculator!$G$21,0,MIN(MIN(MOD(A398/Calculator!$F$21,1),1-MOD(A398/Calculator!$F$21,1)),ABS(MOD(A398/Calculator!$F$21,1)-0.5))),1)</f>
        <v>0.165614035087717</v>
      </c>
      <c r="M398" s="138" t="n">
        <f aca="false">MIN(B398:L398)</f>
        <v>0.0311929824561403</v>
      </c>
      <c r="N398" s="138" t="n">
        <f aca="false">SUMPRODUCT(($M$5:$M$555&gt;M398)*1)+SUMPRODUCT(($M$5:$M$555=M398)*(ROW($M$5:$M$555)&lt;ROW(M398)))+1</f>
        <v>43</v>
      </c>
      <c r="O398" s="138" t="str">
        <f aca="false">IF(M398&gt;=0.2,"★★★ EXCELLENT",IF(M398&gt;=0.12,"★★  GOOD",IF(M398&gt;=0.07,"★  FAIR",IF(M398&gt;=0.025,"⚠  MARGINAL","✗  AVOID"))))</f>
        <v>⚠  MARGINAL</v>
      </c>
    </row>
    <row r="399" customFormat="false" ht="15" hidden="false" customHeight="false" outlineLevel="0" collapsed="false">
      <c r="A399" s="135" t="n">
        <v>44.4</v>
      </c>
      <c r="B399" s="136" t="n">
        <f aca="false">IF(Calculator!$E$11="YES",IF(A399&lt;Calculator!$G$11,0,MIN(MIN(MOD(A399/Calculator!$F$11,1),1-MOD(A399/Calculator!$F$11,1)),ABS(MOD(A399/Calculator!$F$11,1)-0.5))),1)</f>
        <v>0.092</v>
      </c>
      <c r="C399" s="136" t="n">
        <f aca="false">IF(Calculator!$E$12="YES",IF(A399&lt;Calculator!$G$12,0,MIN(MIN(MOD(A399/Calculator!$F$12,1),1-MOD(A399/Calculator!$F$12,1)),ABS(MOD(A399/Calculator!$F$12,1)-0.5))),1)</f>
        <v>0.137263157894737</v>
      </c>
      <c r="D399" s="136" t="n">
        <f aca="false">IF(Calculator!$E$13="YES",IF(A399&lt;Calculator!$G$13,0,MIN(MIN(MOD(A399/Calculator!$F$13,1),1-MOD(A399/Calculator!$F$13,1)),ABS(MOD(A399/Calculator!$F$13,1)-0.5))),1)</f>
        <v>0.169751578947368</v>
      </c>
      <c r="E399" s="136" t="n">
        <f aca="false">IF(Calculator!$E$14="YES",IF(A399&lt;Calculator!$G$14,0,MIN(MIN(MOD(A399/Calculator!$F$14,1),1-MOD(A399/Calculator!$F$14,1)),ABS(MOD(A399/Calculator!$F$14,1)-0.5))),1)</f>
        <v>0.227789473684211</v>
      </c>
      <c r="F399" s="136" t="n">
        <f aca="false">IF(Calculator!$E$15="YES",IF(A399&lt;Calculator!$G$15,0,MIN(MIN(MOD(A399/Calculator!$F$15,1),1-MOD(A399/Calculator!$F$15,1)),ABS(MOD(A399/Calculator!$F$15,1)-0.5))),1)</f>
        <v>0.154736842105263</v>
      </c>
      <c r="G399" s="136" t="n">
        <f aca="false">IF(Calculator!$E$16="YES",IF(A399&lt;Calculator!$G$16,0,MIN(MIN(MOD(A399/Calculator!$F$16,1),1-MOD(A399/Calculator!$F$16,1)),ABS(MOD(A399/Calculator!$F$16,1)-0.5))),1)</f>
        <v>0.0833684210526311</v>
      </c>
      <c r="H399" s="136" t="n">
        <f aca="false">IF(Calculator!$E$17="YES",IF(A399&lt;Calculator!$G$17,0,MIN(MIN(MOD(A399/Calculator!$F$17,1),1-MOD(A399/Calculator!$F$17,1)),ABS(MOD(A399/Calculator!$F$17,1)-0.5))),1)</f>
        <v>0.145187368421053</v>
      </c>
      <c r="I399" s="136" t="n">
        <f aca="false">IF(Calculator!$E$18="YES",IF(A399&lt;Calculator!$G$18,0,MIN(MIN(MOD(A399/Calculator!$F$18,1),1-MOD(A399/Calculator!$F$18,1)),ABS(MOD(A399/Calculator!$F$18,1)-0.5))),1)</f>
        <v>0.113263157894737</v>
      </c>
      <c r="J399" s="136" t="n">
        <f aca="false">IF(Calculator!$E$19="YES",IF(A399&lt;Calculator!$G$19,0,MIN(MIN(MOD(A399/Calculator!$F$19,1),1-MOD(A399/Calculator!$F$19,1)),ABS(MOD(A399/Calculator!$F$19,1)-0.5))),1)</f>
        <v>0.229221052631581</v>
      </c>
      <c r="K399" s="136" t="n">
        <f aca="false">IF(Calculator!$E$20="YES",IF(A399&lt;Calculator!$G$20,0,MIN(MIN(MOD(A399/Calculator!$F$20,1),1-MOD(A399/Calculator!$F$20,1)),ABS(MOD(A399/Calculator!$F$20,1)-0.5))),1)</f>
        <v>0.0109473684210535</v>
      </c>
      <c r="L399" s="136" t="n">
        <f aca="false">IF(Calculator!$E$21="YES",IF(A399&lt;Calculator!$G$21,0,MIN(MIN(MOD(A399/Calculator!$F$21,1),1-MOD(A399/Calculator!$F$21,1)),ABS(MOD(A399/Calculator!$F$21,1)-0.5))),1)</f>
        <v>0.202105263157893</v>
      </c>
      <c r="M399" s="136" t="n">
        <f aca="false">MIN(B399:L399)</f>
        <v>0.0109473684210535</v>
      </c>
      <c r="N399" s="136" t="n">
        <f aca="false">SUMPRODUCT(($M$5:$M$555&gt;M399)*1)+SUMPRODUCT(($M$5:$M$555=M399)*(ROW($M$5:$M$555)&lt;ROW(M399)))+1</f>
        <v>129</v>
      </c>
      <c r="O399" s="136" t="str">
        <f aca="false">IF(M399&gt;=0.2,"★★★ EXCELLENT",IF(M399&gt;=0.12,"★★  GOOD",IF(M399&gt;=0.07,"★  FAIR",IF(M399&gt;=0.025,"⚠  MARGINAL","✗  AVOID"))))</f>
        <v>✗  AVOID</v>
      </c>
    </row>
    <row r="400" customFormat="false" ht="15" hidden="false" customHeight="false" outlineLevel="0" collapsed="false">
      <c r="A400" s="137" t="n">
        <v>44.5</v>
      </c>
      <c r="B400" s="138" t="n">
        <f aca="false">IF(Calculator!$E$11="YES",IF(A400&lt;Calculator!$G$11,0,MIN(MIN(MOD(A400/Calculator!$F$11,1),1-MOD(A400/Calculator!$F$11,1)),ABS(MOD(A400/Calculator!$F$11,1)-0.5))),1)</f>
        <v>0.0933333333333334</v>
      </c>
      <c r="C400" s="138" t="n">
        <f aca="false">IF(Calculator!$E$12="YES",IF(A400&lt;Calculator!$G$12,0,MIN(MIN(MOD(A400/Calculator!$F$12,1),1-MOD(A400/Calculator!$F$12,1)),ABS(MOD(A400/Calculator!$F$12,1)-0.5))),1)</f>
        <v>0.139824561403509</v>
      </c>
      <c r="D400" s="138" t="n">
        <f aca="false">IF(Calculator!$E$13="YES",IF(A400&lt;Calculator!$G$13,0,MIN(MIN(MOD(A400/Calculator!$F$13,1),1-MOD(A400/Calculator!$F$13,1)),ABS(MOD(A400/Calculator!$F$13,1)-0.5))),1)</f>
        <v>0.173512280701754</v>
      </c>
      <c r="E400" s="138" t="n">
        <f aca="false">IF(Calculator!$E$14="YES",IF(A400&lt;Calculator!$G$14,0,MIN(MIN(MOD(A400/Calculator!$F$14,1),1-MOD(A400/Calculator!$F$14,1)),ABS(MOD(A400/Calculator!$F$14,1)-0.5))),1)</f>
        <v>0.232807017543859</v>
      </c>
      <c r="F400" s="138" t="n">
        <f aca="false">IF(Calculator!$E$15="YES",IF(A400&lt;Calculator!$G$15,0,MIN(MIN(MOD(A400/Calculator!$F$15,1),1-MOD(A400/Calculator!$F$15,1)),ABS(MOD(A400/Calculator!$F$15,1)-0.5))),1)</f>
        <v>0.161842105263158</v>
      </c>
      <c r="G400" s="138" t="n">
        <f aca="false">IF(Calculator!$E$16="YES",IF(A400&lt;Calculator!$G$16,0,MIN(MIN(MOD(A400/Calculator!$F$16,1),1-MOD(A400/Calculator!$F$16,1)),ABS(MOD(A400/Calculator!$F$16,1)-0.5))),1)</f>
        <v>0.0734210526315788</v>
      </c>
      <c r="H400" s="138" t="n">
        <f aca="false">IF(Calculator!$E$17="YES",IF(A400&lt;Calculator!$G$17,0,MIN(MIN(MOD(A400/Calculator!$F$17,1),1-MOD(A400/Calculator!$F$17,1)),ABS(MOD(A400/Calculator!$F$17,1)-0.5))),1)</f>
        <v>0.157901754385966</v>
      </c>
      <c r="I400" s="138" t="n">
        <f aca="false">IF(Calculator!$E$18="YES",IF(A400&lt;Calculator!$G$18,0,MIN(MIN(MOD(A400/Calculator!$F$18,1),1-MOD(A400/Calculator!$F$18,1)),ABS(MOD(A400/Calculator!$F$18,1)-0.5))),1)</f>
        <v>0.128157894736843</v>
      </c>
      <c r="J400" s="138" t="n">
        <f aca="false">IF(Calculator!$E$19="YES",IF(A400&lt;Calculator!$G$19,0,MIN(MIN(MOD(A400/Calculator!$F$19,1),1-MOD(A400/Calculator!$F$19,1)),ABS(MOD(A400/Calculator!$F$19,1)-0.5))),1)</f>
        <v>0.211719298245615</v>
      </c>
      <c r="K400" s="138" t="n">
        <f aca="false">IF(Calculator!$E$20="YES",IF(A400&lt;Calculator!$G$20,0,MIN(MIN(MOD(A400/Calculator!$F$20,1),1-MOD(A400/Calculator!$F$20,1)),ABS(MOD(A400/Calculator!$F$20,1)-0.5))),1)</f>
        <v>0.00929824561403514</v>
      </c>
      <c r="L400" s="138" t="n">
        <f aca="false">IF(Calculator!$E$21="YES",IF(A400&lt;Calculator!$G$21,0,MIN(MIN(MOD(A400/Calculator!$F$21,1),1-MOD(A400/Calculator!$F$21,1)),ABS(MOD(A400/Calculator!$F$21,1)-0.5))),1)</f>
        <v>0.238596491228069</v>
      </c>
      <c r="M400" s="138" t="n">
        <f aca="false">MIN(B400:L400)</f>
        <v>0.00929824561403514</v>
      </c>
      <c r="N400" s="138" t="n">
        <f aca="false">SUMPRODUCT(($M$5:$M$555&gt;M400)*1)+SUMPRODUCT(($M$5:$M$555=M400)*(ROW($M$5:$M$555)&lt;ROW(M400)))+1</f>
        <v>138</v>
      </c>
      <c r="O400" s="138" t="str">
        <f aca="false">IF(M400&gt;=0.2,"★★★ EXCELLENT",IF(M400&gt;=0.12,"★★  GOOD",IF(M400&gt;=0.07,"★  FAIR",IF(M400&gt;=0.025,"⚠  MARGINAL","✗  AVOID"))))</f>
        <v>✗  AVOID</v>
      </c>
    </row>
    <row r="401" customFormat="false" ht="15" hidden="false" customHeight="false" outlineLevel="0" collapsed="false">
      <c r="A401" s="135" t="n">
        <v>44.6</v>
      </c>
      <c r="B401" s="136" t="n">
        <f aca="false">IF(Calculator!$E$11="YES",IF(A401&lt;Calculator!$G$11,0,MIN(MIN(MOD(A401/Calculator!$F$11,1),1-MOD(A401/Calculator!$F$11,1)),ABS(MOD(A401/Calculator!$F$11,1)-0.5))),1)</f>
        <v>0.0946666666666667</v>
      </c>
      <c r="C401" s="136" t="n">
        <f aca="false">IF(Calculator!$E$12="YES",IF(A401&lt;Calculator!$G$12,0,MIN(MIN(MOD(A401/Calculator!$F$12,1),1-MOD(A401/Calculator!$F$12,1)),ABS(MOD(A401/Calculator!$F$12,1)-0.5))),1)</f>
        <v>0.142385964912281</v>
      </c>
      <c r="D401" s="136" t="n">
        <f aca="false">IF(Calculator!$E$13="YES",IF(A401&lt;Calculator!$G$13,0,MIN(MIN(MOD(A401/Calculator!$F$13,1),1-MOD(A401/Calculator!$F$13,1)),ABS(MOD(A401/Calculator!$F$13,1)-0.5))),1)</f>
        <v>0.17727298245614</v>
      </c>
      <c r="E401" s="136" t="n">
        <f aca="false">IF(Calculator!$E$14="YES",IF(A401&lt;Calculator!$G$14,0,MIN(MIN(MOD(A401/Calculator!$F$14,1),1-MOD(A401/Calculator!$F$14,1)),ABS(MOD(A401/Calculator!$F$14,1)-0.5))),1)</f>
        <v>0.237824561403509</v>
      </c>
      <c r="F401" s="136" t="n">
        <f aca="false">IF(Calculator!$E$15="YES",IF(A401&lt;Calculator!$G$15,0,MIN(MIN(MOD(A401/Calculator!$F$15,1),1-MOD(A401/Calculator!$F$15,1)),ABS(MOD(A401/Calculator!$F$15,1)-0.5))),1)</f>
        <v>0.168947368421053</v>
      </c>
      <c r="G401" s="136" t="n">
        <f aca="false">IF(Calculator!$E$16="YES",IF(A401&lt;Calculator!$G$16,0,MIN(MIN(MOD(A401/Calculator!$F$16,1),1-MOD(A401/Calculator!$F$16,1)),ABS(MOD(A401/Calculator!$F$16,1)-0.5))),1)</f>
        <v>0.0634736842105257</v>
      </c>
      <c r="H401" s="136" t="n">
        <f aca="false">IF(Calculator!$E$17="YES",IF(A401&lt;Calculator!$G$17,0,MIN(MIN(MOD(A401/Calculator!$F$17,1),1-MOD(A401/Calculator!$F$17,1)),ABS(MOD(A401/Calculator!$F$17,1)-0.5))),1)</f>
        <v>0.170616140350878</v>
      </c>
      <c r="I401" s="136" t="n">
        <f aca="false">IF(Calculator!$E$18="YES",IF(A401&lt;Calculator!$G$18,0,MIN(MIN(MOD(A401/Calculator!$F$18,1),1-MOD(A401/Calculator!$F$18,1)),ABS(MOD(A401/Calculator!$F$18,1)-0.5))),1)</f>
        <v>0.143052631578948</v>
      </c>
      <c r="J401" s="136" t="n">
        <f aca="false">IF(Calculator!$E$19="YES",IF(A401&lt;Calculator!$G$19,0,MIN(MIN(MOD(A401/Calculator!$F$19,1),1-MOD(A401/Calculator!$F$19,1)),ABS(MOD(A401/Calculator!$F$19,1)-0.5))),1)</f>
        <v>0.19421754385965</v>
      </c>
      <c r="K401" s="136" t="n">
        <f aca="false">IF(Calculator!$E$20="YES",IF(A401&lt;Calculator!$G$20,0,MIN(MIN(MOD(A401/Calculator!$F$20,1),1-MOD(A401/Calculator!$F$20,1)),ABS(MOD(A401/Calculator!$F$20,1)-0.5))),1)</f>
        <v>0.0295438596491238</v>
      </c>
      <c r="L401" s="136" t="n">
        <f aca="false">IF(Calculator!$E$21="YES",IF(A401&lt;Calculator!$G$21,0,MIN(MIN(MOD(A401/Calculator!$F$21,1),1-MOD(A401/Calculator!$F$21,1)),ABS(MOD(A401/Calculator!$F$21,1)-0.5))),1)</f>
        <v>0.224912280701755</v>
      </c>
      <c r="M401" s="136" t="n">
        <f aca="false">MIN(B401:L401)</f>
        <v>0.0295438596491238</v>
      </c>
      <c r="N401" s="136" t="n">
        <f aca="false">SUMPRODUCT(($M$5:$M$555&gt;M401)*1)+SUMPRODUCT(($M$5:$M$555=M401)*(ROW($M$5:$M$555)&lt;ROW(M401)))+1</f>
        <v>50</v>
      </c>
      <c r="O401" s="136" t="str">
        <f aca="false">IF(M401&gt;=0.2,"★★★ EXCELLENT",IF(M401&gt;=0.12,"★★  GOOD",IF(M401&gt;=0.07,"★  FAIR",IF(M401&gt;=0.025,"⚠  MARGINAL","✗  AVOID"))))</f>
        <v>⚠  MARGINAL</v>
      </c>
    </row>
    <row r="402" customFormat="false" ht="15" hidden="false" customHeight="false" outlineLevel="0" collapsed="false">
      <c r="A402" s="137" t="n">
        <v>44.7</v>
      </c>
      <c r="B402" s="138" t="n">
        <f aca="false">IF(Calculator!$E$11="YES",IF(A402&lt;Calculator!$G$11,0,MIN(MIN(MOD(A402/Calculator!$F$11,1),1-MOD(A402/Calculator!$F$11,1)),ABS(MOD(A402/Calculator!$F$11,1)-0.5))),1)</f>
        <v>0.0960000000000001</v>
      </c>
      <c r="C402" s="138" t="n">
        <f aca="false">IF(Calculator!$E$12="YES",IF(A402&lt;Calculator!$G$12,0,MIN(MIN(MOD(A402/Calculator!$F$12,1),1-MOD(A402/Calculator!$F$12,1)),ABS(MOD(A402/Calculator!$F$12,1)-0.5))),1)</f>
        <v>0.144947368421053</v>
      </c>
      <c r="D402" s="138" t="n">
        <f aca="false">IF(Calculator!$E$13="YES",IF(A402&lt;Calculator!$G$13,0,MIN(MIN(MOD(A402/Calculator!$F$13,1),1-MOD(A402/Calculator!$F$13,1)),ABS(MOD(A402/Calculator!$F$13,1)-0.5))),1)</f>
        <v>0.181033684210526</v>
      </c>
      <c r="E402" s="138" t="n">
        <f aca="false">IF(Calculator!$E$14="YES",IF(A402&lt;Calculator!$G$14,0,MIN(MIN(MOD(A402/Calculator!$F$14,1),1-MOD(A402/Calculator!$F$14,1)),ABS(MOD(A402/Calculator!$F$14,1)-0.5))),1)</f>
        <v>0.242842105263158</v>
      </c>
      <c r="F402" s="138" t="n">
        <f aca="false">IF(Calculator!$E$15="YES",IF(A402&lt;Calculator!$G$15,0,MIN(MIN(MOD(A402/Calculator!$F$15,1),1-MOD(A402/Calculator!$F$15,1)),ABS(MOD(A402/Calculator!$F$15,1)-0.5))),1)</f>
        <v>0.176052631578948</v>
      </c>
      <c r="G402" s="138" t="n">
        <f aca="false">IF(Calculator!$E$16="YES",IF(A402&lt;Calculator!$G$16,0,MIN(MIN(MOD(A402/Calculator!$F$16,1),1-MOD(A402/Calculator!$F$16,1)),ABS(MOD(A402/Calculator!$F$16,1)-0.5))),1)</f>
        <v>0.0535263157894734</v>
      </c>
      <c r="H402" s="138" t="n">
        <f aca="false">IF(Calculator!$E$17="YES",IF(A402&lt;Calculator!$G$17,0,MIN(MIN(MOD(A402/Calculator!$F$17,1),1-MOD(A402/Calculator!$F$17,1)),ABS(MOD(A402/Calculator!$F$17,1)-0.5))),1)</f>
        <v>0.183330526315791</v>
      </c>
      <c r="I402" s="138" t="n">
        <f aca="false">IF(Calculator!$E$18="YES",IF(A402&lt;Calculator!$G$18,0,MIN(MIN(MOD(A402/Calculator!$F$18,1),1-MOD(A402/Calculator!$F$18,1)),ABS(MOD(A402/Calculator!$F$18,1)-0.5))),1)</f>
        <v>0.157947368421054</v>
      </c>
      <c r="J402" s="138" t="n">
        <f aca="false">IF(Calculator!$E$19="YES",IF(A402&lt;Calculator!$G$19,0,MIN(MIN(MOD(A402/Calculator!$F$19,1),1-MOD(A402/Calculator!$F$19,1)),ABS(MOD(A402/Calculator!$F$19,1)-0.5))),1)</f>
        <v>0.176715789473685</v>
      </c>
      <c r="K402" s="138" t="n">
        <f aca="false">IF(Calculator!$E$20="YES",IF(A402&lt;Calculator!$G$20,0,MIN(MIN(MOD(A402/Calculator!$F$20,1),1-MOD(A402/Calculator!$F$20,1)),ABS(MOD(A402/Calculator!$F$20,1)-0.5))),1)</f>
        <v>0.0497894736842106</v>
      </c>
      <c r="L402" s="138" t="n">
        <f aca="false">IF(Calculator!$E$21="YES",IF(A402&lt;Calculator!$G$21,0,MIN(MIN(MOD(A402/Calculator!$F$21,1),1-MOD(A402/Calculator!$F$21,1)),ABS(MOD(A402/Calculator!$F$21,1)-0.5))),1)</f>
        <v>0.188421052631579</v>
      </c>
      <c r="M402" s="138" t="n">
        <f aca="false">MIN(B402:L402)</f>
        <v>0.0497894736842106</v>
      </c>
      <c r="N402" s="138" t="n">
        <f aca="false">SUMPRODUCT(($M$5:$M$555&gt;M402)*1)+SUMPRODUCT(($M$5:$M$555=M402)*(ROW($M$5:$M$555)&lt;ROW(M402)))+1</f>
        <v>18</v>
      </c>
      <c r="O402" s="138" t="str">
        <f aca="false">IF(M402&gt;=0.2,"★★★ EXCELLENT",IF(M402&gt;=0.12,"★★  GOOD",IF(M402&gt;=0.07,"★  FAIR",IF(M402&gt;=0.025,"⚠  MARGINAL","✗  AVOID"))))</f>
        <v>⚠  MARGINAL</v>
      </c>
    </row>
    <row r="403" customFormat="false" ht="15" hidden="false" customHeight="false" outlineLevel="0" collapsed="false">
      <c r="A403" s="135" t="n">
        <v>44.8</v>
      </c>
      <c r="B403" s="136" t="n">
        <f aca="false">IF(Calculator!$E$11="YES",IF(A403&lt;Calculator!$G$11,0,MIN(MIN(MOD(A403/Calculator!$F$11,1),1-MOD(A403/Calculator!$F$11,1)),ABS(MOD(A403/Calculator!$F$11,1)-0.5))),1)</f>
        <v>0.0973333333333333</v>
      </c>
      <c r="C403" s="136" t="n">
        <f aca="false">IF(Calculator!$E$12="YES",IF(A403&lt;Calculator!$G$12,0,MIN(MIN(MOD(A403/Calculator!$F$12,1),1-MOD(A403/Calculator!$F$12,1)),ABS(MOD(A403/Calculator!$F$12,1)-0.5))),1)</f>
        <v>0.147508771929824</v>
      </c>
      <c r="D403" s="136" t="n">
        <f aca="false">IF(Calculator!$E$13="YES",IF(A403&lt;Calculator!$G$13,0,MIN(MIN(MOD(A403/Calculator!$F$13,1),1-MOD(A403/Calculator!$F$13,1)),ABS(MOD(A403/Calculator!$F$13,1)-0.5))),1)</f>
        <v>0.184794385964912</v>
      </c>
      <c r="E403" s="136" t="n">
        <f aca="false">IF(Calculator!$E$14="YES",IF(A403&lt;Calculator!$G$14,0,MIN(MIN(MOD(A403/Calculator!$F$14,1),1-MOD(A403/Calculator!$F$14,1)),ABS(MOD(A403/Calculator!$F$14,1)-0.5))),1)</f>
        <v>0.247859649122807</v>
      </c>
      <c r="F403" s="136" t="n">
        <f aca="false">IF(Calculator!$E$15="YES",IF(A403&lt;Calculator!$G$15,0,MIN(MIN(MOD(A403/Calculator!$F$15,1),1-MOD(A403/Calculator!$F$15,1)),ABS(MOD(A403/Calculator!$F$15,1)-0.5))),1)</f>
        <v>0.183157894736842</v>
      </c>
      <c r="G403" s="136" t="n">
        <f aca="false">IF(Calculator!$E$16="YES",IF(A403&lt;Calculator!$G$16,0,MIN(MIN(MOD(A403/Calculator!$F$16,1),1-MOD(A403/Calculator!$F$16,1)),ABS(MOD(A403/Calculator!$F$16,1)-0.5))),1)</f>
        <v>0.0435789473684212</v>
      </c>
      <c r="H403" s="136" t="n">
        <f aca="false">IF(Calculator!$E$17="YES",IF(A403&lt;Calculator!$G$17,0,MIN(MIN(MOD(A403/Calculator!$F$17,1),1-MOD(A403/Calculator!$F$17,1)),ABS(MOD(A403/Calculator!$F$17,1)-0.5))),1)</f>
        <v>0.196044912280702</v>
      </c>
      <c r="I403" s="136" t="n">
        <f aca="false">IF(Calculator!$E$18="YES",IF(A403&lt;Calculator!$G$18,0,MIN(MIN(MOD(A403/Calculator!$F$18,1),1-MOD(A403/Calculator!$F$18,1)),ABS(MOD(A403/Calculator!$F$18,1)-0.5))),1)</f>
        <v>0.172842105263157</v>
      </c>
      <c r="J403" s="136" t="n">
        <f aca="false">IF(Calculator!$E$19="YES",IF(A403&lt;Calculator!$G$19,0,MIN(MIN(MOD(A403/Calculator!$F$19,1),1-MOD(A403/Calculator!$F$19,1)),ABS(MOD(A403/Calculator!$F$19,1)-0.5))),1)</f>
        <v>0.159214035087721</v>
      </c>
      <c r="K403" s="136" t="n">
        <f aca="false">IF(Calculator!$E$20="YES",IF(A403&lt;Calculator!$G$20,0,MIN(MIN(MOD(A403/Calculator!$F$20,1),1-MOD(A403/Calculator!$F$20,1)),ABS(MOD(A403/Calculator!$F$20,1)-0.5))),1)</f>
        <v>0.0700350877192975</v>
      </c>
      <c r="L403" s="136" t="n">
        <f aca="false">IF(Calculator!$E$21="YES",IF(A403&lt;Calculator!$G$21,0,MIN(MIN(MOD(A403/Calculator!$F$21,1),1-MOD(A403/Calculator!$F$21,1)),ABS(MOD(A403/Calculator!$F$21,1)-0.5))),1)</f>
        <v>0.151929824561403</v>
      </c>
      <c r="M403" s="136" t="n">
        <f aca="false">MIN(B403:L403)</f>
        <v>0.0435789473684212</v>
      </c>
      <c r="N403" s="136" t="n">
        <f aca="false">SUMPRODUCT(($M$5:$M$555&gt;M403)*1)+SUMPRODUCT(($M$5:$M$555=M403)*(ROW($M$5:$M$555)&lt;ROW(M403)))+1</f>
        <v>21</v>
      </c>
      <c r="O403" s="136" t="str">
        <f aca="false">IF(M403&gt;=0.2,"★★★ EXCELLENT",IF(M403&gt;=0.12,"★★  GOOD",IF(M403&gt;=0.07,"★  FAIR",IF(M403&gt;=0.025,"⚠  MARGINAL","✗  AVOID"))))</f>
        <v>⚠  MARGINAL</v>
      </c>
    </row>
    <row r="404" customFormat="false" ht="15" hidden="false" customHeight="false" outlineLevel="0" collapsed="false">
      <c r="A404" s="137" t="n">
        <v>44.9</v>
      </c>
      <c r="B404" s="138" t="n">
        <f aca="false">IF(Calculator!$E$11="YES",IF(A404&lt;Calculator!$G$11,0,MIN(MIN(MOD(A404/Calculator!$F$11,1),1-MOD(A404/Calculator!$F$11,1)),ABS(MOD(A404/Calculator!$F$11,1)-0.5))),1)</f>
        <v>0.0986666666666667</v>
      </c>
      <c r="C404" s="138" t="n">
        <f aca="false">IF(Calculator!$E$12="YES",IF(A404&lt;Calculator!$G$12,0,MIN(MIN(MOD(A404/Calculator!$F$12,1),1-MOD(A404/Calculator!$F$12,1)),ABS(MOD(A404/Calculator!$F$12,1)-0.5))),1)</f>
        <v>0.150070175438596</v>
      </c>
      <c r="D404" s="138" t="n">
        <f aca="false">IF(Calculator!$E$13="YES",IF(A404&lt;Calculator!$G$13,0,MIN(MIN(MOD(A404/Calculator!$F$13,1),1-MOD(A404/Calculator!$F$13,1)),ABS(MOD(A404/Calculator!$F$13,1)-0.5))),1)</f>
        <v>0.188555087719298</v>
      </c>
      <c r="E404" s="138" t="n">
        <f aca="false">IF(Calculator!$E$14="YES",IF(A404&lt;Calculator!$G$14,0,MIN(MIN(MOD(A404/Calculator!$F$14,1),1-MOD(A404/Calculator!$F$14,1)),ABS(MOD(A404/Calculator!$F$14,1)-0.5))),1)</f>
        <v>0.247122807017544</v>
      </c>
      <c r="F404" s="138" t="n">
        <f aca="false">IF(Calculator!$E$15="YES",IF(A404&lt;Calculator!$G$15,0,MIN(MIN(MOD(A404/Calculator!$F$15,1),1-MOD(A404/Calculator!$F$15,1)),ABS(MOD(A404/Calculator!$F$15,1)-0.5))),1)</f>
        <v>0.190263157894737</v>
      </c>
      <c r="G404" s="138" t="n">
        <f aca="false">IF(Calculator!$E$16="YES",IF(A404&lt;Calculator!$G$16,0,MIN(MIN(MOD(A404/Calculator!$F$16,1),1-MOD(A404/Calculator!$F$16,1)),ABS(MOD(A404/Calculator!$F$16,1)-0.5))),1)</f>
        <v>0.033631578947368</v>
      </c>
      <c r="H404" s="138" t="n">
        <f aca="false">IF(Calculator!$E$17="YES",IF(A404&lt;Calculator!$G$17,0,MIN(MIN(MOD(A404/Calculator!$F$17,1),1-MOD(A404/Calculator!$F$17,1)),ABS(MOD(A404/Calculator!$F$17,1)-0.5))),1)</f>
        <v>0.208759298245615</v>
      </c>
      <c r="I404" s="138" t="n">
        <f aca="false">IF(Calculator!$E$18="YES",IF(A404&lt;Calculator!$G$18,0,MIN(MIN(MOD(A404/Calculator!$F$18,1),1-MOD(A404/Calculator!$F$18,1)),ABS(MOD(A404/Calculator!$F$18,1)-0.5))),1)</f>
        <v>0.187736842105263</v>
      </c>
      <c r="J404" s="138" t="n">
        <f aca="false">IF(Calculator!$E$19="YES",IF(A404&lt;Calculator!$G$19,0,MIN(MIN(MOD(A404/Calculator!$F$19,1),1-MOD(A404/Calculator!$F$19,1)),ABS(MOD(A404/Calculator!$F$19,1)-0.5))),1)</f>
        <v>0.141712280701756</v>
      </c>
      <c r="K404" s="138" t="n">
        <f aca="false">IF(Calculator!$E$20="YES",IF(A404&lt;Calculator!$G$20,0,MIN(MIN(MOD(A404/Calculator!$F$20,1),1-MOD(A404/Calculator!$F$20,1)),ABS(MOD(A404/Calculator!$F$20,1)-0.5))),1)</f>
        <v>0.0902807017543861</v>
      </c>
      <c r="L404" s="138" t="n">
        <f aca="false">IF(Calculator!$E$21="YES",IF(A404&lt;Calculator!$G$21,0,MIN(MIN(MOD(A404/Calculator!$F$21,1),1-MOD(A404/Calculator!$F$21,1)),ABS(MOD(A404/Calculator!$F$21,1)-0.5))),1)</f>
        <v>0.115438596491227</v>
      </c>
      <c r="M404" s="138" t="n">
        <f aca="false">MIN(B404:L404)</f>
        <v>0.033631578947368</v>
      </c>
      <c r="N404" s="138" t="n">
        <f aca="false">SUMPRODUCT(($M$5:$M$555&gt;M404)*1)+SUMPRODUCT(($M$5:$M$555=M404)*(ROW($M$5:$M$555)&lt;ROW(M404)))+1</f>
        <v>35</v>
      </c>
      <c r="O404" s="138" t="str">
        <f aca="false">IF(M404&gt;=0.2,"★★★ EXCELLENT",IF(M404&gt;=0.12,"★★  GOOD",IF(M404&gt;=0.07,"★  FAIR",IF(M404&gt;=0.025,"⚠  MARGINAL","✗  AVOID"))))</f>
        <v>⚠  MARGINAL</v>
      </c>
    </row>
    <row r="405" customFormat="false" ht="15" hidden="false" customHeight="false" outlineLevel="0" collapsed="false">
      <c r="A405" s="135" t="n">
        <v>45</v>
      </c>
      <c r="B405" s="136" t="n">
        <f aca="false">IF(Calculator!$E$11="YES",IF(A405&lt;Calculator!$G$11,0,MIN(MIN(MOD(A405/Calculator!$F$11,1),1-MOD(A405/Calculator!$F$11,1)),ABS(MOD(A405/Calculator!$F$11,1)-0.5))),1)</f>
        <v>0.1</v>
      </c>
      <c r="C405" s="136" t="n">
        <f aca="false">IF(Calculator!$E$12="YES",IF(A405&lt;Calculator!$G$12,0,MIN(MIN(MOD(A405/Calculator!$F$12,1),1-MOD(A405/Calculator!$F$12,1)),ABS(MOD(A405/Calculator!$F$12,1)-0.5))),1)</f>
        <v>0.152631578947368</v>
      </c>
      <c r="D405" s="136" t="n">
        <f aca="false">IF(Calculator!$E$13="YES",IF(A405&lt;Calculator!$G$13,0,MIN(MIN(MOD(A405/Calculator!$F$13,1),1-MOD(A405/Calculator!$F$13,1)),ABS(MOD(A405/Calculator!$F$13,1)-0.5))),1)</f>
        <v>0.192315789473684</v>
      </c>
      <c r="E405" s="136" t="n">
        <f aca="false">IF(Calculator!$E$14="YES",IF(A405&lt;Calculator!$G$14,0,MIN(MIN(MOD(A405/Calculator!$F$14,1),1-MOD(A405/Calculator!$F$14,1)),ABS(MOD(A405/Calculator!$F$14,1)-0.5))),1)</f>
        <v>0.242105263157895</v>
      </c>
      <c r="F405" s="136" t="n">
        <f aca="false">IF(Calculator!$E$15="YES",IF(A405&lt;Calculator!$G$15,0,MIN(MIN(MOD(A405/Calculator!$F$15,1),1-MOD(A405/Calculator!$F$15,1)),ABS(MOD(A405/Calculator!$F$15,1)-0.5))),1)</f>
        <v>0.197368421052631</v>
      </c>
      <c r="G405" s="136" t="n">
        <f aca="false">IF(Calculator!$E$16="YES",IF(A405&lt;Calculator!$G$16,0,MIN(MIN(MOD(A405/Calculator!$F$16,1),1-MOD(A405/Calculator!$F$16,1)),ABS(MOD(A405/Calculator!$F$16,1)-0.5))),1)</f>
        <v>0.0236842105263158</v>
      </c>
      <c r="H405" s="136" t="n">
        <f aca="false">IF(Calculator!$E$17="YES",IF(A405&lt;Calculator!$G$17,0,MIN(MIN(MOD(A405/Calculator!$F$17,1),1-MOD(A405/Calculator!$F$17,1)),ABS(MOD(A405/Calculator!$F$17,1)-0.5))),1)</f>
        <v>0.221473684210527</v>
      </c>
      <c r="I405" s="136" t="n">
        <f aca="false">IF(Calculator!$E$18="YES",IF(A405&lt;Calculator!$G$18,0,MIN(MIN(MOD(A405/Calculator!$F$18,1),1-MOD(A405/Calculator!$F$18,1)),ABS(MOD(A405/Calculator!$F$18,1)-0.5))),1)</f>
        <v>0.202631578947369</v>
      </c>
      <c r="J405" s="136" t="n">
        <f aca="false">IF(Calculator!$E$19="YES",IF(A405&lt;Calculator!$G$19,0,MIN(MIN(MOD(A405/Calculator!$F$19,1),1-MOD(A405/Calculator!$F$19,1)),ABS(MOD(A405/Calculator!$F$19,1)-0.5))),1)</f>
        <v>0.124210526315791</v>
      </c>
      <c r="K405" s="136" t="n">
        <f aca="false">IF(Calculator!$E$20="YES",IF(A405&lt;Calculator!$G$20,0,MIN(MIN(MOD(A405/Calculator!$F$20,1),1-MOD(A405/Calculator!$F$20,1)),ABS(MOD(A405/Calculator!$F$20,1)-0.5))),1)</f>
        <v>0.110526315789473</v>
      </c>
      <c r="L405" s="136" t="n">
        <f aca="false">IF(Calculator!$E$21="YES",IF(A405&lt;Calculator!$G$21,0,MIN(MIN(MOD(A405/Calculator!$F$21,1),1-MOD(A405/Calculator!$F$21,1)),ABS(MOD(A405/Calculator!$F$21,1)-0.5))),1)</f>
        <v>0.0789473684210513</v>
      </c>
      <c r="M405" s="136" t="n">
        <f aca="false">MIN(B405:L405)</f>
        <v>0.0236842105263158</v>
      </c>
      <c r="N405" s="136" t="n">
        <f aca="false">SUMPRODUCT(($M$5:$M$555&gt;M405)*1)+SUMPRODUCT(($M$5:$M$555=M405)*(ROW($M$5:$M$555)&lt;ROW(M405)))+1</f>
        <v>67</v>
      </c>
      <c r="O405" s="136" t="str">
        <f aca="false">IF(M405&gt;=0.2,"★★★ EXCELLENT",IF(M405&gt;=0.12,"★★  GOOD",IF(M405&gt;=0.07,"★  FAIR",IF(M405&gt;=0.025,"⚠  MARGINAL","✗  AVOID"))))</f>
        <v>✗  AVOID</v>
      </c>
    </row>
    <row r="406" customFormat="false" ht="15" hidden="false" customHeight="false" outlineLevel="0" collapsed="false">
      <c r="A406" s="137" t="n">
        <v>45.1</v>
      </c>
      <c r="B406" s="138" t="n">
        <f aca="false">IF(Calculator!$E$11="YES",IF(A406&lt;Calculator!$G$11,0,MIN(MIN(MOD(A406/Calculator!$F$11,1),1-MOD(A406/Calculator!$F$11,1)),ABS(MOD(A406/Calculator!$F$11,1)-0.5))),1)</f>
        <v>0.101333333333333</v>
      </c>
      <c r="C406" s="138" t="n">
        <f aca="false">IF(Calculator!$E$12="YES",IF(A406&lt;Calculator!$G$12,0,MIN(MIN(MOD(A406/Calculator!$F$12,1),1-MOD(A406/Calculator!$F$12,1)),ABS(MOD(A406/Calculator!$F$12,1)-0.5))),1)</f>
        <v>0.15519298245614</v>
      </c>
      <c r="D406" s="138" t="n">
        <f aca="false">IF(Calculator!$E$13="YES",IF(A406&lt;Calculator!$G$13,0,MIN(MIN(MOD(A406/Calculator!$F$13,1),1-MOD(A406/Calculator!$F$13,1)),ABS(MOD(A406/Calculator!$F$13,1)-0.5))),1)</f>
        <v>0.19607649122807</v>
      </c>
      <c r="E406" s="138" t="n">
        <f aca="false">IF(Calculator!$E$14="YES",IF(A406&lt;Calculator!$G$14,0,MIN(MIN(MOD(A406/Calculator!$F$14,1),1-MOD(A406/Calculator!$F$14,1)),ABS(MOD(A406/Calculator!$F$14,1)-0.5))),1)</f>
        <v>0.237087719298246</v>
      </c>
      <c r="F406" s="138" t="n">
        <f aca="false">IF(Calculator!$E$15="YES",IF(A406&lt;Calculator!$G$15,0,MIN(MIN(MOD(A406/Calculator!$F$15,1),1-MOD(A406/Calculator!$F$15,1)),ABS(MOD(A406/Calculator!$F$15,1)-0.5))),1)</f>
        <v>0.204473684210526</v>
      </c>
      <c r="G406" s="138" t="n">
        <f aca="false">IF(Calculator!$E$16="YES",IF(A406&lt;Calculator!$G$16,0,MIN(MIN(MOD(A406/Calculator!$F$16,1),1-MOD(A406/Calculator!$F$16,1)),ABS(MOD(A406/Calculator!$F$16,1)-0.5))),1)</f>
        <v>0.0137368421052626</v>
      </c>
      <c r="H406" s="138" t="n">
        <f aca="false">IF(Calculator!$E$17="YES",IF(A406&lt;Calculator!$G$17,0,MIN(MIN(MOD(A406/Calculator!$F$17,1),1-MOD(A406/Calculator!$F$17,1)),ABS(MOD(A406/Calculator!$F$17,1)-0.5))),1)</f>
        <v>0.234188070175439</v>
      </c>
      <c r="I406" s="138" t="n">
        <f aca="false">IF(Calculator!$E$18="YES",IF(A406&lt;Calculator!$G$18,0,MIN(MIN(MOD(A406/Calculator!$F$18,1),1-MOD(A406/Calculator!$F$18,1)),ABS(MOD(A406/Calculator!$F$18,1)-0.5))),1)</f>
        <v>0.217526315789474</v>
      </c>
      <c r="J406" s="138" t="n">
        <f aca="false">IF(Calculator!$E$19="YES",IF(A406&lt;Calculator!$G$19,0,MIN(MIN(MOD(A406/Calculator!$F$19,1),1-MOD(A406/Calculator!$F$19,1)),ABS(MOD(A406/Calculator!$F$19,1)-0.5))),1)</f>
        <v>0.106708771929826</v>
      </c>
      <c r="K406" s="138" t="n">
        <f aca="false">IF(Calculator!$E$20="YES",IF(A406&lt;Calculator!$G$20,0,MIN(MIN(MOD(A406/Calculator!$F$20,1),1-MOD(A406/Calculator!$F$20,1)),ABS(MOD(A406/Calculator!$F$20,1)-0.5))),1)</f>
        <v>0.130771929824562</v>
      </c>
      <c r="L406" s="138" t="n">
        <f aca="false">IF(Calculator!$E$21="YES",IF(A406&lt;Calculator!$G$21,0,MIN(MIN(MOD(A406/Calculator!$F$21,1),1-MOD(A406/Calculator!$F$21,1)),ABS(MOD(A406/Calculator!$F$21,1)-0.5))),1)</f>
        <v>0.0424561403508754</v>
      </c>
      <c r="M406" s="138" t="n">
        <f aca="false">MIN(B406:L406)</f>
        <v>0.0137368421052626</v>
      </c>
      <c r="N406" s="138" t="n">
        <f aca="false">SUMPRODUCT(($M$5:$M$555&gt;M406)*1)+SUMPRODUCT(($M$5:$M$555=M406)*(ROW($M$5:$M$555)&lt;ROW(M406)))+1</f>
        <v>112</v>
      </c>
      <c r="O406" s="138" t="str">
        <f aca="false">IF(M406&gt;=0.2,"★★★ EXCELLENT",IF(M406&gt;=0.12,"★★  GOOD",IF(M406&gt;=0.07,"★  FAIR",IF(M406&gt;=0.025,"⚠  MARGINAL","✗  AVOID"))))</f>
        <v>✗  AVOID</v>
      </c>
    </row>
    <row r="407" customFormat="false" ht="15" hidden="false" customHeight="false" outlineLevel="0" collapsed="false">
      <c r="A407" s="135" t="n">
        <v>45.2</v>
      </c>
      <c r="B407" s="136" t="n">
        <f aca="false">IF(Calculator!$E$11="YES",IF(A407&lt;Calculator!$G$11,0,MIN(MIN(MOD(A407/Calculator!$F$11,1),1-MOD(A407/Calculator!$F$11,1)),ABS(MOD(A407/Calculator!$F$11,1)-0.5))),1)</f>
        <v>0.102666666666667</v>
      </c>
      <c r="C407" s="136" t="n">
        <f aca="false">IF(Calculator!$E$12="YES",IF(A407&lt;Calculator!$G$12,0,MIN(MIN(MOD(A407/Calculator!$F$12,1),1-MOD(A407/Calculator!$F$12,1)),ABS(MOD(A407/Calculator!$F$12,1)-0.5))),1)</f>
        <v>0.157754385964912</v>
      </c>
      <c r="D407" s="136" t="n">
        <f aca="false">IF(Calculator!$E$13="YES",IF(A407&lt;Calculator!$G$13,0,MIN(MIN(MOD(A407/Calculator!$F$13,1),1-MOD(A407/Calculator!$F$13,1)),ABS(MOD(A407/Calculator!$F$13,1)-0.5))),1)</f>
        <v>0.199837192982456</v>
      </c>
      <c r="E407" s="136" t="n">
        <f aca="false">IF(Calculator!$E$14="YES",IF(A407&lt;Calculator!$G$14,0,MIN(MIN(MOD(A407/Calculator!$F$14,1),1-MOD(A407/Calculator!$F$14,1)),ABS(MOD(A407/Calculator!$F$14,1)-0.5))),1)</f>
        <v>0.232070175438596</v>
      </c>
      <c r="F407" s="136" t="n">
        <f aca="false">IF(Calculator!$E$15="YES",IF(A407&lt;Calculator!$G$15,0,MIN(MIN(MOD(A407/Calculator!$F$15,1),1-MOD(A407/Calculator!$F$15,1)),ABS(MOD(A407/Calculator!$F$15,1)-0.5))),1)</f>
        <v>0.211578947368421</v>
      </c>
      <c r="G407" s="136" t="n">
        <f aca="false">IF(Calculator!$E$16="YES",IF(A407&lt;Calculator!$G$16,0,MIN(MIN(MOD(A407/Calculator!$F$16,1),1-MOD(A407/Calculator!$F$16,1)),ABS(MOD(A407/Calculator!$F$16,1)-0.5))),1)</f>
        <v>0.00378947368420945</v>
      </c>
      <c r="H407" s="136" t="n">
        <f aca="false">IF(Calculator!$E$17="YES",IF(A407&lt;Calculator!$G$17,0,MIN(MIN(MOD(A407/Calculator!$F$17,1),1-MOD(A407/Calculator!$F$17,1)),ABS(MOD(A407/Calculator!$F$17,1)-0.5))),1)</f>
        <v>0.246902456140352</v>
      </c>
      <c r="I407" s="136" t="n">
        <f aca="false">IF(Calculator!$E$18="YES",IF(A407&lt;Calculator!$G$18,0,MIN(MIN(MOD(A407/Calculator!$F$18,1),1-MOD(A407/Calculator!$F$18,1)),ABS(MOD(A407/Calculator!$F$18,1)-0.5))),1)</f>
        <v>0.23242105263158</v>
      </c>
      <c r="J407" s="136" t="n">
        <f aca="false">IF(Calculator!$E$19="YES",IF(A407&lt;Calculator!$G$19,0,MIN(MIN(MOD(A407/Calculator!$F$19,1),1-MOD(A407/Calculator!$F$19,1)),ABS(MOD(A407/Calculator!$F$19,1)-0.5))),1)</f>
        <v>0.0892070175438606</v>
      </c>
      <c r="K407" s="136" t="n">
        <f aca="false">IF(Calculator!$E$20="YES",IF(A407&lt;Calculator!$G$20,0,MIN(MIN(MOD(A407/Calculator!$F$20,1),1-MOD(A407/Calculator!$F$20,1)),ABS(MOD(A407/Calculator!$F$20,1)-0.5))),1)</f>
        <v>0.15101754385965</v>
      </c>
      <c r="L407" s="136" t="n">
        <f aca="false">IF(Calculator!$E$21="YES",IF(A407&lt;Calculator!$G$21,0,MIN(MIN(MOD(A407/Calculator!$F$21,1),1-MOD(A407/Calculator!$F$21,1)),ABS(MOD(A407/Calculator!$F$21,1)-0.5))),1)</f>
        <v>0.00596491228069951</v>
      </c>
      <c r="M407" s="136" t="n">
        <f aca="false">MIN(B407:L407)</f>
        <v>0.00378947368420945</v>
      </c>
      <c r="N407" s="136" t="n">
        <f aca="false">SUMPRODUCT(($M$5:$M$555&gt;M407)*1)+SUMPRODUCT(($M$5:$M$555=M407)*(ROW($M$5:$M$555)&lt;ROW(M407)))+1</f>
        <v>186</v>
      </c>
      <c r="O407" s="136" t="str">
        <f aca="false">IF(M407&gt;=0.2,"★★★ EXCELLENT",IF(M407&gt;=0.12,"★★  GOOD",IF(M407&gt;=0.07,"★  FAIR",IF(M407&gt;=0.025,"⚠  MARGINAL","✗  AVOID"))))</f>
        <v>✗  AVOID</v>
      </c>
    </row>
    <row r="408" customFormat="false" ht="15" hidden="false" customHeight="false" outlineLevel="0" collapsed="false">
      <c r="A408" s="137" t="n">
        <v>45.3</v>
      </c>
      <c r="B408" s="138" t="n">
        <f aca="false">IF(Calculator!$E$11="YES",IF(A408&lt;Calculator!$G$11,0,MIN(MIN(MOD(A408/Calculator!$F$11,1),1-MOD(A408/Calculator!$F$11,1)),ABS(MOD(A408/Calculator!$F$11,1)-0.5))),1)</f>
        <v>0.104</v>
      </c>
      <c r="C408" s="138" t="n">
        <f aca="false">IF(Calculator!$E$12="YES",IF(A408&lt;Calculator!$G$12,0,MIN(MIN(MOD(A408/Calculator!$F$12,1),1-MOD(A408/Calculator!$F$12,1)),ABS(MOD(A408/Calculator!$F$12,1)-0.5))),1)</f>
        <v>0.160315789473684</v>
      </c>
      <c r="D408" s="138" t="n">
        <f aca="false">IF(Calculator!$E$13="YES",IF(A408&lt;Calculator!$G$13,0,MIN(MIN(MOD(A408/Calculator!$F$13,1),1-MOD(A408/Calculator!$F$13,1)),ABS(MOD(A408/Calculator!$F$13,1)-0.5))),1)</f>
        <v>0.203597894736842</v>
      </c>
      <c r="E408" s="138" t="n">
        <f aca="false">IF(Calculator!$E$14="YES",IF(A408&lt;Calculator!$G$14,0,MIN(MIN(MOD(A408/Calculator!$F$14,1),1-MOD(A408/Calculator!$F$14,1)),ABS(MOD(A408/Calculator!$F$14,1)-0.5))),1)</f>
        <v>0.227052631578947</v>
      </c>
      <c r="F408" s="138" t="n">
        <f aca="false">IF(Calculator!$E$15="YES",IF(A408&lt;Calculator!$G$15,0,MIN(MIN(MOD(A408/Calculator!$F$15,1),1-MOD(A408/Calculator!$F$15,1)),ABS(MOD(A408/Calculator!$F$15,1)-0.5))),1)</f>
        <v>0.218684210526316</v>
      </c>
      <c r="G408" s="138" t="n">
        <f aca="false">IF(Calculator!$E$16="YES",IF(A408&lt;Calculator!$G$16,0,MIN(MIN(MOD(A408/Calculator!$F$16,1),1-MOD(A408/Calculator!$F$16,1)),ABS(MOD(A408/Calculator!$F$16,1)-0.5))),1)</f>
        <v>0.00615789473684192</v>
      </c>
      <c r="H408" s="138" t="n">
        <f aca="false">IF(Calculator!$E$17="YES",IF(A408&lt;Calculator!$G$17,0,MIN(MIN(MOD(A408/Calculator!$F$17,1),1-MOD(A408/Calculator!$F$17,1)),ABS(MOD(A408/Calculator!$F$17,1)-0.5))),1)</f>
        <v>0.240383157894737</v>
      </c>
      <c r="I408" s="138" t="n">
        <f aca="false">IF(Calculator!$E$18="YES",IF(A408&lt;Calculator!$G$18,0,MIN(MIN(MOD(A408/Calculator!$F$18,1),1-MOD(A408/Calculator!$F$18,1)),ABS(MOD(A408/Calculator!$F$18,1)-0.5))),1)</f>
        <v>0.247315789473684</v>
      </c>
      <c r="J408" s="138" t="n">
        <f aca="false">IF(Calculator!$E$19="YES",IF(A408&lt;Calculator!$G$19,0,MIN(MIN(MOD(A408/Calculator!$F$19,1),1-MOD(A408/Calculator!$F$19,1)),ABS(MOD(A408/Calculator!$F$19,1)-0.5))),1)</f>
        <v>0.0717052631578969</v>
      </c>
      <c r="K408" s="138" t="n">
        <f aca="false">IF(Calculator!$E$20="YES",IF(A408&lt;Calculator!$G$20,0,MIN(MIN(MOD(A408/Calculator!$F$20,1),1-MOD(A408/Calculator!$F$20,1)),ABS(MOD(A408/Calculator!$F$20,1)-0.5))),1)</f>
        <v>0.171263157894737</v>
      </c>
      <c r="L408" s="138" t="n">
        <f aca="false">IF(Calculator!$E$21="YES",IF(A408&lt;Calculator!$G$21,0,MIN(MIN(MOD(A408/Calculator!$F$21,1),1-MOD(A408/Calculator!$F$21,1)),ABS(MOD(A408/Calculator!$F$21,1)-0.5))),1)</f>
        <v>0.0305263157894728</v>
      </c>
      <c r="M408" s="138" t="n">
        <f aca="false">MIN(B408:L408)</f>
        <v>0.00615789473684192</v>
      </c>
      <c r="N408" s="138" t="n">
        <f aca="false">SUMPRODUCT(($M$5:$M$555&gt;M408)*1)+SUMPRODUCT(($M$5:$M$555=M408)*(ROW($M$5:$M$555)&lt;ROW(M408)))+1</f>
        <v>166</v>
      </c>
      <c r="O408" s="138" t="str">
        <f aca="false">IF(M408&gt;=0.2,"★★★ EXCELLENT",IF(M408&gt;=0.12,"★★  GOOD",IF(M408&gt;=0.07,"★  FAIR",IF(M408&gt;=0.025,"⚠  MARGINAL","✗  AVOID"))))</f>
        <v>✗  AVOID</v>
      </c>
    </row>
    <row r="409" customFormat="false" ht="15" hidden="false" customHeight="false" outlineLevel="0" collapsed="false">
      <c r="A409" s="135" t="n">
        <v>45.4</v>
      </c>
      <c r="B409" s="136" t="n">
        <f aca="false">IF(Calculator!$E$11="YES",IF(A409&lt;Calculator!$G$11,0,MIN(MIN(MOD(A409/Calculator!$F$11,1),1-MOD(A409/Calculator!$F$11,1)),ABS(MOD(A409/Calculator!$F$11,1)-0.5))),1)</f>
        <v>0.105333333333333</v>
      </c>
      <c r="C409" s="136" t="n">
        <f aca="false">IF(Calculator!$E$12="YES",IF(A409&lt;Calculator!$G$12,0,MIN(MIN(MOD(A409/Calculator!$F$12,1),1-MOD(A409/Calculator!$F$12,1)),ABS(MOD(A409/Calculator!$F$12,1)-0.5))),1)</f>
        <v>0.162877192982456</v>
      </c>
      <c r="D409" s="136" t="n">
        <f aca="false">IF(Calculator!$E$13="YES",IF(A409&lt;Calculator!$G$13,0,MIN(MIN(MOD(A409/Calculator!$F$13,1),1-MOD(A409/Calculator!$F$13,1)),ABS(MOD(A409/Calculator!$F$13,1)-0.5))),1)</f>
        <v>0.207358596491228</v>
      </c>
      <c r="E409" s="136" t="n">
        <f aca="false">IF(Calculator!$E$14="YES",IF(A409&lt;Calculator!$G$14,0,MIN(MIN(MOD(A409/Calculator!$F$14,1),1-MOD(A409/Calculator!$F$14,1)),ABS(MOD(A409/Calculator!$F$14,1)-0.5))),1)</f>
        <v>0.222035087719298</v>
      </c>
      <c r="F409" s="136" t="n">
        <f aca="false">IF(Calculator!$E$15="YES",IF(A409&lt;Calculator!$G$15,0,MIN(MIN(MOD(A409/Calculator!$F$15,1),1-MOD(A409/Calculator!$F$15,1)),ABS(MOD(A409/Calculator!$F$15,1)-0.5))),1)</f>
        <v>0.22578947368421</v>
      </c>
      <c r="G409" s="136" t="n">
        <f aca="false">IF(Calculator!$E$16="YES",IF(A409&lt;Calculator!$G$16,0,MIN(MIN(MOD(A409/Calculator!$F$16,1),1-MOD(A409/Calculator!$F$16,1)),ABS(MOD(A409/Calculator!$F$16,1)-0.5))),1)</f>
        <v>0.0161052631578951</v>
      </c>
      <c r="H409" s="136" t="n">
        <f aca="false">IF(Calculator!$E$17="YES",IF(A409&lt;Calculator!$G$17,0,MIN(MIN(MOD(A409/Calculator!$F$17,1),1-MOD(A409/Calculator!$F$17,1)),ABS(MOD(A409/Calculator!$F$17,1)-0.5))),1)</f>
        <v>0.227668771929825</v>
      </c>
      <c r="I409" s="136" t="n">
        <f aca="false">IF(Calculator!$E$18="YES",IF(A409&lt;Calculator!$G$18,0,MIN(MIN(MOD(A409/Calculator!$F$18,1),1-MOD(A409/Calculator!$F$18,1)),ABS(MOD(A409/Calculator!$F$18,1)-0.5))),1)</f>
        <v>0.23778947368421</v>
      </c>
      <c r="J409" s="136" t="n">
        <f aca="false">IF(Calculator!$E$19="YES",IF(A409&lt;Calculator!$G$19,0,MIN(MIN(MOD(A409/Calculator!$F$19,1),1-MOD(A409/Calculator!$F$19,1)),ABS(MOD(A409/Calculator!$F$19,1)-0.5))),1)</f>
        <v>0.0542035087719315</v>
      </c>
      <c r="K409" s="136" t="n">
        <f aca="false">IF(Calculator!$E$20="YES",IF(A409&lt;Calculator!$G$20,0,MIN(MIN(MOD(A409/Calculator!$F$20,1),1-MOD(A409/Calculator!$F$20,1)),ABS(MOD(A409/Calculator!$F$20,1)-0.5))),1)</f>
        <v>0.191508771929824</v>
      </c>
      <c r="L409" s="136" t="n">
        <f aca="false">IF(Calculator!$E$21="YES",IF(A409&lt;Calculator!$G$21,0,MIN(MIN(MOD(A409/Calculator!$F$21,1),1-MOD(A409/Calculator!$F$21,1)),ABS(MOD(A409/Calculator!$F$21,1)-0.5))),1)</f>
        <v>0.0670175438596488</v>
      </c>
      <c r="M409" s="136" t="n">
        <f aca="false">MIN(B409:L409)</f>
        <v>0.0161052631578951</v>
      </c>
      <c r="N409" s="136" t="n">
        <f aca="false">SUMPRODUCT(($M$5:$M$555&gt;M409)*1)+SUMPRODUCT(($M$5:$M$555=M409)*(ROW($M$5:$M$555)&lt;ROW(M409)))+1</f>
        <v>97</v>
      </c>
      <c r="O409" s="136" t="str">
        <f aca="false">IF(M409&gt;=0.2,"★★★ EXCELLENT",IF(M409&gt;=0.12,"★★  GOOD",IF(M409&gt;=0.07,"★  FAIR",IF(M409&gt;=0.025,"⚠  MARGINAL","✗  AVOID"))))</f>
        <v>✗  AVOID</v>
      </c>
    </row>
    <row r="410" customFormat="false" ht="15" hidden="false" customHeight="false" outlineLevel="0" collapsed="false">
      <c r="A410" s="137" t="n">
        <v>45.5</v>
      </c>
      <c r="B410" s="138" t="n">
        <f aca="false">IF(Calculator!$E$11="YES",IF(A410&lt;Calculator!$G$11,0,MIN(MIN(MOD(A410/Calculator!$F$11,1),1-MOD(A410/Calculator!$F$11,1)),ABS(MOD(A410/Calculator!$F$11,1)-0.5))),1)</f>
        <v>0.106666666666667</v>
      </c>
      <c r="C410" s="138" t="n">
        <f aca="false">IF(Calculator!$E$12="YES",IF(A410&lt;Calculator!$G$12,0,MIN(MIN(MOD(A410/Calculator!$F$12,1),1-MOD(A410/Calculator!$F$12,1)),ABS(MOD(A410/Calculator!$F$12,1)-0.5))),1)</f>
        <v>0.165438596491228</v>
      </c>
      <c r="D410" s="138" t="n">
        <f aca="false">IF(Calculator!$E$13="YES",IF(A410&lt;Calculator!$G$13,0,MIN(MIN(MOD(A410/Calculator!$F$13,1),1-MOD(A410/Calculator!$F$13,1)),ABS(MOD(A410/Calculator!$F$13,1)-0.5))),1)</f>
        <v>0.211119298245614</v>
      </c>
      <c r="E410" s="138" t="n">
        <f aca="false">IF(Calculator!$E$14="YES",IF(A410&lt;Calculator!$G$14,0,MIN(MIN(MOD(A410/Calculator!$F$14,1),1-MOD(A410/Calculator!$F$14,1)),ABS(MOD(A410/Calculator!$F$14,1)-0.5))),1)</f>
        <v>0.217017543859649</v>
      </c>
      <c r="F410" s="138" t="n">
        <f aca="false">IF(Calculator!$E$15="YES",IF(A410&lt;Calculator!$G$15,0,MIN(MIN(MOD(A410/Calculator!$F$15,1),1-MOD(A410/Calculator!$F$15,1)),ABS(MOD(A410/Calculator!$F$15,1)-0.5))),1)</f>
        <v>0.232894736842105</v>
      </c>
      <c r="G410" s="138" t="n">
        <f aca="false">IF(Calculator!$E$16="YES",IF(A410&lt;Calculator!$G$16,0,MIN(MIN(MOD(A410/Calculator!$F$16,1),1-MOD(A410/Calculator!$F$16,1)),ABS(MOD(A410/Calculator!$F$16,1)-0.5))),1)</f>
        <v>0.0260526315789473</v>
      </c>
      <c r="H410" s="138" t="n">
        <f aca="false">IF(Calculator!$E$17="YES",IF(A410&lt;Calculator!$G$17,0,MIN(MIN(MOD(A410/Calculator!$F$17,1),1-MOD(A410/Calculator!$F$17,1)),ABS(MOD(A410/Calculator!$F$17,1)-0.5))),1)</f>
        <v>0.214954385964911</v>
      </c>
      <c r="I410" s="138" t="n">
        <f aca="false">IF(Calculator!$E$18="YES",IF(A410&lt;Calculator!$G$18,0,MIN(MIN(MOD(A410/Calculator!$F$18,1),1-MOD(A410/Calculator!$F$18,1)),ABS(MOD(A410/Calculator!$F$18,1)-0.5))),1)</f>
        <v>0.222894736842105</v>
      </c>
      <c r="J410" s="138" t="n">
        <f aca="false">IF(Calculator!$E$19="YES",IF(A410&lt;Calculator!$G$19,0,MIN(MIN(MOD(A410/Calculator!$F$19,1),1-MOD(A410/Calculator!$F$19,1)),ABS(MOD(A410/Calculator!$F$19,1)-0.5))),1)</f>
        <v>0.036701754385966</v>
      </c>
      <c r="K410" s="138" t="n">
        <f aca="false">IF(Calculator!$E$20="YES",IF(A410&lt;Calculator!$G$20,0,MIN(MIN(MOD(A410/Calculator!$F$20,1),1-MOD(A410/Calculator!$F$20,1)),ABS(MOD(A410/Calculator!$F$20,1)-0.5))),1)</f>
        <v>0.211754385964912</v>
      </c>
      <c r="L410" s="138" t="n">
        <f aca="false">IF(Calculator!$E$21="YES",IF(A410&lt;Calculator!$G$21,0,MIN(MIN(MOD(A410/Calculator!$F$21,1),1-MOD(A410/Calculator!$F$21,1)),ABS(MOD(A410/Calculator!$F$21,1)-0.5))),1)</f>
        <v>0.103508771929825</v>
      </c>
      <c r="M410" s="138" t="n">
        <f aca="false">MIN(B410:L410)</f>
        <v>0.0260526315789473</v>
      </c>
      <c r="N410" s="138" t="n">
        <f aca="false">SUMPRODUCT(($M$5:$M$555&gt;M410)*1)+SUMPRODUCT(($M$5:$M$555=M410)*(ROW($M$5:$M$555)&lt;ROW(M410)))+1</f>
        <v>61</v>
      </c>
      <c r="O410" s="138" t="str">
        <f aca="false">IF(M410&gt;=0.2,"★★★ EXCELLENT",IF(M410&gt;=0.12,"★★  GOOD",IF(M410&gt;=0.07,"★  FAIR",IF(M410&gt;=0.025,"⚠  MARGINAL","✗  AVOID"))))</f>
        <v>⚠  MARGINAL</v>
      </c>
    </row>
    <row r="411" customFormat="false" ht="15" hidden="false" customHeight="false" outlineLevel="0" collapsed="false">
      <c r="A411" s="135" t="n">
        <v>45.6</v>
      </c>
      <c r="B411" s="136" t="n">
        <f aca="false">IF(Calculator!$E$11="YES",IF(A411&lt;Calculator!$G$11,0,MIN(MIN(MOD(A411/Calculator!$F$11,1),1-MOD(A411/Calculator!$F$11,1)),ABS(MOD(A411/Calculator!$F$11,1)-0.5))),1)</f>
        <v>0.108</v>
      </c>
      <c r="C411" s="136" t="n">
        <f aca="false">IF(Calculator!$E$12="YES",IF(A411&lt;Calculator!$G$12,0,MIN(MIN(MOD(A411/Calculator!$F$12,1),1-MOD(A411/Calculator!$F$12,1)),ABS(MOD(A411/Calculator!$F$12,1)-0.5))),1)</f>
        <v>0.168</v>
      </c>
      <c r="D411" s="136" t="n">
        <f aca="false">IF(Calculator!$E$13="YES",IF(A411&lt;Calculator!$G$13,0,MIN(MIN(MOD(A411/Calculator!$F$13,1),1-MOD(A411/Calculator!$F$13,1)),ABS(MOD(A411/Calculator!$F$13,1)-0.5))),1)</f>
        <v>0.21488</v>
      </c>
      <c r="E411" s="136" t="n">
        <f aca="false">IF(Calculator!$E$14="YES",IF(A411&lt;Calculator!$G$14,0,MIN(MIN(MOD(A411/Calculator!$F$14,1),1-MOD(A411/Calculator!$F$14,1)),ABS(MOD(A411/Calculator!$F$14,1)-0.5))),1)</f>
        <v>0.212</v>
      </c>
      <c r="F411" s="136" t="n">
        <f aca="false">IF(Calculator!$E$15="YES",IF(A411&lt;Calculator!$G$15,0,MIN(MIN(MOD(A411/Calculator!$F$15,1),1-MOD(A411/Calculator!$F$15,1)),ABS(MOD(A411/Calculator!$F$15,1)-0.5))),1)</f>
        <v>0.24</v>
      </c>
      <c r="G411" s="136" t="n">
        <f aca="false">IF(Calculator!$E$16="YES",IF(A411&lt;Calculator!$G$16,0,MIN(MIN(MOD(A411/Calculator!$F$16,1),1-MOD(A411/Calculator!$F$16,1)),ABS(MOD(A411/Calculator!$F$16,1)-0.5))),1)</f>
        <v>0.0360000000000005</v>
      </c>
      <c r="H411" s="136" t="n">
        <f aca="false">IF(Calculator!$E$17="YES",IF(A411&lt;Calculator!$G$17,0,MIN(MIN(MOD(A411/Calculator!$F$17,1),1-MOD(A411/Calculator!$F$17,1)),ABS(MOD(A411/Calculator!$F$17,1)-0.5))),1)</f>
        <v>0.202239999999999</v>
      </c>
      <c r="I411" s="136" t="n">
        <f aca="false">IF(Calculator!$E$18="YES",IF(A411&lt;Calculator!$G$18,0,MIN(MIN(MOD(A411/Calculator!$F$18,1),1-MOD(A411/Calculator!$F$18,1)),ABS(MOD(A411/Calculator!$F$18,1)-0.5))),1)</f>
        <v>0.207999999999999</v>
      </c>
      <c r="J411" s="136" t="n">
        <f aca="false">IF(Calculator!$E$19="YES",IF(A411&lt;Calculator!$G$19,0,MIN(MIN(MOD(A411/Calculator!$F$19,1),1-MOD(A411/Calculator!$F$19,1)),ABS(MOD(A411/Calculator!$F$19,1)-0.5))),1)</f>
        <v>0.0192000000000014</v>
      </c>
      <c r="K411" s="136" t="n">
        <f aca="false">IF(Calculator!$E$20="YES",IF(A411&lt;Calculator!$G$20,0,MIN(MIN(MOD(A411/Calculator!$F$20,1),1-MOD(A411/Calculator!$F$20,1)),ABS(MOD(A411/Calculator!$F$20,1)-0.5))),1)</f>
        <v>0.231999999999999</v>
      </c>
      <c r="L411" s="136" t="n">
        <f aca="false">IF(Calculator!$E$21="YES",IF(A411&lt;Calculator!$G$21,0,MIN(MIN(MOD(A411/Calculator!$F$21,1),1-MOD(A411/Calculator!$F$21,1)),ABS(MOD(A411/Calculator!$F$21,1)-0.5))),1)</f>
        <v>0.140000000000001</v>
      </c>
      <c r="M411" s="136" t="n">
        <f aca="false">MIN(B411:L411)</f>
        <v>0.0192000000000014</v>
      </c>
      <c r="N411" s="136" t="n">
        <f aca="false">SUMPRODUCT(($M$5:$M$555&gt;M411)*1)+SUMPRODUCT(($M$5:$M$555=M411)*(ROW($M$5:$M$555)&lt;ROW(M411)))+1</f>
        <v>86</v>
      </c>
      <c r="O411" s="136" t="str">
        <f aca="false">IF(M411&gt;=0.2,"★★★ EXCELLENT",IF(M411&gt;=0.12,"★★  GOOD",IF(M411&gt;=0.07,"★  FAIR",IF(M411&gt;=0.025,"⚠  MARGINAL","✗  AVOID"))))</f>
        <v>✗  AVOID</v>
      </c>
    </row>
    <row r="412" customFormat="false" ht="15" hidden="false" customHeight="false" outlineLevel="0" collapsed="false">
      <c r="A412" s="137" t="n">
        <v>45.7</v>
      </c>
      <c r="B412" s="138" t="n">
        <f aca="false">IF(Calculator!$E$11="YES",IF(A412&lt;Calculator!$G$11,0,MIN(MIN(MOD(A412/Calculator!$F$11,1),1-MOD(A412/Calculator!$F$11,1)),ABS(MOD(A412/Calculator!$F$11,1)-0.5))),1)</f>
        <v>0.109333333333333</v>
      </c>
      <c r="C412" s="138" t="n">
        <f aca="false">IF(Calculator!$E$12="YES",IF(A412&lt;Calculator!$G$12,0,MIN(MIN(MOD(A412/Calculator!$F$12,1),1-MOD(A412/Calculator!$F$12,1)),ABS(MOD(A412/Calculator!$F$12,1)-0.5))),1)</f>
        <v>0.170561403508772</v>
      </c>
      <c r="D412" s="138" t="n">
        <f aca="false">IF(Calculator!$E$13="YES",IF(A412&lt;Calculator!$G$13,0,MIN(MIN(MOD(A412/Calculator!$F$13,1),1-MOD(A412/Calculator!$F$13,1)),ABS(MOD(A412/Calculator!$F$13,1)-0.5))),1)</f>
        <v>0.218640701754386</v>
      </c>
      <c r="E412" s="138" t="n">
        <f aca="false">IF(Calculator!$E$14="YES",IF(A412&lt;Calculator!$G$14,0,MIN(MIN(MOD(A412/Calculator!$F$14,1),1-MOD(A412/Calculator!$F$14,1)),ABS(MOD(A412/Calculator!$F$14,1)-0.5))),1)</f>
        <v>0.206982456140351</v>
      </c>
      <c r="F412" s="138" t="n">
        <f aca="false">IF(Calculator!$E$15="YES",IF(A412&lt;Calculator!$G$15,0,MIN(MIN(MOD(A412/Calculator!$F$15,1),1-MOD(A412/Calculator!$F$15,1)),ABS(MOD(A412/Calculator!$F$15,1)-0.5))),1)</f>
        <v>0.247105263157895</v>
      </c>
      <c r="G412" s="138" t="n">
        <f aca="false">IF(Calculator!$E$16="YES",IF(A412&lt;Calculator!$G$16,0,MIN(MIN(MOD(A412/Calculator!$F$16,1),1-MOD(A412/Calculator!$F$16,1)),ABS(MOD(A412/Calculator!$F$16,1)-0.5))),1)</f>
        <v>0.0459473684210536</v>
      </c>
      <c r="H412" s="138" t="n">
        <f aca="false">IF(Calculator!$E$17="YES",IF(A412&lt;Calculator!$G$17,0,MIN(MIN(MOD(A412/Calculator!$F$17,1),1-MOD(A412/Calculator!$F$17,1)),ABS(MOD(A412/Calculator!$F$17,1)-0.5))),1)</f>
        <v>0.189525614035087</v>
      </c>
      <c r="I412" s="138" t="n">
        <f aca="false">IF(Calculator!$E$18="YES",IF(A412&lt;Calculator!$G$18,0,MIN(MIN(MOD(A412/Calculator!$F$18,1),1-MOD(A412/Calculator!$F$18,1)),ABS(MOD(A412/Calculator!$F$18,1)-0.5))),1)</f>
        <v>0.193105263157894</v>
      </c>
      <c r="J412" s="138" t="n">
        <f aca="false">IF(Calculator!$E$19="YES",IF(A412&lt;Calculator!$G$19,0,MIN(MIN(MOD(A412/Calculator!$F$19,1),1-MOD(A412/Calculator!$F$19,1)),ABS(MOD(A412/Calculator!$F$19,1)-0.5))),1)</f>
        <v>0.00169824561403598</v>
      </c>
      <c r="K412" s="138" t="n">
        <f aca="false">IF(Calculator!$E$20="YES",IF(A412&lt;Calculator!$G$20,0,MIN(MIN(MOD(A412/Calculator!$F$20,1),1-MOD(A412/Calculator!$F$20,1)),ABS(MOD(A412/Calculator!$F$20,1)-0.5))),1)</f>
        <v>0.247754385964912</v>
      </c>
      <c r="L412" s="138" t="n">
        <f aca="false">IF(Calculator!$E$21="YES",IF(A412&lt;Calculator!$G$21,0,MIN(MIN(MOD(A412/Calculator!$F$21,1),1-MOD(A412/Calculator!$F$21,1)),ABS(MOD(A412/Calculator!$F$21,1)-0.5))),1)</f>
        <v>0.176491228070176</v>
      </c>
      <c r="M412" s="138" t="n">
        <f aca="false">MIN(B412:L412)</f>
        <v>0.00169824561403598</v>
      </c>
      <c r="N412" s="138" t="n">
        <f aca="false">SUMPRODUCT(($M$5:$M$555&gt;M412)*1)+SUMPRODUCT(($M$5:$M$555=M412)*(ROW($M$5:$M$555)&lt;ROW(M412)))+1</f>
        <v>203</v>
      </c>
      <c r="O412" s="138" t="str">
        <f aca="false">IF(M412&gt;=0.2,"★★★ EXCELLENT",IF(M412&gt;=0.12,"★★  GOOD",IF(M412&gt;=0.07,"★  FAIR",IF(M412&gt;=0.025,"⚠  MARGINAL","✗  AVOID"))))</f>
        <v>✗  AVOID</v>
      </c>
    </row>
    <row r="413" customFormat="false" ht="15" hidden="false" customHeight="false" outlineLevel="0" collapsed="false">
      <c r="A413" s="135" t="n">
        <v>45.8</v>
      </c>
      <c r="B413" s="136" t="n">
        <f aca="false">IF(Calculator!$E$11="YES",IF(A413&lt;Calculator!$G$11,0,MIN(MIN(MOD(A413/Calculator!$F$11,1),1-MOD(A413/Calculator!$F$11,1)),ABS(MOD(A413/Calculator!$F$11,1)-0.5))),1)</f>
        <v>0.110666666666667</v>
      </c>
      <c r="C413" s="136" t="n">
        <f aca="false">IF(Calculator!$E$12="YES",IF(A413&lt;Calculator!$G$12,0,MIN(MIN(MOD(A413/Calculator!$F$12,1),1-MOD(A413/Calculator!$F$12,1)),ABS(MOD(A413/Calculator!$F$12,1)-0.5))),1)</f>
        <v>0.173122807017544</v>
      </c>
      <c r="D413" s="136" t="n">
        <f aca="false">IF(Calculator!$E$13="YES",IF(A413&lt;Calculator!$G$13,0,MIN(MIN(MOD(A413/Calculator!$F$13,1),1-MOD(A413/Calculator!$F$13,1)),ABS(MOD(A413/Calculator!$F$13,1)-0.5))),1)</f>
        <v>0.222401403508772</v>
      </c>
      <c r="E413" s="136" t="n">
        <f aca="false">IF(Calculator!$E$14="YES",IF(A413&lt;Calculator!$G$14,0,MIN(MIN(MOD(A413/Calculator!$F$14,1),1-MOD(A413/Calculator!$F$14,1)),ABS(MOD(A413/Calculator!$F$14,1)-0.5))),1)</f>
        <v>0.201964912280702</v>
      </c>
      <c r="F413" s="136" t="n">
        <f aca="false">IF(Calculator!$E$15="YES",IF(A413&lt;Calculator!$G$15,0,MIN(MIN(MOD(A413/Calculator!$F$15,1),1-MOD(A413/Calculator!$F$15,1)),ABS(MOD(A413/Calculator!$F$15,1)-0.5))),1)</f>
        <v>0.245789473684211</v>
      </c>
      <c r="G413" s="136" t="n">
        <f aca="false">IF(Calculator!$E$16="YES",IF(A413&lt;Calculator!$G$16,0,MIN(MIN(MOD(A413/Calculator!$F$16,1),1-MOD(A413/Calculator!$F$16,1)),ABS(MOD(A413/Calculator!$F$16,1)-0.5))),1)</f>
        <v>0.055894736842105</v>
      </c>
      <c r="H413" s="136" t="n">
        <f aca="false">IF(Calculator!$E$17="YES",IF(A413&lt;Calculator!$G$17,0,MIN(MIN(MOD(A413/Calculator!$F$17,1),1-MOD(A413/Calculator!$F$17,1)),ABS(MOD(A413/Calculator!$F$17,1)-0.5))),1)</f>
        <v>0.176811228070175</v>
      </c>
      <c r="I413" s="136" t="n">
        <f aca="false">IF(Calculator!$E$18="YES",IF(A413&lt;Calculator!$G$18,0,MIN(MIN(MOD(A413/Calculator!$F$18,1),1-MOD(A413/Calculator!$F$18,1)),ABS(MOD(A413/Calculator!$F$18,1)-0.5))),1)</f>
        <v>0.17821052631579</v>
      </c>
      <c r="J413" s="136" t="n">
        <f aca="false">IF(Calculator!$E$19="YES",IF(A413&lt;Calculator!$G$19,0,MIN(MIN(MOD(A413/Calculator!$F$19,1),1-MOD(A413/Calculator!$F$19,1)),ABS(MOD(A413/Calculator!$F$19,1)-0.5))),1)</f>
        <v>0.0158035087719277</v>
      </c>
      <c r="K413" s="136" t="n">
        <f aca="false">IF(Calculator!$E$20="YES",IF(A413&lt;Calculator!$G$20,0,MIN(MIN(MOD(A413/Calculator!$F$20,1),1-MOD(A413/Calculator!$F$20,1)),ABS(MOD(A413/Calculator!$F$20,1)-0.5))),1)</f>
        <v>0.227508771929825</v>
      </c>
      <c r="L413" s="136" t="n">
        <f aca="false">IF(Calculator!$E$21="YES",IF(A413&lt;Calculator!$G$21,0,MIN(MIN(MOD(A413/Calculator!$F$21,1),1-MOD(A413/Calculator!$F$21,1)),ABS(MOD(A413/Calculator!$F$21,1)-0.5))),1)</f>
        <v>0.212982456140349</v>
      </c>
      <c r="M413" s="136" t="n">
        <f aca="false">MIN(B413:L413)</f>
        <v>0.0158035087719277</v>
      </c>
      <c r="N413" s="136" t="n">
        <f aca="false">SUMPRODUCT(($M$5:$M$555&gt;M413)*1)+SUMPRODUCT(($M$5:$M$555=M413)*(ROW($M$5:$M$555)&lt;ROW(M413)))+1</f>
        <v>98</v>
      </c>
      <c r="O413" s="136" t="str">
        <f aca="false">IF(M413&gt;=0.2,"★★★ EXCELLENT",IF(M413&gt;=0.12,"★★  GOOD",IF(M413&gt;=0.07,"★  FAIR",IF(M413&gt;=0.025,"⚠  MARGINAL","✗  AVOID"))))</f>
        <v>✗  AVOID</v>
      </c>
    </row>
    <row r="414" customFormat="false" ht="15" hidden="false" customHeight="false" outlineLevel="0" collapsed="false">
      <c r="A414" s="137" t="n">
        <v>45.9</v>
      </c>
      <c r="B414" s="138" t="n">
        <f aca="false">IF(Calculator!$E$11="YES",IF(A414&lt;Calculator!$G$11,0,MIN(MIN(MOD(A414/Calculator!$F$11,1),1-MOD(A414/Calculator!$F$11,1)),ABS(MOD(A414/Calculator!$F$11,1)-0.5))),1)</f>
        <v>0.112</v>
      </c>
      <c r="C414" s="138" t="n">
        <f aca="false">IF(Calculator!$E$12="YES",IF(A414&lt;Calculator!$G$12,0,MIN(MIN(MOD(A414/Calculator!$F$12,1),1-MOD(A414/Calculator!$F$12,1)),ABS(MOD(A414/Calculator!$F$12,1)-0.5))),1)</f>
        <v>0.175684210526316</v>
      </c>
      <c r="D414" s="138" t="n">
        <f aca="false">IF(Calculator!$E$13="YES",IF(A414&lt;Calculator!$G$13,0,MIN(MIN(MOD(A414/Calculator!$F$13,1),1-MOD(A414/Calculator!$F$13,1)),ABS(MOD(A414/Calculator!$F$13,1)-0.5))),1)</f>
        <v>0.226162105263158</v>
      </c>
      <c r="E414" s="138" t="n">
        <f aca="false">IF(Calculator!$E$14="YES",IF(A414&lt;Calculator!$G$14,0,MIN(MIN(MOD(A414/Calculator!$F$14,1),1-MOD(A414/Calculator!$F$14,1)),ABS(MOD(A414/Calculator!$F$14,1)-0.5))),1)</f>
        <v>0.196947368421053</v>
      </c>
      <c r="F414" s="138" t="n">
        <f aca="false">IF(Calculator!$E$15="YES",IF(A414&lt;Calculator!$G$15,0,MIN(MIN(MOD(A414/Calculator!$F$15,1),1-MOD(A414/Calculator!$F$15,1)),ABS(MOD(A414/Calculator!$F$15,1)-0.5))),1)</f>
        <v>0.238684210526316</v>
      </c>
      <c r="G414" s="138" t="n">
        <f aca="false">IF(Calculator!$E$16="YES",IF(A414&lt;Calculator!$G$16,0,MIN(MIN(MOD(A414/Calculator!$F$16,1),1-MOD(A414/Calculator!$F$16,1)),ABS(MOD(A414/Calculator!$F$16,1)-0.5))),1)</f>
        <v>0.0658421052631582</v>
      </c>
      <c r="H414" s="138" t="n">
        <f aca="false">IF(Calculator!$E$17="YES",IF(A414&lt;Calculator!$G$17,0,MIN(MIN(MOD(A414/Calculator!$F$17,1),1-MOD(A414/Calculator!$F$17,1)),ABS(MOD(A414/Calculator!$F$17,1)-0.5))),1)</f>
        <v>0.164096842105263</v>
      </c>
      <c r="I414" s="138" t="n">
        <f aca="false">IF(Calculator!$E$18="YES",IF(A414&lt;Calculator!$G$18,0,MIN(MIN(MOD(A414/Calculator!$F$18,1),1-MOD(A414/Calculator!$F$18,1)),ABS(MOD(A414/Calculator!$F$18,1)-0.5))),1)</f>
        <v>0.163315789473685</v>
      </c>
      <c r="J414" s="138" t="n">
        <f aca="false">IF(Calculator!$E$19="YES",IF(A414&lt;Calculator!$G$19,0,MIN(MIN(MOD(A414/Calculator!$F$19,1),1-MOD(A414/Calculator!$F$19,1)),ABS(MOD(A414/Calculator!$F$19,1)-0.5))),1)</f>
        <v>0.0333052631578923</v>
      </c>
      <c r="K414" s="138" t="n">
        <f aca="false">IF(Calculator!$E$20="YES",IF(A414&lt;Calculator!$G$20,0,MIN(MIN(MOD(A414/Calculator!$F$20,1),1-MOD(A414/Calculator!$F$20,1)),ABS(MOD(A414/Calculator!$F$20,1)-0.5))),1)</f>
        <v>0.207263157894737</v>
      </c>
      <c r="L414" s="138" t="n">
        <f aca="false">IF(Calculator!$E$21="YES",IF(A414&lt;Calculator!$G$21,0,MIN(MIN(MOD(A414/Calculator!$F$21,1),1-MOD(A414/Calculator!$F$21,1)),ABS(MOD(A414/Calculator!$F$21,1)-0.5))),1)</f>
        <v>0.249473684210525</v>
      </c>
      <c r="M414" s="138" t="n">
        <f aca="false">MIN(B414:L414)</f>
        <v>0.0333052631578923</v>
      </c>
      <c r="N414" s="138" t="n">
        <f aca="false">SUMPRODUCT(($M$5:$M$555&gt;M414)*1)+SUMPRODUCT(($M$5:$M$555=M414)*(ROW($M$5:$M$555)&lt;ROW(M414)))+1</f>
        <v>37</v>
      </c>
      <c r="O414" s="138" t="str">
        <f aca="false">IF(M414&gt;=0.2,"★★★ EXCELLENT",IF(M414&gt;=0.12,"★★  GOOD",IF(M414&gt;=0.07,"★  FAIR",IF(M414&gt;=0.025,"⚠  MARGINAL","✗  AVOID"))))</f>
        <v>⚠  MARGINAL</v>
      </c>
    </row>
    <row r="415" customFormat="false" ht="15" hidden="false" customHeight="false" outlineLevel="0" collapsed="false">
      <c r="A415" s="135" t="n">
        <v>46</v>
      </c>
      <c r="B415" s="136" t="n">
        <f aca="false">IF(Calculator!$E$11="YES",IF(A415&lt;Calculator!$G$11,0,MIN(MIN(MOD(A415/Calculator!$F$11,1),1-MOD(A415/Calculator!$F$11,1)),ABS(MOD(A415/Calculator!$F$11,1)-0.5))),1)</f>
        <v>0.113333333333333</v>
      </c>
      <c r="C415" s="136" t="n">
        <f aca="false">IF(Calculator!$E$12="YES",IF(A415&lt;Calculator!$G$12,0,MIN(MIN(MOD(A415/Calculator!$F$12,1),1-MOD(A415/Calculator!$F$12,1)),ABS(MOD(A415/Calculator!$F$12,1)-0.5))),1)</f>
        <v>0.178245614035088</v>
      </c>
      <c r="D415" s="136" t="n">
        <f aca="false">IF(Calculator!$E$13="YES",IF(A415&lt;Calculator!$G$13,0,MIN(MIN(MOD(A415/Calculator!$F$13,1),1-MOD(A415/Calculator!$F$13,1)),ABS(MOD(A415/Calculator!$F$13,1)-0.5))),1)</f>
        <v>0.229922807017544</v>
      </c>
      <c r="E415" s="136" t="n">
        <f aca="false">IF(Calculator!$E$14="YES",IF(A415&lt;Calculator!$G$14,0,MIN(MIN(MOD(A415/Calculator!$F$14,1),1-MOD(A415/Calculator!$F$14,1)),ABS(MOD(A415/Calculator!$F$14,1)-0.5))),1)</f>
        <v>0.191929824561404</v>
      </c>
      <c r="F415" s="136" t="n">
        <f aca="false">IF(Calculator!$E$15="YES",IF(A415&lt;Calculator!$G$15,0,MIN(MIN(MOD(A415/Calculator!$F$15,1),1-MOD(A415/Calculator!$F$15,1)),ABS(MOD(A415/Calculator!$F$15,1)-0.5))),1)</f>
        <v>0.231578947368421</v>
      </c>
      <c r="G415" s="136" t="n">
        <f aca="false">IF(Calculator!$E$16="YES",IF(A415&lt;Calculator!$G$16,0,MIN(MIN(MOD(A415/Calculator!$F$16,1),1-MOD(A415/Calculator!$F$16,1)),ABS(MOD(A415/Calculator!$F$16,1)-0.5))),1)</f>
        <v>0.0757894736842113</v>
      </c>
      <c r="H415" s="136" t="n">
        <f aca="false">IF(Calculator!$E$17="YES",IF(A415&lt;Calculator!$G$17,0,MIN(MIN(MOD(A415/Calculator!$F$17,1),1-MOD(A415/Calculator!$F$17,1)),ABS(MOD(A415/Calculator!$F$17,1)-0.5))),1)</f>
        <v>0.15138245614035</v>
      </c>
      <c r="I415" s="136" t="n">
        <f aca="false">IF(Calculator!$E$18="YES",IF(A415&lt;Calculator!$G$18,0,MIN(MIN(MOD(A415/Calculator!$F$18,1),1-MOD(A415/Calculator!$F$18,1)),ABS(MOD(A415/Calculator!$F$18,1)-0.5))),1)</f>
        <v>0.148421052631579</v>
      </c>
      <c r="J415" s="136" t="n">
        <f aca="false">IF(Calculator!$E$19="YES",IF(A415&lt;Calculator!$G$19,0,MIN(MIN(MOD(A415/Calculator!$F$19,1),1-MOD(A415/Calculator!$F$19,1)),ABS(MOD(A415/Calculator!$F$19,1)-0.5))),1)</f>
        <v>0.0508070175438586</v>
      </c>
      <c r="K415" s="136" t="n">
        <f aca="false">IF(Calculator!$E$20="YES",IF(A415&lt;Calculator!$G$20,0,MIN(MIN(MOD(A415/Calculator!$F$20,1),1-MOD(A415/Calculator!$F$20,1)),ABS(MOD(A415/Calculator!$F$20,1)-0.5))),1)</f>
        <v>0.18701754385965</v>
      </c>
      <c r="L415" s="136" t="n">
        <f aca="false">IF(Calculator!$E$21="YES",IF(A415&lt;Calculator!$G$21,0,MIN(MIN(MOD(A415/Calculator!$F$21,1),1-MOD(A415/Calculator!$F$21,1)),ABS(MOD(A415/Calculator!$F$21,1)-0.5))),1)</f>
        <v>0.214035087719299</v>
      </c>
      <c r="M415" s="136" t="n">
        <f aca="false">MIN(B415:L415)</f>
        <v>0.0508070175438586</v>
      </c>
      <c r="N415" s="136" t="n">
        <f aca="false">SUMPRODUCT(($M$5:$M$555&gt;M415)*1)+SUMPRODUCT(($M$5:$M$555=M415)*(ROW($M$5:$M$555)&lt;ROW(M415)))+1</f>
        <v>16</v>
      </c>
      <c r="O415" s="136" t="str">
        <f aca="false">IF(M415&gt;=0.2,"★★★ EXCELLENT",IF(M415&gt;=0.12,"★★  GOOD",IF(M415&gt;=0.07,"★  FAIR",IF(M415&gt;=0.025,"⚠  MARGINAL","✗  AVOID"))))</f>
        <v>⚠  MARGINAL</v>
      </c>
    </row>
    <row r="416" customFormat="false" ht="15" hidden="false" customHeight="false" outlineLevel="0" collapsed="false">
      <c r="A416" s="137" t="n">
        <v>46.1</v>
      </c>
      <c r="B416" s="138" t="n">
        <f aca="false">IF(Calculator!$E$11="YES",IF(A416&lt;Calculator!$G$11,0,MIN(MIN(MOD(A416/Calculator!$F$11,1),1-MOD(A416/Calculator!$F$11,1)),ABS(MOD(A416/Calculator!$F$11,1)-0.5))),1)</f>
        <v>0.114666666666667</v>
      </c>
      <c r="C416" s="138" t="n">
        <f aca="false">IF(Calculator!$E$12="YES",IF(A416&lt;Calculator!$G$12,0,MIN(MIN(MOD(A416/Calculator!$F$12,1),1-MOD(A416/Calculator!$F$12,1)),ABS(MOD(A416/Calculator!$F$12,1)-0.5))),1)</f>
        <v>0.18080701754386</v>
      </c>
      <c r="D416" s="138" t="n">
        <f aca="false">IF(Calculator!$E$13="YES",IF(A416&lt;Calculator!$G$13,0,MIN(MIN(MOD(A416/Calculator!$F$13,1),1-MOD(A416/Calculator!$F$13,1)),ABS(MOD(A416/Calculator!$F$13,1)-0.5))),1)</f>
        <v>0.23368350877193</v>
      </c>
      <c r="E416" s="138" t="n">
        <f aca="false">IF(Calculator!$E$14="YES",IF(A416&lt;Calculator!$G$14,0,MIN(MIN(MOD(A416/Calculator!$F$14,1),1-MOD(A416/Calculator!$F$14,1)),ABS(MOD(A416/Calculator!$F$14,1)-0.5))),1)</f>
        <v>0.186912280701754</v>
      </c>
      <c r="F416" s="138" t="n">
        <f aca="false">IF(Calculator!$E$15="YES",IF(A416&lt;Calculator!$G$15,0,MIN(MIN(MOD(A416/Calculator!$F$15,1),1-MOD(A416/Calculator!$F$15,1)),ABS(MOD(A416/Calculator!$F$15,1)-0.5))),1)</f>
        <v>0.224473684210526</v>
      </c>
      <c r="G416" s="138" t="n">
        <f aca="false">IF(Calculator!$E$16="YES",IF(A416&lt;Calculator!$G$16,0,MIN(MIN(MOD(A416/Calculator!$F$16,1),1-MOD(A416/Calculator!$F$16,1)),ABS(MOD(A416/Calculator!$F$16,1)-0.5))),1)</f>
        <v>0.0857368421052636</v>
      </c>
      <c r="H416" s="138" t="n">
        <f aca="false">IF(Calculator!$E$17="YES",IF(A416&lt;Calculator!$G$17,0,MIN(MIN(MOD(A416/Calculator!$F$17,1),1-MOD(A416/Calculator!$F$17,1)),ABS(MOD(A416/Calculator!$F$17,1)-0.5))),1)</f>
        <v>0.138668070175438</v>
      </c>
      <c r="I416" s="138" t="n">
        <f aca="false">IF(Calculator!$E$18="YES",IF(A416&lt;Calculator!$G$18,0,MIN(MIN(MOD(A416/Calculator!$F$18,1),1-MOD(A416/Calculator!$F$18,1)),ABS(MOD(A416/Calculator!$F$18,1)-0.5))),1)</f>
        <v>0.133526315789474</v>
      </c>
      <c r="J416" s="138" t="n">
        <f aca="false">IF(Calculator!$E$19="YES",IF(A416&lt;Calculator!$G$19,0,MIN(MIN(MOD(A416/Calculator!$F$19,1),1-MOD(A416/Calculator!$F$19,1)),ABS(MOD(A416/Calculator!$F$19,1)-0.5))),1)</f>
        <v>0.0683087719298232</v>
      </c>
      <c r="K416" s="138" t="n">
        <f aca="false">IF(Calculator!$E$20="YES",IF(A416&lt;Calculator!$G$20,0,MIN(MIN(MOD(A416/Calculator!$F$20,1),1-MOD(A416/Calculator!$F$20,1)),ABS(MOD(A416/Calculator!$F$20,1)-0.5))),1)</f>
        <v>0.166771929824561</v>
      </c>
      <c r="L416" s="138" t="n">
        <f aca="false">IF(Calculator!$E$21="YES",IF(A416&lt;Calculator!$G$21,0,MIN(MIN(MOD(A416/Calculator!$F$21,1),1-MOD(A416/Calculator!$F$21,1)),ABS(MOD(A416/Calculator!$F$21,1)-0.5))),1)</f>
        <v>0.177543859649123</v>
      </c>
      <c r="M416" s="138" t="n">
        <f aca="false">MIN(B416:L416)</f>
        <v>0.0683087719298232</v>
      </c>
      <c r="N416" s="138" t="n">
        <f aca="false">SUMPRODUCT(($M$5:$M$555&gt;M416)*1)+SUMPRODUCT(($M$5:$M$555=M416)*(ROW($M$5:$M$555)&lt;ROW(M416)))+1</f>
        <v>4</v>
      </c>
      <c r="O416" s="138" t="str">
        <f aca="false">IF(M416&gt;=0.2,"★★★ EXCELLENT",IF(M416&gt;=0.12,"★★  GOOD",IF(M416&gt;=0.07,"★  FAIR",IF(M416&gt;=0.025,"⚠  MARGINAL","✗  AVOID"))))</f>
        <v>⚠  MARGINAL</v>
      </c>
    </row>
    <row r="417" customFormat="false" ht="15" hidden="false" customHeight="false" outlineLevel="0" collapsed="false">
      <c r="A417" s="135" t="n">
        <v>46.2</v>
      </c>
      <c r="B417" s="136" t="n">
        <f aca="false">IF(Calculator!$E$11="YES",IF(A417&lt;Calculator!$G$11,0,MIN(MIN(MOD(A417/Calculator!$F$11,1),1-MOD(A417/Calculator!$F$11,1)),ABS(MOD(A417/Calculator!$F$11,1)-0.5))),1)</f>
        <v>0.116</v>
      </c>
      <c r="C417" s="136" t="n">
        <f aca="false">IF(Calculator!$E$12="YES",IF(A417&lt;Calculator!$G$12,0,MIN(MIN(MOD(A417/Calculator!$F$12,1),1-MOD(A417/Calculator!$F$12,1)),ABS(MOD(A417/Calculator!$F$12,1)-0.5))),1)</f>
        <v>0.183368421052632</v>
      </c>
      <c r="D417" s="136" t="n">
        <f aca="false">IF(Calculator!$E$13="YES",IF(A417&lt;Calculator!$G$13,0,MIN(MIN(MOD(A417/Calculator!$F$13,1),1-MOD(A417/Calculator!$F$13,1)),ABS(MOD(A417/Calculator!$F$13,1)-0.5))),1)</f>
        <v>0.237444210526316</v>
      </c>
      <c r="E417" s="136" t="n">
        <f aca="false">IF(Calculator!$E$14="YES",IF(A417&lt;Calculator!$G$14,0,MIN(MIN(MOD(A417/Calculator!$F$14,1),1-MOD(A417/Calculator!$F$14,1)),ABS(MOD(A417/Calculator!$F$14,1)-0.5))),1)</f>
        <v>0.181894736842105</v>
      </c>
      <c r="F417" s="136" t="n">
        <f aca="false">IF(Calculator!$E$15="YES",IF(A417&lt;Calculator!$G$15,0,MIN(MIN(MOD(A417/Calculator!$F$15,1),1-MOD(A417/Calculator!$F$15,1)),ABS(MOD(A417/Calculator!$F$15,1)-0.5))),1)</f>
        <v>0.217368421052631</v>
      </c>
      <c r="G417" s="136" t="n">
        <f aca="false">IF(Calculator!$E$16="YES",IF(A417&lt;Calculator!$G$16,0,MIN(MIN(MOD(A417/Calculator!$F$16,1),1-MOD(A417/Calculator!$F$16,1)),ABS(MOD(A417/Calculator!$F$16,1)-0.5))),1)</f>
        <v>0.0956842105263167</v>
      </c>
      <c r="H417" s="136" t="n">
        <f aca="false">IF(Calculator!$E$17="YES",IF(A417&lt;Calculator!$G$17,0,MIN(MIN(MOD(A417/Calculator!$F$17,1),1-MOD(A417/Calculator!$F$17,1)),ABS(MOD(A417/Calculator!$F$17,1)-0.5))),1)</f>
        <v>0.125953684210526</v>
      </c>
      <c r="I417" s="136" t="n">
        <f aca="false">IF(Calculator!$E$18="YES",IF(A417&lt;Calculator!$G$18,0,MIN(MIN(MOD(A417/Calculator!$F$18,1),1-MOD(A417/Calculator!$F$18,1)),ABS(MOD(A417/Calculator!$F$18,1)-0.5))),1)</f>
        <v>0.118631578947368</v>
      </c>
      <c r="J417" s="136" t="n">
        <f aca="false">IF(Calculator!$E$19="YES",IF(A417&lt;Calculator!$G$19,0,MIN(MIN(MOD(A417/Calculator!$F$19,1),1-MOD(A417/Calculator!$F$19,1)),ABS(MOD(A417/Calculator!$F$19,1)-0.5))),1)</f>
        <v>0.0858105263157878</v>
      </c>
      <c r="K417" s="136" t="n">
        <f aca="false">IF(Calculator!$E$20="YES",IF(A417&lt;Calculator!$G$20,0,MIN(MIN(MOD(A417/Calculator!$F$20,1),1-MOD(A417/Calculator!$F$20,1)),ABS(MOD(A417/Calculator!$F$20,1)-0.5))),1)</f>
        <v>0.146526315789473</v>
      </c>
      <c r="L417" s="136" t="n">
        <f aca="false">IF(Calculator!$E$21="YES",IF(A417&lt;Calculator!$G$21,0,MIN(MIN(MOD(A417/Calculator!$F$21,1),1-MOD(A417/Calculator!$F$21,1)),ABS(MOD(A417/Calculator!$F$21,1)-0.5))),1)</f>
        <v>0.141052631578948</v>
      </c>
      <c r="M417" s="136" t="n">
        <f aca="false">MIN(B417:L417)</f>
        <v>0.0858105263157878</v>
      </c>
      <c r="N417" s="136" t="n">
        <f aca="false">SUMPRODUCT(($M$5:$M$555&gt;M417)*1)+SUMPRODUCT(($M$5:$M$555=M417)*(ROW($M$5:$M$555)&lt;ROW(M417)))+1</f>
        <v>2</v>
      </c>
      <c r="O417" s="136" t="str">
        <f aca="false">IF(M417&gt;=0.2,"★★★ EXCELLENT",IF(M417&gt;=0.12,"★★  GOOD",IF(M417&gt;=0.07,"★  FAIR",IF(M417&gt;=0.025,"⚠  MARGINAL","✗  AVOID"))))</f>
        <v>★  FAIR</v>
      </c>
    </row>
    <row r="418" customFormat="false" ht="15" hidden="false" customHeight="false" outlineLevel="0" collapsed="false">
      <c r="A418" s="137" t="n">
        <v>46.3</v>
      </c>
      <c r="B418" s="138" t="n">
        <f aca="false">IF(Calculator!$E$11="YES",IF(A418&lt;Calculator!$G$11,0,MIN(MIN(MOD(A418/Calculator!$F$11,1),1-MOD(A418/Calculator!$F$11,1)),ABS(MOD(A418/Calculator!$F$11,1)-0.5))),1)</f>
        <v>0.117333333333333</v>
      </c>
      <c r="C418" s="138" t="n">
        <f aca="false">IF(Calculator!$E$12="YES",IF(A418&lt;Calculator!$G$12,0,MIN(MIN(MOD(A418/Calculator!$F$12,1),1-MOD(A418/Calculator!$F$12,1)),ABS(MOD(A418/Calculator!$F$12,1)-0.5))),1)</f>
        <v>0.185929824561403</v>
      </c>
      <c r="D418" s="138" t="n">
        <f aca="false">IF(Calculator!$E$13="YES",IF(A418&lt;Calculator!$G$13,0,MIN(MIN(MOD(A418/Calculator!$F$13,1),1-MOD(A418/Calculator!$F$13,1)),ABS(MOD(A418/Calculator!$F$13,1)-0.5))),1)</f>
        <v>0.241204912280702</v>
      </c>
      <c r="E418" s="138" t="n">
        <f aca="false">IF(Calculator!$E$14="YES",IF(A418&lt;Calculator!$G$14,0,MIN(MIN(MOD(A418/Calculator!$F$14,1),1-MOD(A418/Calculator!$F$14,1)),ABS(MOD(A418/Calculator!$F$14,1)-0.5))),1)</f>
        <v>0.176877192982456</v>
      </c>
      <c r="F418" s="138" t="n">
        <f aca="false">IF(Calculator!$E$15="YES",IF(A418&lt;Calculator!$G$15,0,MIN(MIN(MOD(A418/Calculator!$F$15,1),1-MOD(A418/Calculator!$F$15,1)),ABS(MOD(A418/Calculator!$F$15,1)-0.5))),1)</f>
        <v>0.210263157894737</v>
      </c>
      <c r="G418" s="138" t="n">
        <f aca="false">IF(Calculator!$E$16="YES",IF(A418&lt;Calculator!$G$16,0,MIN(MIN(MOD(A418/Calculator!$F$16,1),1-MOD(A418/Calculator!$F$16,1)),ABS(MOD(A418/Calculator!$F$16,1)-0.5))),1)</f>
        <v>0.105631578947368</v>
      </c>
      <c r="H418" s="138" t="n">
        <f aca="false">IF(Calculator!$E$17="YES",IF(A418&lt;Calculator!$G$17,0,MIN(MIN(MOD(A418/Calculator!$F$17,1),1-MOD(A418/Calculator!$F$17,1)),ABS(MOD(A418/Calculator!$F$17,1)-0.5))),1)</f>
        <v>0.113239298245614</v>
      </c>
      <c r="I418" s="138" t="n">
        <f aca="false">IF(Calculator!$E$18="YES",IF(A418&lt;Calculator!$G$18,0,MIN(MIN(MOD(A418/Calculator!$F$18,1),1-MOD(A418/Calculator!$F$18,1)),ABS(MOD(A418/Calculator!$F$18,1)-0.5))),1)</f>
        <v>0.103736842105263</v>
      </c>
      <c r="J418" s="138" t="n">
        <f aca="false">IF(Calculator!$E$19="YES",IF(A418&lt;Calculator!$G$19,0,MIN(MIN(MOD(A418/Calculator!$F$19,1),1-MOD(A418/Calculator!$F$19,1)),ABS(MOD(A418/Calculator!$F$19,1)-0.5))),1)</f>
        <v>0.103312280701752</v>
      </c>
      <c r="K418" s="138" t="n">
        <f aca="false">IF(Calculator!$E$20="YES",IF(A418&lt;Calculator!$G$20,0,MIN(MIN(MOD(A418/Calculator!$F$20,1),1-MOD(A418/Calculator!$F$20,1)),ABS(MOD(A418/Calculator!$F$20,1)-0.5))),1)</f>
        <v>0.126280701754387</v>
      </c>
      <c r="L418" s="138" t="n">
        <f aca="false">IF(Calculator!$E$21="YES",IF(A418&lt;Calculator!$G$21,0,MIN(MIN(MOD(A418/Calculator!$F$21,1),1-MOD(A418/Calculator!$F$21,1)),ABS(MOD(A418/Calculator!$F$21,1)-0.5))),1)</f>
        <v>0.104561403508772</v>
      </c>
      <c r="M418" s="138" t="n">
        <f aca="false">MIN(B418:L418)</f>
        <v>0.103312280701752</v>
      </c>
      <c r="N418" s="138" t="n">
        <f aca="false">SUMPRODUCT(($M$5:$M$555&gt;M418)*1)+SUMPRODUCT(($M$5:$M$555=M418)*(ROW($M$5:$M$555)&lt;ROW(M418)))+1</f>
        <v>1</v>
      </c>
      <c r="O418" s="138" t="str">
        <f aca="false">IF(M418&gt;=0.2,"★★★ EXCELLENT",IF(M418&gt;=0.12,"★★  GOOD",IF(M418&gt;=0.07,"★  FAIR",IF(M418&gt;=0.025,"⚠  MARGINAL","✗  AVOID"))))</f>
        <v>★  FAIR</v>
      </c>
    </row>
    <row r="419" customFormat="false" ht="15" hidden="false" customHeight="false" outlineLevel="0" collapsed="false">
      <c r="A419" s="135" t="n">
        <v>46.4</v>
      </c>
      <c r="B419" s="136" t="n">
        <f aca="false">IF(Calculator!$E$11="YES",IF(A419&lt;Calculator!$G$11,0,MIN(MIN(MOD(A419/Calculator!$F$11,1),1-MOD(A419/Calculator!$F$11,1)),ABS(MOD(A419/Calculator!$F$11,1)-0.5))),1)</f>
        <v>0.118666666666667</v>
      </c>
      <c r="C419" s="136" t="n">
        <f aca="false">IF(Calculator!$E$12="YES",IF(A419&lt;Calculator!$G$12,0,MIN(MIN(MOD(A419/Calculator!$F$12,1),1-MOD(A419/Calculator!$F$12,1)),ABS(MOD(A419/Calculator!$F$12,1)-0.5))),1)</f>
        <v>0.188491228070175</v>
      </c>
      <c r="D419" s="136" t="n">
        <f aca="false">IF(Calculator!$E$13="YES",IF(A419&lt;Calculator!$G$13,0,MIN(MIN(MOD(A419/Calculator!$F$13,1),1-MOD(A419/Calculator!$F$13,1)),ABS(MOD(A419/Calculator!$F$13,1)-0.5))),1)</f>
        <v>0.244965614035088</v>
      </c>
      <c r="E419" s="136" t="n">
        <f aca="false">IF(Calculator!$E$14="YES",IF(A419&lt;Calculator!$G$14,0,MIN(MIN(MOD(A419/Calculator!$F$14,1),1-MOD(A419/Calculator!$F$14,1)),ABS(MOD(A419/Calculator!$F$14,1)-0.5))),1)</f>
        <v>0.171859649122807</v>
      </c>
      <c r="F419" s="136" t="n">
        <f aca="false">IF(Calculator!$E$15="YES",IF(A419&lt;Calculator!$G$15,0,MIN(MIN(MOD(A419/Calculator!$F$15,1),1-MOD(A419/Calculator!$F$15,1)),ABS(MOD(A419/Calculator!$F$15,1)-0.5))),1)</f>
        <v>0.203157894736842</v>
      </c>
      <c r="G419" s="136" t="n">
        <f aca="false">IF(Calculator!$E$16="YES",IF(A419&lt;Calculator!$G$16,0,MIN(MIN(MOD(A419/Calculator!$F$16,1),1-MOD(A419/Calculator!$F$16,1)),ABS(MOD(A419/Calculator!$F$16,1)-0.5))),1)</f>
        <v>0.115578947368421</v>
      </c>
      <c r="H419" s="136" t="n">
        <f aca="false">IF(Calculator!$E$17="YES",IF(A419&lt;Calculator!$G$17,0,MIN(MIN(MOD(A419/Calculator!$F$17,1),1-MOD(A419/Calculator!$F$17,1)),ABS(MOD(A419/Calculator!$F$17,1)-0.5))),1)</f>
        <v>0.100524912280702</v>
      </c>
      <c r="I419" s="136" t="n">
        <f aca="false">IF(Calculator!$E$18="YES",IF(A419&lt;Calculator!$G$18,0,MIN(MIN(MOD(A419/Calculator!$F$18,1),1-MOD(A419/Calculator!$F$18,1)),ABS(MOD(A419/Calculator!$F$18,1)-0.5))),1)</f>
        <v>0.0888421052631578</v>
      </c>
      <c r="J419" s="136" t="n">
        <f aca="false">IF(Calculator!$E$19="YES",IF(A419&lt;Calculator!$G$19,0,MIN(MIN(MOD(A419/Calculator!$F$19,1),1-MOD(A419/Calculator!$F$19,1)),ABS(MOD(A419/Calculator!$F$19,1)-0.5))),1)</f>
        <v>0.120814035087717</v>
      </c>
      <c r="K419" s="136" t="n">
        <f aca="false">IF(Calculator!$E$20="YES",IF(A419&lt;Calculator!$G$20,0,MIN(MIN(MOD(A419/Calculator!$F$20,1),1-MOD(A419/Calculator!$F$20,1)),ABS(MOD(A419/Calculator!$F$20,1)-0.5))),1)</f>
        <v>0.106035087719299</v>
      </c>
      <c r="L419" s="136" t="n">
        <f aca="false">IF(Calculator!$E$21="YES",IF(A419&lt;Calculator!$G$21,0,MIN(MIN(MOD(A419/Calculator!$F$21,1),1-MOD(A419/Calculator!$F$21,1)),ABS(MOD(A419/Calculator!$F$21,1)-0.5))),1)</f>
        <v>0.0680701754385957</v>
      </c>
      <c r="M419" s="136" t="n">
        <f aca="false">MIN(B419:L419)</f>
        <v>0.0680701754385957</v>
      </c>
      <c r="N419" s="136" t="n">
        <f aca="false">SUMPRODUCT(($M$5:$M$555&gt;M419)*1)+SUMPRODUCT(($M$5:$M$555=M419)*(ROW($M$5:$M$555)&lt;ROW(M419)))+1</f>
        <v>5</v>
      </c>
      <c r="O419" s="136" t="str">
        <f aca="false">IF(M419&gt;=0.2,"★★★ EXCELLENT",IF(M419&gt;=0.12,"★★  GOOD",IF(M419&gt;=0.07,"★  FAIR",IF(M419&gt;=0.025,"⚠  MARGINAL","✗  AVOID"))))</f>
        <v>⚠  MARGINAL</v>
      </c>
    </row>
    <row r="420" customFormat="false" ht="15" hidden="false" customHeight="false" outlineLevel="0" collapsed="false">
      <c r="A420" s="137" t="n">
        <v>46.5</v>
      </c>
      <c r="B420" s="138" t="n">
        <f aca="false">IF(Calculator!$E$11="YES",IF(A420&lt;Calculator!$G$11,0,MIN(MIN(MOD(A420/Calculator!$F$11,1),1-MOD(A420/Calculator!$F$11,1)),ABS(MOD(A420/Calculator!$F$11,1)-0.5))),1)</f>
        <v>0.12</v>
      </c>
      <c r="C420" s="138" t="n">
        <f aca="false">IF(Calculator!$E$12="YES",IF(A420&lt;Calculator!$G$12,0,MIN(MIN(MOD(A420/Calculator!$F$12,1),1-MOD(A420/Calculator!$F$12,1)),ABS(MOD(A420/Calculator!$F$12,1)-0.5))),1)</f>
        <v>0.191052631578947</v>
      </c>
      <c r="D420" s="138" t="n">
        <f aca="false">IF(Calculator!$E$13="YES",IF(A420&lt;Calculator!$G$13,0,MIN(MIN(MOD(A420/Calculator!$F$13,1),1-MOD(A420/Calculator!$F$13,1)),ABS(MOD(A420/Calculator!$F$13,1)-0.5))),1)</f>
        <v>0.248726315789474</v>
      </c>
      <c r="E420" s="138" t="n">
        <f aca="false">IF(Calculator!$E$14="YES",IF(A420&lt;Calculator!$G$14,0,MIN(MIN(MOD(A420/Calculator!$F$14,1),1-MOD(A420/Calculator!$F$14,1)),ABS(MOD(A420/Calculator!$F$14,1)-0.5))),1)</f>
        <v>0.166842105263158</v>
      </c>
      <c r="F420" s="138" t="n">
        <f aca="false">IF(Calculator!$E$15="YES",IF(A420&lt;Calculator!$G$15,0,MIN(MIN(MOD(A420/Calculator!$F$15,1),1-MOD(A420/Calculator!$F$15,1)),ABS(MOD(A420/Calculator!$F$15,1)-0.5))),1)</f>
        <v>0.196052631578947</v>
      </c>
      <c r="G420" s="138" t="n">
        <f aca="false">IF(Calculator!$E$16="YES",IF(A420&lt;Calculator!$G$16,0,MIN(MIN(MOD(A420/Calculator!$F$16,1),1-MOD(A420/Calculator!$F$16,1)),ABS(MOD(A420/Calculator!$F$16,1)-0.5))),1)</f>
        <v>0.125526315789474</v>
      </c>
      <c r="H420" s="138" t="n">
        <f aca="false">IF(Calculator!$E$17="YES",IF(A420&lt;Calculator!$G$17,0,MIN(MIN(MOD(A420/Calculator!$F$17,1),1-MOD(A420/Calculator!$F$17,1)),ABS(MOD(A420/Calculator!$F$17,1)-0.5))),1)</f>
        <v>0.0878105263157885</v>
      </c>
      <c r="I420" s="138" t="n">
        <f aca="false">IF(Calculator!$E$18="YES",IF(A420&lt;Calculator!$G$18,0,MIN(MIN(MOD(A420/Calculator!$F$18,1),1-MOD(A420/Calculator!$F$18,1)),ABS(MOD(A420/Calculator!$F$18,1)-0.5))),1)</f>
        <v>0.0739473684210523</v>
      </c>
      <c r="J420" s="138" t="n">
        <f aca="false">IF(Calculator!$E$19="YES",IF(A420&lt;Calculator!$G$19,0,MIN(MIN(MOD(A420/Calculator!$F$19,1),1-MOD(A420/Calculator!$F$19,1)),ABS(MOD(A420/Calculator!$F$19,1)-0.5))),1)</f>
        <v>0.138315789473683</v>
      </c>
      <c r="K420" s="138" t="n">
        <f aca="false">IF(Calculator!$E$20="YES",IF(A420&lt;Calculator!$G$20,0,MIN(MIN(MOD(A420/Calculator!$F$20,1),1-MOD(A420/Calculator!$F$20,1)),ABS(MOD(A420/Calculator!$F$20,1)-0.5))),1)</f>
        <v>0.0857894736842102</v>
      </c>
      <c r="L420" s="138" t="n">
        <f aca="false">IF(Calculator!$E$21="YES",IF(A420&lt;Calculator!$G$21,0,MIN(MIN(MOD(A420/Calculator!$F$21,1),1-MOD(A420/Calculator!$F$21,1)),ABS(MOD(A420/Calculator!$F$21,1)-0.5))),1)</f>
        <v>0.0315789473684198</v>
      </c>
      <c r="M420" s="138" t="n">
        <f aca="false">MIN(B420:L420)</f>
        <v>0.0315789473684198</v>
      </c>
      <c r="N420" s="138" t="n">
        <f aca="false">SUMPRODUCT(($M$5:$M$555&gt;M420)*1)+SUMPRODUCT(($M$5:$M$555=M420)*(ROW($M$5:$M$555)&lt;ROW(M420)))+1</f>
        <v>41</v>
      </c>
      <c r="O420" s="138" t="str">
        <f aca="false">IF(M420&gt;=0.2,"★★★ EXCELLENT",IF(M420&gt;=0.12,"★★  GOOD",IF(M420&gt;=0.07,"★  FAIR",IF(M420&gt;=0.025,"⚠  MARGINAL","✗  AVOID"))))</f>
        <v>⚠  MARGINAL</v>
      </c>
    </row>
    <row r="421" customFormat="false" ht="15" hidden="false" customHeight="false" outlineLevel="0" collapsed="false">
      <c r="A421" s="135" t="n">
        <v>46.6</v>
      </c>
      <c r="B421" s="136" t="n">
        <f aca="false">IF(Calculator!$E$11="YES",IF(A421&lt;Calculator!$G$11,0,MIN(MIN(MOD(A421/Calculator!$F$11,1),1-MOD(A421/Calculator!$F$11,1)),ABS(MOD(A421/Calculator!$F$11,1)-0.5))),1)</f>
        <v>0.121333333333333</v>
      </c>
      <c r="C421" s="136" t="n">
        <f aca="false">IF(Calculator!$E$12="YES",IF(A421&lt;Calculator!$G$12,0,MIN(MIN(MOD(A421/Calculator!$F$12,1),1-MOD(A421/Calculator!$F$12,1)),ABS(MOD(A421/Calculator!$F$12,1)-0.5))),1)</f>
        <v>0.193614035087719</v>
      </c>
      <c r="D421" s="136" t="n">
        <f aca="false">IF(Calculator!$E$13="YES",IF(A421&lt;Calculator!$G$13,0,MIN(MIN(MOD(A421/Calculator!$F$13,1),1-MOD(A421/Calculator!$F$13,1)),ABS(MOD(A421/Calculator!$F$13,1)-0.5))),1)</f>
        <v>0.24751298245614</v>
      </c>
      <c r="E421" s="136" t="n">
        <f aca="false">IF(Calculator!$E$14="YES",IF(A421&lt;Calculator!$G$14,0,MIN(MIN(MOD(A421/Calculator!$F$14,1),1-MOD(A421/Calculator!$F$14,1)),ABS(MOD(A421/Calculator!$F$14,1)-0.5))),1)</f>
        <v>0.161824561403509</v>
      </c>
      <c r="F421" s="136" t="n">
        <f aca="false">IF(Calculator!$E$15="YES",IF(A421&lt;Calculator!$G$15,0,MIN(MIN(MOD(A421/Calculator!$F$15,1),1-MOD(A421/Calculator!$F$15,1)),ABS(MOD(A421/Calculator!$F$15,1)-0.5))),1)</f>
        <v>0.188947368421053</v>
      </c>
      <c r="G421" s="136" t="n">
        <f aca="false">IF(Calculator!$E$16="YES",IF(A421&lt;Calculator!$G$16,0,MIN(MIN(MOD(A421/Calculator!$F$16,1),1-MOD(A421/Calculator!$F$16,1)),ABS(MOD(A421/Calculator!$F$16,1)-0.5))),1)</f>
        <v>0.135473684210527</v>
      </c>
      <c r="H421" s="136" t="n">
        <f aca="false">IF(Calculator!$E$17="YES",IF(A421&lt;Calculator!$G$17,0,MIN(MIN(MOD(A421/Calculator!$F$17,1),1-MOD(A421/Calculator!$F$17,1)),ABS(MOD(A421/Calculator!$F$17,1)-0.5))),1)</f>
        <v>0.0750961403508761</v>
      </c>
      <c r="I421" s="136" t="n">
        <f aca="false">IF(Calculator!$E$18="YES",IF(A421&lt;Calculator!$G$18,0,MIN(MIN(MOD(A421/Calculator!$F$18,1),1-MOD(A421/Calculator!$F$18,1)),ABS(MOD(A421/Calculator!$F$18,1)-0.5))),1)</f>
        <v>0.0590526315789468</v>
      </c>
      <c r="J421" s="136" t="n">
        <f aca="false">IF(Calculator!$E$19="YES",IF(A421&lt;Calculator!$G$19,0,MIN(MIN(MOD(A421/Calculator!$F$19,1),1-MOD(A421/Calculator!$F$19,1)),ABS(MOD(A421/Calculator!$F$19,1)-0.5))),1)</f>
        <v>0.155817543859648</v>
      </c>
      <c r="K421" s="136" t="n">
        <f aca="false">IF(Calculator!$E$20="YES",IF(A421&lt;Calculator!$G$20,0,MIN(MIN(MOD(A421/Calculator!$F$20,1),1-MOD(A421/Calculator!$F$20,1)),ABS(MOD(A421/Calculator!$F$20,1)-0.5))),1)</f>
        <v>0.0655438596491234</v>
      </c>
      <c r="L421" s="136" t="n">
        <f aca="false">IF(Calculator!$E$21="YES",IF(A421&lt;Calculator!$G$21,0,MIN(MIN(MOD(A421/Calculator!$F$21,1),1-MOD(A421/Calculator!$F$21,1)),ABS(MOD(A421/Calculator!$F$21,1)-0.5))),1)</f>
        <v>0.00491228070175609</v>
      </c>
      <c r="M421" s="136" t="n">
        <f aca="false">MIN(B421:L421)</f>
        <v>0.00491228070175609</v>
      </c>
      <c r="N421" s="136" t="n">
        <f aca="false">SUMPRODUCT(($M$5:$M$555&gt;M421)*1)+SUMPRODUCT(($M$5:$M$555=M421)*(ROW($M$5:$M$555)&lt;ROW(M421)))+1</f>
        <v>176</v>
      </c>
      <c r="O421" s="136" t="str">
        <f aca="false">IF(M421&gt;=0.2,"★★★ EXCELLENT",IF(M421&gt;=0.12,"★★  GOOD",IF(M421&gt;=0.07,"★  FAIR",IF(M421&gt;=0.025,"⚠  MARGINAL","✗  AVOID"))))</f>
        <v>✗  AVOID</v>
      </c>
    </row>
    <row r="422" customFormat="false" ht="15" hidden="false" customHeight="false" outlineLevel="0" collapsed="false">
      <c r="A422" s="137" t="n">
        <v>46.7</v>
      </c>
      <c r="B422" s="138" t="n">
        <f aca="false">IF(Calculator!$E$11="YES",IF(A422&lt;Calculator!$G$11,0,MIN(MIN(MOD(A422/Calculator!$F$11,1),1-MOD(A422/Calculator!$F$11,1)),ABS(MOD(A422/Calculator!$F$11,1)-0.5))),1)</f>
        <v>0.122666666666667</v>
      </c>
      <c r="C422" s="138" t="n">
        <f aca="false">IF(Calculator!$E$12="YES",IF(A422&lt;Calculator!$G$12,0,MIN(MIN(MOD(A422/Calculator!$F$12,1),1-MOD(A422/Calculator!$F$12,1)),ABS(MOD(A422/Calculator!$F$12,1)-0.5))),1)</f>
        <v>0.196175438596491</v>
      </c>
      <c r="D422" s="138" t="n">
        <f aca="false">IF(Calculator!$E$13="YES",IF(A422&lt;Calculator!$G$13,0,MIN(MIN(MOD(A422/Calculator!$F$13,1),1-MOD(A422/Calculator!$F$13,1)),ABS(MOD(A422/Calculator!$F$13,1)-0.5))),1)</f>
        <v>0.243752280701754</v>
      </c>
      <c r="E422" s="138" t="n">
        <f aca="false">IF(Calculator!$E$14="YES",IF(A422&lt;Calculator!$G$14,0,MIN(MIN(MOD(A422/Calculator!$F$14,1),1-MOD(A422/Calculator!$F$14,1)),ABS(MOD(A422/Calculator!$F$14,1)-0.5))),1)</f>
        <v>0.156807017543859</v>
      </c>
      <c r="F422" s="138" t="n">
        <f aca="false">IF(Calculator!$E$15="YES",IF(A422&lt;Calculator!$G$15,0,MIN(MIN(MOD(A422/Calculator!$F$15,1),1-MOD(A422/Calculator!$F$15,1)),ABS(MOD(A422/Calculator!$F$15,1)-0.5))),1)</f>
        <v>0.181842105263158</v>
      </c>
      <c r="G422" s="138" t="n">
        <f aca="false">IF(Calculator!$E$16="YES",IF(A422&lt;Calculator!$G$16,0,MIN(MIN(MOD(A422/Calculator!$F$16,1),1-MOD(A422/Calculator!$F$16,1)),ABS(MOD(A422/Calculator!$F$16,1)-0.5))),1)</f>
        <v>0.14542105263158</v>
      </c>
      <c r="H422" s="138" t="n">
        <f aca="false">IF(Calculator!$E$17="YES",IF(A422&lt;Calculator!$G$17,0,MIN(MIN(MOD(A422/Calculator!$F$17,1),1-MOD(A422/Calculator!$F$17,1)),ABS(MOD(A422/Calculator!$F$17,1)-0.5))),1)</f>
        <v>0.0623817543859637</v>
      </c>
      <c r="I422" s="138" t="n">
        <f aca="false">IF(Calculator!$E$18="YES",IF(A422&lt;Calculator!$G$18,0,MIN(MIN(MOD(A422/Calculator!$F$18,1),1-MOD(A422/Calculator!$F$18,1)),ABS(MOD(A422/Calculator!$F$18,1)-0.5))),1)</f>
        <v>0.0441578947368413</v>
      </c>
      <c r="J422" s="138" t="n">
        <f aca="false">IF(Calculator!$E$19="YES",IF(A422&lt;Calculator!$G$19,0,MIN(MIN(MOD(A422/Calculator!$F$19,1),1-MOD(A422/Calculator!$F$19,1)),ABS(MOD(A422/Calculator!$F$19,1)-0.5))),1)</f>
        <v>0.173319298245612</v>
      </c>
      <c r="K422" s="138" t="n">
        <f aca="false">IF(Calculator!$E$20="YES",IF(A422&lt;Calculator!$G$20,0,MIN(MIN(MOD(A422/Calculator!$F$20,1),1-MOD(A422/Calculator!$F$20,1)),ABS(MOD(A422/Calculator!$F$20,1)-0.5))),1)</f>
        <v>0.0452982456140347</v>
      </c>
      <c r="L422" s="138" t="n">
        <f aca="false">IF(Calculator!$E$21="YES",IF(A422&lt;Calculator!$G$21,0,MIN(MIN(MOD(A422/Calculator!$F$21,1),1-MOD(A422/Calculator!$F$21,1)),ABS(MOD(A422/Calculator!$F$21,1)-0.5))),1)</f>
        <v>0.041403508771932</v>
      </c>
      <c r="M422" s="138" t="n">
        <f aca="false">MIN(B422:L422)</f>
        <v>0.041403508771932</v>
      </c>
      <c r="N422" s="138" t="n">
        <f aca="false">SUMPRODUCT(($M$5:$M$555&gt;M422)*1)+SUMPRODUCT(($M$5:$M$555=M422)*(ROW($M$5:$M$555)&lt;ROW(M422)))+1</f>
        <v>22</v>
      </c>
      <c r="O422" s="138" t="str">
        <f aca="false">IF(M422&gt;=0.2,"★★★ EXCELLENT",IF(M422&gt;=0.12,"★★  GOOD",IF(M422&gt;=0.07,"★  FAIR",IF(M422&gt;=0.025,"⚠  MARGINAL","✗  AVOID"))))</f>
        <v>⚠  MARGINAL</v>
      </c>
    </row>
    <row r="423" customFormat="false" ht="15" hidden="false" customHeight="false" outlineLevel="0" collapsed="false">
      <c r="A423" s="135" t="n">
        <v>46.8</v>
      </c>
      <c r="B423" s="136" t="n">
        <f aca="false">IF(Calculator!$E$11="YES",IF(A423&lt;Calculator!$G$11,0,MIN(MIN(MOD(A423/Calculator!$F$11,1),1-MOD(A423/Calculator!$F$11,1)),ABS(MOD(A423/Calculator!$F$11,1)-0.5))),1)</f>
        <v>0.124</v>
      </c>
      <c r="C423" s="136" t="n">
        <f aca="false">IF(Calculator!$E$12="YES",IF(A423&lt;Calculator!$G$12,0,MIN(MIN(MOD(A423/Calculator!$F$12,1),1-MOD(A423/Calculator!$F$12,1)),ABS(MOD(A423/Calculator!$F$12,1)-0.5))),1)</f>
        <v>0.198736842105263</v>
      </c>
      <c r="D423" s="136" t="n">
        <f aca="false">IF(Calculator!$E$13="YES",IF(A423&lt;Calculator!$G$13,0,MIN(MIN(MOD(A423/Calculator!$F$13,1),1-MOD(A423/Calculator!$F$13,1)),ABS(MOD(A423/Calculator!$F$13,1)-0.5))),1)</f>
        <v>0.239991578947369</v>
      </c>
      <c r="E423" s="136" t="n">
        <f aca="false">IF(Calculator!$E$14="YES",IF(A423&lt;Calculator!$G$14,0,MIN(MIN(MOD(A423/Calculator!$F$14,1),1-MOD(A423/Calculator!$F$14,1)),ABS(MOD(A423/Calculator!$F$14,1)-0.5))),1)</f>
        <v>0.15178947368421</v>
      </c>
      <c r="F423" s="136" t="n">
        <f aca="false">IF(Calculator!$E$15="YES",IF(A423&lt;Calculator!$G$15,0,MIN(MIN(MOD(A423/Calculator!$F$15,1),1-MOD(A423/Calculator!$F$15,1)),ABS(MOD(A423/Calculator!$F$15,1)-0.5))),1)</f>
        <v>0.174736842105264</v>
      </c>
      <c r="G423" s="136" t="n">
        <f aca="false">IF(Calculator!$E$16="YES",IF(A423&lt;Calculator!$G$16,0,MIN(MIN(MOD(A423/Calculator!$F$16,1),1-MOD(A423/Calculator!$F$16,1)),ABS(MOD(A423/Calculator!$F$16,1)-0.5))),1)</f>
        <v>0.155368421052632</v>
      </c>
      <c r="H423" s="136" t="n">
        <f aca="false">IF(Calculator!$E$17="YES",IF(A423&lt;Calculator!$G$17,0,MIN(MIN(MOD(A423/Calculator!$F$17,1),1-MOD(A423/Calculator!$F$17,1)),ABS(MOD(A423/Calculator!$F$17,1)-0.5))),1)</f>
        <v>0.0496673684210522</v>
      </c>
      <c r="I423" s="136" t="n">
        <f aca="false">IF(Calculator!$E$18="YES",IF(A423&lt;Calculator!$G$18,0,MIN(MIN(MOD(A423/Calculator!$F$18,1),1-MOD(A423/Calculator!$F$18,1)),ABS(MOD(A423/Calculator!$F$18,1)-0.5))),1)</f>
        <v>0.0292631578947367</v>
      </c>
      <c r="J423" s="136" t="n">
        <f aca="false">IF(Calculator!$E$19="YES",IF(A423&lt;Calculator!$G$19,0,MIN(MIN(MOD(A423/Calculator!$F$19,1),1-MOD(A423/Calculator!$F$19,1)),ABS(MOD(A423/Calculator!$F$19,1)-0.5))),1)</f>
        <v>0.190821052631577</v>
      </c>
      <c r="K423" s="136" t="n">
        <f aca="false">IF(Calculator!$E$20="YES",IF(A423&lt;Calculator!$G$20,0,MIN(MIN(MOD(A423/Calculator!$F$20,1),1-MOD(A423/Calculator!$F$20,1)),ABS(MOD(A423/Calculator!$F$20,1)-0.5))),1)</f>
        <v>0.0250526315789479</v>
      </c>
      <c r="L423" s="136" t="n">
        <f aca="false">IF(Calculator!$E$21="YES",IF(A423&lt;Calculator!$G$21,0,MIN(MIN(MOD(A423/Calculator!$F$21,1),1-MOD(A423/Calculator!$F$21,1)),ABS(MOD(A423/Calculator!$F$21,1)-0.5))),1)</f>
        <v>0.0778947368421044</v>
      </c>
      <c r="M423" s="136" t="n">
        <f aca="false">MIN(B423:L423)</f>
        <v>0.0250526315789479</v>
      </c>
      <c r="N423" s="136" t="n">
        <f aca="false">SUMPRODUCT(($M$5:$M$555&gt;M423)*1)+SUMPRODUCT(($M$5:$M$555=M423)*(ROW($M$5:$M$555)&lt;ROW(M423)))+1</f>
        <v>65</v>
      </c>
      <c r="O423" s="136" t="str">
        <f aca="false">IF(M423&gt;=0.2,"★★★ EXCELLENT",IF(M423&gt;=0.12,"★★  GOOD",IF(M423&gt;=0.07,"★  FAIR",IF(M423&gt;=0.025,"⚠  MARGINAL","✗  AVOID"))))</f>
        <v>⚠  MARGINAL</v>
      </c>
    </row>
    <row r="424" customFormat="false" ht="15" hidden="false" customHeight="false" outlineLevel="0" collapsed="false">
      <c r="A424" s="137" t="n">
        <v>46.9</v>
      </c>
      <c r="B424" s="138" t="n">
        <f aca="false">IF(Calculator!$E$11="YES",IF(A424&lt;Calculator!$G$11,0,MIN(MIN(MOD(A424/Calculator!$F$11,1),1-MOD(A424/Calculator!$F$11,1)),ABS(MOD(A424/Calculator!$F$11,1)-0.5))),1)</f>
        <v>0.125333333333333</v>
      </c>
      <c r="C424" s="138" t="n">
        <f aca="false">IF(Calculator!$E$12="YES",IF(A424&lt;Calculator!$G$12,0,MIN(MIN(MOD(A424/Calculator!$F$12,1),1-MOD(A424/Calculator!$F$12,1)),ABS(MOD(A424/Calculator!$F$12,1)-0.5))),1)</f>
        <v>0.201298245614035</v>
      </c>
      <c r="D424" s="138" t="n">
        <f aca="false">IF(Calculator!$E$13="YES",IF(A424&lt;Calculator!$G$13,0,MIN(MIN(MOD(A424/Calculator!$F$13,1),1-MOD(A424/Calculator!$F$13,1)),ABS(MOD(A424/Calculator!$F$13,1)-0.5))),1)</f>
        <v>0.236230877192983</v>
      </c>
      <c r="E424" s="138" t="n">
        <f aca="false">IF(Calculator!$E$14="YES",IF(A424&lt;Calculator!$G$14,0,MIN(MIN(MOD(A424/Calculator!$F$14,1),1-MOD(A424/Calculator!$F$14,1)),ABS(MOD(A424/Calculator!$F$14,1)-0.5))),1)</f>
        <v>0.146771929824562</v>
      </c>
      <c r="F424" s="138" t="n">
        <f aca="false">IF(Calculator!$E$15="YES",IF(A424&lt;Calculator!$G$15,0,MIN(MIN(MOD(A424/Calculator!$F$15,1),1-MOD(A424/Calculator!$F$15,1)),ABS(MOD(A424/Calculator!$F$15,1)-0.5))),1)</f>
        <v>0.167631578947369</v>
      </c>
      <c r="G424" s="138" t="n">
        <f aca="false">IF(Calculator!$E$16="YES",IF(A424&lt;Calculator!$G$16,0,MIN(MIN(MOD(A424/Calculator!$F$16,1),1-MOD(A424/Calculator!$F$16,1)),ABS(MOD(A424/Calculator!$F$16,1)-0.5))),1)</f>
        <v>0.165315789473684</v>
      </c>
      <c r="H424" s="138" t="n">
        <f aca="false">IF(Calculator!$E$17="YES",IF(A424&lt;Calculator!$G$17,0,MIN(MIN(MOD(A424/Calculator!$F$17,1),1-MOD(A424/Calculator!$F$17,1)),ABS(MOD(A424/Calculator!$F$17,1)-0.5))),1)</f>
        <v>0.0369529824561399</v>
      </c>
      <c r="I424" s="138" t="n">
        <f aca="false">IF(Calculator!$E$18="YES",IF(A424&lt;Calculator!$G$18,0,MIN(MIN(MOD(A424/Calculator!$F$18,1),1-MOD(A424/Calculator!$F$18,1)),ABS(MOD(A424/Calculator!$F$18,1)-0.5))),1)</f>
        <v>0.0143684210526311</v>
      </c>
      <c r="J424" s="138" t="n">
        <f aca="false">IF(Calculator!$E$19="YES",IF(A424&lt;Calculator!$G$19,0,MIN(MIN(MOD(A424/Calculator!$F$19,1),1-MOD(A424/Calculator!$F$19,1)),ABS(MOD(A424/Calculator!$F$19,1)-0.5))),1)</f>
        <v>0.208322807017542</v>
      </c>
      <c r="K424" s="138" t="n">
        <f aca="false">IF(Calculator!$E$20="YES",IF(A424&lt;Calculator!$G$20,0,MIN(MIN(MOD(A424/Calculator!$F$20,1),1-MOD(A424/Calculator!$F$20,1)),ABS(MOD(A424/Calculator!$F$20,1)-0.5))),1)</f>
        <v>0.00480701754385926</v>
      </c>
      <c r="L424" s="138" t="n">
        <f aca="false">IF(Calculator!$E$21="YES",IF(A424&lt;Calculator!$G$21,0,MIN(MIN(MOD(A424/Calculator!$F$21,1),1-MOD(A424/Calculator!$F$21,1)),ABS(MOD(A424/Calculator!$F$21,1)-0.5))),1)</f>
        <v>0.11438596491228</v>
      </c>
      <c r="M424" s="138" t="n">
        <f aca="false">MIN(B424:L424)</f>
        <v>0.00480701754385926</v>
      </c>
      <c r="N424" s="138" t="n">
        <f aca="false">SUMPRODUCT(($M$5:$M$555&gt;M424)*1)+SUMPRODUCT(($M$5:$M$555=M424)*(ROW($M$5:$M$555)&lt;ROW(M424)))+1</f>
        <v>178</v>
      </c>
      <c r="O424" s="138" t="str">
        <f aca="false">IF(M424&gt;=0.2,"★★★ EXCELLENT",IF(M424&gt;=0.12,"★★  GOOD",IF(M424&gt;=0.07,"★  FAIR",IF(M424&gt;=0.025,"⚠  MARGINAL","✗  AVOID"))))</f>
        <v>✗  AVOID</v>
      </c>
    </row>
    <row r="425" customFormat="false" ht="15" hidden="false" customHeight="false" outlineLevel="0" collapsed="false">
      <c r="A425" s="135" t="n">
        <v>47</v>
      </c>
      <c r="B425" s="136" t="n">
        <f aca="false">IF(Calculator!$E$11="YES",IF(A425&lt;Calculator!$G$11,0,MIN(MIN(MOD(A425/Calculator!$F$11,1),1-MOD(A425/Calculator!$F$11,1)),ABS(MOD(A425/Calculator!$F$11,1)-0.5))),1)</f>
        <v>0.126666666666667</v>
      </c>
      <c r="C425" s="136" t="n">
        <f aca="false">IF(Calculator!$E$12="YES",IF(A425&lt;Calculator!$G$12,0,MIN(MIN(MOD(A425/Calculator!$F$12,1),1-MOD(A425/Calculator!$F$12,1)),ABS(MOD(A425/Calculator!$F$12,1)-0.5))),1)</f>
        <v>0.203859649122807</v>
      </c>
      <c r="D425" s="136" t="n">
        <f aca="false">IF(Calculator!$E$13="YES",IF(A425&lt;Calculator!$G$13,0,MIN(MIN(MOD(A425/Calculator!$F$13,1),1-MOD(A425/Calculator!$F$13,1)),ABS(MOD(A425/Calculator!$F$13,1)-0.5))),1)</f>
        <v>0.232470175438597</v>
      </c>
      <c r="E425" s="136" t="n">
        <f aca="false">IF(Calculator!$E$14="YES",IF(A425&lt;Calculator!$G$14,0,MIN(MIN(MOD(A425/Calculator!$F$14,1),1-MOD(A425/Calculator!$F$14,1)),ABS(MOD(A425/Calculator!$F$14,1)-0.5))),1)</f>
        <v>0.141754385964912</v>
      </c>
      <c r="F425" s="136" t="n">
        <f aca="false">IF(Calculator!$E$15="YES",IF(A425&lt;Calculator!$G$15,0,MIN(MIN(MOD(A425/Calculator!$F$15,1),1-MOD(A425/Calculator!$F$15,1)),ABS(MOD(A425/Calculator!$F$15,1)-0.5))),1)</f>
        <v>0.160526315789474</v>
      </c>
      <c r="G425" s="136" t="n">
        <f aca="false">IF(Calculator!$E$16="YES",IF(A425&lt;Calculator!$G$16,0,MIN(MIN(MOD(A425/Calculator!$F$16,1),1-MOD(A425/Calculator!$F$16,1)),ABS(MOD(A425/Calculator!$F$16,1)-0.5))),1)</f>
        <v>0.175263157894737</v>
      </c>
      <c r="H425" s="136" t="n">
        <f aca="false">IF(Calculator!$E$17="YES",IF(A425&lt;Calculator!$G$17,0,MIN(MIN(MOD(A425/Calculator!$F$17,1),1-MOD(A425/Calculator!$F$17,1)),ABS(MOD(A425/Calculator!$F$17,1)-0.5))),1)</f>
        <v>0.0242385964912275</v>
      </c>
      <c r="I425" s="136" t="n">
        <f aca="false">IF(Calculator!$E$18="YES",IF(A425&lt;Calculator!$G$18,0,MIN(MIN(MOD(A425/Calculator!$F$18,1),1-MOD(A425/Calculator!$F$18,1)),ABS(MOD(A425/Calculator!$F$18,1)-0.5))),1)</f>
        <v>0.000526315789474374</v>
      </c>
      <c r="J425" s="136" t="n">
        <f aca="false">IF(Calculator!$E$19="YES",IF(A425&lt;Calculator!$G$19,0,MIN(MIN(MOD(A425/Calculator!$F$19,1),1-MOD(A425/Calculator!$F$19,1)),ABS(MOD(A425/Calculator!$F$19,1)-0.5))),1)</f>
        <v>0.225824561403508</v>
      </c>
      <c r="K425" s="136" t="n">
        <f aca="false">IF(Calculator!$E$20="YES",IF(A425&lt;Calculator!$G$20,0,MIN(MIN(MOD(A425/Calculator!$F$20,1),1-MOD(A425/Calculator!$F$20,1)),ABS(MOD(A425/Calculator!$F$20,1)-0.5))),1)</f>
        <v>0.0154385964912276</v>
      </c>
      <c r="L425" s="136" t="n">
        <f aca="false">IF(Calculator!$E$21="YES",IF(A425&lt;Calculator!$G$21,0,MIN(MIN(MOD(A425/Calculator!$F$21,1),1-MOD(A425/Calculator!$F$21,1)),ABS(MOD(A425/Calculator!$F$21,1)-0.5))),1)</f>
        <v>0.150877192982456</v>
      </c>
      <c r="M425" s="136" t="n">
        <f aca="false">MIN(B425:L425)</f>
        <v>0.000526315789474374</v>
      </c>
      <c r="N425" s="136" t="n">
        <f aca="false">SUMPRODUCT(($M$5:$M$555&gt;M425)*1)+SUMPRODUCT(($M$5:$M$555=M425)*(ROW($M$5:$M$555)&lt;ROW(M425)))+1</f>
        <v>221</v>
      </c>
      <c r="O425" s="136" t="str">
        <f aca="false">IF(M425&gt;=0.2,"★★★ EXCELLENT",IF(M425&gt;=0.12,"★★  GOOD",IF(M425&gt;=0.07,"★  FAIR",IF(M425&gt;=0.025,"⚠  MARGINAL","✗  AVOID"))))</f>
        <v>✗  AVOID</v>
      </c>
    </row>
    <row r="426" customFormat="false" ht="15" hidden="false" customHeight="false" outlineLevel="0" collapsed="false">
      <c r="A426" s="137" t="n">
        <v>47.1</v>
      </c>
      <c r="B426" s="138" t="n">
        <f aca="false">IF(Calculator!$E$11="YES",IF(A426&lt;Calculator!$G$11,0,MIN(MIN(MOD(A426/Calculator!$F$11,1),1-MOD(A426/Calculator!$F$11,1)),ABS(MOD(A426/Calculator!$F$11,1)-0.5))),1)</f>
        <v>0.128</v>
      </c>
      <c r="C426" s="138" t="n">
        <f aca="false">IF(Calculator!$E$12="YES",IF(A426&lt;Calculator!$G$12,0,MIN(MIN(MOD(A426/Calculator!$F$12,1),1-MOD(A426/Calculator!$F$12,1)),ABS(MOD(A426/Calculator!$F$12,1)-0.5))),1)</f>
        <v>0.206421052631579</v>
      </c>
      <c r="D426" s="138" t="n">
        <f aca="false">IF(Calculator!$E$13="YES",IF(A426&lt;Calculator!$G$13,0,MIN(MIN(MOD(A426/Calculator!$F$13,1),1-MOD(A426/Calculator!$F$13,1)),ABS(MOD(A426/Calculator!$F$13,1)-0.5))),1)</f>
        <v>0.228709473684211</v>
      </c>
      <c r="E426" s="138" t="n">
        <f aca="false">IF(Calculator!$E$14="YES",IF(A426&lt;Calculator!$G$14,0,MIN(MIN(MOD(A426/Calculator!$F$14,1),1-MOD(A426/Calculator!$F$14,1)),ABS(MOD(A426/Calculator!$F$14,1)-0.5))),1)</f>
        <v>0.136736842105263</v>
      </c>
      <c r="F426" s="138" t="n">
        <f aca="false">IF(Calculator!$E$15="YES",IF(A426&lt;Calculator!$G$15,0,MIN(MIN(MOD(A426/Calculator!$F$15,1),1-MOD(A426/Calculator!$F$15,1)),ABS(MOD(A426/Calculator!$F$15,1)-0.5))),1)</f>
        <v>0.153421052631579</v>
      </c>
      <c r="G426" s="138" t="n">
        <f aca="false">IF(Calculator!$E$16="YES",IF(A426&lt;Calculator!$G$16,0,MIN(MIN(MOD(A426/Calculator!$F$16,1),1-MOD(A426/Calculator!$F$16,1)),ABS(MOD(A426/Calculator!$F$16,1)-0.5))),1)</f>
        <v>0.18521052631579</v>
      </c>
      <c r="H426" s="138" t="n">
        <f aca="false">IF(Calculator!$E$17="YES",IF(A426&lt;Calculator!$G$17,0,MIN(MIN(MOD(A426/Calculator!$F$17,1),1-MOD(A426/Calculator!$F$17,1)),ABS(MOD(A426/Calculator!$F$17,1)-0.5))),1)</f>
        <v>0.0115242105263151</v>
      </c>
      <c r="I426" s="138" t="n">
        <f aca="false">IF(Calculator!$E$18="YES",IF(A426&lt;Calculator!$G$18,0,MIN(MIN(MOD(A426/Calculator!$F$18,1),1-MOD(A426/Calculator!$F$18,1)),ABS(MOD(A426/Calculator!$F$18,1)-0.5))),1)</f>
        <v>0.015421052631579</v>
      </c>
      <c r="J426" s="138" t="n">
        <f aca="false">IF(Calculator!$E$19="YES",IF(A426&lt;Calculator!$G$19,0,MIN(MIN(MOD(A426/Calculator!$F$19,1),1-MOD(A426/Calculator!$F$19,1)),ABS(MOD(A426/Calculator!$F$19,1)-0.5))),1)</f>
        <v>0.243326315789473</v>
      </c>
      <c r="K426" s="138" t="n">
        <f aca="false">IF(Calculator!$E$20="YES",IF(A426&lt;Calculator!$G$20,0,MIN(MIN(MOD(A426/Calculator!$F$20,1),1-MOD(A426/Calculator!$F$20,1)),ABS(MOD(A426/Calculator!$F$20,1)-0.5))),1)</f>
        <v>0.0356842105263162</v>
      </c>
      <c r="L426" s="138" t="n">
        <f aca="false">IF(Calculator!$E$21="YES",IF(A426&lt;Calculator!$G$21,0,MIN(MIN(MOD(A426/Calculator!$F$21,1),1-MOD(A426/Calculator!$F$21,1)),ABS(MOD(A426/Calculator!$F$21,1)-0.5))),1)</f>
        <v>0.187368421052632</v>
      </c>
      <c r="M426" s="138" t="n">
        <f aca="false">MIN(B426:L426)</f>
        <v>0.0115242105263151</v>
      </c>
      <c r="N426" s="138" t="n">
        <f aca="false">SUMPRODUCT(($M$5:$M$555&gt;M426)*1)+SUMPRODUCT(($M$5:$M$555=M426)*(ROW($M$5:$M$555)&lt;ROW(M426)))+1</f>
        <v>124</v>
      </c>
      <c r="O426" s="138" t="str">
        <f aca="false">IF(M426&gt;=0.2,"★★★ EXCELLENT",IF(M426&gt;=0.12,"★★  GOOD",IF(M426&gt;=0.07,"★  FAIR",IF(M426&gt;=0.025,"⚠  MARGINAL","✗  AVOID"))))</f>
        <v>✗  AVOID</v>
      </c>
    </row>
    <row r="427" customFormat="false" ht="15" hidden="false" customHeight="false" outlineLevel="0" collapsed="false">
      <c r="A427" s="135" t="n">
        <v>47.2</v>
      </c>
      <c r="B427" s="136" t="n">
        <f aca="false">IF(Calculator!$E$11="YES",IF(A427&lt;Calculator!$G$11,0,MIN(MIN(MOD(A427/Calculator!$F$11,1),1-MOD(A427/Calculator!$F$11,1)),ABS(MOD(A427/Calculator!$F$11,1)-0.5))),1)</f>
        <v>0.129333333333333</v>
      </c>
      <c r="C427" s="136" t="n">
        <f aca="false">IF(Calculator!$E$12="YES",IF(A427&lt;Calculator!$G$12,0,MIN(MIN(MOD(A427/Calculator!$F$12,1),1-MOD(A427/Calculator!$F$12,1)),ABS(MOD(A427/Calculator!$F$12,1)-0.5))),1)</f>
        <v>0.208982456140351</v>
      </c>
      <c r="D427" s="136" t="n">
        <f aca="false">IF(Calculator!$E$13="YES",IF(A427&lt;Calculator!$G$13,0,MIN(MIN(MOD(A427/Calculator!$F$13,1),1-MOD(A427/Calculator!$F$13,1)),ABS(MOD(A427/Calculator!$F$13,1)-0.5))),1)</f>
        <v>0.224948771929824</v>
      </c>
      <c r="E427" s="136" t="n">
        <f aca="false">IF(Calculator!$E$14="YES",IF(A427&lt;Calculator!$G$14,0,MIN(MIN(MOD(A427/Calculator!$F$14,1),1-MOD(A427/Calculator!$F$14,1)),ABS(MOD(A427/Calculator!$F$14,1)-0.5))),1)</f>
        <v>0.131719298245614</v>
      </c>
      <c r="F427" s="136" t="n">
        <f aca="false">IF(Calculator!$E$15="YES",IF(A427&lt;Calculator!$G$15,0,MIN(MIN(MOD(A427/Calculator!$F$15,1),1-MOD(A427/Calculator!$F$15,1)),ABS(MOD(A427/Calculator!$F$15,1)-0.5))),1)</f>
        <v>0.146315789473684</v>
      </c>
      <c r="G427" s="136" t="n">
        <f aca="false">IF(Calculator!$E$16="YES",IF(A427&lt;Calculator!$G$16,0,MIN(MIN(MOD(A427/Calculator!$F$16,1),1-MOD(A427/Calculator!$F$16,1)),ABS(MOD(A427/Calculator!$F$16,1)-0.5))),1)</f>
        <v>0.195157894736843</v>
      </c>
      <c r="H427" s="136" t="n">
        <f aca="false">IF(Calculator!$E$17="YES",IF(A427&lt;Calculator!$G$17,0,MIN(MIN(MOD(A427/Calculator!$F$17,1),1-MOD(A427/Calculator!$F$17,1)),ABS(MOD(A427/Calculator!$F$17,1)-0.5))),1)</f>
        <v>0.00119017543859723</v>
      </c>
      <c r="I427" s="136" t="n">
        <f aca="false">IF(Calculator!$E$18="YES",IF(A427&lt;Calculator!$G$18,0,MIN(MIN(MOD(A427/Calculator!$F$18,1),1-MOD(A427/Calculator!$F$18,1)),ABS(MOD(A427/Calculator!$F$18,1)-0.5))),1)</f>
        <v>0.0303157894736845</v>
      </c>
      <c r="J427" s="136" t="n">
        <f aca="false">IF(Calculator!$E$19="YES",IF(A427&lt;Calculator!$G$19,0,MIN(MIN(MOD(A427/Calculator!$F$19,1),1-MOD(A427/Calculator!$F$19,1)),ABS(MOD(A427/Calculator!$F$19,1)-0.5))),1)</f>
        <v>0.239171929824563</v>
      </c>
      <c r="K427" s="136" t="n">
        <f aca="false">IF(Calculator!$E$20="YES",IF(A427&lt;Calculator!$G$20,0,MIN(MIN(MOD(A427/Calculator!$F$20,1),1-MOD(A427/Calculator!$F$20,1)),ABS(MOD(A427/Calculator!$F$20,1)-0.5))),1)</f>
        <v>0.0559298245614048</v>
      </c>
      <c r="L427" s="136" t="n">
        <f aca="false">IF(Calculator!$E$21="YES",IF(A427&lt;Calculator!$G$21,0,MIN(MIN(MOD(A427/Calculator!$F$21,1),1-MOD(A427/Calculator!$F$21,1)),ABS(MOD(A427/Calculator!$F$21,1)-0.5))),1)</f>
        <v>0.223859649122808</v>
      </c>
      <c r="M427" s="136" t="n">
        <f aca="false">MIN(B427:L427)</f>
        <v>0.00119017543859723</v>
      </c>
      <c r="N427" s="136" t="n">
        <f aca="false">SUMPRODUCT(($M$5:$M$555&gt;M427)*1)+SUMPRODUCT(($M$5:$M$555=M427)*(ROW($M$5:$M$555)&lt;ROW(M427)))+1</f>
        <v>212</v>
      </c>
      <c r="O427" s="136" t="str">
        <f aca="false">IF(M427&gt;=0.2,"★★★ EXCELLENT",IF(M427&gt;=0.12,"★★  GOOD",IF(M427&gt;=0.07,"★  FAIR",IF(M427&gt;=0.025,"⚠  MARGINAL","✗  AVOID"))))</f>
        <v>✗  AVOID</v>
      </c>
    </row>
    <row r="428" customFormat="false" ht="15" hidden="false" customHeight="false" outlineLevel="0" collapsed="false">
      <c r="A428" s="137" t="n">
        <v>47.3</v>
      </c>
      <c r="B428" s="138" t="n">
        <f aca="false">IF(Calculator!$E$11="YES",IF(A428&lt;Calculator!$G$11,0,MIN(MIN(MOD(A428/Calculator!$F$11,1),1-MOD(A428/Calculator!$F$11,1)),ABS(MOD(A428/Calculator!$F$11,1)-0.5))),1)</f>
        <v>0.130666666666667</v>
      </c>
      <c r="C428" s="138" t="n">
        <f aca="false">IF(Calculator!$E$12="YES",IF(A428&lt;Calculator!$G$12,0,MIN(MIN(MOD(A428/Calculator!$F$12,1),1-MOD(A428/Calculator!$F$12,1)),ABS(MOD(A428/Calculator!$F$12,1)-0.5))),1)</f>
        <v>0.211543859649123</v>
      </c>
      <c r="D428" s="138" t="n">
        <f aca="false">IF(Calculator!$E$13="YES",IF(A428&lt;Calculator!$G$13,0,MIN(MIN(MOD(A428/Calculator!$F$13,1),1-MOD(A428/Calculator!$F$13,1)),ABS(MOD(A428/Calculator!$F$13,1)-0.5))),1)</f>
        <v>0.221188070175439</v>
      </c>
      <c r="E428" s="138" t="n">
        <f aca="false">IF(Calculator!$E$14="YES",IF(A428&lt;Calculator!$G$14,0,MIN(MIN(MOD(A428/Calculator!$F$14,1),1-MOD(A428/Calculator!$F$14,1)),ABS(MOD(A428/Calculator!$F$14,1)-0.5))),1)</f>
        <v>0.126701754385965</v>
      </c>
      <c r="F428" s="138" t="n">
        <f aca="false">IF(Calculator!$E$15="YES",IF(A428&lt;Calculator!$G$15,0,MIN(MIN(MOD(A428/Calculator!$F$15,1),1-MOD(A428/Calculator!$F$15,1)),ABS(MOD(A428/Calculator!$F$15,1)-0.5))),1)</f>
        <v>0.13921052631579</v>
      </c>
      <c r="G428" s="138" t="n">
        <f aca="false">IF(Calculator!$E$16="YES",IF(A428&lt;Calculator!$G$16,0,MIN(MIN(MOD(A428/Calculator!$F$16,1),1-MOD(A428/Calculator!$F$16,1)),ABS(MOD(A428/Calculator!$F$16,1)-0.5))),1)</f>
        <v>0.205105263157895</v>
      </c>
      <c r="H428" s="138" t="n">
        <f aca="false">IF(Calculator!$E$17="YES",IF(A428&lt;Calculator!$G$17,0,MIN(MIN(MOD(A428/Calculator!$F$17,1),1-MOD(A428/Calculator!$F$17,1)),ABS(MOD(A428/Calculator!$F$17,1)-0.5))),1)</f>
        <v>0.0139045614035087</v>
      </c>
      <c r="I428" s="138" t="n">
        <f aca="false">IF(Calculator!$E$18="YES",IF(A428&lt;Calculator!$G$18,0,MIN(MIN(MOD(A428/Calculator!$F$18,1),1-MOD(A428/Calculator!$F$18,1)),ABS(MOD(A428/Calculator!$F$18,1)-0.5))),1)</f>
        <v>0.0452105263157891</v>
      </c>
      <c r="J428" s="138" t="n">
        <f aca="false">IF(Calculator!$E$19="YES",IF(A428&lt;Calculator!$G$19,0,MIN(MIN(MOD(A428/Calculator!$F$19,1),1-MOD(A428/Calculator!$F$19,1)),ABS(MOD(A428/Calculator!$F$19,1)-0.5))),1)</f>
        <v>0.221670175438598</v>
      </c>
      <c r="K428" s="138" t="n">
        <f aca="false">IF(Calculator!$E$20="YES",IF(A428&lt;Calculator!$G$20,0,MIN(MIN(MOD(A428/Calculator!$F$20,1),1-MOD(A428/Calculator!$F$20,1)),ABS(MOD(A428/Calculator!$F$20,1)-0.5))),1)</f>
        <v>0.0761754385964899</v>
      </c>
      <c r="L428" s="138" t="n">
        <f aca="false">IF(Calculator!$E$21="YES",IF(A428&lt;Calculator!$G$21,0,MIN(MIN(MOD(A428/Calculator!$F$21,1),1-MOD(A428/Calculator!$F$21,1)),ABS(MOD(A428/Calculator!$F$21,1)-0.5))),1)</f>
        <v>0.23964912280702</v>
      </c>
      <c r="M428" s="138" t="n">
        <f aca="false">MIN(B428:L428)</f>
        <v>0.0139045614035087</v>
      </c>
      <c r="N428" s="138" t="n">
        <f aca="false">SUMPRODUCT(($M$5:$M$555&gt;M428)*1)+SUMPRODUCT(($M$5:$M$555=M428)*(ROW($M$5:$M$555)&lt;ROW(M428)))+1</f>
        <v>109</v>
      </c>
      <c r="O428" s="138" t="str">
        <f aca="false">IF(M428&gt;=0.2,"★★★ EXCELLENT",IF(M428&gt;=0.12,"★★  GOOD",IF(M428&gt;=0.07,"★  FAIR",IF(M428&gt;=0.025,"⚠  MARGINAL","✗  AVOID"))))</f>
        <v>✗  AVOID</v>
      </c>
    </row>
    <row r="429" customFormat="false" ht="15" hidden="false" customHeight="false" outlineLevel="0" collapsed="false">
      <c r="A429" s="135" t="n">
        <v>47.4</v>
      </c>
      <c r="B429" s="136" t="n">
        <f aca="false">IF(Calculator!$E$11="YES",IF(A429&lt;Calculator!$G$11,0,MIN(MIN(MOD(A429/Calculator!$F$11,1),1-MOD(A429/Calculator!$F$11,1)),ABS(MOD(A429/Calculator!$F$11,1)-0.5))),1)</f>
        <v>0.132</v>
      </c>
      <c r="C429" s="136" t="n">
        <f aca="false">IF(Calculator!$E$12="YES",IF(A429&lt;Calculator!$G$12,0,MIN(MIN(MOD(A429/Calculator!$F$12,1),1-MOD(A429/Calculator!$F$12,1)),ABS(MOD(A429/Calculator!$F$12,1)-0.5))),1)</f>
        <v>0.214105263157895</v>
      </c>
      <c r="D429" s="136" t="n">
        <f aca="false">IF(Calculator!$E$13="YES",IF(A429&lt;Calculator!$G$13,0,MIN(MIN(MOD(A429/Calculator!$F$13,1),1-MOD(A429/Calculator!$F$13,1)),ABS(MOD(A429/Calculator!$F$13,1)-0.5))),1)</f>
        <v>0.217427368421053</v>
      </c>
      <c r="E429" s="136" t="n">
        <f aca="false">IF(Calculator!$E$14="YES",IF(A429&lt;Calculator!$G$14,0,MIN(MIN(MOD(A429/Calculator!$F$14,1),1-MOD(A429/Calculator!$F$14,1)),ABS(MOD(A429/Calculator!$F$14,1)-0.5))),1)</f>
        <v>0.121684210526316</v>
      </c>
      <c r="F429" s="136" t="n">
        <f aca="false">IF(Calculator!$E$15="YES",IF(A429&lt;Calculator!$G$15,0,MIN(MIN(MOD(A429/Calculator!$F$15,1),1-MOD(A429/Calculator!$F$15,1)),ABS(MOD(A429/Calculator!$F$15,1)-0.5))),1)</f>
        <v>0.132105263157895</v>
      </c>
      <c r="G429" s="136" t="n">
        <f aca="false">IF(Calculator!$E$16="YES",IF(A429&lt;Calculator!$G$16,0,MIN(MIN(MOD(A429/Calculator!$F$16,1),1-MOD(A429/Calculator!$F$16,1)),ABS(MOD(A429/Calculator!$F$16,1)-0.5))),1)</f>
        <v>0.215052631578947</v>
      </c>
      <c r="H429" s="136" t="n">
        <f aca="false">IF(Calculator!$E$17="YES",IF(A429&lt;Calculator!$G$17,0,MIN(MIN(MOD(A429/Calculator!$F$17,1),1-MOD(A429/Calculator!$F$17,1)),ABS(MOD(A429/Calculator!$F$17,1)-0.5))),1)</f>
        <v>0.026618947368422</v>
      </c>
      <c r="I429" s="136" t="n">
        <f aca="false">IF(Calculator!$E$18="YES",IF(A429&lt;Calculator!$G$18,0,MIN(MIN(MOD(A429/Calculator!$F$18,1),1-MOD(A429/Calculator!$F$18,1)),ABS(MOD(A429/Calculator!$F$18,1)-0.5))),1)</f>
        <v>0.0601052631578947</v>
      </c>
      <c r="J429" s="136" t="n">
        <f aca="false">IF(Calculator!$E$19="YES",IF(A429&lt;Calculator!$G$19,0,MIN(MIN(MOD(A429/Calculator!$F$19,1),1-MOD(A429/Calculator!$F$19,1)),ABS(MOD(A429/Calculator!$F$19,1)-0.5))),1)</f>
        <v>0.204168421052634</v>
      </c>
      <c r="K429" s="136" t="n">
        <f aca="false">IF(Calculator!$E$20="YES",IF(A429&lt;Calculator!$G$20,0,MIN(MIN(MOD(A429/Calculator!$F$20,1),1-MOD(A429/Calculator!$F$20,1)),ABS(MOD(A429/Calculator!$F$20,1)-0.5))),1)</f>
        <v>0.0964210526315785</v>
      </c>
      <c r="L429" s="136" t="n">
        <f aca="false">IF(Calculator!$E$21="YES",IF(A429&lt;Calculator!$G$21,0,MIN(MIN(MOD(A429/Calculator!$F$21,1),1-MOD(A429/Calculator!$F$21,1)),ABS(MOD(A429/Calculator!$F$21,1)-0.5))),1)</f>
        <v>0.203157894736844</v>
      </c>
      <c r="M429" s="136" t="n">
        <f aca="false">MIN(B429:L429)</f>
        <v>0.026618947368422</v>
      </c>
      <c r="N429" s="136" t="n">
        <f aca="false">SUMPRODUCT(($M$5:$M$555&gt;M429)*1)+SUMPRODUCT(($M$5:$M$555=M429)*(ROW($M$5:$M$555)&lt;ROW(M429)))+1</f>
        <v>60</v>
      </c>
      <c r="O429" s="136" t="str">
        <f aca="false">IF(M429&gt;=0.2,"★★★ EXCELLENT",IF(M429&gt;=0.12,"★★  GOOD",IF(M429&gt;=0.07,"★  FAIR",IF(M429&gt;=0.025,"⚠  MARGINAL","✗  AVOID"))))</f>
        <v>⚠  MARGINAL</v>
      </c>
    </row>
    <row r="430" customFormat="false" ht="15" hidden="false" customHeight="false" outlineLevel="0" collapsed="false">
      <c r="A430" s="137" t="n">
        <v>47.5</v>
      </c>
      <c r="B430" s="138" t="n">
        <f aca="false">IF(Calculator!$E$11="YES",IF(A430&lt;Calculator!$G$11,0,MIN(MIN(MOD(A430/Calculator!$F$11,1),1-MOD(A430/Calculator!$F$11,1)),ABS(MOD(A430/Calculator!$F$11,1)-0.5))),1)</f>
        <v>0.133333333333333</v>
      </c>
      <c r="C430" s="138" t="n">
        <f aca="false">IF(Calculator!$E$12="YES",IF(A430&lt;Calculator!$G$12,0,MIN(MIN(MOD(A430/Calculator!$F$12,1),1-MOD(A430/Calculator!$F$12,1)),ABS(MOD(A430/Calculator!$F$12,1)-0.5))),1)</f>
        <v>0.216666666666667</v>
      </c>
      <c r="D430" s="138" t="n">
        <f aca="false">IF(Calculator!$E$13="YES",IF(A430&lt;Calculator!$G$13,0,MIN(MIN(MOD(A430/Calculator!$F$13,1),1-MOD(A430/Calculator!$F$13,1)),ABS(MOD(A430/Calculator!$F$13,1)-0.5))),1)</f>
        <v>0.213666666666667</v>
      </c>
      <c r="E430" s="138" t="n">
        <f aca="false">IF(Calculator!$E$14="YES",IF(A430&lt;Calculator!$G$14,0,MIN(MIN(MOD(A430/Calculator!$F$14,1),1-MOD(A430/Calculator!$F$14,1)),ABS(MOD(A430/Calculator!$F$14,1)-0.5))),1)</f>
        <v>0.116666666666667</v>
      </c>
      <c r="F430" s="138" t="n">
        <f aca="false">IF(Calculator!$E$15="YES",IF(A430&lt;Calculator!$G$15,0,MIN(MIN(MOD(A430/Calculator!$F$15,1),1-MOD(A430/Calculator!$F$15,1)),ABS(MOD(A430/Calculator!$F$15,1)-0.5))),1)</f>
        <v>0.125</v>
      </c>
      <c r="G430" s="138" t="n">
        <f aca="false">IF(Calculator!$E$16="YES",IF(A430&lt;Calculator!$G$16,0,MIN(MIN(MOD(A430/Calculator!$F$16,1),1-MOD(A430/Calculator!$F$16,1)),ABS(MOD(A430/Calculator!$F$16,1)-0.5))),1)</f>
        <v>0.225000000000001</v>
      </c>
      <c r="H430" s="138" t="n">
        <f aca="false">IF(Calculator!$E$17="YES",IF(A430&lt;Calculator!$G$17,0,MIN(MIN(MOD(A430/Calculator!$F$17,1),1-MOD(A430/Calculator!$F$17,1)),ABS(MOD(A430/Calculator!$F$17,1)-0.5))),1)</f>
        <v>0.0393333333333343</v>
      </c>
      <c r="I430" s="138" t="n">
        <f aca="false">IF(Calculator!$E$18="YES",IF(A430&lt;Calculator!$G$18,0,MIN(MIN(MOD(A430/Calculator!$F$18,1),1-MOD(A430/Calculator!$F$18,1)),ABS(MOD(A430/Calculator!$F$18,1)-0.5))),1)</f>
        <v>0.0750000000000002</v>
      </c>
      <c r="J430" s="138" t="n">
        <f aca="false">IF(Calculator!$E$19="YES",IF(A430&lt;Calculator!$G$19,0,MIN(MIN(MOD(A430/Calculator!$F$19,1),1-MOD(A430/Calculator!$F$19,1)),ABS(MOD(A430/Calculator!$F$19,1)-0.5))),1)</f>
        <v>0.186666666666667</v>
      </c>
      <c r="K430" s="138" t="n">
        <f aca="false">IF(Calculator!$E$20="YES",IF(A430&lt;Calculator!$G$20,0,MIN(MIN(MOD(A430/Calculator!$F$20,1),1-MOD(A430/Calculator!$F$20,1)),ABS(MOD(A430/Calculator!$F$20,1)-0.5))),1)</f>
        <v>0.116666666666667</v>
      </c>
      <c r="L430" s="138" t="n">
        <f aca="false">IF(Calculator!$E$21="YES",IF(A430&lt;Calculator!$G$21,0,MIN(MIN(MOD(A430/Calculator!$F$21,1),1-MOD(A430/Calculator!$F$21,1)),ABS(MOD(A430/Calculator!$F$21,1)-0.5))),1)</f>
        <v>0.166666666666668</v>
      </c>
      <c r="M430" s="138" t="n">
        <f aca="false">MIN(B430:L430)</f>
        <v>0.0393333333333343</v>
      </c>
      <c r="N430" s="138" t="n">
        <f aca="false">SUMPRODUCT(($M$5:$M$555&gt;M430)*1)+SUMPRODUCT(($M$5:$M$555=M430)*(ROW($M$5:$M$555)&lt;ROW(M430)))+1</f>
        <v>24</v>
      </c>
      <c r="O430" s="138" t="str">
        <f aca="false">IF(M430&gt;=0.2,"★★★ EXCELLENT",IF(M430&gt;=0.12,"★★  GOOD",IF(M430&gt;=0.07,"★  FAIR",IF(M430&gt;=0.025,"⚠  MARGINAL","✗  AVOID"))))</f>
        <v>⚠  MARGINAL</v>
      </c>
    </row>
    <row r="431" customFormat="false" ht="15" hidden="false" customHeight="false" outlineLevel="0" collapsed="false">
      <c r="A431" s="135" t="n">
        <v>47.6</v>
      </c>
      <c r="B431" s="136" t="n">
        <f aca="false">IF(Calculator!$E$11="YES",IF(A431&lt;Calculator!$G$11,0,MIN(MIN(MOD(A431/Calculator!$F$11,1),1-MOD(A431/Calculator!$F$11,1)),ABS(MOD(A431/Calculator!$F$11,1)-0.5))),1)</f>
        <v>0.134666666666667</v>
      </c>
      <c r="C431" s="136" t="n">
        <f aca="false">IF(Calculator!$E$12="YES",IF(A431&lt;Calculator!$G$12,0,MIN(MIN(MOD(A431/Calculator!$F$12,1),1-MOD(A431/Calculator!$F$12,1)),ABS(MOD(A431/Calculator!$F$12,1)-0.5))),1)</f>
        <v>0.219228070175439</v>
      </c>
      <c r="D431" s="136" t="n">
        <f aca="false">IF(Calculator!$E$13="YES",IF(A431&lt;Calculator!$G$13,0,MIN(MIN(MOD(A431/Calculator!$F$13,1),1-MOD(A431/Calculator!$F$13,1)),ABS(MOD(A431/Calculator!$F$13,1)-0.5))),1)</f>
        <v>0.209905964912281</v>
      </c>
      <c r="E431" s="136" t="n">
        <f aca="false">IF(Calculator!$E$14="YES",IF(A431&lt;Calculator!$G$14,0,MIN(MIN(MOD(A431/Calculator!$F$14,1),1-MOD(A431/Calculator!$F$14,1)),ABS(MOD(A431/Calculator!$F$14,1)-0.5))),1)</f>
        <v>0.111649122807017</v>
      </c>
      <c r="F431" s="136" t="n">
        <f aca="false">IF(Calculator!$E$15="YES",IF(A431&lt;Calculator!$G$15,0,MIN(MIN(MOD(A431/Calculator!$F$15,1),1-MOD(A431/Calculator!$F$15,1)),ABS(MOD(A431/Calculator!$F$15,1)-0.5))),1)</f>
        <v>0.117894736842105</v>
      </c>
      <c r="G431" s="136" t="n">
        <f aca="false">IF(Calculator!$E$16="YES",IF(A431&lt;Calculator!$G$16,0,MIN(MIN(MOD(A431/Calculator!$F$16,1),1-MOD(A431/Calculator!$F$16,1)),ABS(MOD(A431/Calculator!$F$16,1)-0.5))),1)</f>
        <v>0.234947368421053</v>
      </c>
      <c r="H431" s="136" t="n">
        <f aca="false">IF(Calculator!$E$17="YES",IF(A431&lt;Calculator!$G$17,0,MIN(MIN(MOD(A431/Calculator!$F$17,1),1-MOD(A431/Calculator!$F$17,1)),ABS(MOD(A431/Calculator!$F$17,1)-0.5))),1)</f>
        <v>0.0520477192982467</v>
      </c>
      <c r="I431" s="136" t="n">
        <f aca="false">IF(Calculator!$E$18="YES",IF(A431&lt;Calculator!$G$18,0,MIN(MIN(MOD(A431/Calculator!$F$18,1),1-MOD(A431/Calculator!$F$18,1)),ABS(MOD(A431/Calculator!$F$18,1)-0.5))),1)</f>
        <v>0.0898947368421057</v>
      </c>
      <c r="J431" s="136" t="n">
        <f aca="false">IF(Calculator!$E$19="YES",IF(A431&lt;Calculator!$G$19,0,MIN(MIN(MOD(A431/Calculator!$F$19,1),1-MOD(A431/Calculator!$F$19,1)),ABS(MOD(A431/Calculator!$F$19,1)-0.5))),1)</f>
        <v>0.169164912280703</v>
      </c>
      <c r="K431" s="136" t="n">
        <f aca="false">IF(Calculator!$E$20="YES",IF(A431&lt;Calculator!$G$20,0,MIN(MIN(MOD(A431/Calculator!$F$20,1),1-MOD(A431/Calculator!$F$20,1)),ABS(MOD(A431/Calculator!$F$20,1)-0.5))),1)</f>
        <v>0.136912280701754</v>
      </c>
      <c r="L431" s="136" t="n">
        <f aca="false">IF(Calculator!$E$21="YES",IF(A431&lt;Calculator!$G$21,0,MIN(MIN(MOD(A431/Calculator!$F$21,1),1-MOD(A431/Calculator!$F$21,1)),ABS(MOD(A431/Calculator!$F$21,1)-0.5))),1)</f>
        <v>0.130175438596492</v>
      </c>
      <c r="M431" s="136" t="n">
        <f aca="false">MIN(B431:L431)</f>
        <v>0.0520477192982467</v>
      </c>
      <c r="N431" s="136" t="n">
        <f aca="false">SUMPRODUCT(($M$5:$M$555&gt;M431)*1)+SUMPRODUCT(($M$5:$M$555=M431)*(ROW($M$5:$M$555)&lt;ROW(M431)))+1</f>
        <v>12</v>
      </c>
      <c r="O431" s="136" t="str">
        <f aca="false">IF(M431&gt;=0.2,"★★★ EXCELLENT",IF(M431&gt;=0.12,"★★  GOOD",IF(M431&gt;=0.07,"★  FAIR",IF(M431&gt;=0.025,"⚠  MARGINAL","✗  AVOID"))))</f>
        <v>⚠  MARGINAL</v>
      </c>
    </row>
    <row r="432" customFormat="false" ht="15" hidden="false" customHeight="false" outlineLevel="0" collapsed="false">
      <c r="A432" s="137" t="n">
        <v>47.7</v>
      </c>
      <c r="B432" s="138" t="n">
        <f aca="false">IF(Calculator!$E$11="YES",IF(A432&lt;Calculator!$G$11,0,MIN(MIN(MOD(A432/Calculator!$F$11,1),1-MOD(A432/Calculator!$F$11,1)),ABS(MOD(A432/Calculator!$F$11,1)-0.5))),1)</f>
        <v>0.136</v>
      </c>
      <c r="C432" s="138" t="n">
        <f aca="false">IF(Calculator!$E$12="YES",IF(A432&lt;Calculator!$G$12,0,MIN(MIN(MOD(A432/Calculator!$F$12,1),1-MOD(A432/Calculator!$F$12,1)),ABS(MOD(A432/Calculator!$F$12,1)-0.5))),1)</f>
        <v>0.221789473684211</v>
      </c>
      <c r="D432" s="138" t="n">
        <f aca="false">IF(Calculator!$E$13="YES",IF(A432&lt;Calculator!$G$13,0,MIN(MIN(MOD(A432/Calculator!$F$13,1),1-MOD(A432/Calculator!$F$13,1)),ABS(MOD(A432/Calculator!$F$13,1)-0.5))),1)</f>
        <v>0.206145263157895</v>
      </c>
      <c r="E432" s="138" t="n">
        <f aca="false">IF(Calculator!$E$14="YES",IF(A432&lt;Calculator!$G$14,0,MIN(MIN(MOD(A432/Calculator!$F$14,1),1-MOD(A432/Calculator!$F$14,1)),ABS(MOD(A432/Calculator!$F$14,1)-0.5))),1)</f>
        <v>0.106631578947368</v>
      </c>
      <c r="F432" s="138" t="n">
        <f aca="false">IF(Calculator!$E$15="YES",IF(A432&lt;Calculator!$G$15,0,MIN(MIN(MOD(A432/Calculator!$F$15,1),1-MOD(A432/Calculator!$F$15,1)),ABS(MOD(A432/Calculator!$F$15,1)-0.5))),1)</f>
        <v>0.110789473684211</v>
      </c>
      <c r="G432" s="138" t="n">
        <f aca="false">IF(Calculator!$E$16="YES",IF(A432&lt;Calculator!$G$16,0,MIN(MIN(MOD(A432/Calculator!$F$16,1),1-MOD(A432/Calculator!$F$16,1)),ABS(MOD(A432/Calculator!$F$16,1)-0.5))),1)</f>
        <v>0.244894736842106</v>
      </c>
      <c r="H432" s="138" t="n">
        <f aca="false">IF(Calculator!$E$17="YES",IF(A432&lt;Calculator!$G$17,0,MIN(MIN(MOD(A432/Calculator!$F$17,1),1-MOD(A432/Calculator!$F$17,1)),ABS(MOD(A432/Calculator!$F$17,1)-0.5))),1)</f>
        <v>0.0647621052631591</v>
      </c>
      <c r="I432" s="138" t="n">
        <f aca="false">IF(Calculator!$E$18="YES",IF(A432&lt;Calculator!$G$18,0,MIN(MIN(MOD(A432/Calculator!$F$18,1),1-MOD(A432/Calculator!$F$18,1)),ABS(MOD(A432/Calculator!$F$18,1)-0.5))),1)</f>
        <v>0.104789473684211</v>
      </c>
      <c r="J432" s="138" t="n">
        <f aca="false">IF(Calculator!$E$19="YES",IF(A432&lt;Calculator!$G$19,0,MIN(MIN(MOD(A432/Calculator!$F$19,1),1-MOD(A432/Calculator!$F$19,1)),ABS(MOD(A432/Calculator!$F$19,1)-0.5))),1)</f>
        <v>0.151663157894738</v>
      </c>
      <c r="K432" s="138" t="n">
        <f aca="false">IF(Calculator!$E$20="YES",IF(A432&lt;Calculator!$G$20,0,MIN(MIN(MOD(A432/Calculator!$F$20,1),1-MOD(A432/Calculator!$F$20,1)),ABS(MOD(A432/Calculator!$F$20,1)-0.5))),1)</f>
        <v>0.157157894736843</v>
      </c>
      <c r="L432" s="138" t="n">
        <f aca="false">IF(Calculator!$E$21="YES",IF(A432&lt;Calculator!$G$21,0,MIN(MIN(MOD(A432/Calculator!$F$21,1),1-MOD(A432/Calculator!$F$21,1)),ABS(MOD(A432/Calculator!$F$21,1)-0.5))),1)</f>
        <v>0.093684210526316</v>
      </c>
      <c r="M432" s="138" t="n">
        <f aca="false">MIN(B432:L432)</f>
        <v>0.0647621052631591</v>
      </c>
      <c r="N432" s="138" t="n">
        <f aca="false">SUMPRODUCT(($M$5:$M$555&gt;M432)*1)+SUMPRODUCT(($M$5:$M$555=M432)*(ROW($M$5:$M$555)&lt;ROW(M432)))+1</f>
        <v>6</v>
      </c>
      <c r="O432" s="138" t="str">
        <f aca="false">IF(M432&gt;=0.2,"★★★ EXCELLENT",IF(M432&gt;=0.12,"★★  GOOD",IF(M432&gt;=0.07,"★  FAIR",IF(M432&gt;=0.025,"⚠  MARGINAL","✗  AVOID"))))</f>
        <v>⚠  MARGINAL</v>
      </c>
    </row>
    <row r="433" customFormat="false" ht="15" hidden="false" customHeight="false" outlineLevel="0" collapsed="false">
      <c r="A433" s="135" t="n">
        <v>47.8</v>
      </c>
      <c r="B433" s="136" t="n">
        <f aca="false">IF(Calculator!$E$11="YES",IF(A433&lt;Calculator!$G$11,0,MIN(MIN(MOD(A433/Calculator!$F$11,1),1-MOD(A433/Calculator!$F$11,1)),ABS(MOD(A433/Calculator!$F$11,1)-0.5))),1)</f>
        <v>0.137333333333333</v>
      </c>
      <c r="C433" s="136" t="n">
        <f aca="false">IF(Calculator!$E$12="YES",IF(A433&lt;Calculator!$G$12,0,MIN(MIN(MOD(A433/Calculator!$F$12,1),1-MOD(A433/Calculator!$F$12,1)),ABS(MOD(A433/Calculator!$F$12,1)-0.5))),1)</f>
        <v>0.224350877192983</v>
      </c>
      <c r="D433" s="136" t="n">
        <f aca="false">IF(Calculator!$E$13="YES",IF(A433&lt;Calculator!$G$13,0,MIN(MIN(MOD(A433/Calculator!$F$13,1),1-MOD(A433/Calculator!$F$13,1)),ABS(MOD(A433/Calculator!$F$13,1)-0.5))),1)</f>
        <v>0.202384561403509</v>
      </c>
      <c r="E433" s="136" t="n">
        <f aca="false">IF(Calculator!$E$14="YES",IF(A433&lt;Calculator!$G$14,0,MIN(MIN(MOD(A433/Calculator!$F$14,1),1-MOD(A433/Calculator!$F$14,1)),ABS(MOD(A433/Calculator!$F$14,1)-0.5))),1)</f>
        <v>0.101614035087719</v>
      </c>
      <c r="F433" s="136" t="n">
        <f aca="false">IF(Calculator!$E$15="YES",IF(A433&lt;Calculator!$G$15,0,MIN(MIN(MOD(A433/Calculator!$F$15,1),1-MOD(A433/Calculator!$F$15,1)),ABS(MOD(A433/Calculator!$F$15,1)-0.5))),1)</f>
        <v>0.103684210526316</v>
      </c>
      <c r="G433" s="136" t="n">
        <f aca="false">IF(Calculator!$E$16="YES",IF(A433&lt;Calculator!$G$16,0,MIN(MIN(MOD(A433/Calculator!$F$16,1),1-MOD(A433/Calculator!$F$16,1)),ABS(MOD(A433/Calculator!$F$16,1)-0.5))),1)</f>
        <v>0.245157894736842</v>
      </c>
      <c r="H433" s="136" t="n">
        <f aca="false">IF(Calculator!$E$17="YES",IF(A433&lt;Calculator!$G$17,0,MIN(MIN(MOD(A433/Calculator!$F$17,1),1-MOD(A433/Calculator!$F$17,1)),ABS(MOD(A433/Calculator!$F$17,1)-0.5))),1)</f>
        <v>0.0774764912280705</v>
      </c>
      <c r="I433" s="136" t="n">
        <f aca="false">IF(Calculator!$E$18="YES",IF(A433&lt;Calculator!$G$18,0,MIN(MIN(MOD(A433/Calculator!$F$18,1),1-MOD(A433/Calculator!$F$18,1)),ABS(MOD(A433/Calculator!$F$18,1)-0.5))),1)</f>
        <v>0.119684210526316</v>
      </c>
      <c r="J433" s="136" t="n">
        <f aca="false">IF(Calculator!$E$19="YES",IF(A433&lt;Calculator!$G$19,0,MIN(MIN(MOD(A433/Calculator!$F$19,1),1-MOD(A433/Calculator!$F$19,1)),ABS(MOD(A433/Calculator!$F$19,1)-0.5))),1)</f>
        <v>0.134161403508774</v>
      </c>
      <c r="K433" s="136" t="n">
        <f aca="false">IF(Calculator!$E$20="YES",IF(A433&lt;Calculator!$G$20,0,MIN(MIN(MOD(A433/Calculator!$F$20,1),1-MOD(A433/Calculator!$F$20,1)),ABS(MOD(A433/Calculator!$F$20,1)-0.5))),1)</f>
        <v>0.177403508771929</v>
      </c>
      <c r="L433" s="136" t="n">
        <f aca="false">IF(Calculator!$E$21="YES",IF(A433&lt;Calculator!$G$21,0,MIN(MIN(MOD(A433/Calculator!$F$21,1),1-MOD(A433/Calculator!$F$21,1)),ABS(MOD(A433/Calculator!$F$21,1)-0.5))),1)</f>
        <v>0.0571929824561401</v>
      </c>
      <c r="M433" s="136" t="n">
        <f aca="false">MIN(B433:L433)</f>
        <v>0.0571929824561401</v>
      </c>
      <c r="N433" s="136" t="n">
        <f aca="false">SUMPRODUCT(($M$5:$M$555&gt;M433)*1)+SUMPRODUCT(($M$5:$M$555=M433)*(ROW($M$5:$M$555)&lt;ROW(M433)))+1</f>
        <v>8</v>
      </c>
      <c r="O433" s="136" t="str">
        <f aca="false">IF(M433&gt;=0.2,"★★★ EXCELLENT",IF(M433&gt;=0.12,"★★  GOOD",IF(M433&gt;=0.07,"★  FAIR",IF(M433&gt;=0.025,"⚠  MARGINAL","✗  AVOID"))))</f>
        <v>⚠  MARGINAL</v>
      </c>
    </row>
    <row r="434" customFormat="false" ht="15" hidden="false" customHeight="false" outlineLevel="0" collapsed="false">
      <c r="A434" s="137" t="n">
        <v>47.9</v>
      </c>
      <c r="B434" s="138" t="n">
        <f aca="false">IF(Calculator!$E$11="YES",IF(A434&lt;Calculator!$G$11,0,MIN(MIN(MOD(A434/Calculator!$F$11,1),1-MOD(A434/Calculator!$F$11,1)),ABS(MOD(A434/Calculator!$F$11,1)-0.5))),1)</f>
        <v>0.138666666666667</v>
      </c>
      <c r="C434" s="138" t="n">
        <f aca="false">IF(Calculator!$E$12="YES",IF(A434&lt;Calculator!$G$12,0,MIN(MIN(MOD(A434/Calculator!$F$12,1),1-MOD(A434/Calculator!$F$12,1)),ABS(MOD(A434/Calculator!$F$12,1)-0.5))),1)</f>
        <v>0.226912280701754</v>
      </c>
      <c r="D434" s="138" t="n">
        <f aca="false">IF(Calculator!$E$13="YES",IF(A434&lt;Calculator!$G$13,0,MIN(MIN(MOD(A434/Calculator!$F$13,1),1-MOD(A434/Calculator!$F$13,1)),ABS(MOD(A434/Calculator!$F$13,1)-0.5))),1)</f>
        <v>0.198623859649123</v>
      </c>
      <c r="E434" s="138" t="n">
        <f aca="false">IF(Calculator!$E$14="YES",IF(A434&lt;Calculator!$G$14,0,MIN(MIN(MOD(A434/Calculator!$F$14,1),1-MOD(A434/Calculator!$F$14,1)),ABS(MOD(A434/Calculator!$F$14,1)-0.5))),1)</f>
        <v>0.0965964912280701</v>
      </c>
      <c r="F434" s="138" t="n">
        <f aca="false">IF(Calculator!$E$15="YES",IF(A434&lt;Calculator!$G$15,0,MIN(MIN(MOD(A434/Calculator!$F$15,1),1-MOD(A434/Calculator!$F$15,1)),ABS(MOD(A434/Calculator!$F$15,1)-0.5))),1)</f>
        <v>0.0965789473684211</v>
      </c>
      <c r="G434" s="138" t="n">
        <f aca="false">IF(Calculator!$E$16="YES",IF(A434&lt;Calculator!$G$16,0,MIN(MIN(MOD(A434/Calculator!$F$16,1),1-MOD(A434/Calculator!$F$16,1)),ABS(MOD(A434/Calculator!$F$16,1)-0.5))),1)</f>
        <v>0.23521052631579</v>
      </c>
      <c r="H434" s="138" t="n">
        <f aca="false">IF(Calculator!$E$17="YES",IF(A434&lt;Calculator!$G$17,0,MIN(MIN(MOD(A434/Calculator!$F$17,1),1-MOD(A434/Calculator!$F$17,1)),ABS(MOD(A434/Calculator!$F$17,1)-0.5))),1)</f>
        <v>0.0901908771929829</v>
      </c>
      <c r="I434" s="138" t="n">
        <f aca="false">IF(Calculator!$E$18="YES",IF(A434&lt;Calculator!$G$18,0,MIN(MIN(MOD(A434/Calculator!$F$18,1),1-MOD(A434/Calculator!$F$18,1)),ABS(MOD(A434/Calculator!$F$18,1)-0.5))),1)</f>
        <v>0.134578947368421</v>
      </c>
      <c r="J434" s="138" t="n">
        <f aca="false">IF(Calculator!$E$19="YES",IF(A434&lt;Calculator!$G$19,0,MIN(MIN(MOD(A434/Calculator!$F$19,1),1-MOD(A434/Calculator!$F$19,1)),ABS(MOD(A434/Calculator!$F$19,1)-0.5))),1)</f>
        <v>0.116659649122809</v>
      </c>
      <c r="K434" s="138" t="n">
        <f aca="false">IF(Calculator!$E$20="YES",IF(A434&lt;Calculator!$G$20,0,MIN(MIN(MOD(A434/Calculator!$F$20,1),1-MOD(A434/Calculator!$F$20,1)),ABS(MOD(A434/Calculator!$F$20,1)-0.5))),1)</f>
        <v>0.197649122807016</v>
      </c>
      <c r="L434" s="138" t="n">
        <f aca="false">IF(Calculator!$E$21="YES",IF(A434&lt;Calculator!$G$21,0,MIN(MIN(MOD(A434/Calculator!$F$21,1),1-MOD(A434/Calculator!$F$21,1)),ABS(MOD(A434/Calculator!$F$21,1)-0.5))),1)</f>
        <v>0.0207017543859642</v>
      </c>
      <c r="M434" s="138" t="n">
        <f aca="false">MIN(B434:L434)</f>
        <v>0.0207017543859642</v>
      </c>
      <c r="N434" s="138" t="n">
        <f aca="false">SUMPRODUCT(($M$5:$M$555&gt;M434)*1)+SUMPRODUCT(($M$5:$M$555=M434)*(ROW($M$5:$M$555)&lt;ROW(M434)))+1</f>
        <v>79</v>
      </c>
      <c r="O434" s="138" t="str">
        <f aca="false">IF(M434&gt;=0.2,"★★★ EXCELLENT",IF(M434&gt;=0.12,"★★  GOOD",IF(M434&gt;=0.07,"★  FAIR",IF(M434&gt;=0.025,"⚠  MARGINAL","✗  AVOID"))))</f>
        <v>✗  AVOID</v>
      </c>
    </row>
    <row r="435" customFormat="false" ht="15" hidden="false" customHeight="false" outlineLevel="0" collapsed="false">
      <c r="A435" s="135" t="n">
        <v>48</v>
      </c>
      <c r="B435" s="136" t="n">
        <f aca="false">IF(Calculator!$E$11="YES",IF(A435&lt;Calculator!$G$11,0,MIN(MIN(MOD(A435/Calculator!$F$11,1),1-MOD(A435/Calculator!$F$11,1)),ABS(MOD(A435/Calculator!$F$11,1)-0.5))),1)</f>
        <v>0.14</v>
      </c>
      <c r="C435" s="136" t="n">
        <f aca="false">IF(Calculator!$E$12="YES",IF(A435&lt;Calculator!$G$12,0,MIN(MIN(MOD(A435/Calculator!$F$12,1),1-MOD(A435/Calculator!$F$12,1)),ABS(MOD(A435/Calculator!$F$12,1)-0.5))),1)</f>
        <v>0.229473684210526</v>
      </c>
      <c r="D435" s="136" t="n">
        <f aca="false">IF(Calculator!$E$13="YES",IF(A435&lt;Calculator!$G$13,0,MIN(MIN(MOD(A435/Calculator!$F$13,1),1-MOD(A435/Calculator!$F$13,1)),ABS(MOD(A435/Calculator!$F$13,1)-0.5))),1)</f>
        <v>0.194863157894737</v>
      </c>
      <c r="E435" s="136" t="n">
        <f aca="false">IF(Calculator!$E$14="YES",IF(A435&lt;Calculator!$G$14,0,MIN(MIN(MOD(A435/Calculator!$F$14,1),1-MOD(A435/Calculator!$F$14,1)),ABS(MOD(A435/Calculator!$F$14,1)-0.5))),1)</f>
        <v>0.0915789473684212</v>
      </c>
      <c r="F435" s="136" t="n">
        <f aca="false">IF(Calculator!$E$15="YES",IF(A435&lt;Calculator!$G$15,0,MIN(MIN(MOD(A435/Calculator!$F$15,1),1-MOD(A435/Calculator!$F$15,1)),ABS(MOD(A435/Calculator!$F$15,1)-0.5))),1)</f>
        <v>0.0894736842105264</v>
      </c>
      <c r="G435" s="136" t="n">
        <f aca="false">IF(Calculator!$E$16="YES",IF(A435&lt;Calculator!$G$16,0,MIN(MIN(MOD(A435/Calculator!$F$16,1),1-MOD(A435/Calculator!$F$16,1)),ABS(MOD(A435/Calculator!$F$16,1)-0.5))),1)</f>
        <v>0.225263157894736</v>
      </c>
      <c r="H435" s="136" t="n">
        <f aca="false">IF(Calculator!$E$17="YES",IF(A435&lt;Calculator!$G$17,0,MIN(MIN(MOD(A435/Calculator!$F$17,1),1-MOD(A435/Calculator!$F$17,1)),ABS(MOD(A435/Calculator!$F$17,1)-0.5))),1)</f>
        <v>0.102905263157895</v>
      </c>
      <c r="I435" s="136" t="n">
        <f aca="false">IF(Calculator!$E$18="YES",IF(A435&lt;Calculator!$G$18,0,MIN(MIN(MOD(A435/Calculator!$F$18,1),1-MOD(A435/Calculator!$F$18,1)),ABS(MOD(A435/Calculator!$F$18,1)-0.5))),1)</f>
        <v>0.149473684210527</v>
      </c>
      <c r="J435" s="136" t="n">
        <f aca="false">IF(Calculator!$E$19="YES",IF(A435&lt;Calculator!$G$19,0,MIN(MIN(MOD(A435/Calculator!$F$19,1),1-MOD(A435/Calculator!$F$19,1)),ABS(MOD(A435/Calculator!$F$19,1)-0.5))),1)</f>
        <v>0.0991578947368428</v>
      </c>
      <c r="K435" s="136" t="n">
        <f aca="false">IF(Calculator!$E$20="YES",IF(A435&lt;Calculator!$G$20,0,MIN(MIN(MOD(A435/Calculator!$F$20,1),1-MOD(A435/Calculator!$F$20,1)),ABS(MOD(A435/Calculator!$F$20,1)-0.5))),1)</f>
        <v>0.217894736842105</v>
      </c>
      <c r="L435" s="136" t="n">
        <f aca="false">IF(Calculator!$E$21="YES",IF(A435&lt;Calculator!$G$21,0,MIN(MIN(MOD(A435/Calculator!$F$21,1),1-MOD(A435/Calculator!$F$21,1)),ABS(MOD(A435/Calculator!$F$21,1)-0.5))),1)</f>
        <v>0.0157894736842117</v>
      </c>
      <c r="M435" s="136" t="n">
        <f aca="false">MIN(B435:L435)</f>
        <v>0.0157894736842117</v>
      </c>
      <c r="N435" s="136" t="n">
        <f aca="false">SUMPRODUCT(($M$5:$M$555&gt;M435)*1)+SUMPRODUCT(($M$5:$M$555=M435)*(ROW($M$5:$M$555)&lt;ROW(M435)))+1</f>
        <v>99</v>
      </c>
      <c r="O435" s="136" t="str">
        <f aca="false">IF(M435&gt;=0.2,"★★★ EXCELLENT",IF(M435&gt;=0.12,"★★  GOOD",IF(M435&gt;=0.07,"★  FAIR",IF(M435&gt;=0.025,"⚠  MARGINAL","✗  AVOID"))))</f>
        <v>✗  AVOID</v>
      </c>
    </row>
    <row r="436" customFormat="false" ht="15" hidden="false" customHeight="false" outlineLevel="0" collapsed="false">
      <c r="A436" s="137" t="n">
        <v>48.1</v>
      </c>
      <c r="B436" s="138" t="n">
        <f aca="false">IF(Calculator!$E$11="YES",IF(A436&lt;Calculator!$G$11,0,MIN(MIN(MOD(A436/Calculator!$F$11,1),1-MOD(A436/Calculator!$F$11,1)),ABS(MOD(A436/Calculator!$F$11,1)-0.5))),1)</f>
        <v>0.141333333333333</v>
      </c>
      <c r="C436" s="138" t="n">
        <f aca="false">IF(Calculator!$E$12="YES",IF(A436&lt;Calculator!$G$12,0,MIN(MIN(MOD(A436/Calculator!$F$12,1),1-MOD(A436/Calculator!$F$12,1)),ABS(MOD(A436/Calculator!$F$12,1)-0.5))),1)</f>
        <v>0.232035087719298</v>
      </c>
      <c r="D436" s="138" t="n">
        <f aca="false">IF(Calculator!$E$13="YES",IF(A436&lt;Calculator!$G$13,0,MIN(MIN(MOD(A436/Calculator!$F$13,1),1-MOD(A436/Calculator!$F$13,1)),ABS(MOD(A436/Calculator!$F$13,1)-0.5))),1)</f>
        <v>0.191102456140351</v>
      </c>
      <c r="E436" s="138" t="n">
        <f aca="false">IF(Calculator!$E$14="YES",IF(A436&lt;Calculator!$G$14,0,MIN(MIN(MOD(A436/Calculator!$F$14,1),1-MOD(A436/Calculator!$F$14,1)),ABS(MOD(A436/Calculator!$F$14,1)-0.5))),1)</f>
        <v>0.0865614035087718</v>
      </c>
      <c r="F436" s="138" t="n">
        <f aca="false">IF(Calculator!$E$15="YES",IF(A436&lt;Calculator!$G$15,0,MIN(MIN(MOD(A436/Calculator!$F$15,1),1-MOD(A436/Calculator!$F$15,1)),ABS(MOD(A436/Calculator!$F$15,1)-0.5))),1)</f>
        <v>0.0823684210526317</v>
      </c>
      <c r="G436" s="138" t="n">
        <f aca="false">IF(Calculator!$E$16="YES",IF(A436&lt;Calculator!$G$16,0,MIN(MIN(MOD(A436/Calculator!$F$16,1),1-MOD(A436/Calculator!$F$16,1)),ABS(MOD(A436/Calculator!$F$16,1)-0.5))),1)</f>
        <v>0.215315789473684</v>
      </c>
      <c r="H436" s="138" t="n">
        <f aca="false">IF(Calculator!$E$17="YES",IF(A436&lt;Calculator!$G$17,0,MIN(MIN(MOD(A436/Calculator!$F$17,1),1-MOD(A436/Calculator!$F$17,1)),ABS(MOD(A436/Calculator!$F$17,1)-0.5))),1)</f>
        <v>0.115619649122808</v>
      </c>
      <c r="I436" s="138" t="n">
        <f aca="false">IF(Calculator!$E$18="YES",IF(A436&lt;Calculator!$G$18,0,MIN(MIN(MOD(A436/Calculator!$F$18,1),1-MOD(A436/Calculator!$F$18,1)),ABS(MOD(A436/Calculator!$F$18,1)-0.5))),1)</f>
        <v>0.164368421052632</v>
      </c>
      <c r="J436" s="138" t="n">
        <f aca="false">IF(Calculator!$E$19="YES",IF(A436&lt;Calculator!$G$19,0,MIN(MIN(MOD(A436/Calculator!$F$19,1),1-MOD(A436/Calculator!$F$19,1)),ABS(MOD(A436/Calculator!$F$19,1)-0.5))),1)</f>
        <v>0.0816561403508782</v>
      </c>
      <c r="K436" s="138" t="n">
        <f aca="false">IF(Calculator!$E$20="YES",IF(A436&lt;Calculator!$G$20,0,MIN(MIN(MOD(A436/Calculator!$F$20,1),1-MOD(A436/Calculator!$F$20,1)),ABS(MOD(A436/Calculator!$F$20,1)-0.5))),1)</f>
        <v>0.238140350877194</v>
      </c>
      <c r="L436" s="138" t="n">
        <f aca="false">IF(Calculator!$E$21="YES",IF(A436&lt;Calculator!$G$21,0,MIN(MIN(MOD(A436/Calculator!$F$21,1),1-MOD(A436/Calculator!$F$21,1)),ABS(MOD(A436/Calculator!$F$21,1)-0.5))),1)</f>
        <v>0.0522807017543876</v>
      </c>
      <c r="M436" s="138" t="n">
        <f aca="false">MIN(B436:L436)</f>
        <v>0.0522807017543876</v>
      </c>
      <c r="N436" s="138" t="n">
        <f aca="false">SUMPRODUCT(($M$5:$M$555&gt;M436)*1)+SUMPRODUCT(($M$5:$M$555=M436)*(ROW($M$5:$M$555)&lt;ROW(M436)))+1</f>
        <v>11</v>
      </c>
      <c r="O436" s="138" t="str">
        <f aca="false">IF(M436&gt;=0.2,"★★★ EXCELLENT",IF(M436&gt;=0.12,"★★  GOOD",IF(M436&gt;=0.07,"★  FAIR",IF(M436&gt;=0.025,"⚠  MARGINAL","✗  AVOID"))))</f>
        <v>⚠  MARGINAL</v>
      </c>
    </row>
    <row r="437" customFormat="false" ht="15" hidden="false" customHeight="false" outlineLevel="0" collapsed="false">
      <c r="A437" s="135" t="n">
        <v>48.2</v>
      </c>
      <c r="B437" s="136" t="n">
        <f aca="false">IF(Calculator!$E$11="YES",IF(A437&lt;Calculator!$G$11,0,MIN(MIN(MOD(A437/Calculator!$F$11,1),1-MOD(A437/Calculator!$F$11,1)),ABS(MOD(A437/Calculator!$F$11,1)-0.5))),1)</f>
        <v>0.142666666666667</v>
      </c>
      <c r="C437" s="136" t="n">
        <f aca="false">IF(Calculator!$E$12="YES",IF(A437&lt;Calculator!$G$12,0,MIN(MIN(MOD(A437/Calculator!$F$12,1),1-MOD(A437/Calculator!$F$12,1)),ABS(MOD(A437/Calculator!$F$12,1)-0.5))),1)</f>
        <v>0.23459649122807</v>
      </c>
      <c r="D437" s="136" t="n">
        <f aca="false">IF(Calculator!$E$13="YES",IF(A437&lt;Calculator!$G$13,0,MIN(MIN(MOD(A437/Calculator!$F$13,1),1-MOD(A437/Calculator!$F$13,1)),ABS(MOD(A437/Calculator!$F$13,1)-0.5))),1)</f>
        <v>0.187341754385965</v>
      </c>
      <c r="E437" s="136" t="n">
        <f aca="false">IF(Calculator!$E$14="YES",IF(A437&lt;Calculator!$G$14,0,MIN(MIN(MOD(A437/Calculator!$F$14,1),1-MOD(A437/Calculator!$F$14,1)),ABS(MOD(A437/Calculator!$F$14,1)-0.5))),1)</f>
        <v>0.0815438596491225</v>
      </c>
      <c r="F437" s="136" t="n">
        <f aca="false">IF(Calculator!$E$15="YES",IF(A437&lt;Calculator!$G$15,0,MIN(MIN(MOD(A437/Calculator!$F$15,1),1-MOD(A437/Calculator!$F$15,1)),ABS(MOD(A437/Calculator!$F$15,1)-0.5))),1)</f>
        <v>0.0752631578947369</v>
      </c>
      <c r="G437" s="136" t="n">
        <f aca="false">IF(Calculator!$E$16="YES",IF(A437&lt;Calculator!$G$16,0,MIN(MIN(MOD(A437/Calculator!$F$16,1),1-MOD(A437/Calculator!$F$16,1)),ABS(MOD(A437/Calculator!$F$16,1)-0.5))),1)</f>
        <v>0.205368421052631</v>
      </c>
      <c r="H437" s="136" t="n">
        <f aca="false">IF(Calculator!$E$17="YES",IF(A437&lt;Calculator!$G$17,0,MIN(MIN(MOD(A437/Calculator!$F$17,1),1-MOD(A437/Calculator!$F$17,1)),ABS(MOD(A437/Calculator!$F$17,1)-0.5))),1)</f>
        <v>0.12833403508772</v>
      </c>
      <c r="I437" s="136" t="n">
        <f aca="false">IF(Calculator!$E$18="YES",IF(A437&lt;Calculator!$G$18,0,MIN(MIN(MOD(A437/Calculator!$F$18,1),1-MOD(A437/Calculator!$F$18,1)),ABS(MOD(A437/Calculator!$F$18,1)-0.5))),1)</f>
        <v>0.179263157894738</v>
      </c>
      <c r="J437" s="136" t="n">
        <f aca="false">IF(Calculator!$E$19="YES",IF(A437&lt;Calculator!$G$19,0,MIN(MIN(MOD(A437/Calculator!$F$19,1),1-MOD(A437/Calculator!$F$19,1)),ABS(MOD(A437/Calculator!$F$19,1)-0.5))),1)</f>
        <v>0.0641543859649136</v>
      </c>
      <c r="K437" s="136" t="n">
        <f aca="false">IF(Calculator!$E$20="YES",IF(A437&lt;Calculator!$G$20,0,MIN(MIN(MOD(A437/Calculator!$F$20,1),1-MOD(A437/Calculator!$F$20,1)),ABS(MOD(A437/Calculator!$F$20,1)-0.5))),1)</f>
        <v>0.24161403508772</v>
      </c>
      <c r="L437" s="136" t="n">
        <f aca="false">IF(Calculator!$E$21="YES",IF(A437&lt;Calculator!$G$21,0,MIN(MIN(MOD(A437/Calculator!$F$21,1),1-MOD(A437/Calculator!$F$21,1)),ABS(MOD(A437/Calculator!$F$21,1)-0.5))),1)</f>
        <v>0.0887719298245635</v>
      </c>
      <c r="M437" s="136" t="n">
        <f aca="false">MIN(B437:L437)</f>
        <v>0.0641543859649136</v>
      </c>
      <c r="N437" s="136" t="n">
        <f aca="false">SUMPRODUCT(($M$5:$M$555&gt;M437)*1)+SUMPRODUCT(($M$5:$M$555=M437)*(ROW($M$5:$M$555)&lt;ROW(M437)))+1</f>
        <v>7</v>
      </c>
      <c r="O437" s="136" t="str">
        <f aca="false">IF(M437&gt;=0.2,"★★★ EXCELLENT",IF(M437&gt;=0.12,"★★  GOOD",IF(M437&gt;=0.07,"★  FAIR",IF(M437&gt;=0.025,"⚠  MARGINAL","✗  AVOID"))))</f>
        <v>⚠  MARGINAL</v>
      </c>
    </row>
    <row r="438" customFormat="false" ht="15" hidden="false" customHeight="false" outlineLevel="0" collapsed="false">
      <c r="A438" s="137" t="n">
        <v>48.3</v>
      </c>
      <c r="B438" s="138" t="n">
        <f aca="false">IF(Calculator!$E$11="YES",IF(A438&lt;Calculator!$G$11,0,MIN(MIN(MOD(A438/Calculator!$F$11,1),1-MOD(A438/Calculator!$F$11,1)),ABS(MOD(A438/Calculator!$F$11,1)-0.5))),1)</f>
        <v>0.144</v>
      </c>
      <c r="C438" s="138" t="n">
        <f aca="false">IF(Calculator!$E$12="YES",IF(A438&lt;Calculator!$G$12,0,MIN(MIN(MOD(A438/Calculator!$F$12,1),1-MOD(A438/Calculator!$F$12,1)),ABS(MOD(A438/Calculator!$F$12,1)-0.5))),1)</f>
        <v>0.237157894736842</v>
      </c>
      <c r="D438" s="138" t="n">
        <f aca="false">IF(Calculator!$E$13="YES",IF(A438&lt;Calculator!$G$13,0,MIN(MIN(MOD(A438/Calculator!$F$13,1),1-MOD(A438/Calculator!$F$13,1)),ABS(MOD(A438/Calculator!$F$13,1)-0.5))),1)</f>
        <v>0.183581052631579</v>
      </c>
      <c r="E438" s="138" t="n">
        <f aca="false">IF(Calculator!$E$14="YES",IF(A438&lt;Calculator!$G$14,0,MIN(MIN(MOD(A438/Calculator!$F$14,1),1-MOD(A438/Calculator!$F$14,1)),ABS(MOD(A438/Calculator!$F$14,1)-0.5))),1)</f>
        <v>0.076526315789474</v>
      </c>
      <c r="F438" s="138" t="n">
        <f aca="false">IF(Calculator!$E$15="YES",IF(A438&lt;Calculator!$G$15,0,MIN(MIN(MOD(A438/Calculator!$F$15,1),1-MOD(A438/Calculator!$F$15,1)),ABS(MOD(A438/Calculator!$F$15,1)-0.5))),1)</f>
        <v>0.0681578947368422</v>
      </c>
      <c r="G438" s="138" t="n">
        <f aca="false">IF(Calculator!$E$16="YES",IF(A438&lt;Calculator!$G$16,0,MIN(MIN(MOD(A438/Calculator!$F$16,1),1-MOD(A438/Calculator!$F$16,1)),ABS(MOD(A438/Calculator!$F$16,1)-0.5))),1)</f>
        <v>0.195421052631579</v>
      </c>
      <c r="H438" s="138" t="n">
        <f aca="false">IF(Calculator!$E$17="YES",IF(A438&lt;Calculator!$G$17,0,MIN(MIN(MOD(A438/Calculator!$F$17,1),1-MOD(A438/Calculator!$F$17,1)),ABS(MOD(A438/Calculator!$F$17,1)-0.5))),1)</f>
        <v>0.141048421052632</v>
      </c>
      <c r="I438" s="138" t="n">
        <f aca="false">IF(Calculator!$E$18="YES",IF(A438&lt;Calculator!$G$18,0,MIN(MIN(MOD(A438/Calculator!$F$18,1),1-MOD(A438/Calculator!$F$18,1)),ABS(MOD(A438/Calculator!$F$18,1)-0.5))),1)</f>
        <v>0.194157894736842</v>
      </c>
      <c r="J438" s="138" t="n">
        <f aca="false">IF(Calculator!$E$19="YES",IF(A438&lt;Calculator!$G$19,0,MIN(MIN(MOD(A438/Calculator!$F$19,1),1-MOD(A438/Calculator!$F$19,1)),ABS(MOD(A438/Calculator!$F$19,1)-0.5))),1)</f>
        <v>0.0466526315789491</v>
      </c>
      <c r="K438" s="138" t="n">
        <f aca="false">IF(Calculator!$E$20="YES",IF(A438&lt;Calculator!$G$20,0,MIN(MIN(MOD(A438/Calculator!$F$20,1),1-MOD(A438/Calculator!$F$20,1)),ABS(MOD(A438/Calculator!$F$20,1)-0.5))),1)</f>
        <v>0.221368421052633</v>
      </c>
      <c r="L438" s="138" t="n">
        <f aca="false">IF(Calculator!$E$21="YES",IF(A438&lt;Calculator!$G$21,0,MIN(MIN(MOD(A438/Calculator!$F$21,1),1-MOD(A438/Calculator!$F$21,1)),ABS(MOD(A438/Calculator!$F$21,1)-0.5))),1)</f>
        <v>0.125263157894736</v>
      </c>
      <c r="M438" s="138" t="n">
        <f aca="false">MIN(B438:L438)</f>
        <v>0.0466526315789491</v>
      </c>
      <c r="N438" s="138" t="n">
        <f aca="false">SUMPRODUCT(($M$5:$M$555&gt;M438)*1)+SUMPRODUCT(($M$5:$M$555=M438)*(ROW($M$5:$M$555)&lt;ROW(M438)))+1</f>
        <v>19</v>
      </c>
      <c r="O438" s="138" t="str">
        <f aca="false">IF(M438&gt;=0.2,"★★★ EXCELLENT",IF(M438&gt;=0.12,"★★  GOOD",IF(M438&gt;=0.07,"★  FAIR",IF(M438&gt;=0.025,"⚠  MARGINAL","✗  AVOID"))))</f>
        <v>⚠  MARGINAL</v>
      </c>
    </row>
    <row r="439" customFormat="false" ht="15" hidden="false" customHeight="false" outlineLevel="0" collapsed="false">
      <c r="A439" s="135" t="n">
        <v>48.4</v>
      </c>
      <c r="B439" s="136" t="n">
        <f aca="false">IF(Calculator!$E$11="YES",IF(A439&lt;Calculator!$G$11,0,MIN(MIN(MOD(A439/Calculator!$F$11,1),1-MOD(A439/Calculator!$F$11,1)),ABS(MOD(A439/Calculator!$F$11,1)-0.5))),1)</f>
        <v>0.145333333333333</v>
      </c>
      <c r="C439" s="136" t="n">
        <f aca="false">IF(Calculator!$E$12="YES",IF(A439&lt;Calculator!$G$12,0,MIN(MIN(MOD(A439/Calculator!$F$12,1),1-MOD(A439/Calculator!$F$12,1)),ABS(MOD(A439/Calculator!$F$12,1)-0.5))),1)</f>
        <v>0.239719298245614</v>
      </c>
      <c r="D439" s="136" t="n">
        <f aca="false">IF(Calculator!$E$13="YES",IF(A439&lt;Calculator!$G$13,0,MIN(MIN(MOD(A439/Calculator!$F$13,1),1-MOD(A439/Calculator!$F$13,1)),ABS(MOD(A439/Calculator!$F$13,1)-0.5))),1)</f>
        <v>0.179820350877193</v>
      </c>
      <c r="E439" s="136" t="n">
        <f aca="false">IF(Calculator!$E$14="YES",IF(A439&lt;Calculator!$G$14,0,MIN(MIN(MOD(A439/Calculator!$F$14,1),1-MOD(A439/Calculator!$F$14,1)),ABS(MOD(A439/Calculator!$F$14,1)-0.5))),1)</f>
        <v>0.0715087719298246</v>
      </c>
      <c r="F439" s="136" t="n">
        <f aca="false">IF(Calculator!$E$15="YES",IF(A439&lt;Calculator!$G$15,0,MIN(MIN(MOD(A439/Calculator!$F$15,1),1-MOD(A439/Calculator!$F$15,1)),ABS(MOD(A439/Calculator!$F$15,1)-0.5))),1)</f>
        <v>0.0610526315789475</v>
      </c>
      <c r="G439" s="136" t="n">
        <f aca="false">IF(Calculator!$E$16="YES",IF(A439&lt;Calculator!$G$16,0,MIN(MIN(MOD(A439/Calculator!$F$16,1),1-MOD(A439/Calculator!$F$16,1)),ABS(MOD(A439/Calculator!$F$16,1)-0.5))),1)</f>
        <v>0.185473684210526</v>
      </c>
      <c r="H439" s="136" t="n">
        <f aca="false">IF(Calculator!$E$17="YES",IF(A439&lt;Calculator!$G$17,0,MIN(MIN(MOD(A439/Calculator!$F$17,1),1-MOD(A439/Calculator!$F$17,1)),ABS(MOD(A439/Calculator!$F$17,1)-0.5))),1)</f>
        <v>0.153762807017545</v>
      </c>
      <c r="I439" s="136" t="n">
        <f aca="false">IF(Calculator!$E$18="YES",IF(A439&lt;Calculator!$G$18,0,MIN(MIN(MOD(A439/Calculator!$F$18,1),1-MOD(A439/Calculator!$F$18,1)),ABS(MOD(A439/Calculator!$F$18,1)-0.5))),1)</f>
        <v>0.209052631578947</v>
      </c>
      <c r="J439" s="136" t="n">
        <f aca="false">IF(Calculator!$E$19="YES",IF(A439&lt;Calculator!$G$19,0,MIN(MIN(MOD(A439/Calculator!$F$19,1),1-MOD(A439/Calculator!$F$19,1)),ABS(MOD(A439/Calculator!$F$19,1)-0.5))),1)</f>
        <v>0.0291508771929845</v>
      </c>
      <c r="K439" s="136" t="n">
        <f aca="false">IF(Calculator!$E$20="YES",IF(A439&lt;Calculator!$G$20,0,MIN(MIN(MOD(A439/Calculator!$F$20,1),1-MOD(A439/Calculator!$F$20,1)),ABS(MOD(A439/Calculator!$F$20,1)-0.5))),1)</f>
        <v>0.201122807017544</v>
      </c>
      <c r="L439" s="136" t="n">
        <f aca="false">IF(Calculator!$E$21="YES",IF(A439&lt;Calculator!$G$21,0,MIN(MIN(MOD(A439/Calculator!$F$21,1),1-MOD(A439/Calculator!$F$21,1)),ABS(MOD(A439/Calculator!$F$21,1)-0.5))),1)</f>
        <v>0.161754385964912</v>
      </c>
      <c r="M439" s="136" t="n">
        <f aca="false">MIN(B439:L439)</f>
        <v>0.0291508771929845</v>
      </c>
      <c r="N439" s="136" t="n">
        <f aca="false">SUMPRODUCT(($M$5:$M$555&gt;M439)*1)+SUMPRODUCT(($M$5:$M$555=M439)*(ROW($M$5:$M$555)&lt;ROW(M439)))+1</f>
        <v>52</v>
      </c>
      <c r="O439" s="136" t="str">
        <f aca="false">IF(M439&gt;=0.2,"★★★ EXCELLENT",IF(M439&gt;=0.12,"★★  GOOD",IF(M439&gt;=0.07,"★  FAIR",IF(M439&gt;=0.025,"⚠  MARGINAL","✗  AVOID"))))</f>
        <v>⚠  MARGINAL</v>
      </c>
    </row>
    <row r="440" customFormat="false" ht="15" hidden="false" customHeight="false" outlineLevel="0" collapsed="false">
      <c r="A440" s="137" t="n">
        <v>48.5</v>
      </c>
      <c r="B440" s="138" t="n">
        <f aca="false">IF(Calculator!$E$11="YES",IF(A440&lt;Calculator!$G$11,0,MIN(MIN(MOD(A440/Calculator!$F$11,1),1-MOD(A440/Calculator!$F$11,1)),ABS(MOD(A440/Calculator!$F$11,1)-0.5))),1)</f>
        <v>0.146666666666667</v>
      </c>
      <c r="C440" s="138" t="n">
        <f aca="false">IF(Calculator!$E$12="YES",IF(A440&lt;Calculator!$G$12,0,MIN(MIN(MOD(A440/Calculator!$F$12,1),1-MOD(A440/Calculator!$F$12,1)),ABS(MOD(A440/Calculator!$F$12,1)-0.5))),1)</f>
        <v>0.242280701754386</v>
      </c>
      <c r="D440" s="138" t="n">
        <f aca="false">IF(Calculator!$E$13="YES",IF(A440&lt;Calculator!$G$13,0,MIN(MIN(MOD(A440/Calculator!$F$13,1),1-MOD(A440/Calculator!$F$13,1)),ABS(MOD(A440/Calculator!$F$13,1)-0.5))),1)</f>
        <v>0.176059649122807</v>
      </c>
      <c r="E440" s="138" t="n">
        <f aca="false">IF(Calculator!$E$14="YES",IF(A440&lt;Calculator!$G$14,0,MIN(MIN(MOD(A440/Calculator!$F$14,1),1-MOD(A440/Calculator!$F$14,1)),ABS(MOD(A440/Calculator!$F$14,1)-0.5))),1)</f>
        <v>0.0664912280701753</v>
      </c>
      <c r="F440" s="138" t="n">
        <f aca="false">IF(Calculator!$E$15="YES",IF(A440&lt;Calculator!$G$15,0,MIN(MIN(MOD(A440/Calculator!$F$15,1),1-MOD(A440/Calculator!$F$15,1)),ABS(MOD(A440/Calculator!$F$15,1)-0.5))),1)</f>
        <v>0.0539473684210527</v>
      </c>
      <c r="G440" s="138" t="n">
        <f aca="false">IF(Calculator!$E$16="YES",IF(A440&lt;Calculator!$G$16,0,MIN(MIN(MOD(A440/Calculator!$F$16,1),1-MOD(A440/Calculator!$F$16,1)),ABS(MOD(A440/Calculator!$F$16,1)-0.5))),1)</f>
        <v>0.175526315789473</v>
      </c>
      <c r="H440" s="138" t="n">
        <f aca="false">IF(Calculator!$E$17="YES",IF(A440&lt;Calculator!$G$17,0,MIN(MIN(MOD(A440/Calculator!$F$17,1),1-MOD(A440/Calculator!$F$17,1)),ABS(MOD(A440/Calculator!$F$17,1)-0.5))),1)</f>
        <v>0.166477192982457</v>
      </c>
      <c r="I440" s="138" t="n">
        <f aca="false">IF(Calculator!$E$18="YES",IF(A440&lt;Calculator!$G$18,0,MIN(MIN(MOD(A440/Calculator!$F$18,1),1-MOD(A440/Calculator!$F$18,1)),ABS(MOD(A440/Calculator!$F$18,1)-0.5))),1)</f>
        <v>0.223947368421053</v>
      </c>
      <c r="J440" s="138" t="n">
        <f aca="false">IF(Calculator!$E$19="YES",IF(A440&lt;Calculator!$G$19,0,MIN(MIN(MOD(A440/Calculator!$F$19,1),1-MOD(A440/Calculator!$F$19,1)),ABS(MOD(A440/Calculator!$F$19,1)-0.5))),1)</f>
        <v>0.0116491228070181</v>
      </c>
      <c r="K440" s="138" t="n">
        <f aca="false">IF(Calculator!$E$20="YES",IF(A440&lt;Calculator!$G$20,0,MIN(MIN(MOD(A440/Calculator!$F$20,1),1-MOD(A440/Calculator!$F$20,1)),ABS(MOD(A440/Calculator!$F$20,1)-0.5))),1)</f>
        <v>0.180877192982456</v>
      </c>
      <c r="L440" s="138" t="n">
        <f aca="false">IF(Calculator!$E$21="YES",IF(A440&lt;Calculator!$G$21,0,MIN(MIN(MOD(A440/Calculator!$F$21,1),1-MOD(A440/Calculator!$F$21,1)),ABS(MOD(A440/Calculator!$F$21,1)-0.5))),1)</f>
        <v>0.198245614035088</v>
      </c>
      <c r="M440" s="138" t="n">
        <f aca="false">MIN(B440:L440)</f>
        <v>0.0116491228070181</v>
      </c>
      <c r="N440" s="138" t="n">
        <f aca="false">SUMPRODUCT(($M$5:$M$555&gt;M440)*1)+SUMPRODUCT(($M$5:$M$555=M440)*(ROW($M$5:$M$555)&lt;ROW(M440)))+1</f>
        <v>123</v>
      </c>
      <c r="O440" s="138" t="str">
        <f aca="false">IF(M440&gt;=0.2,"★★★ EXCELLENT",IF(M440&gt;=0.12,"★★  GOOD",IF(M440&gt;=0.07,"★  FAIR",IF(M440&gt;=0.025,"⚠  MARGINAL","✗  AVOID"))))</f>
        <v>✗  AVOID</v>
      </c>
    </row>
    <row r="441" customFormat="false" ht="15" hidden="false" customHeight="false" outlineLevel="0" collapsed="false">
      <c r="A441" s="135" t="n">
        <v>48.6</v>
      </c>
      <c r="B441" s="136" t="n">
        <f aca="false">IF(Calculator!$E$11="YES",IF(A441&lt;Calculator!$G$11,0,MIN(MIN(MOD(A441/Calculator!$F$11,1),1-MOD(A441/Calculator!$F$11,1)),ABS(MOD(A441/Calculator!$F$11,1)-0.5))),1)</f>
        <v>0.148</v>
      </c>
      <c r="C441" s="136" t="n">
        <f aca="false">IF(Calculator!$E$12="YES",IF(A441&lt;Calculator!$G$12,0,MIN(MIN(MOD(A441/Calculator!$F$12,1),1-MOD(A441/Calculator!$F$12,1)),ABS(MOD(A441/Calculator!$F$12,1)-0.5))),1)</f>
        <v>0.244842105263158</v>
      </c>
      <c r="D441" s="136" t="n">
        <f aca="false">IF(Calculator!$E$13="YES",IF(A441&lt;Calculator!$G$13,0,MIN(MIN(MOD(A441/Calculator!$F$13,1),1-MOD(A441/Calculator!$F$13,1)),ABS(MOD(A441/Calculator!$F$13,1)-0.5))),1)</f>
        <v>0.172298947368421</v>
      </c>
      <c r="E441" s="136" t="n">
        <f aca="false">IF(Calculator!$E$14="YES",IF(A441&lt;Calculator!$G$14,0,MIN(MIN(MOD(A441/Calculator!$F$14,1),1-MOD(A441/Calculator!$F$14,1)),ABS(MOD(A441/Calculator!$F$14,1)-0.5))),1)</f>
        <v>0.0614736842105264</v>
      </c>
      <c r="F441" s="136" t="n">
        <f aca="false">IF(Calculator!$E$15="YES",IF(A441&lt;Calculator!$G$15,0,MIN(MIN(MOD(A441/Calculator!$F$15,1),1-MOD(A441/Calculator!$F$15,1)),ABS(MOD(A441/Calculator!$F$15,1)-0.5))),1)</f>
        <v>0.046842105263158</v>
      </c>
      <c r="G441" s="136" t="n">
        <f aca="false">IF(Calculator!$E$16="YES",IF(A441&lt;Calculator!$G$16,0,MIN(MIN(MOD(A441/Calculator!$F$16,1),1-MOD(A441/Calculator!$F$16,1)),ABS(MOD(A441/Calculator!$F$16,1)-0.5))),1)</f>
        <v>0.16557894736842</v>
      </c>
      <c r="H441" s="136" t="n">
        <f aca="false">IF(Calculator!$E$17="YES",IF(A441&lt;Calculator!$G$17,0,MIN(MIN(MOD(A441/Calculator!$F$17,1),1-MOD(A441/Calculator!$F$17,1)),ABS(MOD(A441/Calculator!$F$17,1)-0.5))),1)</f>
        <v>0.179191578947369</v>
      </c>
      <c r="I441" s="136" t="n">
        <f aca="false">IF(Calculator!$E$18="YES",IF(A441&lt;Calculator!$G$18,0,MIN(MIN(MOD(A441/Calculator!$F$18,1),1-MOD(A441/Calculator!$F$18,1)),ABS(MOD(A441/Calculator!$F$18,1)-0.5))),1)</f>
        <v>0.238842105263158</v>
      </c>
      <c r="J441" s="136" t="n">
        <f aca="false">IF(Calculator!$E$19="YES",IF(A441&lt;Calculator!$G$19,0,MIN(MIN(MOD(A441/Calculator!$F$19,1),1-MOD(A441/Calculator!$F$19,1)),ABS(MOD(A441/Calculator!$F$19,1)-0.5))),1)</f>
        <v>0.00585263157894644</v>
      </c>
      <c r="K441" s="136" t="n">
        <f aca="false">IF(Calculator!$E$20="YES",IF(A441&lt;Calculator!$G$20,0,MIN(MIN(MOD(A441/Calculator!$F$20,1),1-MOD(A441/Calculator!$F$20,1)),ABS(MOD(A441/Calculator!$F$20,1)-0.5))),1)</f>
        <v>0.160631578947369</v>
      </c>
      <c r="L441" s="136" t="n">
        <f aca="false">IF(Calculator!$E$21="YES",IF(A441&lt;Calculator!$G$21,0,MIN(MIN(MOD(A441/Calculator!$F$21,1),1-MOD(A441/Calculator!$F$21,1)),ABS(MOD(A441/Calculator!$F$21,1)-0.5))),1)</f>
        <v>0.234736842105264</v>
      </c>
      <c r="M441" s="136" t="n">
        <f aca="false">MIN(B441:L441)</f>
        <v>0.00585263157894644</v>
      </c>
      <c r="N441" s="136" t="n">
        <f aca="false">SUMPRODUCT(($M$5:$M$555&gt;M441)*1)+SUMPRODUCT(($M$5:$M$555=M441)*(ROW($M$5:$M$555)&lt;ROW(M441)))+1</f>
        <v>169</v>
      </c>
      <c r="O441" s="136" t="str">
        <f aca="false">IF(M441&gt;=0.2,"★★★ EXCELLENT",IF(M441&gt;=0.12,"★★  GOOD",IF(M441&gt;=0.07,"★  FAIR",IF(M441&gt;=0.025,"⚠  MARGINAL","✗  AVOID"))))</f>
        <v>✗  AVOID</v>
      </c>
    </row>
    <row r="442" customFormat="false" ht="15" hidden="false" customHeight="false" outlineLevel="0" collapsed="false">
      <c r="A442" s="137" t="n">
        <v>48.7</v>
      </c>
      <c r="B442" s="138" t="n">
        <f aca="false">IF(Calculator!$E$11="YES",IF(A442&lt;Calculator!$G$11,0,MIN(MIN(MOD(A442/Calculator!$F$11,1),1-MOD(A442/Calculator!$F$11,1)),ABS(MOD(A442/Calculator!$F$11,1)-0.5))),1)</f>
        <v>0.149333333333333</v>
      </c>
      <c r="C442" s="138" t="n">
        <f aca="false">IF(Calculator!$E$12="YES",IF(A442&lt;Calculator!$G$12,0,MIN(MIN(MOD(A442/Calculator!$F$12,1),1-MOD(A442/Calculator!$F$12,1)),ABS(MOD(A442/Calculator!$F$12,1)-0.5))),1)</f>
        <v>0.24740350877193</v>
      </c>
      <c r="D442" s="138" t="n">
        <f aca="false">IF(Calculator!$E$13="YES",IF(A442&lt;Calculator!$G$13,0,MIN(MIN(MOD(A442/Calculator!$F$13,1),1-MOD(A442/Calculator!$F$13,1)),ABS(MOD(A442/Calculator!$F$13,1)-0.5))),1)</f>
        <v>0.168538245614035</v>
      </c>
      <c r="E442" s="138" t="n">
        <f aca="false">IF(Calculator!$E$14="YES",IF(A442&lt;Calculator!$G$14,0,MIN(MIN(MOD(A442/Calculator!$F$14,1),1-MOD(A442/Calculator!$F$14,1)),ABS(MOD(A442/Calculator!$F$14,1)-0.5))),1)</f>
        <v>0.056456140350877</v>
      </c>
      <c r="F442" s="138" t="n">
        <f aca="false">IF(Calculator!$E$15="YES",IF(A442&lt;Calculator!$G$15,0,MIN(MIN(MOD(A442/Calculator!$F$15,1),1-MOD(A442/Calculator!$F$15,1)),ABS(MOD(A442/Calculator!$F$15,1)-0.5))),1)</f>
        <v>0.0397368421052629</v>
      </c>
      <c r="G442" s="138" t="n">
        <f aca="false">IF(Calculator!$E$16="YES",IF(A442&lt;Calculator!$G$16,0,MIN(MIN(MOD(A442/Calculator!$F$16,1),1-MOD(A442/Calculator!$F$16,1)),ABS(MOD(A442/Calculator!$F$16,1)-0.5))),1)</f>
        <v>0.155631578947368</v>
      </c>
      <c r="H442" s="138" t="n">
        <f aca="false">IF(Calculator!$E$17="YES",IF(A442&lt;Calculator!$G$17,0,MIN(MIN(MOD(A442/Calculator!$F$17,1),1-MOD(A442/Calculator!$F$17,1)),ABS(MOD(A442/Calculator!$F$17,1)-0.5))),1)</f>
        <v>0.191905964912282</v>
      </c>
      <c r="I442" s="138" t="n">
        <f aca="false">IF(Calculator!$E$18="YES",IF(A442&lt;Calculator!$G$18,0,MIN(MIN(MOD(A442/Calculator!$F$18,1),1-MOD(A442/Calculator!$F$18,1)),ABS(MOD(A442/Calculator!$F$18,1)-0.5))),1)</f>
        <v>0.246263157894736</v>
      </c>
      <c r="J442" s="138" t="n">
        <f aca="false">IF(Calculator!$E$19="YES",IF(A442&lt;Calculator!$G$19,0,MIN(MIN(MOD(A442/Calculator!$F$19,1),1-MOD(A442/Calculator!$F$19,1)),ABS(MOD(A442/Calculator!$F$19,1)-0.5))),1)</f>
        <v>0.023354385964911</v>
      </c>
      <c r="K442" s="138" t="n">
        <f aca="false">IF(Calculator!$E$20="YES",IF(A442&lt;Calculator!$G$20,0,MIN(MIN(MOD(A442/Calculator!$F$20,1),1-MOD(A442/Calculator!$F$20,1)),ABS(MOD(A442/Calculator!$F$20,1)-0.5))),1)</f>
        <v>0.14038596491228</v>
      </c>
      <c r="L442" s="138" t="n">
        <f aca="false">IF(Calculator!$E$21="YES",IF(A442&lt;Calculator!$G$21,0,MIN(MIN(MOD(A442/Calculator!$F$21,1),1-MOD(A442/Calculator!$F$21,1)),ABS(MOD(A442/Calculator!$F$21,1)-0.5))),1)</f>
        <v>0.228771929824561</v>
      </c>
      <c r="M442" s="138" t="n">
        <f aca="false">MIN(B442:L442)</f>
        <v>0.023354385964911</v>
      </c>
      <c r="N442" s="138" t="n">
        <f aca="false">SUMPRODUCT(($M$5:$M$555&gt;M442)*1)+SUMPRODUCT(($M$5:$M$555=M442)*(ROW($M$5:$M$555)&lt;ROW(M442)))+1</f>
        <v>68</v>
      </c>
      <c r="O442" s="138" t="str">
        <f aca="false">IF(M442&gt;=0.2,"★★★ EXCELLENT",IF(M442&gt;=0.12,"★★  GOOD",IF(M442&gt;=0.07,"★  FAIR",IF(M442&gt;=0.025,"⚠  MARGINAL","✗  AVOID"))))</f>
        <v>✗  AVOID</v>
      </c>
    </row>
    <row r="443" customFormat="false" ht="15" hidden="false" customHeight="false" outlineLevel="0" collapsed="false">
      <c r="A443" s="135" t="n">
        <v>48.8</v>
      </c>
      <c r="B443" s="136" t="n">
        <f aca="false">IF(Calculator!$E$11="YES",IF(A443&lt;Calculator!$G$11,0,MIN(MIN(MOD(A443/Calculator!$F$11,1),1-MOD(A443/Calculator!$F$11,1)),ABS(MOD(A443/Calculator!$F$11,1)-0.5))),1)</f>
        <v>0.150666666666667</v>
      </c>
      <c r="C443" s="136" t="n">
        <f aca="false">IF(Calculator!$E$12="YES",IF(A443&lt;Calculator!$G$12,0,MIN(MIN(MOD(A443/Calculator!$F$12,1),1-MOD(A443/Calculator!$F$12,1)),ABS(MOD(A443/Calculator!$F$12,1)-0.5))),1)</f>
        <v>0.249964912280702</v>
      </c>
      <c r="D443" s="136" t="n">
        <f aca="false">IF(Calculator!$E$13="YES",IF(A443&lt;Calculator!$G$13,0,MIN(MIN(MOD(A443/Calculator!$F$13,1),1-MOD(A443/Calculator!$F$13,1)),ABS(MOD(A443/Calculator!$F$13,1)-0.5))),1)</f>
        <v>0.164777543859649</v>
      </c>
      <c r="E443" s="136" t="n">
        <f aca="false">IF(Calculator!$E$14="YES",IF(A443&lt;Calculator!$G$14,0,MIN(MIN(MOD(A443/Calculator!$F$14,1),1-MOD(A443/Calculator!$F$14,1)),ABS(MOD(A443/Calculator!$F$14,1)-0.5))),1)</f>
        <v>0.0514385964912281</v>
      </c>
      <c r="F443" s="136" t="n">
        <f aca="false">IF(Calculator!$E$15="YES",IF(A443&lt;Calculator!$G$15,0,MIN(MIN(MOD(A443/Calculator!$F$15,1),1-MOD(A443/Calculator!$F$15,1)),ABS(MOD(A443/Calculator!$F$15,1)-0.5))),1)</f>
        <v>0.0326315789473686</v>
      </c>
      <c r="G443" s="136" t="n">
        <f aca="false">IF(Calculator!$E$16="YES",IF(A443&lt;Calculator!$G$16,0,MIN(MIN(MOD(A443/Calculator!$F$16,1),1-MOD(A443/Calculator!$F$16,1)),ABS(MOD(A443/Calculator!$F$16,1)-0.5))),1)</f>
        <v>0.145684210526316</v>
      </c>
      <c r="H443" s="136" t="n">
        <f aca="false">IF(Calculator!$E$17="YES",IF(A443&lt;Calculator!$G$17,0,MIN(MIN(MOD(A443/Calculator!$F$17,1),1-MOD(A443/Calculator!$F$17,1)),ABS(MOD(A443/Calculator!$F$17,1)-0.5))),1)</f>
        <v>0.204620350877193</v>
      </c>
      <c r="I443" s="136" t="n">
        <f aca="false">IF(Calculator!$E$18="YES",IF(A443&lt;Calculator!$G$18,0,MIN(MIN(MOD(A443/Calculator!$F$18,1),1-MOD(A443/Calculator!$F$18,1)),ABS(MOD(A443/Calculator!$F$18,1)-0.5))),1)</f>
        <v>0.231368421052632</v>
      </c>
      <c r="J443" s="136" t="n">
        <f aca="false">IF(Calculator!$E$19="YES",IF(A443&lt;Calculator!$G$19,0,MIN(MIN(MOD(A443/Calculator!$F$19,1),1-MOD(A443/Calculator!$F$19,1)),ABS(MOD(A443/Calculator!$F$19,1)-0.5))),1)</f>
        <v>0.0408561403508756</v>
      </c>
      <c r="K443" s="136" t="n">
        <f aca="false">IF(Calculator!$E$20="YES",IF(A443&lt;Calculator!$G$20,0,MIN(MIN(MOD(A443/Calculator!$F$20,1),1-MOD(A443/Calculator!$F$20,1)),ABS(MOD(A443/Calculator!$F$20,1)-0.5))),1)</f>
        <v>0.120140350877193</v>
      </c>
      <c r="L443" s="136" t="n">
        <f aca="false">IF(Calculator!$E$21="YES",IF(A443&lt;Calculator!$G$21,0,MIN(MIN(MOD(A443/Calculator!$F$21,1),1-MOD(A443/Calculator!$F$21,1)),ABS(MOD(A443/Calculator!$F$21,1)-0.5))),1)</f>
        <v>0.192280701754388</v>
      </c>
      <c r="M443" s="136" t="n">
        <f aca="false">MIN(B443:L443)</f>
        <v>0.0326315789473686</v>
      </c>
      <c r="N443" s="136" t="n">
        <f aca="false">SUMPRODUCT(($M$5:$M$555&gt;M443)*1)+SUMPRODUCT(($M$5:$M$555=M443)*(ROW($M$5:$M$555)&lt;ROW(M443)))+1</f>
        <v>40</v>
      </c>
      <c r="O443" s="136" t="str">
        <f aca="false">IF(M443&gt;=0.2,"★★★ EXCELLENT",IF(M443&gt;=0.12,"★★  GOOD",IF(M443&gt;=0.07,"★  FAIR",IF(M443&gt;=0.025,"⚠  MARGINAL","✗  AVOID"))))</f>
        <v>⚠  MARGINAL</v>
      </c>
    </row>
    <row r="444" customFormat="false" ht="15" hidden="false" customHeight="false" outlineLevel="0" collapsed="false">
      <c r="A444" s="137" t="n">
        <v>48.9</v>
      </c>
      <c r="B444" s="138" t="n">
        <f aca="false">IF(Calculator!$E$11="YES",IF(A444&lt;Calculator!$G$11,0,MIN(MIN(MOD(A444/Calculator!$F$11,1),1-MOD(A444/Calculator!$F$11,1)),ABS(MOD(A444/Calculator!$F$11,1)-0.5))),1)</f>
        <v>0.152</v>
      </c>
      <c r="C444" s="138" t="n">
        <f aca="false">IF(Calculator!$E$12="YES",IF(A444&lt;Calculator!$G$12,0,MIN(MIN(MOD(A444/Calculator!$F$12,1),1-MOD(A444/Calculator!$F$12,1)),ABS(MOD(A444/Calculator!$F$12,1)-0.5))),1)</f>
        <v>0.247473684210526</v>
      </c>
      <c r="D444" s="138" t="n">
        <f aca="false">IF(Calculator!$E$13="YES",IF(A444&lt;Calculator!$G$13,0,MIN(MIN(MOD(A444/Calculator!$F$13,1),1-MOD(A444/Calculator!$F$13,1)),ABS(MOD(A444/Calculator!$F$13,1)-0.5))),1)</f>
        <v>0.161016842105263</v>
      </c>
      <c r="E444" s="138" t="n">
        <f aca="false">IF(Calculator!$E$14="YES",IF(A444&lt;Calculator!$G$14,0,MIN(MIN(MOD(A444/Calculator!$F$14,1),1-MOD(A444/Calculator!$F$14,1)),ABS(MOD(A444/Calculator!$F$14,1)-0.5))),1)</f>
        <v>0.0464210526315791</v>
      </c>
      <c r="F444" s="138" t="n">
        <f aca="false">IF(Calculator!$E$15="YES",IF(A444&lt;Calculator!$G$15,0,MIN(MIN(MOD(A444/Calculator!$F$15,1),1-MOD(A444/Calculator!$F$15,1)),ABS(MOD(A444/Calculator!$F$15,1)-0.5))),1)</f>
        <v>0.0255263157894738</v>
      </c>
      <c r="G444" s="138" t="n">
        <f aca="false">IF(Calculator!$E$16="YES",IF(A444&lt;Calculator!$G$16,0,MIN(MIN(MOD(A444/Calculator!$F$16,1),1-MOD(A444/Calculator!$F$16,1)),ABS(MOD(A444/Calculator!$F$16,1)-0.5))),1)</f>
        <v>0.135736842105263</v>
      </c>
      <c r="H444" s="138" t="n">
        <f aca="false">IF(Calculator!$E$17="YES",IF(A444&lt;Calculator!$G$17,0,MIN(MIN(MOD(A444/Calculator!$F$17,1),1-MOD(A444/Calculator!$F$17,1)),ABS(MOD(A444/Calculator!$F$17,1)-0.5))),1)</f>
        <v>0.217334736842106</v>
      </c>
      <c r="I444" s="138" t="n">
        <f aca="false">IF(Calculator!$E$18="YES",IF(A444&lt;Calculator!$G$18,0,MIN(MIN(MOD(A444/Calculator!$F$18,1),1-MOD(A444/Calculator!$F$18,1)),ABS(MOD(A444/Calculator!$F$18,1)-0.5))),1)</f>
        <v>0.216473684210526</v>
      </c>
      <c r="J444" s="138" t="n">
        <f aca="false">IF(Calculator!$E$19="YES",IF(A444&lt;Calculator!$G$19,0,MIN(MIN(MOD(A444/Calculator!$F$19,1),1-MOD(A444/Calculator!$F$19,1)),ABS(MOD(A444/Calculator!$F$19,1)-0.5))),1)</f>
        <v>0.0583578947368402</v>
      </c>
      <c r="K444" s="138" t="n">
        <f aca="false">IF(Calculator!$E$20="YES",IF(A444&lt;Calculator!$G$20,0,MIN(MIN(MOD(A444/Calculator!$F$20,1),1-MOD(A444/Calculator!$F$20,1)),ABS(MOD(A444/Calculator!$F$20,1)-0.5))),1)</f>
        <v>0.0998947368421064</v>
      </c>
      <c r="L444" s="138" t="n">
        <f aca="false">IF(Calculator!$E$21="YES",IF(A444&lt;Calculator!$G$21,0,MIN(MIN(MOD(A444/Calculator!$F$21,1),1-MOD(A444/Calculator!$F$21,1)),ABS(MOD(A444/Calculator!$F$21,1)-0.5))),1)</f>
        <v>0.155789473684212</v>
      </c>
      <c r="M444" s="138" t="n">
        <f aca="false">MIN(B444:L444)</f>
        <v>0.0255263157894738</v>
      </c>
      <c r="N444" s="138" t="n">
        <f aca="false">SUMPRODUCT(($M$5:$M$555&gt;M444)*1)+SUMPRODUCT(($M$5:$M$555=M444)*(ROW($M$5:$M$555)&lt;ROW(M444)))+1</f>
        <v>64</v>
      </c>
      <c r="O444" s="138" t="str">
        <f aca="false">IF(M444&gt;=0.2,"★★★ EXCELLENT",IF(M444&gt;=0.12,"★★  GOOD",IF(M444&gt;=0.07,"★  FAIR",IF(M444&gt;=0.025,"⚠  MARGINAL","✗  AVOID"))))</f>
        <v>⚠  MARGINAL</v>
      </c>
    </row>
    <row r="445" customFormat="false" ht="15" hidden="false" customHeight="false" outlineLevel="0" collapsed="false">
      <c r="A445" s="135" t="n">
        <v>49</v>
      </c>
      <c r="B445" s="136" t="n">
        <f aca="false">IF(Calculator!$E$11="YES",IF(A445&lt;Calculator!$G$11,0,MIN(MIN(MOD(A445/Calculator!$F$11,1),1-MOD(A445/Calculator!$F$11,1)),ABS(MOD(A445/Calculator!$F$11,1)-0.5))),1)</f>
        <v>0.153333333333333</v>
      </c>
      <c r="C445" s="136" t="n">
        <f aca="false">IF(Calculator!$E$12="YES",IF(A445&lt;Calculator!$G$12,0,MIN(MIN(MOD(A445/Calculator!$F$12,1),1-MOD(A445/Calculator!$F$12,1)),ABS(MOD(A445/Calculator!$F$12,1)-0.5))),1)</f>
        <v>0.244912280701754</v>
      </c>
      <c r="D445" s="136" t="n">
        <f aca="false">IF(Calculator!$E$13="YES",IF(A445&lt;Calculator!$G$13,0,MIN(MIN(MOD(A445/Calculator!$F$13,1),1-MOD(A445/Calculator!$F$13,1)),ABS(MOD(A445/Calculator!$F$13,1)-0.5))),1)</f>
        <v>0.157256140350877</v>
      </c>
      <c r="E445" s="136" t="n">
        <f aca="false">IF(Calculator!$E$14="YES",IF(A445&lt;Calculator!$G$14,0,MIN(MIN(MOD(A445/Calculator!$F$14,1),1-MOD(A445/Calculator!$F$14,1)),ABS(MOD(A445/Calculator!$F$14,1)-0.5))),1)</f>
        <v>0.0414035087719298</v>
      </c>
      <c r="F445" s="136" t="n">
        <f aca="false">IF(Calculator!$E$15="YES",IF(A445&lt;Calculator!$G$15,0,MIN(MIN(MOD(A445/Calculator!$F$15,1),1-MOD(A445/Calculator!$F$15,1)),ABS(MOD(A445/Calculator!$F$15,1)-0.5))),1)</f>
        <v>0.0184210526315791</v>
      </c>
      <c r="G445" s="136" t="n">
        <f aca="false">IF(Calculator!$E$16="YES",IF(A445&lt;Calculator!$G$16,0,MIN(MIN(MOD(A445/Calculator!$F$16,1),1-MOD(A445/Calculator!$F$16,1)),ABS(MOD(A445/Calculator!$F$16,1)-0.5))),1)</f>
        <v>0.12578947368421</v>
      </c>
      <c r="H445" s="136" t="n">
        <f aca="false">IF(Calculator!$E$17="YES",IF(A445&lt;Calculator!$G$17,0,MIN(MIN(MOD(A445/Calculator!$F$17,1),1-MOD(A445/Calculator!$F$17,1)),ABS(MOD(A445/Calculator!$F$17,1)-0.5))),1)</f>
        <v>0.230049122807018</v>
      </c>
      <c r="I445" s="136" t="n">
        <f aca="false">IF(Calculator!$E$18="YES",IF(A445&lt;Calculator!$G$18,0,MIN(MIN(MOD(A445/Calculator!$F$18,1),1-MOD(A445/Calculator!$F$18,1)),ABS(MOD(A445/Calculator!$F$18,1)-0.5))),1)</f>
        <v>0.201578947368421</v>
      </c>
      <c r="J445" s="136" t="n">
        <f aca="false">IF(Calculator!$E$19="YES",IF(A445&lt;Calculator!$G$19,0,MIN(MIN(MOD(A445/Calculator!$F$19,1),1-MOD(A445/Calculator!$F$19,1)),ABS(MOD(A445/Calculator!$F$19,1)-0.5))),1)</f>
        <v>0.0758596491228047</v>
      </c>
      <c r="K445" s="136" t="n">
        <f aca="false">IF(Calculator!$E$20="YES",IF(A445&lt;Calculator!$G$20,0,MIN(MIN(MOD(A445/Calculator!$F$20,1),1-MOD(A445/Calculator!$F$20,1)),ABS(MOD(A445/Calculator!$F$20,1)-0.5))),1)</f>
        <v>0.0796491228070178</v>
      </c>
      <c r="L445" s="136" t="n">
        <f aca="false">IF(Calculator!$E$21="YES",IF(A445&lt;Calculator!$G$21,0,MIN(MIN(MOD(A445/Calculator!$F$21,1),1-MOD(A445/Calculator!$F$21,1)),ABS(MOD(A445/Calculator!$F$21,1)-0.5))),1)</f>
        <v>0.119298245614036</v>
      </c>
      <c r="M445" s="136" t="n">
        <f aca="false">MIN(B445:L445)</f>
        <v>0.0184210526315791</v>
      </c>
      <c r="N445" s="136" t="n">
        <f aca="false">SUMPRODUCT(($M$5:$M$555&gt;M445)*1)+SUMPRODUCT(($M$5:$M$555=M445)*(ROW($M$5:$M$555)&lt;ROW(M445)))+1</f>
        <v>88</v>
      </c>
      <c r="O445" s="136" t="str">
        <f aca="false">IF(M445&gt;=0.2,"★★★ EXCELLENT",IF(M445&gt;=0.12,"★★  GOOD",IF(M445&gt;=0.07,"★  FAIR",IF(M445&gt;=0.025,"⚠  MARGINAL","✗  AVOID"))))</f>
        <v>✗  AVOID</v>
      </c>
    </row>
    <row r="446" customFormat="false" ht="15" hidden="false" customHeight="false" outlineLevel="0" collapsed="false">
      <c r="A446" s="137" t="n">
        <v>49.1</v>
      </c>
      <c r="B446" s="138" t="n">
        <f aca="false">IF(Calculator!$E$11="YES",IF(A446&lt;Calculator!$G$11,0,MIN(MIN(MOD(A446/Calculator!$F$11,1),1-MOD(A446/Calculator!$F$11,1)),ABS(MOD(A446/Calculator!$F$11,1)-0.5))),1)</f>
        <v>0.154666666666667</v>
      </c>
      <c r="C446" s="138" t="n">
        <f aca="false">IF(Calculator!$E$12="YES",IF(A446&lt;Calculator!$G$12,0,MIN(MIN(MOD(A446/Calculator!$F$12,1),1-MOD(A446/Calculator!$F$12,1)),ABS(MOD(A446/Calculator!$F$12,1)-0.5))),1)</f>
        <v>0.242350877192982</v>
      </c>
      <c r="D446" s="138" t="n">
        <f aca="false">IF(Calculator!$E$13="YES",IF(A446&lt;Calculator!$G$13,0,MIN(MIN(MOD(A446/Calculator!$F$13,1),1-MOD(A446/Calculator!$F$13,1)),ABS(MOD(A446/Calculator!$F$13,1)-0.5))),1)</f>
        <v>0.153495438596491</v>
      </c>
      <c r="E446" s="138" t="n">
        <f aca="false">IF(Calculator!$E$14="YES",IF(A446&lt;Calculator!$G$14,0,MIN(MIN(MOD(A446/Calculator!$F$14,1),1-MOD(A446/Calculator!$F$14,1)),ABS(MOD(A446/Calculator!$F$14,1)-0.5))),1)</f>
        <v>0.0363859649122804</v>
      </c>
      <c r="F446" s="138" t="n">
        <f aca="false">IF(Calculator!$E$15="YES",IF(A446&lt;Calculator!$G$15,0,MIN(MIN(MOD(A446/Calculator!$F$15,1),1-MOD(A446/Calculator!$F$15,1)),ABS(MOD(A446/Calculator!$F$15,1)-0.5))),1)</f>
        <v>0.0113157894736844</v>
      </c>
      <c r="G446" s="138" t="n">
        <f aca="false">IF(Calculator!$E$16="YES",IF(A446&lt;Calculator!$G$16,0,MIN(MIN(MOD(A446/Calculator!$F$16,1),1-MOD(A446/Calculator!$F$16,1)),ABS(MOD(A446/Calculator!$F$16,1)-0.5))),1)</f>
        <v>0.115842105263157</v>
      </c>
      <c r="H446" s="138" t="n">
        <f aca="false">IF(Calculator!$E$17="YES",IF(A446&lt;Calculator!$G$17,0,MIN(MIN(MOD(A446/Calculator!$F$17,1),1-MOD(A446/Calculator!$F$17,1)),ABS(MOD(A446/Calculator!$F$17,1)-0.5))),1)</f>
        <v>0.24276350877193</v>
      </c>
      <c r="I446" s="138" t="n">
        <f aca="false">IF(Calculator!$E$18="YES",IF(A446&lt;Calculator!$G$18,0,MIN(MIN(MOD(A446/Calculator!$F$18,1),1-MOD(A446/Calculator!$F$18,1)),ABS(MOD(A446/Calculator!$F$18,1)-0.5))),1)</f>
        <v>0.186684210526315</v>
      </c>
      <c r="J446" s="138" t="n">
        <f aca="false">IF(Calculator!$E$19="YES",IF(A446&lt;Calculator!$G$19,0,MIN(MIN(MOD(A446/Calculator!$F$19,1),1-MOD(A446/Calculator!$F$19,1)),ABS(MOD(A446/Calculator!$F$19,1)-0.5))),1)</f>
        <v>0.0933614035087711</v>
      </c>
      <c r="K446" s="138" t="n">
        <f aca="false">IF(Calculator!$E$20="YES",IF(A446&lt;Calculator!$G$20,0,MIN(MIN(MOD(A446/Calculator!$F$20,1),1-MOD(A446/Calculator!$F$20,1)),ABS(MOD(A446/Calculator!$F$20,1)-0.5))),1)</f>
        <v>0.0594035087719291</v>
      </c>
      <c r="L446" s="138" t="n">
        <f aca="false">IF(Calculator!$E$21="YES",IF(A446&lt;Calculator!$G$21,0,MIN(MIN(MOD(A446/Calculator!$F$21,1),1-MOD(A446/Calculator!$F$21,1)),ABS(MOD(A446/Calculator!$F$21,1)-0.5))),1)</f>
        <v>0.0828070175438604</v>
      </c>
      <c r="M446" s="138" t="n">
        <f aca="false">MIN(B446:L446)</f>
        <v>0.0113157894736844</v>
      </c>
      <c r="N446" s="138" t="n">
        <f aca="false">SUMPRODUCT(($M$5:$M$555&gt;M446)*1)+SUMPRODUCT(($M$5:$M$555=M446)*(ROW($M$5:$M$555)&lt;ROW(M446)))+1</f>
        <v>125</v>
      </c>
      <c r="O446" s="138" t="str">
        <f aca="false">IF(M446&gt;=0.2,"★★★ EXCELLENT",IF(M446&gt;=0.12,"★★  GOOD",IF(M446&gt;=0.07,"★  FAIR",IF(M446&gt;=0.025,"⚠  MARGINAL","✗  AVOID"))))</f>
        <v>✗  AVOID</v>
      </c>
    </row>
    <row r="447" customFormat="false" ht="15" hidden="false" customHeight="false" outlineLevel="0" collapsed="false">
      <c r="A447" s="135" t="n">
        <v>49.2</v>
      </c>
      <c r="B447" s="136" t="n">
        <f aca="false">IF(Calculator!$E$11="YES",IF(A447&lt;Calculator!$G$11,0,MIN(MIN(MOD(A447/Calculator!$F$11,1),1-MOD(A447/Calculator!$F$11,1)),ABS(MOD(A447/Calculator!$F$11,1)-0.5))),1)</f>
        <v>0.156</v>
      </c>
      <c r="C447" s="136" t="n">
        <f aca="false">IF(Calculator!$E$12="YES",IF(A447&lt;Calculator!$G$12,0,MIN(MIN(MOD(A447/Calculator!$F$12,1),1-MOD(A447/Calculator!$F$12,1)),ABS(MOD(A447/Calculator!$F$12,1)-0.5))),1)</f>
        <v>0.23978947368421</v>
      </c>
      <c r="D447" s="136" t="n">
        <f aca="false">IF(Calculator!$E$13="YES",IF(A447&lt;Calculator!$G$13,0,MIN(MIN(MOD(A447/Calculator!$F$13,1),1-MOD(A447/Calculator!$F$13,1)),ABS(MOD(A447/Calculator!$F$13,1)-0.5))),1)</f>
        <v>0.149734736842105</v>
      </c>
      <c r="E447" s="136" t="n">
        <f aca="false">IF(Calculator!$E$14="YES",IF(A447&lt;Calculator!$G$14,0,MIN(MIN(MOD(A447/Calculator!$F$14,1),1-MOD(A447/Calculator!$F$14,1)),ABS(MOD(A447/Calculator!$F$14,1)-0.5))),1)</f>
        <v>0.0313684210526315</v>
      </c>
      <c r="F447" s="136" t="n">
        <f aca="false">IF(Calculator!$E$15="YES",IF(A447&lt;Calculator!$G$15,0,MIN(MIN(MOD(A447/Calculator!$F$15,1),1-MOD(A447/Calculator!$F$15,1)),ABS(MOD(A447/Calculator!$F$15,1)-0.5))),1)</f>
        <v>0.00421052631578922</v>
      </c>
      <c r="G447" s="136" t="n">
        <f aca="false">IF(Calculator!$E$16="YES",IF(A447&lt;Calculator!$G$16,0,MIN(MIN(MOD(A447/Calculator!$F$16,1),1-MOD(A447/Calculator!$F$16,1)),ABS(MOD(A447/Calculator!$F$16,1)-0.5))),1)</f>
        <v>0.105894736842105</v>
      </c>
      <c r="H447" s="136" t="n">
        <f aca="false">IF(Calculator!$E$17="YES",IF(A447&lt;Calculator!$G$17,0,MIN(MIN(MOD(A447/Calculator!$F$17,1),1-MOD(A447/Calculator!$F$17,1)),ABS(MOD(A447/Calculator!$F$17,1)-0.5))),1)</f>
        <v>0.244522105263157</v>
      </c>
      <c r="I447" s="136" t="n">
        <f aca="false">IF(Calculator!$E$18="YES",IF(A447&lt;Calculator!$G$18,0,MIN(MIN(MOD(A447/Calculator!$F$18,1),1-MOD(A447/Calculator!$F$18,1)),ABS(MOD(A447/Calculator!$F$18,1)-0.5))),1)</f>
        <v>0.17178947368421</v>
      </c>
      <c r="J447" s="136" t="n">
        <f aca="false">IF(Calculator!$E$19="YES",IF(A447&lt;Calculator!$G$19,0,MIN(MIN(MOD(A447/Calculator!$F$19,1),1-MOD(A447/Calculator!$F$19,1)),ABS(MOD(A447/Calculator!$F$19,1)-0.5))),1)</f>
        <v>0.110863157894736</v>
      </c>
      <c r="K447" s="136" t="n">
        <f aca="false">IF(Calculator!$E$20="YES",IF(A447&lt;Calculator!$G$20,0,MIN(MIN(MOD(A447/Calculator!$F$20,1),1-MOD(A447/Calculator!$F$20,1)),ABS(MOD(A447/Calculator!$F$20,1)-0.5))),1)</f>
        <v>0.0391578947368423</v>
      </c>
      <c r="L447" s="136" t="n">
        <f aca="false">IF(Calculator!$E$21="YES",IF(A447&lt;Calculator!$G$21,0,MIN(MIN(MOD(A447/Calculator!$F$21,1),1-MOD(A447/Calculator!$F$21,1)),ABS(MOD(A447/Calculator!$F$21,1)-0.5))),1)</f>
        <v>0.0463157894736845</v>
      </c>
      <c r="M447" s="136" t="n">
        <f aca="false">MIN(B447:L447)</f>
        <v>0.00421052631578922</v>
      </c>
      <c r="N447" s="136" t="n">
        <f aca="false">SUMPRODUCT(($M$5:$M$555&gt;M447)*1)+SUMPRODUCT(($M$5:$M$555=M447)*(ROW($M$5:$M$555)&lt;ROW(M447)))+1</f>
        <v>181</v>
      </c>
      <c r="O447" s="136" t="str">
        <f aca="false">IF(M447&gt;=0.2,"★★★ EXCELLENT",IF(M447&gt;=0.12,"★★  GOOD",IF(M447&gt;=0.07,"★  FAIR",IF(M447&gt;=0.025,"⚠  MARGINAL","✗  AVOID"))))</f>
        <v>✗  AVOID</v>
      </c>
    </row>
    <row r="448" customFormat="false" ht="15" hidden="false" customHeight="false" outlineLevel="0" collapsed="false">
      <c r="A448" s="137" t="n">
        <v>49.3</v>
      </c>
      <c r="B448" s="138" t="n">
        <f aca="false">IF(Calculator!$E$11="YES",IF(A448&lt;Calculator!$G$11,0,MIN(MIN(MOD(A448/Calculator!$F$11,1),1-MOD(A448/Calculator!$F$11,1)),ABS(MOD(A448/Calculator!$F$11,1)-0.5))),1)</f>
        <v>0.157333333333333</v>
      </c>
      <c r="C448" s="138" t="n">
        <f aca="false">IF(Calculator!$E$12="YES",IF(A448&lt;Calculator!$G$12,0,MIN(MIN(MOD(A448/Calculator!$F$12,1),1-MOD(A448/Calculator!$F$12,1)),ABS(MOD(A448/Calculator!$F$12,1)-0.5))),1)</f>
        <v>0.237228070175439</v>
      </c>
      <c r="D448" s="138" t="n">
        <f aca="false">IF(Calculator!$E$13="YES",IF(A448&lt;Calculator!$G$13,0,MIN(MIN(MOD(A448/Calculator!$F$13,1),1-MOD(A448/Calculator!$F$13,1)),ABS(MOD(A448/Calculator!$F$13,1)-0.5))),1)</f>
        <v>0.145974035087719</v>
      </c>
      <c r="E448" s="138" t="n">
        <f aca="false">IF(Calculator!$E$14="YES",IF(A448&lt;Calculator!$G$14,0,MIN(MIN(MOD(A448/Calculator!$F$14,1),1-MOD(A448/Calculator!$F$14,1)),ABS(MOD(A448/Calculator!$F$14,1)-0.5))),1)</f>
        <v>0.0263508771929826</v>
      </c>
      <c r="F448" s="138" t="n">
        <f aca="false">IF(Calculator!$E$15="YES",IF(A448&lt;Calculator!$G$15,0,MIN(MIN(MOD(A448/Calculator!$F$15,1),1-MOD(A448/Calculator!$F$15,1)),ABS(MOD(A448/Calculator!$F$15,1)-0.5))),1)</f>
        <v>0.00289473684210506</v>
      </c>
      <c r="G448" s="138" t="n">
        <f aca="false">IF(Calculator!$E$16="YES",IF(A448&lt;Calculator!$G$16,0,MIN(MIN(MOD(A448/Calculator!$F$16,1),1-MOD(A448/Calculator!$F$16,1)),ABS(MOD(A448/Calculator!$F$16,1)-0.5))),1)</f>
        <v>0.0959473684210526</v>
      </c>
      <c r="H448" s="138" t="n">
        <f aca="false">IF(Calculator!$E$17="YES",IF(A448&lt;Calculator!$G$17,0,MIN(MIN(MOD(A448/Calculator!$F$17,1),1-MOD(A448/Calculator!$F$17,1)),ABS(MOD(A448/Calculator!$F$17,1)-0.5))),1)</f>
        <v>0.231807719298245</v>
      </c>
      <c r="I448" s="138" t="n">
        <f aca="false">IF(Calculator!$E$18="YES",IF(A448&lt;Calculator!$G$18,0,MIN(MIN(MOD(A448/Calculator!$F$18,1),1-MOD(A448/Calculator!$F$18,1)),ABS(MOD(A448/Calculator!$F$18,1)-0.5))),1)</f>
        <v>0.156894736842105</v>
      </c>
      <c r="J448" s="138" t="n">
        <f aca="false">IF(Calculator!$E$19="YES",IF(A448&lt;Calculator!$G$19,0,MIN(MIN(MOD(A448/Calculator!$F$19,1),1-MOD(A448/Calculator!$F$19,1)),ABS(MOD(A448/Calculator!$F$19,1)-0.5))),1)</f>
        <v>0.1283649122807</v>
      </c>
      <c r="K448" s="138" t="n">
        <f aca="false">IF(Calculator!$E$20="YES",IF(A448&lt;Calculator!$G$20,0,MIN(MIN(MOD(A448/Calculator!$F$20,1),1-MOD(A448/Calculator!$F$20,1)),ABS(MOD(A448/Calculator!$F$20,1)-0.5))),1)</f>
        <v>0.0189122807017554</v>
      </c>
      <c r="L448" s="138" t="n">
        <f aca="false">IF(Calculator!$E$21="YES",IF(A448&lt;Calculator!$G$21,0,MIN(MIN(MOD(A448/Calculator!$F$21,1),1-MOD(A448/Calculator!$F$21,1)),ABS(MOD(A448/Calculator!$F$21,1)-0.5))),1)</f>
        <v>0.00982456140350863</v>
      </c>
      <c r="M448" s="138" t="n">
        <f aca="false">MIN(B448:L448)</f>
        <v>0.00289473684210506</v>
      </c>
      <c r="N448" s="138" t="n">
        <f aca="false">SUMPRODUCT(($M$5:$M$555&gt;M448)*1)+SUMPRODUCT(($M$5:$M$555=M448)*(ROW($M$5:$M$555)&lt;ROW(M448)))+1</f>
        <v>198</v>
      </c>
      <c r="O448" s="138" t="str">
        <f aca="false">IF(M448&gt;=0.2,"★★★ EXCELLENT",IF(M448&gt;=0.12,"★★  GOOD",IF(M448&gt;=0.07,"★  FAIR",IF(M448&gt;=0.025,"⚠  MARGINAL","✗  AVOID"))))</f>
        <v>✗  AVOID</v>
      </c>
    </row>
    <row r="449" customFormat="false" ht="15" hidden="false" customHeight="false" outlineLevel="0" collapsed="false">
      <c r="A449" s="135" t="n">
        <v>49.4</v>
      </c>
      <c r="B449" s="136" t="n">
        <f aca="false">IF(Calculator!$E$11="YES",IF(A449&lt;Calculator!$G$11,0,MIN(MIN(MOD(A449/Calculator!$F$11,1),1-MOD(A449/Calculator!$F$11,1)),ABS(MOD(A449/Calculator!$F$11,1)-0.5))),1)</f>
        <v>0.158666666666667</v>
      </c>
      <c r="C449" s="136" t="n">
        <f aca="false">IF(Calculator!$E$12="YES",IF(A449&lt;Calculator!$G$12,0,MIN(MIN(MOD(A449/Calculator!$F$12,1),1-MOD(A449/Calculator!$F$12,1)),ABS(MOD(A449/Calculator!$F$12,1)-0.5))),1)</f>
        <v>0.234666666666667</v>
      </c>
      <c r="D449" s="136" t="n">
        <f aca="false">IF(Calculator!$E$13="YES",IF(A449&lt;Calculator!$G$13,0,MIN(MIN(MOD(A449/Calculator!$F$13,1),1-MOD(A449/Calculator!$F$13,1)),ABS(MOD(A449/Calculator!$F$13,1)-0.5))),1)</f>
        <v>0.142213333333334</v>
      </c>
      <c r="E449" s="136" t="n">
        <f aca="false">IF(Calculator!$E$14="YES",IF(A449&lt;Calculator!$G$14,0,MIN(MIN(MOD(A449/Calculator!$F$14,1),1-MOD(A449/Calculator!$F$14,1)),ABS(MOD(A449/Calculator!$F$14,1)-0.5))),1)</f>
        <v>0.0213333333333332</v>
      </c>
      <c r="F449" s="136" t="n">
        <f aca="false">IF(Calculator!$E$15="YES",IF(A449&lt;Calculator!$G$15,0,MIN(MIN(MOD(A449/Calculator!$F$15,1),1-MOD(A449/Calculator!$F$15,1)),ABS(MOD(A449/Calculator!$F$15,1)-0.5))),1)</f>
        <v>0.00999999999999979</v>
      </c>
      <c r="G449" s="136" t="n">
        <f aca="false">IF(Calculator!$E$16="YES",IF(A449&lt;Calculator!$G$16,0,MIN(MIN(MOD(A449/Calculator!$F$16,1),1-MOD(A449/Calculator!$F$16,1)),ABS(MOD(A449/Calculator!$F$16,1)-0.5))),1)</f>
        <v>0.0859999999999994</v>
      </c>
      <c r="H449" s="136" t="n">
        <f aca="false">IF(Calculator!$E$17="YES",IF(A449&lt;Calculator!$G$17,0,MIN(MIN(MOD(A449/Calculator!$F$17,1),1-MOD(A449/Calculator!$F$17,1)),ABS(MOD(A449/Calculator!$F$17,1)-0.5))),1)</f>
        <v>0.219093333333332</v>
      </c>
      <c r="I449" s="136" t="n">
        <f aca="false">IF(Calculator!$E$18="YES",IF(A449&lt;Calculator!$G$18,0,MIN(MIN(MOD(A449/Calculator!$F$18,1),1-MOD(A449/Calculator!$F$18,1)),ABS(MOD(A449/Calculator!$F$18,1)-0.5))),1)</f>
        <v>0.142</v>
      </c>
      <c r="J449" s="136" t="n">
        <f aca="false">IF(Calculator!$E$19="YES",IF(A449&lt;Calculator!$G$19,0,MIN(MIN(MOD(A449/Calculator!$F$19,1),1-MOD(A449/Calculator!$F$19,1)),ABS(MOD(A449/Calculator!$F$19,1)-0.5))),1)</f>
        <v>0.145866666666665</v>
      </c>
      <c r="K449" s="136" t="n">
        <f aca="false">IF(Calculator!$E$20="YES",IF(A449&lt;Calculator!$G$20,0,MIN(MIN(MOD(A449/Calculator!$F$20,1),1-MOD(A449/Calculator!$F$20,1)),ABS(MOD(A449/Calculator!$F$20,1)-0.5))),1)</f>
        <v>0.00133333333333319</v>
      </c>
      <c r="L449" s="136" t="n">
        <f aca="false">IF(Calculator!$E$21="YES",IF(A449&lt;Calculator!$G$21,0,MIN(MIN(MOD(A449/Calculator!$F$21,1),1-MOD(A449/Calculator!$F$21,1)),ABS(MOD(A449/Calculator!$F$21,1)-0.5))),1)</f>
        <v>0.0266666666666673</v>
      </c>
      <c r="M449" s="136" t="n">
        <f aca="false">MIN(B449:L449)</f>
        <v>0.00133333333333319</v>
      </c>
      <c r="N449" s="136" t="n">
        <f aca="false">SUMPRODUCT(($M$5:$M$555&gt;M449)*1)+SUMPRODUCT(($M$5:$M$555=M449)*(ROW($M$5:$M$555)&lt;ROW(M449)))+1</f>
        <v>210</v>
      </c>
      <c r="O449" s="136" t="str">
        <f aca="false">IF(M449&gt;=0.2,"★★★ EXCELLENT",IF(M449&gt;=0.12,"★★  GOOD",IF(M449&gt;=0.07,"★  FAIR",IF(M449&gt;=0.025,"⚠  MARGINAL","✗  AVOID"))))</f>
        <v>✗  AVOID</v>
      </c>
    </row>
    <row r="450" customFormat="false" ht="15" hidden="false" customHeight="false" outlineLevel="0" collapsed="false">
      <c r="A450" s="137" t="n">
        <v>49.5</v>
      </c>
      <c r="B450" s="138" t="n">
        <f aca="false">IF(Calculator!$E$11="YES",IF(A450&lt;Calculator!$G$11,0,MIN(MIN(MOD(A450/Calculator!$F$11,1),1-MOD(A450/Calculator!$F$11,1)),ABS(MOD(A450/Calculator!$F$11,1)-0.5))),1)</f>
        <v>0.16</v>
      </c>
      <c r="C450" s="138" t="n">
        <f aca="false">IF(Calculator!$E$12="YES",IF(A450&lt;Calculator!$G$12,0,MIN(MIN(MOD(A450/Calculator!$F$12,1),1-MOD(A450/Calculator!$F$12,1)),ABS(MOD(A450/Calculator!$F$12,1)-0.5))),1)</f>
        <v>0.232105263157895</v>
      </c>
      <c r="D450" s="138" t="n">
        <f aca="false">IF(Calculator!$E$13="YES",IF(A450&lt;Calculator!$G$13,0,MIN(MIN(MOD(A450/Calculator!$F$13,1),1-MOD(A450/Calculator!$F$13,1)),ABS(MOD(A450/Calculator!$F$13,1)-0.5))),1)</f>
        <v>0.138452631578947</v>
      </c>
      <c r="E450" s="138" t="n">
        <f aca="false">IF(Calculator!$E$14="YES",IF(A450&lt;Calculator!$G$14,0,MIN(MIN(MOD(A450/Calculator!$F$14,1),1-MOD(A450/Calculator!$F$14,1)),ABS(MOD(A450/Calculator!$F$14,1)-0.5))),1)</f>
        <v>0.0163157894736843</v>
      </c>
      <c r="F450" s="138" t="n">
        <f aca="false">IF(Calculator!$E$15="YES",IF(A450&lt;Calculator!$G$15,0,MIN(MIN(MOD(A450/Calculator!$F$15,1),1-MOD(A450/Calculator!$F$15,1)),ABS(MOD(A450/Calculator!$F$15,1)-0.5))),1)</f>
        <v>0.0171052631578945</v>
      </c>
      <c r="G450" s="138" t="n">
        <f aca="false">IF(Calculator!$E$16="YES",IF(A450&lt;Calculator!$G$16,0,MIN(MIN(MOD(A450/Calculator!$F$16,1),1-MOD(A450/Calculator!$F$16,1)),ABS(MOD(A450/Calculator!$F$16,1)-0.5))),1)</f>
        <v>0.0760526315789472</v>
      </c>
      <c r="H450" s="138" t="n">
        <f aca="false">IF(Calculator!$E$17="YES",IF(A450&lt;Calculator!$G$17,0,MIN(MIN(MOD(A450/Calculator!$F$17,1),1-MOD(A450/Calculator!$F$17,1)),ABS(MOD(A450/Calculator!$F$17,1)-0.5))),1)</f>
        <v>0.20637894736842</v>
      </c>
      <c r="I450" s="138" t="n">
        <f aca="false">IF(Calculator!$E$18="YES",IF(A450&lt;Calculator!$G$18,0,MIN(MIN(MOD(A450/Calculator!$F$18,1),1-MOD(A450/Calculator!$F$18,1)),ABS(MOD(A450/Calculator!$F$18,1)-0.5))),1)</f>
        <v>0.127105263157895</v>
      </c>
      <c r="J450" s="138" t="n">
        <f aca="false">IF(Calculator!$E$19="YES",IF(A450&lt;Calculator!$G$19,0,MIN(MIN(MOD(A450/Calculator!$F$19,1),1-MOD(A450/Calculator!$F$19,1)),ABS(MOD(A450/Calculator!$F$19,1)-0.5))),1)</f>
        <v>0.163368421052629</v>
      </c>
      <c r="K450" s="138" t="n">
        <f aca="false">IF(Calculator!$E$20="YES",IF(A450&lt;Calculator!$G$20,0,MIN(MIN(MOD(A450/Calculator!$F$20,1),1-MOD(A450/Calculator!$F$20,1)),ABS(MOD(A450/Calculator!$F$20,1)-0.5))),1)</f>
        <v>0.02157894736842</v>
      </c>
      <c r="L450" s="138" t="n">
        <f aca="false">IF(Calculator!$E$21="YES",IF(A450&lt;Calculator!$G$21,0,MIN(MIN(MOD(A450/Calculator!$F$21,1),1-MOD(A450/Calculator!$F$21,1)),ABS(MOD(A450/Calculator!$F$21,1)-0.5))),1)</f>
        <v>0.0631578947368432</v>
      </c>
      <c r="M450" s="138" t="n">
        <f aca="false">MIN(B450:L450)</f>
        <v>0.0163157894736843</v>
      </c>
      <c r="N450" s="138" t="n">
        <f aca="false">SUMPRODUCT(($M$5:$M$555&gt;M450)*1)+SUMPRODUCT(($M$5:$M$555=M450)*(ROW($M$5:$M$555)&lt;ROW(M450)))+1</f>
        <v>96</v>
      </c>
      <c r="O450" s="138" t="str">
        <f aca="false">IF(M450&gt;=0.2,"★★★ EXCELLENT",IF(M450&gt;=0.12,"★★  GOOD",IF(M450&gt;=0.07,"★  FAIR",IF(M450&gt;=0.025,"⚠  MARGINAL","✗  AVOID"))))</f>
        <v>✗  AVOID</v>
      </c>
    </row>
    <row r="451" customFormat="false" ht="15" hidden="false" customHeight="false" outlineLevel="0" collapsed="false">
      <c r="A451" s="135" t="n">
        <v>49.6</v>
      </c>
      <c r="B451" s="136" t="n">
        <f aca="false">IF(Calculator!$E$11="YES",IF(A451&lt;Calculator!$G$11,0,MIN(MIN(MOD(A451/Calculator!$F$11,1),1-MOD(A451/Calculator!$F$11,1)),ABS(MOD(A451/Calculator!$F$11,1)-0.5))),1)</f>
        <v>0.161333333333333</v>
      </c>
      <c r="C451" s="136" t="n">
        <f aca="false">IF(Calculator!$E$12="YES",IF(A451&lt;Calculator!$G$12,0,MIN(MIN(MOD(A451/Calculator!$F$12,1),1-MOD(A451/Calculator!$F$12,1)),ABS(MOD(A451/Calculator!$F$12,1)-0.5))),1)</f>
        <v>0.229543859649123</v>
      </c>
      <c r="D451" s="136" t="n">
        <f aca="false">IF(Calculator!$E$13="YES",IF(A451&lt;Calculator!$G$13,0,MIN(MIN(MOD(A451/Calculator!$F$13,1),1-MOD(A451/Calculator!$F$13,1)),ABS(MOD(A451/Calculator!$F$13,1)-0.5))),1)</f>
        <v>0.134691929824561</v>
      </c>
      <c r="E451" s="136" t="n">
        <f aca="false">IF(Calculator!$E$14="YES",IF(A451&lt;Calculator!$G$14,0,MIN(MIN(MOD(A451/Calculator!$F$14,1),1-MOD(A451/Calculator!$F$14,1)),ABS(MOD(A451/Calculator!$F$14,1)-0.5))),1)</f>
        <v>0.0112982456140349</v>
      </c>
      <c r="F451" s="136" t="n">
        <f aca="false">IF(Calculator!$E$15="YES",IF(A451&lt;Calculator!$G$15,0,MIN(MIN(MOD(A451/Calculator!$F$15,1),1-MOD(A451/Calculator!$F$15,1)),ABS(MOD(A451/Calculator!$F$15,1)-0.5))),1)</f>
        <v>0.0242105263157897</v>
      </c>
      <c r="G451" s="136" t="n">
        <f aca="false">IF(Calculator!$E$16="YES",IF(A451&lt;Calculator!$G$16,0,MIN(MIN(MOD(A451/Calculator!$F$16,1),1-MOD(A451/Calculator!$F$16,1)),ABS(MOD(A451/Calculator!$F$16,1)-0.5))),1)</f>
        <v>0.066105263157894</v>
      </c>
      <c r="H451" s="136" t="n">
        <f aca="false">IF(Calculator!$E$17="YES",IF(A451&lt;Calculator!$G$17,0,MIN(MIN(MOD(A451/Calculator!$F$17,1),1-MOD(A451/Calculator!$F$17,1)),ABS(MOD(A451/Calculator!$F$17,1)-0.5))),1)</f>
        <v>0.193664561403508</v>
      </c>
      <c r="I451" s="136" t="n">
        <f aca="false">IF(Calculator!$E$18="YES",IF(A451&lt;Calculator!$G$18,0,MIN(MIN(MOD(A451/Calculator!$F$18,1),1-MOD(A451/Calculator!$F$18,1)),ABS(MOD(A451/Calculator!$F$18,1)-0.5))),1)</f>
        <v>0.112210526315789</v>
      </c>
      <c r="J451" s="136" t="n">
        <f aca="false">IF(Calculator!$E$19="YES",IF(A451&lt;Calculator!$G$19,0,MIN(MIN(MOD(A451/Calculator!$F$19,1),1-MOD(A451/Calculator!$F$19,1)),ABS(MOD(A451/Calculator!$F$19,1)-0.5))),1)</f>
        <v>0.180870175438596</v>
      </c>
      <c r="K451" s="136" t="n">
        <f aca="false">IF(Calculator!$E$20="YES",IF(A451&lt;Calculator!$G$20,0,MIN(MIN(MOD(A451/Calculator!$F$20,1),1-MOD(A451/Calculator!$F$20,1)),ABS(MOD(A451/Calculator!$F$20,1)-0.5))),1)</f>
        <v>0.0418245614035087</v>
      </c>
      <c r="L451" s="136" t="n">
        <f aca="false">IF(Calculator!$E$21="YES",IF(A451&lt;Calculator!$G$21,0,MIN(MIN(MOD(A451/Calculator!$F$21,1),1-MOD(A451/Calculator!$F$21,1)),ABS(MOD(A451/Calculator!$F$21,1)-0.5))),1)</f>
        <v>0.0996491228070191</v>
      </c>
      <c r="M451" s="136" t="n">
        <f aca="false">MIN(B451:L451)</f>
        <v>0.0112982456140349</v>
      </c>
      <c r="N451" s="136" t="n">
        <f aca="false">SUMPRODUCT(($M$5:$M$555&gt;M451)*1)+SUMPRODUCT(($M$5:$M$555=M451)*(ROW($M$5:$M$555)&lt;ROW(M451)))+1</f>
        <v>127</v>
      </c>
      <c r="O451" s="136" t="str">
        <f aca="false">IF(M451&gt;=0.2,"★★★ EXCELLENT",IF(M451&gt;=0.12,"★★  GOOD",IF(M451&gt;=0.07,"★  FAIR",IF(M451&gt;=0.025,"⚠  MARGINAL","✗  AVOID"))))</f>
        <v>✗  AVOID</v>
      </c>
    </row>
    <row r="452" customFormat="false" ht="15" hidden="false" customHeight="false" outlineLevel="0" collapsed="false">
      <c r="A452" s="137" t="n">
        <v>49.7</v>
      </c>
      <c r="B452" s="138" t="n">
        <f aca="false">IF(Calculator!$E$11="YES",IF(A452&lt;Calculator!$G$11,0,MIN(MIN(MOD(A452/Calculator!$F$11,1),1-MOD(A452/Calculator!$F$11,1)),ABS(MOD(A452/Calculator!$F$11,1)-0.5))),1)</f>
        <v>0.162666666666667</v>
      </c>
      <c r="C452" s="138" t="n">
        <f aca="false">IF(Calculator!$E$12="YES",IF(A452&lt;Calculator!$G$12,0,MIN(MIN(MOD(A452/Calculator!$F$12,1),1-MOD(A452/Calculator!$F$12,1)),ABS(MOD(A452/Calculator!$F$12,1)-0.5))),1)</f>
        <v>0.226982456140351</v>
      </c>
      <c r="D452" s="138" t="n">
        <f aca="false">IF(Calculator!$E$13="YES",IF(A452&lt;Calculator!$G$13,0,MIN(MIN(MOD(A452/Calculator!$F$13,1),1-MOD(A452/Calculator!$F$13,1)),ABS(MOD(A452/Calculator!$F$13,1)-0.5))),1)</f>
        <v>0.130931228070175</v>
      </c>
      <c r="E452" s="138" t="n">
        <f aca="false">IF(Calculator!$E$14="YES",IF(A452&lt;Calculator!$G$14,0,MIN(MIN(MOD(A452/Calculator!$F$14,1),1-MOD(A452/Calculator!$F$14,1)),ABS(MOD(A452/Calculator!$F$14,1)-0.5))),1)</f>
        <v>0.006280701754386</v>
      </c>
      <c r="F452" s="138" t="n">
        <f aca="false">IF(Calculator!$E$15="YES",IF(A452&lt;Calculator!$G$15,0,MIN(MIN(MOD(A452/Calculator!$F$15,1),1-MOD(A452/Calculator!$F$15,1)),ABS(MOD(A452/Calculator!$F$15,1)-0.5))),1)</f>
        <v>0.0313157894736844</v>
      </c>
      <c r="G452" s="138" t="n">
        <f aca="false">IF(Calculator!$E$16="YES",IF(A452&lt;Calculator!$G$16,0,MIN(MIN(MOD(A452/Calculator!$F$16,1),1-MOD(A452/Calculator!$F$16,1)),ABS(MOD(A452/Calculator!$F$16,1)-0.5))),1)</f>
        <v>0.0561578947368417</v>
      </c>
      <c r="H452" s="138" t="n">
        <f aca="false">IF(Calculator!$E$17="YES",IF(A452&lt;Calculator!$G$17,0,MIN(MIN(MOD(A452/Calculator!$F$17,1),1-MOD(A452/Calculator!$F$17,1)),ABS(MOD(A452/Calculator!$F$17,1)-0.5))),1)</f>
        <v>0.180950175438595</v>
      </c>
      <c r="I452" s="138" t="n">
        <f aca="false">IF(Calculator!$E$18="YES",IF(A452&lt;Calculator!$G$18,0,MIN(MIN(MOD(A452/Calculator!$F$18,1),1-MOD(A452/Calculator!$F$18,1)),ABS(MOD(A452/Calculator!$F$18,1)-0.5))),1)</f>
        <v>0.0973157894736838</v>
      </c>
      <c r="J452" s="138" t="n">
        <f aca="false">IF(Calculator!$E$19="YES",IF(A452&lt;Calculator!$G$19,0,MIN(MIN(MOD(A452/Calculator!$F$19,1),1-MOD(A452/Calculator!$F$19,1)),ABS(MOD(A452/Calculator!$F$19,1)-0.5))),1)</f>
        <v>0.19837192982456</v>
      </c>
      <c r="K452" s="138" t="n">
        <f aca="false">IF(Calculator!$E$20="YES",IF(A452&lt;Calculator!$G$20,0,MIN(MIN(MOD(A452/Calculator!$F$20,1),1-MOD(A452/Calculator!$F$20,1)),ABS(MOD(A452/Calculator!$F$20,1)-0.5))),1)</f>
        <v>0.0620701754385973</v>
      </c>
      <c r="L452" s="138" t="n">
        <f aca="false">IF(Calculator!$E$21="YES",IF(A452&lt;Calculator!$G$21,0,MIN(MIN(MOD(A452/Calculator!$F$21,1),1-MOD(A452/Calculator!$F$21,1)),ABS(MOD(A452/Calculator!$F$21,1)-0.5))),1)</f>
        <v>0.136140350877195</v>
      </c>
      <c r="M452" s="138" t="n">
        <f aca="false">MIN(B452:L452)</f>
        <v>0.006280701754386</v>
      </c>
      <c r="N452" s="138" t="n">
        <f aca="false">SUMPRODUCT(($M$5:$M$555&gt;M452)*1)+SUMPRODUCT(($M$5:$M$555=M452)*(ROW($M$5:$M$555)&lt;ROW(M452)))+1</f>
        <v>164</v>
      </c>
      <c r="O452" s="138" t="str">
        <f aca="false">IF(M452&gt;=0.2,"★★★ EXCELLENT",IF(M452&gt;=0.12,"★★  GOOD",IF(M452&gt;=0.07,"★  FAIR",IF(M452&gt;=0.025,"⚠  MARGINAL","✗  AVOID"))))</f>
        <v>✗  AVOID</v>
      </c>
    </row>
    <row r="453" customFormat="false" ht="15" hidden="false" customHeight="false" outlineLevel="0" collapsed="false">
      <c r="A453" s="135" t="n">
        <v>49.8</v>
      </c>
      <c r="B453" s="136" t="n">
        <f aca="false">IF(Calculator!$E$11="YES",IF(A453&lt;Calculator!$G$11,0,MIN(MIN(MOD(A453/Calculator!$F$11,1),1-MOD(A453/Calculator!$F$11,1)),ABS(MOD(A453/Calculator!$F$11,1)-0.5))),1)</f>
        <v>0.164</v>
      </c>
      <c r="C453" s="136" t="n">
        <f aca="false">IF(Calculator!$E$12="YES",IF(A453&lt;Calculator!$G$12,0,MIN(MIN(MOD(A453/Calculator!$F$12,1),1-MOD(A453/Calculator!$F$12,1)),ABS(MOD(A453/Calculator!$F$12,1)-0.5))),1)</f>
        <v>0.224421052631579</v>
      </c>
      <c r="D453" s="136" t="n">
        <f aca="false">IF(Calculator!$E$13="YES",IF(A453&lt;Calculator!$G$13,0,MIN(MIN(MOD(A453/Calculator!$F$13,1),1-MOD(A453/Calculator!$F$13,1)),ABS(MOD(A453/Calculator!$F$13,1)-0.5))),1)</f>
        <v>0.12717052631579</v>
      </c>
      <c r="E453" s="136" t="n">
        <f aca="false">IF(Calculator!$E$14="YES",IF(A453&lt;Calculator!$G$14,0,MIN(MIN(MOD(A453/Calculator!$F$14,1),1-MOD(A453/Calculator!$F$14,1)),ABS(MOD(A453/Calculator!$F$14,1)-0.5))),1)</f>
        <v>0.00126315789473708</v>
      </c>
      <c r="F453" s="136" t="n">
        <f aca="false">IF(Calculator!$E$15="YES",IF(A453&lt;Calculator!$G$15,0,MIN(MIN(MOD(A453/Calculator!$F$15,1),1-MOD(A453/Calculator!$F$15,1)),ABS(MOD(A453/Calculator!$F$15,1)-0.5))),1)</f>
        <v>0.0384210526315787</v>
      </c>
      <c r="G453" s="136" t="n">
        <f aca="false">IF(Calculator!$E$16="YES",IF(A453&lt;Calculator!$G$16,0,MIN(MIN(MOD(A453/Calculator!$F$16,1),1-MOD(A453/Calculator!$F$16,1)),ABS(MOD(A453/Calculator!$F$16,1)-0.5))),1)</f>
        <v>0.0462105263157895</v>
      </c>
      <c r="H453" s="136" t="n">
        <f aca="false">IF(Calculator!$E$17="YES",IF(A453&lt;Calculator!$G$17,0,MIN(MIN(MOD(A453/Calculator!$F$17,1),1-MOD(A453/Calculator!$F$17,1)),ABS(MOD(A453/Calculator!$F$17,1)-0.5))),1)</f>
        <v>0.168235789473684</v>
      </c>
      <c r="I453" s="136" t="n">
        <f aca="false">IF(Calculator!$E$18="YES",IF(A453&lt;Calculator!$G$18,0,MIN(MIN(MOD(A453/Calculator!$F$18,1),1-MOD(A453/Calculator!$F$18,1)),ABS(MOD(A453/Calculator!$F$18,1)-0.5))),1)</f>
        <v>0.0824210526315792</v>
      </c>
      <c r="J453" s="136" t="n">
        <f aca="false">IF(Calculator!$E$19="YES",IF(A453&lt;Calculator!$G$19,0,MIN(MIN(MOD(A453/Calculator!$F$19,1),1-MOD(A453/Calculator!$F$19,1)),ABS(MOD(A453/Calculator!$F$19,1)-0.5))),1)</f>
        <v>0.215873684210525</v>
      </c>
      <c r="K453" s="136" t="n">
        <f aca="false">IF(Calculator!$E$20="YES",IF(A453&lt;Calculator!$G$20,0,MIN(MIN(MOD(A453/Calculator!$F$20,1),1-MOD(A453/Calculator!$F$20,1)),ABS(MOD(A453/Calculator!$F$20,1)-0.5))),1)</f>
        <v>0.0823157894736841</v>
      </c>
      <c r="L453" s="136" t="n">
        <f aca="false">IF(Calculator!$E$21="YES",IF(A453&lt;Calculator!$G$21,0,MIN(MIN(MOD(A453/Calculator!$F$21,1),1-MOD(A453/Calculator!$F$21,1)),ABS(MOD(A453/Calculator!$F$21,1)-0.5))),1)</f>
        <v>0.172631578947367</v>
      </c>
      <c r="M453" s="136" t="n">
        <f aca="false">MIN(B453:L453)</f>
        <v>0.00126315789473708</v>
      </c>
      <c r="N453" s="136" t="n">
        <f aca="false">SUMPRODUCT(($M$5:$M$555&gt;M453)*1)+SUMPRODUCT(($M$5:$M$555=M453)*(ROW($M$5:$M$555)&lt;ROW(M453)))+1</f>
        <v>211</v>
      </c>
      <c r="O453" s="136" t="str">
        <f aca="false">IF(M453&gt;=0.2,"★★★ EXCELLENT",IF(M453&gt;=0.12,"★★  GOOD",IF(M453&gt;=0.07,"★  FAIR",IF(M453&gt;=0.025,"⚠  MARGINAL","✗  AVOID"))))</f>
        <v>✗  AVOID</v>
      </c>
    </row>
    <row r="454" customFormat="false" ht="15" hidden="false" customHeight="false" outlineLevel="0" collapsed="false">
      <c r="A454" s="137" t="n">
        <v>49.9</v>
      </c>
      <c r="B454" s="138" t="n">
        <f aca="false">IF(Calculator!$E$11="YES",IF(A454&lt;Calculator!$G$11,0,MIN(MIN(MOD(A454/Calculator!$F$11,1),1-MOD(A454/Calculator!$F$11,1)),ABS(MOD(A454/Calculator!$F$11,1)-0.5))),1)</f>
        <v>0.165333333333333</v>
      </c>
      <c r="C454" s="138" t="n">
        <f aca="false">IF(Calculator!$E$12="YES",IF(A454&lt;Calculator!$G$12,0,MIN(MIN(MOD(A454/Calculator!$F$12,1),1-MOD(A454/Calculator!$F$12,1)),ABS(MOD(A454/Calculator!$F$12,1)-0.5))),1)</f>
        <v>0.221859649122807</v>
      </c>
      <c r="D454" s="138" t="n">
        <f aca="false">IF(Calculator!$E$13="YES",IF(A454&lt;Calculator!$G$13,0,MIN(MIN(MOD(A454/Calculator!$F$13,1),1-MOD(A454/Calculator!$F$13,1)),ABS(MOD(A454/Calculator!$F$13,1)-0.5))),1)</f>
        <v>0.123409824561404</v>
      </c>
      <c r="E454" s="138" t="n">
        <f aca="false">IF(Calculator!$E$14="YES",IF(A454&lt;Calculator!$G$14,0,MIN(MIN(MOD(A454/Calculator!$F$14,1),1-MOD(A454/Calculator!$F$14,1)),ABS(MOD(A454/Calculator!$F$14,1)-0.5))),1)</f>
        <v>0.00375438596491229</v>
      </c>
      <c r="F454" s="138" t="n">
        <f aca="false">IF(Calculator!$E$15="YES",IF(A454&lt;Calculator!$G$15,0,MIN(MIN(MOD(A454/Calculator!$F$15,1),1-MOD(A454/Calculator!$F$15,1)),ABS(MOD(A454/Calculator!$F$15,1)-0.5))),1)</f>
        <v>0.0455263157894734</v>
      </c>
      <c r="G454" s="138" t="n">
        <f aca="false">IF(Calculator!$E$16="YES",IF(A454&lt;Calculator!$G$16,0,MIN(MIN(MOD(A454/Calculator!$F$16,1),1-MOD(A454/Calculator!$F$16,1)),ABS(MOD(A454/Calculator!$F$16,1)-0.5))),1)</f>
        <v>0.0362631578947363</v>
      </c>
      <c r="H454" s="138" t="n">
        <f aca="false">IF(Calculator!$E$17="YES",IF(A454&lt;Calculator!$G$17,0,MIN(MIN(MOD(A454/Calculator!$F$17,1),1-MOD(A454/Calculator!$F$17,1)),ABS(MOD(A454/Calculator!$F$17,1)-0.5))),1)</f>
        <v>0.155521403508772</v>
      </c>
      <c r="I454" s="138" t="n">
        <f aca="false">IF(Calculator!$E$18="YES",IF(A454&lt;Calculator!$G$18,0,MIN(MIN(MOD(A454/Calculator!$F$18,1),1-MOD(A454/Calculator!$F$18,1)),ABS(MOD(A454/Calculator!$F$18,1)-0.5))),1)</f>
        <v>0.0675263157894737</v>
      </c>
      <c r="J454" s="138" t="n">
        <f aca="false">IF(Calculator!$E$19="YES",IF(A454&lt;Calculator!$G$19,0,MIN(MIN(MOD(A454/Calculator!$F$19,1),1-MOD(A454/Calculator!$F$19,1)),ABS(MOD(A454/Calculator!$F$19,1)-0.5))),1)</f>
        <v>0.233375438596489</v>
      </c>
      <c r="K454" s="138" t="n">
        <f aca="false">IF(Calculator!$E$20="YES",IF(A454&lt;Calculator!$G$20,0,MIN(MIN(MOD(A454/Calculator!$F$20,1),1-MOD(A454/Calculator!$F$20,1)),ABS(MOD(A454/Calculator!$F$20,1)-0.5))),1)</f>
        <v>0.102561403508771</v>
      </c>
      <c r="L454" s="138" t="n">
        <f aca="false">IF(Calculator!$E$21="YES",IF(A454&lt;Calculator!$G$21,0,MIN(MIN(MOD(A454/Calculator!$F$21,1),1-MOD(A454/Calculator!$F$21,1)),ABS(MOD(A454/Calculator!$F$21,1)-0.5))),1)</f>
        <v>0.209122807017543</v>
      </c>
      <c r="M454" s="138" t="n">
        <f aca="false">MIN(B454:L454)</f>
        <v>0.00375438596491229</v>
      </c>
      <c r="N454" s="138" t="n">
        <f aca="false">SUMPRODUCT(($M$5:$M$555&gt;M454)*1)+SUMPRODUCT(($M$5:$M$555=M454)*(ROW($M$5:$M$555)&lt;ROW(M454)))+1</f>
        <v>187</v>
      </c>
      <c r="O454" s="138" t="str">
        <f aca="false">IF(M454&gt;=0.2,"★★★ EXCELLENT",IF(M454&gt;=0.12,"★★  GOOD",IF(M454&gt;=0.07,"★  FAIR",IF(M454&gt;=0.025,"⚠  MARGINAL","✗  AVOID"))))</f>
        <v>✗  AVOID</v>
      </c>
    </row>
    <row r="455" customFormat="false" ht="15" hidden="false" customHeight="false" outlineLevel="0" collapsed="false">
      <c r="A455" s="135" t="n">
        <v>50</v>
      </c>
      <c r="B455" s="136" t="n">
        <f aca="false">IF(Calculator!$E$11="YES",IF(A455&lt;Calculator!$G$11,0,MIN(MIN(MOD(A455/Calculator!$F$11,1),1-MOD(A455/Calculator!$F$11,1)),ABS(MOD(A455/Calculator!$F$11,1)-0.5))),1)</f>
        <v>0.166666666666667</v>
      </c>
      <c r="C455" s="136" t="n">
        <f aca="false">IF(Calculator!$E$12="YES",IF(A455&lt;Calculator!$G$12,0,MIN(MIN(MOD(A455/Calculator!$F$12,1),1-MOD(A455/Calculator!$F$12,1)),ABS(MOD(A455/Calculator!$F$12,1)-0.5))),1)</f>
        <v>0.219298245614035</v>
      </c>
      <c r="D455" s="136" t="n">
        <f aca="false">IF(Calculator!$E$13="YES",IF(A455&lt;Calculator!$G$13,0,MIN(MIN(MOD(A455/Calculator!$F$13,1),1-MOD(A455/Calculator!$F$13,1)),ABS(MOD(A455/Calculator!$F$13,1)-0.5))),1)</f>
        <v>0.119649122807018</v>
      </c>
      <c r="E455" s="136" t="n">
        <f aca="false">IF(Calculator!$E$14="YES",IF(A455&lt;Calculator!$G$14,0,MIN(MIN(MOD(A455/Calculator!$F$14,1),1-MOD(A455/Calculator!$F$14,1)),ABS(MOD(A455/Calculator!$F$14,1)-0.5))),1)</f>
        <v>0.00877192982456121</v>
      </c>
      <c r="F455" s="136" t="n">
        <f aca="false">IF(Calculator!$E$15="YES",IF(A455&lt;Calculator!$G$15,0,MIN(MIN(MOD(A455/Calculator!$F$15,1),1-MOD(A455/Calculator!$F$15,1)),ABS(MOD(A455/Calculator!$F$15,1)-0.5))),1)</f>
        <v>0.0526315789473681</v>
      </c>
      <c r="G455" s="136" t="n">
        <f aca="false">IF(Calculator!$E$16="YES",IF(A455&lt;Calculator!$G$16,0,MIN(MIN(MOD(A455/Calculator!$F$16,1),1-MOD(A455/Calculator!$F$16,1)),ABS(MOD(A455/Calculator!$F$16,1)-0.5))),1)</f>
        <v>0.0263157894736841</v>
      </c>
      <c r="H455" s="136" t="n">
        <f aca="false">IF(Calculator!$E$17="YES",IF(A455&lt;Calculator!$G$17,0,MIN(MIN(MOD(A455/Calculator!$F$17,1),1-MOD(A455/Calculator!$F$17,1)),ABS(MOD(A455/Calculator!$F$17,1)-0.5))),1)</f>
        <v>0.142807017543859</v>
      </c>
      <c r="I455" s="136" t="n">
        <f aca="false">IF(Calculator!$E$18="YES",IF(A455&lt;Calculator!$G$18,0,MIN(MIN(MOD(A455/Calculator!$F$18,1),1-MOD(A455/Calculator!$F$18,1)),ABS(MOD(A455/Calculator!$F$18,1)-0.5))),1)</f>
        <v>0.0526315789473681</v>
      </c>
      <c r="J455" s="136" t="n">
        <f aca="false">IF(Calculator!$E$19="YES",IF(A455&lt;Calculator!$G$19,0,MIN(MIN(MOD(A455/Calculator!$F$19,1),1-MOD(A455/Calculator!$F$19,1)),ABS(MOD(A455/Calculator!$F$19,1)-0.5))),1)</f>
        <v>0.249122807017546</v>
      </c>
      <c r="K455" s="136" t="n">
        <f aca="false">IF(Calculator!$E$20="YES",IF(A455&lt;Calculator!$G$20,0,MIN(MIN(MOD(A455/Calculator!$F$20,1),1-MOD(A455/Calculator!$F$20,1)),ABS(MOD(A455/Calculator!$F$20,1)-0.5))),1)</f>
        <v>0.12280701754386</v>
      </c>
      <c r="L455" s="136" t="n">
        <f aca="false">IF(Calculator!$E$21="YES",IF(A455&lt;Calculator!$G$21,0,MIN(MIN(MOD(A455/Calculator!$F$21,1),1-MOD(A455/Calculator!$F$21,1)),ABS(MOD(A455/Calculator!$F$21,1)-0.5))),1)</f>
        <v>0.245614035087719</v>
      </c>
      <c r="M455" s="136" t="n">
        <f aca="false">MIN(B455:L455)</f>
        <v>0.00877192982456121</v>
      </c>
      <c r="N455" s="136" t="n">
        <f aca="false">SUMPRODUCT(($M$5:$M$555&gt;M455)*1)+SUMPRODUCT(($M$5:$M$555=M455)*(ROW($M$5:$M$555)&lt;ROW(M455)))+1</f>
        <v>145</v>
      </c>
      <c r="O455" s="136" t="str">
        <f aca="false">IF(M455&gt;=0.2,"★★★ EXCELLENT",IF(M455&gt;=0.12,"★★  GOOD",IF(M455&gt;=0.07,"★  FAIR",IF(M455&gt;=0.025,"⚠  MARGINAL","✗  AVOID"))))</f>
        <v>✗  AVOID</v>
      </c>
    </row>
    <row r="456" customFormat="false" ht="15" hidden="false" customHeight="false" outlineLevel="0" collapsed="false">
      <c r="A456" s="137" t="n">
        <v>50.1</v>
      </c>
      <c r="B456" s="138" t="n">
        <f aca="false">IF(Calculator!$E$11="YES",IF(A456&lt;Calculator!$G$11,0,MIN(MIN(MOD(A456/Calculator!$F$11,1),1-MOD(A456/Calculator!$F$11,1)),ABS(MOD(A456/Calculator!$F$11,1)-0.5))),1)</f>
        <v>0.168</v>
      </c>
      <c r="C456" s="138" t="n">
        <f aca="false">IF(Calculator!$E$12="YES",IF(A456&lt;Calculator!$G$12,0,MIN(MIN(MOD(A456/Calculator!$F$12,1),1-MOD(A456/Calculator!$F$12,1)),ABS(MOD(A456/Calculator!$F$12,1)-0.5))),1)</f>
        <v>0.216736842105263</v>
      </c>
      <c r="D456" s="138" t="n">
        <f aca="false">IF(Calculator!$E$13="YES",IF(A456&lt;Calculator!$G$13,0,MIN(MIN(MOD(A456/Calculator!$F$13,1),1-MOD(A456/Calculator!$F$13,1)),ABS(MOD(A456/Calculator!$F$13,1)-0.5))),1)</f>
        <v>0.115888421052632</v>
      </c>
      <c r="E456" s="138" t="n">
        <f aca="false">IF(Calculator!$E$14="YES",IF(A456&lt;Calculator!$G$14,0,MIN(MIN(MOD(A456/Calculator!$F$14,1),1-MOD(A456/Calculator!$F$14,1)),ABS(MOD(A456/Calculator!$F$14,1)-0.5))),1)</f>
        <v>0.0137894736842106</v>
      </c>
      <c r="F456" s="138" t="n">
        <f aca="false">IF(Calculator!$E$15="YES",IF(A456&lt;Calculator!$G$15,0,MIN(MIN(MOD(A456/Calculator!$F$15,1),1-MOD(A456/Calculator!$F$15,1)),ABS(MOD(A456/Calculator!$F$15,1)-0.5))),1)</f>
        <v>0.0597368421052633</v>
      </c>
      <c r="G456" s="138" t="n">
        <f aca="false">IF(Calculator!$E$16="YES",IF(A456&lt;Calculator!$G$16,0,MIN(MIN(MOD(A456/Calculator!$F$16,1),1-MOD(A456/Calculator!$F$16,1)),ABS(MOD(A456/Calculator!$F$16,1)-0.5))),1)</f>
        <v>0.0163684210526309</v>
      </c>
      <c r="H456" s="138" t="n">
        <f aca="false">IF(Calculator!$E$17="YES",IF(A456&lt;Calculator!$G$17,0,MIN(MIN(MOD(A456/Calculator!$F$17,1),1-MOD(A456/Calculator!$F$17,1)),ABS(MOD(A456/Calculator!$F$17,1)-0.5))),1)</f>
        <v>0.130092631578947</v>
      </c>
      <c r="I456" s="138" t="n">
        <f aca="false">IF(Calculator!$E$18="YES",IF(A456&lt;Calculator!$G$18,0,MIN(MIN(MOD(A456/Calculator!$F$18,1),1-MOD(A456/Calculator!$F$18,1)),ABS(MOD(A456/Calculator!$F$18,1)-0.5))),1)</f>
        <v>0.0377368421052626</v>
      </c>
      <c r="J456" s="138" t="n">
        <f aca="false">IF(Calculator!$E$19="YES",IF(A456&lt;Calculator!$G$19,0,MIN(MIN(MOD(A456/Calculator!$F$19,1),1-MOD(A456/Calculator!$F$19,1)),ABS(MOD(A456/Calculator!$F$19,1)-0.5))),1)</f>
        <v>0.23162105263158</v>
      </c>
      <c r="K456" s="138" t="n">
        <f aca="false">IF(Calculator!$E$20="YES",IF(A456&lt;Calculator!$G$20,0,MIN(MIN(MOD(A456/Calculator!$F$20,1),1-MOD(A456/Calculator!$F$20,1)),ABS(MOD(A456/Calculator!$F$20,1)-0.5))),1)</f>
        <v>0.143052631578948</v>
      </c>
      <c r="L456" s="138" t="n">
        <f aca="false">IF(Calculator!$E$21="YES",IF(A456&lt;Calculator!$G$21,0,MIN(MIN(MOD(A456/Calculator!$F$21,1),1-MOD(A456/Calculator!$F$21,1)),ABS(MOD(A456/Calculator!$F$21,1)-0.5))),1)</f>
        <v>0.217894736842105</v>
      </c>
      <c r="M456" s="138" t="n">
        <f aca="false">MIN(B456:L456)</f>
        <v>0.0137894736842106</v>
      </c>
      <c r="N456" s="138" t="n">
        <f aca="false">SUMPRODUCT(($M$5:$M$555&gt;M456)*1)+SUMPRODUCT(($M$5:$M$555=M456)*(ROW($M$5:$M$555)&lt;ROW(M456)))+1</f>
        <v>110</v>
      </c>
      <c r="O456" s="138" t="str">
        <f aca="false">IF(M456&gt;=0.2,"★★★ EXCELLENT",IF(M456&gt;=0.12,"★★  GOOD",IF(M456&gt;=0.07,"★  FAIR",IF(M456&gt;=0.025,"⚠  MARGINAL","✗  AVOID"))))</f>
        <v>✗  AVOID</v>
      </c>
    </row>
    <row r="457" customFormat="false" ht="15" hidden="false" customHeight="false" outlineLevel="0" collapsed="false">
      <c r="A457" s="135" t="n">
        <v>50.2</v>
      </c>
      <c r="B457" s="136" t="n">
        <f aca="false">IF(Calculator!$E$11="YES",IF(A457&lt;Calculator!$G$11,0,MIN(MIN(MOD(A457/Calculator!$F$11,1),1-MOD(A457/Calculator!$F$11,1)),ABS(MOD(A457/Calculator!$F$11,1)-0.5))),1)</f>
        <v>0.169333333333333</v>
      </c>
      <c r="C457" s="136" t="n">
        <f aca="false">IF(Calculator!$E$12="YES",IF(A457&lt;Calculator!$G$12,0,MIN(MIN(MOD(A457/Calculator!$F$12,1),1-MOD(A457/Calculator!$F$12,1)),ABS(MOD(A457/Calculator!$F$12,1)-0.5))),1)</f>
        <v>0.214175438596491</v>
      </c>
      <c r="D457" s="136" t="n">
        <f aca="false">IF(Calculator!$E$13="YES",IF(A457&lt;Calculator!$G$13,0,MIN(MIN(MOD(A457/Calculator!$F$13,1),1-MOD(A457/Calculator!$F$13,1)),ABS(MOD(A457/Calculator!$F$13,1)-0.5))),1)</f>
        <v>0.112127719298246</v>
      </c>
      <c r="E457" s="136" t="n">
        <f aca="false">IF(Calculator!$E$14="YES",IF(A457&lt;Calculator!$G$14,0,MIN(MIN(MOD(A457/Calculator!$F$14,1),1-MOD(A457/Calculator!$F$14,1)),ABS(MOD(A457/Calculator!$F$14,1)-0.5))),1)</f>
        <v>0.0188070175438599</v>
      </c>
      <c r="F457" s="136" t="n">
        <f aca="false">IF(Calculator!$E$15="YES",IF(A457&lt;Calculator!$G$15,0,MIN(MIN(MOD(A457/Calculator!$F$15,1),1-MOD(A457/Calculator!$F$15,1)),ABS(MOD(A457/Calculator!$F$15,1)-0.5))),1)</f>
        <v>0.066842105263158</v>
      </c>
      <c r="G457" s="136" t="n">
        <f aca="false">IF(Calculator!$E$16="YES",IF(A457&lt;Calculator!$G$16,0,MIN(MIN(MOD(A457/Calculator!$F$16,1),1-MOD(A457/Calculator!$F$16,1)),ABS(MOD(A457/Calculator!$F$16,1)-0.5))),1)</f>
        <v>0.00642105263157866</v>
      </c>
      <c r="H457" s="136" t="n">
        <f aca="false">IF(Calculator!$E$17="YES",IF(A457&lt;Calculator!$G$17,0,MIN(MIN(MOD(A457/Calculator!$F$17,1),1-MOD(A457/Calculator!$F$17,1)),ABS(MOD(A457/Calculator!$F$17,1)-0.5))),1)</f>
        <v>0.117378245614034</v>
      </c>
      <c r="I457" s="136" t="n">
        <f aca="false">IF(Calculator!$E$18="YES",IF(A457&lt;Calculator!$G$18,0,MIN(MIN(MOD(A457/Calculator!$F$18,1),1-MOD(A457/Calculator!$F$18,1)),ABS(MOD(A457/Calculator!$F$18,1)-0.5))),1)</f>
        <v>0.0228421052631571</v>
      </c>
      <c r="J457" s="136" t="n">
        <f aca="false">IF(Calculator!$E$19="YES",IF(A457&lt;Calculator!$G$19,0,MIN(MIN(MOD(A457/Calculator!$F$19,1),1-MOD(A457/Calculator!$F$19,1)),ABS(MOD(A457/Calculator!$F$19,1)-0.5))),1)</f>
        <v>0.214119298245615</v>
      </c>
      <c r="K457" s="136" t="n">
        <f aca="false">IF(Calculator!$E$20="YES",IF(A457&lt;Calculator!$G$20,0,MIN(MIN(MOD(A457/Calculator!$F$20,1),1-MOD(A457/Calculator!$F$20,1)),ABS(MOD(A457/Calculator!$F$20,1)-0.5))),1)</f>
        <v>0.163298245614035</v>
      </c>
      <c r="L457" s="136" t="n">
        <f aca="false">IF(Calculator!$E$21="YES",IF(A457&lt;Calculator!$G$21,0,MIN(MIN(MOD(A457/Calculator!$F$21,1),1-MOD(A457/Calculator!$F$21,1)),ABS(MOD(A457/Calculator!$F$21,1)-0.5))),1)</f>
        <v>0.181403508771929</v>
      </c>
      <c r="M457" s="136" t="n">
        <f aca="false">MIN(B457:L457)</f>
        <v>0.00642105263157866</v>
      </c>
      <c r="N457" s="136" t="n">
        <f aca="false">SUMPRODUCT(($M$5:$M$555&gt;M457)*1)+SUMPRODUCT(($M$5:$M$555=M457)*(ROW($M$5:$M$555)&lt;ROW(M457)))+1</f>
        <v>163</v>
      </c>
      <c r="O457" s="136" t="str">
        <f aca="false">IF(M457&gt;=0.2,"★★★ EXCELLENT",IF(M457&gt;=0.12,"★★  GOOD",IF(M457&gt;=0.07,"★  FAIR",IF(M457&gt;=0.025,"⚠  MARGINAL","✗  AVOID"))))</f>
        <v>✗  AVOID</v>
      </c>
    </row>
    <row r="458" customFormat="false" ht="15" hidden="false" customHeight="false" outlineLevel="0" collapsed="false">
      <c r="A458" s="137" t="n">
        <v>50.3</v>
      </c>
      <c r="B458" s="138" t="n">
        <f aca="false">IF(Calculator!$E$11="YES",IF(A458&lt;Calculator!$G$11,0,MIN(MIN(MOD(A458/Calculator!$F$11,1),1-MOD(A458/Calculator!$F$11,1)),ABS(MOD(A458/Calculator!$F$11,1)-0.5))),1)</f>
        <v>0.170666666666667</v>
      </c>
      <c r="C458" s="138" t="n">
        <f aca="false">IF(Calculator!$E$12="YES",IF(A458&lt;Calculator!$G$12,0,MIN(MIN(MOD(A458/Calculator!$F$12,1),1-MOD(A458/Calculator!$F$12,1)),ABS(MOD(A458/Calculator!$F$12,1)-0.5))),1)</f>
        <v>0.211614035087719</v>
      </c>
      <c r="D458" s="138" t="n">
        <f aca="false">IF(Calculator!$E$13="YES",IF(A458&lt;Calculator!$G$13,0,MIN(MIN(MOD(A458/Calculator!$F$13,1),1-MOD(A458/Calculator!$F$13,1)),ABS(MOD(A458/Calculator!$F$13,1)-0.5))),1)</f>
        <v>0.10836701754386</v>
      </c>
      <c r="E458" s="138" t="n">
        <f aca="false">IF(Calculator!$E$14="YES",IF(A458&lt;Calculator!$G$14,0,MIN(MIN(MOD(A458/Calculator!$F$14,1),1-MOD(A458/Calculator!$F$14,1)),ABS(MOD(A458/Calculator!$F$14,1)-0.5))),1)</f>
        <v>0.0238245614035089</v>
      </c>
      <c r="F458" s="138" t="n">
        <f aca="false">IF(Calculator!$E$15="YES",IF(A458&lt;Calculator!$G$15,0,MIN(MIN(MOD(A458/Calculator!$F$15,1),1-MOD(A458/Calculator!$F$15,1)),ABS(MOD(A458/Calculator!$F$15,1)-0.5))),1)</f>
        <v>0.0739473684210523</v>
      </c>
      <c r="G458" s="138" t="n">
        <f aca="false">IF(Calculator!$E$16="YES",IF(A458&lt;Calculator!$G$16,0,MIN(MIN(MOD(A458/Calculator!$F$16,1),1-MOD(A458/Calculator!$F$16,1)),ABS(MOD(A458/Calculator!$F$16,1)-0.5))),1)</f>
        <v>0.0035263157894736</v>
      </c>
      <c r="H458" s="138" t="n">
        <f aca="false">IF(Calculator!$E$17="YES",IF(A458&lt;Calculator!$G$17,0,MIN(MIN(MOD(A458/Calculator!$F$17,1),1-MOD(A458/Calculator!$F$17,1)),ABS(MOD(A458/Calculator!$F$17,1)-0.5))),1)</f>
        <v>0.104663859649122</v>
      </c>
      <c r="I458" s="138" t="n">
        <f aca="false">IF(Calculator!$E$18="YES",IF(A458&lt;Calculator!$G$18,0,MIN(MIN(MOD(A458/Calculator!$F$18,1),1-MOD(A458/Calculator!$F$18,1)),ABS(MOD(A458/Calculator!$F$18,1)-0.5))),1)</f>
        <v>0.00794736842105248</v>
      </c>
      <c r="J458" s="138" t="n">
        <f aca="false">IF(Calculator!$E$19="YES",IF(A458&lt;Calculator!$G$19,0,MIN(MIN(MOD(A458/Calculator!$F$19,1),1-MOD(A458/Calculator!$F$19,1)),ABS(MOD(A458/Calculator!$F$19,1)-0.5))),1)</f>
        <v>0.19661754385965</v>
      </c>
      <c r="K458" s="138" t="n">
        <f aca="false">IF(Calculator!$E$20="YES",IF(A458&lt;Calculator!$G$20,0,MIN(MIN(MOD(A458/Calculator!$F$20,1),1-MOD(A458/Calculator!$F$20,1)),ABS(MOD(A458/Calculator!$F$20,1)-0.5))),1)</f>
        <v>0.183543859649122</v>
      </c>
      <c r="L458" s="138" t="n">
        <f aca="false">IF(Calculator!$E$21="YES",IF(A458&lt;Calculator!$G$21,0,MIN(MIN(MOD(A458/Calculator!$F$21,1),1-MOD(A458/Calculator!$F$21,1)),ABS(MOD(A458/Calculator!$F$21,1)-0.5))),1)</f>
        <v>0.144912280701757</v>
      </c>
      <c r="M458" s="138" t="n">
        <f aca="false">MIN(B458:L458)</f>
        <v>0.0035263157894736</v>
      </c>
      <c r="N458" s="138" t="n">
        <f aca="false">SUMPRODUCT(($M$5:$M$555&gt;M458)*1)+SUMPRODUCT(($M$5:$M$555=M458)*(ROW($M$5:$M$555)&lt;ROW(M458)))+1</f>
        <v>190</v>
      </c>
      <c r="O458" s="138" t="str">
        <f aca="false">IF(M458&gt;=0.2,"★★★ EXCELLENT",IF(M458&gt;=0.12,"★★  GOOD",IF(M458&gt;=0.07,"★  FAIR",IF(M458&gt;=0.025,"⚠  MARGINAL","✗  AVOID"))))</f>
        <v>✗  AVOID</v>
      </c>
    </row>
    <row r="459" customFormat="false" ht="15" hidden="false" customHeight="false" outlineLevel="0" collapsed="false">
      <c r="A459" s="135" t="n">
        <v>50.4</v>
      </c>
      <c r="B459" s="136" t="n">
        <f aca="false">IF(Calculator!$E$11="YES",IF(A459&lt;Calculator!$G$11,0,MIN(MIN(MOD(A459/Calculator!$F$11,1),1-MOD(A459/Calculator!$F$11,1)),ABS(MOD(A459/Calculator!$F$11,1)-0.5))),1)</f>
        <v>0.172</v>
      </c>
      <c r="C459" s="136" t="n">
        <f aca="false">IF(Calculator!$E$12="YES",IF(A459&lt;Calculator!$G$12,0,MIN(MIN(MOD(A459/Calculator!$F$12,1),1-MOD(A459/Calculator!$F$12,1)),ABS(MOD(A459/Calculator!$F$12,1)-0.5))),1)</f>
        <v>0.209052631578947</v>
      </c>
      <c r="D459" s="136" t="n">
        <f aca="false">IF(Calculator!$E$13="YES",IF(A459&lt;Calculator!$G$13,0,MIN(MIN(MOD(A459/Calculator!$F$13,1),1-MOD(A459/Calculator!$F$13,1)),ABS(MOD(A459/Calculator!$F$13,1)-0.5))),1)</f>
        <v>0.104606315789474</v>
      </c>
      <c r="E459" s="136" t="n">
        <f aca="false">IF(Calculator!$E$14="YES",IF(A459&lt;Calculator!$G$14,0,MIN(MIN(MOD(A459/Calculator!$F$14,1),1-MOD(A459/Calculator!$F$14,1)),ABS(MOD(A459/Calculator!$F$14,1)-0.5))),1)</f>
        <v>0.0288421052631578</v>
      </c>
      <c r="F459" s="136" t="n">
        <f aca="false">IF(Calculator!$E$15="YES",IF(A459&lt;Calculator!$G$15,0,MIN(MIN(MOD(A459/Calculator!$F$15,1),1-MOD(A459/Calculator!$F$15,1)),ABS(MOD(A459/Calculator!$F$15,1)-0.5))),1)</f>
        <v>0.081052631578947</v>
      </c>
      <c r="G459" s="136" t="n">
        <f aca="false">IF(Calculator!$E$16="YES",IF(A459&lt;Calculator!$G$16,0,MIN(MIN(MOD(A459/Calculator!$F$16,1),1-MOD(A459/Calculator!$F$16,1)),ABS(MOD(A459/Calculator!$F$16,1)-0.5))),1)</f>
        <v>0.0134736842105267</v>
      </c>
      <c r="H459" s="136" t="n">
        <f aca="false">IF(Calculator!$E$17="YES",IF(A459&lt;Calculator!$G$17,0,MIN(MIN(MOD(A459/Calculator!$F$17,1),1-MOD(A459/Calculator!$F$17,1)),ABS(MOD(A459/Calculator!$F$17,1)-0.5))),1)</f>
        <v>0.0919494736842097</v>
      </c>
      <c r="I459" s="136" t="n">
        <f aca="false">IF(Calculator!$E$18="YES",IF(A459&lt;Calculator!$G$18,0,MIN(MIN(MOD(A459/Calculator!$F$18,1),1-MOD(A459/Calculator!$F$18,1)),ABS(MOD(A459/Calculator!$F$18,1)-0.5))),1)</f>
        <v>0.00694736842105304</v>
      </c>
      <c r="J459" s="136" t="n">
        <f aca="false">IF(Calculator!$E$19="YES",IF(A459&lt;Calculator!$G$19,0,MIN(MIN(MOD(A459/Calculator!$F$19,1),1-MOD(A459/Calculator!$F$19,1)),ABS(MOD(A459/Calculator!$F$19,1)-0.5))),1)</f>
        <v>0.179115789473686</v>
      </c>
      <c r="K459" s="136" t="n">
        <f aca="false">IF(Calculator!$E$20="YES",IF(A459&lt;Calculator!$G$20,0,MIN(MIN(MOD(A459/Calculator!$F$20,1),1-MOD(A459/Calculator!$F$20,1)),ABS(MOD(A459/Calculator!$F$20,1)-0.5))),1)</f>
        <v>0.203789473684211</v>
      </c>
      <c r="L459" s="136" t="n">
        <f aca="false">IF(Calculator!$E$21="YES",IF(A459&lt;Calculator!$G$21,0,MIN(MIN(MOD(A459/Calculator!$F$21,1),1-MOD(A459/Calculator!$F$21,1)),ABS(MOD(A459/Calculator!$F$21,1)-0.5))),1)</f>
        <v>0.108421052631581</v>
      </c>
      <c r="M459" s="136" t="n">
        <f aca="false">MIN(B459:L459)</f>
        <v>0.00694736842105304</v>
      </c>
      <c r="N459" s="136" t="n">
        <f aca="false">SUMPRODUCT(($M$5:$M$555&gt;M459)*1)+SUMPRODUCT(($M$5:$M$555=M459)*(ROW($M$5:$M$555)&lt;ROW(M459)))+1</f>
        <v>157</v>
      </c>
      <c r="O459" s="136" t="str">
        <f aca="false">IF(M459&gt;=0.2,"★★★ EXCELLENT",IF(M459&gt;=0.12,"★★  GOOD",IF(M459&gt;=0.07,"★  FAIR",IF(M459&gt;=0.025,"⚠  MARGINAL","✗  AVOID"))))</f>
        <v>✗  AVOID</v>
      </c>
    </row>
    <row r="460" customFormat="false" ht="15" hidden="false" customHeight="false" outlineLevel="0" collapsed="false">
      <c r="A460" s="137" t="n">
        <v>50.5</v>
      </c>
      <c r="B460" s="138" t="n">
        <f aca="false">IF(Calculator!$E$11="YES",IF(A460&lt;Calculator!$G$11,0,MIN(MIN(MOD(A460/Calculator!$F$11,1),1-MOD(A460/Calculator!$F$11,1)),ABS(MOD(A460/Calculator!$F$11,1)-0.5))),1)</f>
        <v>0.173333333333333</v>
      </c>
      <c r="C460" s="138" t="n">
        <f aca="false">IF(Calculator!$E$12="YES",IF(A460&lt;Calculator!$G$12,0,MIN(MIN(MOD(A460/Calculator!$F$12,1),1-MOD(A460/Calculator!$F$12,1)),ABS(MOD(A460/Calculator!$F$12,1)-0.5))),1)</f>
        <v>0.206491228070175</v>
      </c>
      <c r="D460" s="138" t="n">
        <f aca="false">IF(Calculator!$E$13="YES",IF(A460&lt;Calculator!$G$13,0,MIN(MIN(MOD(A460/Calculator!$F$13,1),1-MOD(A460/Calculator!$F$13,1)),ABS(MOD(A460/Calculator!$F$13,1)-0.5))),1)</f>
        <v>0.100845614035088</v>
      </c>
      <c r="E460" s="138" t="n">
        <f aca="false">IF(Calculator!$E$14="YES",IF(A460&lt;Calculator!$G$14,0,MIN(MIN(MOD(A460/Calculator!$F$14,1),1-MOD(A460/Calculator!$F$14,1)),ABS(MOD(A460/Calculator!$F$14,1)-0.5))),1)</f>
        <v>0.0338596491228071</v>
      </c>
      <c r="F460" s="138" t="n">
        <f aca="false">IF(Calculator!$E$15="YES",IF(A460&lt;Calculator!$G$15,0,MIN(MIN(MOD(A460/Calculator!$F$15,1),1-MOD(A460/Calculator!$F$15,1)),ABS(MOD(A460/Calculator!$F$15,1)-0.5))),1)</f>
        <v>0.0881578947368422</v>
      </c>
      <c r="G460" s="138" t="n">
        <f aca="false">IF(Calculator!$E$16="YES",IF(A460&lt;Calculator!$G$16,0,MIN(MIN(MOD(A460/Calculator!$F$16,1),1-MOD(A460/Calculator!$F$16,1)),ABS(MOD(A460/Calculator!$F$16,1)-0.5))),1)</f>
        <v>0.023421052631579</v>
      </c>
      <c r="H460" s="138" t="n">
        <f aca="false">IF(Calculator!$E$17="YES",IF(A460&lt;Calculator!$G$17,0,MIN(MIN(MOD(A460/Calculator!$F$17,1),1-MOD(A460/Calculator!$F$17,1)),ABS(MOD(A460/Calculator!$F$17,1)-0.5))),1)</f>
        <v>0.0792350877192973</v>
      </c>
      <c r="I460" s="138" t="n">
        <f aca="false">IF(Calculator!$E$18="YES",IF(A460&lt;Calculator!$G$18,0,MIN(MIN(MOD(A460/Calculator!$F$18,1),1-MOD(A460/Calculator!$F$18,1)),ABS(MOD(A460/Calculator!$F$18,1)-0.5))),1)</f>
        <v>0.0218421052631586</v>
      </c>
      <c r="J460" s="138" t="n">
        <f aca="false">IF(Calculator!$E$19="YES",IF(A460&lt;Calculator!$G$19,0,MIN(MIN(MOD(A460/Calculator!$F$19,1),1-MOD(A460/Calculator!$F$19,1)),ABS(MOD(A460/Calculator!$F$19,1)-0.5))),1)</f>
        <v>0.161614035087721</v>
      </c>
      <c r="K460" s="138" t="n">
        <f aca="false">IF(Calculator!$E$20="YES",IF(A460&lt;Calculator!$G$20,0,MIN(MIN(MOD(A460/Calculator!$F$20,1),1-MOD(A460/Calculator!$F$20,1)),ABS(MOD(A460/Calculator!$F$20,1)-0.5))),1)</f>
        <v>0.224035087719297</v>
      </c>
      <c r="L460" s="138" t="n">
        <f aca="false">IF(Calculator!$E$21="YES",IF(A460&lt;Calculator!$G$21,0,MIN(MIN(MOD(A460/Calculator!$F$21,1),1-MOD(A460/Calculator!$F$21,1)),ABS(MOD(A460/Calculator!$F$21,1)-0.5))),1)</f>
        <v>0.0719298245614048</v>
      </c>
      <c r="M460" s="138" t="n">
        <f aca="false">MIN(B460:L460)</f>
        <v>0.0218421052631586</v>
      </c>
      <c r="N460" s="138" t="n">
        <f aca="false">SUMPRODUCT(($M$5:$M$555&gt;M460)*1)+SUMPRODUCT(($M$5:$M$555=M460)*(ROW($M$5:$M$555)&lt;ROW(M460)))+1</f>
        <v>72</v>
      </c>
      <c r="O460" s="138" t="str">
        <f aca="false">IF(M460&gt;=0.2,"★★★ EXCELLENT",IF(M460&gt;=0.12,"★★  GOOD",IF(M460&gt;=0.07,"★  FAIR",IF(M460&gt;=0.025,"⚠  MARGINAL","✗  AVOID"))))</f>
        <v>✗  AVOID</v>
      </c>
    </row>
    <row r="461" customFormat="false" ht="15" hidden="false" customHeight="false" outlineLevel="0" collapsed="false">
      <c r="A461" s="135" t="n">
        <v>50.6</v>
      </c>
      <c r="B461" s="136" t="n">
        <f aca="false">IF(Calculator!$E$11="YES",IF(A461&lt;Calculator!$G$11,0,MIN(MIN(MOD(A461/Calculator!$F$11,1),1-MOD(A461/Calculator!$F$11,1)),ABS(MOD(A461/Calculator!$F$11,1)-0.5))),1)</f>
        <v>0.174666666666667</v>
      </c>
      <c r="C461" s="136" t="n">
        <f aca="false">IF(Calculator!$E$12="YES",IF(A461&lt;Calculator!$G$12,0,MIN(MIN(MOD(A461/Calculator!$F$12,1),1-MOD(A461/Calculator!$F$12,1)),ABS(MOD(A461/Calculator!$F$12,1)-0.5))),1)</f>
        <v>0.203929824561403</v>
      </c>
      <c r="D461" s="136" t="n">
        <f aca="false">IF(Calculator!$E$13="YES",IF(A461&lt;Calculator!$G$13,0,MIN(MIN(MOD(A461/Calculator!$F$13,1),1-MOD(A461/Calculator!$F$13,1)),ABS(MOD(A461/Calculator!$F$13,1)-0.5))),1)</f>
        <v>0.0970849122807018</v>
      </c>
      <c r="E461" s="136" t="n">
        <f aca="false">IF(Calculator!$E$14="YES",IF(A461&lt;Calculator!$G$14,0,MIN(MIN(MOD(A461/Calculator!$F$14,1),1-MOD(A461/Calculator!$F$14,1)),ABS(MOD(A461/Calculator!$F$14,1)-0.5))),1)</f>
        <v>0.0388771929824561</v>
      </c>
      <c r="F461" s="136" t="n">
        <f aca="false">IF(Calculator!$E$15="YES",IF(A461&lt;Calculator!$G$15,0,MIN(MIN(MOD(A461/Calculator!$F$15,1),1-MOD(A461/Calculator!$F$15,1)),ABS(MOD(A461/Calculator!$F$15,1)-0.5))),1)</f>
        <v>0.0952631578947369</v>
      </c>
      <c r="G461" s="136" t="n">
        <f aca="false">IF(Calculator!$E$16="YES",IF(A461&lt;Calculator!$G$16,0,MIN(MIN(MOD(A461/Calculator!$F$16,1),1-MOD(A461/Calculator!$F$16,1)),ABS(MOD(A461/Calculator!$F$16,1)-0.5))),1)</f>
        <v>0.0333684210526322</v>
      </c>
      <c r="H461" s="136" t="n">
        <f aca="false">IF(Calculator!$E$17="YES",IF(A461&lt;Calculator!$G$17,0,MIN(MIN(MOD(A461/Calculator!$F$17,1),1-MOD(A461/Calculator!$F$17,1)),ABS(MOD(A461/Calculator!$F$17,1)-0.5))),1)</f>
        <v>0.066520701754385</v>
      </c>
      <c r="I461" s="136" t="n">
        <f aca="false">IF(Calculator!$E$18="YES",IF(A461&lt;Calculator!$G$18,0,MIN(MIN(MOD(A461/Calculator!$F$18,1),1-MOD(A461/Calculator!$F$18,1)),ABS(MOD(A461/Calculator!$F$18,1)-0.5))),1)</f>
        <v>0.0367368421052641</v>
      </c>
      <c r="J461" s="136" t="n">
        <f aca="false">IF(Calculator!$E$19="YES",IF(A461&lt;Calculator!$G$19,0,MIN(MIN(MOD(A461/Calculator!$F$19,1),1-MOD(A461/Calculator!$F$19,1)),ABS(MOD(A461/Calculator!$F$19,1)-0.5))),1)</f>
        <v>0.144112280701755</v>
      </c>
      <c r="K461" s="136" t="n">
        <f aca="false">IF(Calculator!$E$20="YES",IF(A461&lt;Calculator!$G$20,0,MIN(MIN(MOD(A461/Calculator!$F$20,1),1-MOD(A461/Calculator!$F$20,1)),ABS(MOD(A461/Calculator!$F$20,1)-0.5))),1)</f>
        <v>0.244280701754386</v>
      </c>
      <c r="L461" s="136" t="n">
        <f aca="false">IF(Calculator!$E$21="YES",IF(A461&lt;Calculator!$G$21,0,MIN(MIN(MOD(A461/Calculator!$F$21,1),1-MOD(A461/Calculator!$F$21,1)),ABS(MOD(A461/Calculator!$F$21,1)-0.5))),1)</f>
        <v>0.0354385964912289</v>
      </c>
      <c r="M461" s="136" t="n">
        <f aca="false">MIN(B461:L461)</f>
        <v>0.0333684210526322</v>
      </c>
      <c r="N461" s="136" t="n">
        <f aca="false">SUMPRODUCT(($M$5:$M$555&gt;M461)*1)+SUMPRODUCT(($M$5:$M$555=M461)*(ROW($M$5:$M$555)&lt;ROW(M461)))+1</f>
        <v>36</v>
      </c>
      <c r="O461" s="136" t="str">
        <f aca="false">IF(M461&gt;=0.2,"★★★ EXCELLENT",IF(M461&gt;=0.12,"★★  GOOD",IF(M461&gt;=0.07,"★  FAIR",IF(M461&gt;=0.025,"⚠  MARGINAL","✗  AVOID"))))</f>
        <v>⚠  MARGINAL</v>
      </c>
    </row>
    <row r="462" customFormat="false" ht="15" hidden="false" customHeight="false" outlineLevel="0" collapsed="false">
      <c r="A462" s="137" t="n">
        <v>50.7</v>
      </c>
      <c r="B462" s="138" t="n">
        <f aca="false">IF(Calculator!$E$11="YES",IF(A462&lt;Calculator!$G$11,0,MIN(MIN(MOD(A462/Calculator!$F$11,1),1-MOD(A462/Calculator!$F$11,1)),ABS(MOD(A462/Calculator!$F$11,1)-0.5))),1)</f>
        <v>0.176</v>
      </c>
      <c r="C462" s="138" t="n">
        <f aca="false">IF(Calculator!$E$12="YES",IF(A462&lt;Calculator!$G$12,0,MIN(MIN(MOD(A462/Calculator!$F$12,1),1-MOD(A462/Calculator!$F$12,1)),ABS(MOD(A462/Calculator!$F$12,1)-0.5))),1)</f>
        <v>0.201368421052631</v>
      </c>
      <c r="D462" s="138" t="n">
        <f aca="false">IF(Calculator!$E$13="YES",IF(A462&lt;Calculator!$G$13,0,MIN(MIN(MOD(A462/Calculator!$F$13,1),1-MOD(A462/Calculator!$F$13,1)),ABS(MOD(A462/Calculator!$F$13,1)-0.5))),1)</f>
        <v>0.0933242105263157</v>
      </c>
      <c r="E462" s="138" t="n">
        <f aca="false">IF(Calculator!$E$14="YES",IF(A462&lt;Calculator!$G$14,0,MIN(MIN(MOD(A462/Calculator!$F$14,1),1-MOD(A462/Calculator!$F$14,1)),ABS(MOD(A462/Calculator!$F$14,1)-0.5))),1)</f>
        <v>0.0438947368421054</v>
      </c>
      <c r="F462" s="138" t="n">
        <f aca="false">IF(Calculator!$E$15="YES",IF(A462&lt;Calculator!$G$15,0,MIN(MIN(MOD(A462/Calculator!$F$15,1),1-MOD(A462/Calculator!$F$15,1)),ABS(MOD(A462/Calculator!$F$15,1)-0.5))),1)</f>
        <v>0.102368421052632</v>
      </c>
      <c r="G462" s="138" t="n">
        <f aca="false">IF(Calculator!$E$16="YES",IF(A462&lt;Calculator!$G$16,0,MIN(MIN(MOD(A462/Calculator!$F$16,1),1-MOD(A462/Calculator!$F$16,1)),ABS(MOD(A462/Calculator!$F$16,1)-0.5))),1)</f>
        <v>0.0433157894736853</v>
      </c>
      <c r="H462" s="138" t="n">
        <f aca="false">IF(Calculator!$E$17="YES",IF(A462&lt;Calculator!$G$17,0,MIN(MIN(MOD(A462/Calculator!$F$17,1),1-MOD(A462/Calculator!$F$17,1)),ABS(MOD(A462/Calculator!$F$17,1)-0.5))),1)</f>
        <v>0.0538063157894726</v>
      </c>
      <c r="I462" s="138" t="n">
        <f aca="false">IF(Calculator!$E$18="YES",IF(A462&lt;Calculator!$G$18,0,MIN(MIN(MOD(A462/Calculator!$F$18,1),1-MOD(A462/Calculator!$F$18,1)),ABS(MOD(A462/Calculator!$F$18,1)-0.5))),1)</f>
        <v>0.0516315789473687</v>
      </c>
      <c r="J462" s="138" t="n">
        <f aca="false">IF(Calculator!$E$19="YES",IF(A462&lt;Calculator!$G$19,0,MIN(MIN(MOD(A462/Calculator!$F$19,1),1-MOD(A462/Calculator!$F$19,1)),ABS(MOD(A462/Calculator!$F$19,1)-0.5))),1)</f>
        <v>0.12661052631579</v>
      </c>
      <c r="K462" s="138" t="n">
        <f aca="false">IF(Calculator!$E$20="YES",IF(A462&lt;Calculator!$G$20,0,MIN(MIN(MOD(A462/Calculator!$F$20,1),1-MOD(A462/Calculator!$F$20,1)),ABS(MOD(A462/Calculator!$F$20,1)-0.5))),1)</f>
        <v>0.235473684210525</v>
      </c>
      <c r="L462" s="138" t="n">
        <f aca="false">IF(Calculator!$E$21="YES",IF(A462&lt;Calculator!$G$21,0,MIN(MIN(MOD(A462/Calculator!$F$21,1),1-MOD(A462/Calculator!$F$21,1)),ABS(MOD(A462/Calculator!$F$21,1)-0.5))),1)</f>
        <v>0.00105263157894697</v>
      </c>
      <c r="M462" s="138" t="n">
        <f aca="false">MIN(B462:L462)</f>
        <v>0.00105263157894697</v>
      </c>
      <c r="N462" s="138" t="n">
        <f aca="false">SUMPRODUCT(($M$5:$M$555&gt;M462)*1)+SUMPRODUCT(($M$5:$M$555=M462)*(ROW($M$5:$M$555)&lt;ROW(M462)))+1</f>
        <v>215</v>
      </c>
      <c r="O462" s="138" t="str">
        <f aca="false">IF(M462&gt;=0.2,"★★★ EXCELLENT",IF(M462&gt;=0.12,"★★  GOOD",IF(M462&gt;=0.07,"★  FAIR",IF(M462&gt;=0.025,"⚠  MARGINAL","✗  AVOID"))))</f>
        <v>✗  AVOID</v>
      </c>
    </row>
    <row r="463" customFormat="false" ht="15" hidden="false" customHeight="false" outlineLevel="0" collapsed="false">
      <c r="A463" s="135" t="n">
        <v>50.8</v>
      </c>
      <c r="B463" s="136" t="n">
        <f aca="false">IF(Calculator!$E$11="YES",IF(A463&lt;Calculator!$G$11,0,MIN(MIN(MOD(A463/Calculator!$F$11,1),1-MOD(A463/Calculator!$F$11,1)),ABS(MOD(A463/Calculator!$F$11,1)-0.5))),1)</f>
        <v>0.177333333333333</v>
      </c>
      <c r="C463" s="136" t="n">
        <f aca="false">IF(Calculator!$E$12="YES",IF(A463&lt;Calculator!$G$12,0,MIN(MIN(MOD(A463/Calculator!$F$12,1),1-MOD(A463/Calculator!$F$12,1)),ABS(MOD(A463/Calculator!$F$12,1)-0.5))),1)</f>
        <v>0.19880701754386</v>
      </c>
      <c r="D463" s="136" t="n">
        <f aca="false">IF(Calculator!$E$13="YES",IF(A463&lt;Calculator!$G$13,0,MIN(MIN(MOD(A463/Calculator!$F$13,1),1-MOD(A463/Calculator!$F$13,1)),ABS(MOD(A463/Calculator!$F$13,1)-0.5))),1)</f>
        <v>0.08956350877193</v>
      </c>
      <c r="E463" s="136" t="n">
        <f aca="false">IF(Calculator!$E$14="YES",IF(A463&lt;Calculator!$G$14,0,MIN(MIN(MOD(A463/Calculator!$F$14,1),1-MOD(A463/Calculator!$F$14,1)),ABS(MOD(A463/Calculator!$F$14,1)-0.5))),1)</f>
        <v>0.0489122807017544</v>
      </c>
      <c r="F463" s="136" t="n">
        <f aca="false">IF(Calculator!$E$15="YES",IF(A463&lt;Calculator!$G$15,0,MIN(MIN(MOD(A463/Calculator!$F$15,1),1-MOD(A463/Calculator!$F$15,1)),ABS(MOD(A463/Calculator!$F$15,1)-0.5))),1)</f>
        <v>0.109473684210526</v>
      </c>
      <c r="G463" s="136" t="n">
        <f aca="false">IF(Calculator!$E$16="YES",IF(A463&lt;Calculator!$G$16,0,MIN(MIN(MOD(A463/Calculator!$F$16,1),1-MOD(A463/Calculator!$F$16,1)),ABS(MOD(A463/Calculator!$F$16,1)-0.5))),1)</f>
        <v>0.0532631578947367</v>
      </c>
      <c r="H463" s="136" t="n">
        <f aca="false">IF(Calculator!$E$17="YES",IF(A463&lt;Calculator!$G$17,0,MIN(MIN(MOD(A463/Calculator!$F$17,1),1-MOD(A463/Calculator!$F$17,1)),ABS(MOD(A463/Calculator!$F$17,1)-0.5))),1)</f>
        <v>0.0410919298245611</v>
      </c>
      <c r="I463" s="136" t="n">
        <f aca="false">IF(Calculator!$E$18="YES",IF(A463&lt;Calculator!$G$18,0,MIN(MIN(MOD(A463/Calculator!$F$18,1),1-MOD(A463/Calculator!$F$18,1)),ABS(MOD(A463/Calculator!$F$18,1)-0.5))),1)</f>
        <v>0.0665263157894733</v>
      </c>
      <c r="J463" s="136" t="n">
        <f aca="false">IF(Calculator!$E$19="YES",IF(A463&lt;Calculator!$G$19,0,MIN(MIN(MOD(A463/Calculator!$F$19,1),1-MOD(A463/Calculator!$F$19,1)),ABS(MOD(A463/Calculator!$F$19,1)-0.5))),1)</f>
        <v>0.109108771929826</v>
      </c>
      <c r="K463" s="136" t="n">
        <f aca="false">IF(Calculator!$E$20="YES",IF(A463&lt;Calculator!$G$20,0,MIN(MIN(MOD(A463/Calculator!$F$20,1),1-MOD(A463/Calculator!$F$20,1)),ABS(MOD(A463/Calculator!$F$20,1)-0.5))),1)</f>
        <v>0.215228070175439</v>
      </c>
      <c r="L463" s="136" t="n">
        <f aca="false">IF(Calculator!$E$21="YES",IF(A463&lt;Calculator!$G$21,0,MIN(MIN(MOD(A463/Calculator!$F$21,1),1-MOD(A463/Calculator!$F$21,1)),ABS(MOD(A463/Calculator!$F$21,1)-0.5))),1)</f>
        <v>0.0375438596491229</v>
      </c>
      <c r="M463" s="136" t="n">
        <f aca="false">MIN(B463:L463)</f>
        <v>0.0375438596491229</v>
      </c>
      <c r="N463" s="136" t="n">
        <f aca="false">SUMPRODUCT(($M$5:$M$555&gt;M463)*1)+SUMPRODUCT(($M$5:$M$555=M463)*(ROW($M$5:$M$555)&lt;ROW(M463)))+1</f>
        <v>28</v>
      </c>
      <c r="O463" s="136" t="str">
        <f aca="false">IF(M463&gt;=0.2,"★★★ EXCELLENT",IF(M463&gt;=0.12,"★★  GOOD",IF(M463&gt;=0.07,"★  FAIR",IF(M463&gt;=0.025,"⚠  MARGINAL","✗  AVOID"))))</f>
        <v>⚠  MARGINAL</v>
      </c>
    </row>
    <row r="464" customFormat="false" ht="15" hidden="false" customHeight="false" outlineLevel="0" collapsed="false">
      <c r="A464" s="137" t="n">
        <v>50.9</v>
      </c>
      <c r="B464" s="138" t="n">
        <f aca="false">IF(Calculator!$E$11="YES",IF(A464&lt;Calculator!$G$11,0,MIN(MIN(MOD(A464/Calculator!$F$11,1),1-MOD(A464/Calculator!$F$11,1)),ABS(MOD(A464/Calculator!$F$11,1)-0.5))),1)</f>
        <v>0.178666666666667</v>
      </c>
      <c r="C464" s="138" t="n">
        <f aca="false">IF(Calculator!$E$12="YES",IF(A464&lt;Calculator!$G$12,0,MIN(MIN(MOD(A464/Calculator!$F$12,1),1-MOD(A464/Calculator!$F$12,1)),ABS(MOD(A464/Calculator!$F$12,1)-0.5))),1)</f>
        <v>0.196245614035088</v>
      </c>
      <c r="D464" s="138" t="n">
        <f aca="false">IF(Calculator!$E$13="YES",IF(A464&lt;Calculator!$G$13,0,MIN(MIN(MOD(A464/Calculator!$F$13,1),1-MOD(A464/Calculator!$F$13,1)),ABS(MOD(A464/Calculator!$F$13,1)-0.5))),1)</f>
        <v>0.0858028070175441</v>
      </c>
      <c r="E464" s="138" t="n">
        <f aca="false">IF(Calculator!$E$14="YES",IF(A464&lt;Calculator!$G$14,0,MIN(MIN(MOD(A464/Calculator!$F$14,1),1-MOD(A464/Calculator!$F$14,1)),ABS(MOD(A464/Calculator!$F$14,1)-0.5))),1)</f>
        <v>0.0539298245614033</v>
      </c>
      <c r="F464" s="138" t="n">
        <f aca="false">IF(Calculator!$E$15="YES",IF(A464&lt;Calculator!$G$15,0,MIN(MIN(MOD(A464/Calculator!$F$15,1),1-MOD(A464/Calculator!$F$15,1)),ABS(MOD(A464/Calculator!$F$15,1)-0.5))),1)</f>
        <v>0.116578947368421</v>
      </c>
      <c r="G464" s="138" t="n">
        <f aca="false">IF(Calculator!$E$16="YES",IF(A464&lt;Calculator!$G$16,0,MIN(MIN(MOD(A464/Calculator!$F$16,1),1-MOD(A464/Calculator!$F$16,1)),ABS(MOD(A464/Calculator!$F$16,1)-0.5))),1)</f>
        <v>0.0632105263157898</v>
      </c>
      <c r="H464" s="138" t="n">
        <f aca="false">IF(Calculator!$E$17="YES",IF(A464&lt;Calculator!$G$17,0,MIN(MIN(MOD(A464/Calculator!$F$17,1),1-MOD(A464/Calculator!$F$17,1)),ABS(MOD(A464/Calculator!$F$17,1)-0.5))),1)</f>
        <v>0.0283775438596487</v>
      </c>
      <c r="I464" s="138" t="n">
        <f aca="false">IF(Calculator!$E$18="YES",IF(A464&lt;Calculator!$G$18,0,MIN(MIN(MOD(A464/Calculator!$F$18,1),1-MOD(A464/Calculator!$F$18,1)),ABS(MOD(A464/Calculator!$F$18,1)-0.5))),1)</f>
        <v>0.0814210526315788</v>
      </c>
      <c r="J464" s="138" t="n">
        <f aca="false">IF(Calculator!$E$19="YES",IF(A464&lt;Calculator!$G$19,0,MIN(MIN(MOD(A464/Calculator!$F$19,1),1-MOD(A464/Calculator!$F$19,1)),ABS(MOD(A464/Calculator!$F$19,1)-0.5))),1)</f>
        <v>0.0916070175438613</v>
      </c>
      <c r="K464" s="138" t="n">
        <f aca="false">IF(Calculator!$E$20="YES",IF(A464&lt;Calculator!$G$20,0,MIN(MIN(MOD(A464/Calculator!$F$20,1),1-MOD(A464/Calculator!$F$20,1)),ABS(MOD(A464/Calculator!$F$20,1)-0.5))),1)</f>
        <v>0.194982456140352</v>
      </c>
      <c r="L464" s="138" t="n">
        <f aca="false">IF(Calculator!$E$21="YES",IF(A464&lt;Calculator!$G$21,0,MIN(MIN(MOD(A464/Calculator!$F$21,1),1-MOD(A464/Calculator!$F$21,1)),ABS(MOD(A464/Calculator!$F$21,1)-0.5))),1)</f>
        <v>0.0740350877192988</v>
      </c>
      <c r="M464" s="138" t="n">
        <f aca="false">MIN(B464:L464)</f>
        <v>0.0283775438596487</v>
      </c>
      <c r="N464" s="138" t="n">
        <f aca="false">SUMPRODUCT(($M$5:$M$555&gt;M464)*1)+SUMPRODUCT(($M$5:$M$555=M464)*(ROW($M$5:$M$555)&lt;ROW(M464)))+1</f>
        <v>54</v>
      </c>
      <c r="O464" s="138" t="str">
        <f aca="false">IF(M464&gt;=0.2,"★★★ EXCELLENT",IF(M464&gt;=0.12,"★★  GOOD",IF(M464&gt;=0.07,"★  FAIR",IF(M464&gt;=0.025,"⚠  MARGINAL","✗  AVOID"))))</f>
        <v>⚠  MARGINAL</v>
      </c>
    </row>
    <row r="465" customFormat="false" ht="15" hidden="false" customHeight="false" outlineLevel="0" collapsed="false">
      <c r="A465" s="135" t="n">
        <v>51</v>
      </c>
      <c r="B465" s="136" t="n">
        <f aca="false">IF(Calculator!$E$11="YES",IF(A465&lt;Calculator!$G$11,0,MIN(MIN(MOD(A465/Calculator!$F$11,1),1-MOD(A465/Calculator!$F$11,1)),ABS(MOD(A465/Calculator!$F$11,1)-0.5))),1)</f>
        <v>0.18</v>
      </c>
      <c r="C465" s="136" t="n">
        <f aca="false">IF(Calculator!$E$12="YES",IF(A465&lt;Calculator!$G$12,0,MIN(MIN(MOD(A465/Calculator!$F$12,1),1-MOD(A465/Calculator!$F$12,1)),ABS(MOD(A465/Calculator!$F$12,1)-0.5))),1)</f>
        <v>0.193684210526316</v>
      </c>
      <c r="D465" s="136" t="n">
        <f aca="false">IF(Calculator!$E$13="YES",IF(A465&lt;Calculator!$G$13,0,MIN(MIN(MOD(A465/Calculator!$F$13,1),1-MOD(A465/Calculator!$F$13,1)),ABS(MOD(A465/Calculator!$F$13,1)-0.5))),1)</f>
        <v>0.0820421052631579</v>
      </c>
      <c r="E465" s="136" t="n">
        <f aca="false">IF(Calculator!$E$14="YES",IF(A465&lt;Calculator!$G$14,0,MIN(MIN(MOD(A465/Calculator!$F$14,1),1-MOD(A465/Calculator!$F$14,1)),ABS(MOD(A465/Calculator!$F$14,1)-0.5))),1)</f>
        <v>0.0589473684210526</v>
      </c>
      <c r="F465" s="136" t="n">
        <f aca="false">IF(Calculator!$E$15="YES",IF(A465&lt;Calculator!$G$15,0,MIN(MIN(MOD(A465/Calculator!$F$15,1),1-MOD(A465/Calculator!$F$15,1)),ABS(MOD(A465/Calculator!$F$15,1)-0.5))),1)</f>
        <v>0.123684210526316</v>
      </c>
      <c r="G465" s="136" t="n">
        <f aca="false">IF(Calculator!$E$16="YES",IF(A465&lt;Calculator!$G$16,0,MIN(MIN(MOD(A465/Calculator!$F$16,1),1-MOD(A465/Calculator!$F$16,1)),ABS(MOD(A465/Calculator!$F$16,1)-0.5))),1)</f>
        <v>0.0731578947368421</v>
      </c>
      <c r="H465" s="136" t="n">
        <f aca="false">IF(Calculator!$E$17="YES",IF(A465&lt;Calculator!$G$17,0,MIN(MIN(MOD(A465/Calculator!$F$17,1),1-MOD(A465/Calculator!$F$17,1)),ABS(MOD(A465/Calculator!$F$17,1)-0.5))),1)</f>
        <v>0.0156631578947364</v>
      </c>
      <c r="I465" s="136" t="n">
        <f aca="false">IF(Calculator!$E$18="YES",IF(A465&lt;Calculator!$G$18,0,MIN(MIN(MOD(A465/Calculator!$F$18,1),1-MOD(A465/Calculator!$F$18,1)),ABS(MOD(A465/Calculator!$F$18,1)-0.5))),1)</f>
        <v>0.0963157894736844</v>
      </c>
      <c r="J465" s="136" t="n">
        <f aca="false">IF(Calculator!$E$19="YES",IF(A465&lt;Calculator!$G$19,0,MIN(MIN(MOD(A465/Calculator!$F$19,1),1-MOD(A465/Calculator!$F$19,1)),ABS(MOD(A465/Calculator!$F$19,1)-0.5))),1)</f>
        <v>0.0741052631578967</v>
      </c>
      <c r="K465" s="136" t="n">
        <f aca="false">IF(Calculator!$E$20="YES",IF(A465&lt;Calculator!$G$20,0,MIN(MIN(MOD(A465/Calculator!$F$20,1),1-MOD(A465/Calculator!$F$20,1)),ABS(MOD(A465/Calculator!$F$20,1)-0.5))),1)</f>
        <v>0.174736842105263</v>
      </c>
      <c r="L465" s="136" t="n">
        <f aca="false">IF(Calculator!$E$21="YES",IF(A465&lt;Calculator!$G$21,0,MIN(MIN(MOD(A465/Calculator!$F$21,1),1-MOD(A465/Calculator!$F$21,1)),ABS(MOD(A465/Calculator!$F$21,1)-0.5))),1)</f>
        <v>0.110526315789475</v>
      </c>
      <c r="M465" s="136" t="n">
        <f aca="false">MIN(B465:L465)</f>
        <v>0.0156631578947364</v>
      </c>
      <c r="N465" s="136" t="n">
        <f aca="false">SUMPRODUCT(($M$5:$M$555&gt;M465)*1)+SUMPRODUCT(($M$5:$M$555=M465)*(ROW($M$5:$M$555)&lt;ROW(M465)))+1</f>
        <v>101</v>
      </c>
      <c r="O465" s="136" t="str">
        <f aca="false">IF(M465&gt;=0.2,"★★★ EXCELLENT",IF(M465&gt;=0.12,"★★  GOOD",IF(M465&gt;=0.07,"★  FAIR",IF(M465&gt;=0.025,"⚠  MARGINAL","✗  AVOID"))))</f>
        <v>✗  AVOID</v>
      </c>
    </row>
    <row r="466" customFormat="false" ht="15" hidden="false" customHeight="false" outlineLevel="0" collapsed="false">
      <c r="A466" s="137" t="n">
        <v>51.1</v>
      </c>
      <c r="B466" s="138" t="n">
        <f aca="false">IF(Calculator!$E$11="YES",IF(A466&lt;Calculator!$G$11,0,MIN(MIN(MOD(A466/Calculator!$F$11,1),1-MOD(A466/Calculator!$F$11,1)),ABS(MOD(A466/Calculator!$F$11,1)-0.5))),1)</f>
        <v>0.181333333333333</v>
      </c>
      <c r="C466" s="138" t="n">
        <f aca="false">IF(Calculator!$E$12="YES",IF(A466&lt;Calculator!$G$12,0,MIN(MIN(MOD(A466/Calculator!$F$12,1),1-MOD(A466/Calculator!$F$12,1)),ABS(MOD(A466/Calculator!$F$12,1)-0.5))),1)</f>
        <v>0.191122807017544</v>
      </c>
      <c r="D466" s="138" t="n">
        <f aca="false">IF(Calculator!$E$13="YES",IF(A466&lt;Calculator!$G$13,0,MIN(MIN(MOD(A466/Calculator!$F$13,1),1-MOD(A466/Calculator!$F$13,1)),ABS(MOD(A466/Calculator!$F$13,1)-0.5))),1)</f>
        <v>0.078281403508772</v>
      </c>
      <c r="E466" s="138" t="n">
        <f aca="false">IF(Calculator!$E$14="YES",IF(A466&lt;Calculator!$G$14,0,MIN(MIN(MOD(A466/Calculator!$F$14,1),1-MOD(A466/Calculator!$F$14,1)),ABS(MOD(A466/Calculator!$F$14,1)-0.5))),1)</f>
        <v>0.063964912280702</v>
      </c>
      <c r="F466" s="138" t="n">
        <f aca="false">IF(Calculator!$E$15="YES",IF(A466&lt;Calculator!$G$15,0,MIN(MIN(MOD(A466/Calculator!$F$15,1),1-MOD(A466/Calculator!$F$15,1)),ABS(MOD(A466/Calculator!$F$15,1)-0.5))),1)</f>
        <v>0.130789473684211</v>
      </c>
      <c r="G466" s="138" t="n">
        <f aca="false">IF(Calculator!$E$16="YES",IF(A466&lt;Calculator!$G$16,0,MIN(MIN(MOD(A466/Calculator!$F$16,1),1-MOD(A466/Calculator!$F$16,1)),ABS(MOD(A466/Calculator!$F$16,1)-0.5))),1)</f>
        <v>0.0831052631578952</v>
      </c>
      <c r="H466" s="138" t="n">
        <f aca="false">IF(Calculator!$E$17="YES",IF(A466&lt;Calculator!$G$17,0,MIN(MIN(MOD(A466/Calculator!$F$17,1),1-MOD(A466/Calculator!$F$17,1)),ABS(MOD(A466/Calculator!$F$17,1)-0.5))),1)</f>
        <v>0.00294877192982401</v>
      </c>
      <c r="I466" s="138" t="n">
        <f aca="false">IF(Calculator!$E$18="YES",IF(A466&lt;Calculator!$G$18,0,MIN(MIN(MOD(A466/Calculator!$F$18,1),1-MOD(A466/Calculator!$F$18,1)),ABS(MOD(A466/Calculator!$F$18,1)-0.5))),1)</f>
        <v>0.11121052631579</v>
      </c>
      <c r="J466" s="138" t="n">
        <f aca="false">IF(Calculator!$E$19="YES",IF(A466&lt;Calculator!$G$19,0,MIN(MIN(MOD(A466/Calculator!$F$19,1),1-MOD(A466/Calculator!$F$19,1)),ABS(MOD(A466/Calculator!$F$19,1)-0.5))),1)</f>
        <v>0.0566035087719303</v>
      </c>
      <c r="K466" s="138" t="n">
        <f aca="false">IF(Calculator!$E$20="YES",IF(A466&lt;Calculator!$G$20,0,MIN(MIN(MOD(A466/Calculator!$F$20,1),1-MOD(A466/Calculator!$F$20,1)),ABS(MOD(A466/Calculator!$F$20,1)-0.5))),1)</f>
        <v>0.154491228070174</v>
      </c>
      <c r="L466" s="138" t="n">
        <f aca="false">IF(Calculator!$E$21="YES",IF(A466&lt;Calculator!$G$21,0,MIN(MIN(MOD(A466/Calculator!$F$21,1),1-MOD(A466/Calculator!$F$21,1)),ABS(MOD(A466/Calculator!$F$21,1)-0.5))),1)</f>
        <v>0.147017543859651</v>
      </c>
      <c r="M466" s="138" t="n">
        <f aca="false">MIN(B466:L466)</f>
        <v>0.00294877192982401</v>
      </c>
      <c r="N466" s="138" t="n">
        <f aca="false">SUMPRODUCT(($M$5:$M$555&gt;M466)*1)+SUMPRODUCT(($M$5:$M$555=M466)*(ROW($M$5:$M$555)&lt;ROW(M466)))+1</f>
        <v>197</v>
      </c>
      <c r="O466" s="138" t="str">
        <f aca="false">IF(M466&gt;=0.2,"★★★ EXCELLENT",IF(M466&gt;=0.12,"★★  GOOD",IF(M466&gt;=0.07,"★  FAIR",IF(M466&gt;=0.025,"⚠  MARGINAL","✗  AVOID"))))</f>
        <v>✗  AVOID</v>
      </c>
    </row>
    <row r="467" customFormat="false" ht="15" hidden="false" customHeight="false" outlineLevel="0" collapsed="false">
      <c r="A467" s="135" t="n">
        <v>51.2</v>
      </c>
      <c r="B467" s="136" t="n">
        <f aca="false">IF(Calculator!$E$11="YES",IF(A467&lt;Calculator!$G$11,0,MIN(MIN(MOD(A467/Calculator!$F$11,1),1-MOD(A467/Calculator!$F$11,1)),ABS(MOD(A467/Calculator!$F$11,1)-0.5))),1)</f>
        <v>0.182666666666667</v>
      </c>
      <c r="C467" s="136" t="n">
        <f aca="false">IF(Calculator!$E$12="YES",IF(A467&lt;Calculator!$G$12,0,MIN(MIN(MOD(A467/Calculator!$F$12,1),1-MOD(A467/Calculator!$F$12,1)),ABS(MOD(A467/Calculator!$F$12,1)-0.5))),1)</f>
        <v>0.188561403508772</v>
      </c>
      <c r="D467" s="136" t="n">
        <f aca="false">IF(Calculator!$E$13="YES",IF(A467&lt;Calculator!$G$13,0,MIN(MIN(MOD(A467/Calculator!$F$13,1),1-MOD(A467/Calculator!$F$13,1)),ABS(MOD(A467/Calculator!$F$13,1)-0.5))),1)</f>
        <v>0.0745207017543859</v>
      </c>
      <c r="E467" s="136" t="n">
        <f aca="false">IF(Calculator!$E$14="YES",IF(A467&lt;Calculator!$G$14,0,MIN(MIN(MOD(A467/Calculator!$F$14,1),1-MOD(A467/Calculator!$F$14,1)),ABS(MOD(A467/Calculator!$F$14,1)-0.5))),1)</f>
        <v>0.0689824561403509</v>
      </c>
      <c r="F467" s="136" t="n">
        <f aca="false">IF(Calculator!$E$15="YES",IF(A467&lt;Calculator!$G$15,0,MIN(MIN(MOD(A467/Calculator!$F$15,1),1-MOD(A467/Calculator!$F$15,1)),ABS(MOD(A467/Calculator!$F$15,1)-0.5))),1)</f>
        <v>0.137894736842105</v>
      </c>
      <c r="G467" s="136" t="n">
        <f aca="false">IF(Calculator!$E$16="YES",IF(A467&lt;Calculator!$G$16,0,MIN(MIN(MOD(A467/Calculator!$F$16,1),1-MOD(A467/Calculator!$F$16,1)),ABS(MOD(A467/Calculator!$F$16,1)-0.5))),1)</f>
        <v>0.0930526315789484</v>
      </c>
      <c r="H467" s="136" t="n">
        <f aca="false">IF(Calculator!$E$17="YES",IF(A467&lt;Calculator!$G$17,0,MIN(MIN(MOD(A467/Calculator!$F$17,1),1-MOD(A467/Calculator!$F$17,1)),ABS(MOD(A467/Calculator!$F$17,1)-0.5))),1)</f>
        <v>0.00976561403508924</v>
      </c>
      <c r="I467" s="136" t="n">
        <f aca="false">IF(Calculator!$E$18="YES",IF(A467&lt;Calculator!$G$18,0,MIN(MIN(MOD(A467/Calculator!$F$18,1),1-MOD(A467/Calculator!$F$18,1)),ABS(MOD(A467/Calculator!$F$18,1)-0.5))),1)</f>
        <v>0.126105263157895</v>
      </c>
      <c r="J467" s="136" t="n">
        <f aca="false">IF(Calculator!$E$19="YES",IF(A467&lt;Calculator!$G$19,0,MIN(MIN(MOD(A467/Calculator!$F$19,1),1-MOD(A467/Calculator!$F$19,1)),ABS(MOD(A467/Calculator!$F$19,1)-0.5))),1)</f>
        <v>0.0391017543859658</v>
      </c>
      <c r="K467" s="136" t="n">
        <f aca="false">IF(Calculator!$E$20="YES",IF(A467&lt;Calculator!$G$20,0,MIN(MIN(MOD(A467/Calculator!$F$20,1),1-MOD(A467/Calculator!$F$20,1)),ABS(MOD(A467/Calculator!$F$20,1)-0.5))),1)</f>
        <v>0.134245614035088</v>
      </c>
      <c r="L467" s="136" t="n">
        <f aca="false">IF(Calculator!$E$21="YES",IF(A467&lt;Calculator!$G$21,0,MIN(MIN(MOD(A467/Calculator!$F$21,1),1-MOD(A467/Calculator!$F$21,1)),ABS(MOD(A467/Calculator!$F$21,1)-0.5))),1)</f>
        <v>0.183508771929827</v>
      </c>
      <c r="M467" s="136" t="n">
        <f aca="false">MIN(B467:L467)</f>
        <v>0.00976561403508924</v>
      </c>
      <c r="N467" s="136" t="n">
        <f aca="false">SUMPRODUCT(($M$5:$M$555&gt;M467)*1)+SUMPRODUCT(($M$5:$M$555=M467)*(ROW($M$5:$M$555)&lt;ROW(M467)))+1</f>
        <v>135</v>
      </c>
      <c r="O467" s="136" t="str">
        <f aca="false">IF(M467&gt;=0.2,"★★★ EXCELLENT",IF(M467&gt;=0.12,"★★  GOOD",IF(M467&gt;=0.07,"★  FAIR",IF(M467&gt;=0.025,"⚠  MARGINAL","✗  AVOID"))))</f>
        <v>✗  AVOID</v>
      </c>
    </row>
    <row r="468" customFormat="false" ht="15" hidden="false" customHeight="false" outlineLevel="0" collapsed="false">
      <c r="A468" s="137" t="n">
        <v>51.3</v>
      </c>
      <c r="B468" s="138" t="n">
        <f aca="false">IF(Calculator!$E$11="YES",IF(A468&lt;Calculator!$G$11,0,MIN(MIN(MOD(A468/Calculator!$F$11,1),1-MOD(A468/Calculator!$F$11,1)),ABS(MOD(A468/Calculator!$F$11,1)-0.5))),1)</f>
        <v>0.184</v>
      </c>
      <c r="C468" s="138" t="n">
        <f aca="false">IF(Calculator!$E$12="YES",IF(A468&lt;Calculator!$G$12,0,MIN(MIN(MOD(A468/Calculator!$F$12,1),1-MOD(A468/Calculator!$F$12,1)),ABS(MOD(A468/Calculator!$F$12,1)-0.5))),1)</f>
        <v>0.186</v>
      </c>
      <c r="D468" s="138" t="n">
        <f aca="false">IF(Calculator!$E$13="YES",IF(A468&lt;Calculator!$G$13,0,MIN(MIN(MOD(A468/Calculator!$F$13,1),1-MOD(A468/Calculator!$F$13,1)),ABS(MOD(A468/Calculator!$F$13,1)-0.5))),1)</f>
        <v>0.0707600000000002</v>
      </c>
      <c r="E468" s="138" t="n">
        <f aca="false">IF(Calculator!$E$14="YES",IF(A468&lt;Calculator!$G$14,0,MIN(MIN(MOD(A468/Calculator!$F$14,1),1-MOD(A468/Calculator!$F$14,1)),ABS(MOD(A468/Calculator!$F$14,1)-0.5))),1)</f>
        <v>0.0739999999999998</v>
      </c>
      <c r="F468" s="138" t="n">
        <f aca="false">IF(Calculator!$E$15="YES",IF(A468&lt;Calculator!$G$15,0,MIN(MIN(MOD(A468/Calculator!$F$15,1),1-MOD(A468/Calculator!$F$15,1)),ABS(MOD(A468/Calculator!$F$15,1)-0.5))),1)</f>
        <v>0.145</v>
      </c>
      <c r="G468" s="138" t="n">
        <f aca="false">IF(Calculator!$E$16="YES",IF(A468&lt;Calculator!$G$16,0,MIN(MIN(MOD(A468/Calculator!$F$16,1),1-MOD(A468/Calculator!$F$16,1)),ABS(MOD(A468/Calculator!$F$16,1)-0.5))),1)</f>
        <v>0.103</v>
      </c>
      <c r="H468" s="138" t="n">
        <f aca="false">IF(Calculator!$E$17="YES",IF(A468&lt;Calculator!$G$17,0,MIN(MIN(MOD(A468/Calculator!$F$17,1),1-MOD(A468/Calculator!$F$17,1)),ABS(MOD(A468/Calculator!$F$17,1)-0.5))),1)</f>
        <v>0.0224800000000007</v>
      </c>
      <c r="I468" s="138" t="n">
        <f aca="false">IF(Calculator!$E$18="YES",IF(A468&lt;Calculator!$G$18,0,MIN(MIN(MOD(A468/Calculator!$F$18,1),1-MOD(A468/Calculator!$F$18,1)),ABS(MOD(A468/Calculator!$F$18,1)-0.5))),1)</f>
        <v>0.141</v>
      </c>
      <c r="J468" s="138" t="n">
        <f aca="false">IF(Calculator!$E$19="YES",IF(A468&lt;Calculator!$G$19,0,MIN(MIN(MOD(A468/Calculator!$F$19,1),1-MOD(A468/Calculator!$F$19,1)),ABS(MOD(A468/Calculator!$F$19,1)-0.5))),1)</f>
        <v>0.0216000000000012</v>
      </c>
      <c r="K468" s="138" t="n">
        <f aca="false">IF(Calculator!$E$20="YES",IF(A468&lt;Calculator!$G$20,0,MIN(MIN(MOD(A468/Calculator!$F$20,1),1-MOD(A468/Calculator!$F$20,1)),ABS(MOD(A468/Calculator!$F$20,1)-0.5))),1)</f>
        <v>0.114000000000001</v>
      </c>
      <c r="L468" s="138" t="n">
        <f aca="false">IF(Calculator!$E$21="YES",IF(A468&lt;Calculator!$G$21,0,MIN(MIN(MOD(A468/Calculator!$F$21,1),1-MOD(A468/Calculator!$F$21,1)),ABS(MOD(A468/Calculator!$F$21,1)-0.5))),1)</f>
        <v>0.219999999999999</v>
      </c>
      <c r="M468" s="138" t="n">
        <f aca="false">MIN(B468:L468)</f>
        <v>0.0216000000000012</v>
      </c>
      <c r="N468" s="138" t="n">
        <f aca="false">SUMPRODUCT(($M$5:$M$555&gt;M468)*1)+SUMPRODUCT(($M$5:$M$555=M468)*(ROW($M$5:$M$555)&lt;ROW(M468)))+1</f>
        <v>73</v>
      </c>
      <c r="O468" s="138" t="str">
        <f aca="false">IF(M468&gt;=0.2,"★★★ EXCELLENT",IF(M468&gt;=0.12,"★★  GOOD",IF(M468&gt;=0.07,"★  FAIR",IF(M468&gt;=0.025,"⚠  MARGINAL","✗  AVOID"))))</f>
        <v>✗  AVOID</v>
      </c>
    </row>
    <row r="469" customFormat="false" ht="15" hidden="false" customHeight="false" outlineLevel="0" collapsed="false">
      <c r="A469" s="135" t="n">
        <v>51.4</v>
      </c>
      <c r="B469" s="136" t="n">
        <f aca="false">IF(Calculator!$E$11="YES",IF(A469&lt;Calculator!$G$11,0,MIN(MIN(MOD(A469/Calculator!$F$11,1),1-MOD(A469/Calculator!$F$11,1)),ABS(MOD(A469/Calculator!$F$11,1)-0.5))),1)</f>
        <v>0.185333333333333</v>
      </c>
      <c r="C469" s="136" t="n">
        <f aca="false">IF(Calculator!$E$12="YES",IF(A469&lt;Calculator!$G$12,0,MIN(MIN(MOD(A469/Calculator!$F$12,1),1-MOD(A469/Calculator!$F$12,1)),ABS(MOD(A469/Calculator!$F$12,1)-0.5))),1)</f>
        <v>0.183438596491228</v>
      </c>
      <c r="D469" s="136" t="n">
        <f aca="false">IF(Calculator!$E$13="YES",IF(A469&lt;Calculator!$G$13,0,MIN(MIN(MOD(A469/Calculator!$F$13,1),1-MOD(A469/Calculator!$F$13,1)),ABS(MOD(A469/Calculator!$F$13,1)-0.5))),1)</f>
        <v>0.0669992982456142</v>
      </c>
      <c r="E469" s="136" t="n">
        <f aca="false">IF(Calculator!$E$14="YES",IF(A469&lt;Calculator!$G$14,0,MIN(MIN(MOD(A469/Calculator!$F$14,1),1-MOD(A469/Calculator!$F$14,1)),ABS(MOD(A469/Calculator!$F$14,1)-0.5))),1)</f>
        <v>0.0790175438596492</v>
      </c>
      <c r="F469" s="136" t="n">
        <f aca="false">IF(Calculator!$E$15="YES",IF(A469&lt;Calculator!$G$15,0,MIN(MIN(MOD(A469/Calculator!$F$15,1),1-MOD(A469/Calculator!$F$15,1)),ABS(MOD(A469/Calculator!$F$15,1)-0.5))),1)</f>
        <v>0.152105263157895</v>
      </c>
      <c r="G469" s="136" t="n">
        <f aca="false">IF(Calculator!$E$16="YES",IF(A469&lt;Calculator!$G$16,0,MIN(MIN(MOD(A469/Calculator!$F$16,1),1-MOD(A469/Calculator!$F$16,1)),ABS(MOD(A469/Calculator!$F$16,1)-0.5))),1)</f>
        <v>0.112947368421053</v>
      </c>
      <c r="H469" s="136" t="n">
        <f aca="false">IF(Calculator!$E$17="YES",IF(A469&lt;Calculator!$G$17,0,MIN(MIN(MOD(A469/Calculator!$F$17,1),1-MOD(A469/Calculator!$F$17,1)),ABS(MOD(A469/Calculator!$F$17,1)-0.5))),1)</f>
        <v>0.0351943859649131</v>
      </c>
      <c r="I469" s="136" t="n">
        <f aca="false">IF(Calculator!$E$18="YES",IF(A469&lt;Calculator!$G$18,0,MIN(MIN(MOD(A469/Calculator!$F$18,1),1-MOD(A469/Calculator!$F$18,1)),ABS(MOD(A469/Calculator!$F$18,1)-0.5))),1)</f>
        <v>0.155894736842106</v>
      </c>
      <c r="J469" s="136" t="n">
        <f aca="false">IF(Calculator!$E$19="YES",IF(A469&lt;Calculator!$G$19,0,MIN(MIN(MOD(A469/Calculator!$F$19,1),1-MOD(A469/Calculator!$F$19,1)),ABS(MOD(A469/Calculator!$F$19,1)-0.5))),1)</f>
        <v>0.0040982456140366</v>
      </c>
      <c r="K469" s="136" t="n">
        <f aca="false">IF(Calculator!$E$20="YES",IF(A469&lt;Calculator!$G$20,0,MIN(MIN(MOD(A469/Calculator!$F$20,1),1-MOD(A469/Calculator!$F$20,1)),ABS(MOD(A469/Calculator!$F$20,1)-0.5))),1)</f>
        <v>0.0937543859649122</v>
      </c>
      <c r="L469" s="136" t="n">
        <f aca="false">IF(Calculator!$E$21="YES",IF(A469&lt;Calculator!$G$21,0,MIN(MIN(MOD(A469/Calculator!$F$21,1),1-MOD(A469/Calculator!$F$21,1)),ABS(MOD(A469/Calculator!$F$21,1)-0.5))),1)</f>
        <v>0.243508771929825</v>
      </c>
      <c r="M469" s="136" t="n">
        <f aca="false">MIN(B469:L469)</f>
        <v>0.0040982456140366</v>
      </c>
      <c r="N469" s="136" t="n">
        <f aca="false">SUMPRODUCT(($M$5:$M$555&gt;M469)*1)+SUMPRODUCT(($M$5:$M$555=M469)*(ROW($M$5:$M$555)&lt;ROW(M469)))+1</f>
        <v>183</v>
      </c>
      <c r="O469" s="136" t="str">
        <f aca="false">IF(M469&gt;=0.2,"★★★ EXCELLENT",IF(M469&gt;=0.12,"★★  GOOD",IF(M469&gt;=0.07,"★  FAIR",IF(M469&gt;=0.025,"⚠  MARGINAL","✗  AVOID"))))</f>
        <v>✗  AVOID</v>
      </c>
    </row>
    <row r="470" customFormat="false" ht="15" hidden="false" customHeight="false" outlineLevel="0" collapsed="false">
      <c r="A470" s="137" t="n">
        <v>51.5</v>
      </c>
      <c r="B470" s="138" t="n">
        <f aca="false">IF(Calculator!$E$11="YES",IF(A470&lt;Calculator!$G$11,0,MIN(MIN(MOD(A470/Calculator!$F$11,1),1-MOD(A470/Calculator!$F$11,1)),ABS(MOD(A470/Calculator!$F$11,1)-0.5))),1)</f>
        <v>0.186666666666667</v>
      </c>
      <c r="C470" s="138" t="n">
        <f aca="false">IF(Calculator!$E$12="YES",IF(A470&lt;Calculator!$G$12,0,MIN(MIN(MOD(A470/Calculator!$F$12,1),1-MOD(A470/Calculator!$F$12,1)),ABS(MOD(A470/Calculator!$F$12,1)-0.5))),1)</f>
        <v>0.180877192982456</v>
      </c>
      <c r="D470" s="138" t="n">
        <f aca="false">IF(Calculator!$E$13="YES",IF(A470&lt;Calculator!$G$13,0,MIN(MIN(MOD(A470/Calculator!$F$13,1),1-MOD(A470/Calculator!$F$13,1)),ABS(MOD(A470/Calculator!$F$13,1)-0.5))),1)</f>
        <v>0.0632385964912281</v>
      </c>
      <c r="E470" s="138" t="n">
        <f aca="false">IF(Calculator!$E$14="YES",IF(A470&lt;Calculator!$G$14,0,MIN(MIN(MOD(A470/Calculator!$F$14,1),1-MOD(A470/Calculator!$F$14,1)),ABS(MOD(A470/Calculator!$F$14,1)-0.5))),1)</f>
        <v>0.0840350877192981</v>
      </c>
      <c r="F470" s="138" t="n">
        <f aca="false">IF(Calculator!$E$15="YES",IF(A470&lt;Calculator!$G$15,0,MIN(MIN(MOD(A470/Calculator!$F$15,1),1-MOD(A470/Calculator!$F$15,1)),ABS(MOD(A470/Calculator!$F$15,1)-0.5))),1)</f>
        <v>0.159210526315789</v>
      </c>
      <c r="G470" s="138" t="n">
        <f aca="false">IF(Calculator!$E$16="YES",IF(A470&lt;Calculator!$G$16,0,MIN(MIN(MOD(A470/Calculator!$F$16,1),1-MOD(A470/Calculator!$F$16,1)),ABS(MOD(A470/Calculator!$F$16,1)-0.5))),1)</f>
        <v>0.122894736842106</v>
      </c>
      <c r="H470" s="138" t="n">
        <f aca="false">IF(Calculator!$E$17="YES",IF(A470&lt;Calculator!$G$17,0,MIN(MIN(MOD(A470/Calculator!$F$17,1),1-MOD(A470/Calculator!$F$17,1)),ABS(MOD(A470/Calculator!$F$17,1)-0.5))),1)</f>
        <v>0.0479087719298255</v>
      </c>
      <c r="I470" s="138" t="n">
        <f aca="false">IF(Calculator!$E$18="YES",IF(A470&lt;Calculator!$G$18,0,MIN(MIN(MOD(A470/Calculator!$F$18,1),1-MOD(A470/Calculator!$F$18,1)),ABS(MOD(A470/Calculator!$F$18,1)-0.5))),1)</f>
        <v>0.170789473684211</v>
      </c>
      <c r="J470" s="138" t="n">
        <f aca="false">IF(Calculator!$E$19="YES",IF(A470&lt;Calculator!$G$19,0,MIN(MIN(MOD(A470/Calculator!$F$19,1),1-MOD(A470/Calculator!$F$19,1)),ABS(MOD(A470/Calculator!$F$19,1)-0.5))),1)</f>
        <v>0.013403508771928</v>
      </c>
      <c r="K470" s="138" t="n">
        <f aca="false">IF(Calculator!$E$20="YES",IF(A470&lt;Calculator!$G$20,0,MIN(MIN(MOD(A470/Calculator!$F$20,1),1-MOD(A470/Calculator!$F$20,1)),ABS(MOD(A470/Calculator!$F$20,1)-0.5))),1)</f>
        <v>0.0735087719298253</v>
      </c>
      <c r="L470" s="138" t="n">
        <f aca="false">IF(Calculator!$E$21="YES",IF(A470&lt;Calculator!$G$21,0,MIN(MIN(MOD(A470/Calculator!$F$21,1),1-MOD(A470/Calculator!$F$21,1)),ABS(MOD(A470/Calculator!$F$21,1)-0.5))),1)</f>
        <v>0.207017543859649</v>
      </c>
      <c r="M470" s="138" t="n">
        <f aca="false">MIN(B470:L470)</f>
        <v>0.013403508771928</v>
      </c>
      <c r="N470" s="138" t="n">
        <f aca="false">SUMPRODUCT(($M$5:$M$555&gt;M470)*1)+SUMPRODUCT(($M$5:$M$555=M470)*(ROW($M$5:$M$555)&lt;ROW(M470)))+1</f>
        <v>114</v>
      </c>
      <c r="O470" s="138" t="str">
        <f aca="false">IF(M470&gt;=0.2,"★★★ EXCELLENT",IF(M470&gt;=0.12,"★★  GOOD",IF(M470&gt;=0.07,"★  FAIR",IF(M470&gt;=0.025,"⚠  MARGINAL","✗  AVOID"))))</f>
        <v>✗  AVOID</v>
      </c>
    </row>
    <row r="471" customFormat="false" ht="15" hidden="false" customHeight="false" outlineLevel="0" collapsed="false">
      <c r="A471" s="135" t="n">
        <v>51.6</v>
      </c>
      <c r="B471" s="136" t="n">
        <f aca="false">IF(Calculator!$E$11="YES",IF(A471&lt;Calculator!$G$11,0,MIN(MIN(MOD(A471/Calculator!$F$11,1),1-MOD(A471/Calculator!$F$11,1)),ABS(MOD(A471/Calculator!$F$11,1)-0.5))),1)</f>
        <v>0.188</v>
      </c>
      <c r="C471" s="136" t="n">
        <f aca="false">IF(Calculator!$E$12="YES",IF(A471&lt;Calculator!$G$12,0,MIN(MIN(MOD(A471/Calculator!$F$12,1),1-MOD(A471/Calculator!$F$12,1)),ABS(MOD(A471/Calculator!$F$12,1)-0.5))),1)</f>
        <v>0.178315789473684</v>
      </c>
      <c r="D471" s="136" t="n">
        <f aca="false">IF(Calculator!$E$13="YES",IF(A471&lt;Calculator!$G$13,0,MIN(MIN(MOD(A471/Calculator!$F$13,1),1-MOD(A471/Calculator!$F$13,1)),ABS(MOD(A471/Calculator!$F$13,1)-0.5))),1)</f>
        <v>0.0594778947368422</v>
      </c>
      <c r="E471" s="136" t="n">
        <f aca="false">IF(Calculator!$E$14="YES",IF(A471&lt;Calculator!$G$14,0,MIN(MIN(MOD(A471/Calculator!$F$14,1),1-MOD(A471/Calculator!$F$14,1)),ABS(MOD(A471/Calculator!$F$14,1)-0.5))),1)</f>
        <v>0.0890526315789475</v>
      </c>
      <c r="F471" s="136" t="n">
        <f aca="false">IF(Calculator!$E$15="YES",IF(A471&lt;Calculator!$G$15,0,MIN(MIN(MOD(A471/Calculator!$F$15,1),1-MOD(A471/Calculator!$F$15,1)),ABS(MOD(A471/Calculator!$F$15,1)-0.5))),1)</f>
        <v>0.166315789473684</v>
      </c>
      <c r="G471" s="136" t="n">
        <f aca="false">IF(Calculator!$E$16="YES",IF(A471&lt;Calculator!$G$16,0,MIN(MIN(MOD(A471/Calculator!$F$16,1),1-MOD(A471/Calculator!$F$16,1)),ABS(MOD(A471/Calculator!$F$16,1)-0.5))),1)</f>
        <v>0.132842105263158</v>
      </c>
      <c r="H471" s="136" t="n">
        <f aca="false">IF(Calculator!$E$17="YES",IF(A471&lt;Calculator!$G$17,0,MIN(MIN(MOD(A471/Calculator!$F$17,1),1-MOD(A471/Calculator!$F$17,1)),ABS(MOD(A471/Calculator!$F$17,1)-0.5))),1)</f>
        <v>0.0606231578947378</v>
      </c>
      <c r="I471" s="136" t="n">
        <f aca="false">IF(Calculator!$E$18="YES",IF(A471&lt;Calculator!$G$18,0,MIN(MIN(MOD(A471/Calculator!$F$18,1),1-MOD(A471/Calculator!$F$18,1)),ABS(MOD(A471/Calculator!$F$18,1)-0.5))),1)</f>
        <v>0.185684210526317</v>
      </c>
      <c r="J471" s="136" t="n">
        <f aca="false">IF(Calculator!$E$19="YES",IF(A471&lt;Calculator!$G$19,0,MIN(MIN(MOD(A471/Calculator!$F$19,1),1-MOD(A471/Calculator!$F$19,1)),ABS(MOD(A471/Calculator!$F$19,1)-0.5))),1)</f>
        <v>0.0309052631578943</v>
      </c>
      <c r="K471" s="136" t="n">
        <f aca="false">IF(Calculator!$E$20="YES",IF(A471&lt;Calculator!$G$20,0,MIN(MIN(MOD(A471/Calculator!$F$20,1),1-MOD(A471/Calculator!$F$20,1)),ABS(MOD(A471/Calculator!$F$20,1)-0.5))),1)</f>
        <v>0.0532631578947367</v>
      </c>
      <c r="L471" s="136" t="n">
        <f aca="false">IF(Calculator!$E$21="YES",IF(A471&lt;Calculator!$G$21,0,MIN(MIN(MOD(A471/Calculator!$F$21,1),1-MOD(A471/Calculator!$F$21,1)),ABS(MOD(A471/Calculator!$F$21,1)-0.5))),1)</f>
        <v>0.170526315789473</v>
      </c>
      <c r="M471" s="136" t="n">
        <f aca="false">MIN(B471:L471)</f>
        <v>0.0309052631578943</v>
      </c>
      <c r="N471" s="136" t="n">
        <f aca="false">SUMPRODUCT(($M$5:$M$555&gt;M471)*1)+SUMPRODUCT(($M$5:$M$555=M471)*(ROW($M$5:$M$555)&lt;ROW(M471)))+1</f>
        <v>44</v>
      </c>
      <c r="O471" s="136" t="str">
        <f aca="false">IF(M471&gt;=0.2,"★★★ EXCELLENT",IF(M471&gt;=0.12,"★★  GOOD",IF(M471&gt;=0.07,"★  FAIR",IF(M471&gt;=0.025,"⚠  MARGINAL","✗  AVOID"))))</f>
        <v>⚠  MARGINAL</v>
      </c>
    </row>
    <row r="472" customFormat="false" ht="15" hidden="false" customHeight="false" outlineLevel="0" collapsed="false">
      <c r="A472" s="137" t="n">
        <v>51.7</v>
      </c>
      <c r="B472" s="138" t="n">
        <f aca="false">IF(Calculator!$E$11="YES",IF(A472&lt;Calculator!$G$11,0,MIN(MIN(MOD(A472/Calculator!$F$11,1),1-MOD(A472/Calculator!$F$11,1)),ABS(MOD(A472/Calculator!$F$11,1)-0.5))),1)</f>
        <v>0.189333333333333</v>
      </c>
      <c r="C472" s="138" t="n">
        <f aca="false">IF(Calculator!$E$12="YES",IF(A472&lt;Calculator!$G$12,0,MIN(MIN(MOD(A472/Calculator!$F$12,1),1-MOD(A472/Calculator!$F$12,1)),ABS(MOD(A472/Calculator!$F$12,1)-0.5))),1)</f>
        <v>0.175754385964912</v>
      </c>
      <c r="D472" s="138" t="n">
        <f aca="false">IF(Calculator!$E$13="YES",IF(A472&lt;Calculator!$G$13,0,MIN(MIN(MOD(A472/Calculator!$F$13,1),1-MOD(A472/Calculator!$F$13,1)),ABS(MOD(A472/Calculator!$F$13,1)-0.5))),1)</f>
        <v>0.055717192982456</v>
      </c>
      <c r="E472" s="138" t="n">
        <f aca="false">IF(Calculator!$E$14="YES",IF(A472&lt;Calculator!$G$14,0,MIN(MIN(MOD(A472/Calculator!$F$14,1),1-MOD(A472/Calculator!$F$14,1)),ABS(MOD(A472/Calculator!$F$14,1)-0.5))),1)</f>
        <v>0.0940701754385969</v>
      </c>
      <c r="F472" s="138" t="n">
        <f aca="false">IF(Calculator!$E$15="YES",IF(A472&lt;Calculator!$G$15,0,MIN(MIN(MOD(A472/Calculator!$F$15,1),1-MOD(A472/Calculator!$F$15,1)),ABS(MOD(A472/Calculator!$F$15,1)-0.5))),1)</f>
        <v>0.173421052631579</v>
      </c>
      <c r="G472" s="138" t="n">
        <f aca="false">IF(Calculator!$E$16="YES",IF(A472&lt;Calculator!$G$16,0,MIN(MIN(MOD(A472/Calculator!$F$16,1),1-MOD(A472/Calculator!$F$16,1)),ABS(MOD(A472/Calculator!$F$16,1)-0.5))),1)</f>
        <v>0.142789473684211</v>
      </c>
      <c r="H472" s="138" t="n">
        <f aca="false">IF(Calculator!$E$17="YES",IF(A472&lt;Calculator!$G$17,0,MIN(MIN(MOD(A472/Calculator!$F$17,1),1-MOD(A472/Calculator!$F$17,1)),ABS(MOD(A472/Calculator!$F$17,1)-0.5))),1)</f>
        <v>0.0733375438596502</v>
      </c>
      <c r="I472" s="138" t="n">
        <f aca="false">IF(Calculator!$E$18="YES",IF(A472&lt;Calculator!$G$18,0,MIN(MIN(MOD(A472/Calculator!$F$18,1),1-MOD(A472/Calculator!$F$18,1)),ABS(MOD(A472/Calculator!$F$18,1)-0.5))),1)</f>
        <v>0.200578947368422</v>
      </c>
      <c r="J472" s="138" t="n">
        <f aca="false">IF(Calculator!$E$19="YES",IF(A472&lt;Calculator!$G$19,0,MIN(MIN(MOD(A472/Calculator!$F$19,1),1-MOD(A472/Calculator!$F$19,1)),ABS(MOD(A472/Calculator!$F$19,1)-0.5))),1)</f>
        <v>0.0484070175438589</v>
      </c>
      <c r="K472" s="138" t="n">
        <f aca="false">IF(Calculator!$E$20="YES",IF(A472&lt;Calculator!$G$20,0,MIN(MIN(MOD(A472/Calculator!$F$20,1),1-MOD(A472/Calculator!$F$20,1)),ABS(MOD(A472/Calculator!$F$20,1)-0.5))),1)</f>
        <v>0.0330175438596481</v>
      </c>
      <c r="L472" s="138" t="n">
        <f aca="false">IF(Calculator!$E$21="YES",IF(A472&lt;Calculator!$G$21,0,MIN(MIN(MOD(A472/Calculator!$F$21,1),1-MOD(A472/Calculator!$F$21,1)),ABS(MOD(A472/Calculator!$F$21,1)-0.5))),1)</f>
        <v>0.134035087719298</v>
      </c>
      <c r="M472" s="138" t="n">
        <f aca="false">MIN(B472:L472)</f>
        <v>0.0330175438596481</v>
      </c>
      <c r="N472" s="138" t="n">
        <f aca="false">SUMPRODUCT(($M$5:$M$555&gt;M472)*1)+SUMPRODUCT(($M$5:$M$555=M472)*(ROW($M$5:$M$555)&lt;ROW(M472)))+1</f>
        <v>39</v>
      </c>
      <c r="O472" s="138" t="str">
        <f aca="false">IF(M472&gt;=0.2,"★★★ EXCELLENT",IF(M472&gt;=0.12,"★★  GOOD",IF(M472&gt;=0.07,"★  FAIR",IF(M472&gt;=0.025,"⚠  MARGINAL","✗  AVOID"))))</f>
        <v>⚠  MARGINAL</v>
      </c>
    </row>
    <row r="473" customFormat="false" ht="15" hidden="false" customHeight="false" outlineLevel="0" collapsed="false">
      <c r="A473" s="135" t="n">
        <v>51.8</v>
      </c>
      <c r="B473" s="136" t="n">
        <f aca="false">IF(Calculator!$E$11="YES",IF(A473&lt;Calculator!$G$11,0,MIN(MIN(MOD(A473/Calculator!$F$11,1),1-MOD(A473/Calculator!$F$11,1)),ABS(MOD(A473/Calculator!$F$11,1)-0.5))),1)</f>
        <v>0.190666666666667</v>
      </c>
      <c r="C473" s="136" t="n">
        <f aca="false">IF(Calculator!$E$12="YES",IF(A473&lt;Calculator!$G$12,0,MIN(MIN(MOD(A473/Calculator!$F$12,1),1-MOD(A473/Calculator!$F$12,1)),ABS(MOD(A473/Calculator!$F$12,1)-0.5))),1)</f>
        <v>0.17319298245614</v>
      </c>
      <c r="D473" s="136" t="n">
        <f aca="false">IF(Calculator!$E$13="YES",IF(A473&lt;Calculator!$G$13,0,MIN(MIN(MOD(A473/Calculator!$F$13,1),1-MOD(A473/Calculator!$F$13,1)),ABS(MOD(A473/Calculator!$F$13,1)-0.5))),1)</f>
        <v>0.0519564912280703</v>
      </c>
      <c r="E473" s="136" t="n">
        <f aca="false">IF(Calculator!$E$14="YES",IF(A473&lt;Calculator!$G$14,0,MIN(MIN(MOD(A473/Calculator!$F$14,1),1-MOD(A473/Calculator!$F$14,1)),ABS(MOD(A473/Calculator!$F$14,1)-0.5))),1)</f>
        <v>0.0990877192982453</v>
      </c>
      <c r="F473" s="136" t="n">
        <f aca="false">IF(Calculator!$E$15="YES",IF(A473&lt;Calculator!$G$15,0,MIN(MIN(MOD(A473/Calculator!$F$15,1),1-MOD(A473/Calculator!$F$15,1)),ABS(MOD(A473/Calculator!$F$15,1)-0.5))),1)</f>
        <v>0.180526315789473</v>
      </c>
      <c r="G473" s="136" t="n">
        <f aca="false">IF(Calculator!$E$16="YES",IF(A473&lt;Calculator!$G$16,0,MIN(MIN(MOD(A473/Calculator!$F$16,1),1-MOD(A473/Calculator!$F$16,1)),ABS(MOD(A473/Calculator!$F$16,1)-0.5))),1)</f>
        <v>0.152736842105263</v>
      </c>
      <c r="H473" s="136" t="n">
        <f aca="false">IF(Calculator!$E$17="YES",IF(A473&lt;Calculator!$G$17,0,MIN(MIN(MOD(A473/Calculator!$F$17,1),1-MOD(A473/Calculator!$F$17,1)),ABS(MOD(A473/Calculator!$F$17,1)-0.5))),1)</f>
        <v>0.0860519298245617</v>
      </c>
      <c r="I473" s="136" t="n">
        <f aca="false">IF(Calculator!$E$18="YES",IF(A473&lt;Calculator!$G$18,0,MIN(MIN(MOD(A473/Calculator!$F$18,1),1-MOD(A473/Calculator!$F$18,1)),ABS(MOD(A473/Calculator!$F$18,1)-0.5))),1)</f>
        <v>0.215473684210526</v>
      </c>
      <c r="J473" s="136" t="n">
        <f aca="false">IF(Calculator!$E$19="YES",IF(A473&lt;Calculator!$G$19,0,MIN(MIN(MOD(A473/Calculator!$F$19,1),1-MOD(A473/Calculator!$F$19,1)),ABS(MOD(A473/Calculator!$F$19,1)-0.5))),1)</f>
        <v>0.0659087719298217</v>
      </c>
      <c r="K473" s="136" t="n">
        <f aca="false">IF(Calculator!$E$20="YES",IF(A473&lt;Calculator!$G$20,0,MIN(MIN(MOD(A473/Calculator!$F$20,1),1-MOD(A473/Calculator!$F$20,1)),ABS(MOD(A473/Calculator!$F$20,1)-0.5))),1)</f>
        <v>0.012771929824563</v>
      </c>
      <c r="L473" s="136" t="n">
        <f aca="false">IF(Calculator!$E$21="YES",IF(A473&lt;Calculator!$G$21,0,MIN(MIN(MOD(A473/Calculator!$F$21,1),1-MOD(A473/Calculator!$F$21,1)),ABS(MOD(A473/Calculator!$F$21,1)-0.5))),1)</f>
        <v>0.0975438596491252</v>
      </c>
      <c r="M473" s="136" t="n">
        <f aca="false">MIN(B473:L473)</f>
        <v>0.012771929824563</v>
      </c>
      <c r="N473" s="136" t="n">
        <f aca="false">SUMPRODUCT(($M$5:$M$555&gt;M473)*1)+SUMPRODUCT(($M$5:$M$555=M473)*(ROW($M$5:$M$555)&lt;ROW(M473)))+1</f>
        <v>117</v>
      </c>
      <c r="O473" s="136" t="str">
        <f aca="false">IF(M473&gt;=0.2,"★★★ EXCELLENT",IF(M473&gt;=0.12,"★★  GOOD",IF(M473&gt;=0.07,"★  FAIR",IF(M473&gt;=0.025,"⚠  MARGINAL","✗  AVOID"))))</f>
        <v>✗  AVOID</v>
      </c>
    </row>
    <row r="474" customFormat="false" ht="15" hidden="false" customHeight="false" outlineLevel="0" collapsed="false">
      <c r="A474" s="137" t="n">
        <v>51.9</v>
      </c>
      <c r="B474" s="138" t="n">
        <f aca="false">IF(Calculator!$E$11="YES",IF(A474&lt;Calculator!$G$11,0,MIN(MIN(MOD(A474/Calculator!$F$11,1),1-MOD(A474/Calculator!$F$11,1)),ABS(MOD(A474/Calculator!$F$11,1)-0.5))),1)</f>
        <v>0.192</v>
      </c>
      <c r="C474" s="138" t="n">
        <f aca="false">IF(Calculator!$E$12="YES",IF(A474&lt;Calculator!$G$12,0,MIN(MIN(MOD(A474/Calculator!$F$12,1),1-MOD(A474/Calculator!$F$12,1)),ABS(MOD(A474/Calculator!$F$12,1)-0.5))),1)</f>
        <v>0.170631578947368</v>
      </c>
      <c r="D474" s="138" t="n">
        <f aca="false">IF(Calculator!$E$13="YES",IF(A474&lt;Calculator!$G$13,0,MIN(MIN(MOD(A474/Calculator!$F$13,1),1-MOD(A474/Calculator!$F$13,1)),ABS(MOD(A474/Calculator!$F$13,1)-0.5))),1)</f>
        <v>0.0481957894736844</v>
      </c>
      <c r="E474" s="138" t="n">
        <f aca="false">IF(Calculator!$E$14="YES",IF(A474&lt;Calculator!$G$14,0,MIN(MIN(MOD(A474/Calculator!$F$14,1),1-MOD(A474/Calculator!$F$14,1)),ABS(MOD(A474/Calculator!$F$14,1)-0.5))),1)</f>
        <v>0.104105263157895</v>
      </c>
      <c r="F474" s="138" t="n">
        <f aca="false">IF(Calculator!$E$15="YES",IF(A474&lt;Calculator!$G$15,0,MIN(MIN(MOD(A474/Calculator!$F$15,1),1-MOD(A474/Calculator!$F$15,1)),ABS(MOD(A474/Calculator!$F$15,1)-0.5))),1)</f>
        <v>0.187631578947368</v>
      </c>
      <c r="G474" s="138" t="n">
        <f aca="false">IF(Calculator!$E$16="YES",IF(A474&lt;Calculator!$G$16,0,MIN(MIN(MOD(A474/Calculator!$F$16,1),1-MOD(A474/Calculator!$F$16,1)),ABS(MOD(A474/Calculator!$F$16,1)-0.5))),1)</f>
        <v>0.162684210526316</v>
      </c>
      <c r="H474" s="138" t="n">
        <f aca="false">IF(Calculator!$E$17="YES",IF(A474&lt;Calculator!$G$17,0,MIN(MIN(MOD(A474/Calculator!$F$17,1),1-MOD(A474/Calculator!$F$17,1)),ABS(MOD(A474/Calculator!$F$17,1)-0.5))),1)</f>
        <v>0.098766315789474</v>
      </c>
      <c r="I474" s="138" t="n">
        <f aca="false">IF(Calculator!$E$18="YES",IF(A474&lt;Calculator!$G$18,0,MIN(MIN(MOD(A474/Calculator!$F$18,1),1-MOD(A474/Calculator!$F$18,1)),ABS(MOD(A474/Calculator!$F$18,1)-0.5))),1)</f>
        <v>0.230368421052631</v>
      </c>
      <c r="J474" s="138" t="n">
        <f aca="false">IF(Calculator!$E$19="YES",IF(A474&lt;Calculator!$G$19,0,MIN(MIN(MOD(A474/Calculator!$F$19,1),1-MOD(A474/Calculator!$F$19,1)),ABS(MOD(A474/Calculator!$F$19,1)-0.5))),1)</f>
        <v>0.0834105263157881</v>
      </c>
      <c r="K474" s="138" t="n">
        <f aca="false">IF(Calculator!$E$20="YES",IF(A474&lt;Calculator!$G$20,0,MIN(MIN(MOD(A474/Calculator!$F$20,1),1-MOD(A474/Calculator!$F$20,1)),ABS(MOD(A474/Calculator!$F$20,1)-0.5))),1)</f>
        <v>0.00747368421052563</v>
      </c>
      <c r="L474" s="138" t="n">
        <f aca="false">IF(Calculator!$E$21="YES",IF(A474&lt;Calculator!$G$21,0,MIN(MIN(MOD(A474/Calculator!$F$21,1),1-MOD(A474/Calculator!$F$21,1)),ABS(MOD(A474/Calculator!$F$21,1)-0.5))),1)</f>
        <v>0.0610526315789492</v>
      </c>
      <c r="M474" s="138" t="n">
        <f aca="false">MIN(B474:L474)</f>
        <v>0.00747368421052563</v>
      </c>
      <c r="N474" s="138" t="n">
        <f aca="false">SUMPRODUCT(($M$5:$M$555&gt;M474)*1)+SUMPRODUCT(($M$5:$M$555=M474)*(ROW($M$5:$M$555)&lt;ROW(M474)))+1</f>
        <v>152</v>
      </c>
      <c r="O474" s="138" t="str">
        <f aca="false">IF(M474&gt;=0.2,"★★★ EXCELLENT",IF(M474&gt;=0.12,"★★  GOOD",IF(M474&gt;=0.07,"★  FAIR",IF(M474&gt;=0.025,"⚠  MARGINAL","✗  AVOID"))))</f>
        <v>✗  AVOID</v>
      </c>
    </row>
    <row r="475" customFormat="false" ht="15" hidden="false" customHeight="false" outlineLevel="0" collapsed="false">
      <c r="A475" s="135" t="n">
        <v>52</v>
      </c>
      <c r="B475" s="136" t="n">
        <f aca="false">IF(Calculator!$E$11="YES",IF(A475&lt;Calculator!$G$11,0,MIN(MIN(MOD(A475/Calculator!$F$11,1),1-MOD(A475/Calculator!$F$11,1)),ABS(MOD(A475/Calculator!$F$11,1)-0.5))),1)</f>
        <v>0.193333333333333</v>
      </c>
      <c r="C475" s="136" t="n">
        <f aca="false">IF(Calculator!$E$12="YES",IF(A475&lt;Calculator!$G$12,0,MIN(MIN(MOD(A475/Calculator!$F$12,1),1-MOD(A475/Calculator!$F$12,1)),ABS(MOD(A475/Calculator!$F$12,1)-0.5))),1)</f>
        <v>0.168070175438596</v>
      </c>
      <c r="D475" s="136" t="n">
        <f aca="false">IF(Calculator!$E$13="YES",IF(A475&lt;Calculator!$G$13,0,MIN(MIN(MOD(A475/Calculator!$F$13,1),1-MOD(A475/Calculator!$F$13,1)),ABS(MOD(A475/Calculator!$F$13,1)-0.5))),1)</f>
        <v>0.0444350877192983</v>
      </c>
      <c r="E475" s="136" t="n">
        <f aca="false">IF(Calculator!$E$14="YES",IF(A475&lt;Calculator!$G$14,0,MIN(MIN(MOD(A475/Calculator!$F$14,1),1-MOD(A475/Calculator!$F$14,1)),ABS(MOD(A475/Calculator!$F$14,1)-0.5))),1)</f>
        <v>0.109122807017544</v>
      </c>
      <c r="F475" s="136" t="n">
        <f aca="false">IF(Calculator!$E$15="YES",IF(A475&lt;Calculator!$G$15,0,MIN(MIN(MOD(A475/Calculator!$F$15,1),1-MOD(A475/Calculator!$F$15,1)),ABS(MOD(A475/Calculator!$F$15,1)-0.5))),1)</f>
        <v>0.194736842105263</v>
      </c>
      <c r="G475" s="136" t="n">
        <f aca="false">IF(Calculator!$E$16="YES",IF(A475&lt;Calculator!$G$16,0,MIN(MIN(MOD(A475/Calculator!$F$16,1),1-MOD(A475/Calculator!$F$16,1)),ABS(MOD(A475/Calculator!$F$16,1)-0.5))),1)</f>
        <v>0.172631578947369</v>
      </c>
      <c r="H475" s="136" t="n">
        <f aca="false">IF(Calculator!$E$17="YES",IF(A475&lt;Calculator!$G$17,0,MIN(MIN(MOD(A475/Calculator!$F$17,1),1-MOD(A475/Calculator!$F$17,1)),ABS(MOD(A475/Calculator!$F$17,1)-0.5))),1)</f>
        <v>0.111480701754386</v>
      </c>
      <c r="I475" s="136" t="n">
        <f aca="false">IF(Calculator!$E$18="YES",IF(A475&lt;Calculator!$G$18,0,MIN(MIN(MOD(A475/Calculator!$F$18,1),1-MOD(A475/Calculator!$F$18,1)),ABS(MOD(A475/Calculator!$F$18,1)-0.5))),1)</f>
        <v>0.245263157894737</v>
      </c>
      <c r="J475" s="136" t="n">
        <f aca="false">IF(Calculator!$E$19="YES",IF(A475&lt;Calculator!$G$19,0,MIN(MIN(MOD(A475/Calculator!$F$19,1),1-MOD(A475/Calculator!$F$19,1)),ABS(MOD(A475/Calculator!$F$19,1)-0.5))),1)</f>
        <v>0.100912280701753</v>
      </c>
      <c r="K475" s="136" t="n">
        <f aca="false">IF(Calculator!$E$20="YES",IF(A475&lt;Calculator!$G$20,0,MIN(MIN(MOD(A475/Calculator!$F$20,1),1-MOD(A475/Calculator!$F$20,1)),ABS(MOD(A475/Calculator!$F$20,1)-0.5))),1)</f>
        <v>0.0277192982456143</v>
      </c>
      <c r="L475" s="136" t="n">
        <f aca="false">IF(Calculator!$E$21="YES",IF(A475&lt;Calculator!$G$21,0,MIN(MIN(MOD(A475/Calculator!$F$21,1),1-MOD(A475/Calculator!$F$21,1)),ABS(MOD(A475/Calculator!$F$21,1)-0.5))),1)</f>
        <v>0.0245614035087733</v>
      </c>
      <c r="M475" s="136" t="n">
        <f aca="false">MIN(B475:L475)</f>
        <v>0.0245614035087733</v>
      </c>
      <c r="N475" s="136" t="n">
        <f aca="false">SUMPRODUCT(($M$5:$M$555&gt;M475)*1)+SUMPRODUCT(($M$5:$M$555=M475)*(ROW($M$5:$M$555)&lt;ROW(M475)))+1</f>
        <v>66</v>
      </c>
      <c r="O475" s="136" t="str">
        <f aca="false">IF(M475&gt;=0.2,"★★★ EXCELLENT",IF(M475&gt;=0.12,"★★  GOOD",IF(M475&gt;=0.07,"★  FAIR",IF(M475&gt;=0.025,"⚠  MARGINAL","✗  AVOID"))))</f>
        <v>✗  AVOID</v>
      </c>
    </row>
    <row r="476" customFormat="false" ht="15" hidden="false" customHeight="false" outlineLevel="0" collapsed="false">
      <c r="A476" s="137" t="n">
        <v>52.1</v>
      </c>
      <c r="B476" s="138" t="n">
        <f aca="false">IF(Calculator!$E$11="YES",IF(A476&lt;Calculator!$G$11,0,MIN(MIN(MOD(A476/Calculator!$F$11,1),1-MOD(A476/Calculator!$F$11,1)),ABS(MOD(A476/Calculator!$F$11,1)-0.5))),1)</f>
        <v>0.194666666666667</v>
      </c>
      <c r="C476" s="138" t="n">
        <f aca="false">IF(Calculator!$E$12="YES",IF(A476&lt;Calculator!$G$12,0,MIN(MIN(MOD(A476/Calculator!$F$12,1),1-MOD(A476/Calculator!$F$12,1)),ABS(MOD(A476/Calculator!$F$12,1)-0.5))),1)</f>
        <v>0.165508771929825</v>
      </c>
      <c r="D476" s="138" t="n">
        <f aca="false">IF(Calculator!$E$13="YES",IF(A476&lt;Calculator!$G$13,0,MIN(MIN(MOD(A476/Calculator!$F$13,1),1-MOD(A476/Calculator!$F$13,1)),ABS(MOD(A476/Calculator!$F$13,1)-0.5))),1)</f>
        <v>0.0406743859649124</v>
      </c>
      <c r="E476" s="138" t="n">
        <f aca="false">IF(Calculator!$E$14="YES",IF(A476&lt;Calculator!$G$14,0,MIN(MIN(MOD(A476/Calculator!$F$14,1),1-MOD(A476/Calculator!$F$14,1)),ABS(MOD(A476/Calculator!$F$14,1)-0.5))),1)</f>
        <v>0.114140350877193</v>
      </c>
      <c r="F476" s="138" t="n">
        <f aca="false">IF(Calculator!$E$15="YES",IF(A476&lt;Calculator!$G$15,0,MIN(MIN(MOD(A476/Calculator!$F$15,1),1-MOD(A476/Calculator!$F$15,1)),ABS(MOD(A476/Calculator!$F$15,1)-0.5))),1)</f>
        <v>0.201842105263158</v>
      </c>
      <c r="G476" s="138" t="n">
        <f aca="false">IF(Calculator!$E$16="YES",IF(A476&lt;Calculator!$G$16,0,MIN(MIN(MOD(A476/Calculator!$F$16,1),1-MOD(A476/Calculator!$F$16,1)),ABS(MOD(A476/Calculator!$F$16,1)-0.5))),1)</f>
        <v>0.182578947368421</v>
      </c>
      <c r="H476" s="138" t="n">
        <f aca="false">IF(Calculator!$E$17="YES",IF(A476&lt;Calculator!$G$17,0,MIN(MIN(MOD(A476/Calculator!$F$17,1),1-MOD(A476/Calculator!$F$17,1)),ABS(MOD(A476/Calculator!$F$17,1)-0.5))),1)</f>
        <v>0.124195087719299</v>
      </c>
      <c r="I476" s="138" t="n">
        <f aca="false">IF(Calculator!$E$18="YES",IF(A476&lt;Calculator!$G$18,0,MIN(MIN(MOD(A476/Calculator!$F$18,1),1-MOD(A476/Calculator!$F$18,1)),ABS(MOD(A476/Calculator!$F$18,1)-0.5))),1)</f>
        <v>0.239842105263158</v>
      </c>
      <c r="J476" s="138" t="n">
        <f aca="false">IF(Calculator!$E$19="YES",IF(A476&lt;Calculator!$G$19,0,MIN(MIN(MOD(A476/Calculator!$F$19,1),1-MOD(A476/Calculator!$F$19,1)),ABS(MOD(A476/Calculator!$F$19,1)-0.5))),1)</f>
        <v>0.118414035087717</v>
      </c>
      <c r="K476" s="138" t="n">
        <f aca="false">IF(Calculator!$E$20="YES",IF(A476&lt;Calculator!$G$20,0,MIN(MIN(MOD(A476/Calculator!$F$20,1),1-MOD(A476/Calculator!$F$20,1)),ABS(MOD(A476/Calculator!$F$20,1)-0.5))),1)</f>
        <v>0.0479649122807011</v>
      </c>
      <c r="L476" s="138" t="n">
        <f aca="false">IF(Calculator!$E$21="YES",IF(A476&lt;Calculator!$G$21,0,MIN(MIN(MOD(A476/Calculator!$F$21,1),1-MOD(A476/Calculator!$F$21,1)),ABS(MOD(A476/Calculator!$F$21,1)-0.5))),1)</f>
        <v>0.0119298245614026</v>
      </c>
      <c r="M476" s="138" t="n">
        <f aca="false">MIN(B476:L476)</f>
        <v>0.0119298245614026</v>
      </c>
      <c r="N476" s="138" t="n">
        <f aca="false">SUMPRODUCT(($M$5:$M$555&gt;M476)*1)+SUMPRODUCT(($M$5:$M$555=M476)*(ROW($M$5:$M$555)&lt;ROW(M476)))+1</f>
        <v>121</v>
      </c>
      <c r="O476" s="138" t="str">
        <f aca="false">IF(M476&gt;=0.2,"★★★ EXCELLENT",IF(M476&gt;=0.12,"★★  GOOD",IF(M476&gt;=0.07,"★  FAIR",IF(M476&gt;=0.025,"⚠  MARGINAL","✗  AVOID"))))</f>
        <v>✗  AVOID</v>
      </c>
    </row>
    <row r="477" customFormat="false" ht="15" hidden="false" customHeight="false" outlineLevel="0" collapsed="false">
      <c r="A477" s="135" t="n">
        <v>52.2</v>
      </c>
      <c r="B477" s="136" t="n">
        <f aca="false">IF(Calculator!$E$11="YES",IF(A477&lt;Calculator!$G$11,0,MIN(MIN(MOD(A477/Calculator!$F$11,1),1-MOD(A477/Calculator!$F$11,1)),ABS(MOD(A477/Calculator!$F$11,1)-0.5))),1)</f>
        <v>0.196</v>
      </c>
      <c r="C477" s="136" t="n">
        <f aca="false">IF(Calculator!$E$12="YES",IF(A477&lt;Calculator!$G$12,0,MIN(MIN(MOD(A477/Calculator!$F$12,1),1-MOD(A477/Calculator!$F$12,1)),ABS(MOD(A477/Calculator!$F$12,1)-0.5))),1)</f>
        <v>0.162947368421053</v>
      </c>
      <c r="D477" s="136" t="n">
        <f aca="false">IF(Calculator!$E$13="YES",IF(A477&lt;Calculator!$G$13,0,MIN(MIN(MOD(A477/Calculator!$F$13,1),1-MOD(A477/Calculator!$F$13,1)),ABS(MOD(A477/Calculator!$F$13,1)-0.5))),1)</f>
        <v>0.0369136842105262</v>
      </c>
      <c r="E477" s="136" t="n">
        <f aca="false">IF(Calculator!$E$14="YES",IF(A477&lt;Calculator!$G$14,0,MIN(MIN(MOD(A477/Calculator!$F$14,1),1-MOD(A477/Calculator!$F$14,1)),ABS(MOD(A477/Calculator!$F$14,1)-0.5))),1)</f>
        <v>0.119157894736842</v>
      </c>
      <c r="F477" s="136" t="n">
        <f aca="false">IF(Calculator!$E$15="YES",IF(A477&lt;Calculator!$G$15,0,MIN(MIN(MOD(A477/Calculator!$F$15,1),1-MOD(A477/Calculator!$F$15,1)),ABS(MOD(A477/Calculator!$F$15,1)-0.5))),1)</f>
        <v>0.208947368421053</v>
      </c>
      <c r="G477" s="136" t="n">
        <f aca="false">IF(Calculator!$E$16="YES",IF(A477&lt;Calculator!$G$16,0,MIN(MIN(MOD(A477/Calculator!$F$16,1),1-MOD(A477/Calculator!$F$16,1)),ABS(MOD(A477/Calculator!$F$16,1)-0.5))),1)</f>
        <v>0.192526315789475</v>
      </c>
      <c r="H477" s="136" t="n">
        <f aca="false">IF(Calculator!$E$17="YES",IF(A477&lt;Calculator!$G$17,0,MIN(MIN(MOD(A477/Calculator!$F$17,1),1-MOD(A477/Calculator!$F$17,1)),ABS(MOD(A477/Calculator!$F$17,1)-0.5))),1)</f>
        <v>0.136909473684212</v>
      </c>
      <c r="I477" s="136" t="n">
        <f aca="false">IF(Calculator!$E$18="YES",IF(A477&lt;Calculator!$G$18,0,MIN(MIN(MOD(A477/Calculator!$F$18,1),1-MOD(A477/Calculator!$F$18,1)),ABS(MOD(A477/Calculator!$F$18,1)-0.5))),1)</f>
        <v>0.224947368421052</v>
      </c>
      <c r="J477" s="136" t="n">
        <f aca="false">IF(Calculator!$E$19="YES",IF(A477&lt;Calculator!$G$19,0,MIN(MIN(MOD(A477/Calculator!$F$19,1),1-MOD(A477/Calculator!$F$19,1)),ABS(MOD(A477/Calculator!$F$19,1)-0.5))),1)</f>
        <v>0.135915789473684</v>
      </c>
      <c r="K477" s="136" t="n">
        <f aca="false">IF(Calculator!$E$20="YES",IF(A477&lt;Calculator!$G$20,0,MIN(MIN(MOD(A477/Calculator!$F$20,1),1-MOD(A477/Calculator!$F$20,1)),ABS(MOD(A477/Calculator!$F$20,1)-0.5))),1)</f>
        <v>0.0682105263157897</v>
      </c>
      <c r="L477" s="136" t="n">
        <f aca="false">IF(Calculator!$E$21="YES",IF(A477&lt;Calculator!$G$21,0,MIN(MIN(MOD(A477/Calculator!$F$21,1),1-MOD(A477/Calculator!$F$21,1)),ABS(MOD(A477/Calculator!$F$21,1)-0.5))),1)</f>
        <v>0.0484210526315785</v>
      </c>
      <c r="M477" s="136" t="n">
        <f aca="false">MIN(B477:L477)</f>
        <v>0.0369136842105262</v>
      </c>
      <c r="N477" s="136" t="n">
        <f aca="false">SUMPRODUCT(($M$5:$M$555&gt;M477)*1)+SUMPRODUCT(($M$5:$M$555=M477)*(ROW($M$5:$M$555)&lt;ROW(M477)))+1</f>
        <v>30</v>
      </c>
      <c r="O477" s="136" t="str">
        <f aca="false">IF(M477&gt;=0.2,"★★★ EXCELLENT",IF(M477&gt;=0.12,"★★  GOOD",IF(M477&gt;=0.07,"★  FAIR",IF(M477&gt;=0.025,"⚠  MARGINAL","✗  AVOID"))))</f>
        <v>⚠  MARGINAL</v>
      </c>
    </row>
    <row r="478" customFormat="false" ht="15" hidden="false" customHeight="false" outlineLevel="0" collapsed="false">
      <c r="A478" s="137" t="n">
        <v>52.3</v>
      </c>
      <c r="B478" s="138" t="n">
        <f aca="false">IF(Calculator!$E$11="YES",IF(A478&lt;Calculator!$G$11,0,MIN(MIN(MOD(A478/Calculator!$F$11,1),1-MOD(A478/Calculator!$F$11,1)),ABS(MOD(A478/Calculator!$F$11,1)-0.5))),1)</f>
        <v>0.197333333333333</v>
      </c>
      <c r="C478" s="138" t="n">
        <f aca="false">IF(Calculator!$E$12="YES",IF(A478&lt;Calculator!$G$12,0,MIN(MIN(MOD(A478/Calculator!$F$12,1),1-MOD(A478/Calculator!$F$12,1)),ABS(MOD(A478/Calculator!$F$12,1)-0.5))),1)</f>
        <v>0.160385964912281</v>
      </c>
      <c r="D478" s="138" t="n">
        <f aca="false">IF(Calculator!$E$13="YES",IF(A478&lt;Calculator!$G$13,0,MIN(MIN(MOD(A478/Calculator!$F$13,1),1-MOD(A478/Calculator!$F$13,1)),ABS(MOD(A478/Calculator!$F$13,1)-0.5))),1)</f>
        <v>0.0331529824561405</v>
      </c>
      <c r="E478" s="138" t="n">
        <f aca="false">IF(Calculator!$E$14="YES",IF(A478&lt;Calculator!$G$14,0,MIN(MIN(MOD(A478/Calculator!$F$14,1),1-MOD(A478/Calculator!$F$14,1)),ABS(MOD(A478/Calculator!$F$14,1)-0.5))),1)</f>
        <v>0.124175438596491</v>
      </c>
      <c r="F478" s="138" t="n">
        <f aca="false">IF(Calculator!$E$15="YES",IF(A478&lt;Calculator!$G$15,0,MIN(MIN(MOD(A478/Calculator!$F$15,1),1-MOD(A478/Calculator!$F$15,1)),ABS(MOD(A478/Calculator!$F$15,1)-0.5))),1)</f>
        <v>0.216052631578947</v>
      </c>
      <c r="G478" s="138" t="n">
        <f aca="false">IF(Calculator!$E$16="YES",IF(A478&lt;Calculator!$G$16,0,MIN(MIN(MOD(A478/Calculator!$F$16,1),1-MOD(A478/Calculator!$F$16,1)),ABS(MOD(A478/Calculator!$F$16,1)-0.5))),1)</f>
        <v>0.202473684210527</v>
      </c>
      <c r="H478" s="138" t="n">
        <f aca="false">IF(Calculator!$E$17="YES",IF(A478&lt;Calculator!$G$17,0,MIN(MIN(MOD(A478/Calculator!$F$17,1),1-MOD(A478/Calculator!$F$17,1)),ABS(MOD(A478/Calculator!$F$17,1)-0.5))),1)</f>
        <v>0.149623859649124</v>
      </c>
      <c r="I478" s="138" t="n">
        <f aca="false">IF(Calculator!$E$18="YES",IF(A478&lt;Calculator!$G$18,0,MIN(MIN(MOD(A478/Calculator!$F$18,1),1-MOD(A478/Calculator!$F$18,1)),ABS(MOD(A478/Calculator!$F$18,1)-0.5))),1)</f>
        <v>0.210052631578948</v>
      </c>
      <c r="J478" s="138" t="n">
        <f aca="false">IF(Calculator!$E$19="YES",IF(A478&lt;Calculator!$G$19,0,MIN(MIN(MOD(A478/Calculator!$F$19,1),1-MOD(A478/Calculator!$F$19,1)),ABS(MOD(A478/Calculator!$F$19,1)-0.5))),1)</f>
        <v>0.153417543859646</v>
      </c>
      <c r="K478" s="138" t="n">
        <f aca="false">IF(Calculator!$E$20="YES",IF(A478&lt;Calculator!$G$20,0,MIN(MIN(MOD(A478/Calculator!$F$20,1),1-MOD(A478/Calculator!$F$20,1)),ABS(MOD(A478/Calculator!$F$20,1)-0.5))),1)</f>
        <v>0.0884561403508766</v>
      </c>
      <c r="L478" s="138" t="n">
        <f aca="false">IF(Calculator!$E$21="YES",IF(A478&lt;Calculator!$G$21,0,MIN(MIN(MOD(A478/Calculator!$F$21,1),1-MOD(A478/Calculator!$F$21,1)),ABS(MOD(A478/Calculator!$F$21,1)-0.5))),1)</f>
        <v>0.0849122807017544</v>
      </c>
      <c r="M478" s="138" t="n">
        <f aca="false">MIN(B478:L478)</f>
        <v>0.0331529824561405</v>
      </c>
      <c r="N478" s="138" t="n">
        <f aca="false">SUMPRODUCT(($M$5:$M$555&gt;M478)*1)+SUMPRODUCT(($M$5:$M$555=M478)*(ROW($M$5:$M$555)&lt;ROW(M478)))+1</f>
        <v>38</v>
      </c>
      <c r="O478" s="138" t="str">
        <f aca="false">IF(M478&gt;=0.2,"★★★ EXCELLENT",IF(M478&gt;=0.12,"★★  GOOD",IF(M478&gt;=0.07,"★  FAIR",IF(M478&gt;=0.025,"⚠  MARGINAL","✗  AVOID"))))</f>
        <v>⚠  MARGINAL</v>
      </c>
    </row>
    <row r="479" customFormat="false" ht="15" hidden="false" customHeight="false" outlineLevel="0" collapsed="false">
      <c r="A479" s="135" t="n">
        <v>52.4</v>
      </c>
      <c r="B479" s="136" t="n">
        <f aca="false">IF(Calculator!$E$11="YES",IF(A479&lt;Calculator!$G$11,0,MIN(MIN(MOD(A479/Calculator!$F$11,1),1-MOD(A479/Calculator!$F$11,1)),ABS(MOD(A479/Calculator!$F$11,1)-0.5))),1)</f>
        <v>0.198666666666667</v>
      </c>
      <c r="C479" s="136" t="n">
        <f aca="false">IF(Calculator!$E$12="YES",IF(A479&lt;Calculator!$G$12,0,MIN(MIN(MOD(A479/Calculator!$F$12,1),1-MOD(A479/Calculator!$F$12,1)),ABS(MOD(A479/Calculator!$F$12,1)-0.5))),1)</f>
        <v>0.157824561403509</v>
      </c>
      <c r="D479" s="136" t="n">
        <f aca="false">IF(Calculator!$E$13="YES",IF(A479&lt;Calculator!$G$13,0,MIN(MIN(MOD(A479/Calculator!$F$13,1),1-MOD(A479/Calculator!$F$13,1)),ABS(MOD(A479/Calculator!$F$13,1)-0.5))),1)</f>
        <v>0.0293922807017546</v>
      </c>
      <c r="E479" s="136" t="n">
        <f aca="false">IF(Calculator!$E$14="YES",IF(A479&lt;Calculator!$G$14,0,MIN(MIN(MOD(A479/Calculator!$F$14,1),1-MOD(A479/Calculator!$F$14,1)),ABS(MOD(A479/Calculator!$F$14,1)-0.5))),1)</f>
        <v>0.12919298245614</v>
      </c>
      <c r="F479" s="136" t="n">
        <f aca="false">IF(Calculator!$E$15="YES",IF(A479&lt;Calculator!$G$15,0,MIN(MIN(MOD(A479/Calculator!$F$15,1),1-MOD(A479/Calculator!$F$15,1)),ABS(MOD(A479/Calculator!$F$15,1)-0.5))),1)</f>
        <v>0.223157894736842</v>
      </c>
      <c r="G479" s="136" t="n">
        <f aca="false">IF(Calculator!$E$16="YES",IF(A479&lt;Calculator!$G$16,0,MIN(MIN(MOD(A479/Calculator!$F$16,1),1-MOD(A479/Calculator!$F$16,1)),ABS(MOD(A479/Calculator!$F$16,1)-0.5))),1)</f>
        <v>0.212421052631579</v>
      </c>
      <c r="H479" s="136" t="n">
        <f aca="false">IF(Calculator!$E$17="YES",IF(A479&lt;Calculator!$G$17,0,MIN(MIN(MOD(A479/Calculator!$F$17,1),1-MOD(A479/Calculator!$F$17,1)),ABS(MOD(A479/Calculator!$F$17,1)-0.5))),1)</f>
        <v>0.162338245614036</v>
      </c>
      <c r="I479" s="136" t="n">
        <f aca="false">IF(Calculator!$E$18="YES",IF(A479&lt;Calculator!$G$18,0,MIN(MIN(MOD(A479/Calculator!$F$18,1),1-MOD(A479/Calculator!$F$18,1)),ABS(MOD(A479/Calculator!$F$18,1)-0.5))),1)</f>
        <v>0.195157894736842</v>
      </c>
      <c r="J479" s="136" t="n">
        <f aca="false">IF(Calculator!$E$19="YES",IF(A479&lt;Calculator!$G$19,0,MIN(MIN(MOD(A479/Calculator!$F$19,1),1-MOD(A479/Calculator!$F$19,1)),ABS(MOD(A479/Calculator!$F$19,1)-0.5))),1)</f>
        <v>0.170919298245613</v>
      </c>
      <c r="K479" s="136" t="n">
        <f aca="false">IF(Calculator!$E$20="YES",IF(A479&lt;Calculator!$G$20,0,MIN(MIN(MOD(A479/Calculator!$F$20,1),1-MOD(A479/Calculator!$F$20,1)),ABS(MOD(A479/Calculator!$F$20,1)-0.5))),1)</f>
        <v>0.108701754385965</v>
      </c>
      <c r="L479" s="136" t="n">
        <f aca="false">IF(Calculator!$E$21="YES",IF(A479&lt;Calculator!$G$21,0,MIN(MIN(MOD(A479/Calculator!$F$21,1),1-MOD(A479/Calculator!$F$21,1)),ABS(MOD(A479/Calculator!$F$21,1)-0.5))),1)</f>
        <v>0.12140350877193</v>
      </c>
      <c r="M479" s="136" t="n">
        <f aca="false">MIN(B479:L479)</f>
        <v>0.0293922807017546</v>
      </c>
      <c r="N479" s="136" t="n">
        <f aca="false">SUMPRODUCT(($M$5:$M$555&gt;M479)*1)+SUMPRODUCT(($M$5:$M$555=M479)*(ROW($M$5:$M$555)&lt;ROW(M479)))+1</f>
        <v>51</v>
      </c>
      <c r="O479" s="136" t="str">
        <f aca="false">IF(M479&gt;=0.2,"★★★ EXCELLENT",IF(M479&gt;=0.12,"★★  GOOD",IF(M479&gt;=0.07,"★  FAIR",IF(M479&gt;=0.025,"⚠  MARGINAL","✗  AVOID"))))</f>
        <v>⚠  MARGINAL</v>
      </c>
    </row>
    <row r="480" customFormat="false" ht="15" hidden="false" customHeight="false" outlineLevel="0" collapsed="false">
      <c r="A480" s="137" t="n">
        <v>52.5</v>
      </c>
      <c r="B480" s="138" t="n">
        <f aca="false">IF(Calculator!$E$11="YES",IF(A480&lt;Calculator!$G$11,0,MIN(MIN(MOD(A480/Calculator!$F$11,1),1-MOD(A480/Calculator!$F$11,1)),ABS(MOD(A480/Calculator!$F$11,1)-0.5))),1)</f>
        <v>0.2</v>
      </c>
      <c r="C480" s="138" t="n">
        <f aca="false">IF(Calculator!$E$12="YES",IF(A480&lt;Calculator!$G$12,0,MIN(MIN(MOD(A480/Calculator!$F$12,1),1-MOD(A480/Calculator!$F$12,1)),ABS(MOD(A480/Calculator!$F$12,1)-0.5))),1)</f>
        <v>0.155263157894737</v>
      </c>
      <c r="D480" s="138" t="n">
        <f aca="false">IF(Calculator!$E$13="YES",IF(A480&lt;Calculator!$G$13,0,MIN(MIN(MOD(A480/Calculator!$F$13,1),1-MOD(A480/Calculator!$F$13,1)),ABS(MOD(A480/Calculator!$F$13,1)-0.5))),1)</f>
        <v>0.0256315789473685</v>
      </c>
      <c r="E480" s="138" t="n">
        <f aca="false">IF(Calculator!$E$14="YES",IF(A480&lt;Calculator!$G$14,0,MIN(MIN(MOD(A480/Calculator!$F$14,1),1-MOD(A480/Calculator!$F$14,1)),ABS(MOD(A480/Calculator!$F$14,1)-0.5))),1)</f>
        <v>0.13421052631579</v>
      </c>
      <c r="F480" s="138" t="n">
        <f aca="false">IF(Calculator!$E$15="YES",IF(A480&lt;Calculator!$G$15,0,MIN(MIN(MOD(A480/Calculator!$F$15,1),1-MOD(A480/Calculator!$F$15,1)),ABS(MOD(A480/Calculator!$F$15,1)-0.5))),1)</f>
        <v>0.230263157894737</v>
      </c>
      <c r="G480" s="138" t="n">
        <f aca="false">IF(Calculator!$E$16="YES",IF(A480&lt;Calculator!$G$16,0,MIN(MIN(MOD(A480/Calculator!$F$16,1),1-MOD(A480/Calculator!$F$16,1)),ABS(MOD(A480/Calculator!$F$16,1)-0.5))),1)</f>
        <v>0.222368421052632</v>
      </c>
      <c r="H480" s="138" t="n">
        <f aca="false">IF(Calculator!$E$17="YES",IF(A480&lt;Calculator!$G$17,0,MIN(MIN(MOD(A480/Calculator!$F$17,1),1-MOD(A480/Calculator!$F$17,1)),ABS(MOD(A480/Calculator!$F$17,1)-0.5))),1)</f>
        <v>0.175052631578948</v>
      </c>
      <c r="I480" s="138" t="n">
        <f aca="false">IF(Calculator!$E$18="YES",IF(A480&lt;Calculator!$G$18,0,MIN(MIN(MOD(A480/Calculator!$F$18,1),1-MOD(A480/Calculator!$F$18,1)),ABS(MOD(A480/Calculator!$F$18,1)-0.5))),1)</f>
        <v>0.180263157894736</v>
      </c>
      <c r="J480" s="138" t="n">
        <f aca="false">IF(Calculator!$E$19="YES",IF(A480&lt;Calculator!$G$19,0,MIN(MIN(MOD(A480/Calculator!$F$19,1),1-MOD(A480/Calculator!$F$19,1)),ABS(MOD(A480/Calculator!$F$19,1)-0.5))),1)</f>
        <v>0.188421052631577</v>
      </c>
      <c r="K480" s="138" t="n">
        <f aca="false">IF(Calculator!$E$20="YES",IF(A480&lt;Calculator!$G$20,0,MIN(MIN(MOD(A480/Calculator!$F$20,1),1-MOD(A480/Calculator!$F$20,1)),ABS(MOD(A480/Calculator!$F$20,1)-0.5))),1)</f>
        <v>0.128947368421052</v>
      </c>
      <c r="L480" s="138" t="n">
        <f aca="false">IF(Calculator!$E$21="YES",IF(A480&lt;Calculator!$G$21,0,MIN(MIN(MOD(A480/Calculator!$F$21,1),1-MOD(A480/Calculator!$F$21,1)),ABS(MOD(A480/Calculator!$F$21,1)-0.5))),1)</f>
        <v>0.157894736842106</v>
      </c>
      <c r="M480" s="138" t="n">
        <f aca="false">MIN(B480:L480)</f>
        <v>0.0256315789473685</v>
      </c>
      <c r="N480" s="138" t="n">
        <f aca="false">SUMPRODUCT(($M$5:$M$555&gt;M480)*1)+SUMPRODUCT(($M$5:$M$555=M480)*(ROW($M$5:$M$555)&lt;ROW(M480)))+1</f>
        <v>63</v>
      </c>
      <c r="O480" s="138" t="str">
        <f aca="false">IF(M480&gt;=0.2,"★★★ EXCELLENT",IF(M480&gt;=0.12,"★★  GOOD",IF(M480&gt;=0.07,"★  FAIR",IF(M480&gt;=0.025,"⚠  MARGINAL","✗  AVOID"))))</f>
        <v>⚠  MARGINAL</v>
      </c>
    </row>
    <row r="481" customFormat="false" ht="15" hidden="false" customHeight="false" outlineLevel="0" collapsed="false">
      <c r="A481" s="135" t="n">
        <v>52.6</v>
      </c>
      <c r="B481" s="136" t="n">
        <f aca="false">IF(Calculator!$E$11="YES",IF(A481&lt;Calculator!$G$11,0,MIN(MIN(MOD(A481/Calculator!$F$11,1),1-MOD(A481/Calculator!$F$11,1)),ABS(MOD(A481/Calculator!$F$11,1)-0.5))),1)</f>
        <v>0.201333333333333</v>
      </c>
      <c r="C481" s="136" t="n">
        <f aca="false">IF(Calculator!$E$12="YES",IF(A481&lt;Calculator!$G$12,0,MIN(MIN(MOD(A481/Calculator!$F$12,1),1-MOD(A481/Calculator!$F$12,1)),ABS(MOD(A481/Calculator!$F$12,1)-0.5))),1)</f>
        <v>0.152701754385965</v>
      </c>
      <c r="D481" s="136" t="n">
        <f aca="false">IF(Calculator!$E$13="YES",IF(A481&lt;Calculator!$G$13,0,MIN(MIN(MOD(A481/Calculator!$F$13,1),1-MOD(A481/Calculator!$F$13,1)),ABS(MOD(A481/Calculator!$F$13,1)-0.5))),1)</f>
        <v>0.0218708771929825</v>
      </c>
      <c r="E481" s="136" t="n">
        <f aca="false">IF(Calculator!$E$14="YES",IF(A481&lt;Calculator!$G$14,0,MIN(MIN(MOD(A481/Calculator!$F$14,1),1-MOD(A481/Calculator!$F$14,1)),ABS(MOD(A481/Calculator!$F$14,1)-0.5))),1)</f>
        <v>0.139228070175438</v>
      </c>
      <c r="F481" s="136" t="n">
        <f aca="false">IF(Calculator!$E$15="YES",IF(A481&lt;Calculator!$G$15,0,MIN(MIN(MOD(A481/Calculator!$F$15,1),1-MOD(A481/Calculator!$F$15,1)),ABS(MOD(A481/Calculator!$F$15,1)-0.5))),1)</f>
        <v>0.237368421052631</v>
      </c>
      <c r="G481" s="136" t="n">
        <f aca="false">IF(Calculator!$E$16="YES",IF(A481&lt;Calculator!$G$16,0,MIN(MIN(MOD(A481/Calculator!$F$16,1),1-MOD(A481/Calculator!$F$16,1)),ABS(MOD(A481/Calculator!$F$16,1)-0.5))),1)</f>
        <v>0.232315789473684</v>
      </c>
      <c r="H481" s="136" t="n">
        <f aca="false">IF(Calculator!$E$17="YES",IF(A481&lt;Calculator!$G$17,0,MIN(MIN(MOD(A481/Calculator!$F$17,1),1-MOD(A481/Calculator!$F$17,1)),ABS(MOD(A481/Calculator!$F$17,1)-0.5))),1)</f>
        <v>0.187767017543861</v>
      </c>
      <c r="I481" s="136" t="n">
        <f aca="false">IF(Calculator!$E$18="YES",IF(A481&lt;Calculator!$G$18,0,MIN(MIN(MOD(A481/Calculator!$F$18,1),1-MOD(A481/Calculator!$F$18,1)),ABS(MOD(A481/Calculator!$F$18,1)-0.5))),1)</f>
        <v>0.165368421052631</v>
      </c>
      <c r="J481" s="136" t="n">
        <f aca="false">IF(Calculator!$E$19="YES",IF(A481&lt;Calculator!$G$19,0,MIN(MIN(MOD(A481/Calculator!$F$19,1),1-MOD(A481/Calculator!$F$19,1)),ABS(MOD(A481/Calculator!$F$19,1)-0.5))),1)</f>
        <v>0.205922807017542</v>
      </c>
      <c r="K481" s="136" t="n">
        <f aca="false">IF(Calculator!$E$20="YES",IF(A481&lt;Calculator!$G$20,0,MIN(MIN(MOD(A481/Calculator!$F$20,1),1-MOD(A481/Calculator!$F$20,1)),ABS(MOD(A481/Calculator!$F$20,1)-0.5))),1)</f>
        <v>0.149192982456141</v>
      </c>
      <c r="L481" s="136" t="n">
        <f aca="false">IF(Calculator!$E$21="YES",IF(A481&lt;Calculator!$G$21,0,MIN(MIN(MOD(A481/Calculator!$F$21,1),1-MOD(A481/Calculator!$F$21,1)),ABS(MOD(A481/Calculator!$F$21,1)-0.5))),1)</f>
        <v>0.194385964912282</v>
      </c>
      <c r="M481" s="136" t="n">
        <f aca="false">MIN(B481:L481)</f>
        <v>0.0218708771929825</v>
      </c>
      <c r="N481" s="136" t="n">
        <f aca="false">SUMPRODUCT(($M$5:$M$555&gt;M481)*1)+SUMPRODUCT(($M$5:$M$555=M481)*(ROW($M$5:$M$555)&lt;ROW(M481)))+1</f>
        <v>71</v>
      </c>
      <c r="O481" s="136" t="str">
        <f aca="false">IF(M481&gt;=0.2,"★★★ EXCELLENT",IF(M481&gt;=0.12,"★★  GOOD",IF(M481&gt;=0.07,"★  FAIR",IF(M481&gt;=0.025,"⚠  MARGINAL","✗  AVOID"))))</f>
        <v>✗  AVOID</v>
      </c>
    </row>
    <row r="482" customFormat="false" ht="15" hidden="false" customHeight="false" outlineLevel="0" collapsed="false">
      <c r="A482" s="137" t="n">
        <v>52.7</v>
      </c>
      <c r="B482" s="138" t="n">
        <f aca="false">IF(Calculator!$E$11="YES",IF(A482&lt;Calculator!$G$11,0,MIN(MIN(MOD(A482/Calculator!$F$11,1),1-MOD(A482/Calculator!$F$11,1)),ABS(MOD(A482/Calculator!$F$11,1)-0.5))),1)</f>
        <v>0.202666666666667</v>
      </c>
      <c r="C482" s="138" t="n">
        <f aca="false">IF(Calculator!$E$12="YES",IF(A482&lt;Calculator!$G$12,0,MIN(MIN(MOD(A482/Calculator!$F$12,1),1-MOD(A482/Calculator!$F$12,1)),ABS(MOD(A482/Calculator!$F$12,1)-0.5))),1)</f>
        <v>0.150140350877193</v>
      </c>
      <c r="D482" s="138" t="n">
        <f aca="false">IF(Calculator!$E$13="YES",IF(A482&lt;Calculator!$G$13,0,MIN(MIN(MOD(A482/Calculator!$F$13,1),1-MOD(A482/Calculator!$F$13,1)),ABS(MOD(A482/Calculator!$F$13,1)-0.5))),1)</f>
        <v>0.0181101754385964</v>
      </c>
      <c r="E482" s="138" t="n">
        <f aca="false">IF(Calculator!$E$14="YES",IF(A482&lt;Calculator!$G$14,0,MIN(MIN(MOD(A482/Calculator!$F$14,1),1-MOD(A482/Calculator!$F$14,1)),ABS(MOD(A482/Calculator!$F$14,1)-0.5))),1)</f>
        <v>0.144245614035088</v>
      </c>
      <c r="F482" s="138" t="n">
        <f aca="false">IF(Calculator!$E$15="YES",IF(A482&lt;Calculator!$G$15,0,MIN(MIN(MOD(A482/Calculator!$F$15,1),1-MOD(A482/Calculator!$F$15,1)),ABS(MOD(A482/Calculator!$F$15,1)-0.5))),1)</f>
        <v>0.244473684210527</v>
      </c>
      <c r="G482" s="138" t="n">
        <f aca="false">IF(Calculator!$E$16="YES",IF(A482&lt;Calculator!$G$16,0,MIN(MIN(MOD(A482/Calculator!$F$16,1),1-MOD(A482/Calculator!$F$16,1)),ABS(MOD(A482/Calculator!$F$16,1)-0.5))),1)</f>
        <v>0.242263157894738</v>
      </c>
      <c r="H482" s="138" t="n">
        <f aca="false">IF(Calculator!$E$17="YES",IF(A482&lt;Calculator!$G$17,0,MIN(MIN(MOD(A482/Calculator!$F$17,1),1-MOD(A482/Calculator!$F$17,1)),ABS(MOD(A482/Calculator!$F$17,1)-0.5))),1)</f>
        <v>0.200481403508773</v>
      </c>
      <c r="I482" s="138" t="n">
        <f aca="false">IF(Calculator!$E$18="YES",IF(A482&lt;Calculator!$G$18,0,MIN(MIN(MOD(A482/Calculator!$F$18,1),1-MOD(A482/Calculator!$F$18,1)),ABS(MOD(A482/Calculator!$F$18,1)-0.5))),1)</f>
        <v>0.150473684210525</v>
      </c>
      <c r="J482" s="138" t="n">
        <f aca="false">IF(Calculator!$E$19="YES",IF(A482&lt;Calculator!$G$19,0,MIN(MIN(MOD(A482/Calculator!$F$19,1),1-MOD(A482/Calculator!$F$19,1)),ABS(MOD(A482/Calculator!$F$19,1)-0.5))),1)</f>
        <v>0.223424561403508</v>
      </c>
      <c r="K482" s="138" t="n">
        <f aca="false">IF(Calculator!$E$20="YES",IF(A482&lt;Calculator!$G$20,0,MIN(MIN(MOD(A482/Calculator!$F$20,1),1-MOD(A482/Calculator!$F$20,1)),ABS(MOD(A482/Calculator!$F$20,1)-0.5))),1)</f>
        <v>0.169438596491229</v>
      </c>
      <c r="L482" s="138" t="n">
        <f aca="false">IF(Calculator!$E$21="YES",IF(A482&lt;Calculator!$G$21,0,MIN(MIN(MOD(A482/Calculator!$F$21,1),1-MOD(A482/Calculator!$F$21,1)),ABS(MOD(A482/Calculator!$F$21,1)-0.5))),1)</f>
        <v>0.230877192982458</v>
      </c>
      <c r="M482" s="138" t="n">
        <f aca="false">MIN(B482:L482)</f>
        <v>0.0181101754385964</v>
      </c>
      <c r="N482" s="138" t="n">
        <f aca="false">SUMPRODUCT(($M$5:$M$555&gt;M482)*1)+SUMPRODUCT(($M$5:$M$555=M482)*(ROW($M$5:$M$555)&lt;ROW(M482)))+1</f>
        <v>89</v>
      </c>
      <c r="O482" s="138" t="str">
        <f aca="false">IF(M482&gt;=0.2,"★★★ EXCELLENT",IF(M482&gt;=0.12,"★★  GOOD",IF(M482&gt;=0.07,"★  FAIR",IF(M482&gt;=0.025,"⚠  MARGINAL","✗  AVOID"))))</f>
        <v>✗  AVOID</v>
      </c>
    </row>
    <row r="483" customFormat="false" ht="15" hidden="false" customHeight="false" outlineLevel="0" collapsed="false">
      <c r="A483" s="135" t="n">
        <v>52.8</v>
      </c>
      <c r="B483" s="136" t="n">
        <f aca="false">IF(Calculator!$E$11="YES",IF(A483&lt;Calculator!$G$11,0,MIN(MIN(MOD(A483/Calculator!$F$11,1),1-MOD(A483/Calculator!$F$11,1)),ABS(MOD(A483/Calculator!$F$11,1)-0.5))),1)</f>
        <v>0.204</v>
      </c>
      <c r="C483" s="136" t="n">
        <f aca="false">IF(Calculator!$E$12="YES",IF(A483&lt;Calculator!$G$12,0,MIN(MIN(MOD(A483/Calculator!$F$12,1),1-MOD(A483/Calculator!$F$12,1)),ABS(MOD(A483/Calculator!$F$12,1)-0.5))),1)</f>
        <v>0.147578947368421</v>
      </c>
      <c r="D483" s="136" t="n">
        <f aca="false">IF(Calculator!$E$13="YES",IF(A483&lt;Calculator!$G$13,0,MIN(MIN(MOD(A483/Calculator!$F$13,1),1-MOD(A483/Calculator!$F$13,1)),ABS(MOD(A483/Calculator!$F$13,1)-0.5))),1)</f>
        <v>0.0143494736842107</v>
      </c>
      <c r="E483" s="136" t="n">
        <f aca="false">IF(Calculator!$E$14="YES",IF(A483&lt;Calculator!$G$14,0,MIN(MIN(MOD(A483/Calculator!$F$14,1),1-MOD(A483/Calculator!$F$14,1)),ABS(MOD(A483/Calculator!$F$14,1)-0.5))),1)</f>
        <v>0.149263157894737</v>
      </c>
      <c r="F483" s="136" t="n">
        <f aca="false">IF(Calculator!$E$15="YES",IF(A483&lt;Calculator!$G$15,0,MIN(MIN(MOD(A483/Calculator!$F$15,1),1-MOD(A483/Calculator!$F$15,1)),ABS(MOD(A483/Calculator!$F$15,1)-0.5))),1)</f>
        <v>0.248421052631579</v>
      </c>
      <c r="G483" s="136" t="n">
        <f aca="false">IF(Calculator!$E$16="YES",IF(A483&lt;Calculator!$G$16,0,MIN(MIN(MOD(A483/Calculator!$F$16,1),1-MOD(A483/Calculator!$F$16,1)),ABS(MOD(A483/Calculator!$F$16,1)-0.5))),1)</f>
        <v>0.24778947368421</v>
      </c>
      <c r="H483" s="136" t="n">
        <f aca="false">IF(Calculator!$E$17="YES",IF(A483&lt;Calculator!$G$17,0,MIN(MIN(MOD(A483/Calculator!$F$17,1),1-MOD(A483/Calculator!$F$17,1)),ABS(MOD(A483/Calculator!$F$17,1)-0.5))),1)</f>
        <v>0.213195789473684</v>
      </c>
      <c r="I483" s="136" t="n">
        <f aca="false">IF(Calculator!$E$18="YES",IF(A483&lt;Calculator!$G$18,0,MIN(MIN(MOD(A483/Calculator!$F$18,1),1-MOD(A483/Calculator!$F$18,1)),ABS(MOD(A483/Calculator!$F$18,1)-0.5))),1)</f>
        <v>0.135578947368421</v>
      </c>
      <c r="J483" s="136" t="n">
        <f aca="false">IF(Calculator!$E$19="YES",IF(A483&lt;Calculator!$G$19,0,MIN(MIN(MOD(A483/Calculator!$F$19,1),1-MOD(A483/Calculator!$F$19,1)),ABS(MOD(A483/Calculator!$F$19,1)-0.5))),1)</f>
        <v>0.240926315789471</v>
      </c>
      <c r="K483" s="136" t="n">
        <f aca="false">IF(Calculator!$E$20="YES",IF(A483&lt;Calculator!$G$20,0,MIN(MIN(MOD(A483/Calculator!$F$20,1),1-MOD(A483/Calculator!$F$20,1)),ABS(MOD(A483/Calculator!$F$20,1)-0.5))),1)</f>
        <v>0.189684210526314</v>
      </c>
      <c r="L483" s="136" t="n">
        <f aca="false">IF(Calculator!$E$21="YES",IF(A483&lt;Calculator!$G$21,0,MIN(MIN(MOD(A483/Calculator!$F$21,1),1-MOD(A483/Calculator!$F$21,1)),ABS(MOD(A483/Calculator!$F$21,1)-0.5))),1)</f>
        <v>0.23263157894737</v>
      </c>
      <c r="M483" s="136" t="n">
        <f aca="false">MIN(B483:L483)</f>
        <v>0.0143494736842107</v>
      </c>
      <c r="N483" s="136" t="n">
        <f aca="false">SUMPRODUCT(($M$5:$M$555&gt;M483)*1)+SUMPRODUCT(($M$5:$M$555=M483)*(ROW($M$5:$M$555)&lt;ROW(M483)))+1</f>
        <v>106</v>
      </c>
      <c r="O483" s="136" t="str">
        <f aca="false">IF(M483&gt;=0.2,"★★★ EXCELLENT",IF(M483&gt;=0.12,"★★  GOOD",IF(M483&gt;=0.07,"★  FAIR",IF(M483&gt;=0.025,"⚠  MARGINAL","✗  AVOID"))))</f>
        <v>✗  AVOID</v>
      </c>
    </row>
    <row r="484" customFormat="false" ht="15" hidden="false" customHeight="false" outlineLevel="0" collapsed="false">
      <c r="A484" s="137" t="n">
        <v>52.9</v>
      </c>
      <c r="B484" s="138" t="n">
        <f aca="false">IF(Calculator!$E$11="YES",IF(A484&lt;Calculator!$G$11,0,MIN(MIN(MOD(A484/Calculator!$F$11,1),1-MOD(A484/Calculator!$F$11,1)),ABS(MOD(A484/Calculator!$F$11,1)-0.5))),1)</f>
        <v>0.205333333333333</v>
      </c>
      <c r="C484" s="138" t="n">
        <f aca="false">IF(Calculator!$E$12="YES",IF(A484&lt;Calculator!$G$12,0,MIN(MIN(MOD(A484/Calculator!$F$12,1),1-MOD(A484/Calculator!$F$12,1)),ABS(MOD(A484/Calculator!$F$12,1)-0.5))),1)</f>
        <v>0.145017543859649</v>
      </c>
      <c r="D484" s="138" t="n">
        <f aca="false">IF(Calculator!$E$13="YES",IF(A484&lt;Calculator!$G$13,0,MIN(MIN(MOD(A484/Calculator!$F$13,1),1-MOD(A484/Calculator!$F$13,1)),ABS(MOD(A484/Calculator!$F$13,1)-0.5))),1)</f>
        <v>0.0105887719298248</v>
      </c>
      <c r="E484" s="138" t="n">
        <f aca="false">IF(Calculator!$E$14="YES",IF(A484&lt;Calculator!$G$14,0,MIN(MIN(MOD(A484/Calculator!$F$14,1),1-MOD(A484/Calculator!$F$14,1)),ABS(MOD(A484/Calculator!$F$14,1)-0.5))),1)</f>
        <v>0.154280701754386</v>
      </c>
      <c r="F484" s="138" t="n">
        <f aca="false">IF(Calculator!$E$15="YES",IF(A484&lt;Calculator!$G$15,0,MIN(MIN(MOD(A484/Calculator!$F$15,1),1-MOD(A484/Calculator!$F$15,1)),ABS(MOD(A484/Calculator!$F$15,1)-0.5))),1)</f>
        <v>0.241315789473684</v>
      </c>
      <c r="G484" s="138" t="n">
        <f aca="false">IF(Calculator!$E$16="YES",IF(A484&lt;Calculator!$G$16,0,MIN(MIN(MOD(A484/Calculator!$F$16,1),1-MOD(A484/Calculator!$F$16,1)),ABS(MOD(A484/Calculator!$F$16,1)-0.5))),1)</f>
        <v>0.237842105263158</v>
      </c>
      <c r="H484" s="138" t="n">
        <f aca="false">IF(Calculator!$E$17="YES",IF(A484&lt;Calculator!$G$17,0,MIN(MIN(MOD(A484/Calculator!$F$17,1),1-MOD(A484/Calculator!$F$17,1)),ABS(MOD(A484/Calculator!$F$17,1)-0.5))),1)</f>
        <v>0.225910175438597</v>
      </c>
      <c r="I484" s="138" t="n">
        <f aca="false">IF(Calculator!$E$18="YES",IF(A484&lt;Calculator!$G$18,0,MIN(MIN(MOD(A484/Calculator!$F$18,1),1-MOD(A484/Calculator!$F$18,1)),ABS(MOD(A484/Calculator!$F$18,1)-0.5))),1)</f>
        <v>0.120684210526315</v>
      </c>
      <c r="J484" s="138" t="n">
        <f aca="false">IF(Calculator!$E$19="YES",IF(A484&lt;Calculator!$G$19,0,MIN(MIN(MOD(A484/Calculator!$F$19,1),1-MOD(A484/Calculator!$F$19,1)),ABS(MOD(A484/Calculator!$F$19,1)-0.5))),1)</f>
        <v>0.241571929824563</v>
      </c>
      <c r="K484" s="138" t="n">
        <f aca="false">IF(Calculator!$E$20="YES",IF(A484&lt;Calculator!$G$20,0,MIN(MIN(MOD(A484/Calculator!$F$20,1),1-MOD(A484/Calculator!$F$20,1)),ABS(MOD(A484/Calculator!$F$20,1)-0.5))),1)</f>
        <v>0.209929824561403</v>
      </c>
      <c r="L484" s="138" t="n">
        <f aca="false">IF(Calculator!$E$21="YES",IF(A484&lt;Calculator!$G$21,0,MIN(MIN(MOD(A484/Calculator!$F$21,1),1-MOD(A484/Calculator!$F$21,1)),ABS(MOD(A484/Calculator!$F$21,1)-0.5))),1)</f>
        <v>0.196140350877194</v>
      </c>
      <c r="M484" s="138" t="n">
        <f aca="false">MIN(B484:L484)</f>
        <v>0.0105887719298248</v>
      </c>
      <c r="N484" s="138" t="n">
        <f aca="false">SUMPRODUCT(($M$5:$M$555&gt;M484)*1)+SUMPRODUCT(($M$5:$M$555=M484)*(ROW($M$5:$M$555)&lt;ROW(M484)))+1</f>
        <v>133</v>
      </c>
      <c r="O484" s="138" t="str">
        <f aca="false">IF(M484&gt;=0.2,"★★★ EXCELLENT",IF(M484&gt;=0.12,"★★  GOOD",IF(M484&gt;=0.07,"★  FAIR",IF(M484&gt;=0.025,"⚠  MARGINAL","✗  AVOID"))))</f>
        <v>✗  AVOID</v>
      </c>
    </row>
    <row r="485" customFormat="false" ht="15" hidden="false" customHeight="false" outlineLevel="0" collapsed="false">
      <c r="A485" s="135" t="n">
        <v>53</v>
      </c>
      <c r="B485" s="136" t="n">
        <f aca="false">IF(Calculator!$E$11="YES",IF(A485&lt;Calculator!$G$11,0,MIN(MIN(MOD(A485/Calculator!$F$11,1),1-MOD(A485/Calculator!$F$11,1)),ABS(MOD(A485/Calculator!$F$11,1)-0.5))),1)</f>
        <v>0.206666666666667</v>
      </c>
      <c r="C485" s="136" t="n">
        <f aca="false">IF(Calculator!$E$12="YES",IF(A485&lt;Calculator!$G$12,0,MIN(MIN(MOD(A485/Calculator!$F$12,1),1-MOD(A485/Calculator!$F$12,1)),ABS(MOD(A485/Calculator!$F$12,1)-0.5))),1)</f>
        <v>0.142456140350877</v>
      </c>
      <c r="D485" s="136" t="n">
        <f aca="false">IF(Calculator!$E$13="YES",IF(A485&lt;Calculator!$G$13,0,MIN(MIN(MOD(A485/Calculator!$F$13,1),1-MOD(A485/Calculator!$F$13,1)),ABS(MOD(A485/Calculator!$F$13,1)-0.5))),1)</f>
        <v>0.00682807017543863</v>
      </c>
      <c r="E485" s="136" t="n">
        <f aca="false">IF(Calculator!$E$14="YES",IF(A485&lt;Calculator!$G$14,0,MIN(MIN(MOD(A485/Calculator!$F$14,1),1-MOD(A485/Calculator!$F$14,1)),ABS(MOD(A485/Calculator!$F$14,1)-0.5))),1)</f>
        <v>0.159298245614035</v>
      </c>
      <c r="F485" s="136" t="n">
        <f aca="false">IF(Calculator!$E$15="YES",IF(A485&lt;Calculator!$G$15,0,MIN(MIN(MOD(A485/Calculator!$F$15,1),1-MOD(A485/Calculator!$F$15,1)),ABS(MOD(A485/Calculator!$F$15,1)-0.5))),1)</f>
        <v>0.23421052631579</v>
      </c>
      <c r="G485" s="136" t="n">
        <f aca="false">IF(Calculator!$E$16="YES",IF(A485&lt;Calculator!$G$16,0,MIN(MIN(MOD(A485/Calculator!$F$16,1),1-MOD(A485/Calculator!$F$16,1)),ABS(MOD(A485/Calculator!$F$16,1)-0.5))),1)</f>
        <v>0.227894736842105</v>
      </c>
      <c r="H485" s="136" t="n">
        <f aca="false">IF(Calculator!$E$17="YES",IF(A485&lt;Calculator!$G$17,0,MIN(MIN(MOD(A485/Calculator!$F$17,1),1-MOD(A485/Calculator!$F$17,1)),ABS(MOD(A485/Calculator!$F$17,1)-0.5))),1)</f>
        <v>0.238624561403509</v>
      </c>
      <c r="I485" s="136" t="n">
        <f aca="false">IF(Calculator!$E$18="YES",IF(A485&lt;Calculator!$G$18,0,MIN(MIN(MOD(A485/Calculator!$F$18,1),1-MOD(A485/Calculator!$F$18,1)),ABS(MOD(A485/Calculator!$F$18,1)-0.5))),1)</f>
        <v>0.105789473684211</v>
      </c>
      <c r="J485" s="136" t="n">
        <f aca="false">IF(Calculator!$E$19="YES",IF(A485&lt;Calculator!$G$19,0,MIN(MIN(MOD(A485/Calculator!$F$19,1),1-MOD(A485/Calculator!$F$19,1)),ABS(MOD(A485/Calculator!$F$19,1)-0.5))),1)</f>
        <v>0.224070175438598</v>
      </c>
      <c r="K485" s="136" t="n">
        <f aca="false">IF(Calculator!$E$20="YES",IF(A485&lt;Calculator!$G$20,0,MIN(MIN(MOD(A485/Calculator!$F$20,1),1-MOD(A485/Calculator!$F$20,1)),ABS(MOD(A485/Calculator!$F$20,1)-0.5))),1)</f>
        <v>0.230175438596492</v>
      </c>
      <c r="L485" s="136" t="n">
        <f aca="false">IF(Calculator!$E$21="YES",IF(A485&lt;Calculator!$G$21,0,MIN(MIN(MOD(A485/Calculator!$F$21,1),1-MOD(A485/Calculator!$F$21,1)),ABS(MOD(A485/Calculator!$F$21,1)-0.5))),1)</f>
        <v>0.159649122807018</v>
      </c>
      <c r="M485" s="136" t="n">
        <f aca="false">MIN(B485:L485)</f>
        <v>0.00682807017543863</v>
      </c>
      <c r="N485" s="136" t="n">
        <f aca="false">SUMPRODUCT(($M$5:$M$555&gt;M485)*1)+SUMPRODUCT(($M$5:$M$555=M485)*(ROW($M$5:$M$555)&lt;ROW(M485)))+1</f>
        <v>159</v>
      </c>
      <c r="O485" s="136" t="str">
        <f aca="false">IF(M485&gt;=0.2,"★★★ EXCELLENT",IF(M485&gt;=0.12,"★★  GOOD",IF(M485&gt;=0.07,"★  FAIR",IF(M485&gt;=0.025,"⚠  MARGINAL","✗  AVOID"))))</f>
        <v>✗  AVOID</v>
      </c>
    </row>
    <row r="486" customFormat="false" ht="15" hidden="false" customHeight="false" outlineLevel="0" collapsed="false">
      <c r="A486" s="137" t="n">
        <v>53.1</v>
      </c>
      <c r="B486" s="138" t="n">
        <f aca="false">IF(Calculator!$E$11="YES",IF(A486&lt;Calculator!$G$11,0,MIN(MIN(MOD(A486/Calculator!$F$11,1),1-MOD(A486/Calculator!$F$11,1)),ABS(MOD(A486/Calculator!$F$11,1)-0.5))),1)</f>
        <v>0.208</v>
      </c>
      <c r="C486" s="138" t="n">
        <f aca="false">IF(Calculator!$E$12="YES",IF(A486&lt;Calculator!$G$12,0,MIN(MIN(MOD(A486/Calculator!$F$12,1),1-MOD(A486/Calculator!$F$12,1)),ABS(MOD(A486/Calculator!$F$12,1)-0.5))),1)</f>
        <v>0.139894736842105</v>
      </c>
      <c r="D486" s="138" t="n">
        <f aca="false">IF(Calculator!$E$13="YES",IF(A486&lt;Calculator!$G$13,0,MIN(MIN(MOD(A486/Calculator!$F$13,1),1-MOD(A486/Calculator!$F$13,1)),ABS(MOD(A486/Calculator!$F$13,1)-0.5))),1)</f>
        <v>0.00306736842105271</v>
      </c>
      <c r="E486" s="138" t="n">
        <f aca="false">IF(Calculator!$E$14="YES",IF(A486&lt;Calculator!$G$14,0,MIN(MIN(MOD(A486/Calculator!$F$14,1),1-MOD(A486/Calculator!$F$14,1)),ABS(MOD(A486/Calculator!$F$14,1)-0.5))),1)</f>
        <v>0.164315789473684</v>
      </c>
      <c r="F486" s="138" t="n">
        <f aca="false">IF(Calculator!$E$15="YES",IF(A486&lt;Calculator!$G$15,0,MIN(MIN(MOD(A486/Calculator!$F$15,1),1-MOD(A486/Calculator!$F$15,1)),ABS(MOD(A486/Calculator!$F$15,1)-0.5))),1)</f>
        <v>0.227105263157895</v>
      </c>
      <c r="G486" s="138" t="n">
        <f aca="false">IF(Calculator!$E$16="YES",IF(A486&lt;Calculator!$G$16,0,MIN(MIN(MOD(A486/Calculator!$F$16,1),1-MOD(A486/Calculator!$F$16,1)),ABS(MOD(A486/Calculator!$F$16,1)-0.5))),1)</f>
        <v>0.217947368421052</v>
      </c>
      <c r="H486" s="138" t="n">
        <f aca="false">IF(Calculator!$E$17="YES",IF(A486&lt;Calculator!$G$17,0,MIN(MIN(MOD(A486/Calculator!$F$17,1),1-MOD(A486/Calculator!$F$17,1)),ABS(MOD(A486/Calculator!$F$17,1)-0.5))),1)</f>
        <v>0.248661052631578</v>
      </c>
      <c r="I486" s="138" t="n">
        <f aca="false">IF(Calculator!$E$18="YES",IF(A486&lt;Calculator!$G$18,0,MIN(MIN(MOD(A486/Calculator!$F$18,1),1-MOD(A486/Calculator!$F$18,1)),ABS(MOD(A486/Calculator!$F$18,1)-0.5))),1)</f>
        <v>0.0908947368421051</v>
      </c>
      <c r="J486" s="138" t="n">
        <f aca="false">IF(Calculator!$E$19="YES",IF(A486&lt;Calculator!$G$19,0,MIN(MIN(MOD(A486/Calculator!$F$19,1),1-MOD(A486/Calculator!$F$19,1)),ABS(MOD(A486/Calculator!$F$19,1)-0.5))),1)</f>
        <v>0.206568421052634</v>
      </c>
      <c r="K486" s="138" t="n">
        <f aca="false">IF(Calculator!$E$20="YES",IF(A486&lt;Calculator!$G$20,0,MIN(MIN(MOD(A486/Calculator!$F$20,1),1-MOD(A486/Calculator!$F$20,1)),ABS(MOD(A486/Calculator!$F$20,1)-0.5))),1)</f>
        <v>0.249578947368422</v>
      </c>
      <c r="L486" s="138" t="n">
        <f aca="false">IF(Calculator!$E$21="YES",IF(A486&lt;Calculator!$G$21,0,MIN(MIN(MOD(A486/Calculator!$F$21,1),1-MOD(A486/Calculator!$F$21,1)),ABS(MOD(A486/Calculator!$F$21,1)-0.5))),1)</f>
        <v>0.123157894736842</v>
      </c>
      <c r="M486" s="138" t="n">
        <f aca="false">MIN(B486:L486)</f>
        <v>0.00306736842105271</v>
      </c>
      <c r="N486" s="138" t="n">
        <f aca="false">SUMPRODUCT(($M$5:$M$555&gt;M486)*1)+SUMPRODUCT(($M$5:$M$555=M486)*(ROW($M$5:$M$555)&lt;ROW(M486)))+1</f>
        <v>194</v>
      </c>
      <c r="O486" s="138" t="str">
        <f aca="false">IF(M486&gt;=0.2,"★★★ EXCELLENT",IF(M486&gt;=0.12,"★★  GOOD",IF(M486&gt;=0.07,"★  FAIR",IF(M486&gt;=0.025,"⚠  MARGINAL","✗  AVOID"))))</f>
        <v>✗  AVOID</v>
      </c>
    </row>
    <row r="487" customFormat="false" ht="15" hidden="false" customHeight="false" outlineLevel="0" collapsed="false">
      <c r="A487" s="135" t="n">
        <v>53.2</v>
      </c>
      <c r="B487" s="136" t="n">
        <f aca="false">IF(Calculator!$E$11="YES",IF(A487&lt;Calculator!$G$11,0,MIN(MIN(MOD(A487/Calculator!$F$11,1),1-MOD(A487/Calculator!$F$11,1)),ABS(MOD(A487/Calculator!$F$11,1)-0.5))),1)</f>
        <v>0.209333333333333</v>
      </c>
      <c r="C487" s="136" t="n">
        <f aca="false">IF(Calculator!$E$12="YES",IF(A487&lt;Calculator!$G$12,0,MIN(MIN(MOD(A487/Calculator!$F$12,1),1-MOD(A487/Calculator!$F$12,1)),ABS(MOD(A487/Calculator!$F$12,1)-0.5))),1)</f>
        <v>0.137333333333333</v>
      </c>
      <c r="D487" s="136" t="n">
        <f aca="false">IF(Calculator!$E$13="YES",IF(A487&lt;Calculator!$G$13,0,MIN(MIN(MOD(A487/Calculator!$F$13,1),1-MOD(A487/Calculator!$F$13,1)),ABS(MOD(A487/Calculator!$F$13,1)-0.5))),1)</f>
        <v>0.000693333333333435</v>
      </c>
      <c r="E487" s="136" t="n">
        <f aca="false">IF(Calculator!$E$14="YES",IF(A487&lt;Calculator!$G$14,0,MIN(MIN(MOD(A487/Calculator!$F$14,1),1-MOD(A487/Calculator!$F$14,1)),ABS(MOD(A487/Calculator!$F$14,1)-0.5))),1)</f>
        <v>0.169333333333333</v>
      </c>
      <c r="F487" s="136" t="n">
        <f aca="false">IF(Calculator!$E$15="YES",IF(A487&lt;Calculator!$G$15,0,MIN(MIN(MOD(A487/Calculator!$F$15,1),1-MOD(A487/Calculator!$F$15,1)),ABS(MOD(A487/Calculator!$F$15,1)-0.5))),1)</f>
        <v>0.22</v>
      </c>
      <c r="G487" s="136" t="n">
        <f aca="false">IF(Calculator!$E$16="YES",IF(A487&lt;Calculator!$G$16,0,MIN(MIN(MOD(A487/Calculator!$F$16,1),1-MOD(A487/Calculator!$F$16,1)),ABS(MOD(A487/Calculator!$F$16,1)-0.5))),1)</f>
        <v>0.207999999999999</v>
      </c>
      <c r="H487" s="136" t="n">
        <f aca="false">IF(Calculator!$E$17="YES",IF(A487&lt;Calculator!$G$17,0,MIN(MIN(MOD(A487/Calculator!$F$17,1),1-MOD(A487/Calculator!$F$17,1)),ABS(MOD(A487/Calculator!$F$17,1)-0.5))),1)</f>
        <v>0.235946666666665</v>
      </c>
      <c r="I487" s="136" t="n">
        <f aca="false">IF(Calculator!$E$18="YES",IF(A487&lt;Calculator!$G$18,0,MIN(MIN(MOD(A487/Calculator!$F$18,1),1-MOD(A487/Calculator!$F$18,1)),ABS(MOD(A487/Calculator!$F$18,1)-0.5))),1)</f>
        <v>0.0759999999999996</v>
      </c>
      <c r="J487" s="136" t="n">
        <f aca="false">IF(Calculator!$E$19="YES",IF(A487&lt;Calculator!$G$19,0,MIN(MIN(MOD(A487/Calculator!$F$19,1),1-MOD(A487/Calculator!$F$19,1)),ABS(MOD(A487/Calculator!$F$19,1)-0.5))),1)</f>
        <v>0.189066666666667</v>
      </c>
      <c r="K487" s="136" t="n">
        <f aca="false">IF(Calculator!$E$20="YES",IF(A487&lt;Calculator!$G$20,0,MIN(MIN(MOD(A487/Calculator!$F$20,1),1-MOD(A487/Calculator!$F$20,1)),ABS(MOD(A487/Calculator!$F$20,1)-0.5))),1)</f>
        <v>0.229333333333333</v>
      </c>
      <c r="L487" s="136" t="n">
        <f aca="false">IF(Calculator!$E$21="YES",IF(A487&lt;Calculator!$G$21,0,MIN(MIN(MOD(A487/Calculator!$F$21,1),1-MOD(A487/Calculator!$F$21,1)),ABS(MOD(A487/Calculator!$F$21,1)-0.5))),1)</f>
        <v>0.086666666666666</v>
      </c>
      <c r="M487" s="136" t="n">
        <f aca="false">MIN(B487:L487)</f>
        <v>0.000693333333333435</v>
      </c>
      <c r="N487" s="136" t="n">
        <f aca="false">SUMPRODUCT(($M$5:$M$555&gt;M487)*1)+SUMPRODUCT(($M$5:$M$555=M487)*(ROW($M$5:$M$555)&lt;ROW(M487)))+1</f>
        <v>220</v>
      </c>
      <c r="O487" s="136" t="str">
        <f aca="false">IF(M487&gt;=0.2,"★★★ EXCELLENT",IF(M487&gt;=0.12,"★★  GOOD",IF(M487&gt;=0.07,"★  FAIR",IF(M487&gt;=0.025,"⚠  MARGINAL","✗  AVOID"))))</f>
        <v>✗  AVOID</v>
      </c>
    </row>
    <row r="488" customFormat="false" ht="15" hidden="false" customHeight="false" outlineLevel="0" collapsed="false">
      <c r="A488" s="137" t="n">
        <v>53.3</v>
      </c>
      <c r="B488" s="138" t="n">
        <f aca="false">IF(Calculator!$E$11="YES",IF(A488&lt;Calculator!$G$11,0,MIN(MIN(MOD(A488/Calculator!$F$11,1),1-MOD(A488/Calculator!$F$11,1)),ABS(MOD(A488/Calculator!$F$11,1)-0.5))),1)</f>
        <v>0.210666666666667</v>
      </c>
      <c r="C488" s="138" t="n">
        <f aca="false">IF(Calculator!$E$12="YES",IF(A488&lt;Calculator!$G$12,0,MIN(MIN(MOD(A488/Calculator!$F$12,1),1-MOD(A488/Calculator!$F$12,1)),ABS(MOD(A488/Calculator!$F$12,1)-0.5))),1)</f>
        <v>0.134771929824562</v>
      </c>
      <c r="D488" s="138" t="n">
        <f aca="false">IF(Calculator!$E$13="YES",IF(A488&lt;Calculator!$G$13,0,MIN(MIN(MOD(A488/Calculator!$F$13,1),1-MOD(A488/Calculator!$F$13,1)),ABS(MOD(A488/Calculator!$F$13,1)-0.5))),1)</f>
        <v>0.00445403508771891</v>
      </c>
      <c r="E488" s="138" t="n">
        <f aca="false">IF(Calculator!$E$14="YES",IF(A488&lt;Calculator!$G$14,0,MIN(MIN(MOD(A488/Calculator!$F$14,1),1-MOD(A488/Calculator!$F$14,1)),ABS(MOD(A488/Calculator!$F$14,1)-0.5))),1)</f>
        <v>0.174350877192982</v>
      </c>
      <c r="F488" s="138" t="n">
        <f aca="false">IF(Calculator!$E$15="YES",IF(A488&lt;Calculator!$G$15,0,MIN(MIN(MOD(A488/Calculator!$F$15,1),1-MOD(A488/Calculator!$F$15,1)),ABS(MOD(A488/Calculator!$F$15,1)-0.5))),1)</f>
        <v>0.212894736842105</v>
      </c>
      <c r="G488" s="138" t="n">
        <f aca="false">IF(Calculator!$E$16="YES",IF(A488&lt;Calculator!$G$16,0,MIN(MIN(MOD(A488/Calculator!$F$16,1),1-MOD(A488/Calculator!$F$16,1)),ABS(MOD(A488/Calculator!$F$16,1)-0.5))),1)</f>
        <v>0.198052631578947</v>
      </c>
      <c r="H488" s="138" t="n">
        <f aca="false">IF(Calculator!$E$17="YES",IF(A488&lt;Calculator!$G$17,0,MIN(MIN(MOD(A488/Calculator!$F$17,1),1-MOD(A488/Calculator!$F$17,1)),ABS(MOD(A488/Calculator!$F$17,1)-0.5))),1)</f>
        <v>0.223232280701754</v>
      </c>
      <c r="I488" s="138" t="n">
        <f aca="false">IF(Calculator!$E$18="YES",IF(A488&lt;Calculator!$G$18,0,MIN(MIN(MOD(A488/Calculator!$F$18,1),1-MOD(A488/Calculator!$F$18,1)),ABS(MOD(A488/Calculator!$F$18,1)-0.5))),1)</f>
        <v>0.061105263157895</v>
      </c>
      <c r="J488" s="138" t="n">
        <f aca="false">IF(Calculator!$E$19="YES",IF(A488&lt;Calculator!$G$19,0,MIN(MIN(MOD(A488/Calculator!$F$19,1),1-MOD(A488/Calculator!$F$19,1)),ABS(MOD(A488/Calculator!$F$19,1)-0.5))),1)</f>
        <v>0.171564912280704</v>
      </c>
      <c r="K488" s="138" t="n">
        <f aca="false">IF(Calculator!$E$20="YES",IF(A488&lt;Calculator!$G$20,0,MIN(MIN(MOD(A488/Calculator!$F$20,1),1-MOD(A488/Calculator!$F$20,1)),ABS(MOD(A488/Calculator!$F$20,1)-0.5))),1)</f>
        <v>0.209087719298246</v>
      </c>
      <c r="L488" s="138" t="n">
        <f aca="false">IF(Calculator!$E$21="YES",IF(A488&lt;Calculator!$G$21,0,MIN(MIN(MOD(A488/Calculator!$F$21,1),1-MOD(A488/Calculator!$F$21,1)),ABS(MOD(A488/Calculator!$F$21,1)-0.5))),1)</f>
        <v>0.0501754385964937</v>
      </c>
      <c r="M488" s="138" t="n">
        <f aca="false">MIN(B488:L488)</f>
        <v>0.00445403508771891</v>
      </c>
      <c r="N488" s="138" t="n">
        <f aca="false">SUMPRODUCT(($M$5:$M$555&gt;M488)*1)+SUMPRODUCT(($M$5:$M$555=M488)*(ROW($M$5:$M$555)&lt;ROW(M488)))+1</f>
        <v>180</v>
      </c>
      <c r="O488" s="138" t="str">
        <f aca="false">IF(M488&gt;=0.2,"★★★ EXCELLENT",IF(M488&gt;=0.12,"★★  GOOD",IF(M488&gt;=0.07,"★  FAIR",IF(M488&gt;=0.025,"⚠  MARGINAL","✗  AVOID"))))</f>
        <v>✗  AVOID</v>
      </c>
    </row>
    <row r="489" customFormat="false" ht="15" hidden="false" customHeight="false" outlineLevel="0" collapsed="false">
      <c r="A489" s="135" t="n">
        <v>53.4</v>
      </c>
      <c r="B489" s="136" t="n">
        <f aca="false">IF(Calculator!$E$11="YES",IF(A489&lt;Calculator!$G$11,0,MIN(MIN(MOD(A489/Calculator!$F$11,1),1-MOD(A489/Calculator!$F$11,1)),ABS(MOD(A489/Calculator!$F$11,1)-0.5))),1)</f>
        <v>0.212</v>
      </c>
      <c r="C489" s="136" t="n">
        <f aca="false">IF(Calculator!$E$12="YES",IF(A489&lt;Calculator!$G$12,0,MIN(MIN(MOD(A489/Calculator!$F$12,1),1-MOD(A489/Calculator!$F$12,1)),ABS(MOD(A489/Calculator!$F$12,1)-0.5))),1)</f>
        <v>0.13221052631579</v>
      </c>
      <c r="D489" s="136" t="n">
        <f aca="false">IF(Calculator!$E$13="YES",IF(A489&lt;Calculator!$G$13,0,MIN(MIN(MOD(A489/Calculator!$F$13,1),1-MOD(A489/Calculator!$F$13,1)),ABS(MOD(A489/Calculator!$F$13,1)-0.5))),1)</f>
        <v>0.00821473684210528</v>
      </c>
      <c r="E489" s="136" t="n">
        <f aca="false">IF(Calculator!$E$14="YES",IF(A489&lt;Calculator!$G$14,0,MIN(MIN(MOD(A489/Calculator!$F$14,1),1-MOD(A489/Calculator!$F$14,1)),ABS(MOD(A489/Calculator!$F$14,1)-0.5))),1)</f>
        <v>0.179368421052632</v>
      </c>
      <c r="F489" s="136" t="n">
        <f aca="false">IF(Calculator!$E$15="YES",IF(A489&lt;Calculator!$G$15,0,MIN(MIN(MOD(A489/Calculator!$F$15,1),1-MOD(A489/Calculator!$F$15,1)),ABS(MOD(A489/Calculator!$F$15,1)-0.5))),1)</f>
        <v>0.205789473684211</v>
      </c>
      <c r="G489" s="136" t="n">
        <f aca="false">IF(Calculator!$E$16="YES",IF(A489&lt;Calculator!$G$16,0,MIN(MIN(MOD(A489/Calculator!$F$16,1),1-MOD(A489/Calculator!$F$16,1)),ABS(MOD(A489/Calculator!$F$16,1)-0.5))),1)</f>
        <v>0.188105263157895</v>
      </c>
      <c r="H489" s="136" t="n">
        <f aca="false">IF(Calculator!$E$17="YES",IF(A489&lt;Calculator!$G$17,0,MIN(MIN(MOD(A489/Calculator!$F$17,1),1-MOD(A489/Calculator!$F$17,1)),ABS(MOD(A489/Calculator!$F$17,1)-0.5))),1)</f>
        <v>0.210517894736841</v>
      </c>
      <c r="I489" s="136" t="n">
        <f aca="false">IF(Calculator!$E$18="YES",IF(A489&lt;Calculator!$G$18,0,MIN(MIN(MOD(A489/Calculator!$F$18,1),1-MOD(A489/Calculator!$F$18,1)),ABS(MOD(A489/Calculator!$F$18,1)-0.5))),1)</f>
        <v>0.0462105263157895</v>
      </c>
      <c r="J489" s="136" t="n">
        <f aca="false">IF(Calculator!$E$19="YES",IF(A489&lt;Calculator!$G$19,0,MIN(MIN(MOD(A489/Calculator!$F$19,1),1-MOD(A489/Calculator!$F$19,1)),ABS(MOD(A489/Calculator!$F$19,1)-0.5))),1)</f>
        <v>0.154063157894738</v>
      </c>
      <c r="K489" s="136" t="n">
        <f aca="false">IF(Calculator!$E$20="YES",IF(A489&lt;Calculator!$G$20,0,MIN(MIN(MOD(A489/Calculator!$F$20,1),1-MOD(A489/Calculator!$F$20,1)),ABS(MOD(A489/Calculator!$F$20,1)-0.5))),1)</f>
        <v>0.188842105263157</v>
      </c>
      <c r="L489" s="136" t="n">
        <f aca="false">IF(Calculator!$E$21="YES",IF(A489&lt;Calculator!$G$21,0,MIN(MIN(MOD(A489/Calculator!$F$21,1),1-MOD(A489/Calculator!$F$21,1)),ABS(MOD(A489/Calculator!$F$21,1)-0.5))),1)</f>
        <v>0.0136842105263177</v>
      </c>
      <c r="M489" s="136" t="n">
        <f aca="false">MIN(B489:L489)</f>
        <v>0.00821473684210528</v>
      </c>
      <c r="N489" s="136" t="n">
        <f aca="false">SUMPRODUCT(($M$5:$M$555&gt;M489)*1)+SUMPRODUCT(($M$5:$M$555=M489)*(ROW($M$5:$M$555)&lt;ROW(M489)))+1</f>
        <v>149</v>
      </c>
      <c r="O489" s="136" t="str">
        <f aca="false">IF(M489&gt;=0.2,"★★★ EXCELLENT",IF(M489&gt;=0.12,"★★  GOOD",IF(M489&gt;=0.07,"★  FAIR",IF(M489&gt;=0.025,"⚠  MARGINAL","✗  AVOID"))))</f>
        <v>✗  AVOID</v>
      </c>
    </row>
    <row r="490" customFormat="false" ht="15" hidden="false" customHeight="false" outlineLevel="0" collapsed="false">
      <c r="A490" s="137" t="n">
        <v>53.5</v>
      </c>
      <c r="B490" s="138" t="n">
        <f aca="false">IF(Calculator!$E$11="YES",IF(A490&lt;Calculator!$G$11,0,MIN(MIN(MOD(A490/Calculator!$F$11,1),1-MOD(A490/Calculator!$F$11,1)),ABS(MOD(A490/Calculator!$F$11,1)-0.5))),1)</f>
        <v>0.213333333333333</v>
      </c>
      <c r="C490" s="138" t="n">
        <f aca="false">IF(Calculator!$E$12="YES",IF(A490&lt;Calculator!$G$12,0,MIN(MIN(MOD(A490/Calculator!$F$12,1),1-MOD(A490/Calculator!$F$12,1)),ABS(MOD(A490/Calculator!$F$12,1)-0.5))),1)</f>
        <v>0.129649122807018</v>
      </c>
      <c r="D490" s="138" t="n">
        <f aca="false">IF(Calculator!$E$13="YES",IF(A490&lt;Calculator!$G$13,0,MIN(MIN(MOD(A490/Calculator!$F$13,1),1-MOD(A490/Calculator!$F$13,1)),ABS(MOD(A490/Calculator!$F$13,1)-0.5))),1)</f>
        <v>0.0119754385964912</v>
      </c>
      <c r="E490" s="138" t="n">
        <f aca="false">IF(Calculator!$E$14="YES",IF(A490&lt;Calculator!$G$14,0,MIN(MIN(MOD(A490/Calculator!$F$14,1),1-MOD(A490/Calculator!$F$14,1)),ABS(MOD(A490/Calculator!$F$14,1)-0.5))),1)</f>
        <v>0.184385964912281</v>
      </c>
      <c r="F490" s="138" t="n">
        <f aca="false">IF(Calculator!$E$15="YES",IF(A490&lt;Calculator!$G$15,0,MIN(MIN(MOD(A490/Calculator!$F$15,1),1-MOD(A490/Calculator!$F$15,1)),ABS(MOD(A490/Calculator!$F$15,1)-0.5))),1)</f>
        <v>0.198684210526316</v>
      </c>
      <c r="G490" s="138" t="n">
        <f aca="false">IF(Calculator!$E$16="YES",IF(A490&lt;Calculator!$G$16,0,MIN(MIN(MOD(A490/Calculator!$F$16,1),1-MOD(A490/Calculator!$F$16,1)),ABS(MOD(A490/Calculator!$F$16,1)-0.5))),1)</f>
        <v>0.178157894736842</v>
      </c>
      <c r="H490" s="138" t="n">
        <f aca="false">IF(Calculator!$E$17="YES",IF(A490&lt;Calculator!$G$17,0,MIN(MIN(MOD(A490/Calculator!$F$17,1),1-MOD(A490/Calculator!$F$17,1)),ABS(MOD(A490/Calculator!$F$17,1)-0.5))),1)</f>
        <v>0.197803508771929</v>
      </c>
      <c r="I490" s="138" t="n">
        <f aca="false">IF(Calculator!$E$18="YES",IF(A490&lt;Calculator!$G$18,0,MIN(MIN(MOD(A490/Calculator!$F$18,1),1-MOD(A490/Calculator!$F$18,1)),ABS(MOD(A490/Calculator!$F$18,1)-0.5))),1)</f>
        <v>0.031315789473684</v>
      </c>
      <c r="J490" s="138" t="n">
        <f aca="false">IF(Calculator!$E$19="YES",IF(A490&lt;Calculator!$G$19,0,MIN(MIN(MOD(A490/Calculator!$F$19,1),1-MOD(A490/Calculator!$F$19,1)),ABS(MOD(A490/Calculator!$F$19,1)-0.5))),1)</f>
        <v>0.136561403508773</v>
      </c>
      <c r="K490" s="138" t="n">
        <f aca="false">IF(Calculator!$E$20="YES",IF(A490&lt;Calculator!$G$20,0,MIN(MIN(MOD(A490/Calculator!$F$20,1),1-MOD(A490/Calculator!$F$20,1)),ABS(MOD(A490/Calculator!$F$20,1)-0.5))),1)</f>
        <v>0.168596491228071</v>
      </c>
      <c r="L490" s="138" t="n">
        <f aca="false">IF(Calculator!$E$21="YES",IF(A490&lt;Calculator!$G$21,0,MIN(MIN(MOD(A490/Calculator!$F$21,1),1-MOD(A490/Calculator!$F$21,1)),ABS(MOD(A490/Calculator!$F$21,1)-0.5))),1)</f>
        <v>0.0228070175438582</v>
      </c>
      <c r="M490" s="138" t="n">
        <f aca="false">MIN(B490:L490)</f>
        <v>0.0119754385964912</v>
      </c>
      <c r="N490" s="138" t="n">
        <f aca="false">SUMPRODUCT(($M$5:$M$555&gt;M490)*1)+SUMPRODUCT(($M$5:$M$555=M490)*(ROW($M$5:$M$555)&lt;ROW(M490)))+1</f>
        <v>120</v>
      </c>
      <c r="O490" s="138" t="str">
        <f aca="false">IF(M490&gt;=0.2,"★★★ EXCELLENT",IF(M490&gt;=0.12,"★★  GOOD",IF(M490&gt;=0.07,"★  FAIR",IF(M490&gt;=0.025,"⚠  MARGINAL","✗  AVOID"))))</f>
        <v>✗  AVOID</v>
      </c>
    </row>
    <row r="491" customFormat="false" ht="15" hidden="false" customHeight="false" outlineLevel="0" collapsed="false">
      <c r="A491" s="135" t="n">
        <v>53.6</v>
      </c>
      <c r="B491" s="136" t="n">
        <f aca="false">IF(Calculator!$E$11="YES",IF(A491&lt;Calculator!$G$11,0,MIN(MIN(MOD(A491/Calculator!$F$11,1),1-MOD(A491/Calculator!$F$11,1)),ABS(MOD(A491/Calculator!$F$11,1)-0.5))),1)</f>
        <v>0.214666666666667</v>
      </c>
      <c r="C491" s="136" t="n">
        <f aca="false">IF(Calculator!$E$12="YES",IF(A491&lt;Calculator!$G$12,0,MIN(MIN(MOD(A491/Calculator!$F$12,1),1-MOD(A491/Calculator!$F$12,1)),ABS(MOD(A491/Calculator!$F$12,1)-0.5))),1)</f>
        <v>0.127087719298246</v>
      </c>
      <c r="D491" s="136" t="n">
        <f aca="false">IF(Calculator!$E$13="YES",IF(A491&lt;Calculator!$G$13,0,MIN(MIN(MOD(A491/Calculator!$F$13,1),1-MOD(A491/Calculator!$F$13,1)),ABS(MOD(A491/Calculator!$F$13,1)-0.5))),1)</f>
        <v>0.0157361403508771</v>
      </c>
      <c r="E491" s="136" t="n">
        <f aca="false">IF(Calculator!$E$14="YES",IF(A491&lt;Calculator!$G$14,0,MIN(MIN(MOD(A491/Calculator!$F$14,1),1-MOD(A491/Calculator!$F$14,1)),ABS(MOD(A491/Calculator!$F$14,1)-0.5))),1)</f>
        <v>0.18940350877193</v>
      </c>
      <c r="F491" s="136" t="n">
        <f aca="false">IF(Calculator!$E$15="YES",IF(A491&lt;Calculator!$G$15,0,MIN(MIN(MOD(A491/Calculator!$F$15,1),1-MOD(A491/Calculator!$F$15,1)),ABS(MOD(A491/Calculator!$F$15,1)-0.5))),1)</f>
        <v>0.191578947368421</v>
      </c>
      <c r="G491" s="136" t="n">
        <f aca="false">IF(Calculator!$E$16="YES",IF(A491&lt;Calculator!$G$16,0,MIN(MIN(MOD(A491/Calculator!$F$16,1),1-MOD(A491/Calculator!$F$16,1)),ABS(MOD(A491/Calculator!$F$16,1)-0.5))),1)</f>
        <v>0.168210526315788</v>
      </c>
      <c r="H491" s="136" t="n">
        <f aca="false">IF(Calculator!$E$17="YES",IF(A491&lt;Calculator!$G$17,0,MIN(MIN(MOD(A491/Calculator!$F$17,1),1-MOD(A491/Calculator!$F$17,1)),ABS(MOD(A491/Calculator!$F$17,1)-0.5))),1)</f>
        <v>0.185089122807017</v>
      </c>
      <c r="I491" s="136" t="n">
        <f aca="false">IF(Calculator!$E$18="YES",IF(A491&lt;Calculator!$G$18,0,MIN(MIN(MOD(A491/Calculator!$F$18,1),1-MOD(A491/Calculator!$F$18,1)),ABS(MOD(A491/Calculator!$F$18,1)-0.5))),1)</f>
        <v>0.0164210526315784</v>
      </c>
      <c r="J491" s="136" t="n">
        <f aca="false">IF(Calculator!$E$19="YES",IF(A491&lt;Calculator!$G$19,0,MIN(MIN(MOD(A491/Calculator!$F$19,1),1-MOD(A491/Calculator!$F$19,1)),ABS(MOD(A491/Calculator!$F$19,1)-0.5))),1)</f>
        <v>0.119059649122809</v>
      </c>
      <c r="K491" s="136" t="n">
        <f aca="false">IF(Calculator!$E$20="YES",IF(A491&lt;Calculator!$G$20,0,MIN(MIN(MOD(A491/Calculator!$F$20,1),1-MOD(A491/Calculator!$F$20,1)),ABS(MOD(A491/Calculator!$F$20,1)-0.5))),1)</f>
        <v>0.148350877192982</v>
      </c>
      <c r="L491" s="136" t="n">
        <f aca="false">IF(Calculator!$E$21="YES",IF(A491&lt;Calculator!$G$21,0,MIN(MIN(MOD(A491/Calculator!$F$21,1),1-MOD(A491/Calculator!$F$21,1)),ABS(MOD(A491/Calculator!$F$21,1)-0.5))),1)</f>
        <v>0.0592982456140341</v>
      </c>
      <c r="M491" s="136" t="n">
        <f aca="false">MIN(B491:L491)</f>
        <v>0.0157361403508771</v>
      </c>
      <c r="N491" s="136" t="n">
        <f aca="false">SUMPRODUCT(($M$5:$M$555&gt;M491)*1)+SUMPRODUCT(($M$5:$M$555=M491)*(ROW($M$5:$M$555)&lt;ROW(M491)))+1</f>
        <v>100</v>
      </c>
      <c r="O491" s="136" t="str">
        <f aca="false">IF(M491&gt;=0.2,"★★★ EXCELLENT",IF(M491&gt;=0.12,"★★  GOOD",IF(M491&gt;=0.07,"★  FAIR",IF(M491&gt;=0.025,"⚠  MARGINAL","✗  AVOID"))))</f>
        <v>✗  AVOID</v>
      </c>
    </row>
    <row r="492" customFormat="false" ht="15" hidden="false" customHeight="false" outlineLevel="0" collapsed="false">
      <c r="A492" s="137" t="n">
        <v>53.7</v>
      </c>
      <c r="B492" s="138" t="n">
        <f aca="false">IF(Calculator!$E$11="YES",IF(A492&lt;Calculator!$G$11,0,MIN(MIN(MOD(A492/Calculator!$F$11,1),1-MOD(A492/Calculator!$F$11,1)),ABS(MOD(A492/Calculator!$F$11,1)-0.5))),1)</f>
        <v>0.216</v>
      </c>
      <c r="C492" s="138" t="n">
        <f aca="false">IF(Calculator!$E$12="YES",IF(A492&lt;Calculator!$G$12,0,MIN(MIN(MOD(A492/Calculator!$F$12,1),1-MOD(A492/Calculator!$F$12,1)),ABS(MOD(A492/Calculator!$F$12,1)-0.5))),1)</f>
        <v>0.124526315789474</v>
      </c>
      <c r="D492" s="138" t="n">
        <f aca="false">IF(Calculator!$E$13="YES",IF(A492&lt;Calculator!$G$13,0,MIN(MIN(MOD(A492/Calculator!$F$13,1),1-MOD(A492/Calculator!$F$13,1)),ABS(MOD(A492/Calculator!$F$13,1)-0.5))),1)</f>
        <v>0.019496842105263</v>
      </c>
      <c r="E492" s="138" t="n">
        <f aca="false">IF(Calculator!$E$14="YES",IF(A492&lt;Calculator!$G$14,0,MIN(MIN(MOD(A492/Calculator!$F$14,1),1-MOD(A492/Calculator!$F$14,1)),ABS(MOD(A492/Calculator!$F$14,1)-0.5))),1)</f>
        <v>0.194421052631579</v>
      </c>
      <c r="F492" s="138" t="n">
        <f aca="false">IF(Calculator!$E$15="YES",IF(A492&lt;Calculator!$G$15,0,MIN(MIN(MOD(A492/Calculator!$F$15,1),1-MOD(A492/Calculator!$F$15,1)),ABS(MOD(A492/Calculator!$F$15,1)-0.5))),1)</f>
        <v>0.184473684210526</v>
      </c>
      <c r="G492" s="138" t="n">
        <f aca="false">IF(Calculator!$E$16="YES",IF(A492&lt;Calculator!$G$16,0,MIN(MIN(MOD(A492/Calculator!$F$16,1),1-MOD(A492/Calculator!$F$16,1)),ABS(MOD(A492/Calculator!$F$16,1)-0.5))),1)</f>
        <v>0.158263157894736</v>
      </c>
      <c r="H492" s="138" t="n">
        <f aca="false">IF(Calculator!$E$17="YES",IF(A492&lt;Calculator!$G$17,0,MIN(MIN(MOD(A492/Calculator!$F$17,1),1-MOD(A492/Calculator!$F$17,1)),ABS(MOD(A492/Calculator!$F$17,1)-0.5))),1)</f>
        <v>0.172374736842104</v>
      </c>
      <c r="I492" s="138" t="n">
        <f aca="false">IF(Calculator!$E$18="YES",IF(A492&lt;Calculator!$G$18,0,MIN(MIN(MOD(A492/Calculator!$F$18,1),1-MOD(A492/Calculator!$F$18,1)),ABS(MOD(A492/Calculator!$F$18,1)-0.5))),1)</f>
        <v>0.00152631578947293</v>
      </c>
      <c r="J492" s="138" t="n">
        <f aca="false">IF(Calculator!$E$19="YES",IF(A492&lt;Calculator!$G$19,0,MIN(MIN(MOD(A492/Calculator!$F$19,1),1-MOD(A492/Calculator!$F$19,1)),ABS(MOD(A492/Calculator!$F$19,1)-0.5))),1)</f>
        <v>0.101557894736843</v>
      </c>
      <c r="K492" s="138" t="n">
        <f aca="false">IF(Calculator!$E$20="YES",IF(A492&lt;Calculator!$G$20,0,MIN(MIN(MOD(A492/Calculator!$F$20,1),1-MOD(A492/Calculator!$F$20,1)),ABS(MOD(A492/Calculator!$F$20,1)-0.5))),1)</f>
        <v>0.128105263157895</v>
      </c>
      <c r="L492" s="138" t="n">
        <f aca="false">IF(Calculator!$E$21="YES",IF(A492&lt;Calculator!$G$21,0,MIN(MIN(MOD(A492/Calculator!$F$21,1),1-MOD(A492/Calculator!$F$21,1)),ABS(MOD(A492/Calculator!$F$21,1)-0.5))),1)</f>
        <v>0.09578947368421</v>
      </c>
      <c r="M492" s="138" t="n">
        <f aca="false">MIN(B492:L492)</f>
        <v>0.00152631578947293</v>
      </c>
      <c r="N492" s="138" t="n">
        <f aca="false">SUMPRODUCT(($M$5:$M$555&gt;M492)*1)+SUMPRODUCT(($M$5:$M$555=M492)*(ROW($M$5:$M$555)&lt;ROW(M492)))+1</f>
        <v>206</v>
      </c>
      <c r="O492" s="138" t="str">
        <f aca="false">IF(M492&gt;=0.2,"★★★ EXCELLENT",IF(M492&gt;=0.12,"★★  GOOD",IF(M492&gt;=0.07,"★  FAIR",IF(M492&gt;=0.025,"⚠  MARGINAL","✗  AVOID"))))</f>
        <v>✗  AVOID</v>
      </c>
    </row>
    <row r="493" customFormat="false" ht="15" hidden="false" customHeight="false" outlineLevel="0" collapsed="false">
      <c r="A493" s="135" t="n">
        <v>53.8</v>
      </c>
      <c r="B493" s="136" t="n">
        <f aca="false">IF(Calculator!$E$11="YES",IF(A493&lt;Calculator!$G$11,0,MIN(MIN(MOD(A493/Calculator!$F$11,1),1-MOD(A493/Calculator!$F$11,1)),ABS(MOD(A493/Calculator!$F$11,1)-0.5))),1)</f>
        <v>0.217333333333333</v>
      </c>
      <c r="C493" s="136" t="n">
        <f aca="false">IF(Calculator!$E$12="YES",IF(A493&lt;Calculator!$G$12,0,MIN(MIN(MOD(A493/Calculator!$F$12,1),1-MOD(A493/Calculator!$F$12,1)),ABS(MOD(A493/Calculator!$F$12,1)-0.5))),1)</f>
        <v>0.121964912280702</v>
      </c>
      <c r="D493" s="136" t="n">
        <f aca="false">IF(Calculator!$E$13="YES",IF(A493&lt;Calculator!$G$13,0,MIN(MIN(MOD(A493/Calculator!$F$13,1),1-MOD(A493/Calculator!$F$13,1)),ABS(MOD(A493/Calculator!$F$13,1)-0.5))),1)</f>
        <v>0.023257543859649</v>
      </c>
      <c r="E493" s="136" t="n">
        <f aca="false">IF(Calculator!$E$14="YES",IF(A493&lt;Calculator!$G$14,0,MIN(MIN(MOD(A493/Calculator!$F$14,1),1-MOD(A493/Calculator!$F$14,1)),ABS(MOD(A493/Calculator!$F$14,1)-0.5))),1)</f>
        <v>0.199438596491228</v>
      </c>
      <c r="F493" s="136" t="n">
        <f aca="false">IF(Calculator!$E$15="YES",IF(A493&lt;Calculator!$G$15,0,MIN(MIN(MOD(A493/Calculator!$F$15,1),1-MOD(A493/Calculator!$F$15,1)),ABS(MOD(A493/Calculator!$F$15,1)-0.5))),1)</f>
        <v>0.177368421052632</v>
      </c>
      <c r="G493" s="136" t="n">
        <f aca="false">IF(Calculator!$E$16="YES",IF(A493&lt;Calculator!$G$16,0,MIN(MIN(MOD(A493/Calculator!$F$16,1),1-MOD(A493/Calculator!$F$16,1)),ABS(MOD(A493/Calculator!$F$16,1)-0.5))),1)</f>
        <v>0.148315789473684</v>
      </c>
      <c r="H493" s="136" t="n">
        <f aca="false">IF(Calculator!$E$17="YES",IF(A493&lt;Calculator!$G$17,0,MIN(MIN(MOD(A493/Calculator!$F$17,1),1-MOD(A493/Calculator!$F$17,1)),ABS(MOD(A493/Calculator!$F$17,1)-0.5))),1)</f>
        <v>0.159660350877193</v>
      </c>
      <c r="I493" s="136" t="n">
        <f aca="false">IF(Calculator!$E$18="YES",IF(A493&lt;Calculator!$G$18,0,MIN(MIN(MOD(A493/Calculator!$F$18,1),1-MOD(A493/Calculator!$F$18,1)),ABS(MOD(A493/Calculator!$F$18,1)-0.5))),1)</f>
        <v>0.0133684210526308</v>
      </c>
      <c r="J493" s="136" t="n">
        <f aca="false">IF(Calculator!$E$19="YES",IF(A493&lt;Calculator!$G$19,0,MIN(MIN(MOD(A493/Calculator!$F$19,1),1-MOD(A493/Calculator!$F$19,1)),ABS(MOD(A493/Calculator!$F$19,1)-0.5))),1)</f>
        <v>0.0840561403508797</v>
      </c>
      <c r="K493" s="136" t="n">
        <f aca="false">IF(Calculator!$E$20="YES",IF(A493&lt;Calculator!$G$20,0,MIN(MIN(MOD(A493/Calculator!$F$20,1),1-MOD(A493/Calculator!$F$20,1)),ABS(MOD(A493/Calculator!$F$20,1)-0.5))),1)</f>
        <v>0.107859649122808</v>
      </c>
      <c r="L493" s="136" t="n">
        <f aca="false">IF(Calculator!$E$21="YES",IF(A493&lt;Calculator!$G$21,0,MIN(MIN(MOD(A493/Calculator!$F$21,1),1-MOD(A493/Calculator!$F$21,1)),ABS(MOD(A493/Calculator!$F$21,1)-0.5))),1)</f>
        <v>0.132280701754386</v>
      </c>
      <c r="M493" s="136" t="n">
        <f aca="false">MIN(B493:L493)</f>
        <v>0.0133684210526308</v>
      </c>
      <c r="N493" s="136" t="n">
        <f aca="false">SUMPRODUCT(($M$5:$M$555&gt;M493)*1)+SUMPRODUCT(($M$5:$M$555=M493)*(ROW($M$5:$M$555)&lt;ROW(M493)))+1</f>
        <v>115</v>
      </c>
      <c r="O493" s="136" t="str">
        <f aca="false">IF(M493&gt;=0.2,"★★★ EXCELLENT",IF(M493&gt;=0.12,"★★  GOOD",IF(M493&gt;=0.07,"★  FAIR",IF(M493&gt;=0.025,"⚠  MARGINAL","✗  AVOID"))))</f>
        <v>✗  AVOID</v>
      </c>
    </row>
    <row r="494" customFormat="false" ht="15" hidden="false" customHeight="false" outlineLevel="0" collapsed="false">
      <c r="A494" s="137" t="n">
        <v>53.9</v>
      </c>
      <c r="B494" s="138" t="n">
        <f aca="false">IF(Calculator!$E$11="YES",IF(A494&lt;Calculator!$G$11,0,MIN(MIN(MOD(A494/Calculator!$F$11,1),1-MOD(A494/Calculator!$F$11,1)),ABS(MOD(A494/Calculator!$F$11,1)-0.5))),1)</f>
        <v>0.218666666666667</v>
      </c>
      <c r="C494" s="138" t="n">
        <f aca="false">IF(Calculator!$E$12="YES",IF(A494&lt;Calculator!$G$12,0,MIN(MIN(MOD(A494/Calculator!$F$12,1),1-MOD(A494/Calculator!$F$12,1)),ABS(MOD(A494/Calculator!$F$12,1)-0.5))),1)</f>
        <v>0.11940350877193</v>
      </c>
      <c r="D494" s="138" t="n">
        <f aca="false">IF(Calculator!$E$13="YES",IF(A494&lt;Calculator!$G$13,0,MIN(MIN(MOD(A494/Calculator!$F$13,1),1-MOD(A494/Calculator!$F$13,1)),ABS(MOD(A494/Calculator!$F$13,1)-0.5))),1)</f>
        <v>0.0270182456140349</v>
      </c>
      <c r="E494" s="138" t="n">
        <f aca="false">IF(Calculator!$E$14="YES",IF(A494&lt;Calculator!$G$14,0,MIN(MIN(MOD(A494/Calculator!$F$14,1),1-MOD(A494/Calculator!$F$14,1)),ABS(MOD(A494/Calculator!$F$14,1)-0.5))),1)</f>
        <v>0.204456140350877</v>
      </c>
      <c r="F494" s="138" t="n">
        <f aca="false">IF(Calculator!$E$15="YES",IF(A494&lt;Calculator!$G$15,0,MIN(MIN(MOD(A494/Calculator!$F$15,1),1-MOD(A494/Calculator!$F$15,1)),ABS(MOD(A494/Calculator!$F$15,1)-0.5))),1)</f>
        <v>0.170263157894737</v>
      </c>
      <c r="G494" s="138" t="n">
        <f aca="false">IF(Calculator!$E$16="YES",IF(A494&lt;Calculator!$G$16,0,MIN(MIN(MOD(A494/Calculator!$F$16,1),1-MOD(A494/Calculator!$F$16,1)),ABS(MOD(A494/Calculator!$F$16,1)-0.5))),1)</f>
        <v>0.138368421052632</v>
      </c>
      <c r="H494" s="138" t="n">
        <f aca="false">IF(Calculator!$E$17="YES",IF(A494&lt;Calculator!$G$17,0,MIN(MIN(MOD(A494/Calculator!$F$17,1),1-MOD(A494/Calculator!$F$17,1)),ABS(MOD(A494/Calculator!$F$17,1)-0.5))),1)</f>
        <v>0.14694596491228</v>
      </c>
      <c r="I494" s="138" t="n">
        <f aca="false">IF(Calculator!$E$18="YES",IF(A494&lt;Calculator!$G$18,0,MIN(MIN(MOD(A494/Calculator!$F$18,1),1-MOD(A494/Calculator!$F$18,1)),ABS(MOD(A494/Calculator!$F$18,1)-0.5))),1)</f>
        <v>0.0282631578947363</v>
      </c>
      <c r="J494" s="138" t="n">
        <f aca="false">IF(Calculator!$E$19="YES",IF(A494&lt;Calculator!$G$19,0,MIN(MIN(MOD(A494/Calculator!$F$19,1),1-MOD(A494/Calculator!$F$19,1)),ABS(MOD(A494/Calculator!$F$19,1)-0.5))),1)</f>
        <v>0.0665543859649134</v>
      </c>
      <c r="K494" s="138" t="n">
        <f aca="false">IF(Calculator!$E$20="YES",IF(A494&lt;Calculator!$G$20,0,MIN(MIN(MOD(A494/Calculator!$F$20,1),1-MOD(A494/Calculator!$F$20,1)),ABS(MOD(A494/Calculator!$F$20,1)-0.5))),1)</f>
        <v>0.0876140350877197</v>
      </c>
      <c r="L494" s="138" t="n">
        <f aca="false">IF(Calculator!$E$21="YES",IF(A494&lt;Calculator!$G$21,0,MIN(MIN(MOD(A494/Calculator!$F$21,1),1-MOD(A494/Calculator!$F$21,1)),ABS(MOD(A494/Calculator!$F$21,1)-0.5))),1)</f>
        <v>0.168771929824562</v>
      </c>
      <c r="M494" s="138" t="n">
        <f aca="false">MIN(B494:L494)</f>
        <v>0.0270182456140349</v>
      </c>
      <c r="N494" s="138" t="n">
        <f aca="false">SUMPRODUCT(($M$5:$M$555&gt;M494)*1)+SUMPRODUCT(($M$5:$M$555=M494)*(ROW($M$5:$M$555)&lt;ROW(M494)))+1</f>
        <v>56</v>
      </c>
      <c r="O494" s="138" t="str">
        <f aca="false">IF(M494&gt;=0.2,"★★★ EXCELLENT",IF(M494&gt;=0.12,"★★  GOOD",IF(M494&gt;=0.07,"★  FAIR",IF(M494&gt;=0.025,"⚠  MARGINAL","✗  AVOID"))))</f>
        <v>⚠  MARGINAL</v>
      </c>
    </row>
    <row r="495" customFormat="false" ht="15" hidden="false" customHeight="false" outlineLevel="0" collapsed="false">
      <c r="A495" s="135" t="n">
        <v>54</v>
      </c>
      <c r="B495" s="136" t="n">
        <f aca="false">IF(Calculator!$E$11="YES",IF(A495&lt;Calculator!$G$11,0,MIN(MIN(MOD(A495/Calculator!$F$11,1),1-MOD(A495/Calculator!$F$11,1)),ABS(MOD(A495/Calculator!$F$11,1)-0.5))),1)</f>
        <v>0.22</v>
      </c>
      <c r="C495" s="136" t="n">
        <f aca="false">IF(Calculator!$E$12="YES",IF(A495&lt;Calculator!$G$12,0,MIN(MIN(MOD(A495/Calculator!$F$12,1),1-MOD(A495/Calculator!$F$12,1)),ABS(MOD(A495/Calculator!$F$12,1)-0.5))),1)</f>
        <v>0.116842105263158</v>
      </c>
      <c r="D495" s="136" t="n">
        <f aca="false">IF(Calculator!$E$13="YES",IF(A495&lt;Calculator!$G$13,0,MIN(MIN(MOD(A495/Calculator!$F$13,1),1-MOD(A495/Calculator!$F$13,1)),ABS(MOD(A495/Calculator!$F$13,1)-0.5))),1)</f>
        <v>0.0307789473684208</v>
      </c>
      <c r="E495" s="136" t="n">
        <f aca="false">IF(Calculator!$E$14="YES",IF(A495&lt;Calculator!$G$14,0,MIN(MIN(MOD(A495/Calculator!$F$14,1),1-MOD(A495/Calculator!$F$14,1)),ABS(MOD(A495/Calculator!$F$14,1)-0.5))),1)</f>
        <v>0.209473684210526</v>
      </c>
      <c r="F495" s="136" t="n">
        <f aca="false">IF(Calculator!$E$15="YES",IF(A495&lt;Calculator!$G$15,0,MIN(MIN(MOD(A495/Calculator!$F$15,1),1-MOD(A495/Calculator!$F$15,1)),ABS(MOD(A495/Calculator!$F$15,1)-0.5))),1)</f>
        <v>0.163157894736842</v>
      </c>
      <c r="G495" s="136" t="n">
        <f aca="false">IF(Calculator!$E$16="YES",IF(A495&lt;Calculator!$G$16,0,MIN(MIN(MOD(A495/Calculator!$F$16,1),1-MOD(A495/Calculator!$F$16,1)),ABS(MOD(A495/Calculator!$F$16,1)-0.5))),1)</f>
        <v>0.128421052631579</v>
      </c>
      <c r="H495" s="136" t="n">
        <f aca="false">IF(Calculator!$E$17="YES",IF(A495&lt;Calculator!$G$17,0,MIN(MIN(MOD(A495/Calculator!$F$17,1),1-MOD(A495/Calculator!$F$17,1)),ABS(MOD(A495/Calculator!$F$17,1)-0.5))),1)</f>
        <v>0.134231578947368</v>
      </c>
      <c r="I495" s="136" t="n">
        <f aca="false">IF(Calculator!$E$18="YES",IF(A495&lt;Calculator!$G$18,0,MIN(MIN(MOD(A495/Calculator!$F$18,1),1-MOD(A495/Calculator!$F$18,1)),ABS(MOD(A495/Calculator!$F$18,1)-0.5))),1)</f>
        <v>0.0431578947368418</v>
      </c>
      <c r="J495" s="136" t="n">
        <f aca="false">IF(Calculator!$E$19="YES",IF(A495&lt;Calculator!$G$19,0,MIN(MIN(MOD(A495/Calculator!$F$19,1),1-MOD(A495/Calculator!$F$19,1)),ABS(MOD(A495/Calculator!$F$19,1)-0.5))),1)</f>
        <v>0.0490526315789488</v>
      </c>
      <c r="K495" s="136" t="n">
        <f aca="false">IF(Calculator!$E$20="YES",IF(A495&lt;Calculator!$G$20,0,MIN(MIN(MOD(A495/Calculator!$F$20,1),1-MOD(A495/Calculator!$F$20,1)),ABS(MOD(A495/Calculator!$F$20,1)-0.5))),1)</f>
        <v>0.0673684210526311</v>
      </c>
      <c r="L495" s="136" t="n">
        <f aca="false">IF(Calculator!$E$21="YES",IF(A495&lt;Calculator!$G$21,0,MIN(MIN(MOD(A495/Calculator!$F$21,1),1-MOD(A495/Calculator!$F$21,1)),ABS(MOD(A495/Calculator!$F$21,1)-0.5))),1)</f>
        <v>0.205263157894738</v>
      </c>
      <c r="M495" s="136" t="n">
        <f aca="false">MIN(B495:L495)</f>
        <v>0.0307789473684208</v>
      </c>
      <c r="N495" s="136" t="n">
        <f aca="false">SUMPRODUCT(($M$5:$M$555&gt;M495)*1)+SUMPRODUCT(($M$5:$M$555=M495)*(ROW($M$5:$M$555)&lt;ROW(M495)))+1</f>
        <v>45</v>
      </c>
      <c r="O495" s="136" t="str">
        <f aca="false">IF(M495&gt;=0.2,"★★★ EXCELLENT",IF(M495&gt;=0.12,"★★  GOOD",IF(M495&gt;=0.07,"★  FAIR",IF(M495&gt;=0.025,"⚠  MARGINAL","✗  AVOID"))))</f>
        <v>⚠  MARGINAL</v>
      </c>
    </row>
    <row r="496" customFormat="false" ht="15" hidden="false" customHeight="false" outlineLevel="0" collapsed="false">
      <c r="A496" s="137" t="n">
        <v>54.1</v>
      </c>
      <c r="B496" s="138" t="n">
        <f aca="false">IF(Calculator!$E$11="YES",IF(A496&lt;Calculator!$G$11,0,MIN(MIN(MOD(A496/Calculator!$F$11,1),1-MOD(A496/Calculator!$F$11,1)),ABS(MOD(A496/Calculator!$F$11,1)-0.5))),1)</f>
        <v>0.221333333333333</v>
      </c>
      <c r="C496" s="138" t="n">
        <f aca="false">IF(Calculator!$E$12="YES",IF(A496&lt;Calculator!$G$12,0,MIN(MIN(MOD(A496/Calculator!$F$12,1),1-MOD(A496/Calculator!$F$12,1)),ABS(MOD(A496/Calculator!$F$12,1)-0.5))),1)</f>
        <v>0.114280701754386</v>
      </c>
      <c r="D496" s="138" t="n">
        <f aca="false">IF(Calculator!$E$13="YES",IF(A496&lt;Calculator!$G$13,0,MIN(MIN(MOD(A496/Calculator!$F$13,1),1-MOD(A496/Calculator!$F$13,1)),ABS(MOD(A496/Calculator!$F$13,1)-0.5))),1)</f>
        <v>0.0345396491228072</v>
      </c>
      <c r="E496" s="138" t="n">
        <f aca="false">IF(Calculator!$E$14="YES",IF(A496&lt;Calculator!$G$14,0,MIN(MIN(MOD(A496/Calculator!$F$14,1),1-MOD(A496/Calculator!$F$14,1)),ABS(MOD(A496/Calculator!$F$14,1)-0.5))),1)</f>
        <v>0.214491228070175</v>
      </c>
      <c r="F496" s="138" t="n">
        <f aca="false">IF(Calculator!$E$15="YES",IF(A496&lt;Calculator!$G$15,0,MIN(MIN(MOD(A496/Calculator!$F$15,1),1-MOD(A496/Calculator!$F$15,1)),ABS(MOD(A496/Calculator!$F$15,1)-0.5))),1)</f>
        <v>0.156052631578947</v>
      </c>
      <c r="G496" s="138" t="n">
        <f aca="false">IF(Calculator!$E$16="YES",IF(A496&lt;Calculator!$G$16,0,MIN(MIN(MOD(A496/Calculator!$F$16,1),1-MOD(A496/Calculator!$F$16,1)),ABS(MOD(A496/Calculator!$F$16,1)-0.5))),1)</f>
        <v>0.118473684210525</v>
      </c>
      <c r="H496" s="138" t="n">
        <f aca="false">IF(Calculator!$E$17="YES",IF(A496&lt;Calculator!$G$17,0,MIN(MIN(MOD(A496/Calculator!$F$17,1),1-MOD(A496/Calculator!$F$17,1)),ABS(MOD(A496/Calculator!$F$17,1)-0.5))),1)</f>
        <v>0.121517192982455</v>
      </c>
      <c r="I496" s="138" t="n">
        <f aca="false">IF(Calculator!$E$18="YES",IF(A496&lt;Calculator!$G$18,0,MIN(MIN(MOD(A496/Calculator!$F$18,1),1-MOD(A496/Calculator!$F$18,1)),ABS(MOD(A496/Calculator!$F$18,1)-0.5))),1)</f>
        <v>0.0580526315789474</v>
      </c>
      <c r="J496" s="138" t="n">
        <f aca="false">IF(Calculator!$E$19="YES",IF(A496&lt;Calculator!$G$19,0,MIN(MIN(MOD(A496/Calculator!$F$19,1),1-MOD(A496/Calculator!$F$19,1)),ABS(MOD(A496/Calculator!$F$19,1)-0.5))),1)</f>
        <v>0.0315508771929842</v>
      </c>
      <c r="K496" s="138" t="n">
        <f aca="false">IF(Calculator!$E$20="YES",IF(A496&lt;Calculator!$G$20,0,MIN(MIN(MOD(A496/Calculator!$F$20,1),1-MOD(A496/Calculator!$F$20,1)),ABS(MOD(A496/Calculator!$F$20,1)-0.5))),1)</f>
        <v>0.0471228070175442</v>
      </c>
      <c r="L496" s="138" t="n">
        <f aca="false">IF(Calculator!$E$21="YES",IF(A496&lt;Calculator!$G$21,0,MIN(MIN(MOD(A496/Calculator!$F$21,1),1-MOD(A496/Calculator!$F$21,1)),ABS(MOD(A496/Calculator!$F$21,1)-0.5))),1)</f>
        <v>0.241754385964914</v>
      </c>
      <c r="M496" s="138" t="n">
        <f aca="false">MIN(B496:L496)</f>
        <v>0.0315508771929842</v>
      </c>
      <c r="N496" s="138" t="n">
        <f aca="false">SUMPRODUCT(($M$5:$M$555&gt;M496)*1)+SUMPRODUCT(($M$5:$M$555=M496)*(ROW($M$5:$M$555)&lt;ROW(M496)))+1</f>
        <v>42</v>
      </c>
      <c r="O496" s="138" t="str">
        <f aca="false">IF(M496&gt;=0.2,"★★★ EXCELLENT",IF(M496&gt;=0.12,"★★  GOOD",IF(M496&gt;=0.07,"★  FAIR",IF(M496&gt;=0.025,"⚠  MARGINAL","✗  AVOID"))))</f>
        <v>⚠  MARGINAL</v>
      </c>
    </row>
    <row r="497" customFormat="false" ht="15" hidden="false" customHeight="false" outlineLevel="0" collapsed="false">
      <c r="A497" s="135" t="n">
        <v>54.2</v>
      </c>
      <c r="B497" s="136" t="n">
        <f aca="false">IF(Calculator!$E$11="YES",IF(A497&lt;Calculator!$G$11,0,MIN(MIN(MOD(A497/Calculator!$F$11,1),1-MOD(A497/Calculator!$F$11,1)),ABS(MOD(A497/Calculator!$F$11,1)-0.5))),1)</f>
        <v>0.222666666666667</v>
      </c>
      <c r="C497" s="136" t="n">
        <f aca="false">IF(Calculator!$E$12="YES",IF(A497&lt;Calculator!$G$12,0,MIN(MIN(MOD(A497/Calculator!$F$12,1),1-MOD(A497/Calculator!$F$12,1)),ABS(MOD(A497/Calculator!$F$12,1)-0.5))),1)</f>
        <v>0.111719298245614</v>
      </c>
      <c r="D497" s="136" t="n">
        <f aca="false">IF(Calculator!$E$13="YES",IF(A497&lt;Calculator!$G$13,0,MIN(MIN(MOD(A497/Calculator!$F$13,1),1-MOD(A497/Calculator!$F$13,1)),ABS(MOD(A497/Calculator!$F$13,1)-0.5))),1)</f>
        <v>0.0383003508771931</v>
      </c>
      <c r="E497" s="136" t="n">
        <f aca="false">IF(Calculator!$E$14="YES",IF(A497&lt;Calculator!$G$14,0,MIN(MIN(MOD(A497/Calculator!$F$14,1),1-MOD(A497/Calculator!$F$14,1)),ABS(MOD(A497/Calculator!$F$14,1)-0.5))),1)</f>
        <v>0.219508771929825</v>
      </c>
      <c r="F497" s="136" t="n">
        <f aca="false">IF(Calculator!$E$15="YES",IF(A497&lt;Calculator!$G$15,0,MIN(MIN(MOD(A497/Calculator!$F$15,1),1-MOD(A497/Calculator!$F$15,1)),ABS(MOD(A497/Calculator!$F$15,1)-0.5))),1)</f>
        <v>0.148947368421053</v>
      </c>
      <c r="G497" s="136" t="n">
        <f aca="false">IF(Calculator!$E$16="YES",IF(A497&lt;Calculator!$G$16,0,MIN(MIN(MOD(A497/Calculator!$F$16,1),1-MOD(A497/Calculator!$F$16,1)),ABS(MOD(A497/Calculator!$F$16,1)-0.5))),1)</f>
        <v>0.108526315789473</v>
      </c>
      <c r="H497" s="136" t="n">
        <f aca="false">IF(Calculator!$E$17="YES",IF(A497&lt;Calculator!$G$17,0,MIN(MIN(MOD(A497/Calculator!$F$17,1),1-MOD(A497/Calculator!$F$17,1)),ABS(MOD(A497/Calculator!$F$17,1)-0.5))),1)</f>
        <v>0.108802807017542</v>
      </c>
      <c r="I497" s="136" t="n">
        <f aca="false">IF(Calculator!$E$18="YES",IF(A497&lt;Calculator!$G$18,0,MIN(MIN(MOD(A497/Calculator!$F$18,1),1-MOD(A497/Calculator!$F$18,1)),ABS(MOD(A497/Calculator!$F$18,1)-0.5))),1)</f>
        <v>0.0729473684210529</v>
      </c>
      <c r="J497" s="136" t="n">
        <f aca="false">IF(Calculator!$E$19="YES",IF(A497&lt;Calculator!$G$19,0,MIN(MIN(MOD(A497/Calculator!$F$19,1),1-MOD(A497/Calculator!$F$19,1)),ABS(MOD(A497/Calculator!$F$19,1)-0.5))),1)</f>
        <v>0.0140491228070179</v>
      </c>
      <c r="K497" s="136" t="n">
        <f aca="false">IF(Calculator!$E$20="YES",IF(A497&lt;Calculator!$G$20,0,MIN(MIN(MOD(A497/Calculator!$F$20,1),1-MOD(A497/Calculator!$F$20,1)),ABS(MOD(A497/Calculator!$F$20,1)-0.5))),1)</f>
        <v>0.0268771929824556</v>
      </c>
      <c r="L497" s="136" t="n">
        <f aca="false">IF(Calculator!$E$21="YES",IF(A497&lt;Calculator!$G$21,0,MIN(MIN(MOD(A497/Calculator!$F$21,1),1-MOD(A497/Calculator!$F$21,1)),ABS(MOD(A497/Calculator!$F$21,1)-0.5))),1)</f>
        <v>0.22175438596491</v>
      </c>
      <c r="M497" s="136" t="n">
        <f aca="false">MIN(B497:L497)</f>
        <v>0.0140491228070179</v>
      </c>
      <c r="N497" s="136" t="n">
        <f aca="false">SUMPRODUCT(($M$5:$M$555&gt;M497)*1)+SUMPRODUCT(($M$5:$M$555=M497)*(ROW($M$5:$M$555)&lt;ROW(M497)))+1</f>
        <v>107</v>
      </c>
      <c r="O497" s="136" t="str">
        <f aca="false">IF(M497&gt;=0.2,"★★★ EXCELLENT",IF(M497&gt;=0.12,"★★  GOOD",IF(M497&gt;=0.07,"★  FAIR",IF(M497&gt;=0.025,"⚠  MARGINAL","✗  AVOID"))))</f>
        <v>✗  AVOID</v>
      </c>
    </row>
    <row r="498" customFormat="false" ht="15" hidden="false" customHeight="false" outlineLevel="0" collapsed="false">
      <c r="A498" s="137" t="n">
        <v>54.3</v>
      </c>
      <c r="B498" s="138" t="n">
        <f aca="false">IF(Calculator!$E$11="YES",IF(A498&lt;Calculator!$G$11,0,MIN(MIN(MOD(A498/Calculator!$F$11,1),1-MOD(A498/Calculator!$F$11,1)),ABS(MOD(A498/Calculator!$F$11,1)-0.5))),1)</f>
        <v>0.224</v>
      </c>
      <c r="C498" s="138" t="n">
        <f aca="false">IF(Calculator!$E$12="YES",IF(A498&lt;Calculator!$G$12,0,MIN(MIN(MOD(A498/Calculator!$F$12,1),1-MOD(A498/Calculator!$F$12,1)),ABS(MOD(A498/Calculator!$F$12,1)-0.5))),1)</f>
        <v>0.109157894736842</v>
      </c>
      <c r="D498" s="138" t="n">
        <f aca="false">IF(Calculator!$E$13="YES",IF(A498&lt;Calculator!$G$13,0,MIN(MIN(MOD(A498/Calculator!$F$13,1),1-MOD(A498/Calculator!$F$13,1)),ABS(MOD(A498/Calculator!$F$13,1)-0.5))),1)</f>
        <v>0.0420610526315786</v>
      </c>
      <c r="E498" s="138" t="n">
        <f aca="false">IF(Calculator!$E$14="YES",IF(A498&lt;Calculator!$G$14,0,MIN(MIN(MOD(A498/Calculator!$F$14,1),1-MOD(A498/Calculator!$F$14,1)),ABS(MOD(A498/Calculator!$F$14,1)-0.5))),1)</f>
        <v>0.224526315789474</v>
      </c>
      <c r="F498" s="138" t="n">
        <f aca="false">IF(Calculator!$E$15="YES",IF(A498&lt;Calculator!$G$15,0,MIN(MIN(MOD(A498/Calculator!$F$15,1),1-MOD(A498/Calculator!$F$15,1)),ABS(MOD(A498/Calculator!$F$15,1)-0.5))),1)</f>
        <v>0.141842105263158</v>
      </c>
      <c r="G498" s="138" t="n">
        <f aca="false">IF(Calculator!$E$16="YES",IF(A498&lt;Calculator!$G$16,0,MIN(MIN(MOD(A498/Calculator!$F$16,1),1-MOD(A498/Calculator!$F$16,1)),ABS(MOD(A498/Calculator!$F$16,1)-0.5))),1)</f>
        <v>0.0985789473684209</v>
      </c>
      <c r="H498" s="138" t="n">
        <f aca="false">IF(Calculator!$E$17="YES",IF(A498&lt;Calculator!$G$17,0,MIN(MIN(MOD(A498/Calculator!$F$17,1),1-MOD(A498/Calculator!$F$17,1)),ABS(MOD(A498/Calculator!$F$17,1)-0.5))),1)</f>
        <v>0.0960884210526309</v>
      </c>
      <c r="I498" s="138" t="n">
        <f aca="false">IF(Calculator!$E$18="YES",IF(A498&lt;Calculator!$G$18,0,MIN(MIN(MOD(A498/Calculator!$F$18,1),1-MOD(A498/Calculator!$F$18,1)),ABS(MOD(A498/Calculator!$F$18,1)-0.5))),1)</f>
        <v>0.0878421052631584</v>
      </c>
      <c r="J498" s="138" t="n">
        <f aca="false">IF(Calculator!$E$19="YES",IF(A498&lt;Calculator!$G$19,0,MIN(MIN(MOD(A498/Calculator!$F$19,1),1-MOD(A498/Calculator!$F$19,1)),ABS(MOD(A498/Calculator!$F$19,1)-0.5))),1)</f>
        <v>0.00345263157894493</v>
      </c>
      <c r="K498" s="138" t="n">
        <f aca="false">IF(Calculator!$E$20="YES",IF(A498&lt;Calculator!$G$20,0,MIN(MIN(MOD(A498/Calculator!$F$20,1),1-MOD(A498/Calculator!$F$20,1)),ABS(MOD(A498/Calculator!$F$20,1)-0.5))),1)</f>
        <v>0.00663157894736877</v>
      </c>
      <c r="L498" s="138" t="n">
        <f aca="false">IF(Calculator!$E$21="YES",IF(A498&lt;Calculator!$G$21,0,MIN(MIN(MOD(A498/Calculator!$F$21,1),1-MOD(A498/Calculator!$F$21,1)),ABS(MOD(A498/Calculator!$F$21,1)-0.5))),1)</f>
        <v>0.185263157894738</v>
      </c>
      <c r="M498" s="138" t="n">
        <f aca="false">MIN(B498:L498)</f>
        <v>0.00345263157894493</v>
      </c>
      <c r="N498" s="138" t="n">
        <f aca="false">SUMPRODUCT(($M$5:$M$555&gt;M498)*1)+SUMPRODUCT(($M$5:$M$555=M498)*(ROW($M$5:$M$555)&lt;ROW(M498)))+1</f>
        <v>191</v>
      </c>
      <c r="O498" s="138" t="str">
        <f aca="false">IF(M498&gt;=0.2,"★★★ EXCELLENT",IF(M498&gt;=0.12,"★★  GOOD",IF(M498&gt;=0.07,"★  FAIR",IF(M498&gt;=0.025,"⚠  MARGINAL","✗  AVOID"))))</f>
        <v>✗  AVOID</v>
      </c>
    </row>
    <row r="499" customFormat="false" ht="15" hidden="false" customHeight="false" outlineLevel="0" collapsed="false">
      <c r="A499" s="135" t="n">
        <v>54.4</v>
      </c>
      <c r="B499" s="136" t="n">
        <f aca="false">IF(Calculator!$E$11="YES",IF(A499&lt;Calculator!$G$11,0,MIN(MIN(MOD(A499/Calculator!$F$11,1),1-MOD(A499/Calculator!$F$11,1)),ABS(MOD(A499/Calculator!$F$11,1)-0.5))),1)</f>
        <v>0.225333333333333</v>
      </c>
      <c r="C499" s="136" t="n">
        <f aca="false">IF(Calculator!$E$12="YES",IF(A499&lt;Calculator!$G$12,0,MIN(MIN(MOD(A499/Calculator!$F$12,1),1-MOD(A499/Calculator!$F$12,1)),ABS(MOD(A499/Calculator!$F$12,1)-0.5))),1)</f>
        <v>0.10659649122807</v>
      </c>
      <c r="D499" s="136" t="n">
        <f aca="false">IF(Calculator!$E$13="YES",IF(A499&lt;Calculator!$G$13,0,MIN(MIN(MOD(A499/Calculator!$F$13,1),1-MOD(A499/Calculator!$F$13,1)),ABS(MOD(A499/Calculator!$F$13,1)-0.5))),1)</f>
        <v>0.0458217543859649</v>
      </c>
      <c r="E499" s="136" t="n">
        <f aca="false">IF(Calculator!$E$14="YES",IF(A499&lt;Calculator!$G$14,0,MIN(MIN(MOD(A499/Calculator!$F$14,1),1-MOD(A499/Calculator!$F$14,1)),ABS(MOD(A499/Calculator!$F$14,1)-0.5))),1)</f>
        <v>0.229543859649123</v>
      </c>
      <c r="F499" s="136" t="n">
        <f aca="false">IF(Calculator!$E$15="YES",IF(A499&lt;Calculator!$G$15,0,MIN(MIN(MOD(A499/Calculator!$F$15,1),1-MOD(A499/Calculator!$F$15,1)),ABS(MOD(A499/Calculator!$F$15,1)-0.5))),1)</f>
        <v>0.134736842105264</v>
      </c>
      <c r="G499" s="136" t="n">
        <f aca="false">IF(Calculator!$E$16="YES",IF(A499&lt;Calculator!$G$16,0,MIN(MIN(MOD(A499/Calculator!$F$16,1),1-MOD(A499/Calculator!$F$16,1)),ABS(MOD(A499/Calculator!$F$16,1)-0.5))),1)</f>
        <v>0.0886315789473677</v>
      </c>
      <c r="H499" s="136" t="n">
        <f aca="false">IF(Calculator!$E$17="YES",IF(A499&lt;Calculator!$G$17,0,MIN(MIN(MOD(A499/Calculator!$F$17,1),1-MOD(A499/Calculator!$F$17,1)),ABS(MOD(A499/Calculator!$F$17,1)-0.5))),1)</f>
        <v>0.0833740350877186</v>
      </c>
      <c r="I499" s="136" t="n">
        <f aca="false">IF(Calculator!$E$18="YES",IF(A499&lt;Calculator!$G$18,0,MIN(MIN(MOD(A499/Calculator!$F$18,1),1-MOD(A499/Calculator!$F$18,1)),ABS(MOD(A499/Calculator!$F$18,1)-0.5))),1)</f>
        <v>0.102736842105264</v>
      </c>
      <c r="J499" s="136" t="n">
        <f aca="false">IF(Calculator!$E$19="YES",IF(A499&lt;Calculator!$G$19,0,MIN(MIN(MOD(A499/Calculator!$F$19,1),1-MOD(A499/Calculator!$F$19,1)),ABS(MOD(A499/Calculator!$F$19,1)-0.5))),1)</f>
        <v>0.0209543859649113</v>
      </c>
      <c r="K499" s="136" t="n">
        <f aca="false">IF(Calculator!$E$20="YES",IF(A499&lt;Calculator!$G$20,0,MIN(MIN(MOD(A499/Calculator!$F$20,1),1-MOD(A499/Calculator!$F$20,1)),ABS(MOD(A499/Calculator!$F$20,1)-0.5))),1)</f>
        <v>0.0136140350877181</v>
      </c>
      <c r="L499" s="136" t="n">
        <f aca="false">IF(Calculator!$E$21="YES",IF(A499&lt;Calculator!$G$21,0,MIN(MIN(MOD(A499/Calculator!$F$21,1),1-MOD(A499/Calculator!$F$21,1)),ABS(MOD(A499/Calculator!$F$21,1)-0.5))),1)</f>
        <v>0.148771929824562</v>
      </c>
      <c r="M499" s="136" t="n">
        <f aca="false">MIN(B499:L499)</f>
        <v>0.0136140350877181</v>
      </c>
      <c r="N499" s="136" t="n">
        <f aca="false">SUMPRODUCT(($M$5:$M$555&gt;M499)*1)+SUMPRODUCT(($M$5:$M$555=M499)*(ROW($M$5:$M$555)&lt;ROW(M499)))+1</f>
        <v>113</v>
      </c>
      <c r="O499" s="136" t="str">
        <f aca="false">IF(M499&gt;=0.2,"★★★ EXCELLENT",IF(M499&gt;=0.12,"★★  GOOD",IF(M499&gt;=0.07,"★  FAIR",IF(M499&gt;=0.025,"⚠  MARGINAL","✗  AVOID"))))</f>
        <v>✗  AVOID</v>
      </c>
    </row>
    <row r="500" customFormat="false" ht="15" hidden="false" customHeight="false" outlineLevel="0" collapsed="false">
      <c r="A500" s="137" t="n">
        <v>54.5</v>
      </c>
      <c r="B500" s="138" t="n">
        <f aca="false">IF(Calculator!$E$11="YES",IF(A500&lt;Calculator!$G$11,0,MIN(MIN(MOD(A500/Calculator!$F$11,1),1-MOD(A500/Calculator!$F$11,1)),ABS(MOD(A500/Calculator!$F$11,1)-0.5))),1)</f>
        <v>0.226666666666667</v>
      </c>
      <c r="C500" s="138" t="n">
        <f aca="false">IF(Calculator!$E$12="YES",IF(A500&lt;Calculator!$G$12,0,MIN(MIN(MOD(A500/Calculator!$F$12,1),1-MOD(A500/Calculator!$F$12,1)),ABS(MOD(A500/Calculator!$F$12,1)-0.5))),1)</f>
        <v>0.104035087719298</v>
      </c>
      <c r="D500" s="138" t="n">
        <f aca="false">IF(Calculator!$E$13="YES",IF(A500&lt;Calculator!$G$13,0,MIN(MIN(MOD(A500/Calculator!$F$13,1),1-MOD(A500/Calculator!$F$13,1)),ABS(MOD(A500/Calculator!$F$13,1)-0.5))),1)</f>
        <v>0.0495824561403508</v>
      </c>
      <c r="E500" s="138" t="n">
        <f aca="false">IF(Calculator!$E$14="YES",IF(A500&lt;Calculator!$G$14,0,MIN(MIN(MOD(A500/Calculator!$F$14,1),1-MOD(A500/Calculator!$F$14,1)),ABS(MOD(A500/Calculator!$F$14,1)-0.5))),1)</f>
        <v>0.234561403508772</v>
      </c>
      <c r="F500" s="138" t="n">
        <f aca="false">IF(Calculator!$E$15="YES",IF(A500&lt;Calculator!$G$15,0,MIN(MIN(MOD(A500/Calculator!$F$15,1),1-MOD(A500/Calculator!$F$15,1)),ABS(MOD(A500/Calculator!$F$15,1)-0.5))),1)</f>
        <v>0.127631578947368</v>
      </c>
      <c r="G500" s="138" t="n">
        <f aca="false">IF(Calculator!$E$16="YES",IF(A500&lt;Calculator!$G$16,0,MIN(MIN(MOD(A500/Calculator!$F$16,1),1-MOD(A500/Calculator!$F$16,1)),ABS(MOD(A500/Calculator!$F$16,1)-0.5))),1)</f>
        <v>0.0786842105263155</v>
      </c>
      <c r="H500" s="138" t="n">
        <f aca="false">IF(Calculator!$E$17="YES",IF(A500&lt;Calculator!$G$17,0,MIN(MIN(MOD(A500/Calculator!$F$17,1),1-MOD(A500/Calculator!$F$17,1)),ABS(MOD(A500/Calculator!$F$17,1)-0.5))),1)</f>
        <v>0.0706596491228062</v>
      </c>
      <c r="I500" s="138" t="n">
        <f aca="false">IF(Calculator!$E$18="YES",IF(A500&lt;Calculator!$G$18,0,MIN(MIN(MOD(A500/Calculator!$F$18,1),1-MOD(A500/Calculator!$F$18,1)),ABS(MOD(A500/Calculator!$F$18,1)-0.5))),1)</f>
        <v>0.117631578947369</v>
      </c>
      <c r="J500" s="138" t="n">
        <f aca="false">IF(Calculator!$E$19="YES",IF(A500&lt;Calculator!$G$19,0,MIN(MIN(MOD(A500/Calculator!$F$19,1),1-MOD(A500/Calculator!$F$19,1)),ABS(MOD(A500/Calculator!$F$19,1)-0.5))),1)</f>
        <v>0.0384561403508759</v>
      </c>
      <c r="K500" s="138" t="n">
        <f aca="false">IF(Calculator!$E$20="YES",IF(A500&lt;Calculator!$G$20,0,MIN(MIN(MOD(A500/Calculator!$F$20,1),1-MOD(A500/Calculator!$F$20,1)),ABS(MOD(A500/Calculator!$F$20,1)-0.5))),1)</f>
        <v>0.0338596491228067</v>
      </c>
      <c r="L500" s="138" t="n">
        <f aca="false">IF(Calculator!$E$21="YES",IF(A500&lt;Calculator!$G$21,0,MIN(MIN(MOD(A500/Calculator!$F$21,1),1-MOD(A500/Calculator!$F$21,1)),ABS(MOD(A500/Calculator!$F$21,1)-0.5))),1)</f>
        <v>0.112280701754386</v>
      </c>
      <c r="M500" s="138" t="n">
        <f aca="false">MIN(B500:L500)</f>
        <v>0.0338596491228067</v>
      </c>
      <c r="N500" s="138" t="n">
        <f aca="false">SUMPRODUCT(($M$5:$M$555&gt;M500)*1)+SUMPRODUCT(($M$5:$M$555=M500)*(ROW($M$5:$M$555)&lt;ROW(M500)))+1</f>
        <v>34</v>
      </c>
      <c r="O500" s="138" t="str">
        <f aca="false">IF(M500&gt;=0.2,"★★★ EXCELLENT",IF(M500&gt;=0.12,"★★  GOOD",IF(M500&gt;=0.07,"★  FAIR",IF(M500&gt;=0.025,"⚠  MARGINAL","✗  AVOID"))))</f>
        <v>⚠  MARGINAL</v>
      </c>
    </row>
    <row r="501" customFormat="false" ht="15" hidden="false" customHeight="false" outlineLevel="0" collapsed="false">
      <c r="A501" s="135" t="n">
        <v>54.6</v>
      </c>
      <c r="B501" s="136" t="n">
        <f aca="false">IF(Calculator!$E$11="YES",IF(A501&lt;Calculator!$G$11,0,MIN(MIN(MOD(A501/Calculator!$F$11,1),1-MOD(A501/Calculator!$F$11,1)),ABS(MOD(A501/Calculator!$F$11,1)-0.5))),1)</f>
        <v>0.228</v>
      </c>
      <c r="C501" s="136" t="n">
        <f aca="false">IF(Calculator!$E$12="YES",IF(A501&lt;Calculator!$G$12,0,MIN(MIN(MOD(A501/Calculator!$F$12,1),1-MOD(A501/Calculator!$F$12,1)),ABS(MOD(A501/Calculator!$F$12,1)-0.5))),1)</f>
        <v>0.101473684210526</v>
      </c>
      <c r="D501" s="136" t="n">
        <f aca="false">IF(Calculator!$E$13="YES",IF(A501&lt;Calculator!$G$13,0,MIN(MIN(MOD(A501/Calculator!$F$13,1),1-MOD(A501/Calculator!$F$13,1)),ABS(MOD(A501/Calculator!$F$13,1)-0.5))),1)</f>
        <v>0.0533431578947368</v>
      </c>
      <c r="E501" s="136" t="n">
        <f aca="false">IF(Calculator!$E$14="YES",IF(A501&lt;Calculator!$G$14,0,MIN(MIN(MOD(A501/Calculator!$F$14,1),1-MOD(A501/Calculator!$F$14,1)),ABS(MOD(A501/Calculator!$F$14,1)-0.5))),1)</f>
        <v>0.239578947368421</v>
      </c>
      <c r="F501" s="136" t="n">
        <f aca="false">IF(Calculator!$E$15="YES",IF(A501&lt;Calculator!$G$15,0,MIN(MIN(MOD(A501/Calculator!$F$15,1),1-MOD(A501/Calculator!$F$15,1)),ABS(MOD(A501/Calculator!$F$15,1)-0.5))),1)</f>
        <v>0.120526315789474</v>
      </c>
      <c r="G501" s="136" t="n">
        <f aca="false">IF(Calculator!$E$16="YES",IF(A501&lt;Calculator!$G$16,0,MIN(MIN(MOD(A501/Calculator!$F$16,1),1-MOD(A501/Calculator!$F$16,1)),ABS(MOD(A501/Calculator!$F$16,1)-0.5))),1)</f>
        <v>0.0687368421052623</v>
      </c>
      <c r="H501" s="136" t="n">
        <f aca="false">IF(Calculator!$E$17="YES",IF(A501&lt;Calculator!$G$17,0,MIN(MIN(MOD(A501/Calculator!$F$17,1),1-MOD(A501/Calculator!$F$17,1)),ABS(MOD(A501/Calculator!$F$17,1)-0.5))),1)</f>
        <v>0.0579452631578938</v>
      </c>
      <c r="I501" s="136" t="n">
        <f aca="false">IF(Calculator!$E$18="YES",IF(A501&lt;Calculator!$G$18,0,MIN(MIN(MOD(A501/Calculator!$F$18,1),1-MOD(A501/Calculator!$F$18,1)),ABS(MOD(A501/Calculator!$F$18,1)-0.5))),1)</f>
        <v>0.132526315789475</v>
      </c>
      <c r="J501" s="136" t="n">
        <f aca="false">IF(Calculator!$E$19="YES",IF(A501&lt;Calculator!$G$19,0,MIN(MIN(MOD(A501/Calculator!$F$19,1),1-MOD(A501/Calculator!$F$19,1)),ABS(MOD(A501/Calculator!$F$19,1)-0.5))),1)</f>
        <v>0.0559578947368404</v>
      </c>
      <c r="K501" s="136" t="n">
        <f aca="false">IF(Calculator!$E$20="YES",IF(A501&lt;Calculator!$G$20,0,MIN(MIN(MOD(A501/Calculator!$F$20,1),1-MOD(A501/Calculator!$F$20,1)),ABS(MOD(A501/Calculator!$F$20,1)-0.5))),1)</f>
        <v>0.0541052631578953</v>
      </c>
      <c r="L501" s="136" t="n">
        <f aca="false">IF(Calculator!$E$21="YES",IF(A501&lt;Calculator!$G$21,0,MIN(MIN(MOD(A501/Calculator!$F$21,1),1-MOD(A501/Calculator!$F$21,1)),ABS(MOD(A501/Calculator!$F$21,1)-0.5))),1)</f>
        <v>0.0757894736842104</v>
      </c>
      <c r="M501" s="136" t="n">
        <f aca="false">MIN(B501:L501)</f>
        <v>0.0533431578947368</v>
      </c>
      <c r="N501" s="136" t="n">
        <f aca="false">SUMPRODUCT(($M$5:$M$555&gt;M501)*1)+SUMPRODUCT(($M$5:$M$555=M501)*(ROW($M$5:$M$555)&lt;ROW(M501)))+1</f>
        <v>10</v>
      </c>
      <c r="O501" s="136" t="str">
        <f aca="false">IF(M501&gt;=0.2,"★★★ EXCELLENT",IF(M501&gt;=0.12,"★★  GOOD",IF(M501&gt;=0.07,"★  FAIR",IF(M501&gt;=0.025,"⚠  MARGINAL","✗  AVOID"))))</f>
        <v>⚠  MARGINAL</v>
      </c>
    </row>
    <row r="502" customFormat="false" ht="15" hidden="false" customHeight="false" outlineLevel="0" collapsed="false">
      <c r="A502" s="137" t="n">
        <v>54.7</v>
      </c>
      <c r="B502" s="138" t="n">
        <f aca="false">IF(Calculator!$E$11="YES",IF(A502&lt;Calculator!$G$11,0,MIN(MIN(MOD(A502/Calculator!$F$11,1),1-MOD(A502/Calculator!$F$11,1)),ABS(MOD(A502/Calculator!$F$11,1)-0.5))),1)</f>
        <v>0.229333333333333</v>
      </c>
      <c r="C502" s="138" t="n">
        <f aca="false">IF(Calculator!$E$12="YES",IF(A502&lt;Calculator!$G$12,0,MIN(MIN(MOD(A502/Calculator!$F$12,1),1-MOD(A502/Calculator!$F$12,1)),ABS(MOD(A502/Calculator!$F$12,1)-0.5))),1)</f>
        <v>0.0989122807017542</v>
      </c>
      <c r="D502" s="138" t="n">
        <f aca="false">IF(Calculator!$E$13="YES",IF(A502&lt;Calculator!$G$13,0,MIN(MIN(MOD(A502/Calculator!$F$13,1),1-MOD(A502/Calculator!$F$13,1)),ABS(MOD(A502/Calculator!$F$13,1)-0.5))),1)</f>
        <v>0.0571038596491227</v>
      </c>
      <c r="E502" s="138" t="n">
        <f aca="false">IF(Calculator!$E$14="YES",IF(A502&lt;Calculator!$G$14,0,MIN(MIN(MOD(A502/Calculator!$F$14,1),1-MOD(A502/Calculator!$F$14,1)),ABS(MOD(A502/Calculator!$F$14,1)-0.5))),1)</f>
        <v>0.24459649122807</v>
      </c>
      <c r="F502" s="138" t="n">
        <f aca="false">IF(Calculator!$E$15="YES",IF(A502&lt;Calculator!$G$15,0,MIN(MIN(MOD(A502/Calculator!$F$15,1),1-MOD(A502/Calculator!$F$15,1)),ABS(MOD(A502/Calculator!$F$15,1)-0.5))),1)</f>
        <v>0.113421052631579</v>
      </c>
      <c r="G502" s="138" t="n">
        <f aca="false">IF(Calculator!$E$16="YES",IF(A502&lt;Calculator!$G$16,0,MIN(MIN(MOD(A502/Calculator!$F$16,1),1-MOD(A502/Calculator!$F$16,1)),ABS(MOD(A502/Calculator!$F$16,1)-0.5))),1)</f>
        <v>0.0587894736842101</v>
      </c>
      <c r="H502" s="138" t="n">
        <f aca="false">IF(Calculator!$E$17="YES",IF(A502&lt;Calculator!$G$17,0,MIN(MIN(MOD(A502/Calculator!$F$17,1),1-MOD(A502/Calculator!$F$17,1)),ABS(MOD(A502/Calculator!$F$17,1)-0.5))),1)</f>
        <v>0.0452308771929815</v>
      </c>
      <c r="I502" s="138" t="n">
        <f aca="false">IF(Calculator!$E$18="YES",IF(A502&lt;Calculator!$G$18,0,MIN(MIN(MOD(A502/Calculator!$F$18,1),1-MOD(A502/Calculator!$F$18,1)),ABS(MOD(A502/Calculator!$F$18,1)-0.5))),1)</f>
        <v>0.14742105263158</v>
      </c>
      <c r="J502" s="138" t="n">
        <f aca="false">IF(Calculator!$E$19="YES",IF(A502&lt;Calculator!$G$19,0,MIN(MIN(MOD(A502/Calculator!$F$19,1),1-MOD(A502/Calculator!$F$19,1)),ABS(MOD(A502/Calculator!$F$19,1)-0.5))),1)</f>
        <v>0.0734596491228068</v>
      </c>
      <c r="K502" s="138" t="n">
        <f aca="false">IF(Calculator!$E$20="YES",IF(A502&lt;Calculator!$G$20,0,MIN(MIN(MOD(A502/Calculator!$F$20,1),1-MOD(A502/Calculator!$F$20,1)),ABS(MOD(A502/Calculator!$F$20,1)-0.5))),1)</f>
        <v>0.0743508771929822</v>
      </c>
      <c r="L502" s="138" t="n">
        <f aca="false">IF(Calculator!$E$21="YES",IF(A502&lt;Calculator!$G$21,0,MIN(MIN(MOD(A502/Calculator!$F$21,1),1-MOD(A502/Calculator!$F$21,1)),ABS(MOD(A502/Calculator!$F$21,1)-0.5))),1)</f>
        <v>0.0392982456140345</v>
      </c>
      <c r="M502" s="138" t="n">
        <f aca="false">MIN(B502:L502)</f>
        <v>0.0392982456140345</v>
      </c>
      <c r="N502" s="138" t="n">
        <f aca="false">SUMPRODUCT(($M$5:$M$555&gt;M502)*1)+SUMPRODUCT(($M$5:$M$555=M502)*(ROW($M$5:$M$555)&lt;ROW(M502)))+1</f>
        <v>25</v>
      </c>
      <c r="O502" s="138" t="str">
        <f aca="false">IF(M502&gt;=0.2,"★★★ EXCELLENT",IF(M502&gt;=0.12,"★★  GOOD",IF(M502&gt;=0.07,"★  FAIR",IF(M502&gt;=0.025,"⚠  MARGINAL","✗  AVOID"))))</f>
        <v>⚠  MARGINAL</v>
      </c>
    </row>
    <row r="503" customFormat="false" ht="15" hidden="false" customHeight="false" outlineLevel="0" collapsed="false">
      <c r="A503" s="135" t="n">
        <v>54.8</v>
      </c>
      <c r="B503" s="136" t="n">
        <f aca="false">IF(Calculator!$E$11="YES",IF(A503&lt;Calculator!$G$11,0,MIN(MIN(MOD(A503/Calculator!$F$11,1),1-MOD(A503/Calculator!$F$11,1)),ABS(MOD(A503/Calculator!$F$11,1)-0.5))),1)</f>
        <v>0.230666666666667</v>
      </c>
      <c r="C503" s="136" t="n">
        <f aca="false">IF(Calculator!$E$12="YES",IF(A503&lt;Calculator!$G$12,0,MIN(MIN(MOD(A503/Calculator!$F$12,1),1-MOD(A503/Calculator!$F$12,1)),ABS(MOD(A503/Calculator!$F$12,1)-0.5))),1)</f>
        <v>0.0963508771929824</v>
      </c>
      <c r="D503" s="136" t="n">
        <f aca="false">IF(Calculator!$E$13="YES",IF(A503&lt;Calculator!$G$13,0,MIN(MIN(MOD(A503/Calculator!$F$13,1),1-MOD(A503/Calculator!$F$13,1)),ABS(MOD(A503/Calculator!$F$13,1)-0.5))),1)</f>
        <v>0.0608645614035086</v>
      </c>
      <c r="E503" s="136" t="n">
        <f aca="false">IF(Calculator!$E$14="YES",IF(A503&lt;Calculator!$G$14,0,MIN(MIN(MOD(A503/Calculator!$F$14,1),1-MOD(A503/Calculator!$F$14,1)),ABS(MOD(A503/Calculator!$F$14,1)-0.5))),1)</f>
        <v>0.249614035087719</v>
      </c>
      <c r="F503" s="136" t="n">
        <f aca="false">IF(Calculator!$E$15="YES",IF(A503&lt;Calculator!$G$15,0,MIN(MIN(MOD(A503/Calculator!$F$15,1),1-MOD(A503/Calculator!$F$15,1)),ABS(MOD(A503/Calculator!$F$15,1)-0.5))),1)</f>
        <v>0.106315789473685</v>
      </c>
      <c r="G503" s="136" t="n">
        <f aca="false">IF(Calculator!$E$16="YES",IF(A503&lt;Calculator!$G$16,0,MIN(MIN(MOD(A503/Calculator!$F$16,1),1-MOD(A503/Calculator!$F$16,1)),ABS(MOD(A503/Calculator!$F$16,1)-0.5))),1)</f>
        <v>0.0488421052631578</v>
      </c>
      <c r="H503" s="136" t="n">
        <f aca="false">IF(Calculator!$E$17="YES",IF(A503&lt;Calculator!$G$17,0,MIN(MIN(MOD(A503/Calculator!$F$17,1),1-MOD(A503/Calculator!$F$17,1)),ABS(MOD(A503/Calculator!$F$17,1)-0.5))),1)</f>
        <v>0.03251649122807</v>
      </c>
      <c r="I503" s="136" t="n">
        <f aca="false">IF(Calculator!$E$18="YES",IF(A503&lt;Calculator!$G$18,0,MIN(MIN(MOD(A503/Calculator!$F$18,1),1-MOD(A503/Calculator!$F$18,1)),ABS(MOD(A503/Calculator!$F$18,1)-0.5))),1)</f>
        <v>0.162315789473684</v>
      </c>
      <c r="J503" s="136" t="n">
        <f aca="false">IF(Calculator!$E$19="YES",IF(A503&lt;Calculator!$G$19,0,MIN(MIN(MOD(A503/Calculator!$F$19,1),1-MOD(A503/Calculator!$F$19,1)),ABS(MOD(A503/Calculator!$F$19,1)-0.5))),1)</f>
        <v>0.0909614035087696</v>
      </c>
      <c r="K503" s="136" t="n">
        <f aca="false">IF(Calculator!$E$20="YES",IF(A503&lt;Calculator!$G$20,0,MIN(MIN(MOD(A503/Calculator!$F$20,1),1-MOD(A503/Calculator!$F$20,1)),ABS(MOD(A503/Calculator!$F$20,1)-0.5))),1)</f>
        <v>0.094596491228069</v>
      </c>
      <c r="L503" s="136" t="n">
        <f aca="false">IF(Calculator!$E$21="YES",IF(A503&lt;Calculator!$G$21,0,MIN(MIN(MOD(A503/Calculator!$F$21,1),1-MOD(A503/Calculator!$F$21,1)),ABS(MOD(A503/Calculator!$F$21,1)-0.5))),1)</f>
        <v>0.00280701754386214</v>
      </c>
      <c r="M503" s="136" t="n">
        <f aca="false">MIN(B503:L503)</f>
        <v>0.00280701754386214</v>
      </c>
      <c r="N503" s="136" t="n">
        <f aca="false">SUMPRODUCT(($M$5:$M$555&gt;M503)*1)+SUMPRODUCT(($M$5:$M$555=M503)*(ROW($M$5:$M$555)&lt;ROW(M503)))+1</f>
        <v>199</v>
      </c>
      <c r="O503" s="136" t="str">
        <f aca="false">IF(M503&gt;=0.2,"★★★ EXCELLENT",IF(M503&gt;=0.12,"★★  GOOD",IF(M503&gt;=0.07,"★  FAIR",IF(M503&gt;=0.025,"⚠  MARGINAL","✗  AVOID"))))</f>
        <v>✗  AVOID</v>
      </c>
    </row>
    <row r="504" customFormat="false" ht="15" hidden="false" customHeight="false" outlineLevel="0" collapsed="false">
      <c r="A504" s="137" t="n">
        <v>54.9</v>
      </c>
      <c r="B504" s="138" t="n">
        <f aca="false">IF(Calculator!$E$11="YES",IF(A504&lt;Calculator!$G$11,0,MIN(MIN(MOD(A504/Calculator!$F$11,1),1-MOD(A504/Calculator!$F$11,1)),ABS(MOD(A504/Calculator!$F$11,1)-0.5))),1)</f>
        <v>0.232</v>
      </c>
      <c r="C504" s="138" t="n">
        <f aca="false">IF(Calculator!$E$12="YES",IF(A504&lt;Calculator!$G$12,0,MIN(MIN(MOD(A504/Calculator!$F$12,1),1-MOD(A504/Calculator!$F$12,1)),ABS(MOD(A504/Calculator!$F$12,1)-0.5))),1)</f>
        <v>0.0937894736842104</v>
      </c>
      <c r="D504" s="138" t="n">
        <f aca="false">IF(Calculator!$E$13="YES",IF(A504&lt;Calculator!$G$13,0,MIN(MIN(MOD(A504/Calculator!$F$13,1),1-MOD(A504/Calculator!$F$13,1)),ABS(MOD(A504/Calculator!$F$13,1)-0.5))),1)</f>
        <v>0.0646252631578945</v>
      </c>
      <c r="E504" s="138" t="n">
        <f aca="false">IF(Calculator!$E$14="YES",IF(A504&lt;Calculator!$G$14,0,MIN(MIN(MOD(A504/Calculator!$F$14,1),1-MOD(A504/Calculator!$F$14,1)),ABS(MOD(A504/Calculator!$F$14,1)-0.5))),1)</f>
        <v>0.245368421052631</v>
      </c>
      <c r="F504" s="138" t="n">
        <f aca="false">IF(Calculator!$E$15="YES",IF(A504&lt;Calculator!$G$15,0,MIN(MIN(MOD(A504/Calculator!$F$15,1),1-MOD(A504/Calculator!$F$15,1)),ABS(MOD(A504/Calculator!$F$15,1)-0.5))),1)</f>
        <v>0.0992105263157899</v>
      </c>
      <c r="G504" s="138" t="n">
        <f aca="false">IF(Calculator!$E$16="YES",IF(A504&lt;Calculator!$G$16,0,MIN(MIN(MOD(A504/Calculator!$F$16,1),1-MOD(A504/Calculator!$F$16,1)),ABS(MOD(A504/Calculator!$F$16,1)-0.5))),1)</f>
        <v>0.0388947368421047</v>
      </c>
      <c r="H504" s="138" t="n">
        <f aca="false">IF(Calculator!$E$17="YES",IF(A504&lt;Calculator!$G$17,0,MIN(MIN(MOD(A504/Calculator!$F$17,1),1-MOD(A504/Calculator!$F$17,1)),ABS(MOD(A504/Calculator!$F$17,1)-0.5))),1)</f>
        <v>0.0198021052631576</v>
      </c>
      <c r="I504" s="138" t="n">
        <f aca="false">IF(Calculator!$E$18="YES",IF(A504&lt;Calculator!$G$18,0,MIN(MIN(MOD(A504/Calculator!$F$18,1),1-MOD(A504/Calculator!$F$18,1)),ABS(MOD(A504/Calculator!$F$18,1)-0.5))),1)</f>
        <v>0.17721052631579</v>
      </c>
      <c r="J504" s="138" t="n">
        <f aca="false">IF(Calculator!$E$19="YES",IF(A504&lt;Calculator!$G$19,0,MIN(MIN(MOD(A504/Calculator!$F$19,1),1-MOD(A504/Calculator!$F$19,1)),ABS(MOD(A504/Calculator!$F$19,1)-0.5))),1)</f>
        <v>0.108463157894734</v>
      </c>
      <c r="K504" s="138" t="n">
        <f aca="false">IF(Calculator!$E$20="YES",IF(A504&lt;Calculator!$G$20,0,MIN(MIN(MOD(A504/Calculator!$F$20,1),1-MOD(A504/Calculator!$F$20,1)),ABS(MOD(A504/Calculator!$F$20,1)-0.5))),1)</f>
        <v>0.114842105263158</v>
      </c>
      <c r="L504" s="138" t="n">
        <f aca="false">IF(Calculator!$E$21="YES",IF(A504&lt;Calculator!$G$21,0,MIN(MIN(MOD(A504/Calculator!$F$21,1),1-MOD(A504/Calculator!$F$21,1)),ABS(MOD(A504/Calculator!$F$21,1)-0.5))),1)</f>
        <v>0.0336842105263138</v>
      </c>
      <c r="M504" s="138" t="n">
        <f aca="false">MIN(B504:L504)</f>
        <v>0.0198021052631576</v>
      </c>
      <c r="N504" s="138" t="n">
        <f aca="false">SUMPRODUCT(($M$5:$M$555&gt;M504)*1)+SUMPRODUCT(($M$5:$M$555=M504)*(ROW($M$5:$M$555)&lt;ROW(M504)))+1</f>
        <v>81</v>
      </c>
      <c r="O504" s="138" t="str">
        <f aca="false">IF(M504&gt;=0.2,"★★★ EXCELLENT",IF(M504&gt;=0.12,"★★  GOOD",IF(M504&gt;=0.07,"★  FAIR",IF(M504&gt;=0.025,"⚠  MARGINAL","✗  AVOID"))))</f>
        <v>✗  AVOID</v>
      </c>
    </row>
    <row r="505" customFormat="false" ht="15" hidden="false" customHeight="false" outlineLevel="0" collapsed="false">
      <c r="A505" s="135" t="n">
        <v>55</v>
      </c>
      <c r="B505" s="136" t="n">
        <f aca="false">IF(Calculator!$E$11="YES",IF(A505&lt;Calculator!$G$11,0,MIN(MIN(MOD(A505/Calculator!$F$11,1),1-MOD(A505/Calculator!$F$11,1)),ABS(MOD(A505/Calculator!$F$11,1)-0.5))),1)</f>
        <v>0.233333333333333</v>
      </c>
      <c r="C505" s="136" t="n">
        <f aca="false">IF(Calculator!$E$12="YES",IF(A505&lt;Calculator!$G$12,0,MIN(MIN(MOD(A505/Calculator!$F$12,1),1-MOD(A505/Calculator!$F$12,1)),ABS(MOD(A505/Calculator!$F$12,1)-0.5))),1)</f>
        <v>0.0912280701754387</v>
      </c>
      <c r="D505" s="136" t="n">
        <f aca="false">IF(Calculator!$E$13="YES",IF(A505&lt;Calculator!$G$13,0,MIN(MIN(MOD(A505/Calculator!$F$13,1),1-MOD(A505/Calculator!$F$13,1)),ABS(MOD(A505/Calculator!$F$13,1)-0.5))),1)</f>
        <v>0.0683859649122804</v>
      </c>
      <c r="E505" s="136" t="n">
        <f aca="false">IF(Calculator!$E$14="YES",IF(A505&lt;Calculator!$G$14,0,MIN(MIN(MOD(A505/Calculator!$F$14,1),1-MOD(A505/Calculator!$F$14,1)),ABS(MOD(A505/Calculator!$F$14,1)-0.5))),1)</f>
        <v>0.240350877192983</v>
      </c>
      <c r="F505" s="136" t="n">
        <f aca="false">IF(Calculator!$E$15="YES",IF(A505&lt;Calculator!$G$15,0,MIN(MIN(MOD(A505/Calculator!$F$15,1),1-MOD(A505/Calculator!$F$15,1)),ABS(MOD(A505/Calculator!$F$15,1)-0.5))),1)</f>
        <v>0.0921052631578947</v>
      </c>
      <c r="G505" s="136" t="n">
        <f aca="false">IF(Calculator!$E$16="YES",IF(A505&lt;Calculator!$G$16,0,MIN(MIN(MOD(A505/Calculator!$F$16,1),1-MOD(A505/Calculator!$F$16,1)),ABS(MOD(A505/Calculator!$F$16,1)-0.5))),1)</f>
        <v>0.0289473684210524</v>
      </c>
      <c r="H505" s="136" t="n">
        <f aca="false">IF(Calculator!$E$17="YES",IF(A505&lt;Calculator!$G$17,0,MIN(MIN(MOD(A505/Calculator!$F$17,1),1-MOD(A505/Calculator!$F$17,1)),ABS(MOD(A505/Calculator!$F$17,1)-0.5))),1)</f>
        <v>0.00708771929824525</v>
      </c>
      <c r="I505" s="136" t="n">
        <f aca="false">IF(Calculator!$E$18="YES",IF(A505&lt;Calculator!$G$18,0,MIN(MIN(MOD(A505/Calculator!$F$18,1),1-MOD(A505/Calculator!$F$18,1)),ABS(MOD(A505/Calculator!$F$18,1)-0.5))),1)</f>
        <v>0.192105263157895</v>
      </c>
      <c r="J505" s="136" t="n">
        <f aca="false">IF(Calculator!$E$19="YES",IF(A505&lt;Calculator!$G$19,0,MIN(MIN(MOD(A505/Calculator!$F$19,1),1-MOD(A505/Calculator!$F$19,1)),ABS(MOD(A505/Calculator!$F$19,1)-0.5))),1)</f>
        <v>0.125964912280701</v>
      </c>
      <c r="K505" s="136" t="n">
        <f aca="false">IF(Calculator!$E$20="YES",IF(A505&lt;Calculator!$G$20,0,MIN(MIN(MOD(A505/Calculator!$F$20,1),1-MOD(A505/Calculator!$F$20,1)),ABS(MOD(A505/Calculator!$F$20,1)-0.5))),1)</f>
        <v>0.135087719298246</v>
      </c>
      <c r="L505" s="136" t="n">
        <f aca="false">IF(Calculator!$E$21="YES",IF(A505&lt;Calculator!$G$21,0,MIN(MIN(MOD(A505/Calculator!$F$21,1),1-MOD(A505/Calculator!$F$21,1)),ABS(MOD(A505/Calculator!$F$21,1)-0.5))),1)</f>
        <v>0.0701754385964897</v>
      </c>
      <c r="M505" s="136" t="n">
        <f aca="false">MIN(B505:L505)</f>
        <v>0.00708771929824525</v>
      </c>
      <c r="N505" s="136" t="n">
        <f aca="false">SUMPRODUCT(($M$5:$M$555&gt;M505)*1)+SUMPRODUCT(($M$5:$M$555=M505)*(ROW($M$5:$M$555)&lt;ROW(M505)))+1</f>
        <v>155</v>
      </c>
      <c r="O505" s="136" t="str">
        <f aca="false">IF(M505&gt;=0.2,"★★★ EXCELLENT",IF(M505&gt;=0.12,"★★  GOOD",IF(M505&gt;=0.07,"★  FAIR",IF(M505&gt;=0.025,"⚠  MARGINAL","✗  AVOID"))))</f>
        <v>✗  AVOID</v>
      </c>
    </row>
    <row r="506" customFormat="false" ht="15" hidden="false" customHeight="false" outlineLevel="0" collapsed="false">
      <c r="A506" s="137" t="n">
        <v>55.1</v>
      </c>
      <c r="B506" s="138" t="n">
        <f aca="false">IF(Calculator!$E$11="YES",IF(A506&lt;Calculator!$G$11,0,MIN(MIN(MOD(A506/Calculator!$F$11,1),1-MOD(A506/Calculator!$F$11,1)),ABS(MOD(A506/Calculator!$F$11,1)-0.5))),1)</f>
        <v>0.234666666666667</v>
      </c>
      <c r="C506" s="138" t="n">
        <f aca="false">IF(Calculator!$E$12="YES",IF(A506&lt;Calculator!$G$12,0,MIN(MIN(MOD(A506/Calculator!$F$12,1),1-MOD(A506/Calculator!$F$12,1)),ABS(MOD(A506/Calculator!$F$12,1)-0.5))),1)</f>
        <v>0.0886666666666667</v>
      </c>
      <c r="D506" s="138" t="n">
        <f aca="false">IF(Calculator!$E$13="YES",IF(A506&lt;Calculator!$G$13,0,MIN(MIN(MOD(A506/Calculator!$F$13,1),1-MOD(A506/Calculator!$F$13,1)),ABS(MOD(A506/Calculator!$F$13,1)-0.5))),1)</f>
        <v>0.0721466666666668</v>
      </c>
      <c r="E506" s="138" t="n">
        <f aca="false">IF(Calculator!$E$14="YES",IF(A506&lt;Calculator!$G$14,0,MIN(MIN(MOD(A506/Calculator!$F$14,1),1-MOD(A506/Calculator!$F$14,1)),ABS(MOD(A506/Calculator!$F$14,1)-0.5))),1)</f>
        <v>0.235333333333333</v>
      </c>
      <c r="F506" s="138" t="n">
        <f aca="false">IF(Calculator!$E$15="YES",IF(A506&lt;Calculator!$G$15,0,MIN(MIN(MOD(A506/Calculator!$F$15,1),1-MOD(A506/Calculator!$F$15,1)),ABS(MOD(A506/Calculator!$F$15,1)-0.5))),1)</f>
        <v>0.085</v>
      </c>
      <c r="G506" s="138" t="n">
        <f aca="false">IF(Calculator!$E$16="YES",IF(A506&lt;Calculator!$G$16,0,MIN(MIN(MOD(A506/Calculator!$F$16,1),1-MOD(A506/Calculator!$F$16,1)),ABS(MOD(A506/Calculator!$F$16,1)-0.5))),1)</f>
        <v>0.0189999999999992</v>
      </c>
      <c r="H506" s="138" t="n">
        <f aca="false">IF(Calculator!$E$17="YES",IF(A506&lt;Calculator!$G$17,0,MIN(MIN(MOD(A506/Calculator!$F$17,1),1-MOD(A506/Calculator!$F$17,1)),ABS(MOD(A506/Calculator!$F$17,1)-0.5))),1)</f>
        <v>0.005626666666668</v>
      </c>
      <c r="I506" s="138" t="n">
        <f aca="false">IF(Calculator!$E$18="YES",IF(A506&lt;Calculator!$G$18,0,MIN(MIN(MOD(A506/Calculator!$F$18,1),1-MOD(A506/Calculator!$F$18,1)),ABS(MOD(A506/Calculator!$F$18,1)-0.5))),1)</f>
        <v>0.207000000000001</v>
      </c>
      <c r="J506" s="138" t="n">
        <f aca="false">IF(Calculator!$E$19="YES",IF(A506&lt;Calculator!$G$19,0,MIN(MIN(MOD(A506/Calculator!$F$19,1),1-MOD(A506/Calculator!$F$19,1)),ABS(MOD(A506/Calculator!$F$19,1)-0.5))),1)</f>
        <v>0.143466666666665</v>
      </c>
      <c r="K506" s="138" t="n">
        <f aca="false">IF(Calculator!$E$20="YES",IF(A506&lt;Calculator!$G$20,0,MIN(MIN(MOD(A506/Calculator!$F$20,1),1-MOD(A506/Calculator!$F$20,1)),ABS(MOD(A506/Calculator!$F$20,1)-0.5))),1)</f>
        <v>0.155333333333333</v>
      </c>
      <c r="L506" s="138" t="n">
        <f aca="false">IF(Calculator!$E$21="YES",IF(A506&lt;Calculator!$G$21,0,MIN(MIN(MOD(A506/Calculator!$F$21,1),1-MOD(A506/Calculator!$F$21,1)),ABS(MOD(A506/Calculator!$F$21,1)-0.5))),1)</f>
        <v>0.106666666666666</v>
      </c>
      <c r="M506" s="138" t="n">
        <f aca="false">MIN(B506:L506)</f>
        <v>0.005626666666668</v>
      </c>
      <c r="N506" s="138" t="n">
        <f aca="false">SUMPRODUCT(($M$5:$M$555&gt;M506)*1)+SUMPRODUCT(($M$5:$M$555=M506)*(ROW($M$5:$M$555)&lt;ROW(M506)))+1</f>
        <v>171</v>
      </c>
      <c r="O506" s="138" t="str">
        <f aca="false">IF(M506&gt;=0.2,"★★★ EXCELLENT",IF(M506&gt;=0.12,"★★  GOOD",IF(M506&gt;=0.07,"★  FAIR",IF(M506&gt;=0.025,"⚠  MARGINAL","✗  AVOID"))))</f>
        <v>✗  AVOID</v>
      </c>
    </row>
    <row r="507" customFormat="false" ht="15" hidden="false" customHeight="false" outlineLevel="0" collapsed="false">
      <c r="A507" s="135" t="n">
        <v>55.2</v>
      </c>
      <c r="B507" s="136" t="n">
        <f aca="false">IF(Calculator!$E$11="YES",IF(A507&lt;Calculator!$G$11,0,MIN(MIN(MOD(A507/Calculator!$F$11,1),1-MOD(A507/Calculator!$F$11,1)),ABS(MOD(A507/Calculator!$F$11,1)-0.5))),1)</f>
        <v>0.236</v>
      </c>
      <c r="C507" s="136" t="n">
        <f aca="false">IF(Calculator!$E$12="YES",IF(A507&lt;Calculator!$G$12,0,MIN(MIN(MOD(A507/Calculator!$F$12,1),1-MOD(A507/Calculator!$F$12,1)),ABS(MOD(A507/Calculator!$F$12,1)-0.5))),1)</f>
        <v>0.0861052631578947</v>
      </c>
      <c r="D507" s="136" t="n">
        <f aca="false">IF(Calculator!$E$13="YES",IF(A507&lt;Calculator!$G$13,0,MIN(MIN(MOD(A507/Calculator!$F$13,1),1-MOD(A507/Calculator!$F$13,1)),ABS(MOD(A507/Calculator!$F$13,1)-0.5))),1)</f>
        <v>0.0759073684210527</v>
      </c>
      <c r="E507" s="136" t="n">
        <f aca="false">IF(Calculator!$E$14="YES",IF(A507&lt;Calculator!$G$14,0,MIN(MIN(MOD(A507/Calculator!$F$14,1),1-MOD(A507/Calculator!$F$14,1)),ABS(MOD(A507/Calculator!$F$14,1)-0.5))),1)</f>
        <v>0.230315789473684</v>
      </c>
      <c r="F507" s="136" t="n">
        <f aca="false">IF(Calculator!$E$15="YES",IF(A507&lt;Calculator!$G$15,0,MIN(MIN(MOD(A507/Calculator!$F$15,1),1-MOD(A507/Calculator!$F$15,1)),ABS(MOD(A507/Calculator!$F$15,1)-0.5))),1)</f>
        <v>0.0778947368421052</v>
      </c>
      <c r="G507" s="136" t="n">
        <f aca="false">IF(Calculator!$E$16="YES",IF(A507&lt;Calculator!$G$16,0,MIN(MIN(MOD(A507/Calculator!$F$16,1),1-MOD(A507/Calculator!$F$16,1)),ABS(MOD(A507/Calculator!$F$16,1)-0.5))),1)</f>
        <v>0.00905263157894698</v>
      </c>
      <c r="H507" s="136" t="n">
        <f aca="false">IF(Calculator!$E$17="YES",IF(A507&lt;Calculator!$G$17,0,MIN(MIN(MOD(A507/Calculator!$F$17,1),1-MOD(A507/Calculator!$F$17,1)),ABS(MOD(A507/Calculator!$F$17,1)-0.5))),1)</f>
        <v>0.0183410526315804</v>
      </c>
      <c r="I507" s="136" t="n">
        <f aca="false">IF(Calculator!$E$18="YES",IF(A507&lt;Calculator!$G$18,0,MIN(MIN(MOD(A507/Calculator!$F$18,1),1-MOD(A507/Calculator!$F$18,1)),ABS(MOD(A507/Calculator!$F$18,1)-0.5))),1)</f>
        <v>0.221894736842106</v>
      </c>
      <c r="J507" s="136" t="n">
        <f aca="false">IF(Calculator!$E$19="YES",IF(A507&lt;Calculator!$G$19,0,MIN(MIN(MOD(A507/Calculator!$F$19,1),1-MOD(A507/Calculator!$F$19,1)),ABS(MOD(A507/Calculator!$F$19,1)-0.5))),1)</f>
        <v>0.16096842105263</v>
      </c>
      <c r="K507" s="136" t="n">
        <f aca="false">IF(Calculator!$E$20="YES",IF(A507&lt;Calculator!$G$20,0,MIN(MIN(MOD(A507/Calculator!$F$20,1),1-MOD(A507/Calculator!$F$20,1)),ABS(MOD(A507/Calculator!$F$20,1)-0.5))),1)</f>
        <v>0.175578947368422</v>
      </c>
      <c r="L507" s="136" t="n">
        <f aca="false">IF(Calculator!$E$21="YES",IF(A507&lt;Calculator!$G$21,0,MIN(MIN(MOD(A507/Calculator!$F$21,1),1-MOD(A507/Calculator!$F$21,1)),ABS(MOD(A507/Calculator!$F$21,1)-0.5))),1)</f>
        <v>0.143157894736841</v>
      </c>
      <c r="M507" s="136" t="n">
        <f aca="false">MIN(B507:L507)</f>
        <v>0.00905263157894698</v>
      </c>
      <c r="N507" s="136" t="n">
        <f aca="false">SUMPRODUCT(($M$5:$M$555&gt;M507)*1)+SUMPRODUCT(($M$5:$M$555=M507)*(ROW($M$5:$M$555)&lt;ROW(M507)))+1</f>
        <v>142</v>
      </c>
      <c r="O507" s="136" t="str">
        <f aca="false">IF(M507&gt;=0.2,"★★★ EXCELLENT",IF(M507&gt;=0.12,"★★  GOOD",IF(M507&gt;=0.07,"★  FAIR",IF(M507&gt;=0.025,"⚠  MARGINAL","✗  AVOID"))))</f>
        <v>✗  AVOID</v>
      </c>
    </row>
    <row r="508" customFormat="false" ht="15" hidden="false" customHeight="false" outlineLevel="0" collapsed="false">
      <c r="A508" s="137" t="n">
        <v>55.3</v>
      </c>
      <c r="B508" s="138" t="n">
        <f aca="false">IF(Calculator!$E$11="YES",IF(A508&lt;Calculator!$G$11,0,MIN(MIN(MOD(A508/Calculator!$F$11,1),1-MOD(A508/Calculator!$F$11,1)),ABS(MOD(A508/Calculator!$F$11,1)-0.5))),1)</f>
        <v>0.237333333333333</v>
      </c>
      <c r="C508" s="138" t="n">
        <f aca="false">IF(Calculator!$E$12="YES",IF(A508&lt;Calculator!$G$12,0,MIN(MIN(MOD(A508/Calculator!$F$12,1),1-MOD(A508/Calculator!$F$12,1)),ABS(MOD(A508/Calculator!$F$12,1)-0.5))),1)</f>
        <v>0.0835438596491229</v>
      </c>
      <c r="D508" s="138" t="n">
        <f aca="false">IF(Calculator!$E$13="YES",IF(A508&lt;Calculator!$G$13,0,MIN(MIN(MOD(A508/Calculator!$F$13,1),1-MOD(A508/Calculator!$F$13,1)),ABS(MOD(A508/Calculator!$F$13,1)-0.5))),1)</f>
        <v>0.0796680701754382</v>
      </c>
      <c r="E508" s="138" t="n">
        <f aca="false">IF(Calculator!$E$14="YES",IF(A508&lt;Calculator!$G$14,0,MIN(MIN(MOD(A508/Calculator!$F$14,1),1-MOD(A508/Calculator!$F$14,1)),ABS(MOD(A508/Calculator!$F$14,1)-0.5))),1)</f>
        <v>0.225298245614035</v>
      </c>
      <c r="F508" s="138" t="n">
        <f aca="false">IF(Calculator!$E$15="YES",IF(A508&lt;Calculator!$G$15,0,MIN(MIN(MOD(A508/Calculator!$F$15,1),1-MOD(A508/Calculator!$F$15,1)),ABS(MOD(A508/Calculator!$F$15,1)-0.5))),1)</f>
        <v>0.070789473684211</v>
      </c>
      <c r="G508" s="138" t="n">
        <f aca="false">IF(Calculator!$E$16="YES",IF(A508&lt;Calculator!$G$16,0,MIN(MIN(MOD(A508/Calculator!$F$16,1),1-MOD(A508/Calculator!$F$16,1)),ABS(MOD(A508/Calculator!$F$16,1)-0.5))),1)</f>
        <v>0.000894736842105282</v>
      </c>
      <c r="H508" s="138" t="n">
        <f aca="false">IF(Calculator!$E$17="YES",IF(A508&lt;Calculator!$G$17,0,MIN(MIN(MOD(A508/Calculator!$F$17,1),1-MOD(A508/Calculator!$F$17,1)),ABS(MOD(A508/Calculator!$F$17,1)-0.5))),1)</f>
        <v>0.0310554385964918</v>
      </c>
      <c r="I508" s="138" t="n">
        <f aca="false">IF(Calculator!$E$18="YES",IF(A508&lt;Calculator!$G$18,0,MIN(MIN(MOD(A508/Calculator!$F$18,1),1-MOD(A508/Calculator!$F$18,1)),ABS(MOD(A508/Calculator!$F$18,1)-0.5))),1)</f>
        <v>0.23678947368421</v>
      </c>
      <c r="J508" s="138" t="n">
        <f aca="false">IF(Calculator!$E$19="YES",IF(A508&lt;Calculator!$G$19,0,MIN(MIN(MOD(A508/Calculator!$F$19,1),1-MOD(A508/Calculator!$F$19,1)),ABS(MOD(A508/Calculator!$F$19,1)-0.5))),1)</f>
        <v>0.178470175438594</v>
      </c>
      <c r="K508" s="138" t="n">
        <f aca="false">IF(Calculator!$E$20="YES",IF(A508&lt;Calculator!$G$20,0,MIN(MIN(MOD(A508/Calculator!$F$20,1),1-MOD(A508/Calculator!$F$20,1)),ABS(MOD(A508/Calculator!$F$20,1)-0.5))),1)</f>
        <v>0.195824561403509</v>
      </c>
      <c r="L508" s="138" t="n">
        <f aca="false">IF(Calculator!$E$21="YES",IF(A508&lt;Calculator!$G$21,0,MIN(MIN(MOD(A508/Calculator!$F$21,1),1-MOD(A508/Calculator!$F$21,1)),ABS(MOD(A508/Calculator!$F$21,1)-0.5))),1)</f>
        <v>0.179649122807017</v>
      </c>
      <c r="M508" s="138" t="n">
        <f aca="false">MIN(B508:L508)</f>
        <v>0.000894736842105282</v>
      </c>
      <c r="N508" s="138" t="n">
        <f aca="false">SUMPRODUCT(($M$5:$M$555&gt;M508)*1)+SUMPRODUCT(($M$5:$M$555=M508)*(ROW($M$5:$M$555)&lt;ROW(M508)))+1</f>
        <v>218</v>
      </c>
      <c r="O508" s="138" t="str">
        <f aca="false">IF(M508&gt;=0.2,"★★★ EXCELLENT",IF(M508&gt;=0.12,"★★  GOOD",IF(M508&gt;=0.07,"★  FAIR",IF(M508&gt;=0.025,"⚠  MARGINAL","✗  AVOID"))))</f>
        <v>✗  AVOID</v>
      </c>
    </row>
    <row r="509" customFormat="false" ht="15" hidden="false" customHeight="false" outlineLevel="0" collapsed="false">
      <c r="A509" s="135" t="n">
        <v>55.4</v>
      </c>
      <c r="B509" s="136" t="n">
        <f aca="false">IF(Calculator!$E$11="YES",IF(A509&lt;Calculator!$G$11,0,MIN(MIN(MOD(A509/Calculator!$F$11,1),1-MOD(A509/Calculator!$F$11,1)),ABS(MOD(A509/Calculator!$F$11,1)-0.5))),1)</f>
        <v>0.238666666666667</v>
      </c>
      <c r="C509" s="136" t="n">
        <f aca="false">IF(Calculator!$E$12="YES",IF(A509&lt;Calculator!$G$12,0,MIN(MIN(MOD(A509/Calculator!$F$12,1),1-MOD(A509/Calculator!$F$12,1)),ABS(MOD(A509/Calculator!$F$12,1)-0.5))),1)</f>
        <v>0.0809824561403509</v>
      </c>
      <c r="D509" s="136" t="n">
        <f aca="false">IF(Calculator!$E$13="YES",IF(A509&lt;Calculator!$G$13,0,MIN(MIN(MOD(A509/Calculator!$F$13,1),1-MOD(A509/Calculator!$F$13,1)),ABS(MOD(A509/Calculator!$F$13,1)-0.5))),1)</f>
        <v>0.0834287719298246</v>
      </c>
      <c r="E509" s="136" t="n">
        <f aca="false">IF(Calculator!$E$14="YES",IF(A509&lt;Calculator!$G$14,0,MIN(MIN(MOD(A509/Calculator!$F$14,1),1-MOD(A509/Calculator!$F$14,1)),ABS(MOD(A509/Calculator!$F$14,1)-0.5))),1)</f>
        <v>0.220280701754386</v>
      </c>
      <c r="F509" s="136" t="n">
        <f aca="false">IF(Calculator!$E$15="YES",IF(A509&lt;Calculator!$G$15,0,MIN(MIN(MOD(A509/Calculator!$F$15,1),1-MOD(A509/Calculator!$F$15,1)),ABS(MOD(A509/Calculator!$F$15,1)-0.5))),1)</f>
        <v>0.0636842105263158</v>
      </c>
      <c r="G509" s="136" t="n">
        <f aca="false">IF(Calculator!$E$16="YES",IF(A509&lt;Calculator!$G$16,0,MIN(MIN(MOD(A509/Calculator!$F$16,1),1-MOD(A509/Calculator!$F$16,1)),ABS(MOD(A509/Calculator!$F$16,1)-0.5))),1)</f>
        <v>0.0108421052631584</v>
      </c>
      <c r="H509" s="136" t="n">
        <f aca="false">IF(Calculator!$E$17="YES",IF(A509&lt;Calculator!$G$17,0,MIN(MIN(MOD(A509/Calculator!$F$17,1),1-MOD(A509/Calculator!$F$17,1)),ABS(MOD(A509/Calculator!$F$17,1)-0.5))),1)</f>
        <v>0.0437698245614042</v>
      </c>
      <c r="I509" s="136" t="n">
        <f aca="false">IF(Calculator!$E$18="YES",IF(A509&lt;Calculator!$G$18,0,MIN(MIN(MOD(A509/Calculator!$F$18,1),1-MOD(A509/Calculator!$F$18,1)),ABS(MOD(A509/Calculator!$F$18,1)-0.5))),1)</f>
        <v>0.248315789473685</v>
      </c>
      <c r="J509" s="136" t="n">
        <f aca="false">IF(Calculator!$E$19="YES",IF(A509&lt;Calculator!$G$19,0,MIN(MIN(MOD(A509/Calculator!$F$19,1),1-MOD(A509/Calculator!$F$19,1)),ABS(MOD(A509/Calculator!$F$19,1)-0.5))),1)</f>
        <v>0.195971929824559</v>
      </c>
      <c r="K509" s="136" t="n">
        <f aca="false">IF(Calculator!$E$20="YES",IF(A509&lt;Calculator!$G$20,0,MIN(MIN(MOD(A509/Calculator!$F$20,1),1-MOD(A509/Calculator!$F$20,1)),ABS(MOD(A509/Calculator!$F$20,1)-0.5))),1)</f>
        <v>0.216070175438595</v>
      </c>
      <c r="L509" s="136" t="n">
        <f aca="false">IF(Calculator!$E$21="YES",IF(A509&lt;Calculator!$G$21,0,MIN(MIN(MOD(A509/Calculator!$F$21,1),1-MOD(A509/Calculator!$F$21,1)),ABS(MOD(A509/Calculator!$F$21,1)-0.5))),1)</f>
        <v>0.216140350877193</v>
      </c>
      <c r="M509" s="136" t="n">
        <f aca="false">MIN(B509:L509)</f>
        <v>0.0108421052631584</v>
      </c>
      <c r="N509" s="136" t="n">
        <f aca="false">SUMPRODUCT(($M$5:$M$555&gt;M509)*1)+SUMPRODUCT(($M$5:$M$555=M509)*(ROW($M$5:$M$555)&lt;ROW(M509)))+1</f>
        <v>130</v>
      </c>
      <c r="O509" s="136" t="str">
        <f aca="false">IF(M509&gt;=0.2,"★★★ EXCELLENT",IF(M509&gt;=0.12,"★★  GOOD",IF(M509&gt;=0.07,"★  FAIR",IF(M509&gt;=0.025,"⚠  MARGINAL","✗  AVOID"))))</f>
        <v>✗  AVOID</v>
      </c>
    </row>
    <row r="510" customFormat="false" ht="15" hidden="false" customHeight="false" outlineLevel="0" collapsed="false">
      <c r="A510" s="137" t="n">
        <v>55.5</v>
      </c>
      <c r="B510" s="138" t="n">
        <f aca="false">IF(Calculator!$E$11="YES",IF(A510&lt;Calculator!$G$11,0,MIN(MIN(MOD(A510/Calculator!$F$11,1),1-MOD(A510/Calculator!$F$11,1)),ABS(MOD(A510/Calculator!$F$11,1)-0.5))),1)</f>
        <v>0.24</v>
      </c>
      <c r="C510" s="138" t="n">
        <f aca="false">IF(Calculator!$E$12="YES",IF(A510&lt;Calculator!$G$12,0,MIN(MIN(MOD(A510/Calculator!$F$12,1),1-MOD(A510/Calculator!$F$12,1)),ABS(MOD(A510/Calculator!$F$12,1)-0.5))),1)</f>
        <v>0.078421052631579</v>
      </c>
      <c r="D510" s="138" t="n">
        <f aca="false">IF(Calculator!$E$13="YES",IF(A510&lt;Calculator!$G$13,0,MIN(MIN(MOD(A510/Calculator!$F$13,1),1-MOD(A510/Calculator!$F$13,1)),ABS(MOD(A510/Calculator!$F$13,1)-0.5))),1)</f>
        <v>0.0871894736842105</v>
      </c>
      <c r="E510" s="138" t="n">
        <f aca="false">IF(Calculator!$E$14="YES",IF(A510&lt;Calculator!$G$14,0,MIN(MIN(MOD(A510/Calculator!$F$14,1),1-MOD(A510/Calculator!$F$14,1)),ABS(MOD(A510/Calculator!$F$14,1)-0.5))),1)</f>
        <v>0.215263157894737</v>
      </c>
      <c r="F510" s="138" t="n">
        <f aca="false">IF(Calculator!$E$15="YES",IF(A510&lt;Calculator!$G$15,0,MIN(MIN(MOD(A510/Calculator!$F$15,1),1-MOD(A510/Calculator!$F$15,1)),ABS(MOD(A510/Calculator!$F$15,1)-0.5))),1)</f>
        <v>0.0565789473684211</v>
      </c>
      <c r="G510" s="138" t="n">
        <f aca="false">IF(Calculator!$E$16="YES",IF(A510&lt;Calculator!$G$16,0,MIN(MIN(MOD(A510/Calculator!$F$16,1),1-MOD(A510/Calculator!$F$16,1)),ABS(MOD(A510/Calculator!$F$16,1)-0.5))),1)</f>
        <v>0.0207894736842107</v>
      </c>
      <c r="H510" s="138" t="n">
        <f aca="false">IF(Calculator!$E$17="YES",IF(A510&lt;Calculator!$G$17,0,MIN(MIN(MOD(A510/Calculator!$F$17,1),1-MOD(A510/Calculator!$F$17,1)),ABS(MOD(A510/Calculator!$F$17,1)-0.5))),1)</f>
        <v>0.0564842105263166</v>
      </c>
      <c r="I510" s="138" t="n">
        <f aca="false">IF(Calculator!$E$18="YES",IF(A510&lt;Calculator!$G$18,0,MIN(MIN(MOD(A510/Calculator!$F$18,1),1-MOD(A510/Calculator!$F$18,1)),ABS(MOD(A510/Calculator!$F$18,1)-0.5))),1)</f>
        <v>0.233421052631579</v>
      </c>
      <c r="J510" s="138" t="n">
        <f aca="false">IF(Calculator!$E$19="YES",IF(A510&lt;Calculator!$G$19,0,MIN(MIN(MOD(A510/Calculator!$F$19,1),1-MOD(A510/Calculator!$F$19,1)),ABS(MOD(A510/Calculator!$F$19,1)-0.5))),1)</f>
        <v>0.213473684210525</v>
      </c>
      <c r="K510" s="138" t="n">
        <f aca="false">IF(Calculator!$E$20="YES",IF(A510&lt;Calculator!$G$20,0,MIN(MIN(MOD(A510/Calculator!$F$20,1),1-MOD(A510/Calculator!$F$20,1)),ABS(MOD(A510/Calculator!$F$20,1)-0.5))),1)</f>
        <v>0.236315789473684</v>
      </c>
      <c r="L510" s="138" t="n">
        <f aca="false">IF(Calculator!$E$21="YES",IF(A510&lt;Calculator!$G$21,0,MIN(MIN(MOD(A510/Calculator!$F$21,1),1-MOD(A510/Calculator!$F$21,1)),ABS(MOD(A510/Calculator!$F$21,1)-0.5))),1)</f>
        <v>0.247368421052631</v>
      </c>
      <c r="M510" s="138" t="n">
        <f aca="false">MIN(B510:L510)</f>
        <v>0.0207894736842107</v>
      </c>
      <c r="N510" s="138" t="n">
        <f aca="false">SUMPRODUCT(($M$5:$M$555&gt;M510)*1)+SUMPRODUCT(($M$5:$M$555=M510)*(ROW($M$5:$M$555)&lt;ROW(M510)))+1</f>
        <v>77</v>
      </c>
      <c r="O510" s="138" t="str">
        <f aca="false">IF(M510&gt;=0.2,"★★★ EXCELLENT",IF(M510&gt;=0.12,"★★  GOOD",IF(M510&gt;=0.07,"★  FAIR",IF(M510&gt;=0.025,"⚠  MARGINAL","✗  AVOID"))))</f>
        <v>✗  AVOID</v>
      </c>
    </row>
    <row r="511" customFormat="false" ht="15" hidden="false" customHeight="false" outlineLevel="0" collapsed="false">
      <c r="A511" s="135" t="n">
        <v>55.6</v>
      </c>
      <c r="B511" s="136" t="n">
        <f aca="false">IF(Calculator!$E$11="YES",IF(A511&lt;Calculator!$G$11,0,MIN(MIN(MOD(A511/Calculator!$F$11,1),1-MOD(A511/Calculator!$F$11,1)),ABS(MOD(A511/Calculator!$F$11,1)-0.5))),1)</f>
        <v>0.241333333333333</v>
      </c>
      <c r="C511" s="136" t="n">
        <f aca="false">IF(Calculator!$E$12="YES",IF(A511&lt;Calculator!$G$12,0,MIN(MIN(MOD(A511/Calculator!$F$12,1),1-MOD(A511/Calculator!$F$12,1)),ABS(MOD(A511/Calculator!$F$12,1)-0.5))),1)</f>
        <v>0.075859649122807</v>
      </c>
      <c r="D511" s="136" t="n">
        <f aca="false">IF(Calculator!$E$13="YES",IF(A511&lt;Calculator!$G$13,0,MIN(MIN(MOD(A511/Calculator!$F$13,1),1-MOD(A511/Calculator!$F$13,1)),ABS(MOD(A511/Calculator!$F$13,1)-0.5))),1)</f>
        <v>0.0909501754385964</v>
      </c>
      <c r="E511" s="136" t="n">
        <f aca="false">IF(Calculator!$E$14="YES",IF(A511&lt;Calculator!$G$14,0,MIN(MIN(MOD(A511/Calculator!$F$14,1),1-MOD(A511/Calculator!$F$14,1)),ABS(MOD(A511/Calculator!$F$14,1)-0.5))),1)</f>
        <v>0.210245614035088</v>
      </c>
      <c r="F511" s="136" t="n">
        <f aca="false">IF(Calculator!$E$15="YES",IF(A511&lt;Calculator!$G$15,0,MIN(MIN(MOD(A511/Calculator!$F$15,1),1-MOD(A511/Calculator!$F$15,1)),ABS(MOD(A511/Calculator!$F$15,1)-0.5))),1)</f>
        <v>0.0494736842105263</v>
      </c>
      <c r="G511" s="136" t="n">
        <f aca="false">IF(Calculator!$E$16="YES",IF(A511&lt;Calculator!$G$16,0,MIN(MIN(MOD(A511/Calculator!$F$16,1),1-MOD(A511/Calculator!$F$16,1)),ABS(MOD(A511/Calculator!$F$16,1)-0.5))),1)</f>
        <v>0.0307368421052638</v>
      </c>
      <c r="H511" s="136" t="n">
        <f aca="false">IF(Calculator!$E$17="YES",IF(A511&lt;Calculator!$G$17,0,MIN(MIN(MOD(A511/Calculator!$F$17,1),1-MOD(A511/Calculator!$F$17,1)),ABS(MOD(A511/Calculator!$F$17,1)-0.5))),1)</f>
        <v>0.069198596491229</v>
      </c>
      <c r="I511" s="136" t="n">
        <f aca="false">IF(Calculator!$E$18="YES",IF(A511&lt;Calculator!$G$18,0,MIN(MIN(MOD(A511/Calculator!$F$18,1),1-MOD(A511/Calculator!$F$18,1)),ABS(MOD(A511/Calculator!$F$18,1)-0.5))),1)</f>
        <v>0.218526315789473</v>
      </c>
      <c r="J511" s="136" t="n">
        <f aca="false">IF(Calculator!$E$19="YES",IF(A511&lt;Calculator!$G$19,0,MIN(MIN(MOD(A511/Calculator!$F$19,1),1-MOD(A511/Calculator!$F$19,1)),ABS(MOD(A511/Calculator!$F$19,1)-0.5))),1)</f>
        <v>0.23097543859649</v>
      </c>
      <c r="K511" s="136" t="n">
        <f aca="false">IF(Calculator!$E$20="YES",IF(A511&lt;Calculator!$G$20,0,MIN(MIN(MOD(A511/Calculator!$F$20,1),1-MOD(A511/Calculator!$F$20,1)),ABS(MOD(A511/Calculator!$F$20,1)-0.5))),1)</f>
        <v>0.243438596491227</v>
      </c>
      <c r="L511" s="136" t="n">
        <f aca="false">IF(Calculator!$E$21="YES",IF(A511&lt;Calculator!$G$21,0,MIN(MIN(MOD(A511/Calculator!$F$21,1),1-MOD(A511/Calculator!$F$21,1)),ABS(MOD(A511/Calculator!$F$21,1)-0.5))),1)</f>
        <v>0.210877192982455</v>
      </c>
      <c r="M511" s="136" t="n">
        <f aca="false">MIN(B511:L511)</f>
        <v>0.0307368421052638</v>
      </c>
      <c r="N511" s="136" t="n">
        <f aca="false">SUMPRODUCT(($M$5:$M$555&gt;M511)*1)+SUMPRODUCT(($M$5:$M$555=M511)*(ROW($M$5:$M$555)&lt;ROW(M511)))+1</f>
        <v>46</v>
      </c>
      <c r="O511" s="136" t="str">
        <f aca="false">IF(M511&gt;=0.2,"★★★ EXCELLENT",IF(M511&gt;=0.12,"★★  GOOD",IF(M511&gt;=0.07,"★  FAIR",IF(M511&gt;=0.025,"⚠  MARGINAL","✗  AVOID"))))</f>
        <v>⚠  MARGINAL</v>
      </c>
    </row>
    <row r="512" customFormat="false" ht="15" hidden="false" customHeight="false" outlineLevel="0" collapsed="false">
      <c r="A512" s="137" t="n">
        <v>55.7</v>
      </c>
      <c r="B512" s="138" t="n">
        <f aca="false">IF(Calculator!$E$11="YES",IF(A512&lt;Calculator!$G$11,0,MIN(MIN(MOD(A512/Calculator!$F$11,1),1-MOD(A512/Calculator!$F$11,1)),ABS(MOD(A512/Calculator!$F$11,1)-0.5))),1)</f>
        <v>0.242666666666667</v>
      </c>
      <c r="C512" s="138" t="n">
        <f aca="false">IF(Calculator!$E$12="YES",IF(A512&lt;Calculator!$G$12,0,MIN(MIN(MOD(A512/Calculator!$F$12,1),1-MOD(A512/Calculator!$F$12,1)),ABS(MOD(A512/Calculator!$F$12,1)-0.5))),1)</f>
        <v>0.073298245614035</v>
      </c>
      <c r="D512" s="138" t="n">
        <f aca="false">IF(Calculator!$E$13="YES",IF(A512&lt;Calculator!$G$13,0,MIN(MIN(MOD(A512/Calculator!$F$13,1),1-MOD(A512/Calculator!$F$13,1)),ABS(MOD(A512/Calculator!$F$13,1)-0.5))),1)</f>
        <v>0.0947108771929823</v>
      </c>
      <c r="E512" s="138" t="n">
        <f aca="false">IF(Calculator!$E$14="YES",IF(A512&lt;Calculator!$G$14,0,MIN(MIN(MOD(A512/Calculator!$F$14,1),1-MOD(A512/Calculator!$F$14,1)),ABS(MOD(A512/Calculator!$F$14,1)-0.5))),1)</f>
        <v>0.205228070175438</v>
      </c>
      <c r="F512" s="138" t="n">
        <f aca="false">IF(Calculator!$E$15="YES",IF(A512&lt;Calculator!$G$15,0,MIN(MIN(MOD(A512/Calculator!$F$15,1),1-MOD(A512/Calculator!$F$15,1)),ABS(MOD(A512/Calculator!$F$15,1)-0.5))),1)</f>
        <v>0.0423684210526316</v>
      </c>
      <c r="G512" s="138" t="n">
        <f aca="false">IF(Calculator!$E$16="YES",IF(A512&lt;Calculator!$G$16,0,MIN(MIN(MOD(A512/Calculator!$F$16,1),1-MOD(A512/Calculator!$F$16,1)),ABS(MOD(A512/Calculator!$F$16,1)-0.5))),1)</f>
        <v>0.0406842105263161</v>
      </c>
      <c r="H512" s="138" t="n">
        <f aca="false">IF(Calculator!$E$17="YES",IF(A512&lt;Calculator!$G$17,0,MIN(MIN(MOD(A512/Calculator!$F$17,1),1-MOD(A512/Calculator!$F$17,1)),ABS(MOD(A512/Calculator!$F$17,1)-0.5))),1)</f>
        <v>0.0819129824561413</v>
      </c>
      <c r="I512" s="138" t="n">
        <f aca="false">IF(Calculator!$E$18="YES",IF(A512&lt;Calculator!$G$18,0,MIN(MIN(MOD(A512/Calculator!$F$18,1),1-MOD(A512/Calculator!$F$18,1)),ABS(MOD(A512/Calculator!$F$18,1)-0.5))),1)</f>
        <v>0.203631578947368</v>
      </c>
      <c r="J512" s="138" t="n">
        <f aca="false">IF(Calculator!$E$19="YES",IF(A512&lt;Calculator!$G$19,0,MIN(MIN(MOD(A512/Calculator!$F$19,1),1-MOD(A512/Calculator!$F$19,1)),ABS(MOD(A512/Calculator!$F$19,1)-0.5))),1)</f>
        <v>0.248477192982454</v>
      </c>
      <c r="K512" s="138" t="n">
        <f aca="false">IF(Calculator!$E$20="YES",IF(A512&lt;Calculator!$G$20,0,MIN(MIN(MOD(A512/Calculator!$F$20,1),1-MOD(A512/Calculator!$F$20,1)),ABS(MOD(A512/Calculator!$F$20,1)-0.5))),1)</f>
        <v>0.223192982456141</v>
      </c>
      <c r="L512" s="138" t="n">
        <f aca="false">IF(Calculator!$E$21="YES",IF(A512&lt;Calculator!$G$21,0,MIN(MIN(MOD(A512/Calculator!$F$21,1),1-MOD(A512/Calculator!$F$21,1)),ABS(MOD(A512/Calculator!$F$21,1)-0.5))),1)</f>
        <v>0.174385964912279</v>
      </c>
      <c r="M512" s="138" t="n">
        <f aca="false">MIN(B512:L512)</f>
        <v>0.0406842105263161</v>
      </c>
      <c r="N512" s="138" t="n">
        <f aca="false">SUMPRODUCT(($M$5:$M$555&gt;M512)*1)+SUMPRODUCT(($M$5:$M$555=M512)*(ROW($M$5:$M$555)&lt;ROW(M512)))+1</f>
        <v>23</v>
      </c>
      <c r="O512" s="138" t="str">
        <f aca="false">IF(M512&gt;=0.2,"★★★ EXCELLENT",IF(M512&gt;=0.12,"★★  GOOD",IF(M512&gt;=0.07,"★  FAIR",IF(M512&gt;=0.025,"⚠  MARGINAL","✗  AVOID"))))</f>
        <v>⚠  MARGINAL</v>
      </c>
    </row>
    <row r="513" customFormat="false" ht="15" hidden="false" customHeight="false" outlineLevel="0" collapsed="false">
      <c r="A513" s="135" t="n">
        <v>55.8</v>
      </c>
      <c r="B513" s="136" t="n">
        <f aca="false">IF(Calculator!$E$11="YES",IF(A513&lt;Calculator!$G$11,0,MIN(MIN(MOD(A513/Calculator!$F$11,1),1-MOD(A513/Calculator!$F$11,1)),ABS(MOD(A513/Calculator!$F$11,1)-0.5))),1)</f>
        <v>0.244</v>
      </c>
      <c r="C513" s="136" t="n">
        <f aca="false">IF(Calculator!$E$12="YES",IF(A513&lt;Calculator!$G$12,0,MIN(MIN(MOD(A513/Calculator!$F$12,1),1-MOD(A513/Calculator!$F$12,1)),ABS(MOD(A513/Calculator!$F$12,1)-0.5))),1)</f>
        <v>0.0707368421052632</v>
      </c>
      <c r="D513" s="136" t="n">
        <f aca="false">IF(Calculator!$E$13="YES",IF(A513&lt;Calculator!$G$13,0,MIN(MIN(MOD(A513/Calculator!$F$13,1),1-MOD(A513/Calculator!$F$13,1)),ABS(MOD(A513/Calculator!$F$13,1)-0.5))),1)</f>
        <v>0.0984715789473682</v>
      </c>
      <c r="E513" s="136" t="n">
        <f aca="false">IF(Calculator!$E$14="YES",IF(A513&lt;Calculator!$G$14,0,MIN(MIN(MOD(A513/Calculator!$F$14,1),1-MOD(A513/Calculator!$F$14,1)),ABS(MOD(A513/Calculator!$F$14,1)-0.5))),1)</f>
        <v>0.200210526315789</v>
      </c>
      <c r="F513" s="136" t="n">
        <f aca="false">IF(Calculator!$E$15="YES",IF(A513&lt;Calculator!$G$15,0,MIN(MIN(MOD(A513/Calculator!$F$15,1),1-MOD(A513/Calculator!$F$15,1)),ABS(MOD(A513/Calculator!$F$15,1)-0.5))),1)</f>
        <v>0.0352631578947373</v>
      </c>
      <c r="G513" s="136" t="n">
        <f aca="false">IF(Calculator!$E$16="YES",IF(A513&lt;Calculator!$G$16,0,MIN(MIN(MOD(A513/Calculator!$F$16,1),1-MOD(A513/Calculator!$F$16,1)),ABS(MOD(A513/Calculator!$F$16,1)-0.5))),1)</f>
        <v>0.0506315789473684</v>
      </c>
      <c r="H513" s="136" t="n">
        <f aca="false">IF(Calculator!$E$17="YES",IF(A513&lt;Calculator!$G$17,0,MIN(MIN(MOD(A513/Calculator!$F$17,1),1-MOD(A513/Calculator!$F$17,1)),ABS(MOD(A513/Calculator!$F$17,1)-0.5))),1)</f>
        <v>0.0946273684210528</v>
      </c>
      <c r="I513" s="136" t="n">
        <f aca="false">IF(Calculator!$E$18="YES",IF(A513&lt;Calculator!$G$18,0,MIN(MIN(MOD(A513/Calculator!$F$18,1),1-MOD(A513/Calculator!$F$18,1)),ABS(MOD(A513/Calculator!$F$18,1)-0.5))),1)</f>
        <v>0.188736842105262</v>
      </c>
      <c r="J513" s="136" t="n">
        <f aca="false">IF(Calculator!$E$19="YES",IF(A513&lt;Calculator!$G$19,0,MIN(MIN(MOD(A513/Calculator!$F$19,1),1-MOD(A513/Calculator!$F$19,1)),ABS(MOD(A513/Calculator!$F$19,1)-0.5))),1)</f>
        <v>0.234021052631581</v>
      </c>
      <c r="K513" s="136" t="n">
        <f aca="false">IF(Calculator!$E$20="YES",IF(A513&lt;Calculator!$G$20,0,MIN(MIN(MOD(A513/Calculator!$F$20,1),1-MOD(A513/Calculator!$F$20,1)),ABS(MOD(A513/Calculator!$F$20,1)-0.5))),1)</f>
        <v>0.202947368421054</v>
      </c>
      <c r="L513" s="136" t="n">
        <f aca="false">IF(Calculator!$E$21="YES",IF(A513&lt;Calculator!$G$21,0,MIN(MIN(MOD(A513/Calculator!$F$21,1),1-MOD(A513/Calculator!$F$21,1)),ABS(MOD(A513/Calculator!$F$21,1)-0.5))),1)</f>
        <v>0.137894736842107</v>
      </c>
      <c r="M513" s="136" t="n">
        <f aca="false">MIN(B513:L513)</f>
        <v>0.0352631578947373</v>
      </c>
      <c r="N513" s="136" t="n">
        <f aca="false">SUMPRODUCT(($M$5:$M$555&gt;M513)*1)+SUMPRODUCT(($M$5:$M$555=M513)*(ROW($M$5:$M$555)&lt;ROW(M513)))+1</f>
        <v>31</v>
      </c>
      <c r="O513" s="136" t="str">
        <f aca="false">IF(M513&gt;=0.2,"★★★ EXCELLENT",IF(M513&gt;=0.12,"★★  GOOD",IF(M513&gt;=0.07,"★  FAIR",IF(M513&gt;=0.025,"⚠  MARGINAL","✗  AVOID"))))</f>
        <v>⚠  MARGINAL</v>
      </c>
    </row>
    <row r="514" customFormat="false" ht="15" hidden="false" customHeight="false" outlineLevel="0" collapsed="false">
      <c r="A514" s="137" t="n">
        <v>55.9</v>
      </c>
      <c r="B514" s="138" t="n">
        <f aca="false">IF(Calculator!$E$11="YES",IF(A514&lt;Calculator!$G$11,0,MIN(MIN(MOD(A514/Calculator!$F$11,1),1-MOD(A514/Calculator!$F$11,1)),ABS(MOD(A514/Calculator!$F$11,1)-0.5))),1)</f>
        <v>0.245333333333333</v>
      </c>
      <c r="C514" s="138" t="n">
        <f aca="false">IF(Calculator!$E$12="YES",IF(A514&lt;Calculator!$G$12,0,MIN(MIN(MOD(A514/Calculator!$F$12,1),1-MOD(A514/Calculator!$F$12,1)),ABS(MOD(A514/Calculator!$F$12,1)-0.5))),1)</f>
        <v>0.0681754385964912</v>
      </c>
      <c r="D514" s="138" t="n">
        <f aca="false">IF(Calculator!$E$13="YES",IF(A514&lt;Calculator!$G$13,0,MIN(MIN(MOD(A514/Calculator!$F$13,1),1-MOD(A514/Calculator!$F$13,1)),ABS(MOD(A514/Calculator!$F$13,1)-0.5))),1)</f>
        <v>0.102232280701754</v>
      </c>
      <c r="E514" s="138" t="n">
        <f aca="false">IF(Calculator!$E$14="YES",IF(A514&lt;Calculator!$G$14,0,MIN(MIN(MOD(A514/Calculator!$F$14,1),1-MOD(A514/Calculator!$F$14,1)),ABS(MOD(A514/Calculator!$F$14,1)-0.5))),1)</f>
        <v>0.19519298245614</v>
      </c>
      <c r="F514" s="138" t="n">
        <f aca="false">IF(Calculator!$E$15="YES",IF(A514&lt;Calculator!$G$15,0,MIN(MIN(MOD(A514/Calculator!$F$15,1),1-MOD(A514/Calculator!$F$15,1)),ABS(MOD(A514/Calculator!$F$15,1)-0.5))),1)</f>
        <v>0.0281578947368422</v>
      </c>
      <c r="G514" s="138" t="n">
        <f aca="false">IF(Calculator!$E$16="YES",IF(A514&lt;Calculator!$G$16,0,MIN(MIN(MOD(A514/Calculator!$F$16,1),1-MOD(A514/Calculator!$F$16,1)),ABS(MOD(A514/Calculator!$F$16,1)-0.5))),1)</f>
        <v>0.0605789473684215</v>
      </c>
      <c r="H514" s="138" t="n">
        <f aca="false">IF(Calculator!$E$17="YES",IF(A514&lt;Calculator!$G$17,0,MIN(MIN(MOD(A514/Calculator!$F$17,1),1-MOD(A514/Calculator!$F$17,1)),ABS(MOD(A514/Calculator!$F$17,1)-0.5))),1)</f>
        <v>0.107341754385965</v>
      </c>
      <c r="I514" s="138" t="n">
        <f aca="false">IF(Calculator!$E$18="YES",IF(A514&lt;Calculator!$G$18,0,MIN(MIN(MOD(A514/Calculator!$F$18,1),1-MOD(A514/Calculator!$F$18,1)),ABS(MOD(A514/Calculator!$F$18,1)-0.5))),1)</f>
        <v>0.173842105263157</v>
      </c>
      <c r="J514" s="138" t="n">
        <f aca="false">IF(Calculator!$E$19="YES",IF(A514&lt;Calculator!$G$19,0,MIN(MIN(MOD(A514/Calculator!$F$19,1),1-MOD(A514/Calculator!$F$19,1)),ABS(MOD(A514/Calculator!$F$19,1)-0.5))),1)</f>
        <v>0.216519298245617</v>
      </c>
      <c r="K514" s="138" t="n">
        <f aca="false">IF(Calculator!$E$20="YES",IF(A514&lt;Calculator!$G$20,0,MIN(MIN(MOD(A514/Calculator!$F$20,1),1-MOD(A514/Calculator!$F$20,1)),ABS(MOD(A514/Calculator!$F$20,1)-0.5))),1)</f>
        <v>0.182701754385965</v>
      </c>
      <c r="L514" s="138" t="n">
        <f aca="false">IF(Calculator!$E$21="YES",IF(A514&lt;Calculator!$G$21,0,MIN(MIN(MOD(A514/Calculator!$F$21,1),1-MOD(A514/Calculator!$F$21,1)),ABS(MOD(A514/Calculator!$F$21,1)-0.5))),1)</f>
        <v>0.101403508771931</v>
      </c>
      <c r="M514" s="138" t="n">
        <f aca="false">MIN(B514:L514)</f>
        <v>0.0281578947368422</v>
      </c>
      <c r="N514" s="138" t="n">
        <f aca="false">SUMPRODUCT(($M$5:$M$555&gt;M514)*1)+SUMPRODUCT(($M$5:$M$555=M514)*(ROW($M$5:$M$555)&lt;ROW(M514)))+1</f>
        <v>55</v>
      </c>
      <c r="O514" s="138" t="str">
        <f aca="false">IF(M514&gt;=0.2,"★★★ EXCELLENT",IF(M514&gt;=0.12,"★★  GOOD",IF(M514&gt;=0.07,"★  FAIR",IF(M514&gt;=0.025,"⚠  MARGINAL","✗  AVOID"))))</f>
        <v>⚠  MARGINAL</v>
      </c>
    </row>
    <row r="515" customFormat="false" ht="15" hidden="false" customHeight="false" outlineLevel="0" collapsed="false">
      <c r="A515" s="135" t="n">
        <v>56</v>
      </c>
      <c r="B515" s="136" t="n">
        <f aca="false">IF(Calculator!$E$11="YES",IF(A515&lt;Calculator!$G$11,0,MIN(MIN(MOD(A515/Calculator!$F$11,1),1-MOD(A515/Calculator!$F$11,1)),ABS(MOD(A515/Calculator!$F$11,1)-0.5))),1)</f>
        <v>0.246666666666667</v>
      </c>
      <c r="C515" s="136" t="n">
        <f aca="false">IF(Calculator!$E$12="YES",IF(A515&lt;Calculator!$G$12,0,MIN(MIN(MOD(A515/Calculator!$F$12,1),1-MOD(A515/Calculator!$F$12,1)),ABS(MOD(A515/Calculator!$F$12,1)-0.5))),1)</f>
        <v>0.0656140350877192</v>
      </c>
      <c r="D515" s="136" t="n">
        <f aca="false">IF(Calculator!$E$13="YES",IF(A515&lt;Calculator!$G$13,0,MIN(MIN(MOD(A515/Calculator!$F$13,1),1-MOD(A515/Calculator!$F$13,1)),ABS(MOD(A515/Calculator!$F$13,1)-0.5))),1)</f>
        <v>0.10599298245614</v>
      </c>
      <c r="E515" s="136" t="n">
        <f aca="false">IF(Calculator!$E$14="YES",IF(A515&lt;Calculator!$G$14,0,MIN(MIN(MOD(A515/Calculator!$F$14,1),1-MOD(A515/Calculator!$F$14,1)),ABS(MOD(A515/Calculator!$F$14,1)-0.5))),1)</f>
        <v>0.190175438596491</v>
      </c>
      <c r="F515" s="136" t="n">
        <f aca="false">IF(Calculator!$E$15="YES",IF(A515&lt;Calculator!$G$15,0,MIN(MIN(MOD(A515/Calculator!$F$15,1),1-MOD(A515/Calculator!$F$15,1)),ABS(MOD(A515/Calculator!$F$15,1)-0.5))),1)</f>
        <v>0.0210526315789474</v>
      </c>
      <c r="G515" s="136" t="n">
        <f aca="false">IF(Calculator!$E$16="YES",IF(A515&lt;Calculator!$G$16,0,MIN(MIN(MOD(A515/Calculator!$F$16,1),1-MOD(A515/Calculator!$F$16,1)),ABS(MOD(A515/Calculator!$F$16,1)-0.5))),1)</f>
        <v>0.0705263157894738</v>
      </c>
      <c r="H515" s="136" t="n">
        <f aca="false">IF(Calculator!$E$17="YES",IF(A515&lt;Calculator!$G$17,0,MIN(MIN(MOD(A515/Calculator!$F$17,1),1-MOD(A515/Calculator!$F$17,1)),ABS(MOD(A515/Calculator!$F$17,1)-0.5))),1)</f>
        <v>0.120056140350878</v>
      </c>
      <c r="I515" s="136" t="n">
        <f aca="false">IF(Calculator!$E$18="YES",IF(A515&lt;Calculator!$G$18,0,MIN(MIN(MOD(A515/Calculator!$F$18,1),1-MOD(A515/Calculator!$F$18,1)),ABS(MOD(A515/Calculator!$F$18,1)-0.5))),1)</f>
        <v>0.158947368421053</v>
      </c>
      <c r="J515" s="136" t="n">
        <f aca="false">IF(Calculator!$E$19="YES",IF(A515&lt;Calculator!$G$19,0,MIN(MIN(MOD(A515/Calculator!$F$19,1),1-MOD(A515/Calculator!$F$19,1)),ABS(MOD(A515/Calculator!$F$19,1)-0.5))),1)</f>
        <v>0.19901754385965</v>
      </c>
      <c r="K515" s="136" t="n">
        <f aca="false">IF(Calculator!$E$20="YES",IF(A515&lt;Calculator!$G$20,0,MIN(MIN(MOD(A515/Calculator!$F$20,1),1-MOD(A515/Calculator!$F$20,1)),ABS(MOD(A515/Calculator!$F$20,1)-0.5))),1)</f>
        <v>0.162456140350878</v>
      </c>
      <c r="L515" s="136" t="n">
        <f aca="false">IF(Calculator!$E$21="YES",IF(A515&lt;Calculator!$G$21,0,MIN(MIN(MOD(A515/Calculator!$F$21,1),1-MOD(A515/Calculator!$F$21,1)),ABS(MOD(A515/Calculator!$F$21,1)-0.5))),1)</f>
        <v>0.0649122807017548</v>
      </c>
      <c r="M515" s="136" t="n">
        <f aca="false">MIN(B515:L515)</f>
        <v>0.0210526315789474</v>
      </c>
      <c r="N515" s="136" t="n">
        <f aca="false">SUMPRODUCT(($M$5:$M$555&gt;M515)*1)+SUMPRODUCT(($M$5:$M$555=M515)*(ROW($M$5:$M$555)&lt;ROW(M515)))+1</f>
        <v>75</v>
      </c>
      <c r="O515" s="136" t="str">
        <f aca="false">IF(M515&gt;=0.2,"★★★ EXCELLENT",IF(M515&gt;=0.12,"★★  GOOD",IF(M515&gt;=0.07,"★  FAIR",IF(M515&gt;=0.025,"⚠  MARGINAL","✗  AVOID"))))</f>
        <v>✗  AVOID</v>
      </c>
    </row>
    <row r="516" customFormat="false" ht="15" hidden="false" customHeight="false" outlineLevel="0" collapsed="false">
      <c r="A516" s="137" t="n">
        <v>56.1</v>
      </c>
      <c r="B516" s="138" t="n">
        <f aca="false">IF(Calculator!$E$11="YES",IF(A516&lt;Calculator!$G$11,0,MIN(MIN(MOD(A516/Calculator!$F$11,1),1-MOD(A516/Calculator!$F$11,1)),ABS(MOD(A516/Calculator!$F$11,1)-0.5))),1)</f>
        <v>0.248</v>
      </c>
      <c r="C516" s="138" t="n">
        <f aca="false">IF(Calculator!$E$12="YES",IF(A516&lt;Calculator!$G$12,0,MIN(MIN(MOD(A516/Calculator!$F$12,1),1-MOD(A516/Calculator!$F$12,1)),ABS(MOD(A516/Calculator!$F$12,1)-0.5))),1)</f>
        <v>0.0630526315789473</v>
      </c>
      <c r="D516" s="138" t="n">
        <f aca="false">IF(Calculator!$E$13="YES",IF(A516&lt;Calculator!$G$13,0,MIN(MIN(MOD(A516/Calculator!$F$13,1),1-MOD(A516/Calculator!$F$13,1)),ABS(MOD(A516/Calculator!$F$13,1)-0.5))),1)</f>
        <v>0.109753684210526</v>
      </c>
      <c r="E516" s="138" t="n">
        <f aca="false">IF(Calculator!$E$14="YES",IF(A516&lt;Calculator!$G$14,0,MIN(MIN(MOD(A516/Calculator!$F$14,1),1-MOD(A516/Calculator!$F$14,1)),ABS(MOD(A516/Calculator!$F$14,1)-0.5))),1)</f>
        <v>0.185157894736842</v>
      </c>
      <c r="F516" s="138" t="n">
        <f aca="false">IF(Calculator!$E$15="YES",IF(A516&lt;Calculator!$G$15,0,MIN(MIN(MOD(A516/Calculator!$F$15,1),1-MOD(A516/Calculator!$F$15,1)),ABS(MOD(A516/Calculator!$F$15,1)-0.5))),1)</f>
        <v>0.0139473684210527</v>
      </c>
      <c r="G516" s="138" t="n">
        <f aca="false">IF(Calculator!$E$16="YES",IF(A516&lt;Calculator!$G$16,0,MIN(MIN(MOD(A516/Calculator!$F$16,1),1-MOD(A516/Calculator!$F$16,1)),ABS(MOD(A516/Calculator!$F$16,1)-0.5))),1)</f>
        <v>0.0804736842105269</v>
      </c>
      <c r="H516" s="138" t="n">
        <f aca="false">IF(Calculator!$E$17="YES",IF(A516&lt;Calculator!$G$17,0,MIN(MIN(MOD(A516/Calculator!$F$17,1),1-MOD(A516/Calculator!$F$17,1)),ABS(MOD(A516/Calculator!$F$17,1)-0.5))),1)</f>
        <v>0.132770526315791</v>
      </c>
      <c r="I516" s="138" t="n">
        <f aca="false">IF(Calculator!$E$18="YES",IF(A516&lt;Calculator!$G$18,0,MIN(MIN(MOD(A516/Calculator!$F$18,1),1-MOD(A516/Calculator!$F$18,1)),ABS(MOD(A516/Calculator!$F$18,1)-0.5))),1)</f>
        <v>0.144052631578948</v>
      </c>
      <c r="J516" s="138" t="n">
        <f aca="false">IF(Calculator!$E$19="YES",IF(A516&lt;Calculator!$G$19,0,MIN(MIN(MOD(A516/Calculator!$F$19,1),1-MOD(A516/Calculator!$F$19,1)),ABS(MOD(A516/Calculator!$F$19,1)-0.5))),1)</f>
        <v>0.181515789473686</v>
      </c>
      <c r="K516" s="138" t="n">
        <f aca="false">IF(Calculator!$E$20="YES",IF(A516&lt;Calculator!$G$20,0,MIN(MIN(MOD(A516/Calculator!$F$20,1),1-MOD(A516/Calculator!$F$20,1)),ABS(MOD(A516/Calculator!$F$20,1)-0.5))),1)</f>
        <v>0.14221052631579</v>
      </c>
      <c r="L516" s="138" t="n">
        <f aca="false">IF(Calculator!$E$21="YES",IF(A516&lt;Calculator!$G$21,0,MIN(MIN(MOD(A516/Calculator!$F$21,1),1-MOD(A516/Calculator!$F$21,1)),ABS(MOD(A516/Calculator!$F$21,1)-0.5))),1)</f>
        <v>0.0284210526315789</v>
      </c>
      <c r="M516" s="138" t="n">
        <f aca="false">MIN(B516:L516)</f>
        <v>0.0139473684210527</v>
      </c>
      <c r="N516" s="138" t="n">
        <f aca="false">SUMPRODUCT(($M$5:$M$555&gt;M516)*1)+SUMPRODUCT(($M$5:$M$555=M516)*(ROW($M$5:$M$555)&lt;ROW(M516)))+1</f>
        <v>108</v>
      </c>
      <c r="O516" s="138" t="str">
        <f aca="false">IF(M516&gt;=0.2,"★★★ EXCELLENT",IF(M516&gt;=0.12,"★★  GOOD",IF(M516&gt;=0.07,"★  FAIR",IF(M516&gt;=0.025,"⚠  MARGINAL","✗  AVOID"))))</f>
        <v>✗  AVOID</v>
      </c>
    </row>
    <row r="517" customFormat="false" ht="15" hidden="false" customHeight="false" outlineLevel="0" collapsed="false">
      <c r="A517" s="135" t="n">
        <v>56.2</v>
      </c>
      <c r="B517" s="136" t="n">
        <f aca="false">IF(Calculator!$E$11="YES",IF(A517&lt;Calculator!$G$11,0,MIN(MIN(MOD(A517/Calculator!$F$11,1),1-MOD(A517/Calculator!$F$11,1)),ABS(MOD(A517/Calculator!$F$11,1)-0.5))),1)</f>
        <v>0.249333333333333</v>
      </c>
      <c r="C517" s="136" t="n">
        <f aca="false">IF(Calculator!$E$12="YES",IF(A517&lt;Calculator!$G$12,0,MIN(MIN(MOD(A517/Calculator!$F$12,1),1-MOD(A517/Calculator!$F$12,1)),ABS(MOD(A517/Calculator!$F$12,1)-0.5))),1)</f>
        <v>0.0604912280701753</v>
      </c>
      <c r="D517" s="136" t="n">
        <f aca="false">IF(Calculator!$E$13="YES",IF(A517&lt;Calculator!$G$13,0,MIN(MIN(MOD(A517/Calculator!$F$13,1),1-MOD(A517/Calculator!$F$13,1)),ABS(MOD(A517/Calculator!$F$13,1)-0.5))),1)</f>
        <v>0.113514385964912</v>
      </c>
      <c r="E517" s="136" t="n">
        <f aca="false">IF(Calculator!$E$14="YES",IF(A517&lt;Calculator!$G$14,0,MIN(MIN(MOD(A517/Calculator!$F$14,1),1-MOD(A517/Calculator!$F$14,1)),ABS(MOD(A517/Calculator!$F$14,1)-0.5))),1)</f>
        <v>0.180140350877193</v>
      </c>
      <c r="F517" s="136" t="n">
        <f aca="false">IF(Calculator!$E$15="YES",IF(A517&lt;Calculator!$G$15,0,MIN(MIN(MOD(A517/Calculator!$F$15,1),1-MOD(A517/Calculator!$F$15,1)),ABS(MOD(A517/Calculator!$F$15,1)-0.5))),1)</f>
        <v>0.00684210526315798</v>
      </c>
      <c r="G517" s="136" t="n">
        <f aca="false">IF(Calculator!$E$16="YES",IF(A517&lt;Calculator!$G$16,0,MIN(MIN(MOD(A517/Calculator!$F$16,1),1-MOD(A517/Calculator!$F$16,1)),ABS(MOD(A517/Calculator!$F$16,1)-0.5))),1)</f>
        <v>0.0904210526315801</v>
      </c>
      <c r="H517" s="136" t="n">
        <f aca="false">IF(Calculator!$E$17="YES",IF(A517&lt;Calculator!$G$17,0,MIN(MIN(MOD(A517/Calculator!$F$17,1),1-MOD(A517/Calculator!$F$17,1)),ABS(MOD(A517/Calculator!$F$17,1)-0.5))),1)</f>
        <v>0.145484912280703</v>
      </c>
      <c r="I517" s="136" t="n">
        <f aca="false">IF(Calculator!$E$18="YES",IF(A517&lt;Calculator!$G$18,0,MIN(MIN(MOD(A517/Calculator!$F$18,1),1-MOD(A517/Calculator!$F$18,1)),ABS(MOD(A517/Calculator!$F$18,1)-0.5))),1)</f>
        <v>0.129157894736842</v>
      </c>
      <c r="J517" s="136" t="n">
        <f aca="false">IF(Calculator!$E$19="YES",IF(A517&lt;Calculator!$G$19,0,MIN(MIN(MOD(A517/Calculator!$F$19,1),1-MOD(A517/Calculator!$F$19,1)),ABS(MOD(A517/Calculator!$F$19,1)-0.5))),1)</f>
        <v>0.164014035087721</v>
      </c>
      <c r="K517" s="136" t="n">
        <f aca="false">IF(Calculator!$E$20="YES",IF(A517&lt;Calculator!$G$20,0,MIN(MIN(MOD(A517/Calculator!$F$20,1),1-MOD(A517/Calculator!$F$20,1)),ABS(MOD(A517/Calculator!$F$20,1)-0.5))),1)</f>
        <v>0.121964912280701</v>
      </c>
      <c r="L517" s="136" t="n">
        <f aca="false">IF(Calculator!$E$21="YES",IF(A517&lt;Calculator!$G$21,0,MIN(MIN(MOD(A517/Calculator!$F$21,1),1-MOD(A517/Calculator!$F$21,1)),ABS(MOD(A517/Calculator!$F$21,1)-0.5))),1)</f>
        <v>0.00807017543859701</v>
      </c>
      <c r="M517" s="136" t="n">
        <f aca="false">MIN(B517:L517)</f>
        <v>0.00684210526315798</v>
      </c>
      <c r="N517" s="136" t="n">
        <f aca="false">SUMPRODUCT(($M$5:$M$555&gt;M517)*1)+SUMPRODUCT(($M$5:$M$555=M517)*(ROW($M$5:$M$555)&lt;ROW(M517)))+1</f>
        <v>158</v>
      </c>
      <c r="O517" s="136" t="str">
        <f aca="false">IF(M517&gt;=0.2,"★★★ EXCELLENT",IF(M517&gt;=0.12,"★★  GOOD",IF(M517&gt;=0.07,"★  FAIR",IF(M517&gt;=0.025,"⚠  MARGINAL","✗  AVOID"))))</f>
        <v>✗  AVOID</v>
      </c>
    </row>
    <row r="518" customFormat="false" ht="15" hidden="false" customHeight="false" outlineLevel="0" collapsed="false">
      <c r="A518" s="137" t="n">
        <v>56.3</v>
      </c>
      <c r="B518" s="138" t="n">
        <f aca="false">IF(Calculator!$E$11="YES",IF(A518&lt;Calculator!$G$11,0,MIN(MIN(MOD(A518/Calculator!$F$11,1),1-MOD(A518/Calculator!$F$11,1)),ABS(MOD(A518/Calculator!$F$11,1)-0.5))),1)</f>
        <v>0.249333333333333</v>
      </c>
      <c r="C518" s="138" t="n">
        <f aca="false">IF(Calculator!$E$12="YES",IF(A518&lt;Calculator!$G$12,0,MIN(MIN(MOD(A518/Calculator!$F$12,1),1-MOD(A518/Calculator!$F$12,1)),ABS(MOD(A518/Calculator!$F$12,1)-0.5))),1)</f>
        <v>0.0579298245614035</v>
      </c>
      <c r="D518" s="138" t="n">
        <f aca="false">IF(Calculator!$E$13="YES",IF(A518&lt;Calculator!$G$13,0,MIN(MIN(MOD(A518/Calculator!$F$13,1),1-MOD(A518/Calculator!$F$13,1)),ABS(MOD(A518/Calculator!$F$13,1)-0.5))),1)</f>
        <v>0.117275087719298</v>
      </c>
      <c r="E518" s="138" t="n">
        <f aca="false">IF(Calculator!$E$14="YES",IF(A518&lt;Calculator!$G$14,0,MIN(MIN(MOD(A518/Calculator!$F$14,1),1-MOD(A518/Calculator!$F$14,1)),ABS(MOD(A518/Calculator!$F$14,1)-0.5))),1)</f>
        <v>0.175122807017544</v>
      </c>
      <c r="F518" s="138" t="n">
        <f aca="false">IF(Calculator!$E$15="YES",IF(A518&lt;Calculator!$G$15,0,MIN(MIN(MOD(A518/Calculator!$F$15,1),1-MOD(A518/Calculator!$F$15,1)),ABS(MOD(A518/Calculator!$F$15,1)-0.5))),1)</f>
        <v>0.000263157894736743</v>
      </c>
      <c r="G518" s="138" t="n">
        <f aca="false">IF(Calculator!$E$16="YES",IF(A518&lt;Calculator!$G$16,0,MIN(MIN(MOD(A518/Calculator!$F$16,1),1-MOD(A518/Calculator!$F$16,1)),ABS(MOD(A518/Calculator!$F$16,1)-0.5))),1)</f>
        <v>0.100368421052631</v>
      </c>
      <c r="H518" s="138" t="n">
        <f aca="false">IF(Calculator!$E$17="YES",IF(A518&lt;Calculator!$G$17,0,MIN(MIN(MOD(A518/Calculator!$F$17,1),1-MOD(A518/Calculator!$F$17,1)),ABS(MOD(A518/Calculator!$F$17,1)-0.5))),1)</f>
        <v>0.158199298245615</v>
      </c>
      <c r="I518" s="138" t="n">
        <f aca="false">IF(Calculator!$E$18="YES",IF(A518&lt;Calculator!$G$18,0,MIN(MIN(MOD(A518/Calculator!$F$18,1),1-MOD(A518/Calculator!$F$18,1)),ABS(MOD(A518/Calculator!$F$18,1)-0.5))),1)</f>
        <v>0.114263157894737</v>
      </c>
      <c r="J518" s="138" t="n">
        <f aca="false">IF(Calculator!$E$19="YES",IF(A518&lt;Calculator!$G$19,0,MIN(MIN(MOD(A518/Calculator!$F$19,1),1-MOD(A518/Calculator!$F$19,1)),ABS(MOD(A518/Calculator!$F$19,1)-0.5))),1)</f>
        <v>0.146512280701756</v>
      </c>
      <c r="K518" s="138" t="n">
        <f aca="false">IF(Calculator!$E$20="YES",IF(A518&lt;Calculator!$G$20,0,MIN(MIN(MOD(A518/Calculator!$F$20,1),1-MOD(A518/Calculator!$F$20,1)),ABS(MOD(A518/Calculator!$F$20,1)-0.5))),1)</f>
        <v>0.101719298245614</v>
      </c>
      <c r="L518" s="138" t="n">
        <f aca="false">IF(Calculator!$E$21="YES",IF(A518&lt;Calculator!$G$21,0,MIN(MIN(MOD(A518/Calculator!$F$21,1),1-MOD(A518/Calculator!$F$21,1)),ABS(MOD(A518/Calculator!$F$21,1)-0.5))),1)</f>
        <v>0.0445614035087694</v>
      </c>
      <c r="M518" s="138" t="n">
        <f aca="false">MIN(B518:L518)</f>
        <v>0.000263157894736743</v>
      </c>
      <c r="N518" s="138" t="n">
        <f aca="false">SUMPRODUCT(($M$5:$M$555&gt;M518)*1)+SUMPRODUCT(($M$5:$M$555=M518)*(ROW($M$5:$M$555)&lt;ROW(M518)))+1</f>
        <v>225</v>
      </c>
      <c r="O518" s="138" t="str">
        <f aca="false">IF(M518&gt;=0.2,"★★★ EXCELLENT",IF(M518&gt;=0.12,"★★  GOOD",IF(M518&gt;=0.07,"★  FAIR",IF(M518&gt;=0.025,"⚠  MARGINAL","✗  AVOID"))))</f>
        <v>✗  AVOID</v>
      </c>
    </row>
    <row r="519" customFormat="false" ht="15" hidden="false" customHeight="false" outlineLevel="0" collapsed="false">
      <c r="A519" s="135" t="n">
        <v>56.4</v>
      </c>
      <c r="B519" s="136" t="n">
        <f aca="false">IF(Calculator!$E$11="YES",IF(A519&lt;Calculator!$G$11,0,MIN(MIN(MOD(A519/Calculator!$F$11,1),1-MOD(A519/Calculator!$F$11,1)),ABS(MOD(A519/Calculator!$F$11,1)-0.5))),1)</f>
        <v>0.248</v>
      </c>
      <c r="C519" s="136" t="n">
        <f aca="false">IF(Calculator!$E$12="YES",IF(A519&lt;Calculator!$G$12,0,MIN(MIN(MOD(A519/Calculator!$F$12,1),1-MOD(A519/Calculator!$F$12,1)),ABS(MOD(A519/Calculator!$F$12,1)-0.5))),1)</f>
        <v>0.0553684210526315</v>
      </c>
      <c r="D519" s="136" t="n">
        <f aca="false">IF(Calculator!$E$13="YES",IF(A519&lt;Calculator!$G$13,0,MIN(MIN(MOD(A519/Calculator!$F$13,1),1-MOD(A519/Calculator!$F$13,1)),ABS(MOD(A519/Calculator!$F$13,1)-0.5))),1)</f>
        <v>0.121035789473684</v>
      </c>
      <c r="E519" s="136" t="n">
        <f aca="false">IF(Calculator!$E$14="YES",IF(A519&lt;Calculator!$G$14,0,MIN(MIN(MOD(A519/Calculator!$F$14,1),1-MOD(A519/Calculator!$F$14,1)),ABS(MOD(A519/Calculator!$F$14,1)-0.5))),1)</f>
        <v>0.170105263157895</v>
      </c>
      <c r="F519" s="136" t="n">
        <f aca="false">IF(Calculator!$E$15="YES",IF(A519&lt;Calculator!$G$15,0,MIN(MIN(MOD(A519/Calculator!$F$15,1),1-MOD(A519/Calculator!$F$15,1)),ABS(MOD(A519/Calculator!$F$15,1)-0.5))),1)</f>
        <v>0.00736842105263147</v>
      </c>
      <c r="G519" s="136" t="n">
        <f aca="false">IF(Calculator!$E$16="YES",IF(A519&lt;Calculator!$G$16,0,MIN(MIN(MOD(A519/Calculator!$F$16,1),1-MOD(A519/Calculator!$F$16,1)),ABS(MOD(A519/Calculator!$F$16,1)-0.5))),1)</f>
        <v>0.110315789473685</v>
      </c>
      <c r="H519" s="136" t="n">
        <f aca="false">IF(Calculator!$E$17="YES",IF(A519&lt;Calculator!$G$17,0,MIN(MIN(MOD(A519/Calculator!$F$17,1),1-MOD(A519/Calculator!$F$17,1)),ABS(MOD(A519/Calculator!$F$17,1)-0.5))),1)</f>
        <v>0.170913684210527</v>
      </c>
      <c r="I519" s="136" t="n">
        <f aca="false">IF(Calculator!$E$18="YES",IF(A519&lt;Calculator!$G$18,0,MIN(MIN(MOD(A519/Calculator!$F$18,1),1-MOD(A519/Calculator!$F$18,1)),ABS(MOD(A519/Calculator!$F$18,1)-0.5))),1)</f>
        <v>0.0993684210526311</v>
      </c>
      <c r="J519" s="136" t="n">
        <f aca="false">IF(Calculator!$E$19="YES",IF(A519&lt;Calculator!$G$19,0,MIN(MIN(MOD(A519/Calculator!$F$19,1),1-MOD(A519/Calculator!$F$19,1)),ABS(MOD(A519/Calculator!$F$19,1)-0.5))),1)</f>
        <v>0.129010526315792</v>
      </c>
      <c r="K519" s="136" t="n">
        <f aca="false">IF(Calculator!$E$20="YES",IF(A519&lt;Calculator!$G$20,0,MIN(MIN(MOD(A519/Calculator!$F$20,1),1-MOD(A519/Calculator!$F$20,1)),ABS(MOD(A519/Calculator!$F$20,1)-0.5))),1)</f>
        <v>0.0814736842105273</v>
      </c>
      <c r="L519" s="136" t="n">
        <f aca="false">IF(Calculator!$E$21="YES",IF(A519&lt;Calculator!$G$21,0,MIN(MIN(MOD(A519/Calculator!$F$21,1),1-MOD(A519/Calculator!$F$21,1)),ABS(MOD(A519/Calculator!$F$21,1)-0.5))),1)</f>
        <v>0.0810526315789453</v>
      </c>
      <c r="M519" s="136" t="n">
        <f aca="false">MIN(B519:L519)</f>
        <v>0.00736842105263147</v>
      </c>
      <c r="N519" s="136" t="n">
        <f aca="false">SUMPRODUCT(($M$5:$M$555&gt;M519)*1)+SUMPRODUCT(($M$5:$M$555=M519)*(ROW($M$5:$M$555)&lt;ROW(M519)))+1</f>
        <v>154</v>
      </c>
      <c r="O519" s="136" t="str">
        <f aca="false">IF(M519&gt;=0.2,"★★★ EXCELLENT",IF(M519&gt;=0.12,"★★  GOOD",IF(M519&gt;=0.07,"★  FAIR",IF(M519&gt;=0.025,"⚠  MARGINAL","✗  AVOID"))))</f>
        <v>✗  AVOID</v>
      </c>
    </row>
    <row r="520" customFormat="false" ht="15" hidden="false" customHeight="false" outlineLevel="0" collapsed="false">
      <c r="A520" s="137" t="n">
        <v>56.5</v>
      </c>
      <c r="B520" s="138" t="n">
        <f aca="false">IF(Calculator!$E$11="YES",IF(A520&lt;Calculator!$G$11,0,MIN(MIN(MOD(A520/Calculator!$F$11,1),1-MOD(A520/Calculator!$F$11,1)),ABS(MOD(A520/Calculator!$F$11,1)-0.5))),1)</f>
        <v>0.246666666666667</v>
      </c>
      <c r="C520" s="138" t="n">
        <f aca="false">IF(Calculator!$E$12="YES",IF(A520&lt;Calculator!$G$12,0,MIN(MIN(MOD(A520/Calculator!$F$12,1),1-MOD(A520/Calculator!$F$12,1)),ABS(MOD(A520/Calculator!$F$12,1)-0.5))),1)</f>
        <v>0.0528070175438595</v>
      </c>
      <c r="D520" s="138" t="n">
        <f aca="false">IF(Calculator!$E$13="YES",IF(A520&lt;Calculator!$G$13,0,MIN(MIN(MOD(A520/Calculator!$F$13,1),1-MOD(A520/Calculator!$F$13,1)),ABS(MOD(A520/Calculator!$F$13,1)-0.5))),1)</f>
        <v>0.12479649122807</v>
      </c>
      <c r="E520" s="138" t="n">
        <f aca="false">IF(Calculator!$E$14="YES",IF(A520&lt;Calculator!$G$14,0,MIN(MIN(MOD(A520/Calculator!$F$14,1),1-MOD(A520/Calculator!$F$14,1)),ABS(MOD(A520/Calculator!$F$14,1)-0.5))),1)</f>
        <v>0.165087719298246</v>
      </c>
      <c r="F520" s="138" t="n">
        <f aca="false">IF(Calculator!$E$15="YES",IF(A520&lt;Calculator!$G$15,0,MIN(MIN(MOD(A520/Calculator!$F$15,1),1-MOD(A520/Calculator!$F$15,1)),ABS(MOD(A520/Calculator!$F$15,1)-0.5))),1)</f>
        <v>0.0144736842105262</v>
      </c>
      <c r="G520" s="138" t="n">
        <f aca="false">IF(Calculator!$E$16="YES",IF(A520&lt;Calculator!$G$16,0,MIN(MIN(MOD(A520/Calculator!$F$16,1),1-MOD(A520/Calculator!$F$16,1)),ABS(MOD(A520/Calculator!$F$16,1)-0.5))),1)</f>
        <v>0.120263157894737</v>
      </c>
      <c r="H520" s="138" t="n">
        <f aca="false">IF(Calculator!$E$17="YES",IF(A520&lt;Calculator!$G$17,0,MIN(MIN(MOD(A520/Calculator!$F$17,1),1-MOD(A520/Calculator!$F$17,1)),ABS(MOD(A520/Calculator!$F$17,1)-0.5))),1)</f>
        <v>0.183628070175439</v>
      </c>
      <c r="I520" s="138" t="n">
        <f aca="false">IF(Calculator!$E$18="YES",IF(A520&lt;Calculator!$G$18,0,MIN(MIN(MOD(A520/Calculator!$F$18,1),1-MOD(A520/Calculator!$F$18,1)),ABS(MOD(A520/Calculator!$F$18,1)-0.5))),1)</f>
        <v>0.0844736842105256</v>
      </c>
      <c r="J520" s="138" t="n">
        <f aca="false">IF(Calculator!$E$19="YES",IF(A520&lt;Calculator!$G$19,0,MIN(MIN(MOD(A520/Calculator!$F$19,1),1-MOD(A520/Calculator!$F$19,1)),ABS(MOD(A520/Calculator!$F$19,1)-0.5))),1)</f>
        <v>0.111508771929826</v>
      </c>
      <c r="K520" s="138" t="n">
        <f aca="false">IF(Calculator!$E$20="YES",IF(A520&lt;Calculator!$G$20,0,MIN(MIN(MOD(A520/Calculator!$F$20,1),1-MOD(A520/Calculator!$F$20,1)),ABS(MOD(A520/Calculator!$F$20,1)-0.5))),1)</f>
        <v>0.0612280701754386</v>
      </c>
      <c r="L520" s="138" t="n">
        <f aca="false">IF(Calculator!$E$21="YES",IF(A520&lt;Calculator!$G$21,0,MIN(MIN(MOD(A520/Calculator!$F$21,1),1-MOD(A520/Calculator!$F$21,1)),ABS(MOD(A520/Calculator!$F$21,1)-0.5))),1)</f>
        <v>0.117543859649121</v>
      </c>
      <c r="M520" s="138" t="n">
        <f aca="false">MIN(B520:L520)</f>
        <v>0.0144736842105262</v>
      </c>
      <c r="N520" s="138" t="n">
        <f aca="false">SUMPRODUCT(($M$5:$M$555&gt;M520)*1)+SUMPRODUCT(($M$5:$M$555=M520)*(ROW($M$5:$M$555)&lt;ROW(M520)))+1</f>
        <v>104</v>
      </c>
      <c r="O520" s="138" t="str">
        <f aca="false">IF(M520&gt;=0.2,"★★★ EXCELLENT",IF(M520&gt;=0.12,"★★  GOOD",IF(M520&gt;=0.07,"★  FAIR",IF(M520&gt;=0.025,"⚠  MARGINAL","✗  AVOID"))))</f>
        <v>✗  AVOID</v>
      </c>
    </row>
    <row r="521" customFormat="false" ht="15" hidden="false" customHeight="false" outlineLevel="0" collapsed="false">
      <c r="A521" s="135" t="n">
        <v>56.6</v>
      </c>
      <c r="B521" s="136" t="n">
        <f aca="false">IF(Calculator!$E$11="YES",IF(A521&lt;Calculator!$G$11,0,MIN(MIN(MOD(A521/Calculator!$F$11,1),1-MOD(A521/Calculator!$F$11,1)),ABS(MOD(A521/Calculator!$F$11,1)-0.5))),1)</f>
        <v>0.245333333333333</v>
      </c>
      <c r="C521" s="136" t="n">
        <f aca="false">IF(Calculator!$E$12="YES",IF(A521&lt;Calculator!$G$12,0,MIN(MIN(MOD(A521/Calculator!$F$12,1),1-MOD(A521/Calculator!$F$12,1)),ABS(MOD(A521/Calculator!$F$12,1)-0.5))),1)</f>
        <v>0.0502456140350875</v>
      </c>
      <c r="D521" s="136" t="n">
        <f aca="false">IF(Calculator!$E$13="YES",IF(A521&lt;Calculator!$G$13,0,MIN(MIN(MOD(A521/Calculator!$F$13,1),1-MOD(A521/Calculator!$F$13,1)),ABS(MOD(A521/Calculator!$F$13,1)-0.5))),1)</f>
        <v>0.128557192982456</v>
      </c>
      <c r="E521" s="136" t="n">
        <f aca="false">IF(Calculator!$E$14="YES",IF(A521&lt;Calculator!$G$14,0,MIN(MIN(MOD(A521/Calculator!$F$14,1),1-MOD(A521/Calculator!$F$14,1)),ABS(MOD(A521/Calculator!$F$14,1)-0.5))),1)</f>
        <v>0.160070175438596</v>
      </c>
      <c r="F521" s="136" t="n">
        <f aca="false">IF(Calculator!$E$15="YES",IF(A521&lt;Calculator!$G$15,0,MIN(MIN(MOD(A521/Calculator!$F$15,1),1-MOD(A521/Calculator!$F$15,1)),ABS(MOD(A521/Calculator!$F$15,1)-0.5))),1)</f>
        <v>0.0215789473684209</v>
      </c>
      <c r="G521" s="136" t="n">
        <f aca="false">IF(Calculator!$E$16="YES",IF(A521&lt;Calculator!$G$16,0,MIN(MIN(MOD(A521/Calculator!$F$16,1),1-MOD(A521/Calculator!$F$16,1)),ABS(MOD(A521/Calculator!$F$16,1)-0.5))),1)</f>
        <v>0.13021052631579</v>
      </c>
      <c r="H521" s="136" t="n">
        <f aca="false">IF(Calculator!$E$17="YES",IF(A521&lt;Calculator!$G$17,0,MIN(MIN(MOD(A521/Calculator!$F$17,1),1-MOD(A521/Calculator!$F$17,1)),ABS(MOD(A521/Calculator!$F$17,1)-0.5))),1)</f>
        <v>0.196342456140352</v>
      </c>
      <c r="I521" s="136" t="n">
        <f aca="false">IF(Calculator!$E$18="YES",IF(A521&lt;Calculator!$G$18,0,MIN(MIN(MOD(A521/Calculator!$F$18,1),1-MOD(A521/Calculator!$F$18,1)),ABS(MOD(A521/Calculator!$F$18,1)-0.5))),1)</f>
        <v>0.0695789473684201</v>
      </c>
      <c r="J521" s="136" t="n">
        <f aca="false">IF(Calculator!$E$19="YES",IF(A521&lt;Calculator!$G$19,0,MIN(MIN(MOD(A521/Calculator!$F$19,1),1-MOD(A521/Calculator!$F$19,1)),ABS(MOD(A521/Calculator!$F$19,1)-0.5))),1)</f>
        <v>0.094007017543861</v>
      </c>
      <c r="K521" s="136" t="n">
        <f aca="false">IF(Calculator!$E$20="YES",IF(A521&lt;Calculator!$G$20,0,MIN(MIN(MOD(A521/Calculator!$F$20,1),1-MOD(A521/Calculator!$F$20,1)),ABS(MOD(A521/Calculator!$F$20,1)-0.5))),1)</f>
        <v>0.04098245614035</v>
      </c>
      <c r="L521" s="136" t="n">
        <f aca="false">IF(Calculator!$E$21="YES",IF(A521&lt;Calculator!$G$21,0,MIN(MIN(MOD(A521/Calculator!$F$21,1),1-MOD(A521/Calculator!$F$21,1)),ABS(MOD(A521/Calculator!$F$21,1)-0.5))),1)</f>
        <v>0.154035087719297</v>
      </c>
      <c r="M521" s="136" t="n">
        <f aca="false">MIN(B521:L521)</f>
        <v>0.0215789473684209</v>
      </c>
      <c r="N521" s="136" t="n">
        <f aca="false">SUMPRODUCT(($M$5:$M$555&gt;M521)*1)+SUMPRODUCT(($M$5:$M$555=M521)*(ROW($M$5:$M$555)&lt;ROW(M521)))+1</f>
        <v>74</v>
      </c>
      <c r="O521" s="136" t="str">
        <f aca="false">IF(M521&gt;=0.2,"★★★ EXCELLENT",IF(M521&gt;=0.12,"★★  GOOD",IF(M521&gt;=0.07,"★  FAIR",IF(M521&gt;=0.025,"⚠  MARGINAL","✗  AVOID"))))</f>
        <v>✗  AVOID</v>
      </c>
    </row>
    <row r="522" customFormat="false" ht="15" hidden="false" customHeight="false" outlineLevel="0" collapsed="false">
      <c r="A522" s="137" t="n">
        <v>56.7</v>
      </c>
      <c r="B522" s="138" t="n">
        <f aca="false">IF(Calculator!$E$11="YES",IF(A522&lt;Calculator!$G$11,0,MIN(MIN(MOD(A522/Calculator!$F$11,1),1-MOD(A522/Calculator!$F$11,1)),ABS(MOD(A522/Calculator!$F$11,1)-0.5))),1)</f>
        <v>0.244</v>
      </c>
      <c r="C522" s="138" t="n">
        <f aca="false">IF(Calculator!$E$12="YES",IF(A522&lt;Calculator!$G$12,0,MIN(MIN(MOD(A522/Calculator!$F$12,1),1-MOD(A522/Calculator!$F$12,1)),ABS(MOD(A522/Calculator!$F$12,1)-0.5))),1)</f>
        <v>0.0476842105263158</v>
      </c>
      <c r="D522" s="138" t="n">
        <f aca="false">IF(Calculator!$E$13="YES",IF(A522&lt;Calculator!$G$13,0,MIN(MIN(MOD(A522/Calculator!$F$13,1),1-MOD(A522/Calculator!$F$13,1)),ABS(MOD(A522/Calculator!$F$13,1)-0.5))),1)</f>
        <v>0.132317894736842</v>
      </c>
      <c r="E522" s="138" t="n">
        <f aca="false">IF(Calculator!$E$14="YES",IF(A522&lt;Calculator!$G$14,0,MIN(MIN(MOD(A522/Calculator!$F$14,1),1-MOD(A522/Calculator!$F$14,1)),ABS(MOD(A522/Calculator!$F$14,1)-0.5))),1)</f>
        <v>0.155052631578947</v>
      </c>
      <c r="F522" s="138" t="n">
        <f aca="false">IF(Calculator!$E$15="YES",IF(A522&lt;Calculator!$G$15,0,MIN(MIN(MOD(A522/Calculator!$F$15,1),1-MOD(A522/Calculator!$F$15,1)),ABS(MOD(A522/Calculator!$F$15,1)-0.5))),1)</f>
        <v>0.0286842105263156</v>
      </c>
      <c r="G522" s="138" t="n">
        <f aca="false">IF(Calculator!$E$16="YES",IF(A522&lt;Calculator!$G$16,0,MIN(MIN(MOD(A522/Calculator!$F$16,1),1-MOD(A522/Calculator!$F$16,1)),ABS(MOD(A522/Calculator!$F$16,1)-0.5))),1)</f>
        <v>0.140157894736843</v>
      </c>
      <c r="H522" s="138" t="n">
        <f aca="false">IF(Calculator!$E$17="YES",IF(A522&lt;Calculator!$G$17,0,MIN(MIN(MOD(A522/Calculator!$F$17,1),1-MOD(A522/Calculator!$F$17,1)),ABS(MOD(A522/Calculator!$F$17,1)-0.5))),1)</f>
        <v>0.209056842105264</v>
      </c>
      <c r="I522" s="138" t="n">
        <f aca="false">IF(Calculator!$E$18="YES",IF(A522&lt;Calculator!$G$18,0,MIN(MIN(MOD(A522/Calculator!$F$18,1),1-MOD(A522/Calculator!$F$18,1)),ABS(MOD(A522/Calculator!$F$18,1)-0.5))),1)</f>
        <v>0.0546842105263146</v>
      </c>
      <c r="J522" s="138" t="n">
        <f aca="false">IF(Calculator!$E$19="YES",IF(A522&lt;Calculator!$G$19,0,MIN(MIN(MOD(A522/Calculator!$F$19,1),1-MOD(A522/Calculator!$F$19,1)),ABS(MOD(A522/Calculator!$F$19,1)-0.5))),1)</f>
        <v>0.0765052631578964</v>
      </c>
      <c r="K522" s="138" t="n">
        <f aca="false">IF(Calculator!$E$20="YES",IF(A522&lt;Calculator!$G$20,0,MIN(MIN(MOD(A522/Calculator!$F$20,1),1-MOD(A522/Calculator!$F$20,1)),ABS(MOD(A522/Calculator!$F$20,1)-0.5))),1)</f>
        <v>0.0207368421052632</v>
      </c>
      <c r="L522" s="138" t="n">
        <f aca="false">IF(Calculator!$E$21="YES",IF(A522&lt;Calculator!$G$21,0,MIN(MIN(MOD(A522/Calculator!$F$21,1),1-MOD(A522/Calculator!$F$21,1)),ABS(MOD(A522/Calculator!$F$21,1)-0.5))),1)</f>
        <v>0.190526315789473</v>
      </c>
      <c r="M522" s="138" t="n">
        <f aca="false">MIN(B522:L522)</f>
        <v>0.0207368421052632</v>
      </c>
      <c r="N522" s="138" t="n">
        <f aca="false">SUMPRODUCT(($M$5:$M$555&gt;M522)*1)+SUMPRODUCT(($M$5:$M$555=M522)*(ROW($M$5:$M$555)&lt;ROW(M522)))+1</f>
        <v>78</v>
      </c>
      <c r="O522" s="138" t="str">
        <f aca="false">IF(M522&gt;=0.2,"★★★ EXCELLENT",IF(M522&gt;=0.12,"★★  GOOD",IF(M522&gt;=0.07,"★  FAIR",IF(M522&gt;=0.025,"⚠  MARGINAL","✗  AVOID"))))</f>
        <v>✗  AVOID</v>
      </c>
    </row>
    <row r="523" customFormat="false" ht="15" hidden="false" customHeight="false" outlineLevel="0" collapsed="false">
      <c r="A523" s="135" t="n">
        <v>56.8</v>
      </c>
      <c r="B523" s="136" t="n">
        <f aca="false">IF(Calculator!$E$11="YES",IF(A523&lt;Calculator!$G$11,0,MIN(MIN(MOD(A523/Calculator!$F$11,1),1-MOD(A523/Calculator!$F$11,1)),ABS(MOD(A523/Calculator!$F$11,1)-0.5))),1)</f>
        <v>0.242666666666667</v>
      </c>
      <c r="C523" s="136" t="n">
        <f aca="false">IF(Calculator!$E$12="YES",IF(A523&lt;Calculator!$G$12,0,MIN(MIN(MOD(A523/Calculator!$F$12,1),1-MOD(A523/Calculator!$F$12,1)),ABS(MOD(A523/Calculator!$F$12,1)-0.5))),1)</f>
        <v>0.0451228070175438</v>
      </c>
      <c r="D523" s="136" t="n">
        <f aca="false">IF(Calculator!$E$13="YES",IF(A523&lt;Calculator!$G$13,0,MIN(MIN(MOD(A523/Calculator!$F$13,1),1-MOD(A523/Calculator!$F$13,1)),ABS(MOD(A523/Calculator!$F$13,1)-0.5))),1)</f>
        <v>0.136078596491228</v>
      </c>
      <c r="E523" s="136" t="n">
        <f aca="false">IF(Calculator!$E$14="YES",IF(A523&lt;Calculator!$G$14,0,MIN(MIN(MOD(A523/Calculator!$F$14,1),1-MOD(A523/Calculator!$F$14,1)),ABS(MOD(A523/Calculator!$F$14,1)-0.5))),1)</f>
        <v>0.150035087719298</v>
      </c>
      <c r="F523" s="136" t="n">
        <f aca="false">IF(Calculator!$E$15="YES",IF(A523&lt;Calculator!$G$15,0,MIN(MIN(MOD(A523/Calculator!$F$15,1),1-MOD(A523/Calculator!$F$15,1)),ABS(MOD(A523/Calculator!$F$15,1)-0.5))),1)</f>
        <v>0.0357894736842104</v>
      </c>
      <c r="G523" s="136" t="n">
        <f aca="false">IF(Calculator!$E$16="YES",IF(A523&lt;Calculator!$G$16,0,MIN(MIN(MOD(A523/Calculator!$F$16,1),1-MOD(A523/Calculator!$F$16,1)),ABS(MOD(A523/Calculator!$F$16,1)-0.5))),1)</f>
        <v>0.150105263157895</v>
      </c>
      <c r="H523" s="136" t="n">
        <f aca="false">IF(Calculator!$E$17="YES",IF(A523&lt;Calculator!$G$17,0,MIN(MIN(MOD(A523/Calculator!$F$17,1),1-MOD(A523/Calculator!$F$17,1)),ABS(MOD(A523/Calculator!$F$17,1)-0.5))),1)</f>
        <v>0.221771228070176</v>
      </c>
      <c r="I523" s="136" t="n">
        <f aca="false">IF(Calculator!$E$18="YES",IF(A523&lt;Calculator!$G$18,0,MIN(MIN(MOD(A523/Calculator!$F$18,1),1-MOD(A523/Calculator!$F$18,1)),ABS(MOD(A523/Calculator!$F$18,1)-0.5))),1)</f>
        <v>0.0397894736842108</v>
      </c>
      <c r="J523" s="136" t="n">
        <f aca="false">IF(Calculator!$E$19="YES",IF(A523&lt;Calculator!$G$19,0,MIN(MIN(MOD(A523/Calculator!$F$19,1),1-MOD(A523/Calculator!$F$19,1)),ABS(MOD(A523/Calculator!$F$19,1)-0.5))),1)</f>
        <v>0.0590035087719318</v>
      </c>
      <c r="K523" s="136" t="n">
        <f aca="false">IF(Calculator!$E$20="YES",IF(A523&lt;Calculator!$G$20,0,MIN(MIN(MOD(A523/Calculator!$F$20,1),1-MOD(A523/Calculator!$F$20,1)),ABS(MOD(A523/Calculator!$F$20,1)-0.5))),1)</f>
        <v>0.000491228070176319</v>
      </c>
      <c r="L523" s="136" t="n">
        <f aca="false">IF(Calculator!$E$21="YES",IF(A523&lt;Calculator!$G$21,0,MIN(MIN(MOD(A523/Calculator!$F$21,1),1-MOD(A523/Calculator!$F$21,1)),ABS(MOD(A523/Calculator!$F$21,1)-0.5))),1)</f>
        <v>0.227017543859649</v>
      </c>
      <c r="M523" s="136" t="n">
        <f aca="false">MIN(B523:L523)</f>
        <v>0.000491228070176319</v>
      </c>
      <c r="N523" s="136" t="n">
        <f aca="false">SUMPRODUCT(($M$5:$M$555&gt;M523)*1)+SUMPRODUCT(($M$5:$M$555=M523)*(ROW($M$5:$M$555)&lt;ROW(M523)))+1</f>
        <v>223</v>
      </c>
      <c r="O523" s="136" t="str">
        <f aca="false">IF(M523&gt;=0.2,"★★★ EXCELLENT",IF(M523&gt;=0.12,"★★  GOOD",IF(M523&gt;=0.07,"★  FAIR",IF(M523&gt;=0.025,"⚠  MARGINAL","✗  AVOID"))))</f>
        <v>✗  AVOID</v>
      </c>
    </row>
    <row r="524" customFormat="false" ht="15" hidden="false" customHeight="false" outlineLevel="0" collapsed="false">
      <c r="A524" s="137" t="n">
        <v>56.9</v>
      </c>
      <c r="B524" s="138" t="n">
        <f aca="false">IF(Calculator!$E$11="YES",IF(A524&lt;Calculator!$G$11,0,MIN(MIN(MOD(A524/Calculator!$F$11,1),1-MOD(A524/Calculator!$F$11,1)),ABS(MOD(A524/Calculator!$F$11,1)-0.5))),1)</f>
        <v>0.241333333333333</v>
      </c>
      <c r="C524" s="138" t="n">
        <f aca="false">IF(Calculator!$E$12="YES",IF(A524&lt;Calculator!$G$12,0,MIN(MIN(MOD(A524/Calculator!$F$12,1),1-MOD(A524/Calculator!$F$12,1)),ABS(MOD(A524/Calculator!$F$12,1)-0.5))),1)</f>
        <v>0.042561403508772</v>
      </c>
      <c r="D524" s="138" t="n">
        <f aca="false">IF(Calculator!$E$13="YES",IF(A524&lt;Calculator!$G$13,0,MIN(MIN(MOD(A524/Calculator!$F$13,1),1-MOD(A524/Calculator!$F$13,1)),ABS(MOD(A524/Calculator!$F$13,1)-0.5))),1)</f>
        <v>0.139839298245614</v>
      </c>
      <c r="E524" s="138" t="n">
        <f aca="false">IF(Calculator!$E$14="YES",IF(A524&lt;Calculator!$G$14,0,MIN(MIN(MOD(A524/Calculator!$F$14,1),1-MOD(A524/Calculator!$F$14,1)),ABS(MOD(A524/Calculator!$F$14,1)-0.5))),1)</f>
        <v>0.145017543859649</v>
      </c>
      <c r="F524" s="138" t="n">
        <f aca="false">IF(Calculator!$E$15="YES",IF(A524&lt;Calculator!$G$15,0,MIN(MIN(MOD(A524/Calculator!$F$15,1),1-MOD(A524/Calculator!$F$15,1)),ABS(MOD(A524/Calculator!$F$15,1)-0.5))),1)</f>
        <v>0.0428947368421051</v>
      </c>
      <c r="G524" s="138" t="n">
        <f aca="false">IF(Calculator!$E$16="YES",IF(A524&lt;Calculator!$G$16,0,MIN(MIN(MOD(A524/Calculator!$F$16,1),1-MOD(A524/Calculator!$F$16,1)),ABS(MOD(A524/Calculator!$F$16,1)-0.5))),1)</f>
        <v>0.160052631578948</v>
      </c>
      <c r="H524" s="138" t="n">
        <f aca="false">IF(Calculator!$E$17="YES",IF(A524&lt;Calculator!$G$17,0,MIN(MIN(MOD(A524/Calculator!$F$17,1),1-MOD(A524/Calculator!$F$17,1)),ABS(MOD(A524/Calculator!$F$17,1)-0.5))),1)</f>
        <v>0.234485614035088</v>
      </c>
      <c r="I524" s="138" t="n">
        <f aca="false">IF(Calculator!$E$18="YES",IF(A524&lt;Calculator!$G$18,0,MIN(MIN(MOD(A524/Calculator!$F$18,1),1-MOD(A524/Calculator!$F$18,1)),ABS(MOD(A524/Calculator!$F$18,1)-0.5))),1)</f>
        <v>0.0248947368421053</v>
      </c>
      <c r="J524" s="138" t="n">
        <f aca="false">IF(Calculator!$E$19="YES",IF(A524&lt;Calculator!$G$19,0,MIN(MIN(MOD(A524/Calculator!$F$19,1),1-MOD(A524/Calculator!$F$19,1)),ABS(MOD(A524/Calculator!$F$19,1)-0.5))),1)</f>
        <v>0.0415017543859673</v>
      </c>
      <c r="K524" s="138" t="n">
        <f aca="false">IF(Calculator!$E$20="YES",IF(A524&lt;Calculator!$G$20,0,MIN(MIN(MOD(A524/Calculator!$F$20,1),1-MOD(A524/Calculator!$F$20,1)),ABS(MOD(A524/Calculator!$F$20,1)-0.5))),1)</f>
        <v>0.0197543859649123</v>
      </c>
      <c r="L524" s="138" t="n">
        <f aca="false">IF(Calculator!$E$21="YES",IF(A524&lt;Calculator!$G$21,0,MIN(MIN(MOD(A524/Calculator!$F$21,1),1-MOD(A524/Calculator!$F$21,1)),ABS(MOD(A524/Calculator!$F$21,1)-0.5))),1)</f>
        <v>0.236491228070175</v>
      </c>
      <c r="M524" s="138" t="n">
        <f aca="false">MIN(B524:L524)</f>
        <v>0.0197543859649123</v>
      </c>
      <c r="N524" s="138" t="n">
        <f aca="false">SUMPRODUCT(($M$5:$M$555&gt;M524)*1)+SUMPRODUCT(($M$5:$M$555=M524)*(ROW($M$5:$M$555)&lt;ROW(M524)))+1</f>
        <v>82</v>
      </c>
      <c r="O524" s="138" t="str">
        <f aca="false">IF(M524&gt;=0.2,"★★★ EXCELLENT",IF(M524&gt;=0.12,"★★  GOOD",IF(M524&gt;=0.07,"★  FAIR",IF(M524&gt;=0.025,"⚠  MARGINAL","✗  AVOID"))))</f>
        <v>✗  AVOID</v>
      </c>
    </row>
    <row r="525" customFormat="false" ht="15" hidden="false" customHeight="false" outlineLevel="0" collapsed="false">
      <c r="A525" s="135" t="n">
        <v>57</v>
      </c>
      <c r="B525" s="136" t="n">
        <f aca="false">IF(Calculator!$E$11="YES",IF(A525&lt;Calculator!$G$11,0,MIN(MIN(MOD(A525/Calculator!$F$11,1),1-MOD(A525/Calculator!$F$11,1)),ABS(MOD(A525/Calculator!$F$11,1)-0.5))),1)</f>
        <v>0.24</v>
      </c>
      <c r="C525" s="136" t="n">
        <f aca="false">IF(Calculator!$E$12="YES",IF(A525&lt;Calculator!$G$12,0,MIN(MIN(MOD(A525/Calculator!$F$12,1),1-MOD(A525/Calculator!$F$12,1)),ABS(MOD(A525/Calculator!$F$12,1)-0.5))),1)</f>
        <v>0.04</v>
      </c>
      <c r="D525" s="136" t="n">
        <f aca="false">IF(Calculator!$E$13="YES",IF(A525&lt;Calculator!$G$13,0,MIN(MIN(MOD(A525/Calculator!$F$13,1),1-MOD(A525/Calculator!$F$13,1)),ABS(MOD(A525/Calculator!$F$13,1)-0.5))),1)</f>
        <v>0.1436</v>
      </c>
      <c r="E525" s="136" t="n">
        <f aca="false">IF(Calculator!$E$14="YES",IF(A525&lt;Calculator!$G$14,0,MIN(MIN(MOD(A525/Calculator!$F$14,1),1-MOD(A525/Calculator!$F$14,1)),ABS(MOD(A525/Calculator!$F$14,1)-0.5))),1)</f>
        <v>0.14</v>
      </c>
      <c r="F525" s="136" t="n">
        <f aca="false">IF(Calculator!$E$15="YES",IF(A525&lt;Calculator!$G$15,0,MIN(MIN(MOD(A525/Calculator!$F$15,1),1-MOD(A525/Calculator!$F$15,1)),ABS(MOD(A525/Calculator!$F$15,1)-0.5))),1)</f>
        <v>0.0499999999999998</v>
      </c>
      <c r="G525" s="136" t="n">
        <f aca="false">IF(Calculator!$E$16="YES",IF(A525&lt;Calculator!$G$16,0,MIN(MIN(MOD(A525/Calculator!$F$16,1),1-MOD(A525/Calculator!$F$16,1)),ABS(MOD(A525/Calculator!$F$16,1)-0.5))),1)</f>
        <v>0.170000000000001</v>
      </c>
      <c r="H525" s="136" t="n">
        <f aca="false">IF(Calculator!$E$17="YES",IF(A525&lt;Calculator!$G$17,0,MIN(MIN(MOD(A525/Calculator!$F$17,1),1-MOD(A525/Calculator!$F$17,1)),ABS(MOD(A525/Calculator!$F$17,1)-0.5))),1)</f>
        <v>0.247200000000001</v>
      </c>
      <c r="I525" s="136" t="n">
        <f aca="false">IF(Calculator!$E$18="YES",IF(A525&lt;Calculator!$G$18,0,MIN(MIN(MOD(A525/Calculator!$F$18,1),1-MOD(A525/Calculator!$F$18,1)),ABS(MOD(A525/Calculator!$F$18,1)-0.5))),1)</f>
        <v>0.00999999999999979</v>
      </c>
      <c r="J525" s="136" t="n">
        <f aca="false">IF(Calculator!$E$19="YES",IF(A525&lt;Calculator!$G$19,0,MIN(MIN(MOD(A525/Calculator!$F$19,1),1-MOD(A525/Calculator!$F$19,1)),ABS(MOD(A525/Calculator!$F$19,1)-0.5))),1)</f>
        <v>0.0240000000000009</v>
      </c>
      <c r="K525" s="136" t="n">
        <f aca="false">IF(Calculator!$E$20="YES",IF(A525&lt;Calculator!$G$20,0,MIN(MIN(MOD(A525/Calculator!$F$20,1),1-MOD(A525/Calculator!$F$20,1)),ABS(MOD(A525/Calculator!$F$20,1)-0.5))),1)</f>
        <v>0.0399999999999992</v>
      </c>
      <c r="L525" s="136" t="n">
        <f aca="false">IF(Calculator!$E$21="YES",IF(A525&lt;Calculator!$G$21,0,MIN(MIN(MOD(A525/Calculator!$F$21,1),1-MOD(A525/Calculator!$F$21,1)),ABS(MOD(A525/Calculator!$F$21,1)-0.5))),1)</f>
        <v>0.199999999999999</v>
      </c>
      <c r="M525" s="136" t="n">
        <f aca="false">MIN(B525:L525)</f>
        <v>0.00999999999999979</v>
      </c>
      <c r="N525" s="136" t="n">
        <f aca="false">SUMPRODUCT(($M$5:$M$555&gt;M525)*1)+SUMPRODUCT(($M$5:$M$555=M525)*(ROW($M$5:$M$555)&lt;ROW(M525)))+1</f>
        <v>134</v>
      </c>
      <c r="O525" s="136" t="str">
        <f aca="false">IF(M525&gt;=0.2,"★★★ EXCELLENT",IF(M525&gt;=0.12,"★★  GOOD",IF(M525&gt;=0.07,"★  FAIR",IF(M525&gt;=0.025,"⚠  MARGINAL","✗  AVOID"))))</f>
        <v>✗  AVOID</v>
      </c>
    </row>
    <row r="526" customFormat="false" ht="15" hidden="false" customHeight="false" outlineLevel="0" collapsed="false">
      <c r="A526" s="137" t="n">
        <v>57.1</v>
      </c>
      <c r="B526" s="138" t="n">
        <f aca="false">IF(Calculator!$E$11="YES",IF(A526&lt;Calculator!$G$11,0,MIN(MIN(MOD(A526/Calculator!$F$11,1),1-MOD(A526/Calculator!$F$11,1)),ABS(MOD(A526/Calculator!$F$11,1)-0.5))),1)</f>
        <v>0.238666666666667</v>
      </c>
      <c r="C526" s="138" t="n">
        <f aca="false">IF(Calculator!$E$12="YES",IF(A526&lt;Calculator!$G$12,0,MIN(MIN(MOD(A526/Calculator!$F$12,1),1-MOD(A526/Calculator!$F$12,1)),ABS(MOD(A526/Calculator!$F$12,1)-0.5))),1)</f>
        <v>0.0374385964912281</v>
      </c>
      <c r="D526" s="138" t="n">
        <f aca="false">IF(Calculator!$E$13="YES",IF(A526&lt;Calculator!$G$13,0,MIN(MIN(MOD(A526/Calculator!$F$13,1),1-MOD(A526/Calculator!$F$13,1)),ABS(MOD(A526/Calculator!$F$13,1)-0.5))),1)</f>
        <v>0.147360701754386</v>
      </c>
      <c r="E526" s="138" t="n">
        <f aca="false">IF(Calculator!$E$14="YES",IF(A526&lt;Calculator!$G$14,0,MIN(MIN(MOD(A526/Calculator!$F$14,1),1-MOD(A526/Calculator!$F$14,1)),ABS(MOD(A526/Calculator!$F$14,1)-0.5))),1)</f>
        <v>0.134982456140351</v>
      </c>
      <c r="F526" s="138" t="n">
        <f aca="false">IF(Calculator!$E$15="YES",IF(A526&lt;Calculator!$G$15,0,MIN(MIN(MOD(A526/Calculator!$F$15,1),1-MOD(A526/Calculator!$F$15,1)),ABS(MOD(A526/Calculator!$F$15,1)-0.5))),1)</f>
        <v>0.0571052631578946</v>
      </c>
      <c r="G526" s="138" t="n">
        <f aca="false">IF(Calculator!$E$16="YES",IF(A526&lt;Calculator!$G$16,0,MIN(MIN(MOD(A526/Calculator!$F$16,1),1-MOD(A526/Calculator!$F$16,1)),ABS(MOD(A526/Calculator!$F$16,1)-0.5))),1)</f>
        <v>0.179947368421053</v>
      </c>
      <c r="H526" s="138" t="n">
        <f aca="false">IF(Calculator!$E$17="YES",IF(A526&lt;Calculator!$G$17,0,MIN(MIN(MOD(A526/Calculator!$F$17,1),1-MOD(A526/Calculator!$F$17,1)),ABS(MOD(A526/Calculator!$F$17,1)-0.5))),1)</f>
        <v>0.240085614035086</v>
      </c>
      <c r="I526" s="138" t="n">
        <f aca="false">IF(Calculator!$E$18="YES",IF(A526&lt;Calculator!$G$18,0,MIN(MIN(MOD(A526/Calculator!$F$18,1),1-MOD(A526/Calculator!$F$18,1)),ABS(MOD(A526/Calculator!$F$18,1)-0.5))),1)</f>
        <v>0.00489473684210573</v>
      </c>
      <c r="J526" s="138" t="n">
        <f aca="false">IF(Calculator!$E$19="YES",IF(A526&lt;Calculator!$G$19,0,MIN(MIN(MOD(A526/Calculator!$F$19,1),1-MOD(A526/Calculator!$F$19,1)),ABS(MOD(A526/Calculator!$F$19,1)-0.5))),1)</f>
        <v>0.00649824561403634</v>
      </c>
      <c r="K526" s="138" t="n">
        <f aca="false">IF(Calculator!$E$20="YES",IF(A526&lt;Calculator!$G$20,0,MIN(MIN(MOD(A526/Calculator!$F$20,1),1-MOD(A526/Calculator!$F$20,1)),ABS(MOD(A526/Calculator!$F$20,1)-0.5))),1)</f>
        <v>0.0602456140350878</v>
      </c>
      <c r="L526" s="138" t="n">
        <f aca="false">IF(Calculator!$E$21="YES",IF(A526&lt;Calculator!$G$21,0,MIN(MIN(MOD(A526/Calculator!$F$21,1),1-MOD(A526/Calculator!$F$21,1)),ABS(MOD(A526/Calculator!$F$21,1)-0.5))),1)</f>
        <v>0.163508771929823</v>
      </c>
      <c r="M526" s="138" t="n">
        <f aca="false">MIN(B526:L526)</f>
        <v>0.00489473684210573</v>
      </c>
      <c r="N526" s="138" t="n">
        <f aca="false">SUMPRODUCT(($M$5:$M$555&gt;M526)*1)+SUMPRODUCT(($M$5:$M$555=M526)*(ROW($M$5:$M$555)&lt;ROW(M526)))+1</f>
        <v>177</v>
      </c>
      <c r="O526" s="138" t="str">
        <f aca="false">IF(M526&gt;=0.2,"★★★ EXCELLENT",IF(M526&gt;=0.12,"★★  GOOD",IF(M526&gt;=0.07,"★  FAIR",IF(M526&gt;=0.025,"⚠  MARGINAL","✗  AVOID"))))</f>
        <v>✗  AVOID</v>
      </c>
    </row>
    <row r="527" customFormat="false" ht="15" hidden="false" customHeight="false" outlineLevel="0" collapsed="false">
      <c r="A527" s="135" t="n">
        <v>57.2</v>
      </c>
      <c r="B527" s="136" t="n">
        <f aca="false">IF(Calculator!$E$11="YES",IF(A527&lt;Calculator!$G$11,0,MIN(MIN(MOD(A527/Calculator!$F$11,1),1-MOD(A527/Calculator!$F$11,1)),ABS(MOD(A527/Calculator!$F$11,1)-0.5))),1)</f>
        <v>0.237333333333333</v>
      </c>
      <c r="C527" s="136" t="n">
        <f aca="false">IF(Calculator!$E$12="YES",IF(A527&lt;Calculator!$G$12,0,MIN(MIN(MOD(A527/Calculator!$F$12,1),1-MOD(A527/Calculator!$F$12,1)),ABS(MOD(A527/Calculator!$F$12,1)-0.5))),1)</f>
        <v>0.0348771929824561</v>
      </c>
      <c r="D527" s="136" t="n">
        <f aca="false">IF(Calculator!$E$13="YES",IF(A527&lt;Calculator!$G$13,0,MIN(MIN(MOD(A527/Calculator!$F$13,1),1-MOD(A527/Calculator!$F$13,1)),ABS(MOD(A527/Calculator!$F$13,1)-0.5))),1)</f>
        <v>0.151121403508772</v>
      </c>
      <c r="E527" s="136" t="n">
        <f aca="false">IF(Calculator!$E$14="YES",IF(A527&lt;Calculator!$G$14,0,MIN(MIN(MOD(A527/Calculator!$F$14,1),1-MOD(A527/Calculator!$F$14,1)),ABS(MOD(A527/Calculator!$F$14,1)-0.5))),1)</f>
        <v>0.129964912280701</v>
      </c>
      <c r="F527" s="136" t="n">
        <f aca="false">IF(Calculator!$E$15="YES",IF(A527&lt;Calculator!$G$15,0,MIN(MIN(MOD(A527/Calculator!$F$15,1),1-MOD(A527/Calculator!$F$15,1)),ABS(MOD(A527/Calculator!$F$15,1)-0.5))),1)</f>
        <v>0.0642105263157893</v>
      </c>
      <c r="G527" s="136" t="n">
        <f aca="false">IF(Calculator!$E$16="YES",IF(A527&lt;Calculator!$G$16,0,MIN(MIN(MOD(A527/Calculator!$F$16,1),1-MOD(A527/Calculator!$F$16,1)),ABS(MOD(A527/Calculator!$F$16,1)-0.5))),1)</f>
        <v>0.189894736842106</v>
      </c>
      <c r="H527" s="136" t="n">
        <f aca="false">IF(Calculator!$E$17="YES",IF(A527&lt;Calculator!$G$17,0,MIN(MIN(MOD(A527/Calculator!$F$17,1),1-MOD(A527/Calculator!$F$17,1)),ABS(MOD(A527/Calculator!$F$17,1)-0.5))),1)</f>
        <v>0.227371228070174</v>
      </c>
      <c r="I527" s="136" t="n">
        <f aca="false">IF(Calculator!$E$18="YES",IF(A527&lt;Calculator!$G$18,0,MIN(MIN(MOD(A527/Calculator!$F$18,1),1-MOD(A527/Calculator!$F$18,1)),ABS(MOD(A527/Calculator!$F$18,1)-0.5))),1)</f>
        <v>0.0197894736842112</v>
      </c>
      <c r="J527" s="136" t="n">
        <f aca="false">IF(Calculator!$E$19="YES",IF(A527&lt;Calculator!$G$19,0,MIN(MIN(MOD(A527/Calculator!$F$19,1),1-MOD(A527/Calculator!$F$19,1)),ABS(MOD(A527/Calculator!$F$19,1)-0.5))),1)</f>
        <v>0.0110035087719282</v>
      </c>
      <c r="K527" s="136" t="n">
        <f aca="false">IF(Calculator!$E$20="YES",IF(A527&lt;Calculator!$G$20,0,MIN(MIN(MOD(A527/Calculator!$F$20,1),1-MOD(A527/Calculator!$F$20,1)),ABS(MOD(A527/Calculator!$F$20,1)-0.5))),1)</f>
        <v>0.0804912280701764</v>
      </c>
      <c r="L527" s="136" t="n">
        <f aca="false">IF(Calculator!$E$21="YES",IF(A527&lt;Calculator!$G$21,0,MIN(MIN(MOD(A527/Calculator!$F$21,1),1-MOD(A527/Calculator!$F$21,1)),ABS(MOD(A527/Calculator!$F$21,1)-0.5))),1)</f>
        <v>0.127017543859647</v>
      </c>
      <c r="M527" s="136" t="n">
        <f aca="false">MIN(B527:L527)</f>
        <v>0.0110035087719282</v>
      </c>
      <c r="N527" s="136" t="n">
        <f aca="false">SUMPRODUCT(($M$5:$M$555&gt;M527)*1)+SUMPRODUCT(($M$5:$M$555=M527)*(ROW($M$5:$M$555)&lt;ROW(M527)))+1</f>
        <v>128</v>
      </c>
      <c r="O527" s="136" t="str">
        <f aca="false">IF(M527&gt;=0.2,"★★★ EXCELLENT",IF(M527&gt;=0.12,"★★  GOOD",IF(M527&gt;=0.07,"★  FAIR",IF(M527&gt;=0.025,"⚠  MARGINAL","✗  AVOID"))))</f>
        <v>✗  AVOID</v>
      </c>
    </row>
    <row r="528" customFormat="false" ht="15" hidden="false" customHeight="false" outlineLevel="0" collapsed="false">
      <c r="A528" s="137" t="n">
        <v>57.3</v>
      </c>
      <c r="B528" s="138" t="n">
        <f aca="false">IF(Calculator!$E$11="YES",IF(A528&lt;Calculator!$G$11,0,MIN(MIN(MOD(A528/Calculator!$F$11,1),1-MOD(A528/Calculator!$F$11,1)),ABS(MOD(A528/Calculator!$F$11,1)-0.5))),1)</f>
        <v>0.236</v>
      </c>
      <c r="C528" s="138" t="n">
        <f aca="false">IF(Calculator!$E$12="YES",IF(A528&lt;Calculator!$G$12,0,MIN(MIN(MOD(A528/Calculator!$F$12,1),1-MOD(A528/Calculator!$F$12,1)),ABS(MOD(A528/Calculator!$F$12,1)-0.5))),1)</f>
        <v>0.0323157894736843</v>
      </c>
      <c r="D528" s="138" t="n">
        <f aca="false">IF(Calculator!$E$13="YES",IF(A528&lt;Calculator!$G$13,0,MIN(MIN(MOD(A528/Calculator!$F$13,1),1-MOD(A528/Calculator!$F$13,1)),ABS(MOD(A528/Calculator!$F$13,1)-0.5))),1)</f>
        <v>0.154882105263158</v>
      </c>
      <c r="E528" s="138" t="n">
        <f aca="false">IF(Calculator!$E$14="YES",IF(A528&lt;Calculator!$G$14,0,MIN(MIN(MOD(A528/Calculator!$F$14,1),1-MOD(A528/Calculator!$F$14,1)),ABS(MOD(A528/Calculator!$F$14,1)-0.5))),1)</f>
        <v>0.124947368421053</v>
      </c>
      <c r="F528" s="138" t="n">
        <f aca="false">IF(Calculator!$E$15="YES",IF(A528&lt;Calculator!$G$15,0,MIN(MIN(MOD(A528/Calculator!$F$15,1),1-MOD(A528/Calculator!$F$15,1)),ABS(MOD(A528/Calculator!$F$15,1)-0.5))),1)</f>
        <v>0.071315789473684</v>
      </c>
      <c r="G528" s="138" t="n">
        <f aca="false">IF(Calculator!$E$16="YES",IF(A528&lt;Calculator!$G$16,0,MIN(MIN(MOD(A528/Calculator!$F$16,1),1-MOD(A528/Calculator!$F$16,1)),ABS(MOD(A528/Calculator!$F$16,1)-0.5))),1)</f>
        <v>0.199842105263159</v>
      </c>
      <c r="H528" s="138" t="n">
        <f aca="false">IF(Calculator!$E$17="YES",IF(A528&lt;Calculator!$G$17,0,MIN(MIN(MOD(A528/Calculator!$F$17,1),1-MOD(A528/Calculator!$F$17,1)),ABS(MOD(A528/Calculator!$F$17,1)-0.5))),1)</f>
        <v>0.214656842105263</v>
      </c>
      <c r="I528" s="138" t="n">
        <f aca="false">IF(Calculator!$E$18="YES",IF(A528&lt;Calculator!$G$18,0,MIN(MIN(MOD(A528/Calculator!$F$18,1),1-MOD(A528/Calculator!$F$18,1)),ABS(MOD(A528/Calculator!$F$18,1)-0.5))),1)</f>
        <v>0.034684210526315</v>
      </c>
      <c r="J528" s="138" t="n">
        <f aca="false">IF(Calculator!$E$19="YES",IF(A528&lt;Calculator!$G$19,0,MIN(MIN(MOD(A528/Calculator!$F$19,1),1-MOD(A528/Calculator!$F$19,1)),ABS(MOD(A528/Calculator!$F$19,1)-0.5))),1)</f>
        <v>0.0285052631578928</v>
      </c>
      <c r="K528" s="138" t="n">
        <f aca="false">IF(Calculator!$E$20="YES",IF(A528&lt;Calculator!$G$20,0,MIN(MIN(MOD(A528/Calculator!$F$20,1),1-MOD(A528/Calculator!$F$20,1)),ABS(MOD(A528/Calculator!$F$20,1)-0.5))),1)</f>
        <v>0.100736842105263</v>
      </c>
      <c r="L528" s="138" t="n">
        <f aca="false">IF(Calculator!$E$21="YES",IF(A528&lt;Calculator!$G$21,0,MIN(MIN(MOD(A528/Calculator!$F$21,1),1-MOD(A528/Calculator!$F$21,1)),ABS(MOD(A528/Calculator!$F$21,1)-0.5))),1)</f>
        <v>0.0905263157894751</v>
      </c>
      <c r="M528" s="138" t="n">
        <f aca="false">MIN(B528:L528)</f>
        <v>0.0285052631578928</v>
      </c>
      <c r="N528" s="138" t="n">
        <f aca="false">SUMPRODUCT(($M$5:$M$555&gt;M528)*1)+SUMPRODUCT(($M$5:$M$555=M528)*(ROW($M$5:$M$555)&lt;ROW(M528)))+1</f>
        <v>53</v>
      </c>
      <c r="O528" s="138" t="str">
        <f aca="false">IF(M528&gt;=0.2,"★★★ EXCELLENT",IF(M528&gt;=0.12,"★★  GOOD",IF(M528&gt;=0.07,"★  FAIR",IF(M528&gt;=0.025,"⚠  MARGINAL","✗  AVOID"))))</f>
        <v>⚠  MARGINAL</v>
      </c>
    </row>
    <row r="529" customFormat="false" ht="15" hidden="false" customHeight="false" outlineLevel="0" collapsed="false">
      <c r="A529" s="135" t="n">
        <v>57.4</v>
      </c>
      <c r="B529" s="136" t="n">
        <f aca="false">IF(Calculator!$E$11="YES",IF(A529&lt;Calculator!$G$11,0,MIN(MIN(MOD(A529/Calculator!$F$11,1),1-MOD(A529/Calculator!$F$11,1)),ABS(MOD(A529/Calculator!$F$11,1)-0.5))),1)</f>
        <v>0.234666666666667</v>
      </c>
      <c r="C529" s="136" t="n">
        <f aca="false">IF(Calculator!$E$12="YES",IF(A529&lt;Calculator!$G$12,0,MIN(MIN(MOD(A529/Calculator!$F$12,1),1-MOD(A529/Calculator!$F$12,1)),ABS(MOD(A529/Calculator!$F$12,1)-0.5))),1)</f>
        <v>0.0297543859649123</v>
      </c>
      <c r="D529" s="136" t="n">
        <f aca="false">IF(Calculator!$E$13="YES",IF(A529&lt;Calculator!$G$13,0,MIN(MIN(MOD(A529/Calculator!$F$13,1),1-MOD(A529/Calculator!$F$13,1)),ABS(MOD(A529/Calculator!$F$13,1)-0.5))),1)</f>
        <v>0.158642807017544</v>
      </c>
      <c r="E529" s="136" t="n">
        <f aca="false">IF(Calculator!$E$14="YES",IF(A529&lt;Calculator!$G$14,0,MIN(MIN(MOD(A529/Calculator!$F$14,1),1-MOD(A529/Calculator!$F$14,1)),ABS(MOD(A529/Calculator!$F$14,1)-0.5))),1)</f>
        <v>0.119929824561404</v>
      </c>
      <c r="F529" s="136" t="n">
        <f aca="false">IF(Calculator!$E$15="YES",IF(A529&lt;Calculator!$G$15,0,MIN(MIN(MOD(A529/Calculator!$F$15,1),1-MOD(A529/Calculator!$F$15,1)),ABS(MOD(A529/Calculator!$F$15,1)-0.5))),1)</f>
        <v>0.0784210526315787</v>
      </c>
      <c r="G529" s="136" t="n">
        <f aca="false">IF(Calculator!$E$16="YES",IF(A529&lt;Calculator!$G$16,0,MIN(MIN(MOD(A529/Calculator!$F$16,1),1-MOD(A529/Calculator!$F$16,1)),ABS(MOD(A529/Calculator!$F$16,1)-0.5))),1)</f>
        <v>0.209789473684211</v>
      </c>
      <c r="H529" s="136" t="n">
        <f aca="false">IF(Calculator!$E$17="YES",IF(A529&lt;Calculator!$G$17,0,MIN(MIN(MOD(A529/Calculator!$F$17,1),1-MOD(A529/Calculator!$F$17,1)),ABS(MOD(A529/Calculator!$F$17,1)-0.5))),1)</f>
        <v>0.20194245614035</v>
      </c>
      <c r="I529" s="136" t="n">
        <f aca="false">IF(Calculator!$E$18="YES",IF(A529&lt;Calculator!$G$18,0,MIN(MIN(MOD(A529/Calculator!$F$18,1),1-MOD(A529/Calculator!$F$18,1)),ABS(MOD(A529/Calculator!$F$18,1)-0.5))),1)</f>
        <v>0.0495789473684205</v>
      </c>
      <c r="J529" s="136" t="n">
        <f aca="false">IF(Calculator!$E$19="YES",IF(A529&lt;Calculator!$G$19,0,MIN(MIN(MOD(A529/Calculator!$F$19,1),1-MOD(A529/Calculator!$F$19,1)),ABS(MOD(A529/Calculator!$F$19,1)-0.5))),1)</f>
        <v>0.0460070175438574</v>
      </c>
      <c r="K529" s="136" t="n">
        <f aca="false">IF(Calculator!$E$20="YES",IF(A529&lt;Calculator!$G$20,0,MIN(MIN(MOD(A529/Calculator!$F$20,1),1-MOD(A529/Calculator!$F$20,1)),ABS(MOD(A529/Calculator!$F$20,1)-0.5))),1)</f>
        <v>0.12098245614035</v>
      </c>
      <c r="L529" s="136" t="n">
        <f aca="false">IF(Calculator!$E$21="YES",IF(A529&lt;Calculator!$G$21,0,MIN(MIN(MOD(A529/Calculator!$F$21,1),1-MOD(A529/Calculator!$F$21,1)),ABS(MOD(A529/Calculator!$F$21,1)-0.5))),1)</f>
        <v>0.0540350877192992</v>
      </c>
      <c r="M529" s="136" t="n">
        <f aca="false">MIN(B529:L529)</f>
        <v>0.0297543859649123</v>
      </c>
      <c r="N529" s="136" t="n">
        <f aca="false">SUMPRODUCT(($M$5:$M$555&gt;M529)*1)+SUMPRODUCT(($M$5:$M$555=M529)*(ROW($M$5:$M$555)&lt;ROW(M529)))+1</f>
        <v>49</v>
      </c>
      <c r="O529" s="136" t="str">
        <f aca="false">IF(M529&gt;=0.2,"★★★ EXCELLENT",IF(M529&gt;=0.12,"★★  GOOD",IF(M529&gt;=0.07,"★  FAIR",IF(M529&gt;=0.025,"⚠  MARGINAL","✗  AVOID"))))</f>
        <v>⚠  MARGINAL</v>
      </c>
    </row>
    <row r="530" customFormat="false" ht="15" hidden="false" customHeight="false" outlineLevel="0" collapsed="false">
      <c r="A530" s="137" t="n">
        <v>57.5</v>
      </c>
      <c r="B530" s="138" t="n">
        <f aca="false">IF(Calculator!$E$11="YES",IF(A530&lt;Calculator!$G$11,0,MIN(MIN(MOD(A530/Calculator!$F$11,1),1-MOD(A530/Calculator!$F$11,1)),ABS(MOD(A530/Calculator!$F$11,1)-0.5))),1)</f>
        <v>0.233333333333333</v>
      </c>
      <c r="C530" s="138" t="n">
        <f aca="false">IF(Calculator!$E$12="YES",IF(A530&lt;Calculator!$G$12,0,MIN(MIN(MOD(A530/Calculator!$F$12,1),1-MOD(A530/Calculator!$F$12,1)),ABS(MOD(A530/Calculator!$F$12,1)-0.5))),1)</f>
        <v>0.0271929824561403</v>
      </c>
      <c r="D530" s="138" t="n">
        <f aca="false">IF(Calculator!$E$13="YES",IF(A530&lt;Calculator!$G$13,0,MIN(MIN(MOD(A530/Calculator!$F$13,1),1-MOD(A530/Calculator!$F$13,1)),ABS(MOD(A530/Calculator!$F$13,1)-0.5))),1)</f>
        <v>0.16240350877193</v>
      </c>
      <c r="E530" s="138" t="n">
        <f aca="false">IF(Calculator!$E$14="YES",IF(A530&lt;Calculator!$G$14,0,MIN(MIN(MOD(A530/Calculator!$F$14,1),1-MOD(A530/Calculator!$F$14,1)),ABS(MOD(A530/Calculator!$F$14,1)-0.5))),1)</f>
        <v>0.114912280701754</v>
      </c>
      <c r="F530" s="138" t="n">
        <f aca="false">IF(Calculator!$E$15="YES",IF(A530&lt;Calculator!$G$15,0,MIN(MIN(MOD(A530/Calculator!$F$15,1),1-MOD(A530/Calculator!$F$15,1)),ABS(MOD(A530/Calculator!$F$15,1)-0.5))),1)</f>
        <v>0.0855263157894735</v>
      </c>
      <c r="G530" s="138" t="n">
        <f aca="false">IF(Calculator!$E$16="YES",IF(A530&lt;Calculator!$G$16,0,MIN(MIN(MOD(A530/Calculator!$F$16,1),1-MOD(A530/Calculator!$F$16,1)),ABS(MOD(A530/Calculator!$F$16,1)-0.5))),1)</f>
        <v>0.219736842105264</v>
      </c>
      <c r="H530" s="138" t="n">
        <f aca="false">IF(Calculator!$E$17="YES",IF(A530&lt;Calculator!$G$17,0,MIN(MIN(MOD(A530/Calculator!$F$17,1),1-MOD(A530/Calculator!$F$17,1)),ABS(MOD(A530/Calculator!$F$17,1)-0.5))),1)</f>
        <v>0.189228070175438</v>
      </c>
      <c r="I530" s="138" t="n">
        <f aca="false">IF(Calculator!$E$18="YES",IF(A530&lt;Calculator!$G$18,0,MIN(MIN(MOD(A530/Calculator!$F$18,1),1-MOD(A530/Calculator!$F$18,1)),ABS(MOD(A530/Calculator!$F$18,1)-0.5))),1)</f>
        <v>0.064473684210526</v>
      </c>
      <c r="J530" s="138" t="n">
        <f aca="false">IF(Calculator!$E$19="YES",IF(A530&lt;Calculator!$G$19,0,MIN(MIN(MOD(A530/Calculator!$F$19,1),1-MOD(A530/Calculator!$F$19,1)),ABS(MOD(A530/Calculator!$F$19,1)-0.5))),1)</f>
        <v>0.0635087719298237</v>
      </c>
      <c r="K530" s="138" t="n">
        <f aca="false">IF(Calculator!$E$20="YES",IF(A530&lt;Calculator!$G$20,0,MIN(MIN(MOD(A530/Calculator!$F$20,1),1-MOD(A530/Calculator!$F$20,1)),ABS(MOD(A530/Calculator!$F$20,1)-0.5))),1)</f>
        <v>0.141228070175439</v>
      </c>
      <c r="L530" s="138" t="n">
        <f aca="false">IF(Calculator!$E$21="YES",IF(A530&lt;Calculator!$G$21,0,MIN(MIN(MOD(A530/Calculator!$F$21,1),1-MOD(A530/Calculator!$F$21,1)),ABS(MOD(A530/Calculator!$F$21,1)-0.5))),1)</f>
        <v>0.0175438596491233</v>
      </c>
      <c r="M530" s="138" t="n">
        <f aca="false">MIN(B530:L530)</f>
        <v>0.0175438596491233</v>
      </c>
      <c r="N530" s="138" t="n">
        <f aca="false">SUMPRODUCT(($M$5:$M$555&gt;M530)*1)+SUMPRODUCT(($M$5:$M$555=M530)*(ROW($M$5:$M$555)&lt;ROW(M530)))+1</f>
        <v>91</v>
      </c>
      <c r="O530" s="138" t="str">
        <f aca="false">IF(M530&gt;=0.2,"★★★ EXCELLENT",IF(M530&gt;=0.12,"★★  GOOD",IF(M530&gt;=0.07,"★  FAIR",IF(M530&gt;=0.025,"⚠  MARGINAL","✗  AVOID"))))</f>
        <v>✗  AVOID</v>
      </c>
    </row>
    <row r="531" customFormat="false" ht="15" hidden="false" customHeight="false" outlineLevel="0" collapsed="false">
      <c r="A531" s="135" t="n">
        <v>57.6</v>
      </c>
      <c r="B531" s="136" t="n">
        <f aca="false">IF(Calculator!$E$11="YES",IF(A531&lt;Calculator!$G$11,0,MIN(MIN(MOD(A531/Calculator!$F$11,1),1-MOD(A531/Calculator!$F$11,1)),ABS(MOD(A531/Calculator!$F$11,1)-0.5))),1)</f>
        <v>0.232</v>
      </c>
      <c r="C531" s="136" t="n">
        <f aca="false">IF(Calculator!$E$12="YES",IF(A531&lt;Calculator!$G$12,0,MIN(MIN(MOD(A531/Calculator!$F$12,1),1-MOD(A531/Calculator!$F$12,1)),ABS(MOD(A531/Calculator!$F$12,1)-0.5))),1)</f>
        <v>0.0246315789473683</v>
      </c>
      <c r="D531" s="136" t="n">
        <f aca="false">IF(Calculator!$E$13="YES",IF(A531&lt;Calculator!$G$13,0,MIN(MIN(MOD(A531/Calculator!$F$13,1),1-MOD(A531/Calculator!$F$13,1)),ABS(MOD(A531/Calculator!$F$13,1)-0.5))),1)</f>
        <v>0.166164210526316</v>
      </c>
      <c r="E531" s="136" t="n">
        <f aca="false">IF(Calculator!$E$14="YES",IF(A531&lt;Calculator!$G$14,0,MIN(MIN(MOD(A531/Calculator!$F$14,1),1-MOD(A531/Calculator!$F$14,1)),ABS(MOD(A531/Calculator!$F$14,1)-0.5))),1)</f>
        <v>0.109894736842105</v>
      </c>
      <c r="F531" s="136" t="n">
        <f aca="false">IF(Calculator!$E$15="YES",IF(A531&lt;Calculator!$G$15,0,MIN(MIN(MOD(A531/Calculator!$F$15,1),1-MOD(A531/Calculator!$F$15,1)),ABS(MOD(A531/Calculator!$F$15,1)-0.5))),1)</f>
        <v>0.0926315789473682</v>
      </c>
      <c r="G531" s="136" t="n">
        <f aca="false">IF(Calculator!$E$16="YES",IF(A531&lt;Calculator!$G$16,0,MIN(MIN(MOD(A531/Calculator!$F$16,1),1-MOD(A531/Calculator!$F$16,1)),ABS(MOD(A531/Calculator!$F$16,1)-0.5))),1)</f>
        <v>0.229684210526316</v>
      </c>
      <c r="H531" s="136" t="n">
        <f aca="false">IF(Calculator!$E$17="YES",IF(A531&lt;Calculator!$G$17,0,MIN(MIN(MOD(A531/Calculator!$F$17,1),1-MOD(A531/Calculator!$F$17,1)),ABS(MOD(A531/Calculator!$F$17,1)-0.5))),1)</f>
        <v>0.176513684210526</v>
      </c>
      <c r="I531" s="136" t="n">
        <f aca="false">IF(Calculator!$E$18="YES",IF(A531&lt;Calculator!$G$18,0,MIN(MIN(MOD(A531/Calculator!$F$18,1),1-MOD(A531/Calculator!$F$18,1)),ABS(MOD(A531/Calculator!$F$18,1)-0.5))),1)</f>
        <v>0.0793684210526315</v>
      </c>
      <c r="J531" s="136" t="n">
        <f aca="false">IF(Calculator!$E$19="YES",IF(A531&lt;Calculator!$G$19,0,MIN(MIN(MOD(A531/Calculator!$F$19,1),1-MOD(A531/Calculator!$F$19,1)),ABS(MOD(A531/Calculator!$F$19,1)-0.5))),1)</f>
        <v>0.0810105263157883</v>
      </c>
      <c r="K531" s="136" t="n">
        <f aca="false">IF(Calculator!$E$20="YES",IF(A531&lt;Calculator!$G$20,0,MIN(MIN(MOD(A531/Calculator!$F$20,1),1-MOD(A531/Calculator!$F$20,1)),ABS(MOD(A531/Calculator!$F$20,1)-0.5))),1)</f>
        <v>0.161473684210527</v>
      </c>
      <c r="L531" s="136" t="n">
        <f aca="false">IF(Calculator!$E$21="YES",IF(A531&lt;Calculator!$G$21,0,MIN(MIN(MOD(A531/Calculator!$F$21,1),1-MOD(A531/Calculator!$F$21,1)),ABS(MOD(A531/Calculator!$F$21,1)-0.5))),1)</f>
        <v>0.0189473684210526</v>
      </c>
      <c r="M531" s="136" t="n">
        <f aca="false">MIN(B531:L531)</f>
        <v>0.0189473684210526</v>
      </c>
      <c r="N531" s="136" t="n">
        <f aca="false">SUMPRODUCT(($M$5:$M$555&gt;M531)*1)+SUMPRODUCT(($M$5:$M$555=M531)*(ROW($M$5:$M$555)&lt;ROW(M531)))+1</f>
        <v>87</v>
      </c>
      <c r="O531" s="136" t="str">
        <f aca="false">IF(M531&gt;=0.2,"★★★ EXCELLENT",IF(M531&gt;=0.12,"★★  GOOD",IF(M531&gt;=0.07,"★  FAIR",IF(M531&gt;=0.025,"⚠  MARGINAL","✗  AVOID"))))</f>
        <v>✗  AVOID</v>
      </c>
    </row>
    <row r="532" customFormat="false" ht="15" hidden="false" customHeight="false" outlineLevel="0" collapsed="false">
      <c r="A532" s="137" t="n">
        <v>57.7</v>
      </c>
      <c r="B532" s="138" t="n">
        <f aca="false">IF(Calculator!$E$11="YES",IF(A532&lt;Calculator!$G$11,0,MIN(MIN(MOD(A532/Calculator!$F$11,1),1-MOD(A532/Calculator!$F$11,1)),ABS(MOD(A532/Calculator!$F$11,1)-0.5))),1)</f>
        <v>0.230666666666667</v>
      </c>
      <c r="C532" s="138" t="n">
        <f aca="false">IF(Calculator!$E$12="YES",IF(A532&lt;Calculator!$G$12,0,MIN(MIN(MOD(A532/Calculator!$F$12,1),1-MOD(A532/Calculator!$F$12,1)),ABS(MOD(A532/Calculator!$F$12,1)-0.5))),1)</f>
        <v>0.0220701754385964</v>
      </c>
      <c r="D532" s="138" t="n">
        <f aca="false">IF(Calculator!$E$13="YES",IF(A532&lt;Calculator!$G$13,0,MIN(MIN(MOD(A532/Calculator!$F$13,1),1-MOD(A532/Calculator!$F$13,1)),ABS(MOD(A532/Calculator!$F$13,1)-0.5))),1)</f>
        <v>0.169924912280702</v>
      </c>
      <c r="E532" s="138" t="n">
        <f aca="false">IF(Calculator!$E$14="YES",IF(A532&lt;Calculator!$G$14,0,MIN(MIN(MOD(A532/Calculator!$F$14,1),1-MOD(A532/Calculator!$F$14,1)),ABS(MOD(A532/Calculator!$F$14,1)-0.5))),1)</f>
        <v>0.104877192982456</v>
      </c>
      <c r="F532" s="138" t="n">
        <f aca="false">IF(Calculator!$E$15="YES",IF(A532&lt;Calculator!$G$15,0,MIN(MIN(MOD(A532/Calculator!$F$15,1),1-MOD(A532/Calculator!$F$15,1)),ABS(MOD(A532/Calculator!$F$15,1)-0.5))),1)</f>
        <v>0.0997368421052629</v>
      </c>
      <c r="G532" s="138" t="n">
        <f aca="false">IF(Calculator!$E$16="YES",IF(A532&lt;Calculator!$G$16,0,MIN(MIN(MOD(A532/Calculator!$F$16,1),1-MOD(A532/Calculator!$F$16,1)),ABS(MOD(A532/Calculator!$F$16,1)-0.5))),1)</f>
        <v>0.239631578947369</v>
      </c>
      <c r="H532" s="138" t="n">
        <f aca="false">IF(Calculator!$E$17="YES",IF(A532&lt;Calculator!$G$17,0,MIN(MIN(MOD(A532/Calculator!$F$17,1),1-MOD(A532/Calculator!$F$17,1)),ABS(MOD(A532/Calculator!$F$17,1)-0.5))),1)</f>
        <v>0.163799298245613</v>
      </c>
      <c r="I532" s="138" t="n">
        <f aca="false">IF(Calculator!$E$18="YES",IF(A532&lt;Calculator!$G$18,0,MIN(MIN(MOD(A532/Calculator!$F$18,1),1-MOD(A532/Calculator!$F$18,1)),ABS(MOD(A532/Calculator!$F$18,1)-0.5))),1)</f>
        <v>0.0942631578947371</v>
      </c>
      <c r="J532" s="138" t="n">
        <f aca="false">IF(Calculator!$E$19="YES",IF(A532&lt;Calculator!$G$19,0,MIN(MIN(MOD(A532/Calculator!$F$19,1),1-MOD(A532/Calculator!$F$19,1)),ABS(MOD(A532/Calculator!$F$19,1)-0.5))),1)</f>
        <v>0.0985122807017529</v>
      </c>
      <c r="K532" s="138" t="n">
        <f aca="false">IF(Calculator!$E$20="YES",IF(A532&lt;Calculator!$G$20,0,MIN(MIN(MOD(A532/Calculator!$F$20,1),1-MOD(A532/Calculator!$F$20,1)),ABS(MOD(A532/Calculator!$F$20,1)-0.5))),1)</f>
        <v>0.181719298245614</v>
      </c>
      <c r="L532" s="138" t="n">
        <f aca="false">IF(Calculator!$E$21="YES",IF(A532&lt;Calculator!$G$21,0,MIN(MIN(MOD(A532/Calculator!$F$21,1),1-MOD(A532/Calculator!$F$21,1)),ABS(MOD(A532/Calculator!$F$21,1)-0.5))),1)</f>
        <v>0.0554385964912285</v>
      </c>
      <c r="M532" s="138" t="n">
        <f aca="false">MIN(B532:L532)</f>
        <v>0.0220701754385964</v>
      </c>
      <c r="N532" s="138" t="n">
        <f aca="false">SUMPRODUCT(($M$5:$M$555&gt;M532)*1)+SUMPRODUCT(($M$5:$M$555=M532)*(ROW($M$5:$M$555)&lt;ROW(M532)))+1</f>
        <v>70</v>
      </c>
      <c r="O532" s="138" t="str">
        <f aca="false">IF(M532&gt;=0.2,"★★★ EXCELLENT",IF(M532&gt;=0.12,"★★  GOOD",IF(M532&gt;=0.07,"★  FAIR",IF(M532&gt;=0.025,"⚠  MARGINAL","✗  AVOID"))))</f>
        <v>✗  AVOID</v>
      </c>
    </row>
    <row r="533" customFormat="false" ht="15" hidden="false" customHeight="false" outlineLevel="0" collapsed="false">
      <c r="A533" s="135" t="n">
        <v>57.8</v>
      </c>
      <c r="B533" s="136" t="n">
        <f aca="false">IF(Calculator!$E$11="YES",IF(A533&lt;Calculator!$G$11,0,MIN(MIN(MOD(A533/Calculator!$F$11,1),1-MOD(A533/Calculator!$F$11,1)),ABS(MOD(A533/Calculator!$F$11,1)-0.5))),1)</f>
        <v>0.229333333333333</v>
      </c>
      <c r="C533" s="136" t="n">
        <f aca="false">IF(Calculator!$E$12="YES",IF(A533&lt;Calculator!$G$12,0,MIN(MIN(MOD(A533/Calculator!$F$12,1),1-MOD(A533/Calculator!$F$12,1)),ABS(MOD(A533/Calculator!$F$12,1)-0.5))),1)</f>
        <v>0.0195087719298246</v>
      </c>
      <c r="D533" s="136" t="n">
        <f aca="false">IF(Calculator!$E$13="YES",IF(A533&lt;Calculator!$G$13,0,MIN(MIN(MOD(A533/Calculator!$F$13,1),1-MOD(A533/Calculator!$F$13,1)),ABS(MOD(A533/Calculator!$F$13,1)-0.5))),1)</f>
        <v>0.173685614035088</v>
      </c>
      <c r="E533" s="136" t="n">
        <f aca="false">IF(Calculator!$E$14="YES",IF(A533&lt;Calculator!$G$14,0,MIN(MIN(MOD(A533/Calculator!$F$14,1),1-MOD(A533/Calculator!$F$14,1)),ABS(MOD(A533/Calculator!$F$14,1)-0.5))),1)</f>
        <v>0.099859649122807</v>
      </c>
      <c r="F533" s="136" t="n">
        <f aca="false">IF(Calculator!$E$15="YES",IF(A533&lt;Calculator!$G$15,0,MIN(MIN(MOD(A533/Calculator!$F$15,1),1-MOD(A533/Calculator!$F$15,1)),ABS(MOD(A533/Calculator!$F$15,1)-0.5))),1)</f>
        <v>0.106842105263158</v>
      </c>
      <c r="G533" s="136" t="n">
        <f aca="false">IF(Calculator!$E$16="YES",IF(A533&lt;Calculator!$G$16,0,MIN(MIN(MOD(A533/Calculator!$F$16,1),1-MOD(A533/Calculator!$F$16,1)),ABS(MOD(A533/Calculator!$F$16,1)-0.5))),1)</f>
        <v>0.249578947368422</v>
      </c>
      <c r="H533" s="136" t="n">
        <f aca="false">IF(Calculator!$E$17="YES",IF(A533&lt;Calculator!$G$17,0,MIN(MIN(MOD(A533/Calculator!$F$17,1),1-MOD(A533/Calculator!$F$17,1)),ABS(MOD(A533/Calculator!$F$17,1)-0.5))),1)</f>
        <v>0.151084912280702</v>
      </c>
      <c r="I533" s="136" t="n">
        <f aca="false">IF(Calculator!$E$18="YES",IF(A533&lt;Calculator!$G$18,0,MIN(MIN(MOD(A533/Calculator!$F$18,1),1-MOD(A533/Calculator!$F$18,1)),ABS(MOD(A533/Calculator!$F$18,1)-0.5))),1)</f>
        <v>0.109157894736843</v>
      </c>
      <c r="J533" s="136" t="n">
        <f aca="false">IF(Calculator!$E$19="YES",IF(A533&lt;Calculator!$G$19,0,MIN(MIN(MOD(A533/Calculator!$F$19,1),1-MOD(A533/Calculator!$F$19,1)),ABS(MOD(A533/Calculator!$F$19,1)-0.5))),1)</f>
        <v>0.116014035087717</v>
      </c>
      <c r="K533" s="136" t="n">
        <f aca="false">IF(Calculator!$E$20="YES",IF(A533&lt;Calculator!$G$20,0,MIN(MIN(MOD(A533/Calculator!$F$20,1),1-MOD(A533/Calculator!$F$20,1)),ABS(MOD(A533/Calculator!$F$20,1)-0.5))),1)</f>
        <v>0.201964912280701</v>
      </c>
      <c r="L533" s="136" t="n">
        <f aca="false">IF(Calculator!$E$21="YES",IF(A533&lt;Calculator!$G$21,0,MIN(MIN(MOD(A533/Calculator!$F$21,1),1-MOD(A533/Calculator!$F$21,1)),ABS(MOD(A533/Calculator!$F$21,1)-0.5))),1)</f>
        <v>0.0919298245614009</v>
      </c>
      <c r="M533" s="136" t="n">
        <f aca="false">MIN(B533:L533)</f>
        <v>0.0195087719298246</v>
      </c>
      <c r="N533" s="136" t="n">
        <f aca="false">SUMPRODUCT(($M$5:$M$555&gt;M533)*1)+SUMPRODUCT(($M$5:$M$555=M533)*(ROW($M$5:$M$555)&lt;ROW(M533)))+1</f>
        <v>85</v>
      </c>
      <c r="O533" s="136" t="str">
        <f aca="false">IF(M533&gt;=0.2,"★★★ EXCELLENT",IF(M533&gt;=0.12,"★★  GOOD",IF(M533&gt;=0.07,"★  FAIR",IF(M533&gt;=0.025,"⚠  MARGINAL","✗  AVOID"))))</f>
        <v>✗  AVOID</v>
      </c>
    </row>
    <row r="534" customFormat="false" ht="15" hidden="false" customHeight="false" outlineLevel="0" collapsed="false">
      <c r="A534" s="137" t="n">
        <v>57.9</v>
      </c>
      <c r="B534" s="138" t="n">
        <f aca="false">IF(Calculator!$E$11="YES",IF(A534&lt;Calculator!$G$11,0,MIN(MIN(MOD(A534/Calculator!$F$11,1),1-MOD(A534/Calculator!$F$11,1)),ABS(MOD(A534/Calculator!$F$11,1)-0.5))),1)</f>
        <v>0.228</v>
      </c>
      <c r="C534" s="138" t="n">
        <f aca="false">IF(Calculator!$E$12="YES",IF(A534&lt;Calculator!$G$12,0,MIN(MIN(MOD(A534/Calculator!$F$12,1),1-MOD(A534/Calculator!$F$12,1)),ABS(MOD(A534/Calculator!$F$12,1)-0.5))),1)</f>
        <v>0.0169473684210526</v>
      </c>
      <c r="D534" s="138" t="n">
        <f aca="false">IF(Calculator!$E$13="YES",IF(A534&lt;Calculator!$G$13,0,MIN(MIN(MOD(A534/Calculator!$F$13,1),1-MOD(A534/Calculator!$F$13,1)),ABS(MOD(A534/Calculator!$F$13,1)-0.5))),1)</f>
        <v>0.177446315789473</v>
      </c>
      <c r="E534" s="138" t="n">
        <f aca="false">IF(Calculator!$E$14="YES",IF(A534&lt;Calculator!$G$14,0,MIN(MIN(MOD(A534/Calculator!$F$14,1),1-MOD(A534/Calculator!$F$14,1)),ABS(MOD(A534/Calculator!$F$14,1)-0.5))),1)</f>
        <v>0.0948421052631581</v>
      </c>
      <c r="F534" s="138" t="n">
        <f aca="false">IF(Calculator!$E$15="YES",IF(A534&lt;Calculator!$G$15,0,MIN(MIN(MOD(A534/Calculator!$F$15,1),1-MOD(A534/Calculator!$F$15,1)),ABS(MOD(A534/Calculator!$F$15,1)-0.5))),1)</f>
        <v>0.113947368421052</v>
      </c>
      <c r="G534" s="138" t="n">
        <f aca="false">IF(Calculator!$E$16="YES",IF(A534&lt;Calculator!$G$16,0,MIN(MIN(MOD(A534/Calculator!$F$16,1),1-MOD(A534/Calculator!$F$16,1)),ABS(MOD(A534/Calculator!$F$16,1)-0.5))),1)</f>
        <v>0.240473684210526</v>
      </c>
      <c r="H534" s="138" t="n">
        <f aca="false">IF(Calculator!$E$17="YES",IF(A534&lt;Calculator!$G$17,0,MIN(MIN(MOD(A534/Calculator!$F$17,1),1-MOD(A534/Calculator!$F$17,1)),ABS(MOD(A534/Calculator!$F$17,1)-0.5))),1)</f>
        <v>0.138370526315788</v>
      </c>
      <c r="I534" s="138" t="n">
        <f aca="false">IF(Calculator!$E$18="YES",IF(A534&lt;Calculator!$G$18,0,MIN(MIN(MOD(A534/Calculator!$F$18,1),1-MOD(A534/Calculator!$F$18,1)),ABS(MOD(A534/Calculator!$F$18,1)-0.5))),1)</f>
        <v>0.124052631578948</v>
      </c>
      <c r="J534" s="138" t="n">
        <f aca="false">IF(Calculator!$E$19="YES",IF(A534&lt;Calculator!$G$19,0,MIN(MIN(MOD(A534/Calculator!$F$19,1),1-MOD(A534/Calculator!$F$19,1)),ABS(MOD(A534/Calculator!$F$19,1)-0.5))),1)</f>
        <v>0.133515789473682</v>
      </c>
      <c r="K534" s="138" t="n">
        <f aca="false">IF(Calculator!$E$20="YES",IF(A534&lt;Calculator!$G$20,0,MIN(MIN(MOD(A534/Calculator!$F$20,1),1-MOD(A534/Calculator!$F$20,1)),ABS(MOD(A534/Calculator!$F$20,1)-0.5))),1)</f>
        <v>0.22221052631579</v>
      </c>
      <c r="L534" s="138" t="n">
        <f aca="false">IF(Calculator!$E$21="YES",IF(A534&lt;Calculator!$G$21,0,MIN(MIN(MOD(A534/Calculator!$F$21,1),1-MOD(A534/Calculator!$F$21,1)),ABS(MOD(A534/Calculator!$F$21,1)-0.5))),1)</f>
        <v>0.128421052631577</v>
      </c>
      <c r="M534" s="138" t="n">
        <f aca="false">MIN(B534:L534)</f>
        <v>0.0169473684210526</v>
      </c>
      <c r="N534" s="138" t="n">
        <f aca="false">SUMPRODUCT(($M$5:$M$555&gt;M534)*1)+SUMPRODUCT(($M$5:$M$555=M534)*(ROW($M$5:$M$555)&lt;ROW(M534)))+1</f>
        <v>94</v>
      </c>
      <c r="O534" s="138" t="str">
        <f aca="false">IF(M534&gt;=0.2,"★★★ EXCELLENT",IF(M534&gt;=0.12,"★★  GOOD",IF(M534&gt;=0.07,"★  FAIR",IF(M534&gt;=0.025,"⚠  MARGINAL","✗  AVOID"))))</f>
        <v>✗  AVOID</v>
      </c>
    </row>
    <row r="535" customFormat="false" ht="15" hidden="false" customHeight="false" outlineLevel="0" collapsed="false">
      <c r="A535" s="135" t="n">
        <v>58</v>
      </c>
      <c r="B535" s="136" t="n">
        <f aca="false">IF(Calculator!$E$11="YES",IF(A535&lt;Calculator!$G$11,0,MIN(MIN(MOD(A535/Calculator!$F$11,1),1-MOD(A535/Calculator!$F$11,1)),ABS(MOD(A535/Calculator!$F$11,1)-0.5))),1)</f>
        <v>0.226666666666667</v>
      </c>
      <c r="C535" s="136" t="n">
        <f aca="false">IF(Calculator!$E$12="YES",IF(A535&lt;Calculator!$G$12,0,MIN(MIN(MOD(A535/Calculator!$F$12,1),1-MOD(A535/Calculator!$F$12,1)),ABS(MOD(A535/Calculator!$F$12,1)-0.5))),1)</f>
        <v>0.0143859649122806</v>
      </c>
      <c r="D535" s="136" t="n">
        <f aca="false">IF(Calculator!$E$13="YES",IF(A535&lt;Calculator!$G$13,0,MIN(MIN(MOD(A535/Calculator!$F$13,1),1-MOD(A535/Calculator!$F$13,1)),ABS(MOD(A535/Calculator!$F$13,1)-0.5))),1)</f>
        <v>0.181207017543859</v>
      </c>
      <c r="E535" s="136" t="n">
        <f aca="false">IF(Calculator!$E$14="YES",IF(A535&lt;Calculator!$G$14,0,MIN(MIN(MOD(A535/Calculator!$F$14,1),1-MOD(A535/Calculator!$F$14,1)),ABS(MOD(A535/Calculator!$F$14,1)-0.5))),1)</f>
        <v>0.0898245614035087</v>
      </c>
      <c r="F535" s="136" t="n">
        <f aca="false">IF(Calculator!$E$15="YES",IF(A535&lt;Calculator!$G$15,0,MIN(MIN(MOD(A535/Calculator!$F$15,1),1-MOD(A535/Calculator!$F$15,1)),ABS(MOD(A535/Calculator!$F$15,1)-0.5))),1)</f>
        <v>0.121052631578947</v>
      </c>
      <c r="G535" s="136" t="n">
        <f aca="false">IF(Calculator!$E$16="YES",IF(A535&lt;Calculator!$G$16,0,MIN(MIN(MOD(A535/Calculator!$F$16,1),1-MOD(A535/Calculator!$F$16,1)),ABS(MOD(A535/Calculator!$F$16,1)-0.5))),1)</f>
        <v>0.230526315789473</v>
      </c>
      <c r="H535" s="136" t="n">
        <f aca="false">IF(Calculator!$E$17="YES",IF(A535&lt;Calculator!$G$17,0,MIN(MIN(MOD(A535/Calculator!$F$17,1),1-MOD(A535/Calculator!$F$17,1)),ABS(MOD(A535/Calculator!$F$17,1)-0.5))),1)</f>
        <v>0.125656140350876</v>
      </c>
      <c r="I535" s="136" t="n">
        <f aca="false">IF(Calculator!$E$18="YES",IF(A535&lt;Calculator!$G$18,0,MIN(MIN(MOD(A535/Calculator!$F$18,1),1-MOD(A535/Calculator!$F$18,1)),ABS(MOD(A535/Calculator!$F$18,1)-0.5))),1)</f>
        <v>0.138947368421054</v>
      </c>
      <c r="J535" s="136" t="n">
        <f aca="false">IF(Calculator!$E$19="YES",IF(A535&lt;Calculator!$G$19,0,MIN(MIN(MOD(A535/Calculator!$F$19,1),1-MOD(A535/Calculator!$F$19,1)),ABS(MOD(A535/Calculator!$F$19,1)-0.5))),1)</f>
        <v>0.151017543859647</v>
      </c>
      <c r="K535" s="136" t="n">
        <f aca="false">IF(Calculator!$E$20="YES",IF(A535&lt;Calculator!$G$20,0,MIN(MIN(MOD(A535/Calculator!$F$20,1),1-MOD(A535/Calculator!$F$20,1)),ABS(MOD(A535/Calculator!$F$20,1)-0.5))),1)</f>
        <v>0.242456140350876</v>
      </c>
      <c r="L535" s="136" t="n">
        <f aca="false">IF(Calculator!$E$21="YES",IF(A535&lt;Calculator!$G$21,0,MIN(MIN(MOD(A535/Calculator!$F$21,1),1-MOD(A535/Calculator!$F$21,1)),ABS(MOD(A535/Calculator!$F$21,1)-0.5))),1)</f>
        <v>0.164912280701753</v>
      </c>
      <c r="M535" s="136" t="n">
        <f aca="false">MIN(B535:L535)</f>
        <v>0.0143859649122806</v>
      </c>
      <c r="N535" s="136" t="n">
        <f aca="false">SUMPRODUCT(($M$5:$M$555&gt;M535)*1)+SUMPRODUCT(($M$5:$M$555=M535)*(ROW($M$5:$M$555)&lt;ROW(M535)))+1</f>
        <v>105</v>
      </c>
      <c r="O535" s="136" t="str">
        <f aca="false">IF(M535&gt;=0.2,"★★★ EXCELLENT",IF(M535&gt;=0.12,"★★  GOOD",IF(M535&gt;=0.07,"★  FAIR",IF(M535&gt;=0.025,"⚠  MARGINAL","✗  AVOID"))))</f>
        <v>✗  AVOID</v>
      </c>
    </row>
    <row r="536" customFormat="false" ht="15" hidden="false" customHeight="false" outlineLevel="0" collapsed="false">
      <c r="A536" s="137" t="n">
        <v>58.1</v>
      </c>
      <c r="B536" s="138" t="n">
        <f aca="false">IF(Calculator!$E$11="YES",IF(A536&lt;Calculator!$G$11,0,MIN(MIN(MOD(A536/Calculator!$F$11,1),1-MOD(A536/Calculator!$F$11,1)),ABS(MOD(A536/Calculator!$F$11,1)-0.5))),1)</f>
        <v>0.225333333333333</v>
      </c>
      <c r="C536" s="138" t="n">
        <f aca="false">IF(Calculator!$E$12="YES",IF(A536&lt;Calculator!$G$12,0,MIN(MIN(MOD(A536/Calculator!$F$12,1),1-MOD(A536/Calculator!$F$12,1)),ABS(MOD(A536/Calculator!$F$12,1)-0.5))),1)</f>
        <v>0.0118245614035086</v>
      </c>
      <c r="D536" s="138" t="n">
        <f aca="false">IF(Calculator!$E$13="YES",IF(A536&lt;Calculator!$G$13,0,MIN(MIN(MOD(A536/Calculator!$F$13,1),1-MOD(A536/Calculator!$F$13,1)),ABS(MOD(A536/Calculator!$F$13,1)-0.5))),1)</f>
        <v>0.184967719298246</v>
      </c>
      <c r="E536" s="138" t="n">
        <f aca="false">IF(Calculator!$E$14="YES",IF(A536&lt;Calculator!$G$14,0,MIN(MIN(MOD(A536/Calculator!$F$14,1),1-MOD(A536/Calculator!$F$14,1)),ABS(MOD(A536/Calculator!$F$14,1)-0.5))),1)</f>
        <v>0.0848070175438598</v>
      </c>
      <c r="F536" s="138" t="n">
        <f aca="false">IF(Calculator!$E$15="YES",IF(A536&lt;Calculator!$G$15,0,MIN(MIN(MOD(A536/Calculator!$F$15,1),1-MOD(A536/Calculator!$F$15,1)),ABS(MOD(A536/Calculator!$F$15,1)-0.5))),1)</f>
        <v>0.128157894736842</v>
      </c>
      <c r="G536" s="138" t="n">
        <f aca="false">IF(Calculator!$E$16="YES",IF(A536&lt;Calculator!$G$16,0,MIN(MIN(MOD(A536/Calculator!$F$16,1),1-MOD(A536/Calculator!$F$16,1)),ABS(MOD(A536/Calculator!$F$16,1)-0.5))),1)</f>
        <v>0.220578947368421</v>
      </c>
      <c r="H536" s="138" t="n">
        <f aca="false">IF(Calculator!$E$17="YES",IF(A536&lt;Calculator!$G$17,0,MIN(MIN(MOD(A536/Calculator!$F$17,1),1-MOD(A536/Calculator!$F$17,1)),ABS(MOD(A536/Calculator!$F$17,1)-0.5))),1)</f>
        <v>0.112941754385964</v>
      </c>
      <c r="I536" s="138" t="n">
        <f aca="false">IF(Calculator!$E$18="YES",IF(A536&lt;Calculator!$G$18,0,MIN(MIN(MOD(A536/Calculator!$F$18,1),1-MOD(A536/Calculator!$F$18,1)),ABS(MOD(A536/Calculator!$F$18,1)-0.5))),1)</f>
        <v>0.153842105263159</v>
      </c>
      <c r="J536" s="138" t="n">
        <f aca="false">IF(Calculator!$E$19="YES",IF(A536&lt;Calculator!$G$19,0,MIN(MIN(MOD(A536/Calculator!$F$19,1),1-MOD(A536/Calculator!$F$19,1)),ABS(MOD(A536/Calculator!$F$19,1)-0.5))),1)</f>
        <v>0.168519298245613</v>
      </c>
      <c r="K536" s="138" t="n">
        <f aca="false">IF(Calculator!$E$20="YES",IF(A536&lt;Calculator!$G$20,0,MIN(MIN(MOD(A536/Calculator!$F$20,1),1-MOD(A536/Calculator!$F$20,1)),ABS(MOD(A536/Calculator!$F$20,1)-0.5))),1)</f>
        <v>0.237298245614035</v>
      </c>
      <c r="L536" s="138" t="n">
        <f aca="false">IF(Calculator!$E$21="YES",IF(A536&lt;Calculator!$G$21,0,MIN(MIN(MOD(A536/Calculator!$F$21,1),1-MOD(A536/Calculator!$F$21,1)),ABS(MOD(A536/Calculator!$F$21,1)-0.5))),1)</f>
        <v>0.201403508771929</v>
      </c>
      <c r="M536" s="138" t="n">
        <f aca="false">MIN(B536:L536)</f>
        <v>0.0118245614035086</v>
      </c>
      <c r="N536" s="138" t="n">
        <f aca="false">SUMPRODUCT(($M$5:$M$555&gt;M536)*1)+SUMPRODUCT(($M$5:$M$555=M536)*(ROW($M$5:$M$555)&lt;ROW(M536)))+1</f>
        <v>122</v>
      </c>
      <c r="O536" s="138" t="str">
        <f aca="false">IF(M536&gt;=0.2,"★★★ EXCELLENT",IF(M536&gt;=0.12,"★★  GOOD",IF(M536&gt;=0.07,"★  FAIR",IF(M536&gt;=0.025,"⚠  MARGINAL","✗  AVOID"))))</f>
        <v>✗  AVOID</v>
      </c>
    </row>
    <row r="537" customFormat="false" ht="15" hidden="false" customHeight="false" outlineLevel="0" collapsed="false">
      <c r="A537" s="135" t="n">
        <v>58.2</v>
      </c>
      <c r="B537" s="136" t="n">
        <f aca="false">IF(Calculator!$E$11="YES",IF(A537&lt;Calculator!$G$11,0,MIN(MIN(MOD(A537/Calculator!$F$11,1),1-MOD(A537/Calculator!$F$11,1)),ABS(MOD(A537/Calculator!$F$11,1)-0.5))),1)</f>
        <v>0.224</v>
      </c>
      <c r="C537" s="136" t="n">
        <f aca="false">IF(Calculator!$E$12="YES",IF(A537&lt;Calculator!$G$12,0,MIN(MIN(MOD(A537/Calculator!$F$12,1),1-MOD(A537/Calculator!$F$12,1)),ABS(MOD(A537/Calculator!$F$12,1)-0.5))),1)</f>
        <v>0.00926315789473664</v>
      </c>
      <c r="D537" s="136" t="n">
        <f aca="false">IF(Calculator!$E$13="YES",IF(A537&lt;Calculator!$G$13,0,MIN(MIN(MOD(A537/Calculator!$F$13,1),1-MOD(A537/Calculator!$F$13,1)),ABS(MOD(A537/Calculator!$F$13,1)-0.5))),1)</f>
        <v>0.188728421052632</v>
      </c>
      <c r="E537" s="136" t="n">
        <f aca="false">IF(Calculator!$E$14="YES",IF(A537&lt;Calculator!$G$14,0,MIN(MIN(MOD(A537/Calculator!$F$14,1),1-MOD(A537/Calculator!$F$14,1)),ABS(MOD(A537/Calculator!$F$14,1)-0.5))),1)</f>
        <v>0.0797894736842104</v>
      </c>
      <c r="F537" s="136" t="n">
        <f aca="false">IF(Calculator!$E$15="YES",IF(A537&lt;Calculator!$G$15,0,MIN(MIN(MOD(A537/Calculator!$F$15,1),1-MOD(A537/Calculator!$F$15,1)),ABS(MOD(A537/Calculator!$F$15,1)-0.5))),1)</f>
        <v>0.135263157894737</v>
      </c>
      <c r="G537" s="136" t="n">
        <f aca="false">IF(Calculator!$E$16="YES",IF(A537&lt;Calculator!$G$16,0,MIN(MIN(MOD(A537/Calculator!$F$16,1),1-MOD(A537/Calculator!$F$16,1)),ABS(MOD(A537/Calculator!$F$16,1)-0.5))),1)</f>
        <v>0.210631578947368</v>
      </c>
      <c r="H537" s="136" t="n">
        <f aca="false">IF(Calculator!$E$17="YES",IF(A537&lt;Calculator!$G$17,0,MIN(MIN(MOD(A537/Calculator!$F$17,1),1-MOD(A537/Calculator!$F$17,1)),ABS(MOD(A537/Calculator!$F$17,1)-0.5))),1)</f>
        <v>0.100227368421051</v>
      </c>
      <c r="I537" s="136" t="n">
        <f aca="false">IF(Calculator!$E$18="YES",IF(A537&lt;Calculator!$G$18,0,MIN(MIN(MOD(A537/Calculator!$F$18,1),1-MOD(A537/Calculator!$F$18,1)),ABS(MOD(A537/Calculator!$F$18,1)-0.5))),1)</f>
        <v>0.168736842105265</v>
      </c>
      <c r="J537" s="136" t="n">
        <f aca="false">IF(Calculator!$E$19="YES",IF(A537&lt;Calculator!$G$19,0,MIN(MIN(MOD(A537/Calculator!$F$19,1),1-MOD(A537/Calculator!$F$19,1)),ABS(MOD(A537/Calculator!$F$19,1)-0.5))),1)</f>
        <v>0.186021052631578</v>
      </c>
      <c r="K537" s="136" t="n">
        <f aca="false">IF(Calculator!$E$20="YES",IF(A537&lt;Calculator!$G$20,0,MIN(MIN(MOD(A537/Calculator!$F$20,1),1-MOD(A537/Calculator!$F$20,1)),ABS(MOD(A537/Calculator!$F$20,1)-0.5))),1)</f>
        <v>0.217052631578946</v>
      </c>
      <c r="L537" s="136" t="n">
        <f aca="false">IF(Calculator!$E$21="YES",IF(A537&lt;Calculator!$G$21,0,MIN(MIN(MOD(A537/Calculator!$F$21,1),1-MOD(A537/Calculator!$F$21,1)),ABS(MOD(A537/Calculator!$F$21,1)-0.5))),1)</f>
        <v>0.237894736842105</v>
      </c>
      <c r="M537" s="136" t="n">
        <f aca="false">MIN(B537:L537)</f>
        <v>0.00926315789473664</v>
      </c>
      <c r="N537" s="136" t="n">
        <f aca="false">SUMPRODUCT(($M$5:$M$555&gt;M537)*1)+SUMPRODUCT(($M$5:$M$555=M537)*(ROW($M$5:$M$555)&lt;ROW(M537)))+1</f>
        <v>139</v>
      </c>
      <c r="O537" s="136" t="str">
        <f aca="false">IF(M537&gt;=0.2,"★★★ EXCELLENT",IF(M537&gt;=0.12,"★★  GOOD",IF(M537&gt;=0.07,"★  FAIR",IF(M537&gt;=0.025,"⚠  MARGINAL","✗  AVOID"))))</f>
        <v>✗  AVOID</v>
      </c>
    </row>
    <row r="538" customFormat="false" ht="15" hidden="false" customHeight="false" outlineLevel="0" collapsed="false">
      <c r="A538" s="137" t="n">
        <v>58.3</v>
      </c>
      <c r="B538" s="138" t="n">
        <f aca="false">IF(Calculator!$E$11="YES",IF(A538&lt;Calculator!$G$11,0,MIN(MIN(MOD(A538/Calculator!$F$11,1),1-MOD(A538/Calculator!$F$11,1)),ABS(MOD(A538/Calculator!$F$11,1)-0.5))),1)</f>
        <v>0.222666666666667</v>
      </c>
      <c r="C538" s="138" t="n">
        <f aca="false">IF(Calculator!$E$12="YES",IF(A538&lt;Calculator!$G$12,0,MIN(MIN(MOD(A538/Calculator!$F$12,1),1-MOD(A538/Calculator!$F$12,1)),ABS(MOD(A538/Calculator!$F$12,1)-0.5))),1)</f>
        <v>0.00670175438596488</v>
      </c>
      <c r="D538" s="138" t="n">
        <f aca="false">IF(Calculator!$E$13="YES",IF(A538&lt;Calculator!$G$13,0,MIN(MIN(MOD(A538/Calculator!$F$13,1),1-MOD(A538/Calculator!$F$13,1)),ABS(MOD(A538/Calculator!$F$13,1)-0.5))),1)</f>
        <v>0.192489122807017</v>
      </c>
      <c r="E538" s="138" t="n">
        <f aca="false">IF(Calculator!$E$14="YES",IF(A538&lt;Calculator!$G$14,0,MIN(MIN(MOD(A538/Calculator!$F$14,1),1-MOD(A538/Calculator!$F$14,1)),ABS(MOD(A538/Calculator!$F$14,1)-0.5))),1)</f>
        <v>0.0747719298245615</v>
      </c>
      <c r="F538" s="138" t="n">
        <f aca="false">IF(Calculator!$E$15="YES",IF(A538&lt;Calculator!$G$15,0,MIN(MIN(MOD(A538/Calculator!$F$15,1),1-MOD(A538/Calculator!$F$15,1)),ABS(MOD(A538/Calculator!$F$15,1)-0.5))),1)</f>
        <v>0.142368421052631</v>
      </c>
      <c r="G538" s="138" t="n">
        <f aca="false">IF(Calculator!$E$16="YES",IF(A538&lt;Calculator!$G$16,0,MIN(MIN(MOD(A538/Calculator!$F$16,1),1-MOD(A538/Calculator!$F$16,1)),ABS(MOD(A538/Calculator!$F$16,1)-0.5))),1)</f>
        <v>0.200684210526315</v>
      </c>
      <c r="H538" s="138" t="n">
        <f aca="false">IF(Calculator!$E$17="YES",IF(A538&lt;Calculator!$G$17,0,MIN(MIN(MOD(A538/Calculator!$F$17,1),1-MOD(A538/Calculator!$F$17,1)),ABS(MOD(A538/Calculator!$F$17,1)-0.5))),1)</f>
        <v>0.0875129824561398</v>
      </c>
      <c r="I538" s="138" t="n">
        <f aca="false">IF(Calculator!$E$18="YES",IF(A538&lt;Calculator!$G$18,0,MIN(MIN(MOD(A538/Calculator!$F$18,1),1-MOD(A538/Calculator!$F$18,1)),ABS(MOD(A538/Calculator!$F$18,1)-0.5))),1)</f>
        <v>0.183631578947368</v>
      </c>
      <c r="J538" s="138" t="n">
        <f aca="false">IF(Calculator!$E$19="YES",IF(A538&lt;Calculator!$G$19,0,MIN(MIN(MOD(A538/Calculator!$F$19,1),1-MOD(A538/Calculator!$F$19,1)),ABS(MOD(A538/Calculator!$F$19,1)-0.5))),1)</f>
        <v>0.203522807017542</v>
      </c>
      <c r="K538" s="138" t="n">
        <f aca="false">IF(Calculator!$E$20="YES",IF(A538&lt;Calculator!$G$20,0,MIN(MIN(MOD(A538/Calculator!$F$20,1),1-MOD(A538/Calculator!$F$20,1)),ABS(MOD(A538/Calculator!$F$20,1)-0.5))),1)</f>
        <v>0.196807017543861</v>
      </c>
      <c r="L538" s="138" t="n">
        <f aca="false">IF(Calculator!$E$21="YES",IF(A538&lt;Calculator!$G$21,0,MIN(MIN(MOD(A538/Calculator!$F$21,1),1-MOD(A538/Calculator!$F$21,1)),ABS(MOD(A538/Calculator!$F$21,1)-0.5))),1)</f>
        <v>0.22561403508772</v>
      </c>
      <c r="M538" s="138" t="n">
        <f aca="false">MIN(B538:L538)</f>
        <v>0.00670175438596488</v>
      </c>
      <c r="N538" s="138" t="n">
        <f aca="false">SUMPRODUCT(($M$5:$M$555&gt;M538)*1)+SUMPRODUCT(($M$5:$M$555=M538)*(ROW($M$5:$M$555)&lt;ROW(M538)))+1</f>
        <v>160</v>
      </c>
      <c r="O538" s="138" t="str">
        <f aca="false">IF(M538&gt;=0.2,"★★★ EXCELLENT",IF(M538&gt;=0.12,"★★  GOOD",IF(M538&gt;=0.07,"★  FAIR",IF(M538&gt;=0.025,"⚠  MARGINAL","✗  AVOID"))))</f>
        <v>✗  AVOID</v>
      </c>
    </row>
    <row r="539" customFormat="false" ht="15" hidden="false" customHeight="false" outlineLevel="0" collapsed="false">
      <c r="A539" s="135" t="n">
        <v>58.4</v>
      </c>
      <c r="B539" s="136" t="n">
        <f aca="false">IF(Calculator!$E$11="YES",IF(A539&lt;Calculator!$G$11,0,MIN(MIN(MOD(A539/Calculator!$F$11,1),1-MOD(A539/Calculator!$F$11,1)),ABS(MOD(A539/Calculator!$F$11,1)-0.5))),1)</f>
        <v>0.221333333333333</v>
      </c>
      <c r="C539" s="136" t="n">
        <f aca="false">IF(Calculator!$E$12="YES",IF(A539&lt;Calculator!$G$12,0,MIN(MIN(MOD(A539/Calculator!$F$12,1),1-MOD(A539/Calculator!$F$12,1)),ABS(MOD(A539/Calculator!$F$12,1)-0.5))),1)</f>
        <v>0.00414035087719289</v>
      </c>
      <c r="D539" s="136" t="n">
        <f aca="false">IF(Calculator!$E$13="YES",IF(A539&lt;Calculator!$G$13,0,MIN(MIN(MOD(A539/Calculator!$F$13,1),1-MOD(A539/Calculator!$F$13,1)),ABS(MOD(A539/Calculator!$F$13,1)-0.5))),1)</f>
        <v>0.196249824561404</v>
      </c>
      <c r="E539" s="136" t="n">
        <f aca="false">IF(Calculator!$E$14="YES",IF(A539&lt;Calculator!$G$14,0,MIN(MIN(MOD(A539/Calculator!$F$14,1),1-MOD(A539/Calculator!$F$14,1)),ABS(MOD(A539/Calculator!$F$14,1)-0.5))),1)</f>
        <v>0.0697543859649121</v>
      </c>
      <c r="F539" s="136" t="n">
        <f aca="false">IF(Calculator!$E$15="YES",IF(A539&lt;Calculator!$G$15,0,MIN(MIN(MOD(A539/Calculator!$F$15,1),1-MOD(A539/Calculator!$F$15,1)),ABS(MOD(A539/Calculator!$F$15,1)-0.5))),1)</f>
        <v>0.149473684210526</v>
      </c>
      <c r="G539" s="136" t="n">
        <f aca="false">IF(Calculator!$E$16="YES",IF(A539&lt;Calculator!$G$16,0,MIN(MIN(MOD(A539/Calculator!$F$16,1),1-MOD(A539/Calculator!$F$16,1)),ABS(MOD(A539/Calculator!$F$16,1)-0.5))),1)</f>
        <v>0.190736842105263</v>
      </c>
      <c r="H539" s="136" t="n">
        <f aca="false">IF(Calculator!$E$17="YES",IF(A539&lt;Calculator!$G$17,0,MIN(MIN(MOD(A539/Calculator!$F$17,1),1-MOD(A539/Calculator!$F$17,1)),ABS(MOD(A539/Calculator!$F$17,1)-0.5))),1)</f>
        <v>0.0747985964912274</v>
      </c>
      <c r="I539" s="136" t="n">
        <f aca="false">IF(Calculator!$E$18="YES",IF(A539&lt;Calculator!$G$18,0,MIN(MIN(MOD(A539/Calculator!$F$18,1),1-MOD(A539/Calculator!$F$18,1)),ABS(MOD(A539/Calculator!$F$18,1)-0.5))),1)</f>
        <v>0.198526315789474</v>
      </c>
      <c r="J539" s="136" t="n">
        <f aca="false">IF(Calculator!$E$19="YES",IF(A539&lt;Calculator!$G$19,0,MIN(MIN(MOD(A539/Calculator!$F$19,1),1-MOD(A539/Calculator!$F$19,1)),ABS(MOD(A539/Calculator!$F$19,1)-0.5))),1)</f>
        <v>0.221024561403507</v>
      </c>
      <c r="K539" s="136" t="n">
        <f aca="false">IF(Calculator!$E$20="YES",IF(A539&lt;Calculator!$G$20,0,MIN(MIN(MOD(A539/Calculator!$F$20,1),1-MOD(A539/Calculator!$F$20,1)),ABS(MOD(A539/Calculator!$F$20,1)-0.5))),1)</f>
        <v>0.176561403508773</v>
      </c>
      <c r="L539" s="136" t="n">
        <f aca="false">IF(Calculator!$E$21="YES",IF(A539&lt;Calculator!$G$21,0,MIN(MIN(MOD(A539/Calculator!$F$21,1),1-MOD(A539/Calculator!$F$21,1)),ABS(MOD(A539/Calculator!$F$21,1)-0.5))),1)</f>
        <v>0.189122807017544</v>
      </c>
      <c r="M539" s="136" t="n">
        <f aca="false">MIN(B539:L539)</f>
        <v>0.00414035087719289</v>
      </c>
      <c r="N539" s="136" t="n">
        <f aca="false">SUMPRODUCT(($M$5:$M$555&gt;M539)*1)+SUMPRODUCT(($M$5:$M$555=M539)*(ROW($M$5:$M$555)&lt;ROW(M539)))+1</f>
        <v>182</v>
      </c>
      <c r="O539" s="136" t="str">
        <f aca="false">IF(M539&gt;=0.2,"★★★ EXCELLENT",IF(M539&gt;=0.12,"★★  GOOD",IF(M539&gt;=0.07,"★  FAIR",IF(M539&gt;=0.025,"⚠  MARGINAL","✗  AVOID"))))</f>
        <v>✗  AVOID</v>
      </c>
    </row>
    <row r="540" customFormat="false" ht="15" hidden="false" customHeight="false" outlineLevel="0" collapsed="false">
      <c r="A540" s="137" t="n">
        <v>58.5</v>
      </c>
      <c r="B540" s="138" t="n">
        <f aca="false">IF(Calculator!$E$11="YES",IF(A540&lt;Calculator!$G$11,0,MIN(MIN(MOD(A540/Calculator!$F$11,1),1-MOD(A540/Calculator!$F$11,1)),ABS(MOD(A540/Calculator!$F$11,1)-0.5))),1)</f>
        <v>0.22</v>
      </c>
      <c r="C540" s="138" t="n">
        <f aca="false">IF(Calculator!$E$12="YES",IF(A540&lt;Calculator!$G$12,0,MIN(MIN(MOD(A540/Calculator!$F$12,1),1-MOD(A540/Calculator!$F$12,1)),ABS(MOD(A540/Calculator!$F$12,1)-0.5))),1)</f>
        <v>0.0015789473684209</v>
      </c>
      <c r="D540" s="138" t="n">
        <f aca="false">IF(Calculator!$E$13="YES",IF(A540&lt;Calculator!$G$13,0,MIN(MIN(MOD(A540/Calculator!$F$13,1),1-MOD(A540/Calculator!$F$13,1)),ABS(MOD(A540/Calculator!$F$13,1)-0.5))),1)</f>
        <v>0.200010526315789</v>
      </c>
      <c r="E540" s="138" t="n">
        <f aca="false">IF(Calculator!$E$14="YES",IF(A540&lt;Calculator!$G$14,0,MIN(MIN(MOD(A540/Calculator!$F$14,1),1-MOD(A540/Calculator!$F$14,1)),ABS(MOD(A540/Calculator!$F$14,1)-0.5))),1)</f>
        <v>0.0647368421052632</v>
      </c>
      <c r="F540" s="138" t="n">
        <f aca="false">IF(Calculator!$E$15="YES",IF(A540&lt;Calculator!$G$15,0,MIN(MIN(MOD(A540/Calculator!$F$15,1),1-MOD(A540/Calculator!$F$15,1)),ABS(MOD(A540/Calculator!$F$15,1)-0.5))),1)</f>
        <v>0.156578947368421</v>
      </c>
      <c r="G540" s="138" t="n">
        <f aca="false">IF(Calculator!$E$16="YES",IF(A540&lt;Calculator!$G$16,0,MIN(MIN(MOD(A540/Calculator!$F$16,1),1-MOD(A540/Calculator!$F$16,1)),ABS(MOD(A540/Calculator!$F$16,1)-0.5))),1)</f>
        <v>0.18078947368421</v>
      </c>
      <c r="H540" s="138" t="n">
        <f aca="false">IF(Calculator!$E$17="YES",IF(A540&lt;Calculator!$G$17,0,MIN(MIN(MOD(A540/Calculator!$F$17,1),1-MOD(A540/Calculator!$F$17,1)),ABS(MOD(A540/Calculator!$F$17,1)-0.5))),1)</f>
        <v>0.0620842105263151</v>
      </c>
      <c r="I540" s="138" t="n">
        <f aca="false">IF(Calculator!$E$18="YES",IF(A540&lt;Calculator!$G$18,0,MIN(MIN(MOD(A540/Calculator!$F$18,1),1-MOD(A540/Calculator!$F$18,1)),ABS(MOD(A540/Calculator!$F$18,1)-0.5))),1)</f>
        <v>0.213421052631579</v>
      </c>
      <c r="J540" s="138" t="n">
        <f aca="false">IF(Calculator!$E$19="YES",IF(A540&lt;Calculator!$G$19,0,MIN(MIN(MOD(A540/Calculator!$F$19,1),1-MOD(A540/Calculator!$F$19,1)),ABS(MOD(A540/Calculator!$F$19,1)-0.5))),1)</f>
        <v>0.238526315789471</v>
      </c>
      <c r="K540" s="138" t="n">
        <f aca="false">IF(Calculator!$E$20="YES",IF(A540&lt;Calculator!$G$20,0,MIN(MIN(MOD(A540/Calculator!$F$20,1),1-MOD(A540/Calculator!$F$20,1)),ABS(MOD(A540/Calculator!$F$20,1)-0.5))),1)</f>
        <v>0.156315789473684</v>
      </c>
      <c r="L540" s="138" t="n">
        <f aca="false">IF(Calculator!$E$21="YES",IF(A540&lt;Calculator!$G$21,0,MIN(MIN(MOD(A540/Calculator!$F$21,1),1-MOD(A540/Calculator!$F$21,1)),ABS(MOD(A540/Calculator!$F$21,1)-0.5))),1)</f>
        <v>0.152631578947368</v>
      </c>
      <c r="M540" s="138" t="n">
        <f aca="false">MIN(B540:L540)</f>
        <v>0.0015789473684209</v>
      </c>
      <c r="N540" s="138" t="n">
        <f aca="false">SUMPRODUCT(($M$5:$M$555&gt;M540)*1)+SUMPRODUCT(($M$5:$M$555=M540)*(ROW($M$5:$M$555)&lt;ROW(M540)))+1</f>
        <v>205</v>
      </c>
      <c r="O540" s="138" t="str">
        <f aca="false">IF(M540&gt;=0.2,"★★★ EXCELLENT",IF(M540&gt;=0.12,"★★  GOOD",IF(M540&gt;=0.07,"★  FAIR",IF(M540&gt;=0.025,"⚠  MARGINAL","✗  AVOID"))))</f>
        <v>✗  AVOID</v>
      </c>
    </row>
    <row r="541" customFormat="false" ht="15" hidden="false" customHeight="false" outlineLevel="0" collapsed="false">
      <c r="A541" s="135" t="n">
        <v>58.6</v>
      </c>
      <c r="B541" s="136" t="n">
        <f aca="false">IF(Calculator!$E$11="YES",IF(A541&lt;Calculator!$G$11,0,MIN(MIN(MOD(A541/Calculator!$F$11,1),1-MOD(A541/Calculator!$F$11,1)),ABS(MOD(A541/Calculator!$F$11,1)-0.5))),1)</f>
        <v>0.218666666666667</v>
      </c>
      <c r="C541" s="136" t="n">
        <f aca="false">IF(Calculator!$E$12="YES",IF(A541&lt;Calculator!$G$12,0,MIN(MIN(MOD(A541/Calculator!$F$12,1),1-MOD(A541/Calculator!$F$12,1)),ABS(MOD(A541/Calculator!$F$12,1)-0.5))),1)</f>
        <v>0.000982456140350863</v>
      </c>
      <c r="D541" s="136" t="n">
        <f aca="false">IF(Calculator!$E$13="YES",IF(A541&lt;Calculator!$G$13,0,MIN(MIN(MOD(A541/Calculator!$F$13,1),1-MOD(A541/Calculator!$F$13,1)),ABS(MOD(A541/Calculator!$F$13,1)-0.5))),1)</f>
        <v>0.203771228070175</v>
      </c>
      <c r="E541" s="136" t="n">
        <f aca="false">IF(Calculator!$E$14="YES",IF(A541&lt;Calculator!$G$14,0,MIN(MIN(MOD(A541/Calculator!$F$14,1),1-MOD(A541/Calculator!$F$14,1)),ABS(MOD(A541/Calculator!$F$14,1)-0.5))),1)</f>
        <v>0.0597192982456138</v>
      </c>
      <c r="F541" s="136" t="n">
        <f aca="false">IF(Calculator!$E$15="YES",IF(A541&lt;Calculator!$G$15,0,MIN(MIN(MOD(A541/Calculator!$F$15,1),1-MOD(A541/Calculator!$F$15,1)),ABS(MOD(A541/Calculator!$F$15,1)-0.5))),1)</f>
        <v>0.163684210526315</v>
      </c>
      <c r="G541" s="136" t="n">
        <f aca="false">IF(Calculator!$E$16="YES",IF(A541&lt;Calculator!$G$16,0,MIN(MIN(MOD(A541/Calculator!$F$16,1),1-MOD(A541/Calculator!$F$16,1)),ABS(MOD(A541/Calculator!$F$16,1)-0.5))),1)</f>
        <v>0.170842105263158</v>
      </c>
      <c r="H541" s="136" t="n">
        <f aca="false">IF(Calculator!$E$17="YES",IF(A541&lt;Calculator!$G$17,0,MIN(MIN(MOD(A541/Calculator!$F$17,1),1-MOD(A541/Calculator!$F$17,1)),ABS(MOD(A541/Calculator!$F$17,1)-0.5))),1)</f>
        <v>0.0493698245614027</v>
      </c>
      <c r="I541" s="136" t="n">
        <f aca="false">IF(Calculator!$E$18="YES",IF(A541&lt;Calculator!$G$18,0,MIN(MIN(MOD(A541/Calculator!$F$18,1),1-MOD(A541/Calculator!$F$18,1)),ABS(MOD(A541/Calculator!$F$18,1)-0.5))),1)</f>
        <v>0.228315789473685</v>
      </c>
      <c r="J541" s="136" t="n">
        <f aca="false">IF(Calculator!$E$19="YES",IF(A541&lt;Calculator!$G$19,0,MIN(MIN(MOD(A541/Calculator!$F$19,1),1-MOD(A541/Calculator!$F$19,1)),ABS(MOD(A541/Calculator!$F$19,1)-0.5))),1)</f>
        <v>0.243971929824562</v>
      </c>
      <c r="K541" s="136" t="n">
        <f aca="false">IF(Calculator!$E$20="YES",IF(A541&lt;Calculator!$G$20,0,MIN(MIN(MOD(A541/Calculator!$F$20,1),1-MOD(A541/Calculator!$F$20,1)),ABS(MOD(A541/Calculator!$F$20,1)-0.5))),1)</f>
        <v>0.136070175438597</v>
      </c>
      <c r="L541" s="136" t="n">
        <f aca="false">IF(Calculator!$E$21="YES",IF(A541&lt;Calculator!$G$21,0,MIN(MIN(MOD(A541/Calculator!$F$21,1),1-MOD(A541/Calculator!$F$21,1)),ABS(MOD(A541/Calculator!$F$21,1)-0.5))),1)</f>
        <v>0.116140350877192</v>
      </c>
      <c r="M541" s="136" t="n">
        <f aca="false">MIN(B541:L541)</f>
        <v>0.000982456140350863</v>
      </c>
      <c r="N541" s="136" t="n">
        <f aca="false">SUMPRODUCT(($M$5:$M$555&gt;M541)*1)+SUMPRODUCT(($M$5:$M$555=M541)*(ROW($M$5:$M$555)&lt;ROW(M541)))+1</f>
        <v>217</v>
      </c>
      <c r="O541" s="136" t="str">
        <f aca="false">IF(M541&gt;=0.2,"★★★ EXCELLENT",IF(M541&gt;=0.12,"★★  GOOD",IF(M541&gt;=0.07,"★  FAIR",IF(M541&gt;=0.025,"⚠  MARGINAL","✗  AVOID"))))</f>
        <v>✗  AVOID</v>
      </c>
    </row>
    <row r="542" customFormat="false" ht="15" hidden="false" customHeight="false" outlineLevel="0" collapsed="false">
      <c r="A542" s="137" t="n">
        <v>58.7</v>
      </c>
      <c r="B542" s="138" t="n">
        <f aca="false">IF(Calculator!$E$11="YES",IF(A542&lt;Calculator!$G$11,0,MIN(MIN(MOD(A542/Calculator!$F$11,1),1-MOD(A542/Calculator!$F$11,1)),ABS(MOD(A542/Calculator!$F$11,1)-0.5))),1)</f>
        <v>0.217333333333333</v>
      </c>
      <c r="C542" s="138" t="n">
        <f aca="false">IF(Calculator!$E$12="YES",IF(A542&lt;Calculator!$G$12,0,MIN(MIN(MOD(A542/Calculator!$F$12,1),1-MOD(A542/Calculator!$F$12,1)),ABS(MOD(A542/Calculator!$F$12,1)-0.5))),1)</f>
        <v>0.00354385964912285</v>
      </c>
      <c r="D542" s="138" t="n">
        <f aca="false">IF(Calculator!$E$13="YES",IF(A542&lt;Calculator!$G$13,0,MIN(MIN(MOD(A542/Calculator!$F$13,1),1-MOD(A542/Calculator!$F$13,1)),ABS(MOD(A542/Calculator!$F$13,1)-0.5))),1)</f>
        <v>0.207531929824561</v>
      </c>
      <c r="E542" s="138" t="n">
        <f aca="false">IF(Calculator!$E$14="YES",IF(A542&lt;Calculator!$G$14,0,MIN(MIN(MOD(A542/Calculator!$F$14,1),1-MOD(A542/Calculator!$F$14,1)),ABS(MOD(A542/Calculator!$F$14,1)-0.5))),1)</f>
        <v>0.0547017543859649</v>
      </c>
      <c r="F542" s="138" t="n">
        <f aca="false">IF(Calculator!$E$15="YES",IF(A542&lt;Calculator!$G$15,0,MIN(MIN(MOD(A542/Calculator!$F$15,1),1-MOD(A542/Calculator!$F$15,1)),ABS(MOD(A542/Calculator!$F$15,1)-0.5))),1)</f>
        <v>0.170789473684211</v>
      </c>
      <c r="G542" s="138" t="n">
        <f aca="false">IF(Calculator!$E$16="YES",IF(A542&lt;Calculator!$G$16,0,MIN(MIN(MOD(A542/Calculator!$F$16,1),1-MOD(A542/Calculator!$F$16,1)),ABS(MOD(A542/Calculator!$F$16,1)-0.5))),1)</f>
        <v>0.160894736842105</v>
      </c>
      <c r="H542" s="138" t="n">
        <f aca="false">IF(Calculator!$E$17="YES",IF(A542&lt;Calculator!$G$17,0,MIN(MIN(MOD(A542/Calculator!$F$17,1),1-MOD(A542/Calculator!$F$17,1)),ABS(MOD(A542/Calculator!$F$17,1)-0.5))),1)</f>
        <v>0.0366554385964903</v>
      </c>
      <c r="I542" s="138" t="n">
        <f aca="false">IF(Calculator!$E$18="YES",IF(A542&lt;Calculator!$G$18,0,MIN(MIN(MOD(A542/Calculator!$F$18,1),1-MOD(A542/Calculator!$F$18,1)),ABS(MOD(A542/Calculator!$F$18,1)-0.5))),1)</f>
        <v>0.24321052631579</v>
      </c>
      <c r="J542" s="138" t="n">
        <f aca="false">IF(Calculator!$E$19="YES",IF(A542&lt;Calculator!$G$19,0,MIN(MIN(MOD(A542/Calculator!$F$19,1),1-MOD(A542/Calculator!$F$19,1)),ABS(MOD(A542/Calculator!$F$19,1)-0.5))),1)</f>
        <v>0.226470175438598</v>
      </c>
      <c r="K542" s="138" t="n">
        <f aca="false">IF(Calculator!$E$20="YES",IF(A542&lt;Calculator!$G$20,0,MIN(MIN(MOD(A542/Calculator!$F$20,1),1-MOD(A542/Calculator!$F$20,1)),ABS(MOD(A542/Calculator!$F$20,1)-0.5))),1)</f>
        <v>0.115824561403509</v>
      </c>
      <c r="L542" s="138" t="n">
        <f aca="false">IF(Calculator!$E$21="YES",IF(A542&lt;Calculator!$G$21,0,MIN(MIN(MOD(A542/Calculator!$F$21,1),1-MOD(A542/Calculator!$F$21,1)),ABS(MOD(A542/Calculator!$F$21,1)-0.5))),1)</f>
        <v>0.079649122807016</v>
      </c>
      <c r="M542" s="138" t="n">
        <f aca="false">MIN(B542:L542)</f>
        <v>0.00354385964912285</v>
      </c>
      <c r="N542" s="138" t="n">
        <f aca="false">SUMPRODUCT(($M$5:$M$555&gt;M542)*1)+SUMPRODUCT(($M$5:$M$555=M542)*(ROW($M$5:$M$555)&lt;ROW(M542)))+1</f>
        <v>189</v>
      </c>
      <c r="O542" s="138" t="str">
        <f aca="false">IF(M542&gt;=0.2,"★★★ EXCELLENT",IF(M542&gt;=0.12,"★★  GOOD",IF(M542&gt;=0.07,"★  FAIR",IF(M542&gt;=0.025,"⚠  MARGINAL","✗  AVOID"))))</f>
        <v>✗  AVOID</v>
      </c>
    </row>
    <row r="543" customFormat="false" ht="15" hidden="false" customHeight="false" outlineLevel="0" collapsed="false">
      <c r="A543" s="135" t="n">
        <v>58.8</v>
      </c>
      <c r="B543" s="136" t="n">
        <f aca="false">IF(Calculator!$E$11="YES",IF(A543&lt;Calculator!$G$11,0,MIN(MIN(MOD(A543/Calculator!$F$11,1),1-MOD(A543/Calculator!$F$11,1)),ABS(MOD(A543/Calculator!$F$11,1)-0.5))),1)</f>
        <v>0.216</v>
      </c>
      <c r="C543" s="136" t="n">
        <f aca="false">IF(Calculator!$E$12="YES",IF(A543&lt;Calculator!$G$12,0,MIN(MIN(MOD(A543/Calculator!$F$12,1),1-MOD(A543/Calculator!$F$12,1)),ABS(MOD(A543/Calculator!$F$12,1)-0.5))),1)</f>
        <v>0.00610526315789461</v>
      </c>
      <c r="D543" s="136" t="n">
        <f aca="false">IF(Calculator!$E$13="YES",IF(A543&lt;Calculator!$G$13,0,MIN(MIN(MOD(A543/Calculator!$F$13,1),1-MOD(A543/Calculator!$F$13,1)),ABS(MOD(A543/Calculator!$F$13,1)-0.5))),1)</f>
        <v>0.211292631578947</v>
      </c>
      <c r="E543" s="136" t="n">
        <f aca="false">IF(Calculator!$E$14="YES",IF(A543&lt;Calculator!$G$14,0,MIN(MIN(MOD(A543/Calculator!$F$14,1),1-MOD(A543/Calculator!$F$14,1)),ABS(MOD(A543/Calculator!$F$14,1)-0.5))),1)</f>
        <v>0.049684210526316</v>
      </c>
      <c r="F543" s="136" t="n">
        <f aca="false">IF(Calculator!$E$15="YES",IF(A543&lt;Calculator!$G$15,0,MIN(MIN(MOD(A543/Calculator!$F$15,1),1-MOD(A543/Calculator!$F$15,1)),ABS(MOD(A543/Calculator!$F$15,1)-0.5))),1)</f>
        <v>0.177894736842105</v>
      </c>
      <c r="G543" s="136" t="n">
        <f aca="false">IF(Calculator!$E$16="YES",IF(A543&lt;Calculator!$G$16,0,MIN(MIN(MOD(A543/Calculator!$F$16,1),1-MOD(A543/Calculator!$F$16,1)),ABS(MOD(A543/Calculator!$F$16,1)-0.5))),1)</f>
        <v>0.150947368421052</v>
      </c>
      <c r="H543" s="136" t="n">
        <f aca="false">IF(Calculator!$E$17="YES",IF(A543&lt;Calculator!$G$17,0,MIN(MIN(MOD(A543/Calculator!$F$17,1),1-MOD(A543/Calculator!$F$17,1)),ABS(MOD(A543/Calculator!$F$17,1)-0.5))),1)</f>
        <v>0.0239410526315789</v>
      </c>
      <c r="I543" s="136" t="n">
        <f aca="false">IF(Calculator!$E$18="YES",IF(A543&lt;Calculator!$G$18,0,MIN(MIN(MOD(A543/Calculator!$F$18,1),1-MOD(A543/Calculator!$F$18,1)),ABS(MOD(A543/Calculator!$F$18,1)-0.5))),1)</f>
        <v>0.241894736842106</v>
      </c>
      <c r="J543" s="136" t="n">
        <f aca="false">IF(Calculator!$E$19="YES",IF(A543&lt;Calculator!$G$19,0,MIN(MIN(MOD(A543/Calculator!$F$19,1),1-MOD(A543/Calculator!$F$19,1)),ABS(MOD(A543/Calculator!$F$19,1)-0.5))),1)</f>
        <v>0.208968421052633</v>
      </c>
      <c r="K543" s="136" t="n">
        <f aca="false">IF(Calculator!$E$20="YES",IF(A543&lt;Calculator!$G$20,0,MIN(MIN(MOD(A543/Calculator!$F$20,1),1-MOD(A543/Calculator!$F$20,1)),ABS(MOD(A543/Calculator!$F$20,1)-0.5))),1)</f>
        <v>0.0955789473684217</v>
      </c>
      <c r="L543" s="136" t="n">
        <f aca="false">IF(Calculator!$E$21="YES",IF(A543&lt;Calculator!$G$21,0,MIN(MIN(MOD(A543/Calculator!$F$21,1),1-MOD(A543/Calculator!$F$21,1)),ABS(MOD(A543/Calculator!$F$21,1)-0.5))),1)</f>
        <v>0.0431578947368436</v>
      </c>
      <c r="M543" s="136" t="n">
        <f aca="false">MIN(B543:L543)</f>
        <v>0.00610526315789461</v>
      </c>
      <c r="N543" s="136" t="n">
        <f aca="false">SUMPRODUCT(($M$5:$M$555&gt;M543)*1)+SUMPRODUCT(($M$5:$M$555=M543)*(ROW($M$5:$M$555)&lt;ROW(M543)))+1</f>
        <v>167</v>
      </c>
      <c r="O543" s="136" t="str">
        <f aca="false">IF(M543&gt;=0.2,"★★★ EXCELLENT",IF(M543&gt;=0.12,"★★  GOOD",IF(M543&gt;=0.07,"★  FAIR",IF(M543&gt;=0.025,"⚠  MARGINAL","✗  AVOID"))))</f>
        <v>✗  AVOID</v>
      </c>
    </row>
    <row r="544" customFormat="false" ht="15" hidden="false" customHeight="false" outlineLevel="0" collapsed="false">
      <c r="A544" s="137" t="n">
        <v>58.9</v>
      </c>
      <c r="B544" s="138" t="n">
        <f aca="false">IF(Calculator!$E$11="YES",IF(A544&lt;Calculator!$G$11,0,MIN(MIN(MOD(A544/Calculator!$F$11,1),1-MOD(A544/Calculator!$F$11,1)),ABS(MOD(A544/Calculator!$F$11,1)-0.5))),1)</f>
        <v>0.214666666666667</v>
      </c>
      <c r="C544" s="138" t="n">
        <f aca="false">IF(Calculator!$E$12="YES",IF(A544&lt;Calculator!$G$12,0,MIN(MIN(MOD(A544/Calculator!$F$12,1),1-MOD(A544/Calculator!$F$12,1)),ABS(MOD(A544/Calculator!$F$12,1)-0.5))),1)</f>
        <v>0.0086666666666666</v>
      </c>
      <c r="D544" s="138" t="n">
        <f aca="false">IF(Calculator!$E$13="YES",IF(A544&lt;Calculator!$G$13,0,MIN(MIN(MOD(A544/Calculator!$F$13,1),1-MOD(A544/Calculator!$F$13,1)),ABS(MOD(A544/Calculator!$F$13,1)-0.5))),1)</f>
        <v>0.215053333333333</v>
      </c>
      <c r="E544" s="138" t="n">
        <f aca="false">IF(Calculator!$E$14="YES",IF(A544&lt;Calculator!$G$14,0,MIN(MIN(MOD(A544/Calculator!$F$14,1),1-MOD(A544/Calculator!$F$14,1)),ABS(MOD(A544/Calculator!$F$14,1)-0.5))),1)</f>
        <v>0.0446666666666666</v>
      </c>
      <c r="F544" s="138" t="n">
        <f aca="false">IF(Calculator!$E$15="YES",IF(A544&lt;Calculator!$G$15,0,MIN(MIN(MOD(A544/Calculator!$F$15,1),1-MOD(A544/Calculator!$F$15,1)),ABS(MOD(A544/Calculator!$F$15,1)-0.5))),1)</f>
        <v>0.185</v>
      </c>
      <c r="G544" s="138" t="n">
        <f aca="false">IF(Calculator!$E$16="YES",IF(A544&lt;Calculator!$G$16,0,MIN(MIN(MOD(A544/Calculator!$F$16,1),1-MOD(A544/Calculator!$F$16,1)),ABS(MOD(A544/Calculator!$F$16,1)-0.5))),1)</f>
        <v>0.141</v>
      </c>
      <c r="H544" s="138" t="n">
        <f aca="false">IF(Calculator!$E$17="YES",IF(A544&lt;Calculator!$G$17,0,MIN(MIN(MOD(A544/Calculator!$F$17,1),1-MOD(A544/Calculator!$F$17,1)),ABS(MOD(A544/Calculator!$F$17,1)-0.5))),1)</f>
        <v>0.0112266666666656</v>
      </c>
      <c r="I544" s="138" t="n">
        <f aca="false">IF(Calculator!$E$18="YES",IF(A544&lt;Calculator!$G$18,0,MIN(MIN(MOD(A544/Calculator!$F$18,1),1-MOD(A544/Calculator!$F$18,1)),ABS(MOD(A544/Calculator!$F$18,1)-0.5))),1)</f>
        <v>0.227</v>
      </c>
      <c r="J544" s="138" t="n">
        <f aca="false">IF(Calculator!$E$19="YES",IF(A544&lt;Calculator!$G$19,0,MIN(MIN(MOD(A544/Calculator!$F$19,1),1-MOD(A544/Calculator!$F$19,1)),ABS(MOD(A544/Calculator!$F$19,1)-0.5))),1)</f>
        <v>0.191466666666669</v>
      </c>
      <c r="K544" s="138" t="n">
        <f aca="false">IF(Calculator!$E$20="YES",IF(A544&lt;Calculator!$G$20,0,MIN(MIN(MOD(A544/Calculator!$F$20,1),1-MOD(A544/Calculator!$F$20,1)),ABS(MOD(A544/Calculator!$F$20,1)-0.5))),1)</f>
        <v>0.075333333333333</v>
      </c>
      <c r="L544" s="138" t="n">
        <f aca="false">IF(Calculator!$E$21="YES",IF(A544&lt;Calculator!$G$21,0,MIN(MIN(MOD(A544/Calculator!$F$21,1),1-MOD(A544/Calculator!$F$21,1)),ABS(MOD(A544/Calculator!$F$21,1)-0.5))),1)</f>
        <v>0.00666666666666771</v>
      </c>
      <c r="M544" s="138" t="n">
        <f aca="false">MIN(B544:L544)</f>
        <v>0.00666666666666771</v>
      </c>
      <c r="N544" s="138" t="n">
        <f aca="false">SUMPRODUCT(($M$5:$M$555&gt;M544)*1)+SUMPRODUCT(($M$5:$M$555=M544)*(ROW($M$5:$M$555)&lt;ROW(M544)))+1</f>
        <v>161</v>
      </c>
      <c r="O544" s="138" t="str">
        <f aca="false">IF(M544&gt;=0.2,"★★★ EXCELLENT",IF(M544&gt;=0.12,"★★  GOOD",IF(M544&gt;=0.07,"★  FAIR",IF(M544&gt;=0.025,"⚠  MARGINAL","✗  AVOID"))))</f>
        <v>✗  AVOID</v>
      </c>
    </row>
    <row r="545" customFormat="false" ht="15" hidden="false" customHeight="false" outlineLevel="0" collapsed="false">
      <c r="A545" s="135" t="n">
        <v>59</v>
      </c>
      <c r="B545" s="136" t="n">
        <f aca="false">IF(Calculator!$E$11="YES",IF(A545&lt;Calculator!$G$11,0,MIN(MIN(MOD(A545/Calculator!$F$11,1),1-MOD(A545/Calculator!$F$11,1)),ABS(MOD(A545/Calculator!$F$11,1)-0.5))),1)</f>
        <v>0.213333333333333</v>
      </c>
      <c r="C545" s="136" t="n">
        <f aca="false">IF(Calculator!$E$12="YES",IF(A545&lt;Calculator!$G$12,0,MIN(MIN(MOD(A545/Calculator!$F$12,1),1-MOD(A545/Calculator!$F$12,1)),ABS(MOD(A545/Calculator!$F$12,1)-0.5))),1)</f>
        <v>0.0112280701754386</v>
      </c>
      <c r="D545" s="136" t="n">
        <f aca="false">IF(Calculator!$E$13="YES",IF(A545&lt;Calculator!$G$13,0,MIN(MIN(MOD(A545/Calculator!$F$13,1),1-MOD(A545/Calculator!$F$13,1)),ABS(MOD(A545/Calculator!$F$13,1)-0.5))),1)</f>
        <v>0.218814035087719</v>
      </c>
      <c r="E545" s="136" t="n">
        <f aca="false">IF(Calculator!$E$14="YES",IF(A545&lt;Calculator!$G$14,0,MIN(MIN(MOD(A545/Calculator!$F$14,1),1-MOD(A545/Calculator!$F$14,1)),ABS(MOD(A545/Calculator!$F$14,1)-0.5))),1)</f>
        <v>0.0396491228070177</v>
      </c>
      <c r="F545" s="136" t="n">
        <f aca="false">IF(Calculator!$E$15="YES",IF(A545&lt;Calculator!$G$15,0,MIN(MIN(MOD(A545/Calculator!$F$15,1),1-MOD(A545/Calculator!$F$15,1)),ABS(MOD(A545/Calculator!$F$15,1)-0.5))),1)</f>
        <v>0.192105263157894</v>
      </c>
      <c r="G545" s="136" t="n">
        <f aca="false">IF(Calculator!$E$16="YES",IF(A545&lt;Calculator!$G$16,0,MIN(MIN(MOD(A545/Calculator!$F$16,1),1-MOD(A545/Calculator!$F$16,1)),ABS(MOD(A545/Calculator!$F$16,1)-0.5))),1)</f>
        <v>0.131052631578947</v>
      </c>
      <c r="H545" s="136" t="n">
        <f aca="false">IF(Calculator!$E$17="YES",IF(A545&lt;Calculator!$G$17,0,MIN(MIN(MOD(A545/Calculator!$F$17,1),1-MOD(A545/Calculator!$F$17,1)),ABS(MOD(A545/Calculator!$F$17,1)-0.5))),1)</f>
        <v>0.00148771929824676</v>
      </c>
      <c r="I545" s="136" t="n">
        <f aca="false">IF(Calculator!$E$18="YES",IF(A545&lt;Calculator!$G$18,0,MIN(MIN(MOD(A545/Calculator!$F$18,1),1-MOD(A545/Calculator!$F$18,1)),ABS(MOD(A545/Calculator!$F$18,1)-0.5))),1)</f>
        <v>0.212105263157895</v>
      </c>
      <c r="J545" s="136" t="n">
        <f aca="false">IF(Calculator!$E$19="YES",IF(A545&lt;Calculator!$G$19,0,MIN(MIN(MOD(A545/Calculator!$F$19,1),1-MOD(A545/Calculator!$F$19,1)),ABS(MOD(A545/Calculator!$F$19,1)-0.5))),1)</f>
        <v>0.173964912280704</v>
      </c>
      <c r="K545" s="136" t="n">
        <f aca="false">IF(Calculator!$E$20="YES",IF(A545&lt;Calculator!$G$20,0,MIN(MIN(MOD(A545/Calculator!$F$20,1),1-MOD(A545/Calculator!$F$20,1)),ABS(MOD(A545/Calculator!$F$20,1)-0.5))),1)</f>
        <v>0.0550877192982462</v>
      </c>
      <c r="L545" s="136" t="n">
        <f aca="false">IF(Calculator!$E$21="YES",IF(A545&lt;Calculator!$G$21,0,MIN(MIN(MOD(A545/Calculator!$F$21,1),1-MOD(A545/Calculator!$F$21,1)),ABS(MOD(A545/Calculator!$F$21,1)-0.5))),1)</f>
        <v>0.0298245614035082</v>
      </c>
      <c r="M545" s="136" t="n">
        <f aca="false">MIN(B545:L545)</f>
        <v>0.00148771929824676</v>
      </c>
      <c r="N545" s="136" t="n">
        <f aca="false">SUMPRODUCT(($M$5:$M$555&gt;M545)*1)+SUMPRODUCT(($M$5:$M$555=M545)*(ROW($M$5:$M$555)&lt;ROW(M545)))+1</f>
        <v>208</v>
      </c>
      <c r="O545" s="136" t="str">
        <f aca="false">IF(M545&gt;=0.2,"★★★ EXCELLENT",IF(M545&gt;=0.12,"★★  GOOD",IF(M545&gt;=0.07,"★  FAIR",IF(M545&gt;=0.025,"⚠  MARGINAL","✗  AVOID"))))</f>
        <v>✗  AVOID</v>
      </c>
    </row>
    <row r="546" customFormat="false" ht="15" hidden="false" customHeight="false" outlineLevel="0" collapsed="false">
      <c r="A546" s="137" t="n">
        <v>59.1</v>
      </c>
      <c r="B546" s="138" t="n">
        <f aca="false">IF(Calculator!$E$11="YES",IF(A546&lt;Calculator!$G$11,0,MIN(MIN(MOD(A546/Calculator!$F$11,1),1-MOD(A546/Calculator!$F$11,1)),ABS(MOD(A546/Calculator!$F$11,1)-0.5))),1)</f>
        <v>0.212</v>
      </c>
      <c r="C546" s="138" t="n">
        <f aca="false">IF(Calculator!$E$12="YES",IF(A546&lt;Calculator!$G$12,0,MIN(MIN(MOD(A546/Calculator!$F$12,1),1-MOD(A546/Calculator!$F$12,1)),ABS(MOD(A546/Calculator!$F$12,1)-0.5))),1)</f>
        <v>0.0137894736842106</v>
      </c>
      <c r="D546" s="138" t="n">
        <f aca="false">IF(Calculator!$E$13="YES",IF(A546&lt;Calculator!$G$13,0,MIN(MIN(MOD(A546/Calculator!$F$13,1),1-MOD(A546/Calculator!$F$13,1)),ABS(MOD(A546/Calculator!$F$13,1)-0.5))),1)</f>
        <v>0.222574736842105</v>
      </c>
      <c r="E546" s="138" t="n">
        <f aca="false">IF(Calculator!$E$14="YES",IF(A546&lt;Calculator!$G$14,0,MIN(MIN(MOD(A546/Calculator!$F$14,1),1-MOD(A546/Calculator!$F$14,1)),ABS(MOD(A546/Calculator!$F$14,1)-0.5))),1)</f>
        <v>0.0346315789473684</v>
      </c>
      <c r="F546" s="138" t="n">
        <f aca="false">IF(Calculator!$E$15="YES",IF(A546&lt;Calculator!$G$15,0,MIN(MIN(MOD(A546/Calculator!$F$15,1),1-MOD(A546/Calculator!$F$15,1)),ABS(MOD(A546/Calculator!$F$15,1)-0.5))),1)</f>
        <v>0.199210526315789</v>
      </c>
      <c r="G546" s="138" t="n">
        <f aca="false">IF(Calculator!$E$16="YES",IF(A546&lt;Calculator!$G$16,0,MIN(MIN(MOD(A546/Calculator!$F$16,1),1-MOD(A546/Calculator!$F$16,1)),ABS(MOD(A546/Calculator!$F$16,1)-0.5))),1)</f>
        <v>0.121105263157894</v>
      </c>
      <c r="H546" s="138" t="n">
        <f aca="false">IF(Calculator!$E$17="YES",IF(A546&lt;Calculator!$G$17,0,MIN(MIN(MOD(A546/Calculator!$F$17,1),1-MOD(A546/Calculator!$F$17,1)),ABS(MOD(A546/Calculator!$F$17,1)-0.5))),1)</f>
        <v>0.0142021052631591</v>
      </c>
      <c r="I546" s="138" t="n">
        <f aca="false">IF(Calculator!$E$18="YES",IF(A546&lt;Calculator!$G$18,0,MIN(MIN(MOD(A546/Calculator!$F$18,1),1-MOD(A546/Calculator!$F$18,1)),ABS(MOD(A546/Calculator!$F$18,1)-0.5))),1)</f>
        <v>0.197210526315789</v>
      </c>
      <c r="J546" s="138" t="n">
        <f aca="false">IF(Calculator!$E$19="YES",IF(A546&lt;Calculator!$G$19,0,MIN(MIN(MOD(A546/Calculator!$F$19,1),1-MOD(A546/Calculator!$F$19,1)),ABS(MOD(A546/Calculator!$F$19,1)-0.5))),1)</f>
        <v>0.156463157894738</v>
      </c>
      <c r="K546" s="138" t="n">
        <f aca="false">IF(Calculator!$E$20="YES",IF(A546&lt;Calculator!$G$20,0,MIN(MIN(MOD(A546/Calculator!$F$20,1),1-MOD(A546/Calculator!$F$20,1)),ABS(MOD(A546/Calculator!$F$20,1)-0.5))),1)</f>
        <v>0.0348421052631576</v>
      </c>
      <c r="L546" s="138" t="n">
        <f aca="false">IF(Calculator!$E$21="YES",IF(A546&lt;Calculator!$G$21,0,MIN(MIN(MOD(A546/Calculator!$F$21,1),1-MOD(A546/Calculator!$F$21,1)),ABS(MOD(A546/Calculator!$F$21,1)-0.5))),1)</f>
        <v>0.0663157894736841</v>
      </c>
      <c r="M546" s="138" t="n">
        <f aca="false">MIN(B546:L546)</f>
        <v>0.0137894736842106</v>
      </c>
      <c r="N546" s="138" t="n">
        <f aca="false">SUMPRODUCT(($M$5:$M$555&gt;M546)*1)+SUMPRODUCT(($M$5:$M$555=M546)*(ROW($M$5:$M$555)&lt;ROW(M546)))+1</f>
        <v>111</v>
      </c>
      <c r="O546" s="138" t="str">
        <f aca="false">IF(M546&gt;=0.2,"★★★ EXCELLENT",IF(M546&gt;=0.12,"★★  GOOD",IF(M546&gt;=0.07,"★  FAIR",IF(M546&gt;=0.025,"⚠  MARGINAL","✗  AVOID"))))</f>
        <v>✗  AVOID</v>
      </c>
    </row>
    <row r="547" customFormat="false" ht="15" hidden="false" customHeight="false" outlineLevel="0" collapsed="false">
      <c r="A547" s="135" t="n">
        <v>59.2</v>
      </c>
      <c r="B547" s="136" t="n">
        <f aca="false">IF(Calculator!$E$11="YES",IF(A547&lt;Calculator!$G$11,0,MIN(MIN(MOD(A547/Calculator!$F$11,1),1-MOD(A547/Calculator!$F$11,1)),ABS(MOD(A547/Calculator!$F$11,1)-0.5))),1)</f>
        <v>0.210666666666667</v>
      </c>
      <c r="C547" s="136" t="n">
        <f aca="false">IF(Calculator!$E$12="YES",IF(A547&lt;Calculator!$G$12,0,MIN(MIN(MOD(A547/Calculator!$F$12,1),1-MOD(A547/Calculator!$F$12,1)),ABS(MOD(A547/Calculator!$F$12,1)-0.5))),1)</f>
        <v>0.0163508771929826</v>
      </c>
      <c r="D547" s="136" t="n">
        <f aca="false">IF(Calculator!$E$13="YES",IF(A547&lt;Calculator!$G$13,0,MIN(MIN(MOD(A547/Calculator!$F$13,1),1-MOD(A547/Calculator!$F$13,1)),ABS(MOD(A547/Calculator!$F$13,1)-0.5))),1)</f>
        <v>0.226335438596491</v>
      </c>
      <c r="E547" s="136" t="n">
        <f aca="false">IF(Calculator!$E$14="YES",IF(A547&lt;Calculator!$G$14,0,MIN(MIN(MOD(A547/Calculator!$F$14,1),1-MOD(A547/Calculator!$F$14,1)),ABS(MOD(A547/Calculator!$F$14,1)-0.5))),1)</f>
        <v>0.029614035087719</v>
      </c>
      <c r="F547" s="136" t="n">
        <f aca="false">IF(Calculator!$E$15="YES",IF(A547&lt;Calculator!$G$15,0,MIN(MIN(MOD(A547/Calculator!$F$15,1),1-MOD(A547/Calculator!$F$15,1)),ABS(MOD(A547/Calculator!$F$15,1)-0.5))),1)</f>
        <v>0.206315789473685</v>
      </c>
      <c r="G547" s="136" t="n">
        <f aca="false">IF(Calculator!$E$16="YES",IF(A547&lt;Calculator!$G$16,0,MIN(MIN(MOD(A547/Calculator!$F$16,1),1-MOD(A547/Calculator!$F$16,1)),ABS(MOD(A547/Calculator!$F$16,1)-0.5))),1)</f>
        <v>0.111157894736841</v>
      </c>
      <c r="H547" s="136" t="n">
        <f aca="false">IF(Calculator!$E$17="YES",IF(A547&lt;Calculator!$G$17,0,MIN(MIN(MOD(A547/Calculator!$F$17,1),1-MOD(A547/Calculator!$F$17,1)),ABS(MOD(A547/Calculator!$F$17,1)-0.5))),1)</f>
        <v>0.0269164912280715</v>
      </c>
      <c r="I547" s="136" t="n">
        <f aca="false">IF(Calculator!$E$18="YES",IF(A547&lt;Calculator!$G$18,0,MIN(MIN(MOD(A547/Calculator!$F$18,1),1-MOD(A547/Calculator!$F$18,1)),ABS(MOD(A547/Calculator!$F$18,1)-0.5))),1)</f>
        <v>0.182315789473684</v>
      </c>
      <c r="J547" s="136" t="n">
        <f aca="false">IF(Calculator!$E$19="YES",IF(A547&lt;Calculator!$G$19,0,MIN(MIN(MOD(A547/Calculator!$F$19,1),1-MOD(A547/Calculator!$F$19,1)),ABS(MOD(A547/Calculator!$F$19,1)-0.5))),1)</f>
        <v>0.138961403508773</v>
      </c>
      <c r="K547" s="136" t="n">
        <f aca="false">IF(Calculator!$E$20="YES",IF(A547&lt;Calculator!$G$20,0,MIN(MIN(MOD(A547/Calculator!$F$20,1),1-MOD(A547/Calculator!$F$20,1)),ABS(MOD(A547/Calculator!$F$20,1)-0.5))),1)</f>
        <v>0.0145964912280689</v>
      </c>
      <c r="L547" s="136" t="n">
        <f aca="false">IF(Calculator!$E$21="YES",IF(A547&lt;Calculator!$G$21,0,MIN(MIN(MOD(A547/Calculator!$F$21,1),1-MOD(A547/Calculator!$F$21,1)),ABS(MOD(A547/Calculator!$F$21,1)-0.5))),1)</f>
        <v>0.10280701754386</v>
      </c>
      <c r="M547" s="136" t="n">
        <f aca="false">MIN(B547:L547)</f>
        <v>0.0145964912280689</v>
      </c>
      <c r="N547" s="136" t="n">
        <f aca="false">SUMPRODUCT(($M$5:$M$555&gt;M547)*1)+SUMPRODUCT(($M$5:$M$555=M547)*(ROW($M$5:$M$555)&lt;ROW(M547)))+1</f>
        <v>102</v>
      </c>
      <c r="O547" s="136" t="str">
        <f aca="false">IF(M547&gt;=0.2,"★★★ EXCELLENT",IF(M547&gt;=0.12,"★★  GOOD",IF(M547&gt;=0.07,"★  FAIR",IF(M547&gt;=0.025,"⚠  MARGINAL","✗  AVOID"))))</f>
        <v>✗  AVOID</v>
      </c>
    </row>
    <row r="548" customFormat="false" ht="15" hidden="false" customHeight="false" outlineLevel="0" collapsed="false">
      <c r="A548" s="137" t="n">
        <v>59.3</v>
      </c>
      <c r="B548" s="138" t="n">
        <f aca="false">IF(Calculator!$E$11="YES",IF(A548&lt;Calculator!$G$11,0,MIN(MIN(MOD(A548/Calculator!$F$11,1),1-MOD(A548/Calculator!$F$11,1)),ABS(MOD(A548/Calculator!$F$11,1)-0.5))),1)</f>
        <v>0.209333333333333</v>
      </c>
      <c r="C548" s="138" t="n">
        <f aca="false">IF(Calculator!$E$12="YES",IF(A548&lt;Calculator!$G$12,0,MIN(MIN(MOD(A548/Calculator!$F$12,1),1-MOD(A548/Calculator!$F$12,1)),ABS(MOD(A548/Calculator!$F$12,1)-0.5))),1)</f>
        <v>0.0189122807017543</v>
      </c>
      <c r="D548" s="138" t="n">
        <f aca="false">IF(Calculator!$E$13="YES",IF(A548&lt;Calculator!$G$13,0,MIN(MIN(MOD(A548/Calculator!$F$13,1),1-MOD(A548/Calculator!$F$13,1)),ABS(MOD(A548/Calculator!$F$13,1)-0.5))),1)</f>
        <v>0.230096140350877</v>
      </c>
      <c r="E548" s="138" t="n">
        <f aca="false">IF(Calculator!$E$14="YES",IF(A548&lt;Calculator!$G$14,0,MIN(MIN(MOD(A548/Calculator!$F$14,1),1-MOD(A548/Calculator!$F$14,1)),ABS(MOD(A548/Calculator!$F$14,1)-0.5))),1)</f>
        <v>0.0245964912280705</v>
      </c>
      <c r="F548" s="138" t="n">
        <f aca="false">IF(Calculator!$E$15="YES",IF(A548&lt;Calculator!$G$15,0,MIN(MIN(MOD(A548/Calculator!$F$15,1),1-MOD(A548/Calculator!$F$15,1)),ABS(MOD(A548/Calculator!$F$15,1)-0.5))),1)</f>
        <v>0.213421052631579</v>
      </c>
      <c r="G548" s="138" t="n">
        <f aca="false">IF(Calculator!$E$16="YES",IF(A548&lt;Calculator!$G$16,0,MIN(MIN(MOD(A548/Calculator!$F$16,1),1-MOD(A548/Calculator!$F$16,1)),ABS(MOD(A548/Calculator!$F$16,1)-0.5))),1)</f>
        <v>0.101210526315789</v>
      </c>
      <c r="H548" s="138" t="n">
        <f aca="false">IF(Calculator!$E$17="YES",IF(A548&lt;Calculator!$G$17,0,MIN(MIN(MOD(A548/Calculator!$F$17,1),1-MOD(A548/Calculator!$F$17,1)),ABS(MOD(A548/Calculator!$F$17,1)-0.5))),1)</f>
        <v>0.039630877192983</v>
      </c>
      <c r="I548" s="138" t="n">
        <f aca="false">IF(Calculator!$E$18="YES",IF(A548&lt;Calculator!$G$18,0,MIN(MIN(MOD(A548/Calculator!$F$18,1),1-MOD(A548/Calculator!$F$18,1)),ABS(MOD(A548/Calculator!$F$18,1)-0.5))),1)</f>
        <v>0.167421052631578</v>
      </c>
      <c r="J548" s="138" t="n">
        <f aca="false">IF(Calculator!$E$19="YES",IF(A548&lt;Calculator!$G$19,0,MIN(MIN(MOD(A548/Calculator!$F$19,1),1-MOD(A548/Calculator!$F$19,1)),ABS(MOD(A548/Calculator!$F$19,1)-0.5))),1)</f>
        <v>0.121459649122809</v>
      </c>
      <c r="K548" s="138" t="n">
        <f aca="false">IF(Calculator!$E$20="YES",IF(A548&lt;Calculator!$G$20,0,MIN(MIN(MOD(A548/Calculator!$F$20,1),1-MOD(A548/Calculator!$F$20,1)),ABS(MOD(A548/Calculator!$F$20,1)-0.5))),1)</f>
        <v>0.00564912280701613</v>
      </c>
      <c r="L548" s="138" t="n">
        <f aca="false">IF(Calculator!$E$21="YES",IF(A548&lt;Calculator!$G$21,0,MIN(MIN(MOD(A548/Calculator!$F$21,1),1-MOD(A548/Calculator!$F$21,1)),ABS(MOD(A548/Calculator!$F$21,1)-0.5))),1)</f>
        <v>0.139298245614032</v>
      </c>
      <c r="M548" s="138" t="n">
        <f aca="false">MIN(B548:L548)</f>
        <v>0.00564912280701613</v>
      </c>
      <c r="N548" s="138" t="n">
        <f aca="false">SUMPRODUCT(($M$5:$M$555&gt;M548)*1)+SUMPRODUCT(($M$5:$M$555=M548)*(ROW($M$5:$M$555)&lt;ROW(M548)))+1</f>
        <v>170</v>
      </c>
      <c r="O548" s="138" t="str">
        <f aca="false">IF(M548&gt;=0.2,"★★★ EXCELLENT",IF(M548&gt;=0.12,"★★  GOOD",IF(M548&gt;=0.07,"★  FAIR",IF(M548&gt;=0.025,"⚠  MARGINAL","✗  AVOID"))))</f>
        <v>✗  AVOID</v>
      </c>
    </row>
    <row r="549" customFormat="false" ht="15" hidden="false" customHeight="false" outlineLevel="0" collapsed="false">
      <c r="A549" s="135" t="n">
        <v>59.4</v>
      </c>
      <c r="B549" s="136" t="n">
        <f aca="false">IF(Calculator!$E$11="YES",IF(A549&lt;Calculator!$G$11,0,MIN(MIN(MOD(A549/Calculator!$F$11,1),1-MOD(A549/Calculator!$F$11,1)),ABS(MOD(A549/Calculator!$F$11,1)-0.5))),1)</f>
        <v>0.208</v>
      </c>
      <c r="C549" s="136" t="n">
        <f aca="false">IF(Calculator!$E$12="YES",IF(A549&lt;Calculator!$G$12,0,MIN(MIN(MOD(A549/Calculator!$F$12,1),1-MOD(A549/Calculator!$F$12,1)),ABS(MOD(A549/Calculator!$F$12,1)-0.5))),1)</f>
        <v>0.0214736842105263</v>
      </c>
      <c r="D549" s="136" t="n">
        <f aca="false">IF(Calculator!$E$13="YES",IF(A549&lt;Calculator!$G$13,0,MIN(MIN(MOD(A549/Calculator!$F$13,1),1-MOD(A549/Calculator!$F$13,1)),ABS(MOD(A549/Calculator!$F$13,1)-0.5))),1)</f>
        <v>0.233856842105263</v>
      </c>
      <c r="E549" s="136" t="n">
        <f aca="false">IF(Calculator!$E$14="YES",IF(A549&lt;Calculator!$G$14,0,MIN(MIN(MOD(A549/Calculator!$F$14,1),1-MOD(A549/Calculator!$F$14,1)),ABS(MOD(A549/Calculator!$F$14,1)-0.5))),1)</f>
        <v>0.0195789473684211</v>
      </c>
      <c r="F549" s="136" t="n">
        <f aca="false">IF(Calculator!$E$15="YES",IF(A549&lt;Calculator!$G$15,0,MIN(MIN(MOD(A549/Calculator!$F$15,1),1-MOD(A549/Calculator!$F$15,1)),ABS(MOD(A549/Calculator!$F$15,1)-0.5))),1)</f>
        <v>0.220526315789473</v>
      </c>
      <c r="G549" s="136" t="n">
        <f aca="false">IF(Calculator!$E$16="YES",IF(A549&lt;Calculator!$G$16,0,MIN(MIN(MOD(A549/Calculator!$F$16,1),1-MOD(A549/Calculator!$F$16,1)),ABS(MOD(A549/Calculator!$F$16,1)-0.5))),1)</f>
        <v>0.0912631578947369</v>
      </c>
      <c r="H549" s="136" t="n">
        <f aca="false">IF(Calculator!$E$17="YES",IF(A549&lt;Calculator!$G$17,0,MIN(MIN(MOD(A549/Calculator!$F$17,1),1-MOD(A549/Calculator!$F$17,1)),ABS(MOD(A549/Calculator!$F$17,1)-0.5))),1)</f>
        <v>0.0523452631578953</v>
      </c>
      <c r="I549" s="136" t="n">
        <f aca="false">IF(Calculator!$E$18="YES",IF(A549&lt;Calculator!$G$18,0,MIN(MIN(MOD(A549/Calculator!$F$18,1),1-MOD(A549/Calculator!$F$18,1)),ABS(MOD(A549/Calculator!$F$18,1)-0.5))),1)</f>
        <v>0.152526315789473</v>
      </c>
      <c r="J549" s="136" t="n">
        <f aca="false">IF(Calculator!$E$19="YES",IF(A549&lt;Calculator!$G$19,0,MIN(MIN(MOD(A549/Calculator!$F$19,1),1-MOD(A549/Calculator!$F$19,1)),ABS(MOD(A549/Calculator!$F$19,1)-0.5))),1)</f>
        <v>0.103957894736844</v>
      </c>
      <c r="K549" s="136" t="n">
        <f aca="false">IF(Calculator!$E$20="YES",IF(A549&lt;Calculator!$G$20,0,MIN(MIN(MOD(A549/Calculator!$F$20,1),1-MOD(A549/Calculator!$F$20,1)),ABS(MOD(A549/Calculator!$F$20,1)-0.5))),1)</f>
        <v>0.0258947368421048</v>
      </c>
      <c r="L549" s="136" t="n">
        <f aca="false">IF(Calculator!$E$21="YES",IF(A549&lt;Calculator!$G$21,0,MIN(MIN(MOD(A549/Calculator!$F$21,1),1-MOD(A549/Calculator!$F$21,1)),ABS(MOD(A549/Calculator!$F$21,1)-0.5))),1)</f>
        <v>0.175789473684208</v>
      </c>
      <c r="M549" s="136" t="n">
        <f aca="false">MIN(B549:L549)</f>
        <v>0.0195789473684211</v>
      </c>
      <c r="N549" s="136" t="n">
        <f aca="false">SUMPRODUCT(($M$5:$M$555&gt;M549)*1)+SUMPRODUCT(($M$5:$M$555=M549)*(ROW($M$5:$M$555)&lt;ROW(M549)))+1</f>
        <v>84</v>
      </c>
      <c r="O549" s="136" t="str">
        <f aca="false">IF(M549&gt;=0.2,"★★★ EXCELLENT",IF(M549&gt;=0.12,"★★  GOOD",IF(M549&gt;=0.07,"★  FAIR",IF(M549&gt;=0.025,"⚠  MARGINAL","✗  AVOID"))))</f>
        <v>✗  AVOID</v>
      </c>
    </row>
    <row r="550" customFormat="false" ht="15" hidden="false" customHeight="false" outlineLevel="0" collapsed="false">
      <c r="A550" s="137" t="n">
        <v>59.5</v>
      </c>
      <c r="B550" s="138" t="n">
        <f aca="false">IF(Calculator!$E$11="YES",IF(A550&lt;Calculator!$G$11,0,MIN(MIN(MOD(A550/Calculator!$F$11,1),1-MOD(A550/Calculator!$F$11,1)),ABS(MOD(A550/Calculator!$F$11,1)-0.5))),1)</f>
        <v>0.206666666666667</v>
      </c>
      <c r="C550" s="138" t="n">
        <f aca="false">IF(Calculator!$E$12="YES",IF(A550&lt;Calculator!$G$12,0,MIN(MIN(MOD(A550/Calculator!$F$12,1),1-MOD(A550/Calculator!$F$12,1)),ABS(MOD(A550/Calculator!$F$12,1)-0.5))),1)</f>
        <v>0.0240350877192983</v>
      </c>
      <c r="D550" s="138" t="n">
        <f aca="false">IF(Calculator!$E$13="YES",IF(A550&lt;Calculator!$G$13,0,MIN(MIN(MOD(A550/Calculator!$F$13,1),1-MOD(A550/Calculator!$F$13,1)),ABS(MOD(A550/Calculator!$F$13,1)-0.5))),1)</f>
        <v>0.237617543859649</v>
      </c>
      <c r="E550" s="138" t="n">
        <f aca="false">IF(Calculator!$E$14="YES",IF(A550&lt;Calculator!$G$14,0,MIN(MIN(MOD(A550/Calculator!$F$14,1),1-MOD(A550/Calculator!$F$14,1)),ABS(MOD(A550/Calculator!$F$14,1)-0.5))),1)</f>
        <v>0.0145614035087718</v>
      </c>
      <c r="F550" s="138" t="n">
        <f aca="false">IF(Calculator!$E$15="YES",IF(A550&lt;Calculator!$G$15,0,MIN(MIN(MOD(A550/Calculator!$F$15,1),1-MOD(A550/Calculator!$F$15,1)),ABS(MOD(A550/Calculator!$F$15,1)-0.5))),1)</f>
        <v>0.227631578947368</v>
      </c>
      <c r="G550" s="138" t="n">
        <f aca="false">IF(Calculator!$E$16="YES",IF(A550&lt;Calculator!$G$16,0,MIN(MIN(MOD(A550/Calculator!$F$16,1),1-MOD(A550/Calculator!$F$16,1)),ABS(MOD(A550/Calculator!$F$16,1)-0.5))),1)</f>
        <v>0.0813157894736838</v>
      </c>
      <c r="H550" s="138" t="n">
        <f aca="false">IF(Calculator!$E$17="YES",IF(A550&lt;Calculator!$G$17,0,MIN(MIN(MOD(A550/Calculator!$F$17,1),1-MOD(A550/Calculator!$F$17,1)),ABS(MOD(A550/Calculator!$F$17,1)-0.5))),1)</f>
        <v>0.0650596491228077</v>
      </c>
      <c r="I550" s="138" t="n">
        <f aca="false">IF(Calculator!$E$18="YES",IF(A550&lt;Calculator!$G$18,0,MIN(MIN(MOD(A550/Calculator!$F$18,1),1-MOD(A550/Calculator!$F$18,1)),ABS(MOD(A550/Calculator!$F$18,1)-0.5))),1)</f>
        <v>0.137631578947367</v>
      </c>
      <c r="J550" s="138" t="n">
        <f aca="false">IF(Calculator!$E$19="YES",IF(A550&lt;Calculator!$G$19,0,MIN(MIN(MOD(A550/Calculator!$F$19,1),1-MOD(A550/Calculator!$F$19,1)),ABS(MOD(A550/Calculator!$F$19,1)-0.5))),1)</f>
        <v>0.0864561403508795</v>
      </c>
      <c r="K550" s="138" t="n">
        <f aca="false">IF(Calculator!$E$20="YES",IF(A550&lt;Calculator!$G$20,0,MIN(MIN(MOD(A550/Calculator!$F$20,1),1-MOD(A550/Calculator!$F$20,1)),ABS(MOD(A550/Calculator!$F$20,1)-0.5))),1)</f>
        <v>0.0461403508771934</v>
      </c>
      <c r="L550" s="138" t="n">
        <f aca="false">IF(Calculator!$E$21="YES",IF(A550&lt;Calculator!$G$21,0,MIN(MIN(MOD(A550/Calculator!$F$21,1),1-MOD(A550/Calculator!$F$21,1)),ABS(MOD(A550/Calculator!$F$21,1)-0.5))),1)</f>
        <v>0.212280701754384</v>
      </c>
      <c r="M550" s="138" t="n">
        <f aca="false">MIN(B550:L550)</f>
        <v>0.0145614035087718</v>
      </c>
      <c r="N550" s="138" t="n">
        <f aca="false">SUMPRODUCT(($M$5:$M$555&gt;M550)*1)+SUMPRODUCT(($M$5:$M$555=M550)*(ROW($M$5:$M$555)&lt;ROW(M550)))+1</f>
        <v>103</v>
      </c>
      <c r="O550" s="138" t="str">
        <f aca="false">IF(M550&gt;=0.2,"★★★ EXCELLENT",IF(M550&gt;=0.12,"★★  GOOD",IF(M550&gt;=0.07,"★  FAIR",IF(M550&gt;=0.025,"⚠  MARGINAL","✗  AVOID"))))</f>
        <v>✗  AVOID</v>
      </c>
    </row>
    <row r="551" customFormat="false" ht="15" hidden="false" customHeight="false" outlineLevel="0" collapsed="false">
      <c r="A551" s="135" t="n">
        <v>59.6</v>
      </c>
      <c r="B551" s="136" t="n">
        <f aca="false">IF(Calculator!$E$11="YES",IF(A551&lt;Calculator!$G$11,0,MIN(MIN(MOD(A551/Calculator!$F$11,1),1-MOD(A551/Calculator!$F$11,1)),ABS(MOD(A551/Calculator!$F$11,1)-0.5))),1)</f>
        <v>0.205333333333333</v>
      </c>
      <c r="C551" s="136" t="n">
        <f aca="false">IF(Calculator!$E$12="YES",IF(A551&lt;Calculator!$G$12,0,MIN(MIN(MOD(A551/Calculator!$F$12,1),1-MOD(A551/Calculator!$F$12,1)),ABS(MOD(A551/Calculator!$F$12,1)-0.5))),1)</f>
        <v>0.0265964912280703</v>
      </c>
      <c r="D551" s="136" t="n">
        <f aca="false">IF(Calculator!$E$13="YES",IF(A551&lt;Calculator!$G$13,0,MIN(MIN(MOD(A551/Calculator!$F$13,1),1-MOD(A551/Calculator!$F$13,1)),ABS(MOD(A551/Calculator!$F$13,1)-0.5))),1)</f>
        <v>0.241378245614035</v>
      </c>
      <c r="E551" s="136" t="n">
        <f aca="false">IF(Calculator!$E$14="YES",IF(A551&lt;Calculator!$G$14,0,MIN(MIN(MOD(A551/Calculator!$F$14,1),1-MOD(A551/Calculator!$F$14,1)),ABS(MOD(A551/Calculator!$F$14,1)-0.5))),1)</f>
        <v>0.00954385964912285</v>
      </c>
      <c r="F551" s="136" t="n">
        <f aca="false">IF(Calculator!$E$15="YES",IF(A551&lt;Calculator!$G$15,0,MIN(MIN(MOD(A551/Calculator!$F$15,1),1-MOD(A551/Calculator!$F$15,1)),ABS(MOD(A551/Calculator!$F$15,1)-0.5))),1)</f>
        <v>0.234736842105264</v>
      </c>
      <c r="G551" s="136" t="n">
        <f aca="false">IF(Calculator!$E$16="YES",IF(A551&lt;Calculator!$G$16,0,MIN(MIN(MOD(A551/Calculator!$F$16,1),1-MOD(A551/Calculator!$F$16,1)),ABS(MOD(A551/Calculator!$F$16,1)-0.5))),1)</f>
        <v>0.0713684210526306</v>
      </c>
      <c r="H551" s="136" t="n">
        <f aca="false">IF(Calculator!$E$17="YES",IF(A551&lt;Calculator!$G$17,0,MIN(MIN(MOD(A551/Calculator!$F$17,1),1-MOD(A551/Calculator!$F$17,1)),ABS(MOD(A551/Calculator!$F$17,1)-0.5))),1)</f>
        <v>0.0777740350877201</v>
      </c>
      <c r="I551" s="136" t="n">
        <f aca="false">IF(Calculator!$E$18="YES",IF(A551&lt;Calculator!$G$18,0,MIN(MIN(MOD(A551/Calculator!$F$18,1),1-MOD(A551/Calculator!$F$18,1)),ABS(MOD(A551/Calculator!$F$18,1)-0.5))),1)</f>
        <v>0.122736842105263</v>
      </c>
      <c r="J551" s="136" t="n">
        <f aca="false">IF(Calculator!$E$19="YES",IF(A551&lt;Calculator!$G$19,0,MIN(MIN(MOD(A551/Calculator!$F$19,1),1-MOD(A551/Calculator!$F$19,1)),ABS(MOD(A551/Calculator!$F$19,1)-0.5))),1)</f>
        <v>0.0689543859649131</v>
      </c>
      <c r="K551" s="136" t="n">
        <f aca="false">IF(Calculator!$E$20="YES",IF(A551&lt;Calculator!$G$20,0,MIN(MIN(MOD(A551/Calculator!$F$20,1),1-MOD(A551/Calculator!$F$20,1)),ABS(MOD(A551/Calculator!$F$20,1)-0.5))),1)</f>
        <v>0.0663859649122802</v>
      </c>
      <c r="L551" s="136" t="n">
        <f aca="false">IF(Calculator!$E$21="YES",IF(A551&lt;Calculator!$G$21,0,MIN(MIN(MOD(A551/Calculator!$F$21,1),1-MOD(A551/Calculator!$F$21,1)),ABS(MOD(A551/Calculator!$F$21,1)-0.5))),1)</f>
        <v>0.24877192982456</v>
      </c>
      <c r="M551" s="136" t="n">
        <f aca="false">MIN(B551:L551)</f>
        <v>0.00954385964912285</v>
      </c>
      <c r="N551" s="136" t="n">
        <f aca="false">SUMPRODUCT(($M$5:$M$555&gt;M551)*1)+SUMPRODUCT(($M$5:$M$555=M551)*(ROW($M$5:$M$555)&lt;ROW(M551)))+1</f>
        <v>136</v>
      </c>
      <c r="O551" s="136" t="str">
        <f aca="false">IF(M551&gt;=0.2,"★★★ EXCELLENT",IF(M551&gt;=0.12,"★★  GOOD",IF(M551&gt;=0.07,"★  FAIR",IF(M551&gt;=0.025,"⚠  MARGINAL","✗  AVOID"))))</f>
        <v>✗  AVOID</v>
      </c>
    </row>
    <row r="552" customFormat="false" ht="15" hidden="false" customHeight="false" outlineLevel="0" collapsed="false">
      <c r="A552" s="137" t="n">
        <v>59.7</v>
      </c>
      <c r="B552" s="138" t="n">
        <f aca="false">IF(Calculator!$E$11="YES",IF(A552&lt;Calculator!$G$11,0,MIN(MIN(MOD(A552/Calculator!$F$11,1),1-MOD(A552/Calculator!$F$11,1)),ABS(MOD(A552/Calculator!$F$11,1)-0.5))),1)</f>
        <v>0.204</v>
      </c>
      <c r="C552" s="138" t="n">
        <f aca="false">IF(Calculator!$E$12="YES",IF(A552&lt;Calculator!$G$12,0,MIN(MIN(MOD(A552/Calculator!$F$12,1),1-MOD(A552/Calculator!$F$12,1)),ABS(MOD(A552/Calculator!$F$12,1)-0.5))),1)</f>
        <v>0.0291578947368423</v>
      </c>
      <c r="D552" s="138" t="n">
        <f aca="false">IF(Calculator!$E$13="YES",IF(A552&lt;Calculator!$G$13,0,MIN(MIN(MOD(A552/Calculator!$F$13,1),1-MOD(A552/Calculator!$F$13,1)),ABS(MOD(A552/Calculator!$F$13,1)-0.5))),1)</f>
        <v>0.245138947368421</v>
      </c>
      <c r="E552" s="138" t="n">
        <f aca="false">IF(Calculator!$E$14="YES",IF(A552&lt;Calculator!$G$14,0,MIN(MIN(MOD(A552/Calculator!$F$14,1),1-MOD(A552/Calculator!$F$14,1)),ABS(MOD(A552/Calculator!$F$14,1)-0.5))),1)</f>
        <v>0.00452631578947349</v>
      </c>
      <c r="F552" s="138" t="n">
        <f aca="false">IF(Calculator!$E$15="YES",IF(A552&lt;Calculator!$G$15,0,MIN(MIN(MOD(A552/Calculator!$F$15,1),1-MOD(A552/Calculator!$F$15,1)),ABS(MOD(A552/Calculator!$F$15,1)-0.5))),1)</f>
        <v>0.241842105263158</v>
      </c>
      <c r="G552" s="138" t="n">
        <f aca="false">IF(Calculator!$E$16="YES",IF(A552&lt;Calculator!$G$16,0,MIN(MIN(MOD(A552/Calculator!$F$16,1),1-MOD(A552/Calculator!$F$16,1)),ABS(MOD(A552/Calculator!$F$16,1)-0.5))),1)</f>
        <v>0.0614210526315784</v>
      </c>
      <c r="H552" s="138" t="n">
        <f aca="false">IF(Calculator!$E$17="YES",IF(A552&lt;Calculator!$G$17,0,MIN(MIN(MOD(A552/Calculator!$F$17,1),1-MOD(A552/Calculator!$F$17,1)),ABS(MOD(A552/Calculator!$F$17,1)-0.5))),1)</f>
        <v>0.0904884210526324</v>
      </c>
      <c r="I552" s="138" t="n">
        <f aca="false">IF(Calculator!$E$18="YES",IF(A552&lt;Calculator!$G$18,0,MIN(MIN(MOD(A552/Calculator!$F$18,1),1-MOD(A552/Calculator!$F$18,1)),ABS(MOD(A552/Calculator!$F$18,1)-0.5))),1)</f>
        <v>0.107842105263158</v>
      </c>
      <c r="J552" s="138" t="n">
        <f aca="false">IF(Calculator!$E$19="YES",IF(A552&lt;Calculator!$G$19,0,MIN(MIN(MOD(A552/Calculator!$F$19,1),1-MOD(A552/Calculator!$F$19,1)),ABS(MOD(A552/Calculator!$F$19,1)-0.5))),1)</f>
        <v>0.0514526315789485</v>
      </c>
      <c r="K552" s="138" t="n">
        <f aca="false">IF(Calculator!$E$20="YES",IF(A552&lt;Calculator!$G$20,0,MIN(MIN(MOD(A552/Calculator!$F$20,1),1-MOD(A552/Calculator!$F$20,1)),ABS(MOD(A552/Calculator!$F$20,1)-0.5))),1)</f>
        <v>0.0866315789473688</v>
      </c>
      <c r="L552" s="138" t="n">
        <f aca="false">IF(Calculator!$E$21="YES",IF(A552&lt;Calculator!$G$21,0,MIN(MIN(MOD(A552/Calculator!$F$21,1),1-MOD(A552/Calculator!$F$21,1)),ABS(MOD(A552/Calculator!$F$21,1)-0.5))),1)</f>
        <v>0.214736842105264</v>
      </c>
      <c r="M552" s="138" t="n">
        <f aca="false">MIN(B552:L552)</f>
        <v>0.00452631578947349</v>
      </c>
      <c r="N552" s="138" t="n">
        <f aca="false">SUMPRODUCT(($M$5:$M$555&gt;M552)*1)+SUMPRODUCT(($M$5:$M$555=M552)*(ROW($M$5:$M$555)&lt;ROW(M552)))+1</f>
        <v>179</v>
      </c>
      <c r="O552" s="138" t="str">
        <f aca="false">IF(M552&gt;=0.2,"★★★ EXCELLENT",IF(M552&gt;=0.12,"★★  GOOD",IF(M552&gt;=0.07,"★  FAIR",IF(M552&gt;=0.025,"⚠  MARGINAL","✗  AVOID"))))</f>
        <v>✗  AVOID</v>
      </c>
    </row>
    <row r="553" customFormat="false" ht="15" hidden="false" customHeight="false" outlineLevel="0" collapsed="false">
      <c r="A553" s="135" t="n">
        <v>59.8</v>
      </c>
      <c r="B553" s="136" t="n">
        <f aca="false">IF(Calculator!$E$11="YES",IF(A553&lt;Calculator!$G$11,0,MIN(MIN(MOD(A553/Calculator!$F$11,1),1-MOD(A553/Calculator!$F$11,1)),ABS(MOD(A553/Calculator!$F$11,1)-0.5))),1)</f>
        <v>0.202666666666667</v>
      </c>
      <c r="C553" s="136" t="n">
        <f aca="false">IF(Calculator!$E$12="YES",IF(A553&lt;Calculator!$G$12,0,MIN(MIN(MOD(A553/Calculator!$F$12,1),1-MOD(A553/Calculator!$F$12,1)),ABS(MOD(A553/Calculator!$F$12,1)-0.5))),1)</f>
        <v>0.031719298245614</v>
      </c>
      <c r="D553" s="136" t="n">
        <f aca="false">IF(Calculator!$E$13="YES",IF(A553&lt;Calculator!$G$13,0,MIN(MIN(MOD(A553/Calculator!$F$13,1),1-MOD(A553/Calculator!$F$13,1)),ABS(MOD(A553/Calculator!$F$13,1)-0.5))),1)</f>
        <v>0.248899649122807</v>
      </c>
      <c r="E553" s="136" t="n">
        <f aca="false">IF(Calculator!$E$14="YES",IF(A553&lt;Calculator!$G$14,0,MIN(MIN(MOD(A553/Calculator!$F$14,1),1-MOD(A553/Calculator!$F$14,1)),ABS(MOD(A553/Calculator!$F$14,1)-0.5))),1)</f>
        <v>0.000491228070175431</v>
      </c>
      <c r="F553" s="136" t="n">
        <f aca="false">IF(Calculator!$E$15="YES",IF(A553&lt;Calculator!$G$15,0,MIN(MIN(MOD(A553/Calculator!$F$15,1),1-MOD(A553/Calculator!$F$15,1)),ABS(MOD(A553/Calculator!$F$15,1)-0.5))),1)</f>
        <v>0.248947368421052</v>
      </c>
      <c r="G553" s="136" t="n">
        <f aca="false">IF(Calculator!$E$16="YES",IF(A553&lt;Calculator!$G$16,0,MIN(MIN(MOD(A553/Calculator!$F$16,1),1-MOD(A553/Calculator!$F$16,1)),ABS(MOD(A553/Calculator!$F$16,1)-0.5))),1)</f>
        <v>0.0514736842105261</v>
      </c>
      <c r="H553" s="136" t="n">
        <f aca="false">IF(Calculator!$E$17="YES",IF(A553&lt;Calculator!$G$17,0,MIN(MIN(MOD(A553/Calculator!$F$17,1),1-MOD(A553/Calculator!$F$17,1)),ABS(MOD(A553/Calculator!$F$17,1)-0.5))),1)</f>
        <v>0.103202807017544</v>
      </c>
      <c r="I553" s="136" t="n">
        <f aca="false">IF(Calculator!$E$18="YES",IF(A553&lt;Calculator!$G$18,0,MIN(MIN(MOD(A553/Calculator!$F$18,1),1-MOD(A553/Calculator!$F$18,1)),ABS(MOD(A553/Calculator!$F$18,1)-0.5))),1)</f>
        <v>0.0929473684210525</v>
      </c>
      <c r="J553" s="136" t="n">
        <f aca="false">IF(Calculator!$E$19="YES",IF(A553&lt;Calculator!$G$19,0,MIN(MIN(MOD(A553/Calculator!$F$19,1),1-MOD(A553/Calculator!$F$19,1)),ABS(MOD(A553/Calculator!$F$19,1)-0.5))),1)</f>
        <v>0.033950877192984</v>
      </c>
      <c r="K553" s="136" t="n">
        <f aca="false">IF(Calculator!$E$20="YES",IF(A553&lt;Calculator!$G$20,0,MIN(MIN(MOD(A553/Calculator!$F$20,1),1-MOD(A553/Calculator!$F$20,1)),ABS(MOD(A553/Calculator!$F$20,1)-0.5))),1)</f>
        <v>0.106877192982456</v>
      </c>
      <c r="L553" s="136" t="n">
        <f aca="false">IF(Calculator!$E$21="YES",IF(A553&lt;Calculator!$G$21,0,MIN(MIN(MOD(A553/Calculator!$F$21,1),1-MOD(A553/Calculator!$F$21,1)),ABS(MOD(A553/Calculator!$F$21,1)-0.5))),1)</f>
        <v>0.178245614035088</v>
      </c>
      <c r="M553" s="136" t="n">
        <f aca="false">MIN(B553:L553)</f>
        <v>0.000491228070175431</v>
      </c>
      <c r="N553" s="136" t="n">
        <f aca="false">SUMPRODUCT(($M$5:$M$555&gt;M553)*1)+SUMPRODUCT(($M$5:$M$555=M553)*(ROW($M$5:$M$555)&lt;ROW(M553)))+1</f>
        <v>224</v>
      </c>
      <c r="O553" s="136" t="str">
        <f aca="false">IF(M553&gt;=0.2,"★★★ EXCELLENT",IF(M553&gt;=0.12,"★★  GOOD",IF(M553&gt;=0.07,"★  FAIR",IF(M553&gt;=0.025,"⚠  MARGINAL","✗  AVOID"))))</f>
        <v>✗  AVOID</v>
      </c>
    </row>
    <row r="554" customFormat="false" ht="15" hidden="false" customHeight="false" outlineLevel="0" collapsed="false">
      <c r="A554" s="137" t="n">
        <v>59.9</v>
      </c>
      <c r="B554" s="138" t="n">
        <f aca="false">IF(Calculator!$E$11="YES",IF(A554&lt;Calculator!$G$11,0,MIN(MIN(MOD(A554/Calculator!$F$11,1),1-MOD(A554/Calculator!$F$11,1)),ABS(MOD(A554/Calculator!$F$11,1)-0.5))),1)</f>
        <v>0.201333333333333</v>
      </c>
      <c r="C554" s="138" t="n">
        <f aca="false">IF(Calculator!$E$12="YES",IF(A554&lt;Calculator!$G$12,0,MIN(MIN(MOD(A554/Calculator!$F$12,1),1-MOD(A554/Calculator!$F$12,1)),ABS(MOD(A554/Calculator!$F$12,1)-0.5))),1)</f>
        <v>0.034280701754386</v>
      </c>
      <c r="D554" s="138" t="n">
        <f aca="false">IF(Calculator!$E$13="YES",IF(A554&lt;Calculator!$G$13,0,MIN(MIN(MOD(A554/Calculator!$F$13,1),1-MOD(A554/Calculator!$F$13,1)),ABS(MOD(A554/Calculator!$F$13,1)-0.5))),1)</f>
        <v>0.247339649122807</v>
      </c>
      <c r="E554" s="138" t="n">
        <f aca="false">IF(Calculator!$E$14="YES",IF(A554&lt;Calculator!$G$14,0,MIN(MIN(MOD(A554/Calculator!$F$14,1),1-MOD(A554/Calculator!$F$14,1)),ABS(MOD(A554/Calculator!$F$14,1)-0.5))),1)</f>
        <v>0.00550877192982435</v>
      </c>
      <c r="F554" s="138" t="n">
        <f aca="false">IF(Calculator!$E$15="YES",IF(A554&lt;Calculator!$G$15,0,MIN(MIN(MOD(A554/Calculator!$F$15,1),1-MOD(A554/Calculator!$F$15,1)),ABS(MOD(A554/Calculator!$F$15,1)-0.5))),1)</f>
        <v>0.243947368421053</v>
      </c>
      <c r="G554" s="138" t="n">
        <f aca="false">IF(Calculator!$E$16="YES",IF(A554&lt;Calculator!$G$16,0,MIN(MIN(MOD(A554/Calculator!$F$16,1),1-MOD(A554/Calculator!$F$16,1)),ABS(MOD(A554/Calculator!$F$16,1)-0.5))),1)</f>
        <v>0.041526315789473</v>
      </c>
      <c r="H554" s="138" t="n">
        <f aca="false">IF(Calculator!$E$17="YES",IF(A554&lt;Calculator!$G$17,0,MIN(MIN(MOD(A554/Calculator!$F$17,1),1-MOD(A554/Calculator!$F$17,1)),ABS(MOD(A554/Calculator!$F$17,1)-0.5))),1)</f>
        <v>0.115917192982457</v>
      </c>
      <c r="I554" s="138" t="n">
        <f aca="false">IF(Calculator!$E$18="YES",IF(A554&lt;Calculator!$G$18,0,MIN(MIN(MOD(A554/Calculator!$F$18,1),1-MOD(A554/Calculator!$F$18,1)),ABS(MOD(A554/Calculator!$F$18,1)-0.5))),1)</f>
        <v>0.0780526315789469</v>
      </c>
      <c r="J554" s="138" t="n">
        <f aca="false">IF(Calculator!$E$19="YES",IF(A554&lt;Calculator!$G$19,0,MIN(MIN(MOD(A554/Calculator!$F$19,1),1-MOD(A554/Calculator!$F$19,1)),ABS(MOD(A554/Calculator!$F$19,1)-0.5))),1)</f>
        <v>0.0164491228070194</v>
      </c>
      <c r="K554" s="138" t="n">
        <f aca="false">IF(Calculator!$E$20="YES",IF(A554&lt;Calculator!$G$20,0,MIN(MIN(MOD(A554/Calculator!$F$20,1),1-MOD(A554/Calculator!$F$20,1)),ABS(MOD(A554/Calculator!$F$20,1)-0.5))),1)</f>
        <v>0.127122807017543</v>
      </c>
      <c r="L554" s="138" t="n">
        <f aca="false">IF(Calculator!$E$21="YES",IF(A554&lt;Calculator!$G$21,0,MIN(MIN(MOD(A554/Calculator!$F$21,1),1-MOD(A554/Calculator!$F$21,1)),ABS(MOD(A554/Calculator!$F$21,1)-0.5))),1)</f>
        <v>0.141754385964912</v>
      </c>
      <c r="M554" s="138" t="n">
        <f aca="false">MIN(B554:L554)</f>
        <v>0.00550877192982435</v>
      </c>
      <c r="N554" s="138" t="n">
        <f aca="false">SUMPRODUCT(($M$5:$M$555&gt;M554)*1)+SUMPRODUCT(($M$5:$M$555=M554)*(ROW($M$5:$M$555)&lt;ROW(M554)))+1</f>
        <v>173</v>
      </c>
      <c r="O554" s="138" t="str">
        <f aca="false">IF(M554&gt;=0.2,"★★★ EXCELLENT",IF(M554&gt;=0.12,"★★  GOOD",IF(M554&gt;=0.07,"★  FAIR",IF(M554&gt;=0.025,"⚠  MARGINAL","✗  AVOID"))))</f>
        <v>✗  AVOID</v>
      </c>
    </row>
    <row r="555" customFormat="false" ht="15" hidden="false" customHeight="false" outlineLevel="0" collapsed="false">
      <c r="A555" s="135" t="n">
        <v>60</v>
      </c>
      <c r="B555" s="136" t="n">
        <f aca="false">IF(Calculator!$E$11="YES",IF(A555&lt;Calculator!$G$11,0,MIN(MIN(MOD(A555/Calculator!$F$11,1),1-MOD(A555/Calculator!$F$11,1)),ABS(MOD(A555/Calculator!$F$11,1)-0.5))),1)</f>
        <v>0.2</v>
      </c>
      <c r="C555" s="136" t="n">
        <f aca="false">IF(Calculator!$E$12="YES",IF(A555&lt;Calculator!$G$12,0,MIN(MIN(MOD(A555/Calculator!$F$12,1),1-MOD(A555/Calculator!$F$12,1)),ABS(MOD(A555/Calculator!$F$12,1)-0.5))),1)</f>
        <v>0.036842105263158</v>
      </c>
      <c r="D555" s="136" t="n">
        <f aca="false">IF(Calculator!$E$13="YES",IF(A555&lt;Calculator!$G$13,0,MIN(MIN(MOD(A555/Calculator!$F$13,1),1-MOD(A555/Calculator!$F$13,1)),ABS(MOD(A555/Calculator!$F$13,1)-0.5))),1)</f>
        <v>0.243578947368421</v>
      </c>
      <c r="E555" s="136" t="n">
        <f aca="false">IF(Calculator!$E$14="YES",IF(A555&lt;Calculator!$G$14,0,MIN(MIN(MOD(A555/Calculator!$F$14,1),1-MOD(A555/Calculator!$F$14,1)),ABS(MOD(A555/Calculator!$F$14,1)-0.5))),1)</f>
        <v>0.0105263157894737</v>
      </c>
      <c r="F555" s="136" t="n">
        <f aca="false">IF(Calculator!$E$15="YES",IF(A555&lt;Calculator!$G$15,0,MIN(MIN(MOD(A555/Calculator!$F$15,1),1-MOD(A555/Calculator!$F$15,1)),ABS(MOD(A555/Calculator!$F$15,1)-0.5))),1)</f>
        <v>0.236842105263158</v>
      </c>
      <c r="G555" s="136" t="n">
        <f aca="false">IF(Calculator!$E$16="YES",IF(A555&lt;Calculator!$G$16,0,MIN(MIN(MOD(A555/Calculator!$F$16,1),1-MOD(A555/Calculator!$F$16,1)),ABS(MOD(A555/Calculator!$F$16,1)-0.5))),1)</f>
        <v>0.0315789473684207</v>
      </c>
      <c r="H555" s="136" t="n">
        <f aca="false">IF(Calculator!$E$17="YES",IF(A555&lt;Calculator!$G$17,0,MIN(MIN(MOD(A555/Calculator!$F$17,1),1-MOD(A555/Calculator!$F$17,1)),ABS(MOD(A555/Calculator!$F$17,1)-0.5))),1)</f>
        <v>0.12863157894737</v>
      </c>
      <c r="I555" s="136" t="n">
        <f aca="false">IF(Calculator!$E$18="YES",IF(A555&lt;Calculator!$G$18,0,MIN(MIN(MOD(A555/Calculator!$F$18,1),1-MOD(A555/Calculator!$F$18,1)),ABS(MOD(A555/Calculator!$F$18,1)-0.5))),1)</f>
        <v>0.0631578947368414</v>
      </c>
      <c r="J555" s="136" t="n">
        <f aca="false">IF(Calculator!$E$19="YES",IF(A555&lt;Calculator!$G$19,0,MIN(MIN(MOD(A555/Calculator!$F$19,1),1-MOD(A555/Calculator!$F$19,1)),ABS(MOD(A555/Calculator!$F$19,1)-0.5))),1)</f>
        <v>0.0010526315789452</v>
      </c>
      <c r="K555" s="136" t="n">
        <f aca="false">IF(Calculator!$E$20="YES",IF(A555&lt;Calculator!$G$20,0,MIN(MIN(MOD(A555/Calculator!$F$20,1),1-MOD(A555/Calculator!$F$20,1)),ABS(MOD(A555/Calculator!$F$20,1)-0.5))),1)</f>
        <v>0.147368421052631</v>
      </c>
      <c r="L555" s="136" t="n">
        <f aca="false">IF(Calculator!$E$21="YES",IF(A555&lt;Calculator!$G$21,0,MIN(MIN(MOD(A555/Calculator!$F$21,1),1-MOD(A555/Calculator!$F$21,1)),ABS(MOD(A555/Calculator!$F$21,1)-0.5))),1)</f>
        <v>0.105263157894736</v>
      </c>
      <c r="M555" s="136" t="n">
        <f aca="false">MIN(B555:L555)</f>
        <v>0.0010526315789452</v>
      </c>
      <c r="N555" s="136" t="n">
        <f aca="false">SUMPRODUCT(($M$5:$M$555&gt;M555)*1)+SUMPRODUCT(($M$5:$M$555=M555)*(ROW($M$5:$M$555)&lt;ROW(M555)))+1</f>
        <v>216</v>
      </c>
      <c r="O555" s="136" t="str">
        <f aca="false">IF(M555&gt;=0.2,"★★★ EXCELLENT",IF(M555&gt;=0.12,"★★  GOOD",IF(M555&gt;=0.07,"★  FAIR",IF(M555&gt;=0.025,"⚠  MARGINAL","✗  AVOID"))))</f>
        <v>✗  AVOID</v>
      </c>
    </row>
  </sheetData>
  <mergeCells count="3">
    <mergeCell ref="A1:O1"/>
    <mergeCell ref="A2:O2"/>
    <mergeCell ref="A3:O3"/>
  </mergeCells>
  <conditionalFormatting sqref="M5:M555">
    <cfRule type="colorScale" priority="2">
      <colorScale>
        <cfvo type="num" val="0"/>
        <cfvo type="num" val="0.25"/>
        <cfvo type="num" val="0.5"/>
        <color rgb="FFFF4444"/>
        <color rgb="FFFFDD44"/>
        <color rgb="FF00B050"/>
      </colorScale>
    </cfRule>
  </conditionalFormatting>
  <conditionalFormatting sqref="A5:O555">
    <cfRule type="expression" priority="3" aboveAverage="0" equalAverage="0" bottom="0" percent="0" rank="0" text="" dxfId="6">
      <formula>$M5&gt;=0.38</formula>
    </cfRule>
    <cfRule type="expression" priority="4" aboveAverage="0" equalAverage="0" bottom="0" percent="0" rank="0" text="" dxfId="7">
      <formula>$M5&lt;=0.08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F30" activeCellId="0" sqref="F30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39" width="3"/>
    <col collapsed="false" customWidth="true" hidden="false" outlineLevel="0" max="2" min="2" style="139" width="35"/>
    <col collapsed="false" customWidth="true" hidden="false" outlineLevel="0" max="3" min="3" style="139" width="20"/>
    <col collapsed="false" customWidth="true" hidden="false" outlineLevel="0" max="4" min="4" style="139" width="15"/>
    <col collapsed="false" customWidth="false" hidden="false" outlineLevel="0" max="16383" min="6" style="139" width="8.68"/>
    <col collapsed="false" customWidth="true" hidden="false" outlineLevel="0" max="16384" min="16384" style="139" width="11.53"/>
  </cols>
  <sheetData>
    <row r="2" customFormat="false" ht="19.7" hidden="false" customHeight="true" outlineLevel="0" collapsed="false">
      <c r="B2" s="140" t="s">
        <v>191</v>
      </c>
      <c r="C2" s="140"/>
      <c r="D2" s="140"/>
    </row>
    <row r="4" customFormat="false" ht="15" hidden="false" customHeight="true" outlineLevel="0" collapsed="false">
      <c r="B4" s="141" t="s">
        <v>192</v>
      </c>
      <c r="C4" s="141"/>
      <c r="D4" s="141"/>
    </row>
    <row r="5" customFormat="false" ht="13.8" hidden="false" customHeight="false" outlineLevel="0" collapsed="false">
      <c r="B5" s="142" t="s">
        <v>193</v>
      </c>
      <c r="C5" s="143" t="n">
        <v>7.1</v>
      </c>
      <c r="D5" s="144" t="s">
        <v>194</v>
      </c>
    </row>
    <row r="6" customFormat="false" ht="13.8" hidden="false" customHeight="false" outlineLevel="0" collapsed="false">
      <c r="B6" s="142" t="s">
        <v>195</v>
      </c>
      <c r="C6" s="143" t="n">
        <v>50</v>
      </c>
      <c r="D6" s="144" t="s">
        <v>196</v>
      </c>
    </row>
    <row r="7" customFormat="false" ht="26.85" hidden="false" customHeight="false" outlineLevel="0" collapsed="false">
      <c r="B7" s="142" t="s">
        <v>197</v>
      </c>
      <c r="C7" s="143" t="n">
        <v>0</v>
      </c>
      <c r="D7" s="144" t="s">
        <v>196</v>
      </c>
    </row>
    <row r="8" customFormat="false" ht="26.85" hidden="false" customHeight="false" outlineLevel="0" collapsed="false">
      <c r="B8" s="142" t="s">
        <v>198</v>
      </c>
      <c r="C8" s="143" t="n">
        <v>450</v>
      </c>
      <c r="D8" s="144" t="s">
        <v>196</v>
      </c>
    </row>
    <row r="9" customFormat="false" ht="26.85" hidden="false" customHeight="false" outlineLevel="0" collapsed="false">
      <c r="B9" s="142" t="s">
        <v>199</v>
      </c>
      <c r="C9" s="143" t="n">
        <v>150</v>
      </c>
      <c r="D9" s="144" t="s">
        <v>196</v>
      </c>
    </row>
    <row r="10" customFormat="false" ht="13.8" hidden="false" customHeight="false" outlineLevel="0" collapsed="false">
      <c r="B10" s="142" t="s">
        <v>200</v>
      </c>
      <c r="C10" s="143" t="s">
        <v>201</v>
      </c>
      <c r="D10" s="144"/>
    </row>
    <row r="11" customFormat="false" ht="13.8" hidden="false" customHeight="false" outlineLevel="0" collapsed="false">
      <c r="B11" s="142" t="s">
        <v>202</v>
      </c>
      <c r="C11" s="143" t="n">
        <v>3</v>
      </c>
      <c r="D11" s="144" t="s">
        <v>203</v>
      </c>
    </row>
    <row r="13" customFormat="false" ht="15" hidden="false" customHeight="true" outlineLevel="0" collapsed="false">
      <c r="B13" s="141" t="s">
        <v>204</v>
      </c>
      <c r="C13" s="141"/>
      <c r="D13" s="141"/>
    </row>
    <row r="14" customFormat="false" ht="13.8" hidden="false" customHeight="false" outlineLevel="0" collapsed="false">
      <c r="B14" s="142" t="s">
        <v>205</v>
      </c>
      <c r="C14" s="145" t="n">
        <f aca="false">C8/C6</f>
        <v>9</v>
      </c>
      <c r="D14" s="144" t="s">
        <v>206</v>
      </c>
    </row>
    <row r="15" customFormat="false" ht="13.8" hidden="false" customHeight="false" outlineLevel="0" collapsed="false">
      <c r="B15" s="142" t="s">
        <v>207</v>
      </c>
      <c r="C15" s="145" t="n">
        <f aca="false">SQRT(C14)</f>
        <v>3</v>
      </c>
      <c r="D15" s="144"/>
    </row>
    <row r="16" customFormat="false" ht="13.8" hidden="false" customHeight="false" outlineLevel="0" collapsed="false">
      <c r="B16" s="142" t="s">
        <v>208</v>
      </c>
      <c r="C16" s="145" t="n">
        <f aca="false">C11*C15</f>
        <v>9</v>
      </c>
      <c r="D16" s="144" t="s">
        <v>203</v>
      </c>
    </row>
    <row r="17" customFormat="false" ht="26.85" hidden="false" customHeight="false" outlineLevel="0" collapsed="false">
      <c r="B17" s="142" t="s">
        <v>209</v>
      </c>
      <c r="C17" s="145" t="n">
        <f aca="false">ROUND(C16, 0)</f>
        <v>9</v>
      </c>
      <c r="D17" s="144" t="s">
        <v>203</v>
      </c>
    </row>
    <row r="18" customFormat="false" ht="26.85" hidden="false" customHeight="false" outlineLevel="0" collapsed="false">
      <c r="B18" s="142" t="s">
        <v>210</v>
      </c>
      <c r="C18" s="145" t="n">
        <f aca="false">(C17/C11)^2</f>
        <v>9</v>
      </c>
      <c r="D18" s="144" t="s">
        <v>206</v>
      </c>
    </row>
    <row r="19" customFormat="false" ht="26.85" hidden="false" customHeight="false" outlineLevel="0" collapsed="false">
      <c r="B19" s="142" t="s">
        <v>211</v>
      </c>
      <c r="C19" s="146" t="n">
        <f aca="false">C9/C18</f>
        <v>16.6666666666667</v>
      </c>
      <c r="D19" s="144" t="s">
        <v>196</v>
      </c>
    </row>
    <row r="21" customFormat="false" ht="15" hidden="false" customHeight="true" outlineLevel="0" collapsed="false">
      <c r="B21" s="141" t="s">
        <v>212</v>
      </c>
      <c r="C21" s="141"/>
      <c r="D21" s="141"/>
    </row>
    <row r="22" customFormat="false" ht="22.35" hidden="false" customHeight="true" outlineLevel="0" collapsed="false">
      <c r="B22" s="147" t="s">
        <v>213</v>
      </c>
      <c r="C22" s="147"/>
      <c r="D22" s="147"/>
    </row>
    <row r="23" customFormat="false" ht="26.85" hidden="false" customHeight="false" outlineLevel="0" collapsed="false">
      <c r="B23" s="142" t="s">
        <v>214</v>
      </c>
      <c r="C23" s="145" t="n">
        <f aca="false">-C9</f>
        <v>-150</v>
      </c>
      <c r="D23" s="144" t="s">
        <v>196</v>
      </c>
    </row>
    <row r="24" customFormat="false" ht="13.8" hidden="false" customHeight="false" outlineLevel="0" collapsed="false">
      <c r="B24" s="142" t="s">
        <v>215</v>
      </c>
      <c r="C24" s="145" t="str">
        <f aca="false">IF(C23&gt;0, "Inductor (Series L)", IF(C23&lt;0, "Capacitor (Series C)", "None"))</f>
        <v>Capacitor (Series C)</v>
      </c>
    </row>
    <row r="25" customFormat="false" ht="13.8" hidden="false" customHeight="false" outlineLevel="0" collapsed="false">
      <c r="B25" s="142" t="s">
        <v>216</v>
      </c>
      <c r="C25" s="145" t="n">
        <f aca="false">IF(C23&gt;0, C23/(2*PI()*C5), IF(C23&lt;0, 1000000/(2*PI()*C5*ABS(C23)), 0))</f>
        <v>149.441261119151</v>
      </c>
    </row>
    <row r="26" customFormat="false" ht="13.8" hidden="false" customHeight="false" outlineLevel="0" collapsed="false">
      <c r="B26" s="142" t="s">
        <v>217</v>
      </c>
      <c r="C26" s="145" t="str">
        <f aca="false">IF(C23&gt;0, "µH", IF(C23&lt;0, "pF", "-"))</f>
        <v>pF</v>
      </c>
    </row>
    <row r="28" customFormat="false" ht="15" hidden="false" customHeight="true" outlineLevel="0" collapsed="false">
      <c r="B28" s="141" t="s">
        <v>218</v>
      </c>
      <c r="C28" s="141"/>
      <c r="D28" s="141"/>
    </row>
    <row r="29" customFormat="false" ht="13.8" hidden="false" customHeight="false" outlineLevel="0" collapsed="false">
      <c r="B29" s="142" t="s">
        <v>219</v>
      </c>
      <c r="C29" s="145" t="n">
        <f aca="false">VLOOKUP(C10, [1]Toroid_Database!A$1:F$1048576, 3, FALSE())</f>
        <v>1075</v>
      </c>
      <c r="D29" s="144" t="s">
        <v>220</v>
      </c>
    </row>
    <row r="30" customFormat="false" ht="13.8" hidden="false" customHeight="false" outlineLevel="0" collapsed="false">
      <c r="B30" s="142" t="s">
        <v>221</v>
      </c>
      <c r="C30" s="145" t="n">
        <f aca="false">C29*(C11^2)/1000</f>
        <v>9.675</v>
      </c>
      <c r="D30" s="144" t="s">
        <v>222</v>
      </c>
    </row>
    <row r="31" customFormat="false" ht="13.8" hidden="false" customHeight="false" outlineLevel="0" collapsed="false">
      <c r="B31" s="142" t="s">
        <v>223</v>
      </c>
      <c r="C31" s="145" t="n">
        <f aca="false">2*PI()*C5*C30</f>
        <v>431.607706713434</v>
      </c>
      <c r="D31" s="144" t="s">
        <v>196</v>
      </c>
    </row>
    <row r="32" customFormat="false" ht="39.55" hidden="false" customHeight="false" outlineLevel="0" collapsed="false">
      <c r="B32" s="142" t="s">
        <v>224</v>
      </c>
      <c r="C32" s="148" t="str">
        <f aca="false">IF(C31 &gt;= (4*C6), "ADEQUATE", "WARNING: INCREASE PRIMARY TURNS")</f>
        <v>ADEQUATE</v>
      </c>
      <c r="D32" s="144"/>
    </row>
    <row r="34" customFormat="false" ht="22.35" hidden="false" customHeight="true" outlineLevel="0" collapsed="false">
      <c r="B34" s="147" t="s">
        <v>225</v>
      </c>
      <c r="C34" s="147"/>
      <c r="D34" s="147"/>
    </row>
  </sheetData>
  <mergeCells count="7">
    <mergeCell ref="B2:D2"/>
    <mergeCell ref="B4:D4"/>
    <mergeCell ref="B13:D13"/>
    <mergeCell ref="B21:D21"/>
    <mergeCell ref="B22:D22"/>
    <mergeCell ref="B28:D28"/>
    <mergeCell ref="B34:D34"/>
  </mergeCells>
  <dataValidations count="1">
    <dataValidation allowBlank="false" errorStyle="stop" operator="between" showDropDown="false" showErrorMessage="false" showInputMessage="false" sqref="C10" type="list">
      <formula1>Toroid_Database!$A$2:$A$17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1" activeCellId="0" sqref="H2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0" width="16.59"/>
    <col collapsed="false" customWidth="true" hidden="false" outlineLevel="0" max="3" min="3" style="0" width="12.01"/>
    <col collapsed="false" customWidth="true" hidden="false" outlineLevel="0" max="4" min="4" style="0" width="9.92"/>
    <col collapsed="false" customWidth="true" hidden="false" outlineLevel="0" max="5" min="5" style="0" width="9.22"/>
    <col collapsed="false" customWidth="true" hidden="false" outlineLevel="0" max="6" min="6" style="0" width="13.26"/>
  </cols>
  <sheetData>
    <row r="1" customFormat="false" ht="13.8" hidden="false" customHeight="false" outlineLevel="0" collapsed="false">
      <c r="A1" s="149" t="s">
        <v>226</v>
      </c>
      <c r="B1" s="149" t="s">
        <v>227</v>
      </c>
      <c r="C1" s="149" t="s">
        <v>228</v>
      </c>
      <c r="D1" s="149" t="s">
        <v>229</v>
      </c>
      <c r="E1" s="149" t="s">
        <v>230</v>
      </c>
      <c r="F1" s="149" t="s">
        <v>231</v>
      </c>
    </row>
    <row r="2" customFormat="false" ht="13.8" hidden="false" customHeight="false" outlineLevel="0" collapsed="false">
      <c r="A2" s="0" t="s">
        <v>232</v>
      </c>
      <c r="B2" s="0" t="s">
        <v>233</v>
      </c>
      <c r="C2" s="0" t="n">
        <v>510</v>
      </c>
      <c r="D2" s="0" t="n">
        <v>29</v>
      </c>
      <c r="E2" s="0" t="n">
        <v>19</v>
      </c>
      <c r="F2" s="0" t="n">
        <v>7.5</v>
      </c>
    </row>
    <row r="3" customFormat="false" ht="13.8" hidden="false" customHeight="false" outlineLevel="0" collapsed="false">
      <c r="A3" s="0" t="s">
        <v>234</v>
      </c>
      <c r="B3" s="0" t="s">
        <v>233</v>
      </c>
      <c r="C3" s="0" t="n">
        <v>885</v>
      </c>
      <c r="D3" s="0" t="n">
        <v>35.6</v>
      </c>
      <c r="E3" s="0" t="n">
        <v>22.9</v>
      </c>
      <c r="F3" s="0" t="n">
        <v>12.7</v>
      </c>
    </row>
    <row r="4" customFormat="false" ht="13.8" hidden="false" customHeight="false" outlineLevel="0" collapsed="false">
      <c r="A4" s="0" t="s">
        <v>201</v>
      </c>
      <c r="B4" s="0" t="s">
        <v>233</v>
      </c>
      <c r="C4" s="0" t="n">
        <v>1075</v>
      </c>
      <c r="D4" s="0" t="n">
        <v>61</v>
      </c>
      <c r="E4" s="0" t="n">
        <v>35.6</v>
      </c>
      <c r="F4" s="0" t="n">
        <v>12.7</v>
      </c>
    </row>
    <row r="5" customFormat="false" ht="13.8" hidden="false" customHeight="false" outlineLevel="0" collapsed="false">
      <c r="A5" s="0" t="s">
        <v>235</v>
      </c>
      <c r="B5" s="0" t="s">
        <v>236</v>
      </c>
      <c r="C5" s="0" t="n">
        <v>800</v>
      </c>
      <c r="D5" s="0" t="n">
        <v>29</v>
      </c>
      <c r="E5" s="0" t="n">
        <v>19</v>
      </c>
      <c r="F5" s="0" t="n">
        <v>7.5</v>
      </c>
    </row>
    <row r="6" customFormat="false" ht="13.8" hidden="false" customHeight="false" outlineLevel="0" collapsed="false">
      <c r="A6" s="0" t="s">
        <v>237</v>
      </c>
      <c r="B6" s="0" t="s">
        <v>236</v>
      </c>
      <c r="C6" s="0" t="n">
        <v>1390</v>
      </c>
      <c r="D6" s="0" t="n">
        <v>35.6</v>
      </c>
      <c r="E6" s="0" t="n">
        <v>22.9</v>
      </c>
      <c r="F6" s="0" t="n">
        <v>12.7</v>
      </c>
    </row>
    <row r="7" customFormat="false" ht="13.8" hidden="false" customHeight="false" outlineLevel="0" collapsed="false">
      <c r="A7" s="0" t="s">
        <v>238</v>
      </c>
      <c r="B7" s="0" t="s">
        <v>236</v>
      </c>
      <c r="C7" s="0" t="n">
        <v>1800</v>
      </c>
      <c r="D7" s="0" t="n">
        <v>61</v>
      </c>
      <c r="E7" s="0" t="n">
        <v>35.6</v>
      </c>
      <c r="F7" s="0" t="n">
        <v>12.7</v>
      </c>
    </row>
    <row r="8" customFormat="false" ht="13.8" hidden="false" customHeight="false" outlineLevel="0" collapsed="false">
      <c r="A8" s="0" t="s">
        <v>239</v>
      </c>
      <c r="B8" s="0" t="s">
        <v>240</v>
      </c>
      <c r="C8" s="0" t="n">
        <v>175</v>
      </c>
      <c r="D8" s="0" t="n">
        <v>29</v>
      </c>
      <c r="E8" s="0" t="n">
        <v>19</v>
      </c>
      <c r="F8" s="0" t="n">
        <v>7.5</v>
      </c>
    </row>
    <row r="9" customFormat="false" ht="13.8" hidden="false" customHeight="false" outlineLevel="0" collapsed="false">
      <c r="A9" s="0" t="s">
        <v>241</v>
      </c>
      <c r="B9" s="0" t="s">
        <v>240</v>
      </c>
      <c r="C9" s="0" t="n">
        <v>225</v>
      </c>
      <c r="D9" s="0" t="n">
        <v>35.6</v>
      </c>
      <c r="E9" s="0" t="n">
        <v>22.9</v>
      </c>
      <c r="F9" s="0" t="n">
        <v>12.7</v>
      </c>
    </row>
    <row r="10" customFormat="false" ht="13.8" hidden="false" customHeight="false" outlineLevel="0" collapsed="false">
      <c r="A10" s="0" t="s">
        <v>242</v>
      </c>
      <c r="B10" s="0" t="s">
        <v>240</v>
      </c>
      <c r="C10" s="0" t="n">
        <v>300</v>
      </c>
      <c r="D10" s="0" t="n">
        <v>61</v>
      </c>
      <c r="E10" s="0" t="n">
        <v>35.6</v>
      </c>
      <c r="F10" s="0" t="n">
        <v>12.7</v>
      </c>
    </row>
    <row r="11" customFormat="false" ht="13.8" hidden="false" customHeight="false" outlineLevel="0" collapsed="false">
      <c r="A11" s="0" t="s">
        <v>243</v>
      </c>
      <c r="B11" s="0" t="s">
        <v>244</v>
      </c>
      <c r="C11" s="0" t="n">
        <v>79.3</v>
      </c>
      <c r="D11" s="0" t="n">
        <v>29</v>
      </c>
      <c r="E11" s="0" t="n">
        <v>19</v>
      </c>
      <c r="F11" s="0" t="n">
        <v>7.5</v>
      </c>
    </row>
    <row r="12" customFormat="false" ht="13.8" hidden="false" customHeight="false" outlineLevel="0" collapsed="false">
      <c r="A12" s="0" t="s">
        <v>245</v>
      </c>
      <c r="B12" s="0" t="s">
        <v>244</v>
      </c>
      <c r="C12" s="0" t="n">
        <v>140</v>
      </c>
      <c r="D12" s="0" t="n">
        <v>35.6</v>
      </c>
      <c r="E12" s="0" t="n">
        <v>22.9</v>
      </c>
      <c r="F12" s="0" t="n">
        <v>12.7</v>
      </c>
    </row>
    <row r="13" customFormat="false" ht="13.8" hidden="false" customHeight="false" outlineLevel="0" collapsed="false">
      <c r="A13" s="0" t="s">
        <v>246</v>
      </c>
      <c r="B13" s="0" t="s">
        <v>244</v>
      </c>
      <c r="C13" s="0" t="n">
        <v>170</v>
      </c>
      <c r="D13" s="0" t="n">
        <v>61</v>
      </c>
      <c r="E13" s="0" t="n">
        <v>35.6</v>
      </c>
      <c r="F13" s="0" t="n">
        <v>12.7</v>
      </c>
    </row>
    <row r="14" customFormat="false" ht="13.8" hidden="false" customHeight="false" outlineLevel="0" collapsed="false">
      <c r="A14" s="0" t="s">
        <v>247</v>
      </c>
      <c r="B14" s="0" t="s">
        <v>248</v>
      </c>
      <c r="C14" s="0" t="n">
        <v>11</v>
      </c>
      <c r="D14" s="0" t="n">
        <v>33</v>
      </c>
      <c r="E14" s="0" t="n">
        <v>19.8</v>
      </c>
      <c r="F14" s="0" t="n">
        <v>11.1</v>
      </c>
    </row>
    <row r="15" customFormat="false" ht="13.8" hidden="false" customHeight="false" outlineLevel="0" collapsed="false">
      <c r="A15" s="0" t="s">
        <v>249</v>
      </c>
      <c r="B15" s="0" t="s">
        <v>248</v>
      </c>
      <c r="C15" s="0" t="n">
        <v>12</v>
      </c>
      <c r="D15" s="0" t="n">
        <v>50.8</v>
      </c>
      <c r="E15" s="0" t="n">
        <v>31.8</v>
      </c>
      <c r="F15" s="0" t="n">
        <v>14</v>
      </c>
    </row>
    <row r="16" customFormat="false" ht="13.8" hidden="false" customHeight="false" outlineLevel="0" collapsed="false">
      <c r="A16" s="0" t="s">
        <v>250</v>
      </c>
      <c r="B16" s="0" t="s">
        <v>251</v>
      </c>
      <c r="C16" s="0" t="n">
        <v>9.6</v>
      </c>
      <c r="D16" s="0" t="n">
        <v>33</v>
      </c>
      <c r="E16" s="0" t="n">
        <v>19.8</v>
      </c>
      <c r="F16" s="0" t="n">
        <v>11.1</v>
      </c>
    </row>
    <row r="17" customFormat="false" ht="13.8" hidden="false" customHeight="false" outlineLevel="0" collapsed="false">
      <c r="A17" s="0" t="s">
        <v>252</v>
      </c>
      <c r="B17" s="0" t="s">
        <v>251</v>
      </c>
      <c r="C17" s="0" t="n">
        <v>11.6</v>
      </c>
      <c r="D17" s="0" t="n">
        <v>50.8</v>
      </c>
      <c r="E17" s="0" t="n">
        <v>31.8</v>
      </c>
      <c r="F17" s="0" t="n"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2026-05-23T21:28:07Z</dcterms:created>
  <dc:creator>openpyxl</dc:creator>
  <dc:description/>
  <dc:language>en-US</dc:language>
  <cp:lastModifiedBy/>
  <dcterms:modified xsi:type="dcterms:W3CDTF">2026-05-25T10:27:20Z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