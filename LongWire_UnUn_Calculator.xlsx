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culator" sheetId="1" state="visible" r:id="rId3"/>
    <sheet name="VSWR Calculator" sheetId="2" state="visible" r:id="rId4"/>
    <sheet name="UnUn Ratio Optimizer" sheetId="3" state="visible" r:id="rId5"/>
    <sheet name="Length Swee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<sst xmlns="http://schemas.openxmlformats.org/spreadsheetml/2006/main" count="320" uniqueCount="183">
  <si>
    <t xml:space="preserve">📡  Long Wire Antenna  + 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</si>
  <si>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</si>
  <si>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</si>
  <si>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</si>
  <si>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Bare wire in free air ≈ 0.95–1.00. Default 0.975 (typical outdoor wire).</t>
  </si>
  <si>
    <t xml:space="preserve">Half-wave formula used:</t>
  </si>
  <si>
    <t xml:space="preserve">  λ/2 (m) = VF × 150 / f_center(MHz)     →     λ/4 (m) = λ/2 / 2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</si>
  <si>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</si>
  <si>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</si>
  <si>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</si>
  <si>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</si>
  <si>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</si>
  <si>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</si>
  <si>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</si>
  <si>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</si>
  <si>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</si>
  <si>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</si>
  <si>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</si>
  <si>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NO</t>
  </si>
  <si>
    <t xml:space="preserve">80m</t>
  </si>
  <si>
    <t xml:space="preserve">60m</t>
  </si>
  <si>
    <t xml:space="preserve">40m</t>
  </si>
  <si>
    <t xml:space="preserve">YES</t>
  </si>
  <si>
    <t xml:space="preserve">30m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</si>
  <si>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</si>
  <si>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</si>
  <si>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</si>
  <si>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</si>
  <si>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</si>
  <si>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</si>
  <si>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</si>
  <si>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</si>
  <si>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</si>
  <si>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</si>
  <si>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</si>
  <si>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</si>
  <si>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</si>
  <si>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</si>
  <si>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</si>
  <si>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</si>
  <si>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</si>
  <si>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</si>
  <si>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</si>
  <si>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</si>
  <si>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</si>
  <si>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</si>
  <si>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</si>
  <si>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</si>
  <si>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</si>
  <si>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</si>
  <si>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</si>
  <si>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+ 9:1 UnUn</t>
  </si>
  <si>
    <t xml:space="preserve">⚠  Simplified model: Z_wire ≈ 50 × 80^cos²(π·L/λ½) Ω  →  VSWR = max(Z_wire/450, 450/Z_wire)  |  Z_min ≈ 50 Ω at λ/4  ·  Z_max ≈ 4000 Ω at λ/2  ·  Z_target = 450 Ω at 3λ/8 (9:1 UnUn ideal).  Real-world values vary with wire height, soil, and coupling.</t>
  </si>
  <si>
    <t xml:space="preserve">Wire Length (m):</t>
  </si>
  <si>
    <t xml:space="preserve">← Enter wire length (m) above.   Top-5 recommended: see Calculator sheet.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</si>
  <si>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</si>
  <si>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</si>
  <si>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</si>
  <si>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</si>
  <si>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</si>
  <si>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</si>
  <si>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</si>
  <si>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</si>
  <si>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</si>
  <si>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</si>
  <si>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</si>
  <si>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</si>
  <si>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</si>
  <si>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</si>
  <si>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📡  UnUn Ratio Optimizer  —  Long Wire Antenna  (4:1 → 69:1)  ·  All 5 Recommended Lengths</t>
  </si>
  <si>
    <t xml:space="preserve">For each top-5 wire length, every UnUn ratio 4:1→69:1 is evaluated. VSWR shown per active band after transformation.  ★ = square-ratio (integer turns n²:1).  Green ≤2.0 · Orange 2.0–4.0 · Red &gt;4.0  |  ⚡ Bands follow Calculator ACTIVE? selections dynamically.</t>
  </si>
  <si>
    <t xml:space="preserve">📊  SECTION 1 — Feedpoint Impedance (Ω) at Each Band for All 5 Recommended Wires</t>
  </si>
  <si>
    <t xml:space="preserve">f center
(MHz)</t>
  </si>
  <si>
    <t xml:space="preserve">Notes</t>
  </si>
  <si>
    <t xml:space="preserve">⚡  SECTION 2 — Optimal UnUn Ratio Summary  (ratio that minimises VSWR for each antenna × band)</t>
  </si>
  <si>
    <t xml:space="preserve">📋  SECTION 3 — Full VSWR Table  (UnUn ratio 4:1 → 69:1)  |  ★ = integer turns n²:1  |  Z_target = 50 Ω coax  |  Active bands follow Calculator!</t>
  </si>
  <si>
    <t xml:space="preserve">n=2→4:1  |  n=3→9:1  |  n=4→16:1  |  n=5→25:1  |  n=6→36:1  |  n=7→49:1  |  n=8→64:1  (non-square ratios via tapped autotransformer or partial winding)</t>
  </si>
  <si>
    <t xml:space="preserve">UnUn
Ratio</t>
  </si>
  <si>
    <t xml:space="preserve">Turns
Ratio n</t>
  </si>
  <si>
    <t xml:space="preserve">Z_output
(Ω)→coax</t>
  </si>
  <si>
    <t xml:space="preserve">n:1</t>
  </si>
  <si>
    <t xml:space="preserve">n²×50Ω</t>
  </si>
  <si>
    <t xml:space="preserve">Avg
VSWR</t>
  </si>
  <si>
    <t xml:space="preserve">4:1★</t>
  </si>
  <si>
    <t xml:space="preserve">2:1</t>
  </si>
  <si>
    <t xml:space="preserve">5:1</t>
  </si>
  <si>
    <t xml:space="preserve">—</t>
  </si>
  <si>
    <t xml:space="preserve">6:1</t>
  </si>
  <si>
    <t xml:space="preserve">7:1</t>
  </si>
  <si>
    <t xml:space="preserve">8:1</t>
  </si>
  <si>
    <t xml:space="preserve">9:1★</t>
  </si>
  <si>
    <t xml:space="preserve">3:1</t>
  </si>
  <si>
    <t xml:space="preserve">10:1</t>
  </si>
  <si>
    <t xml:space="preserve">11:1</t>
  </si>
  <si>
    <t xml:space="preserve">12:1</t>
  </si>
  <si>
    <t xml:space="preserve">13:1</t>
  </si>
  <si>
    <t xml:space="preserve">14:1</t>
  </si>
  <si>
    <t xml:space="preserve">15:1</t>
  </si>
  <si>
    <t xml:space="preserve">16:1★</t>
  </si>
  <si>
    <t xml:space="preserve">4:1</t>
  </si>
  <si>
    <t xml:space="preserve">17:1</t>
  </si>
  <si>
    <t xml:space="preserve">18:1</t>
  </si>
  <si>
    <t xml:space="preserve">19:1</t>
  </si>
  <si>
    <t xml:space="preserve">20:1</t>
  </si>
  <si>
    <t xml:space="preserve">21:1</t>
  </si>
  <si>
    <t xml:space="preserve">22:1</t>
  </si>
  <si>
    <t xml:space="preserve">23:1</t>
  </si>
  <si>
    <t xml:space="preserve">24:1</t>
  </si>
  <si>
    <t xml:space="preserve">25:1★</t>
  </si>
  <si>
    <t xml:space="preserve">26:1</t>
  </si>
  <si>
    <t xml:space="preserve">27:1</t>
  </si>
  <si>
    <t xml:space="preserve">28:1</t>
  </si>
  <si>
    <t xml:space="preserve">29:1</t>
  </si>
  <si>
    <t xml:space="preserve">30:1</t>
  </si>
  <si>
    <t xml:space="preserve">31:1</t>
  </si>
  <si>
    <t xml:space="preserve">32:1</t>
  </si>
  <si>
    <t xml:space="preserve">33:1</t>
  </si>
  <si>
    <t xml:space="preserve">34:1</t>
  </si>
  <si>
    <t xml:space="preserve">35:1</t>
  </si>
  <si>
    <t xml:space="preserve">36:1★</t>
  </si>
  <si>
    <t xml:space="preserve">37:1</t>
  </si>
  <si>
    <t xml:space="preserve">38:1</t>
  </si>
  <si>
    <t xml:space="preserve">39:1</t>
  </si>
  <si>
    <t xml:space="preserve">40:1</t>
  </si>
  <si>
    <t xml:space="preserve">41:1</t>
  </si>
  <si>
    <t xml:space="preserve">42:1</t>
  </si>
  <si>
    <t xml:space="preserve">43:1</t>
  </si>
  <si>
    <t xml:space="preserve">44:1</t>
  </si>
  <si>
    <t xml:space="preserve">45:1</t>
  </si>
  <si>
    <t xml:space="preserve">46:1</t>
  </si>
  <si>
    <t xml:space="preserve">47:1</t>
  </si>
  <si>
    <t xml:space="preserve">48:1</t>
  </si>
  <si>
    <t xml:space="preserve">49:1★</t>
  </si>
  <si>
    <t xml:space="preserve">50:1</t>
  </si>
  <si>
    <t xml:space="preserve">51:1</t>
  </si>
  <si>
    <t xml:space="preserve">52:1</t>
  </si>
  <si>
    <t xml:space="preserve">53:1</t>
  </si>
  <si>
    <t xml:space="preserve">54:1</t>
  </si>
  <si>
    <t xml:space="preserve">55:1</t>
  </si>
  <si>
    <t xml:space="preserve">56:1</t>
  </si>
  <si>
    <t xml:space="preserve">57:1</t>
  </si>
  <si>
    <t xml:space="preserve">58:1</t>
  </si>
  <si>
    <t xml:space="preserve">59:1</t>
  </si>
  <si>
    <t xml:space="preserve">60:1</t>
  </si>
  <si>
    <t xml:space="preserve">61:1</t>
  </si>
  <si>
    <t xml:space="preserve">62:1</t>
  </si>
  <si>
    <t xml:space="preserve">63:1</t>
  </si>
  <si>
    <t xml:space="preserve">64:1★</t>
  </si>
  <si>
    <t xml:space="preserve">65:1</t>
  </si>
  <si>
    <t xml:space="preserve">66:1</t>
  </si>
  <si>
    <t xml:space="preserve">67:1</t>
  </si>
  <si>
    <t xml:space="preserve">68:1</t>
  </si>
  <si>
    <t xml:space="preserve">69:1</t>
  </si>
  <si>
    <t xml:space="preserve">🏆  SECTION 4 — Best UnUn Ratio Per Antenna (lowest average VSWR across all active bands)</t>
  </si>
  <si>
    <t xml:space="preserve">Antenna</t>
  </si>
  <si>
    <t xml:space="preserve">Wire (m)</t>
  </si>
  <si>
    <t xml:space="preserve">Best Ratio
(any)</t>
  </si>
  <si>
    <t xml:space="preserve">Avg VSWR
@best</t>
  </si>
  <si>
    <t xml:space="preserve">Best Square★</t>
  </si>
  <si>
    <t xml:space="preserve">Avg VSWR
@square</t>
  </si>
  <si>
    <t xml:space="preserve">Z range (Ω)
active bands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</si>
  <si>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</si>
  <si>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</si>
  <si>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</si>
  <si>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</si>
  <si>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</si>
  <si>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📊  Wire Length Sweep  5.0 – 60.0 m (step 0.5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</si>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</sst>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#.0"/>
    <numFmt numFmtId="172" formatCode="#,##0.0"/>
    <numFmt numFmtId="173" formatCode="0.0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Cambria"/>
      <family val="0"/>
      <charset val="1"/>
    </font>
    <font>
      <i val="true"/>
      <sz val="9"/>
      <name val="Cambria"/>
      <family val="0"/>
      <charset val="1"/>
    </font>
    <font>
      <sz val="11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9"/>
      <color rgb="FF1F3864"/>
      <name val="Arial"/>
      <family val="0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D7D31"/>
        <bgColor rgb="FFC55A11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404040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E75B6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800080"/>
      </patternFill>
    </fill>
    <fill>
      <patternFill patternType="solid">
        <fgColor rgb="FFEAD1F5"/>
        <bgColor rgb="FFD9D9D9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ACD"/>
      </patternFill>
    </fill>
    <fill>
      <patternFill patternType="solid">
        <fgColor rgb="FFFAFAFA"/>
        <bgColor rgb="FFFFFFFF"/>
      </patternFill>
    </fill>
    <fill>
      <patternFill patternType="solid">
        <fgColor rgb="FF595959"/>
        <bgColor rgb="FF404040"/>
      </patternFill>
    </fill>
    <fill>
      <patternFill patternType="solid">
        <fgColor rgb="FF888888"/>
        <bgColor rgb="FF4F81BD"/>
      </patternFill>
    </fill>
    <fill>
      <patternFill patternType="solid">
        <fgColor rgb="FF00B050"/>
        <bgColor rgb="FF2E75B6"/>
      </patternFill>
    </fill>
    <fill>
      <patternFill patternType="solid">
        <fgColor rgb="FF92D050"/>
        <bgColor rgb="FFB3B3B3"/>
      </patternFill>
    </fill>
    <fill>
      <patternFill patternType="solid">
        <fgColor rgb="FFFFEB9C"/>
        <bgColor rgb="FFFFE699"/>
      </patternFill>
    </fill>
    <fill>
      <patternFill patternType="solid">
        <fgColor rgb="FFFFCCCC"/>
        <bgColor rgb="FFFFC7CE"/>
      </patternFill>
    </fill>
    <fill>
      <patternFill patternType="solid">
        <fgColor rgb="FF1F4E79"/>
        <bgColor rgb="FF1F3864"/>
      </patternFill>
    </fill>
    <fill>
      <patternFill patternType="solid">
        <fgColor rgb="FFBDD7EE"/>
        <bgColor rgb="FFD9D9D9"/>
      </patternFill>
    </fill>
    <fill>
      <patternFill patternType="solid">
        <fgColor rgb="FF404040"/>
        <bgColor rgb="FF375623"/>
      </patternFill>
    </fill>
    <fill>
      <patternFill patternType="solid">
        <fgColor rgb="FF833C00"/>
        <bgColor rgb="FF843C0C"/>
      </patternFill>
    </fill>
    <fill>
      <patternFill patternType="solid">
        <fgColor rgb="FFFFE699"/>
        <bgColor rgb="FFFFEB9C"/>
      </patternFill>
    </fill>
    <fill>
      <patternFill patternType="solid">
        <fgColor rgb="FFFFFACD"/>
        <bgColor rgb="FFFFF9C4"/>
      </patternFill>
    </fill>
    <fill>
      <patternFill patternType="solid">
        <fgColor rgb="FFF5F5F5"/>
        <bgColor rgb="FFF2F7FF"/>
      </patternFill>
    </fill>
    <fill>
      <patternFill patternType="solid">
        <fgColor rgb="FFC55A11"/>
        <bgColor rgb="FFED7D31"/>
      </patternFill>
    </fill>
    <fill>
      <patternFill patternType="solid">
        <fgColor rgb="FFD6E4F0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0D2540"/>
      </left>
      <right style="medium">
        <color rgb="FF0D2540"/>
      </right>
      <top style="medium">
        <color rgb="FF0D2540"/>
      </top>
      <bottom style="medium">
        <color rgb="FF0D25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1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1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7" fillId="2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0" fillId="2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7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27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7" fillId="2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7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7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31" fillId="2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1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3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3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3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9" fillId="3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3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3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3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3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3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3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F5F5F5"/>
      <rgbColor rgb="FF0000CC"/>
      <rgbColor rgb="FFFFEB9C"/>
      <rgbColor rgb="FFFFFBE6"/>
      <rgbColor rgb="FFE2EFDA"/>
      <rgbColor rgb="FF9C0006"/>
      <rgbColor rgb="FF006100"/>
      <rgbColor rgb="FF000080"/>
      <rgbColor rgb="FFC55A11"/>
      <rgbColor rgb="FF800080"/>
      <rgbColor rgb="FF4F81BD"/>
      <rgbColor rgb="FFC0C0C0"/>
      <rgbColor rgb="FF888888"/>
      <rgbColor rgb="FFD9D9D9"/>
      <rgbColor rgb="FF7030A0"/>
      <rgbColor rgb="FFFFFACD"/>
      <rgbColor rgb="FFE8F5E9"/>
      <rgbColor rgb="FF660066"/>
      <rgbColor rgb="FFFFDDDD"/>
      <rgbColor rgb="FF2E75B6"/>
      <rgbColor rgb="FFBDD7EE"/>
      <rgbColor rgb="FF000080"/>
      <rgbColor rgb="FFFF00FF"/>
      <rgbColor rgb="FFFFE699"/>
      <rgbColor rgb="FFEBF5D3"/>
      <rgbColor rgb="FF800080"/>
      <rgbColor rgb="FF800000"/>
      <rgbColor rgb="FFFAFAFA"/>
      <rgbColor rgb="FF0000FF"/>
      <rgbColor rgb="FFF2F7FF"/>
      <rgbColor rgb="FFEBF3FF"/>
      <rgbColor rgb="FFD9F7D9"/>
      <rgbColor rgb="FFFFF9C4"/>
      <rgbColor rgb="FFD6E4F0"/>
      <rgbColor rgb="FFFFC7CE"/>
      <rgbColor rgb="FFEAD1F5"/>
      <rgbColor rgb="FFFFCCCC"/>
      <rgbColor rgb="FF4472C4"/>
      <rgbColor rgb="FFC6EFCE"/>
      <rgbColor rgb="FF92D050"/>
      <rgbColor rgb="FFFCE4D6"/>
      <rgbColor rgb="FFFFF2CC"/>
      <rgbColor rgb="FFED7D31"/>
      <rgbColor rgb="FF595959"/>
      <rgbColor rgb="FFB3B3B3"/>
      <rgbColor rgb="FF1F3864"/>
      <rgbColor rgb="FF00B050"/>
      <rgbColor rgb="FF0D2540"/>
      <rgbColor rgb="FF375623"/>
      <rgbColor rgb="FF833C00"/>
      <rgbColor rgb="FF843C0C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"VSWR (estimated)"</c:f>
              <c:strCache>
                <c:ptCount val="1"/>
                <c:pt idx="0">
                  <c:v>VSWR (estimated)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Calculator'!$A$7:$A$17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Calculator'!$G$7:$G$17</c:f>
              <c:numCache>
                <c:formatCode>0.0</c:formatCode>
                <c:ptCount val="11"/>
                <c:pt idx="0">
                  <c:v>1.93993906010925</c:v>
                </c:pt>
                <c:pt idx="1">
                  <c:v>3.55249468738473</c:v>
                </c:pt>
                <c:pt idx="2">
                  <c:v>8.71717841164014</c:v>
                </c:pt>
                <c:pt idx="3">
                  <c:v>4.0413625397856</c:v>
                </c:pt>
                <c:pt idx="4">
                  <c:v>1.16080531493433</c:v>
                </c:pt>
                <c:pt idx="5">
                  <c:v>1.26291496598397</c:v>
                </c:pt>
                <c:pt idx="6">
                  <c:v>2.21264029709838</c:v>
                </c:pt>
                <c:pt idx="7">
                  <c:v>3.12036858492515</c:v>
                </c:pt>
                <c:pt idx="8">
                  <c:v>1.60241876848221</c:v>
                </c:pt>
                <c:pt idx="9">
                  <c:v>3.61160171909772</c:v>
                </c:pt>
                <c:pt idx="10">
                  <c:v>1.55851545054391</c:v>
                </c:pt>
              </c:numCache>
            </c:numRef>
          </c:val>
        </c:ser>
        <c:gapWidth val="100"/>
        <c:overlap val="0"/>
        <c:axId val="80812348"/>
        <c:axId val="69140732"/>
      </c:barChart>
      <c:catAx>
        <c:axId val="80812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140732"/>
        <c:crosses val="autoZero"/>
        <c:auto val="1"/>
        <c:lblAlgn val="ctr"/>
        <c:lblOffset val="100"/>
        <c:noMultiLvlLbl val="0"/>
      </c:catAx>
      <c:valAx>
        <c:axId val="69140732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812348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9</xdr:col>
      <xdr:colOff>372240</xdr:colOff>
      <xdr:row>43</xdr:row>
      <xdr:rowOff>122040</xdr:rowOff>
    </xdr:to>
    <xdr:graphicFrame>
      <xdr:nvGraphicFramePr>
        <xdr:cNvPr id="1" name="Chart 1"/>
        <xdr:cNvGraphicFramePr/>
      </xdr:nvGraphicFramePr>
      <xdr:xfrm>
        <a:off x="0" y="5334120"/>
        <a:ext cx="7773120" cy="431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0" ySplit="2" topLeftCell="A9" activePane="bottomLeft" state="frozen"/>
      <selection pane="topLeft" activeCell="A1" activeCellId="0" sqref="A1"/>
      <selection pane="bottomLeft" activeCell="J29" activeCellId="0" sqref="J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5"/>
      <c r="C5" s="5"/>
      <c r="D5" s="6" t="n">
        <v>0.975</v>
      </c>
      <c r="E5" s="7" t="s">
        <v>4</v>
      </c>
      <c r="F5" s="7"/>
      <c r="G5" s="7"/>
      <c r="H5" s="7"/>
    </row>
    <row r="6" customFormat="false" ht="15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.6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85" hidden="false" customHeight="fals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fals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76.9736842105263</v>
      </c>
      <c r="G11" s="16" t="n">
        <f aca="false">F11/2</f>
        <v>38.4868421052632</v>
      </c>
      <c r="H11" s="16" t="n">
        <f aca="false">$D$5*75/B11</f>
        <v>40.625</v>
      </c>
    </row>
    <row r="12" customFormat="false" ht="15" hidden="false" customHeight="fals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40.0684931506849</v>
      </c>
      <c r="G12" s="19" t="n">
        <f aca="false">F12/2</f>
        <v>20.0342465753425</v>
      </c>
      <c r="H12" s="19" t="n">
        <f aca="false">$D$5*75/B12</f>
        <v>20.8928571428571</v>
      </c>
    </row>
    <row r="13" customFormat="false" ht="15" hidden="false" customHeight="fals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27.2905392797164</v>
      </c>
      <c r="G13" s="16" t="n">
        <f aca="false">F13/2</f>
        <v>13.6452696398582</v>
      </c>
      <c r="H13" s="16" t="n">
        <f aca="false">$D$5*75/B13</f>
        <v>13.664393160796</v>
      </c>
    </row>
    <row r="14" customFormat="false" ht="15" hidden="false" customHeight="fals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22</v>
      </c>
      <c r="F14" s="19" t="n">
        <f aca="false">$D$5*150/D14</f>
        <v>20.4545454545455</v>
      </c>
      <c r="G14" s="19" t="n">
        <f aca="false">F14/2</f>
        <v>10.2272727272727</v>
      </c>
      <c r="H14" s="19" t="n">
        <f aca="false">$D$5*75/B14</f>
        <v>10.4464285714286</v>
      </c>
    </row>
    <row r="15" customFormat="false" ht="15" hidden="false" customHeight="false" outlineLevel="0" collapsed="false">
      <c r="A15" s="12" t="s">
        <v>23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22</v>
      </c>
      <c r="F15" s="16" t="n">
        <f aca="false">$D$5*150/D15</f>
        <v>14.4444444444444</v>
      </c>
      <c r="G15" s="16" t="n">
        <f aca="false">F15/2</f>
        <v>7.22222222222222</v>
      </c>
      <c r="H15" s="16" t="n">
        <f aca="false">$D$5*75/B15</f>
        <v>7.24009900990099</v>
      </c>
    </row>
    <row r="16" customFormat="false" ht="15" hidden="false" customHeight="false" outlineLevel="0" collapsed="false">
      <c r="A16" s="17" t="s">
        <v>24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22</v>
      </c>
      <c r="F16" s="19" t="n">
        <f aca="false">$D$5*150/D16</f>
        <v>10.3174603174603</v>
      </c>
      <c r="G16" s="19" t="n">
        <f aca="false">F16/2</f>
        <v>5.15873015873016</v>
      </c>
      <c r="H16" s="19" t="n">
        <f aca="false">$D$5*75/B16</f>
        <v>5.22321428571429</v>
      </c>
    </row>
    <row r="17" customFormat="false" ht="15" hidden="false" customHeight="false" outlineLevel="0" collapsed="false">
      <c r="A17" s="12" t="s">
        <v>25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22</v>
      </c>
      <c r="F17" s="16" t="n">
        <f aca="false">$D$5*150/D17</f>
        <v>8.07208301136991</v>
      </c>
      <c r="G17" s="16" t="n">
        <f aca="false">F17/2</f>
        <v>4.03604150568495</v>
      </c>
      <c r="H17" s="16" t="n">
        <f aca="false">$D$5*75/B17</f>
        <v>4.04721053796768</v>
      </c>
    </row>
    <row r="18" customFormat="false" ht="15" hidden="false" customHeight="false" outlineLevel="0" collapsed="false">
      <c r="A18" s="17" t="s">
        <v>26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22</v>
      </c>
      <c r="F18" s="19" t="n">
        <f aca="false">$D$5*150/D18</f>
        <v>6.8904593639576</v>
      </c>
      <c r="G18" s="19" t="n">
        <f aca="false">F18/2</f>
        <v>3.4452296819788</v>
      </c>
      <c r="H18" s="19" t="n">
        <f aca="false">$D$5*75/B18</f>
        <v>3.48214285714286</v>
      </c>
    </row>
    <row r="19" customFormat="false" ht="15" hidden="false" customHeight="false" outlineLevel="0" collapsed="false">
      <c r="A19" s="12" t="s">
        <v>27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22</v>
      </c>
      <c r="F19" s="16" t="n">
        <f aca="false">$D$5*150/D19</f>
        <v>5.86407377706496</v>
      </c>
      <c r="G19" s="16" t="n">
        <f aca="false">F19/2</f>
        <v>2.93203688853248</v>
      </c>
      <c r="H19" s="16" t="n">
        <f aca="false">$D$5*75/B19</f>
        <v>2.93792687826436</v>
      </c>
    </row>
    <row r="20" customFormat="false" ht="15" hidden="false" customHeight="false" outlineLevel="0" collapsed="false">
      <c r="A20" s="17" t="s">
        <v>28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22</v>
      </c>
      <c r="F20" s="19" t="n">
        <f aca="false">$D$5*150/D20</f>
        <v>5.06932409012132</v>
      </c>
      <c r="G20" s="19" t="n">
        <f aca="false">F20/2</f>
        <v>2.53466204506066</v>
      </c>
      <c r="H20" s="19" t="n">
        <f aca="false">$D$5*75/B20</f>
        <v>2.61160714285714</v>
      </c>
    </row>
    <row r="21" customFormat="false" ht="15" hidden="false" customHeight="false" outlineLevel="0" collapsed="false">
      <c r="A21" s="12" t="s">
        <v>29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2.8125</v>
      </c>
      <c r="G21" s="16" t="n">
        <f aca="false">F21/2</f>
        <v>1.40625</v>
      </c>
      <c r="H21" s="16" t="n">
        <f aca="false">$D$5*75/B21</f>
        <v>1.4625</v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15" hidden="false" customHeight="true" outlineLevel="0" collapsed="false">
      <c r="A23" s="22" t="s">
        <v>30</v>
      </c>
      <c r="B23" s="22"/>
      <c r="C23" s="23" t="n">
        <f aca="false">COUNTIF(E11:E21,"YES")</f>
        <v>7</v>
      </c>
      <c r="D23" s="22" t="s">
        <v>31</v>
      </c>
      <c r="E23" s="22"/>
      <c r="F23" s="24" t="n">
        <f aca="false">IF(COUNTIF(E11:E21,"YES")=0,"N/A",SUMPRODUCT(MAX((E11:E21="YES")*H11:H21)))</f>
        <v>10.4464285714286</v>
      </c>
      <c r="G23" s="7" t="s">
        <v>32</v>
      </c>
      <c r="H23" s="7"/>
    </row>
    <row r="25" customFormat="false" ht="15" hidden="false" customHeight="true" outlineLevel="0" collapsed="false">
      <c r="A25" s="25" t="s">
        <v>33</v>
      </c>
      <c r="B25" s="25"/>
      <c r="C25" s="25"/>
      <c r="D25" s="25"/>
      <c r="E25" s="25"/>
      <c r="F25" s="25"/>
      <c r="G25" s="25"/>
      <c r="H25" s="25"/>
    </row>
    <row r="26" customFormat="false" ht="21.6" hidden="false" customHeight="true" outlineLevel="0" collapsed="false">
      <c r="A26" s="5" t="s">
        <v>34</v>
      </c>
      <c r="B26" s="5"/>
      <c r="C26" s="5"/>
      <c r="D26" s="26" t="n">
        <f aca="false">IF(COUNTIF(E11:E21,"YES")=0,"N/A",SUMPRODUCT(MAX((E11:E21="YES")*H11:H21)))</f>
        <v>10.4464285714286</v>
      </c>
      <c r="E26" s="7" t="s">
        <v>35</v>
      </c>
      <c r="F26" s="7"/>
      <c r="G26" s="7"/>
      <c r="H26" s="7"/>
    </row>
    <row r="28" customFormat="false" ht="15" hidden="false" customHeight="true" outlineLevel="0" collapsed="false">
      <c r="A28" s="27" t="s">
        <v>36</v>
      </c>
      <c r="B28" s="27"/>
      <c r="C28" s="27"/>
      <c r="D28" s="27"/>
      <c r="E28" s="27"/>
      <c r="F28" s="27"/>
      <c r="G28" s="27"/>
      <c r="H28" s="27"/>
    </row>
    <row r="29" customFormat="false" ht="57.45" hidden="false" customHeight="false" outlineLevel="0" collapsed="false">
      <c r="A29" s="28" t="s">
        <v>37</v>
      </c>
      <c r="B29" s="28" t="s">
        <v>38</v>
      </c>
      <c r="C29" s="28" t="s">
        <v>39</v>
      </c>
      <c r="D29" s="28" t="s">
        <v>40</v>
      </c>
      <c r="E29" s="28" t="s">
        <v>41</v>
      </c>
      <c r="F29" s="28" t="s">
        <v>42</v>
      </c>
      <c r="G29" s="28" t="s">
        <v>43</v>
      </c>
      <c r="H29" s="28" t="s">
        <v>44</v>
      </c>
    </row>
    <row r="30" customFormat="false" ht="21.6" hidden="false" customHeight="false" outlineLevel="0" collapsed="false">
      <c r="A30" s="29" t="s">
        <v>45</v>
      </c>
      <c r="B30" s="30" t="n">
        <f aca="false">IFERROR(INDEX('Length Sweep'!$A$5:$A$115,MATCH(1,'Length Sweep'!$N$5:$N$115,0)),"-")</f>
        <v>54</v>
      </c>
      <c r="C30" s="31" t="n">
        <f aca="false">IFERROR(B30*100,"-")</f>
        <v>5400</v>
      </c>
      <c r="D30" s="32" t="n">
        <f aca="false">IFERROR(LARGE('Length Sweep'!$M$5:$M$115,1),"-")</f>
        <v>0.139999999999994</v>
      </c>
      <c r="E30" s="29" t="str">
        <f aca="false">IF(ISNUMBER(D30),IF(D30&gt;=0.2,"★★★ EXCELLENT",IF(D30&gt;=0.12,"★★  GOOD",IF(D30&gt;=0.07,"★  FAIR",IF(D30&gt;=0.025,"⚠  MARGINAL","✗  AVOID")))),"—")</f>
        <v>★★  GOOD</v>
      </c>
      <c r="F30" s="33" t="str">
        <f aca="false">IFERROR(TEXT(B30/SUMPRODUCT(MAX((Calculator!$E$11:$E$21="YES")*Calculator!$F$11:$F$21)),"0.00")&amp;" × λ/2 @lowest band","—")</f>
        <v>2,64 × λ/2 @lowest band</v>
      </c>
      <c r="G30" s="30" t="n">
        <f aca="false">IF(COUNTIF(E11:E21,"YES")=0,"N/A",SUMPRODUCT(MAX((E11:E21="YES")*H11:H21)))</f>
        <v>10.4464285714286</v>
      </c>
      <c r="H30" s="34" t="str">
        <f aca="false">IF(ISNUMBER(B30),IF(B30&lt;10,"Short – portable use only",IF(B30&lt;18,"Portable / SOTA",IF(B30&lt;30,"Good portable/home",IF(B30&lt;45,"Excellent home station","Long wire – max performance")))),"-")</f>
        <v>Long wire – max performance</v>
      </c>
    </row>
    <row r="31" customFormat="false" ht="21.6" hidden="false" customHeight="false" outlineLevel="0" collapsed="false">
      <c r="A31" s="29" t="s">
        <v>46</v>
      </c>
      <c r="B31" s="30" t="n">
        <f aca="false">IFERROR(INDEX('Length Sweep'!$A$5:$A$115,MATCH(2,'Length Sweep'!$N$5:$N$115,0)),"-")</f>
        <v>33.5</v>
      </c>
      <c r="C31" s="31" t="n">
        <f aca="false">IFERROR(B31*100,"-")</f>
        <v>3350</v>
      </c>
      <c r="D31" s="32" t="n">
        <f aca="false">IFERROR(LARGE('Length Sweep'!$M$5:$M$115,2),"-")</f>
        <v>0.108376068376069</v>
      </c>
      <c r="E31" s="29" t="str">
        <f aca="false">IF(ISNUMBER(D31),IF(D31&gt;=0.2,"★★★ EXCELLENT",IF(D31&gt;=0.12,"★★  GOOD",IF(D31&gt;=0.07,"★  FAIR",IF(D31&gt;=0.025,"⚠  MARGINAL","✗  AVOID")))),"—")</f>
        <v>★  FAIR</v>
      </c>
      <c r="F31" s="33" t="str">
        <f aca="false">IFERROR(TEXT(B31/SUMPRODUCT(MAX((Calculator!$E$11:$E$21="YES")*Calculator!$F$11:$F$21)),"0.00")&amp;" × λ/2 @lowest band","—")</f>
        <v>1,64 × λ/2 @lowest band</v>
      </c>
      <c r="G31" s="30" t="n">
        <f aca="false">IF(COUNTIF(E11:E21,"YES")=0,"N/A",SUMPRODUCT(MAX((E11:E21="YES")*H11:H21)))</f>
        <v>10.4464285714286</v>
      </c>
      <c r="H31" s="34" t="str">
        <f aca="false">IF(ISNUMBER(B31),IF(B31&lt;10,"Short – portable use only",IF(B31&lt;18,"Portable / SOTA",IF(B31&lt;30,"Good portable/home",IF(B31&lt;45,"Excellent home station","Long wire – max performance")))),"-")</f>
        <v>Excellent home station</v>
      </c>
    </row>
    <row r="32" customFormat="false" ht="21.6" hidden="false" customHeight="false" outlineLevel="0" collapsed="false">
      <c r="A32" s="35" t="s">
        <v>47</v>
      </c>
      <c r="B32" s="36" t="n">
        <f aca="false">IFERROR(INDEX('Length Sweep'!$A$5:$A$115,MATCH(3,'Length Sweep'!$N$5:$N$115,0)),"-")</f>
        <v>47.5</v>
      </c>
      <c r="C32" s="37" t="n">
        <f aca="false">IFERROR(B32*100,"-")</f>
        <v>4750</v>
      </c>
      <c r="D32" s="38" t="n">
        <f aca="false">IFERROR(LARGE('Length Sweep'!$M$5:$M$115,3),"-")</f>
        <v>0.100170940170939</v>
      </c>
      <c r="E32" s="35" t="str">
        <f aca="false">IF(ISNUMBER(D32),IF(D32&gt;=0.2,"★★★ EXCELLENT",IF(D32&gt;=0.12,"★★  GOOD",IF(D32&gt;=0.07,"★  FAIR",IF(D32&gt;=0.025,"⚠  MARGINAL","✗  AVOID")))),"—")</f>
        <v>★  FAIR</v>
      </c>
      <c r="F32" s="39" t="str">
        <f aca="false">IFERROR(TEXT(B32/SUMPRODUCT(MAX((Calculator!$E$11:$E$21="YES")*Calculator!$F$11:$F$21)),"0.00")&amp;" × λ/2 @lowest band","—")</f>
        <v>2,32 × λ/2 @lowest band</v>
      </c>
      <c r="G32" s="36" t="n">
        <f aca="false">IF(COUNTIF(E11:E21,"YES")=0,"N/A",SUMPRODUCT(MAX((E11:E21="YES")*H11:H21)))</f>
        <v>10.4464285714286</v>
      </c>
      <c r="H32" s="40" t="str">
        <f aca="false">IF(ISNUMBER(B32),IF(B32&lt;10,"Short – portable use only",IF(B32&lt;18,"Portable / SOTA",IF(B32&lt;30,"Good portable/home",IF(B32&lt;45,"Excellent home station","Long wire – max performance")))),"-")</f>
        <v>Long wire – max performance</v>
      </c>
    </row>
    <row r="33" customFormat="false" ht="21.6" hidden="false" customHeight="false" outlineLevel="0" collapsed="false">
      <c r="A33" s="35" t="s">
        <v>48</v>
      </c>
      <c r="B33" s="36" t="n">
        <f aca="false">IFERROR(INDEX('Length Sweep'!$A$5:$A$115,MATCH(4,'Length Sweep'!$N$5:$N$115,0)),"-")</f>
        <v>18.5</v>
      </c>
      <c r="C33" s="37" t="n">
        <f aca="false">IFERROR(B33*100,"-")</f>
        <v>1850</v>
      </c>
      <c r="D33" s="38" t="n">
        <f aca="false">IFERROR(LARGE('Length Sweep'!$M$5:$M$115,4),"-")</f>
        <v>0.0955555555555575</v>
      </c>
      <c r="E33" s="35" t="str">
        <f aca="false">IF(ISNUMBER(D33),IF(D33&gt;=0.2,"★★★ EXCELLENT",IF(D33&gt;=0.12,"★★  GOOD",IF(D33&gt;=0.07,"★  FAIR",IF(D33&gt;=0.025,"⚠  MARGINAL","✗  AVOID")))),"—")</f>
        <v>★  FAIR</v>
      </c>
      <c r="F33" s="39" t="str">
        <f aca="false">IFERROR(TEXT(B33/SUMPRODUCT(MAX((Calculator!$E$11:$E$21="YES")*Calculator!$F$11:$F$21)),"0.00")&amp;" × λ/2 @lowest band","—")</f>
        <v>0,90 × λ/2 @lowest band</v>
      </c>
      <c r="G33" s="36" t="n">
        <f aca="false">IF(COUNTIF(E11:E21,"YES")=0,"N/A",SUMPRODUCT(MAX((E11:E21="YES")*H11:H21)))</f>
        <v>10.4464285714286</v>
      </c>
      <c r="H33" s="40" t="str">
        <f aca="false">IF(ISNUMBER(B33),IF(B33&lt;10,"Short – portable use only",IF(B33&lt;18,"Portable / SOTA",IF(B33&lt;30,"Good portable/home",IF(B33&lt;45,"Excellent home station","Long wire – max performance")))),"-")</f>
        <v>Good portable/home</v>
      </c>
    </row>
    <row r="34" customFormat="false" ht="21.6" hidden="false" customHeight="false" outlineLevel="0" collapsed="false">
      <c r="A34" s="41" t="s">
        <v>49</v>
      </c>
      <c r="B34" s="42" t="n">
        <f aca="false">IFERROR(INDEX('Length Sweep'!$A$5:$A$115,MATCH(5,'Length Sweep'!$N$5:$N$115,0)),"-")</f>
        <v>39</v>
      </c>
      <c r="C34" s="43" t="n">
        <f aca="false">IFERROR(B34*100,"-")</f>
        <v>3900</v>
      </c>
      <c r="D34" s="44" t="n">
        <f aca="false">IFERROR(LARGE('Length Sweep'!$M$5:$M$115,5),"-")</f>
        <v>0.0933333333333375</v>
      </c>
      <c r="E34" s="41" t="str">
        <f aca="false">IF(ISNUMBER(D34),IF(D34&gt;=0.2,"★★★ EXCELLENT",IF(D34&gt;=0.12,"★★  GOOD",IF(D34&gt;=0.07,"★  FAIR",IF(D34&gt;=0.025,"⚠  MARGINAL","✗  AVOID")))),"—")</f>
        <v>★  FAIR</v>
      </c>
      <c r="F34" s="45" t="str">
        <f aca="false">IFERROR(TEXT(B34/SUMPRODUCT(MAX((Calculator!$E$11:$E$21="YES")*Calculator!$F$11:$F$21)),"0.00")&amp;" × λ/2 @lowest band","—")</f>
        <v>1,91 × λ/2 @lowest band</v>
      </c>
      <c r="G34" s="42" t="n">
        <f aca="false">IF(COUNTIF(E11:E21,"YES")=0,"N/A",SUMPRODUCT(MAX((E11:E21="YES")*H11:H21)))</f>
        <v>10.4464285714286</v>
      </c>
      <c r="H34" s="46" t="str">
        <f aca="false">IF(ISNUMBER(B34),IF(B34&lt;10,"Short – portable use only",IF(B34&lt;18,"Portable / SOTA",IF(B34&lt;30,"Good portable/home",IF(B34&lt;45,"Excellent home station","Long wire – max performance")))),"-")</f>
        <v>Excellent home station</v>
      </c>
    </row>
    <row r="35" customFormat="false" ht="21.6" hidden="false" customHeight="true" outlineLevel="0" collapsed="false">
      <c r="A35" s="47" t="s">
        <v>50</v>
      </c>
      <c r="B35" s="47"/>
      <c r="C35" s="47"/>
      <c r="D35" s="47"/>
      <c r="E35" s="47"/>
      <c r="F35" s="47"/>
      <c r="G35" s="47"/>
      <c r="H35" s="47"/>
    </row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M14" activeCellId="0" sqref="M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26"/>
  </cols>
  <sheetData>
    <row r="1" customFormat="false" ht="17.25" hidden="false" customHeight="true" outlineLevel="0" collapsed="false">
      <c r="A1" s="48" t="s">
        <v>51</v>
      </c>
      <c r="B1" s="48"/>
      <c r="C1" s="48"/>
      <c r="D1" s="48"/>
      <c r="E1" s="48"/>
      <c r="F1" s="48"/>
      <c r="G1" s="48"/>
      <c r="H1" s="48"/>
      <c r="I1" s="48"/>
    </row>
    <row r="2" customFormat="false" ht="21" hidden="false" customHeight="true" outlineLevel="0" collapsed="false">
      <c r="A2" s="49" t="s">
        <v>52</v>
      </c>
      <c r="B2" s="49"/>
      <c r="C2" s="49"/>
      <c r="D2" s="49"/>
      <c r="E2" s="49"/>
      <c r="F2" s="49"/>
      <c r="G2" s="49"/>
      <c r="H2" s="49"/>
      <c r="I2" s="49"/>
    </row>
    <row r="4" customFormat="false" ht="15" hidden="false" customHeight="true" outlineLevel="0" collapsed="false">
      <c r="A4" s="50" t="s">
        <v>53</v>
      </c>
      <c r="B4" s="50"/>
      <c r="C4" s="51" t="n">
        <v>54</v>
      </c>
      <c r="D4" s="7" t="s">
        <v>54</v>
      </c>
      <c r="E4" s="7"/>
      <c r="F4" s="7"/>
      <c r="G4" s="7"/>
      <c r="H4" s="7"/>
      <c r="I4" s="7"/>
    </row>
    <row r="6" customFormat="false" ht="31.5" hidden="false" customHeight="true" outlineLevel="0" collapsed="false">
      <c r="A6" s="52" t="s">
        <v>9</v>
      </c>
      <c r="B6" s="52" t="s">
        <v>55</v>
      </c>
      <c r="C6" s="52" t="s">
        <v>56</v>
      </c>
      <c r="D6" s="52" t="s">
        <v>57</v>
      </c>
      <c r="E6" s="52" t="s">
        <v>58</v>
      </c>
      <c r="F6" s="52" t="s">
        <v>59</v>
      </c>
      <c r="G6" s="53" t="s">
        <v>60</v>
      </c>
      <c r="H6" s="52" t="s">
        <v>61</v>
      </c>
      <c r="I6" s="52" t="s">
        <v>62</v>
      </c>
    </row>
    <row r="7" customFormat="false" ht="15" hidden="false" customHeight="true" outlineLevel="0" collapsed="false">
      <c r="A7" s="54" t="str">
        <f aca="false">Calculator!A11</f>
        <v>160m</v>
      </c>
      <c r="B7" s="55" t="str">
        <f aca="false">Calculator!$E$11</f>
        <v>NO</v>
      </c>
      <c r="C7" s="56" t="n">
        <f aca="false">ROUND(Calculator!$F$11,2)</f>
        <v>76.97</v>
      </c>
      <c r="D7" s="56" t="n">
        <f aca="false">ROUND(Calculator!$G$11,2)</f>
        <v>38.49</v>
      </c>
      <c r="E7" s="57" t="str">
        <f aca="false">IF(AND(B7="YES",$C$4&gt;=D7),MOD($C$4/C7,1),"—")</f>
        <v>—</v>
      </c>
      <c r="F7" s="58" t="str">
        <f aca="false">IF(AND(B7="YES",$C$4&gt;=D7),ROUND(50*POWER(80,COS(PI()*MOD($C$4/C7,1))^2),0),"—")</f>
        <v>—</v>
      </c>
      <c r="G7" s="59" t="n">
        <f aca="false">IF($C$4&lt;D7,NA(),MAX(50*POWER(80,COS(PI()*MOD($C$4/C7,1))^2)/450,450/(50*POWER(80,COS(PI()*MOD($C$4/C7,1))^2))))</f>
        <v>1.93993906010925</v>
      </c>
      <c r="H7" s="60" t="str">
        <f aca="false">IF(B7&lt;&gt;"YES","—",IF($C$4&lt;D7,"&lt; λ/4",TEXT(G7,"0.0")))</f>
        <v>—</v>
      </c>
      <c r="I7" s="61" t="str">
        <f aca="false">IF(B7&lt;&gt;"YES","Inactive band",IF($C$4&lt;D7,"Wire too short for this band",IF(G7&lt;1.5,"✔  Excellent  — no tuner needed",IF(G7&lt;3,"✔  Good  — most tuners handle this",IF(G7&lt;6,"⚠  Marginal  — tuner required","✗  Poor  — high-loss mismatch")))))</f>
        <v>Inactive band</v>
      </c>
    </row>
    <row r="8" customFormat="false" ht="15" hidden="false" customHeight="true" outlineLevel="0" collapsed="false">
      <c r="A8" s="54" t="str">
        <f aca="false">Calculator!A12</f>
        <v>80m</v>
      </c>
      <c r="B8" s="55" t="str">
        <f aca="false">Calculator!$E$12</f>
        <v>NO</v>
      </c>
      <c r="C8" s="56" t="n">
        <f aca="false">ROUND(Calculator!$F$12,2)</f>
        <v>40.07</v>
      </c>
      <c r="D8" s="56" t="n">
        <f aca="false">ROUND(Calculator!$G$12,2)</f>
        <v>20.03</v>
      </c>
      <c r="E8" s="57" t="str">
        <f aca="false">IF(AND(B8="YES",$C$4&gt;=D8),MOD($C$4/C8,1),"—")</f>
        <v>—</v>
      </c>
      <c r="F8" s="58" t="str">
        <f aca="false">IF(AND(B8="YES",$C$4&gt;=D8),ROUND(50*POWER(80,COS(PI()*MOD($C$4/C8,1))^2),0),"—")</f>
        <v>—</v>
      </c>
      <c r="G8" s="59" t="n">
        <f aca="false">IF($C$4&lt;D8,NA(),MAX(50*POWER(80,COS(PI()*MOD($C$4/C8,1))^2)/450,450/(50*POWER(80,COS(PI()*MOD($C$4/C8,1))^2))))</f>
        <v>3.55249468738473</v>
      </c>
      <c r="H8" s="60" t="str">
        <f aca="false">IF(B8&lt;&gt;"YES","—",IF($C$4&lt;D8,"&lt; λ/4",TEXT(G8,"0.0")))</f>
        <v>—</v>
      </c>
      <c r="I8" s="61" t="str">
        <f aca="false">IF(B8&lt;&gt;"YES","Inactive band",IF($C$4&lt;D8,"Wire too short for this band",IF(G8&lt;1.5,"✔  Excellent  — no tuner needed",IF(G8&lt;3,"✔  Good  — most tuners handle this",IF(G8&lt;6,"⚠  Marginal  — tuner required","✗  Poor  — high-loss mismatch")))))</f>
        <v>Inactive band</v>
      </c>
    </row>
    <row r="9" customFormat="false" ht="15" hidden="false" customHeight="true" outlineLevel="0" collapsed="false">
      <c r="A9" s="54" t="str">
        <f aca="false">Calculator!A13</f>
        <v>60m</v>
      </c>
      <c r="B9" s="55" t="str">
        <f aca="false">Calculator!$E$13</f>
        <v>NO</v>
      </c>
      <c r="C9" s="56" t="n">
        <f aca="false">ROUND(Calculator!$F$13,2)</f>
        <v>27.29</v>
      </c>
      <c r="D9" s="56" t="n">
        <f aca="false">ROUND(Calculator!$G$13,2)</f>
        <v>13.65</v>
      </c>
      <c r="E9" s="57" t="str">
        <f aca="false">IF(AND(B9="YES",$C$4&gt;=D9),MOD($C$4/C9,1),"—")</f>
        <v>—</v>
      </c>
      <c r="F9" s="58" t="str">
        <f aca="false">IF(AND(B9="YES",$C$4&gt;=D9),ROUND(50*POWER(80,COS(PI()*MOD($C$4/C9,1))^2),0),"—")</f>
        <v>—</v>
      </c>
      <c r="G9" s="59" t="n">
        <f aca="false">IF($C$4&lt;D9,NA(),MAX(50*POWER(80,COS(PI()*MOD($C$4/C9,1))^2)/450,450/(50*POWER(80,COS(PI()*MOD($C$4/C9,1))^2))))</f>
        <v>8.71717841164014</v>
      </c>
      <c r="H9" s="60" t="str">
        <f aca="false">IF(B9&lt;&gt;"YES","—",IF($C$4&lt;D9,"&lt; λ/4",TEXT(G9,"0.0")))</f>
        <v>—</v>
      </c>
      <c r="I9" s="61" t="str">
        <f aca="false">IF(B9&lt;&gt;"YES","Inactive band",IF($C$4&lt;D9,"Wire too short for this band",IF(G9&lt;1.5,"✔  Excellent  — no tuner needed",IF(G9&lt;3,"✔  Good  — most tuners handle this",IF(G9&lt;6,"⚠  Marginal  — tuner required","✗  Poor  — high-loss mismatch")))))</f>
        <v>Inactive band</v>
      </c>
    </row>
    <row r="10" customFormat="false" ht="23.25" hidden="false" customHeight="true" outlineLevel="0" collapsed="false">
      <c r="A10" s="54" t="str">
        <f aca="false">Calculator!A14</f>
        <v>40m</v>
      </c>
      <c r="B10" s="55" t="str">
        <f aca="false">Calculator!$E$14</f>
        <v>YES</v>
      </c>
      <c r="C10" s="56" t="n">
        <f aca="false">ROUND(Calculator!$F$14,2)</f>
        <v>20.45</v>
      </c>
      <c r="D10" s="56" t="n">
        <f aca="false">ROUND(Calculator!$G$14,2)</f>
        <v>10.23</v>
      </c>
      <c r="E10" s="57" t="n">
        <f aca="false">IF(AND(B10="YES",$C$4&gt;=D10),MOD($C$4/C10,1),"—")</f>
        <v>0.640586797066015</v>
      </c>
      <c r="F10" s="58" t="n">
        <f aca="false">IF(AND(B10="YES",$C$4&gt;=D10),ROUND(50*POWER(80,COS(PI()*MOD($C$4/C10,1))^2),0),"—")</f>
        <v>111</v>
      </c>
      <c r="G10" s="59" t="n">
        <f aca="false">IF($C$4&lt;D10,NA(),MAX(50*POWER(80,COS(PI()*MOD($C$4/C10,1))^2)/450,450/(50*POWER(80,COS(PI()*MOD($C$4/C10,1))^2))))</f>
        <v>4.0413625397856</v>
      </c>
      <c r="H10" s="60" t="str">
        <f aca="false">IF(B10&lt;&gt;"YES","—",IF($C$4&lt;D10,"&lt; λ/4",TEXT(G10,"0.0")))</f>
        <v>04</v>
      </c>
      <c r="I10" s="61" t="str">
        <f aca="false">IF(B10&lt;&gt;"YES","Inactive band",IF($C$4&lt;D10,"Wire too short for this band",IF(G10&lt;1.5,"✔  Excellent  — no tuner needed",IF(G10&lt;3,"✔  Good  — most tuners handle this",IF(G10&lt;6,"⚠  Marginal  — tuner required","✗  Poor  — high-loss mismatch")))))</f>
        <v>⚠  Marginal  — tuner required</v>
      </c>
    </row>
    <row r="11" customFormat="false" ht="23.25" hidden="false" customHeight="true" outlineLevel="0" collapsed="false">
      <c r="A11" s="54" t="str">
        <f aca="false">Calculator!A15</f>
        <v>30m</v>
      </c>
      <c r="B11" s="55" t="str">
        <f aca="false">Calculator!$E$15</f>
        <v>YES</v>
      </c>
      <c r="C11" s="56" t="n">
        <f aca="false">ROUND(Calculator!$F$15,2)</f>
        <v>14.44</v>
      </c>
      <c r="D11" s="56" t="n">
        <f aca="false">ROUND(Calculator!$G$15,2)</f>
        <v>7.22</v>
      </c>
      <c r="E11" s="57" t="n">
        <f aca="false">IF(AND(B11="YES",$C$4&gt;=D11),MOD($C$4/C11,1),"—")</f>
        <v>0.739612188365651</v>
      </c>
      <c r="F11" s="58" t="n">
        <f aca="false">IF(AND(B11="YES",$C$4&gt;=D11),ROUND(50*POWER(80,COS(PI()*MOD($C$4/C11,1))^2),0),"—")</f>
        <v>388</v>
      </c>
      <c r="G11" s="59" t="n">
        <f aca="false">IF($C$4&lt;D11,NA(),MAX(50*POWER(80,COS(PI()*MOD($C$4/C11,1))^2)/450,450/(50*POWER(80,COS(PI()*MOD($C$4/C11,1))^2))))</f>
        <v>1.16080531493433</v>
      </c>
      <c r="H11" s="60" t="str">
        <f aca="false">IF(B11&lt;&gt;"YES","—",IF($C$4&lt;D11,"&lt; λ/4",TEXT(G11,"0.0")))</f>
        <v>01</v>
      </c>
      <c r="I11" s="61" t="str">
        <f aca="false">IF(B11&lt;&gt;"YES","Inactive band",IF($C$4&lt;D11,"Wire too short for this band",IF(G11&lt;1.5,"✔  Excellent  — no tuner needed",IF(G11&lt;3,"✔  Good  — most tuners handle this",IF(G11&lt;6,"⚠  Marginal  — tuner required","✗  Poor  — high-loss mismatch")))))</f>
        <v>✔  Excellent  — no tuner needed</v>
      </c>
    </row>
    <row r="12" customFormat="false" ht="23.25" hidden="false" customHeight="true" outlineLevel="0" collapsed="false">
      <c r="A12" s="54" t="str">
        <f aca="false">Calculator!A16</f>
        <v>20m</v>
      </c>
      <c r="B12" s="55" t="str">
        <f aca="false">Calculator!$E$16</f>
        <v>YES</v>
      </c>
      <c r="C12" s="56" t="n">
        <f aca="false">ROUND(Calculator!$F$16,2)</f>
        <v>10.32</v>
      </c>
      <c r="D12" s="56" t="n">
        <f aca="false">ROUND(Calculator!$G$16,2)</f>
        <v>5.16</v>
      </c>
      <c r="E12" s="57" t="n">
        <f aca="false">IF(AND(B12="YES",$C$4&gt;=D12),MOD($C$4/C12,1),"—")</f>
        <v>0.232558139534883</v>
      </c>
      <c r="F12" s="58" t="n">
        <f aca="false">IF(AND(B12="YES",$C$4&gt;=D12),ROUND(50*POWER(80,COS(PI()*MOD($C$4/C12,1))^2),0),"—")</f>
        <v>568</v>
      </c>
      <c r="G12" s="59" t="n">
        <f aca="false">IF($C$4&lt;D12,NA(),MAX(50*POWER(80,COS(PI()*MOD($C$4/C12,1))^2)/450,450/(50*POWER(80,COS(PI()*MOD($C$4/C12,1))^2))))</f>
        <v>1.26291496598397</v>
      </c>
      <c r="H12" s="60" t="str">
        <f aca="false">IF(B12&lt;&gt;"YES","—",IF($C$4&lt;D12,"&lt; λ/4",TEXT(G12,"0.0")))</f>
        <v>01</v>
      </c>
      <c r="I12" s="61" t="str">
        <f aca="false">IF(B12&lt;&gt;"YES","Inactive band",IF($C$4&lt;D12,"Wire too short for this band",IF(G12&lt;1.5,"✔  Excellent  — no tuner needed",IF(G12&lt;3,"✔  Good  — most tuners handle this",IF(G12&lt;6,"⚠  Marginal  — tuner required","✗  Poor  — high-loss mismatch")))))</f>
        <v>✔  Excellent  — no tuner needed</v>
      </c>
    </row>
    <row r="13" customFormat="false" ht="23.25" hidden="false" customHeight="true" outlineLevel="0" collapsed="false">
      <c r="A13" s="54" t="str">
        <f aca="false">Calculator!A17</f>
        <v>17m</v>
      </c>
      <c r="B13" s="55" t="str">
        <f aca="false">Calculator!$E$17</f>
        <v>YES</v>
      </c>
      <c r="C13" s="56" t="n">
        <f aca="false">ROUND(Calculator!$F$17,2)</f>
        <v>8.07</v>
      </c>
      <c r="D13" s="56" t="n">
        <f aca="false">ROUND(Calculator!$G$17,2)</f>
        <v>4.04</v>
      </c>
      <c r="E13" s="57" t="n">
        <f aca="false">IF(AND(B13="YES",$C$4&gt;=D13),MOD($C$4/C13,1),"—")</f>
        <v>0.691449814126393</v>
      </c>
      <c r="F13" s="58" t="n">
        <f aca="false">IF(AND(B13="YES",$C$4&gt;=D13),ROUND(50*POWER(80,COS(PI()*MOD($C$4/C13,1))^2),0),"—")</f>
        <v>203</v>
      </c>
      <c r="G13" s="59" t="n">
        <f aca="false">IF($C$4&lt;D13,NA(),MAX(50*POWER(80,COS(PI()*MOD($C$4/C13,1))^2)/450,450/(50*POWER(80,COS(PI()*MOD($C$4/C13,1))^2))))</f>
        <v>2.21264029709838</v>
      </c>
      <c r="H13" s="60" t="str">
        <f aca="false">IF(B13&lt;&gt;"YES","—",IF($C$4&lt;D13,"&lt; λ/4",TEXT(G13,"0.0")))</f>
        <v>02</v>
      </c>
      <c r="I13" s="61" t="str">
        <f aca="false">IF(B13&lt;&gt;"YES","Inactive band",IF($C$4&lt;D13,"Wire too short for this band",IF(G13&lt;1.5,"✔  Excellent  — no tuner needed",IF(G13&lt;3,"✔  Good  — most tuners handle this",IF(G13&lt;6,"⚠  Marginal  — tuner required","✗  Poor  — high-loss mismatch")))))</f>
        <v>✔  Good  — most tuners handle this</v>
      </c>
    </row>
    <row r="14" customFormat="false" ht="23.25" hidden="false" customHeight="true" outlineLevel="0" collapsed="false">
      <c r="A14" s="54" t="str">
        <f aca="false">Calculator!A18</f>
        <v>15m</v>
      </c>
      <c r="B14" s="55" t="str">
        <f aca="false">Calculator!$E$18</f>
        <v>YES</v>
      </c>
      <c r="C14" s="56" t="n">
        <f aca="false">ROUND(Calculator!$F$18,2)</f>
        <v>6.89</v>
      </c>
      <c r="D14" s="56" t="n">
        <f aca="false">ROUND(Calculator!$G$18,2)</f>
        <v>3.45</v>
      </c>
      <c r="E14" s="57" t="n">
        <f aca="false">IF(AND(B14="YES",$C$4&gt;=D14),MOD($C$4/C14,1),"—")</f>
        <v>0.83744557329463</v>
      </c>
      <c r="F14" s="58" t="n">
        <f aca="false">IF(AND(B14="YES",$C$4&gt;=D14),ROUND(50*POWER(80,COS(PI()*MOD($C$4/C14,1))^2),0),"—")</f>
        <v>1404</v>
      </c>
      <c r="G14" s="59" t="n">
        <f aca="false">IF($C$4&lt;D14,NA(),MAX(50*POWER(80,COS(PI()*MOD($C$4/C14,1))^2)/450,450/(50*POWER(80,COS(PI()*MOD($C$4/C14,1))^2))))</f>
        <v>3.12036858492515</v>
      </c>
      <c r="H14" s="60" t="str">
        <f aca="false">IF(B14&lt;&gt;"YES","—",IF($C$4&lt;D14,"&lt; λ/4",TEXT(G14,"0.0")))</f>
        <v>03</v>
      </c>
      <c r="I14" s="61" t="str">
        <f aca="false">IF(B14&lt;&gt;"YES","Inactive band",IF($C$4&lt;D14,"Wire too short for this band",IF(G14&lt;1.5,"✔  Excellent  — no tuner needed",IF(G14&lt;3,"✔  Good  — most tuners handle this",IF(G14&lt;6,"⚠  Marginal  — tuner required","✗  Poor  — high-loss mismatch")))))</f>
        <v>⚠  Marginal  — tuner required</v>
      </c>
    </row>
    <row r="15" customFormat="false" ht="23.25" hidden="false" customHeight="true" outlineLevel="0" collapsed="false">
      <c r="A15" s="54" t="str">
        <f aca="false">Calculator!A19</f>
        <v>12m</v>
      </c>
      <c r="B15" s="55" t="str">
        <f aca="false">Calculator!$E$19</f>
        <v>YES</v>
      </c>
      <c r="C15" s="56" t="n">
        <f aca="false">ROUND(Calculator!$F$19,2)</f>
        <v>5.86</v>
      </c>
      <c r="D15" s="56" t="n">
        <f aca="false">ROUND(Calculator!$G$19,2)</f>
        <v>2.93</v>
      </c>
      <c r="E15" s="57" t="n">
        <f aca="false">IF(AND(B15="YES",$C$4&gt;=D15),MOD($C$4/C15,1),"—")</f>
        <v>0.215017064846416</v>
      </c>
      <c r="F15" s="58" t="n">
        <f aca="false">IF(AND(B15="YES",$C$4&gt;=D15),ROUND(50*POWER(80,COS(PI()*MOD($C$4/C15,1))^2),0),"—")</f>
        <v>721</v>
      </c>
      <c r="G15" s="59" t="n">
        <f aca="false">IF($C$4&lt;D15,NA(),MAX(50*POWER(80,COS(PI()*MOD($C$4/C15,1))^2)/450,450/(50*POWER(80,COS(PI()*MOD($C$4/C15,1))^2))))</f>
        <v>1.60241876848221</v>
      </c>
      <c r="H15" s="60" t="str">
        <f aca="false">IF(B15&lt;&gt;"YES","—",IF($C$4&lt;D15,"&lt; λ/4",TEXT(G15,"0.0")))</f>
        <v>02</v>
      </c>
      <c r="I15" s="61" t="str">
        <f aca="false">IF(B15&lt;&gt;"YES","Inactive band",IF($C$4&lt;D15,"Wire too short for this band",IF(G15&lt;1.5,"✔  Excellent  — no tuner needed",IF(G15&lt;3,"✔  Good  — most tuners handle this",IF(G15&lt;6,"⚠  Marginal  — tuner required","✗  Poor  — high-loss mismatch")))))</f>
        <v>✔  Good  — most tuners handle this</v>
      </c>
    </row>
    <row r="16" customFormat="false" ht="23.25" hidden="false" customHeight="true" outlineLevel="0" collapsed="false">
      <c r="A16" s="54" t="str">
        <f aca="false">Calculator!A20</f>
        <v>10m</v>
      </c>
      <c r="B16" s="55" t="str">
        <f aca="false">Calculator!$E$20</f>
        <v>YES</v>
      </c>
      <c r="C16" s="56" t="n">
        <f aca="false">ROUND(Calculator!$F$20,2)</f>
        <v>5.07</v>
      </c>
      <c r="D16" s="56" t="n">
        <f aca="false">ROUND(Calculator!$G$20,2)</f>
        <v>2.53</v>
      </c>
      <c r="E16" s="57" t="n">
        <f aca="false">IF(AND(B16="YES",$C$4&gt;=D16),MOD($C$4/C16,1),"—")</f>
        <v>0.650887573964496</v>
      </c>
      <c r="F16" s="58" t="n">
        <f aca="false">IF(AND(B16="YES",$C$4&gt;=D16),ROUND(50*POWER(80,COS(PI()*MOD($C$4/C16,1))^2),0),"—")</f>
        <v>125</v>
      </c>
      <c r="G16" s="59" t="n">
        <f aca="false">IF($C$4&lt;D16,NA(),MAX(50*POWER(80,COS(PI()*MOD($C$4/C16,1))^2)/450,450/(50*POWER(80,COS(PI()*MOD($C$4/C16,1))^2))))</f>
        <v>3.61160171909772</v>
      </c>
      <c r="H16" s="60" t="str">
        <f aca="false">IF(B16&lt;&gt;"YES","—",IF($C$4&lt;D16,"&lt; λ/4",TEXT(G16,"0.0")))</f>
        <v>04</v>
      </c>
      <c r="I16" s="61" t="str">
        <f aca="false">IF(B16&lt;&gt;"YES","Inactive band",IF($C$4&lt;D16,"Wire too short for this band",IF(G16&lt;1.5,"✔  Excellent  — no tuner needed",IF(G16&lt;3,"✔  Good  — most tuners handle this",IF(G16&lt;6,"⚠  Marginal  — tuner required","✗  Poor  — high-loss mismatch")))))</f>
        <v>⚠  Marginal  — tuner required</v>
      </c>
    </row>
    <row r="17" customFormat="false" ht="15" hidden="false" customHeight="true" outlineLevel="0" collapsed="false">
      <c r="A17" s="54" t="str">
        <f aca="false">Calculator!A21</f>
        <v>6m</v>
      </c>
      <c r="B17" s="55" t="str">
        <f aca="false">Calculator!$E$21</f>
        <v>NO</v>
      </c>
      <c r="C17" s="56" t="n">
        <f aca="false">ROUND(Calculator!$F$21,2)</f>
        <v>2.81</v>
      </c>
      <c r="D17" s="56" t="n">
        <f aca="false">ROUND(Calculator!$G$21,2)</f>
        <v>1.41</v>
      </c>
      <c r="E17" s="57" t="str">
        <f aca="false">IF(AND(B17="YES",$C$4&gt;=D17),MOD($C$4/C17,1),"—")</f>
        <v>—</v>
      </c>
      <c r="F17" s="58" t="str">
        <f aca="false">IF(AND(B17="YES",$C$4&gt;=D17),ROUND(50*POWER(80,COS(PI()*MOD($C$4/C17,1))^2),0),"—")</f>
        <v>—</v>
      </c>
      <c r="G17" s="59" t="n">
        <f aca="false">IF($C$4&lt;D17,NA(),MAX(50*POWER(80,COS(PI()*MOD($C$4/C17,1))^2)/450,450/(50*POWER(80,COS(PI()*MOD($C$4/C17,1))^2))))</f>
        <v>1.55851545054391</v>
      </c>
      <c r="H17" s="60" t="str">
        <f aca="false">IF(B17&lt;&gt;"YES","—",IF($C$4&lt;D17,"&lt; λ/4",TEXT(G17,"0.0")))</f>
        <v>—</v>
      </c>
      <c r="I17" s="61" t="str">
        <f aca="false">IF(B17&lt;&gt;"YES","Inactive band",IF($C$4&lt;D17,"Wire too short for this band",IF(G17&lt;1.5,"✔  Excellent  — no tuner needed",IF(G17&lt;3,"✔  Good  — most tuners handle this",IF(G17&lt;6,"⚠  Marginal  — tuner required","✗  Poor  — high-loss mismatch")))))</f>
        <v>Inactive band</v>
      </c>
    </row>
    <row r="19" customFormat="false" ht="31.5" hidden="false" customHeight="true" outlineLevel="0" collapsed="false">
      <c r="A19" s="62" t="s">
        <v>63</v>
      </c>
      <c r="B19" s="62"/>
      <c r="C19" s="63" t="s">
        <v>64</v>
      </c>
      <c r="D19" s="64" t="s">
        <v>65</v>
      </c>
      <c r="E19" s="65" t="s">
        <v>66</v>
      </c>
      <c r="F19" s="66" t="s">
        <v>67</v>
      </c>
    </row>
    <row r="20" s="1" customFormat="true" ht="15" hidden="false" customHeight="true" outlineLevel="0" collapsed="false">
      <c r="A20" s="67"/>
      <c r="B20" s="67"/>
      <c r="C20" s="68"/>
      <c r="D20" s="68"/>
      <c r="E20" s="68"/>
      <c r="F20" s="68"/>
    </row>
    <row r="21" customFormat="false" ht="21" hidden="false" customHeight="true" outlineLevel="0" collapsed="false">
      <c r="A21" s="7" t="s">
        <v>68</v>
      </c>
      <c r="B21" s="7"/>
      <c r="C21" s="7"/>
      <c r="D21" s="7"/>
      <c r="E21" s="7"/>
      <c r="F21" s="7"/>
      <c r="G21" s="7"/>
      <c r="H21" s="7"/>
      <c r="I21" s="7"/>
    </row>
  </sheetData>
  <mergeCells count="6">
    <mergeCell ref="A1:I1"/>
    <mergeCell ref="A2:I2"/>
    <mergeCell ref="A4:B4"/>
    <mergeCell ref="D4:I4"/>
    <mergeCell ref="A19:B19"/>
    <mergeCell ref="A21:I21"/>
  </mergeCells>
  <conditionalFormatting sqref="A7:I17">
    <cfRule type="expression" priority="2" aboveAverage="0" equalAverage="0" bottom="0" percent="0" rank="0" text="" dxfId="2">
      <formula>AND(ISNUMBER(G7),G7&lt;1.5)</formula>
    </cfRule>
    <cfRule type="expression" priority="3" aboveAverage="0" equalAverage="0" bottom="0" percent="0" rank="0" text="" dxfId="3">
      <formula>AND(ISNUMBER(G7),G7&gt;=1.5,G7&lt;3)</formula>
    </cfRule>
    <cfRule type="expression" priority="4" aboveAverage="0" equalAverage="0" bottom="0" percent="0" rank="0" text="" dxfId="4">
      <formula>AND(ISNUMBER(G7),G7&gt;=3,G7&lt;6)</formula>
    </cfRule>
    <cfRule type="expression" priority="5" aboveAverage="0" equalAverage="0" bottom="0" percent="0" rank="0" text="" dxfId="5">
      <formula>AND(ISNUMBER(G7),G7&gt;=6)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4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3" ySplit="0" topLeftCell="D1" activePane="topRight" state="frozen"/>
      <selection pane="topLeft" activeCell="A1" activeCellId="0" sqref="A1"/>
      <selection pane="topRight" activeCell="P51" activeCellId="0" sqref="P5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8.46"/>
    <col collapsed="false" customWidth="true" hidden="false" outlineLevel="0" max="2" min="2" style="1" width="7.42"/>
    <col collapsed="false" customWidth="true" hidden="false" outlineLevel="0" max="3" min="3" style="1" width="8.25"/>
    <col collapsed="false" customWidth="true" hidden="false" outlineLevel="0" max="4" min="4" style="1" width="7.83"/>
    <col collapsed="false" customWidth="true" hidden="false" outlineLevel="0" max="5" min="5" style="1" width="7.42"/>
    <col collapsed="false" customWidth="true" hidden="false" outlineLevel="0" max="8" min="6" style="1" width="7.83"/>
    <col collapsed="false" customWidth="true" hidden="false" outlineLevel="0" max="9" min="9" style="1" width="6.85"/>
    <col collapsed="false" customWidth="true" hidden="false" outlineLevel="0" max="16" min="10" style="1" width="6.3"/>
    <col collapsed="false" customWidth="true" hidden="false" outlineLevel="0" max="18" min="17" style="1" width="5.19"/>
    <col collapsed="false" customWidth="true" hidden="false" outlineLevel="0" max="20" min="19" style="1" width="6.3"/>
    <col collapsed="false" customWidth="true" hidden="false" outlineLevel="0" max="21" min="21" style="1" width="5.19"/>
    <col collapsed="false" customWidth="true" hidden="false" outlineLevel="0" max="28" min="22" style="1" width="6.3"/>
    <col collapsed="false" customWidth="true" hidden="false" outlineLevel="0" max="30" min="29" style="1" width="5.19"/>
    <col collapsed="false" customWidth="true" hidden="false" outlineLevel="0" max="32" min="31" style="1" width="6.3"/>
    <col collapsed="false" customWidth="true" hidden="false" outlineLevel="0" max="35" min="33" style="1" width="5.19"/>
    <col collapsed="false" customWidth="true" hidden="false" outlineLevel="0" max="36" min="36" style="1" width="6.3"/>
    <col collapsed="false" customWidth="true" hidden="false" outlineLevel="0" max="37" min="37" style="1" width="5.19"/>
    <col collapsed="false" customWidth="true" hidden="false" outlineLevel="0" max="38" min="38" style="1" width="6.3"/>
    <col collapsed="false" customWidth="true" hidden="false" outlineLevel="0" max="45" min="39" style="1" width="6.09"/>
    <col collapsed="false" customWidth="true" hidden="false" outlineLevel="0" max="48" min="46" style="1" width="5.05"/>
    <col collapsed="false" customWidth="true" hidden="false" outlineLevel="0" max="54" min="49" style="1" width="6.09"/>
    <col collapsed="false" customWidth="true" hidden="false" outlineLevel="0" max="55" min="55" style="1" width="5.05"/>
    <col collapsed="false" customWidth="true" hidden="false" outlineLevel="0" max="63" min="56" style="1" width="6.09"/>
  </cols>
  <sheetData>
    <row r="1" customFormat="false" ht="15" hidden="false" customHeight="true" outlineLevel="0" collapsed="false">
      <c r="A1" s="69" t="s">
        <v>69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</row>
    <row r="2" customFormat="false" ht="15" hidden="false" customHeight="true" outlineLevel="0" collapsed="false">
      <c r="A2" s="70" t="s">
        <v>70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  <c r="AT2" s="70"/>
      <c r="AU2" s="70"/>
      <c r="AV2" s="70"/>
      <c r="AW2" s="70"/>
      <c r="AX2" s="70"/>
      <c r="AY2" s="70"/>
      <c r="AZ2" s="70"/>
      <c r="BA2" s="70"/>
      <c r="BB2" s="70"/>
      <c r="BC2" s="70"/>
      <c r="BD2" s="70"/>
      <c r="BE2" s="70"/>
      <c r="BF2" s="70"/>
      <c r="BG2" s="70"/>
      <c r="BH2" s="70"/>
      <c r="BI2" s="70"/>
      <c r="BJ2" s="70"/>
      <c r="BK2" s="70"/>
    </row>
    <row r="3" customFormat="false" ht="15" hidden="false" customHeight="false" outlineLevel="0" collapsed="false">
      <c r="A3" s="71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</row>
    <row r="4" customFormat="false" ht="26.85" hidden="false" customHeight="true" outlineLevel="0" collapsed="false">
      <c r="A4" s="72" t="s">
        <v>71</v>
      </c>
      <c r="B4" s="72"/>
      <c r="C4" s="72"/>
      <c r="D4" s="72"/>
      <c r="E4" s="72"/>
      <c r="F4" s="72"/>
      <c r="G4" s="72"/>
      <c r="H4" s="72"/>
      <c r="I4" s="72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</row>
    <row r="5" customFormat="false" ht="25.35" hidden="false" customHeight="false" outlineLevel="0" collapsed="false">
      <c r="A5" s="73" t="s">
        <v>9</v>
      </c>
      <c r="B5" s="73" t="s">
        <v>72</v>
      </c>
      <c r="C5" s="73" t="s">
        <v>56</v>
      </c>
      <c r="D5" s="73" t="str">
        <f aca="false">"#"&amp;1&amp;"  "&amp;Calculator!$B$30&amp;" m"</f>
        <v>#1  54 m</v>
      </c>
      <c r="E5" s="73" t="str">
        <f aca="false">"#"&amp;2&amp;"  "&amp;Calculator!$B$31&amp;" m"</f>
        <v>#2  33,5 m</v>
      </c>
      <c r="F5" s="73" t="str">
        <f aca="false">"#"&amp;3&amp;"  "&amp;Calculator!$B$32&amp;" m"</f>
        <v>#3  47,5 m</v>
      </c>
      <c r="G5" s="73" t="str">
        <f aca="false">"#"&amp;4&amp;"  "&amp;Calculator!$B$33&amp;" m"</f>
        <v>#4  18,5 m</v>
      </c>
      <c r="H5" s="73" t="str">
        <f aca="false">"#"&amp;5&amp;"  "&amp;Calculator!$B$34&amp;" m"</f>
        <v>#5  39 m</v>
      </c>
      <c r="I5" s="73" t="s">
        <v>73</v>
      </c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</row>
    <row r="6" customFormat="false" ht="15" hidden="false" customHeight="false" outlineLevel="0" collapsed="false">
      <c r="A6" s="74" t="str">
        <f aca="false">IF(Calculator!$E$11="YES","★ "&amp;"160m","160m")</f>
        <v>160m</v>
      </c>
      <c r="B6" s="74" t="n">
        <f aca="false">ROUND(Calculator!D11,3)</f>
        <v>1.9</v>
      </c>
      <c r="C6" s="74" t="n">
        <f aca="false">ROUND(Calculator!F11,2)</f>
        <v>76.97</v>
      </c>
      <c r="D6" s="75" t="str">
        <f aca="false">IF(AND(Calculator!$E$11="YES",Calculator!$B$30&gt;=Calculator!$G$11),ROUND(50*POWER(80,POWER(COS(PI()*MOD(Calculator!$B$30/Calculator!$F$11,1)),2)),1),"—")</f>
        <v>—</v>
      </c>
      <c r="E6" s="75" t="str">
        <f aca="false">IF(AND(Calculator!$E$11="YES",Calculator!$B$31&gt;=Calculator!$G$11),ROUND(50*POWER(80,POWER(COS(PI()*MOD(Calculator!$B$31/Calculator!$F$11,1)),2)),1),"—")</f>
        <v>—</v>
      </c>
      <c r="F6" s="75" t="str">
        <f aca="false">IF(AND(Calculator!$E$11="YES",Calculator!$B$32&gt;=Calculator!$G$11),ROUND(50*POWER(80,POWER(COS(PI()*MOD(Calculator!$B$32/Calculator!$F$11,1)),2)),1),"—")</f>
        <v>—</v>
      </c>
      <c r="G6" s="75" t="str">
        <f aca="false">IF(AND(Calculator!$E$11="YES",Calculator!$B$33&gt;=Calculator!$G$11),ROUND(50*POWER(80,POWER(COS(PI()*MOD(Calculator!$B$33/Calculator!$F$11,1)),2)),1),"—")</f>
        <v>—</v>
      </c>
      <c r="H6" s="75" t="str">
        <f aca="false">IF(AND(Calculator!$E$11="YES",Calculator!$B$34&gt;=Calculator!$G$11),ROUND(50*POWER(80,POWER(COS(PI()*MOD(Calculator!$B$34/Calculator!$F$11,1)),2)),1),"—")</f>
        <v>—</v>
      </c>
      <c r="I6" s="75" t="str">
        <f aca="false">IF(Calculator!$E$11="YES","Active","Inactive")</f>
        <v>Inactive</v>
      </c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</row>
    <row r="7" customFormat="false" ht="15" hidden="false" customHeight="false" outlineLevel="0" collapsed="false">
      <c r="A7" s="74" t="str">
        <f aca="false">IF(Calculator!$E$12="YES","★ "&amp;"80m","80m")</f>
        <v>80m</v>
      </c>
      <c r="B7" s="74" t="n">
        <f aca="false">ROUND(Calculator!D12,3)</f>
        <v>3.65</v>
      </c>
      <c r="C7" s="74" t="n">
        <f aca="false">ROUND(Calculator!F12,2)</f>
        <v>40.07</v>
      </c>
      <c r="D7" s="75" t="str">
        <f aca="false">IF(AND(Calculator!$E$12="YES",Calculator!$B$30&gt;=Calculator!$G$12),ROUND(50*POWER(80,POWER(COS(PI()*MOD(Calculator!$B$30/Calculator!$F$12,1)),2)),1),"—")</f>
        <v>—</v>
      </c>
      <c r="E7" s="75" t="str">
        <f aca="false">IF(AND(Calculator!$E$12="YES",Calculator!$B$31&gt;=Calculator!$G$12),ROUND(50*POWER(80,POWER(COS(PI()*MOD(Calculator!$B$31/Calculator!$F$12,1)),2)),1),"—")</f>
        <v>—</v>
      </c>
      <c r="F7" s="75" t="str">
        <f aca="false">IF(AND(Calculator!$E$12="YES",Calculator!$B$32&gt;=Calculator!$G$12),ROUND(50*POWER(80,POWER(COS(PI()*MOD(Calculator!$B$32/Calculator!$F$12,1)),2)),1),"—")</f>
        <v>—</v>
      </c>
      <c r="G7" s="75" t="str">
        <f aca="false">IF(AND(Calculator!$E$12="YES",Calculator!$B$33&gt;=Calculator!$G$12),ROUND(50*POWER(80,POWER(COS(PI()*MOD(Calculator!$B$33/Calculator!$F$12,1)),2)),1),"—")</f>
        <v>—</v>
      </c>
      <c r="H7" s="75" t="str">
        <f aca="false">IF(AND(Calculator!$E$12="YES",Calculator!$B$34&gt;=Calculator!$G$12),ROUND(50*POWER(80,POWER(COS(PI()*MOD(Calculator!$B$34/Calculator!$F$12,1)),2)),1),"—")</f>
        <v>—</v>
      </c>
      <c r="I7" s="75" t="str">
        <f aca="false">IF(Calculator!$E$12="YES","Active","Inactive")</f>
        <v>Inactive</v>
      </c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</row>
    <row r="8" customFormat="false" ht="15" hidden="false" customHeight="false" outlineLevel="0" collapsed="false">
      <c r="A8" s="74" t="str">
        <f aca="false">IF(Calculator!$E$13="YES","★ "&amp;"60m","60m")</f>
        <v>60m</v>
      </c>
      <c r="B8" s="74" t="n">
        <f aca="false">ROUND(Calculator!D13,3)</f>
        <v>5.359</v>
      </c>
      <c r="C8" s="74" t="n">
        <f aca="false">ROUND(Calculator!F13,2)</f>
        <v>27.29</v>
      </c>
      <c r="D8" s="75" t="str">
        <f aca="false">IF(AND(Calculator!$E$13="YES",Calculator!$B$30&gt;=Calculator!$G$13),ROUND(50*POWER(80,POWER(COS(PI()*MOD(Calculator!$B$30/Calculator!$F$13,1)),2)),1),"—")</f>
        <v>—</v>
      </c>
      <c r="E8" s="75" t="str">
        <f aca="false">IF(AND(Calculator!$E$13="YES",Calculator!$B$31&gt;=Calculator!$G$13),ROUND(50*POWER(80,POWER(COS(PI()*MOD(Calculator!$B$31/Calculator!$F$13,1)),2)),1),"—")</f>
        <v>—</v>
      </c>
      <c r="F8" s="75" t="str">
        <f aca="false">IF(AND(Calculator!$E$13="YES",Calculator!$B$32&gt;=Calculator!$G$13),ROUND(50*POWER(80,POWER(COS(PI()*MOD(Calculator!$B$32/Calculator!$F$13,1)),2)),1),"—")</f>
        <v>—</v>
      </c>
      <c r="G8" s="75" t="str">
        <f aca="false">IF(AND(Calculator!$E$13="YES",Calculator!$B$33&gt;=Calculator!$G$13),ROUND(50*POWER(80,POWER(COS(PI()*MOD(Calculator!$B$33/Calculator!$F$13,1)),2)),1),"—")</f>
        <v>—</v>
      </c>
      <c r="H8" s="75" t="str">
        <f aca="false">IF(AND(Calculator!$E$13="YES",Calculator!$B$34&gt;=Calculator!$G$13),ROUND(50*POWER(80,POWER(COS(PI()*MOD(Calculator!$B$34/Calculator!$F$13,1)),2)),1),"—")</f>
        <v>—</v>
      </c>
      <c r="I8" s="75" t="str">
        <f aca="false">IF(Calculator!$E$13="YES","Active","Inactive")</f>
        <v>Inactive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</row>
    <row r="9" customFormat="false" ht="15" hidden="false" customHeight="false" outlineLevel="0" collapsed="false">
      <c r="A9" s="74" t="str">
        <f aca="false">IF(Calculator!$E$14="YES","★ "&amp;"40m","40m")</f>
        <v>★ 40m</v>
      </c>
      <c r="B9" s="74" t="n">
        <f aca="false">ROUND(Calculator!D14,3)</f>
        <v>7.15</v>
      </c>
      <c r="C9" s="74" t="n">
        <f aca="false">ROUND(Calculator!F14,2)</f>
        <v>20.45</v>
      </c>
      <c r="D9" s="75" t="n">
        <f aca="false">IF(AND(Calculator!$E$14="YES",Calculator!$B$30&gt;=Calculator!$G$14),ROUND(50*POWER(80,POWER(COS(PI()*MOD(Calculator!$B$30/Calculator!$F$14,1)),2)),1),"—")</f>
        <v>110.7</v>
      </c>
      <c r="E9" s="75" t="n">
        <f aca="false">IF(AND(Calculator!$E$14="YES",Calculator!$B$31&gt;=Calculator!$G$14),ROUND(50*POWER(80,POWER(COS(PI()*MOD(Calculator!$B$31/Calculator!$F$14,1)),2)),1),"—")</f>
        <v>108.1</v>
      </c>
      <c r="F9" s="75" t="n">
        <f aca="false">IF(AND(Calculator!$E$14="YES",Calculator!$B$32&gt;=Calculator!$G$14),ROUND(50*POWER(80,POWER(COS(PI()*MOD(Calculator!$B$32/Calculator!$F$14,1)),2)),1),"—")</f>
        <v>171.2</v>
      </c>
      <c r="G9" s="75" t="n">
        <f aca="false">IF(AND(Calculator!$E$14="YES",Calculator!$B$33&gt;=Calculator!$G$14),ROUND(50*POWER(80,POWER(COS(PI()*MOD(Calculator!$B$33/Calculator!$F$14,1)),2)),1),"—")</f>
        <v>2726.8</v>
      </c>
      <c r="H9" s="75" t="n">
        <f aca="false">IF(AND(Calculator!$E$14="YES",Calculator!$B$34&gt;=Calculator!$G$14),ROUND(50*POWER(80,POWER(COS(PI()*MOD(Calculator!$B$34/Calculator!$F$14,1)),2)),1),"—")</f>
        <v>2773.8</v>
      </c>
      <c r="I9" s="75" t="str">
        <f aca="false">IF(Calculator!$E$14="YES","Active","Inactive")</f>
        <v>Active</v>
      </c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</row>
    <row r="10" customFormat="false" ht="15" hidden="false" customHeight="false" outlineLevel="0" collapsed="false">
      <c r="A10" s="74" t="str">
        <f aca="false">IF(Calculator!$E$15="YES","★ "&amp;"30m","30m")</f>
        <v>★ 30m</v>
      </c>
      <c r="B10" s="74" t="n">
        <f aca="false">ROUND(Calculator!D15,3)</f>
        <v>10.125</v>
      </c>
      <c r="C10" s="74" t="n">
        <f aca="false">ROUND(Calculator!F15,2)</f>
        <v>14.44</v>
      </c>
      <c r="D10" s="75" t="n">
        <f aca="false">IF(AND(Calculator!$E$15="YES",Calculator!$B$30&gt;=Calculator!$G$15),ROUND(50*POWER(80,POWER(COS(PI()*MOD(Calculator!$B$30/Calculator!$F$15,1)),2)),1),"—")</f>
        <v>381.6</v>
      </c>
      <c r="E10" s="75" t="n">
        <f aca="false">IF(AND(Calculator!$E$15="YES",Calculator!$B$31&gt;=Calculator!$G$15),ROUND(50*POWER(80,POWER(COS(PI()*MOD(Calculator!$B$31/Calculator!$F$15,1)),2)),1),"—")</f>
        <v>177.6</v>
      </c>
      <c r="F10" s="75" t="n">
        <f aca="false">IF(AND(Calculator!$E$15="YES",Calculator!$B$32&gt;=Calculator!$G$15),ROUND(50*POWER(80,POWER(COS(PI()*MOD(Calculator!$B$32/Calculator!$F$15,1)),2)),1),"—")</f>
        <v>264.7</v>
      </c>
      <c r="G10" s="75" t="n">
        <f aca="false">IF(AND(Calculator!$E$15="YES",Calculator!$B$33&gt;=Calculator!$G$15),ROUND(50*POWER(80,POWER(COS(PI()*MOD(Calculator!$B$33/Calculator!$F$15,1)),2)),1),"—")</f>
        <v>293.6</v>
      </c>
      <c r="H10" s="75" t="n">
        <f aca="false">IF(AND(Calculator!$E$15="YES",Calculator!$B$34&gt;=Calculator!$G$15),ROUND(50*POWER(80,POWER(COS(PI()*MOD(Calculator!$B$34/Calculator!$F$15,1)),2)),1),"—")</f>
        <v>227.2</v>
      </c>
      <c r="I10" s="75" t="str">
        <f aca="false">IF(Calculator!$E$15="YES","Active","Inactive")</f>
        <v>Active</v>
      </c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</row>
    <row r="11" customFormat="false" ht="15" hidden="false" customHeight="false" outlineLevel="0" collapsed="false">
      <c r="A11" s="74" t="str">
        <f aca="false">IF(Calculator!$E$16="YES","★ "&amp;"20m","20m")</f>
        <v>★ 20m</v>
      </c>
      <c r="B11" s="74" t="n">
        <f aca="false">ROUND(Calculator!D16,3)</f>
        <v>14.175</v>
      </c>
      <c r="C11" s="74" t="n">
        <f aca="false">ROUND(Calculator!F16,2)</f>
        <v>10.32</v>
      </c>
      <c r="D11" s="75" t="n">
        <f aca="false">IF(AND(Calculator!$E$16="YES",Calculator!$B$30&gt;=Calculator!$G$16),ROUND(50*POWER(80,POWER(COS(PI()*MOD(Calculator!$B$30/Calculator!$F$16,1)),2)),1),"—")</f>
        <v>558.4</v>
      </c>
      <c r="E11" s="75" t="n">
        <f aca="false">IF(AND(Calculator!$E$16="YES",Calculator!$B$31&gt;=Calculator!$G$16),ROUND(50*POWER(80,POWER(COS(PI()*MOD(Calculator!$B$31/Calculator!$F$16,1)),2)),1),"—")</f>
        <v>466.6</v>
      </c>
      <c r="F11" s="75" t="n">
        <f aca="false">IF(AND(Calculator!$E$16="YES",Calculator!$B$32&gt;=Calculator!$G$16),ROUND(50*POWER(80,POWER(COS(PI()*MOD(Calculator!$B$32/Calculator!$F$16,1)),2)),1),"—")</f>
        <v>78.4</v>
      </c>
      <c r="G11" s="75" t="n">
        <f aca="false">IF(AND(Calculator!$E$16="YES",Calculator!$B$33&gt;=Calculator!$G$16),ROUND(50*POWER(80,POWER(COS(PI()*MOD(Calculator!$B$33/Calculator!$F$16,1)),2)),1),"—")</f>
        <v>803.4</v>
      </c>
      <c r="H11" s="75" t="n">
        <f aca="false">IF(AND(Calculator!$E$16="YES",Calculator!$B$34&gt;=Calculator!$G$16),ROUND(50*POWER(80,POWER(COS(PI()*MOD(Calculator!$B$34/Calculator!$F$16,1)),2)),1),"—")</f>
        <v>674.2</v>
      </c>
      <c r="I11" s="75" t="str">
        <f aca="false">IF(Calculator!$E$16="YES","Active","Inactive")</f>
        <v>Active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</row>
    <row r="12" customFormat="false" ht="15" hidden="false" customHeight="false" outlineLevel="0" collapsed="false">
      <c r="A12" s="74" t="str">
        <f aca="false">IF(Calculator!$E$17="YES","★ "&amp;"17m","17m")</f>
        <v>★ 17m</v>
      </c>
      <c r="B12" s="74" t="n">
        <f aca="false">ROUND(Calculator!D17,3)</f>
        <v>18.118</v>
      </c>
      <c r="C12" s="74" t="n">
        <f aca="false">ROUND(Calculator!F17,2)</f>
        <v>8.07</v>
      </c>
      <c r="D12" s="74" t="n">
        <f aca="false">IF(AND(Calculator!$E$17="YES",Calculator!$B$30&gt;=Calculator!$G$17),ROUND(50*POWER(80,POWER(COS(PI()*MOD(Calculator!$B$30/Calculator!$F$17,1)),2)),1),"—")</f>
        <v>198.9</v>
      </c>
      <c r="E12" s="74" t="n">
        <f aca="false">IF(AND(Calculator!$E$17="YES",Calculator!$B$31&gt;=Calculator!$G$17),ROUND(50*POWER(80,POWER(COS(PI()*MOD(Calculator!$B$31/Calculator!$F$17,1)),2)),1),"—")</f>
        <v>1619.2</v>
      </c>
      <c r="F12" s="74" t="n">
        <f aca="false">IF(AND(Calculator!$E$17="YES",Calculator!$B$32&gt;=Calculator!$G$17),ROUND(50*POWER(80,POWER(COS(PI()*MOD(Calculator!$B$32/Calculator!$F$17,1)),2)),1),"—")</f>
        <v>2302.6</v>
      </c>
      <c r="G12" s="74" t="n">
        <f aca="false">IF(AND(Calculator!$E$17="YES",Calculator!$B$33&gt;=Calculator!$G$17),ROUND(50*POWER(80,POWER(COS(PI()*MOD(Calculator!$B$33/Calculator!$F$17,1)),2)),1),"—")</f>
        <v>253</v>
      </c>
      <c r="H12" s="74" t="n">
        <f aca="false">IF(AND(Calculator!$E$17="YES",Calculator!$B$34&gt;=Calculator!$G$17),ROUND(50*POWER(80,POWER(COS(PI()*MOD(Calculator!$B$34/Calculator!$F$17,1)),2)),1),"—")</f>
        <v>1307.9</v>
      </c>
      <c r="I12" s="74" t="str">
        <f aca="false">IF(Calculator!$E$17="YES","Active","Inactive")</f>
        <v>Active</v>
      </c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</row>
    <row r="13" customFormat="false" ht="15" hidden="false" customHeight="false" outlineLevel="0" collapsed="false">
      <c r="A13" s="74" t="str">
        <f aca="false">IF(Calculator!$E$18="YES","★ "&amp;"15m","15m")</f>
        <v>★ 15m</v>
      </c>
      <c r="B13" s="74" t="n">
        <f aca="false">ROUND(Calculator!D18,3)</f>
        <v>21.225</v>
      </c>
      <c r="C13" s="74" t="n">
        <f aca="false">ROUND(Calculator!F18,2)</f>
        <v>6.89</v>
      </c>
      <c r="D13" s="74" t="n">
        <f aca="false">IF(AND(Calculator!$E$18="YES",Calculator!$B$30&gt;=Calculator!$G$18),ROUND(50*POWER(80,POWER(COS(PI()*MOD(Calculator!$B$30/Calculator!$F$18,1)),2)),1),"—")</f>
        <v>1395.6</v>
      </c>
      <c r="E13" s="74" t="n">
        <f aca="false">IF(AND(Calculator!$E$18="YES",Calculator!$B$31&gt;=Calculator!$G$18),ROUND(50*POWER(80,POWER(COS(PI()*MOD(Calculator!$B$31/Calculator!$F$18,1)),2)),1),"—")</f>
        <v>1842</v>
      </c>
      <c r="F13" s="74" t="n">
        <f aca="false">IF(AND(Calculator!$E$18="YES",Calculator!$B$32&gt;=Calculator!$G$18),ROUND(50*POWER(80,POWER(COS(PI()*MOD(Calculator!$B$32/Calculator!$F$18,1)),2)),1),"—")</f>
        <v>2495.7</v>
      </c>
      <c r="G13" s="74" t="n">
        <f aca="false">IF(AND(Calculator!$E$18="YES",Calculator!$B$33&gt;=Calculator!$G$18),ROUND(50*POWER(80,POWER(COS(PI()*MOD(Calculator!$B$33/Calculator!$F$18,1)),2)),1),"—")</f>
        <v>187</v>
      </c>
      <c r="H13" s="74" t="n">
        <f aca="false">IF(AND(Calculator!$E$18="YES",Calculator!$B$34&gt;=Calculator!$G$18),ROUND(50*POWER(80,POWER(COS(PI()*MOD(Calculator!$B$34/Calculator!$F$18,1)),2)),1),"—")</f>
        <v>138.2</v>
      </c>
      <c r="I13" s="74" t="str">
        <f aca="false">IF(Calculator!$E$18="YES","Active","Inactive")</f>
        <v>Active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</row>
    <row r="14" customFormat="false" ht="15" hidden="false" customHeight="false" outlineLevel="0" collapsed="false">
      <c r="A14" s="74" t="str">
        <f aca="false">IF(Calculator!$E$19="YES","★ "&amp;"12m","12m")</f>
        <v>★ 12m</v>
      </c>
      <c r="B14" s="74" t="n">
        <f aca="false">ROUND(Calculator!D19,3)</f>
        <v>24.94</v>
      </c>
      <c r="C14" s="74" t="n">
        <f aca="false">ROUND(Calculator!F19,2)</f>
        <v>5.86</v>
      </c>
      <c r="D14" s="74" t="n">
        <f aca="false">IF(AND(Calculator!$E$19="YES",Calculator!$B$30&gt;=Calculator!$G$19),ROUND(50*POWER(80,POWER(COS(PI()*MOD(Calculator!$B$30/Calculator!$F$19,1)),2)),1),"—")</f>
        <v>785.5</v>
      </c>
      <c r="E14" s="74" t="n">
        <f aca="false">IF(AND(Calculator!$E$19="YES",Calculator!$B$31&gt;=Calculator!$G$19),ROUND(50*POWER(80,POWER(COS(PI()*MOD(Calculator!$B$31/Calculator!$F$19,1)),2)),1),"—")</f>
        <v>269.1</v>
      </c>
      <c r="F14" s="74" t="n">
        <f aca="false">IF(AND(Calculator!$E$19="YES",Calculator!$B$32&gt;=Calculator!$G$19),ROUND(50*POWER(80,POWER(COS(PI()*MOD(Calculator!$B$32/Calculator!$F$19,1)),2)),1),"—")</f>
        <v>2628.6</v>
      </c>
      <c r="G14" s="74" t="n">
        <f aca="false">IF(AND(Calculator!$E$19="YES",Calculator!$B$33&gt;=Calculator!$G$19),ROUND(50*POWER(80,POWER(COS(PI()*MOD(Calculator!$B$33/Calculator!$F$19,1)),2)),1),"—")</f>
        <v>1535.8</v>
      </c>
      <c r="H14" s="74" t="n">
        <f aca="false">IF(AND(Calculator!$E$19="YES",Calculator!$B$34&gt;=Calculator!$G$19),ROUND(50*POWER(80,POWER(COS(PI()*MOD(Calculator!$B$34/Calculator!$F$19,1)),2)),1),"—")</f>
        <v>124.3</v>
      </c>
      <c r="I14" s="74" t="str">
        <f aca="false">IF(Calculator!$E$19="YES","Active","Inactive")</f>
        <v>Active</v>
      </c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</row>
    <row r="15" customFormat="false" ht="15" hidden="false" customHeight="false" outlineLevel="0" collapsed="false">
      <c r="A15" s="74" t="str">
        <f aca="false">IF(Calculator!$E$20="YES","★ "&amp;"10m","10m")</f>
        <v>★ 10m</v>
      </c>
      <c r="B15" s="74" t="n">
        <f aca="false">ROUND(Calculator!D20,3)</f>
        <v>28.85</v>
      </c>
      <c r="C15" s="74" t="n">
        <f aca="false">ROUND(Calculator!F20,2)</f>
        <v>5.07</v>
      </c>
      <c r="D15" s="74" t="n">
        <f aca="false">IF(AND(Calculator!$E$20="YES",Calculator!$B$30&gt;=Calculator!$G$20),ROUND(50*POWER(80,POWER(COS(PI()*MOD(Calculator!$B$30/Calculator!$F$20,1)),2)),1),"—")</f>
        <v>126.6</v>
      </c>
      <c r="E15" s="74" t="n">
        <f aca="false">IF(AND(Calculator!$E$20="YES",Calculator!$B$31&gt;=Calculator!$G$20),ROUND(50*POWER(80,POWER(COS(PI()*MOD(Calculator!$B$31/Calculator!$F$20,1)),2)),1),"—")</f>
        <v>81.5</v>
      </c>
      <c r="F15" s="74" t="n">
        <f aca="false">IF(AND(Calculator!$E$20="YES",Calculator!$B$32&gt;=Calculator!$G$20),ROUND(50*POWER(80,POWER(COS(PI()*MOD(Calculator!$B$32/Calculator!$F$20,1)),2)),1),"—")</f>
        <v>99.7</v>
      </c>
      <c r="G15" s="74" t="n">
        <f aca="false">IF(AND(Calculator!$E$20="YES",Calculator!$B$33&gt;=Calculator!$G$20),ROUND(50*POWER(80,POWER(COS(PI()*MOD(Calculator!$B$33/Calculator!$F$20,1)),2)),1),"—")</f>
        <v>122.6</v>
      </c>
      <c r="H15" s="74" t="n">
        <f aca="false">IF(AND(Calculator!$E$20="YES",Calculator!$B$34&gt;=Calculator!$G$20),ROUND(50*POWER(80,POWER(COS(PI()*MOD(Calculator!$B$34/Calculator!$F$20,1)),2)),1),"—")</f>
        <v>208.4</v>
      </c>
      <c r="I15" s="74" t="str">
        <f aca="false">IF(Calculator!$E$20="YES","Active","Inactive")</f>
        <v>Active</v>
      </c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</row>
    <row r="16" customFormat="false" ht="15" hidden="false" customHeight="false" outlineLevel="0" collapsed="false">
      <c r="A16" s="74" t="str">
        <f aca="false">IF(Calculator!$E$21="YES","★ "&amp;"6m","6m")</f>
        <v>6m</v>
      </c>
      <c r="B16" s="74" t="n">
        <f aca="false">ROUND(Calculator!D21,3)</f>
        <v>52</v>
      </c>
      <c r="C16" s="74" t="n">
        <f aca="false">ROUND(Calculator!F21,2)</f>
        <v>2.81</v>
      </c>
      <c r="D16" s="74" t="str">
        <f aca="false">IF(AND(Calculator!$E$21="YES",Calculator!$B$30&gt;=Calculator!$G$21),ROUND(50*POWER(80,POWER(COS(PI()*MOD(Calculator!$B$30/Calculator!$F$21,1)),2)),1),"—")</f>
        <v>—</v>
      </c>
      <c r="E16" s="74" t="str">
        <f aca="false">IF(AND(Calculator!$E$21="YES",Calculator!$B$31&gt;=Calculator!$G$21),ROUND(50*POWER(80,POWER(COS(PI()*MOD(Calculator!$B$31/Calculator!$F$21,1)),2)),1),"—")</f>
        <v>—</v>
      </c>
      <c r="F16" s="74" t="str">
        <f aca="false">IF(AND(Calculator!$E$21="YES",Calculator!$B$32&gt;=Calculator!$G$21),ROUND(50*POWER(80,POWER(COS(PI()*MOD(Calculator!$B$32/Calculator!$F$21,1)),2)),1),"—")</f>
        <v>—</v>
      </c>
      <c r="G16" s="74" t="str">
        <f aca="false">IF(AND(Calculator!$E$21="YES",Calculator!$B$33&gt;=Calculator!$G$21),ROUND(50*POWER(80,POWER(COS(PI()*MOD(Calculator!$B$33/Calculator!$F$21,1)),2)),1),"—")</f>
        <v>—</v>
      </c>
      <c r="H16" s="74" t="str">
        <f aca="false">IF(AND(Calculator!$E$21="YES",Calculator!$B$34&gt;=Calculator!$G$21),ROUND(50*POWER(80,POWER(COS(PI()*MOD(Calculator!$B$34/Calculator!$F$21,1)),2)),1),"—")</f>
        <v>—</v>
      </c>
      <c r="I16" s="74" t="str">
        <f aca="false">IF(Calculator!$E$21="YES","Active","Inactive")</f>
        <v>Inactive</v>
      </c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</row>
    <row r="17" customFormat="false" ht="15" hidden="false" customHeight="false" outlineLevel="0" collapsed="false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</row>
    <row r="18" customFormat="false" ht="26.85" hidden="false" customHeight="true" outlineLevel="0" collapsed="false">
      <c r="A18" s="76" t="s">
        <v>74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</row>
    <row r="19" customFormat="false" ht="61.15" hidden="false" customHeight="false" outlineLevel="0" collapsed="false">
      <c r="A19" s="73" t="s">
        <v>9</v>
      </c>
      <c r="B19" s="73" t="str">
        <f aca="false">"#"&amp;1&amp;"  "&amp;Calculator!$B$30&amp;"m"&amp;CHAR(10)&amp;"Optimal Ratio"</f>
        <v>#1  54m
Optimal Ratio</v>
      </c>
      <c r="C19" s="73" t="str">
        <f aca="false">"#"&amp;2&amp;"  "&amp;Calculator!$B$31&amp;"m"&amp;CHAR(10)&amp;"Optimal Ratio"</f>
        <v>#2  33,5m
Optimal Ratio</v>
      </c>
      <c r="D19" s="73" t="str">
        <f aca="false">"#"&amp;3&amp;"  "&amp;Calculator!$B$32&amp;"m"&amp;CHAR(10)&amp;"Optimal Ratio"</f>
        <v>#3  47,5m
Optimal Ratio</v>
      </c>
      <c r="E19" s="73" t="str">
        <f aca="false">"#"&amp;4&amp;"  "&amp;Calculator!$B$33&amp;"m"&amp;CHAR(10)&amp;"Optimal Ratio"</f>
        <v>#4  18,5m
Optimal Ratio</v>
      </c>
      <c r="F19" s="73" t="str">
        <f aca="false">"#"&amp;5&amp;"  "&amp;Calculator!$B$34&amp;"m"&amp;CHAR(10)&amp;"Optimal Ratio"</f>
        <v>#5  39m
Optimal Ratio</v>
      </c>
      <c r="G19" s="73" t="str">
        <f aca="false">"#"&amp;1&amp;"  "&amp;Calculator!$B$30&amp;"m"&amp;CHAR(10)&amp;"Best VSWR"</f>
        <v>#1  54m
Best VSWR</v>
      </c>
      <c r="H19" s="73" t="str">
        <f aca="false">"#"&amp;2&amp;"  "&amp;Calculator!$B$31&amp;"m"&amp;CHAR(10)&amp;"Best VSWR"</f>
        <v>#2  33,5m
Best VSWR</v>
      </c>
      <c r="I19" s="73" t="str">
        <f aca="false">"#"&amp;3&amp;"  "&amp;Calculator!$B$32&amp;"m"&amp;CHAR(10)&amp;"Best VSWR"</f>
        <v>#3  47,5m
Best VSWR</v>
      </c>
      <c r="J19" s="73" t="str">
        <f aca="false">"#"&amp;4&amp;"  "&amp;Calculator!$B$33&amp;"m"&amp;CHAR(10)&amp;"Best VSWR"</f>
        <v>#4  18,5m
Best VSWR</v>
      </c>
      <c r="K19" s="73" t="str">
        <f aca="false">"#"&amp;5&amp;"  "&amp;Calculator!$B$34&amp;"m"&amp;CHAR(10)&amp;"Best VSWR"</f>
        <v>#5  39m
Best VSWR</v>
      </c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</row>
    <row r="20" customFormat="false" ht="15" hidden="false" customHeight="false" outlineLevel="0" collapsed="false">
      <c r="A20" s="74" t="str">
        <f aca="false">IF(Calculator!$E$11="YES","★ "&amp;"160m","160m")</f>
        <v>160m</v>
      </c>
      <c r="B20" s="74" t="str">
        <f aca="false">IFERROR(INDEX(A36:A101,MATCH(MIN(D36:D101),D36:D101,0)),"")</f>
        <v/>
      </c>
      <c r="C20" s="74" t="str">
        <f aca="false">IFERROR(INDEX(A36:A101,MATCH(MIN(P36:P101),P36:P101,0)),"")</f>
        <v/>
      </c>
      <c r="D20" s="74" t="str">
        <f aca="false">IFERROR(INDEX(A36:A101,MATCH(MIN(AB36:AB101),AB36:AB101,0)),"")</f>
        <v/>
      </c>
      <c r="E20" s="74" t="str">
        <f aca="false">IFERROR(INDEX(A36:A101,MATCH(MIN(AN36:AN101),AN36:AN101,0)),"")</f>
        <v/>
      </c>
      <c r="F20" s="74" t="str">
        <f aca="false">IFERROR(INDEX(A36:A101,MATCH(MIN(AZ36:AZ101),AZ36:AZ101,0)),"")</f>
        <v/>
      </c>
      <c r="G20" s="74" t="n">
        <f aca="false">IFERROR(ROUND(MIN(D36:D101),2),"")</f>
        <v>0</v>
      </c>
      <c r="H20" s="74" t="n">
        <f aca="false">IFERROR(ROUND(MIN(P36:P101),2),"")</f>
        <v>0</v>
      </c>
      <c r="I20" s="74" t="n">
        <f aca="false">IFERROR(ROUND(MIN(AB36:AB101),2),"")</f>
        <v>0</v>
      </c>
      <c r="J20" s="74" t="n">
        <f aca="false">IFERROR(ROUND(MIN(AN36:AN101),2),"")</f>
        <v>0</v>
      </c>
      <c r="K20" s="74" t="n">
        <f aca="false">IFERROR(ROUND(MIN(AZ36:AZ101),2),"")</f>
        <v>0</v>
      </c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</row>
    <row r="21" customFormat="false" ht="15" hidden="false" customHeight="false" outlineLevel="0" collapsed="false">
      <c r="A21" s="74" t="str">
        <f aca="false">IF(Calculator!$E$12="YES","★ "&amp;"80m","80m")</f>
        <v>80m</v>
      </c>
      <c r="B21" s="74" t="str">
        <f aca="false">IFERROR(INDEX(A36:A101,MATCH(MIN(E36:E101),E36:E101,0)),"")</f>
        <v/>
      </c>
      <c r="C21" s="74" t="str">
        <f aca="false">IFERROR(INDEX(A36:A101,MATCH(MIN(Q36:Q101),Q36:Q101,0)),"")</f>
        <v/>
      </c>
      <c r="D21" s="74" t="str">
        <f aca="false">IFERROR(INDEX(A36:A101,MATCH(MIN(AC36:AC101),AC36:AC101,0)),"")</f>
        <v/>
      </c>
      <c r="E21" s="74" t="str">
        <f aca="false">IFERROR(INDEX(A36:A101,MATCH(MIN(AO36:AO101),AO36:AO101,0)),"")</f>
        <v/>
      </c>
      <c r="F21" s="74" t="str">
        <f aca="false">IFERROR(INDEX(A36:A101,MATCH(MIN(BA36:BA101),BA36:BA101,0)),"")</f>
        <v/>
      </c>
      <c r="G21" s="74" t="n">
        <f aca="false">IFERROR(ROUND(MIN(E36:E101),2),"")</f>
        <v>0</v>
      </c>
      <c r="H21" s="74" t="n">
        <f aca="false">IFERROR(ROUND(MIN(Q36:Q101),2),"")</f>
        <v>0</v>
      </c>
      <c r="I21" s="74" t="n">
        <f aca="false">IFERROR(ROUND(MIN(AC36:AC101),2),"")</f>
        <v>0</v>
      </c>
      <c r="J21" s="74" t="n">
        <f aca="false">IFERROR(ROUND(MIN(AO36:AO101),2),"")</f>
        <v>0</v>
      </c>
      <c r="K21" s="74" t="n">
        <f aca="false">IFERROR(ROUND(MIN(BA36:BA101),2),"")</f>
        <v>0</v>
      </c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</row>
    <row r="22" customFormat="false" ht="15" hidden="false" customHeight="false" outlineLevel="0" collapsed="false">
      <c r="A22" s="74" t="str">
        <f aca="false">IF(Calculator!$E$13="YES","★ "&amp;"60m","60m")</f>
        <v>60m</v>
      </c>
      <c r="B22" s="74" t="str">
        <f aca="false">IFERROR(INDEX(A36:A101,MATCH(MIN(F36:F101),F36:F101,0)),"")</f>
        <v/>
      </c>
      <c r="C22" s="74" t="str">
        <f aca="false">IFERROR(INDEX(A36:A101,MATCH(MIN(R36:R101),R36:R101,0)),"")</f>
        <v/>
      </c>
      <c r="D22" s="74" t="str">
        <f aca="false">IFERROR(INDEX(A36:A101,MATCH(MIN(AD36:AD101),AD36:AD101,0)),"")</f>
        <v/>
      </c>
      <c r="E22" s="74" t="str">
        <f aca="false">IFERROR(INDEX(A36:A101,MATCH(MIN(AP36:AP101),AP36:AP101,0)),"")</f>
        <v/>
      </c>
      <c r="F22" s="74" t="str">
        <f aca="false">IFERROR(INDEX(A36:A101,MATCH(MIN(BB36:BB101),BB36:BB101,0)),"")</f>
        <v/>
      </c>
      <c r="G22" s="74" t="n">
        <f aca="false">IFERROR(ROUND(MIN(F36:F101),2),"")</f>
        <v>0</v>
      </c>
      <c r="H22" s="74" t="n">
        <f aca="false">IFERROR(ROUND(MIN(R36:R101),2),"")</f>
        <v>0</v>
      </c>
      <c r="I22" s="74" t="n">
        <f aca="false">IFERROR(ROUND(MIN(AD36:AD101),2),"")</f>
        <v>0</v>
      </c>
      <c r="J22" s="74" t="n">
        <f aca="false">IFERROR(ROUND(MIN(AP36:AP101),2),"")</f>
        <v>0</v>
      </c>
      <c r="K22" s="74" t="n">
        <f aca="false">IFERROR(ROUND(MIN(BB36:BB101),2),"")</f>
        <v>0</v>
      </c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</row>
    <row r="23" customFormat="false" ht="15" hidden="false" customHeight="false" outlineLevel="0" collapsed="false">
      <c r="A23" s="74" t="str">
        <f aca="false">IF(Calculator!$E$14="YES","★ "&amp;"40m","40m")</f>
        <v>★ 40m</v>
      </c>
      <c r="B23" s="74" t="str">
        <f aca="false">IFERROR(INDEX(A36:A101,MATCH(MIN(G36:G101),G36:G101,0)),"")</f>
        <v>4:1★</v>
      </c>
      <c r="C23" s="74" t="str">
        <f aca="false">IFERROR(INDEX(A36:A101,MATCH(MIN(S36:S101),S36:S101,0)),"")</f>
        <v>4:1★</v>
      </c>
      <c r="D23" s="74" t="str">
        <f aca="false">IFERROR(INDEX(A36:A101,MATCH(MIN(AE36:AE101),AE36:AE101,0)),"")</f>
        <v>4:1★</v>
      </c>
      <c r="E23" s="74" t="str">
        <f aca="false">IFERROR(INDEX(A36:A101,MATCH(MIN(AQ36:AQ101),AQ36:AQ101,0)),"")</f>
        <v>54:1</v>
      </c>
      <c r="F23" s="74" t="str">
        <f aca="false">IFERROR(INDEX(A36:A101,MATCH(MIN(BC36:BC101),BC36:BC101,0)),"")</f>
        <v>55:1</v>
      </c>
      <c r="G23" s="74" t="n">
        <f aca="false">IFERROR(ROUND(MIN(G36:G101),2),"")</f>
        <v>1.81</v>
      </c>
      <c r="H23" s="74" t="n">
        <f aca="false">IFERROR(ROUND(MIN(S36:S101),2),"")</f>
        <v>1.85</v>
      </c>
      <c r="I23" s="74" t="n">
        <f aca="false">IFERROR(ROUND(MIN(AE36:AE101),2),"")</f>
        <v>1.17</v>
      </c>
      <c r="J23" s="74" t="n">
        <f aca="false">IFERROR(ROUND(MIN(AQ36:AQ101),2),"")</f>
        <v>1.01</v>
      </c>
      <c r="K23" s="74" t="n">
        <f aca="false">IFERROR(ROUND(MIN(BC36:BC101),2),"")</f>
        <v>1.01</v>
      </c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</row>
    <row r="24" customFormat="false" ht="15" hidden="false" customHeight="false" outlineLevel="0" collapsed="false">
      <c r="A24" s="74" t="str">
        <f aca="false">IF(Calculator!$E$15="YES","★ "&amp;"30m","30m")</f>
        <v>★ 30m</v>
      </c>
      <c r="B24" s="74" t="str">
        <f aca="false">IFERROR(INDEX(A36:A101,MATCH(MIN(H36:H101),H36:H101,0)),"")</f>
        <v>8:1</v>
      </c>
      <c r="C24" s="74" t="str">
        <f aca="false">IFERROR(INDEX(A36:A101,MATCH(MIN(T36:T101),T36:T101,0)),"")</f>
        <v>4:1★</v>
      </c>
      <c r="D24" s="74" t="str">
        <f aca="false">IFERROR(INDEX(A36:A101,MATCH(MIN(AF36:AF101),AF36:AF101,0)),"")</f>
        <v>5:1</v>
      </c>
      <c r="E24" s="74" t="str">
        <f aca="false">IFERROR(INDEX(A36:A101,MATCH(MIN(AR36:AR101),AR36:AR101,0)),"")</f>
        <v>6:1</v>
      </c>
      <c r="F24" s="74" t="str">
        <f aca="false">IFERROR(INDEX(A36:A101,MATCH(MIN(BD36:BD101),BD36:BD101,0)),"")</f>
        <v>5:1</v>
      </c>
      <c r="G24" s="74" t="n">
        <f aca="false">IFERROR(ROUND(MIN(H36:H101),2),"")</f>
        <v>1.05</v>
      </c>
      <c r="H24" s="74" t="n">
        <f aca="false">IFERROR(ROUND(MIN(T36:T101),2),"")</f>
        <v>1.13</v>
      </c>
      <c r="I24" s="74" t="n">
        <f aca="false">IFERROR(ROUND(MIN(AF36:AF101),2),"")</f>
        <v>1.06</v>
      </c>
      <c r="J24" s="74" t="n">
        <f aca="false">IFERROR(ROUND(MIN(AR36:AR101),2),"")</f>
        <v>1.02</v>
      </c>
      <c r="K24" s="74" t="n">
        <f aca="false">IFERROR(ROUND(MIN(BD36:BD101),2),"")</f>
        <v>1.1</v>
      </c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</row>
    <row r="25" customFormat="false" ht="15" hidden="false" customHeight="false" outlineLevel="0" collapsed="false">
      <c r="A25" s="74" t="str">
        <f aca="false">IF(Calculator!$E$16="YES","★ "&amp;"20m","20m")</f>
        <v>★ 20m</v>
      </c>
      <c r="B25" s="74" t="str">
        <f aca="false">IFERROR(INDEX(A36:A101,MATCH(MIN(I36:I101),I36:I101,0)),"")</f>
        <v>11:1</v>
      </c>
      <c r="C25" s="74" t="str">
        <f aca="false">IFERROR(INDEX(A36:A101,MATCH(MIN(U36:U101),U36:U101,0)),"")</f>
        <v>9:1★</v>
      </c>
      <c r="D25" s="74" t="str">
        <f aca="false">IFERROR(INDEX(A36:A101,MATCH(MIN(AG36:AG101),AG36:AG101,0)),"")</f>
        <v>4:1★</v>
      </c>
      <c r="E25" s="74" t="str">
        <f aca="false">IFERROR(INDEX(A36:A101,MATCH(MIN(AS36:AS101),AS36:AS101,0)),"")</f>
        <v>16:1★</v>
      </c>
      <c r="F25" s="74" t="str">
        <f aca="false">IFERROR(INDEX(A36:A101,MATCH(MIN(BE36:BE101),BE36:BE101,0)),"")</f>
        <v>13:1</v>
      </c>
      <c r="G25" s="74" t="n">
        <f aca="false">IFERROR(ROUND(MIN(I36:I101),2),"")</f>
        <v>1.02</v>
      </c>
      <c r="H25" s="74" t="n">
        <f aca="false">IFERROR(ROUND(MIN(U36:U101),2),"")</f>
        <v>1.04</v>
      </c>
      <c r="I25" s="74" t="n">
        <f aca="false">IFERROR(ROUND(MIN(AG36:AG101),2),"")</f>
        <v>2.55</v>
      </c>
      <c r="J25" s="74" t="n">
        <f aca="false">IFERROR(ROUND(MIN(AS36:AS101),2),"")</f>
        <v>1</v>
      </c>
      <c r="K25" s="74" t="n">
        <f aca="false">IFERROR(ROUND(MIN(BE36:BE101),2),"")</f>
        <v>1.04</v>
      </c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</row>
    <row r="26" customFormat="false" ht="15" hidden="false" customHeight="false" outlineLevel="0" collapsed="false">
      <c r="A26" s="74" t="str">
        <f aca="false">IF(Calculator!$E$17="YES","★ "&amp;"17m","17m")</f>
        <v>★ 17m</v>
      </c>
      <c r="B26" s="74" t="str">
        <f aca="false">IFERROR(INDEX(A36:A101,MATCH(MIN(J36:J101),J36:J101,0)),"")</f>
        <v>4:1★</v>
      </c>
      <c r="C26" s="77" t="str">
        <f aca="false">IFERROR(INDEX(A36:A101,MATCH(MIN(V36:V101),V36:V101,0)),"")</f>
        <v>32:1</v>
      </c>
      <c r="D26" s="78" t="str">
        <f aca="false">IFERROR(INDEX(A36:A101,MATCH(MIN(AH36:AH101),AH36:AH101,0)),"")</f>
        <v>46:1</v>
      </c>
      <c r="E26" s="78" t="str">
        <f aca="false">IFERROR(INDEX(A36:A101,MATCH(MIN(AT36:AT101),AT36:AT101,0)),"")</f>
        <v>5:1</v>
      </c>
      <c r="F26" s="78" t="str">
        <f aca="false">IFERROR(INDEX(A36:A101,MATCH(MIN(BF36:BF101),BF36:BF101,0)),"")</f>
        <v>26:1</v>
      </c>
      <c r="G26" s="78" t="n">
        <f aca="false">IFERROR(ROUND(MIN(J36:J101),2),"")</f>
        <v>1.01</v>
      </c>
      <c r="H26" s="78" t="n">
        <f aca="false">IFERROR(ROUND(MIN(V36:V101),2),"")</f>
        <v>1.01</v>
      </c>
      <c r="I26" s="78" t="n">
        <f aca="false">IFERROR(ROUND(MIN(AH36:AH101),2),"")</f>
        <v>1</v>
      </c>
      <c r="J26" s="78" t="n">
        <f aca="false">IFERROR(ROUND(MIN(AT36:AT101),2),"")</f>
        <v>1.01</v>
      </c>
      <c r="K26" s="78" t="n">
        <f aca="false">IFERROR(ROUND(MIN(BF36:BF101),2),"")</f>
        <v>1.01</v>
      </c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</row>
    <row r="27" customFormat="false" ht="15" hidden="false" customHeight="false" outlineLevel="0" collapsed="false">
      <c r="A27" s="74" t="str">
        <f aca="false">IF(Calculator!$E$18="YES","★ "&amp;"15m","15m")</f>
        <v>★ 15m</v>
      </c>
      <c r="B27" s="74" t="str">
        <f aca="false">IFERROR(INDEX(A36:A101,MATCH(MIN(K36:K101),K36:K101,0)),"")</f>
        <v>28:1</v>
      </c>
      <c r="C27" s="77" t="str">
        <f aca="false">IFERROR(INDEX(A36:A101,MATCH(MIN(W36:W101),W36:W101,0)),"")</f>
        <v>37:1</v>
      </c>
      <c r="D27" s="78" t="str">
        <f aca="false">IFERROR(INDEX(A36:A101,MATCH(MIN(AI36:AI101),AI36:AI101,0)),"")</f>
        <v>50:1</v>
      </c>
      <c r="E27" s="78" t="str">
        <f aca="false">IFERROR(INDEX(A36:A101,MATCH(MIN(AU36:AU101),AU36:AU101,0)),"")</f>
        <v>4:1★</v>
      </c>
      <c r="F27" s="78" t="str">
        <f aca="false">IFERROR(INDEX(A36:A101,MATCH(MIN(BG36:BG101),BG36:BG101,0)),"")</f>
        <v>4:1★</v>
      </c>
      <c r="G27" s="78" t="n">
        <f aca="false">IFERROR(ROUND(MIN(K36:K101),2),"")</f>
        <v>1</v>
      </c>
      <c r="H27" s="78" t="n">
        <f aca="false">IFERROR(ROUND(MIN(W36:W101),2),"")</f>
        <v>1</v>
      </c>
      <c r="I27" s="78" t="n">
        <f aca="false">IFERROR(ROUND(MIN(AI36:AI101),2),"")</f>
        <v>1</v>
      </c>
      <c r="J27" s="78" t="n">
        <f aca="false">IFERROR(ROUND(MIN(AU36:AU101),2),"")</f>
        <v>1.07</v>
      </c>
      <c r="K27" s="78" t="n">
        <f aca="false">IFERROR(ROUND(MIN(BG36:BG101),2),"")</f>
        <v>1.45</v>
      </c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</row>
    <row r="28" customFormat="false" ht="15" hidden="false" customHeight="false" outlineLevel="0" collapsed="false">
      <c r="A28" s="74" t="str">
        <f aca="false">IF(Calculator!$E$19="YES","★ "&amp;"12m","12m")</f>
        <v>★ 12m</v>
      </c>
      <c r="B28" s="74" t="str">
        <f aca="false">IFERROR(INDEX(A36:A101,MATCH(MIN(L36:L101),L36:L101,0)),"")</f>
        <v>16:1★</v>
      </c>
      <c r="C28" s="77" t="str">
        <f aca="false">IFERROR(INDEX(A36:A101,MATCH(MIN(X36:X101),X36:X101,0)),"")</f>
        <v>5:1</v>
      </c>
      <c r="D28" s="78" t="str">
        <f aca="false">IFERROR(INDEX(A36:A101,MATCH(MIN(AJ36:AJ101),AJ36:AJ101,0)),"")</f>
        <v>52:1</v>
      </c>
      <c r="E28" s="78" t="str">
        <f aca="false">IFERROR(INDEX(A36:A101,MATCH(MIN(AV36:AV101),AV36:AV101,0)),"")</f>
        <v>31:1</v>
      </c>
      <c r="F28" s="78" t="str">
        <f aca="false">IFERROR(INDEX(A36:A101,MATCH(MIN(BH36:BH101),BH36:BH101,0)),"")</f>
        <v>4:1★</v>
      </c>
      <c r="G28" s="78" t="n">
        <f aca="false">IFERROR(ROUND(MIN(L36:L101),2),"")</f>
        <v>1.02</v>
      </c>
      <c r="H28" s="78" t="n">
        <f aca="false">IFERROR(ROUND(MIN(X36:X101),2),"")</f>
        <v>1.08</v>
      </c>
      <c r="I28" s="78" t="n">
        <f aca="false">IFERROR(ROUND(MIN(AJ36:AJ101),2),"")</f>
        <v>1.01</v>
      </c>
      <c r="J28" s="78" t="n">
        <f aca="false">IFERROR(ROUND(MIN(AV36:AV101),2),"")</f>
        <v>1.01</v>
      </c>
      <c r="K28" s="78" t="n">
        <f aca="false">IFERROR(ROUND(MIN(BH36:BH101),2),"")</f>
        <v>1.61</v>
      </c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</row>
    <row r="29" customFormat="false" ht="15" hidden="false" customHeight="false" outlineLevel="0" collapsed="false">
      <c r="A29" s="74" t="str">
        <f aca="false">IF(Calculator!$E$20="YES","★ "&amp;"10m","10m")</f>
        <v>★ 10m</v>
      </c>
      <c r="B29" s="74" t="str">
        <f aca="false">IFERROR(INDEX(A36:A101,MATCH(MIN(M36:M101),M36:M101,0)),"")</f>
        <v>4:1★</v>
      </c>
      <c r="C29" s="77" t="str">
        <f aca="false">IFERROR(INDEX(A36:A101,MATCH(MIN(Y36:Y101),Y36:Y101,0)),"")</f>
        <v>4:1★</v>
      </c>
      <c r="D29" s="78" t="str">
        <f aca="false">IFERROR(INDEX(A36:A101,MATCH(MIN(AK36:AK101),AK36:AK101,0)),"")</f>
        <v>4:1★</v>
      </c>
      <c r="E29" s="78" t="str">
        <f aca="false">IFERROR(INDEX(A36:A101,MATCH(MIN(AW36:AW101),AW36:AW101,0)),"")</f>
        <v>4:1★</v>
      </c>
      <c r="F29" s="78" t="str">
        <f aca="false">IFERROR(INDEX(A36:A101,MATCH(MIN(BI36:BI101),BI36:BI101,0)),"")</f>
        <v>4:1★</v>
      </c>
      <c r="G29" s="78" t="n">
        <f aca="false">IFERROR(ROUND(MIN(M36:M101),2),"")</f>
        <v>1.58</v>
      </c>
      <c r="H29" s="78" t="n">
        <f aca="false">IFERROR(ROUND(MIN(Y36:Y101),2),"")</f>
        <v>2.45</v>
      </c>
      <c r="I29" s="78" t="n">
        <f aca="false">IFERROR(ROUND(MIN(AK36:AK101),2),"")</f>
        <v>2.01</v>
      </c>
      <c r="J29" s="78" t="n">
        <f aca="false">IFERROR(ROUND(MIN(AW36:AW101),2),"")</f>
        <v>1.63</v>
      </c>
      <c r="K29" s="78" t="n">
        <f aca="false">IFERROR(ROUND(MIN(BI36:BI101),2),"")</f>
        <v>1.04</v>
      </c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</row>
    <row r="30" customFormat="false" ht="15" hidden="false" customHeight="false" outlineLevel="0" collapsed="false">
      <c r="A30" s="74" t="str">
        <f aca="false">IF(Calculator!$E$21="YES","★ "&amp;"6m","6m")</f>
        <v>6m</v>
      </c>
      <c r="B30" s="74" t="str">
        <f aca="false">IFERROR(INDEX(A36:A101,MATCH(MIN(N36:N101),N36:N101,0)),"")</f>
        <v/>
      </c>
      <c r="C30" s="77" t="str">
        <f aca="false">IFERROR(INDEX(A36:A101,MATCH(MIN(Z36:Z101),Z36:Z101,0)),"")</f>
        <v/>
      </c>
      <c r="D30" s="78" t="str">
        <f aca="false">IFERROR(INDEX(A36:A101,MATCH(MIN(AL36:AL101),AL36:AL101,0)),"")</f>
        <v/>
      </c>
      <c r="E30" s="78" t="str">
        <f aca="false">IFERROR(INDEX(A36:A101,MATCH(MIN(AX36:AX101),AX36:AX101,0)),"")</f>
        <v/>
      </c>
      <c r="F30" s="78" t="str">
        <f aca="false">IFERROR(INDEX(A36:A101,MATCH(MIN(BJ36:BJ101),BJ36:BJ101,0)),"")</f>
        <v/>
      </c>
      <c r="G30" s="78" t="n">
        <f aca="false">IFERROR(ROUND(MIN(N36:N101),2),"")</f>
        <v>0</v>
      </c>
      <c r="H30" s="78" t="n">
        <f aca="false">IFERROR(ROUND(MIN(Z36:Z101),2),"")</f>
        <v>0</v>
      </c>
      <c r="I30" s="78" t="n">
        <f aca="false">IFERROR(ROUND(MIN(AL36:AL101),2),"")</f>
        <v>0</v>
      </c>
      <c r="J30" s="78" t="n">
        <f aca="false">IFERROR(ROUND(MIN(AX36:AX101),2),"")</f>
        <v>0</v>
      </c>
      <c r="K30" s="78" t="n">
        <f aca="false">IFERROR(ROUND(MIN(BJ36:BJ101),2),"")</f>
        <v>0</v>
      </c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</row>
    <row r="31" customFormat="false" ht="15" hidden="false" customHeight="false" outlineLevel="0" collapsed="false">
      <c r="A31" s="71"/>
      <c r="B31" s="71"/>
      <c r="C31" s="80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</row>
    <row r="32" customFormat="false" ht="15" hidden="false" customHeight="true" outlineLevel="0" collapsed="false">
      <c r="A32" s="81" t="s">
        <v>75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</row>
    <row r="33" customFormat="false" ht="15" hidden="false" customHeight="true" outlineLevel="0" collapsed="false">
      <c r="A33" s="70" t="s">
        <v>76</v>
      </c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</row>
    <row r="34" customFormat="false" ht="39.55" hidden="false" customHeight="false" outlineLevel="0" collapsed="false">
      <c r="A34" s="82" t="s">
        <v>77</v>
      </c>
      <c r="B34" s="82" t="s">
        <v>78</v>
      </c>
      <c r="C34" s="83" t="s">
        <v>79</v>
      </c>
      <c r="D34" s="84" t="str">
        <f aca="false">"Antenna #"&amp;1&amp;" — "&amp;Calculator!$B$30&amp;" m  "&amp;Calculator!$H$30</f>
        <v>Antenna #1 — 54 m  Long wire – max performance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5" t="str">
        <f aca="false">"Antenna #"&amp;2&amp;" — "&amp;Calculator!$B$31&amp;" m  "&amp;Calculator!$H$31</f>
        <v>Antenna #2 — 33,5 m  Excellent home station</v>
      </c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6" t="str">
        <f aca="false">"Antenna #"&amp;3&amp;" — "&amp;Calculator!$B$32&amp;" m  "&amp;Calculator!$H$32</f>
        <v>Antenna #3 — 47,5 m  Long wire – max performance</v>
      </c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7" t="str">
        <f aca="false">"Antenna #"&amp;4&amp;" — "&amp;Calculator!$B$33&amp;" m  "&amp;Calculator!$H$33</f>
        <v>Antenna #4 — 18,5 m  Good portable/home</v>
      </c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8" t="str">
        <f aca="false">"Antenna #"&amp;5&amp;" — "&amp;Calculator!$B$34&amp;" m  "&amp;Calculator!$H$34</f>
        <v>Antenna #5 — 39 m  Excellent home station</v>
      </c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</row>
    <row r="35" customFormat="false" ht="22.35" hidden="false" customHeight="false" outlineLevel="0" collapsed="false">
      <c r="A35" s="74"/>
      <c r="B35" s="74" t="s">
        <v>80</v>
      </c>
      <c r="C35" s="77" t="s">
        <v>81</v>
      </c>
      <c r="D35" s="89" t="s">
        <v>17</v>
      </c>
      <c r="E35" s="89" t="s">
        <v>19</v>
      </c>
      <c r="F35" s="89" t="s">
        <v>20</v>
      </c>
      <c r="G35" s="89" t="s">
        <v>21</v>
      </c>
      <c r="H35" s="89" t="s">
        <v>23</v>
      </c>
      <c r="I35" s="89" t="s">
        <v>24</v>
      </c>
      <c r="J35" s="89" t="s">
        <v>25</v>
      </c>
      <c r="K35" s="89" t="s">
        <v>26</v>
      </c>
      <c r="L35" s="89" t="s">
        <v>27</v>
      </c>
      <c r="M35" s="89" t="s">
        <v>28</v>
      </c>
      <c r="N35" s="89" t="s">
        <v>29</v>
      </c>
      <c r="O35" s="90" t="s">
        <v>82</v>
      </c>
      <c r="P35" s="89" t="s">
        <v>17</v>
      </c>
      <c r="Q35" s="89" t="s">
        <v>19</v>
      </c>
      <c r="R35" s="89" t="s">
        <v>20</v>
      </c>
      <c r="S35" s="89" t="s">
        <v>21</v>
      </c>
      <c r="T35" s="89" t="s">
        <v>23</v>
      </c>
      <c r="U35" s="89" t="s">
        <v>24</v>
      </c>
      <c r="V35" s="89" t="s">
        <v>25</v>
      </c>
      <c r="W35" s="89" t="s">
        <v>26</v>
      </c>
      <c r="X35" s="89" t="s">
        <v>27</v>
      </c>
      <c r="Y35" s="89" t="s">
        <v>28</v>
      </c>
      <c r="Z35" s="89" t="s">
        <v>29</v>
      </c>
      <c r="AA35" s="90" t="s">
        <v>82</v>
      </c>
      <c r="AB35" s="89" t="s">
        <v>17</v>
      </c>
      <c r="AC35" s="89" t="s">
        <v>19</v>
      </c>
      <c r="AD35" s="89" t="s">
        <v>20</v>
      </c>
      <c r="AE35" s="89" t="s">
        <v>21</v>
      </c>
      <c r="AF35" s="89" t="s">
        <v>23</v>
      </c>
      <c r="AG35" s="89" t="s">
        <v>24</v>
      </c>
      <c r="AH35" s="89" t="s">
        <v>25</v>
      </c>
      <c r="AI35" s="89" t="s">
        <v>26</v>
      </c>
      <c r="AJ35" s="89" t="s">
        <v>27</v>
      </c>
      <c r="AK35" s="89" t="s">
        <v>28</v>
      </c>
      <c r="AL35" s="89" t="s">
        <v>29</v>
      </c>
      <c r="AM35" s="91" t="s">
        <v>82</v>
      </c>
      <c r="AN35" s="92" t="s">
        <v>17</v>
      </c>
      <c r="AO35" s="92" t="s">
        <v>19</v>
      </c>
      <c r="AP35" s="92" t="s">
        <v>20</v>
      </c>
      <c r="AQ35" s="92" t="s">
        <v>21</v>
      </c>
      <c r="AR35" s="92" t="s">
        <v>23</v>
      </c>
      <c r="AS35" s="92" t="s">
        <v>24</v>
      </c>
      <c r="AT35" s="92" t="s">
        <v>25</v>
      </c>
      <c r="AU35" s="92" t="s">
        <v>26</v>
      </c>
      <c r="AV35" s="92" t="s">
        <v>27</v>
      </c>
      <c r="AW35" s="92" t="s">
        <v>28</v>
      </c>
      <c r="AX35" s="92" t="s">
        <v>29</v>
      </c>
      <c r="AY35" s="91" t="s">
        <v>82</v>
      </c>
      <c r="AZ35" s="92" t="s">
        <v>17</v>
      </c>
      <c r="BA35" s="92" t="s">
        <v>19</v>
      </c>
      <c r="BB35" s="92" t="s">
        <v>20</v>
      </c>
      <c r="BC35" s="92" t="s">
        <v>21</v>
      </c>
      <c r="BD35" s="92" t="s">
        <v>23</v>
      </c>
      <c r="BE35" s="92" t="s">
        <v>24</v>
      </c>
      <c r="BF35" s="92" t="s">
        <v>25</v>
      </c>
      <c r="BG35" s="92" t="s">
        <v>26</v>
      </c>
      <c r="BH35" s="92" t="s">
        <v>27</v>
      </c>
      <c r="BI35" s="92" t="s">
        <v>28</v>
      </c>
      <c r="BJ35" s="92" t="s">
        <v>29</v>
      </c>
      <c r="BK35" s="91" t="s">
        <v>82</v>
      </c>
    </row>
    <row r="36" customFormat="false" ht="15" hidden="false" customHeight="false" outlineLevel="0" collapsed="false">
      <c r="A36" s="93" t="s">
        <v>83</v>
      </c>
      <c r="B36" s="94" t="s">
        <v>84</v>
      </c>
      <c r="C36" s="95" t="n">
        <v>200</v>
      </c>
      <c r="D36" s="96" t="str">
        <f aca="false">IF(OR(Calculator!$E$11&lt;&gt;"YES",Calculator!$B$30&lt;Calculator!$G$11),"—",ROUND(MAX((50*POWER(80,POWER(COS(PI()*MOD(Calculator!$B$30/Calculator!$F$11,1)),2)))/$C36,$C36/(50*POWER(80,POWER(COS(PI()*MOD(Calculator!$B$30/Calculator!$F$11,1)),2)))),2))</f>
        <v>—</v>
      </c>
      <c r="E36" s="96" t="str">
        <f aca="false">IF(OR(Calculator!$E$12&lt;&gt;"YES",Calculator!$B$30&lt;Calculator!$G$12),"—",ROUND(MAX((50*POWER(80,POWER(COS(PI()*MOD(Calculator!$B$30/Calculator!$F$12,1)),2)))/$C36,$C36/(50*POWER(80,POWER(COS(PI()*MOD(Calculator!$B$30/Calculator!$F$12,1)),2)))),2))</f>
        <v>—</v>
      </c>
      <c r="F36" s="96" t="str">
        <f aca="false">IF(OR(Calculator!$E$13&lt;&gt;"YES",Calculator!$B$30&lt;Calculator!$G$13),"—",ROUND(MAX((50*POWER(80,POWER(COS(PI()*MOD(Calculator!$B$30/Calculator!$F$13,1)),2)))/$C36,$C36/(50*POWER(80,POWER(COS(PI()*MOD(Calculator!$B$30/Calculator!$F$13,1)),2)))),2))</f>
        <v>—</v>
      </c>
      <c r="G36" s="96" t="n">
        <f aca="false">IF(OR(Calculator!$E$14&lt;&gt;"YES",Calculator!$B$30&lt;Calculator!$G$14),"—",ROUND(MAX((50*POWER(80,POWER(COS(PI()*MOD(Calculator!$B$30/Calculator!$F$14,1)),2)))/$C36,$C36/(50*POWER(80,POWER(COS(PI()*MOD(Calculator!$B$30/Calculator!$F$14,1)),2)))),2))</f>
        <v>1.81</v>
      </c>
      <c r="H36" s="96" t="n">
        <f aca="false">IF(OR(Calculator!$E$15&lt;&gt;"YES",Calculator!$B$30&lt;Calculator!$G$15),"—",ROUND(MAX((50*POWER(80,POWER(COS(PI()*MOD(Calculator!$B$30/Calculator!$F$15,1)),2)))/$C36,$C36/(50*POWER(80,POWER(COS(PI()*MOD(Calculator!$B$30/Calculator!$F$15,1)),2)))),2))</f>
        <v>1.91</v>
      </c>
      <c r="I36" s="96" t="n">
        <f aca="false">IF(OR(Calculator!$E$16&lt;&gt;"YES",Calculator!$B$30&lt;Calculator!$G$16),"—",ROUND(MAX((50*POWER(80,POWER(COS(PI()*MOD(Calculator!$B$30/Calculator!$F$16,1)),2)))/$C36,$C36/(50*POWER(80,POWER(COS(PI()*MOD(Calculator!$B$30/Calculator!$F$16,1)),2)))),2))</f>
        <v>2.79</v>
      </c>
      <c r="J36" s="96" t="n">
        <f aca="false">IF(OR(Calculator!$E$17&lt;&gt;"YES",Calculator!$B$30&lt;Calculator!$G$17),"—",ROUND(MAX((50*POWER(80,POWER(COS(PI()*MOD(Calculator!$B$30/Calculator!$F$17,1)),2)))/$C36,$C36/(50*POWER(80,POWER(COS(PI()*MOD(Calculator!$B$30/Calculator!$F$17,1)),2)))),2))</f>
        <v>1.01</v>
      </c>
      <c r="K36" s="96" t="n">
        <f aca="false">IF(OR(Calculator!$E$18&lt;&gt;"YES",Calculator!$B$30&lt;Calculator!$G$18),"—",ROUND(MAX((50*POWER(80,POWER(COS(PI()*MOD(Calculator!$B$30/Calculator!$F$18,1)),2)))/$C36,$C36/(50*POWER(80,POWER(COS(PI()*MOD(Calculator!$B$30/Calculator!$F$18,1)),2)))),2))</f>
        <v>6.98</v>
      </c>
      <c r="L36" s="96" t="n">
        <f aca="false">IF(OR(Calculator!$E$19&lt;&gt;"YES",Calculator!$B$30&lt;Calculator!$G$19),"—",ROUND(MAX((50*POWER(80,POWER(COS(PI()*MOD(Calculator!$B$30/Calculator!$F$19,1)),2)))/$C36,$C36/(50*POWER(80,POWER(COS(PI()*MOD(Calculator!$B$30/Calculator!$F$19,1)),2)))),2))</f>
        <v>3.93</v>
      </c>
      <c r="M36" s="96" t="n">
        <f aca="false">IF(OR(Calculator!$E$20&lt;&gt;"YES",Calculator!$B$30&lt;Calculator!$G$20),"—",ROUND(MAX((50*POWER(80,POWER(COS(PI()*MOD(Calculator!$B$30/Calculator!$F$20,1)),2)))/$C36,$C36/(50*POWER(80,POWER(COS(PI()*MOD(Calculator!$B$30/Calculator!$F$20,1)),2)))),2))</f>
        <v>1.58</v>
      </c>
      <c r="N36" s="96" t="str">
        <f aca="false">IF(OR(Calculator!$E$21&lt;&gt;"YES",Calculator!$B$30&lt;Calculator!$G$21),"—",ROUND(MAX((50*POWER(80,POWER(COS(PI()*MOD(Calculator!$B$30/Calculator!$F$21,1)),2)))/$C36,$C36/(50*POWER(80,POWER(COS(PI()*MOD(Calculator!$B$30/Calculator!$F$21,1)),2)))),2))</f>
        <v>—</v>
      </c>
      <c r="O36" s="97" t="n">
        <f aca="false">IFERROR(ROUND((IF(ISNUMBER(D36),D36,0)+IF(ISNUMBER(E36),E36,0)+IF(ISNUMBER(F36),F36,0)+IF(ISNUMBER(G36),G36,0)+IF(ISNUMBER(H36),H36,0)+IF(ISNUMBER(I36),I36,0)+IF(ISNUMBER(J36),J36,0)+IF(ISNUMBER(K36),K36,0)+IF(ISNUMBER(L36),L36,0)+IF(ISNUMBER(M36),M36,0)+IF(ISNUMBER(N36),N36,0))/(IF(ISNUMBER(D36),1,0)+IF(ISNUMBER(E36),1,0)+IF(ISNUMBER(F36),1,0)+IF(ISNUMBER(G36),1,0)+IF(ISNUMBER(H36),1,0)+IF(ISNUMBER(I36),1,0)+IF(ISNUMBER(J36),1,0)+IF(ISNUMBER(K36),1,0)+IF(ISNUMBER(L36),1,0)+IF(ISNUMBER(M36),1,0)+IF(ISNUMBER(N36),1,0)),2),"")</f>
        <v>2.86</v>
      </c>
      <c r="P36" s="96" t="str">
        <f aca="false">IF(OR(Calculator!$E$11&lt;&gt;"YES",Calculator!$B$31&lt;Calculator!$G$11),"—",ROUND(MAX((50*POWER(80,POWER(COS(PI()*MOD(Calculator!$B$31/Calculator!$F$11,1)),2)))/$C36,$C36/(50*POWER(80,POWER(COS(PI()*MOD(Calculator!$B$31/Calculator!$F$11,1)),2)))),2))</f>
        <v>—</v>
      </c>
      <c r="Q36" s="96" t="str">
        <f aca="false">IF(OR(Calculator!$E$12&lt;&gt;"YES",Calculator!$B$31&lt;Calculator!$G$12),"—",ROUND(MAX((50*POWER(80,POWER(COS(PI()*MOD(Calculator!$B$31/Calculator!$F$12,1)),2)))/$C36,$C36/(50*POWER(80,POWER(COS(PI()*MOD(Calculator!$B$31/Calculator!$F$12,1)),2)))),2))</f>
        <v>—</v>
      </c>
      <c r="R36" s="96" t="str">
        <f aca="false">IF(OR(Calculator!$E$13&lt;&gt;"YES",Calculator!$B$31&lt;Calculator!$G$13),"—",ROUND(MAX((50*POWER(80,POWER(COS(PI()*MOD(Calculator!$B$31/Calculator!$F$13,1)),2)))/$C36,$C36/(50*POWER(80,POWER(COS(PI()*MOD(Calculator!$B$31/Calculator!$F$13,1)),2)))),2))</f>
        <v>—</v>
      </c>
      <c r="S36" s="96" t="n">
        <f aca="false">IF(OR(Calculator!$E$14&lt;&gt;"YES",Calculator!$B$31&lt;Calculator!$G$14),"—",ROUND(MAX((50*POWER(80,POWER(COS(PI()*MOD(Calculator!$B$31/Calculator!$F$14,1)),2)))/$C36,$C36/(50*POWER(80,POWER(COS(PI()*MOD(Calculator!$B$31/Calculator!$F$14,1)),2)))),2))</f>
        <v>1.85</v>
      </c>
      <c r="T36" s="96" t="n">
        <f aca="false">IF(OR(Calculator!$E$15&lt;&gt;"YES",Calculator!$B$31&lt;Calculator!$G$15),"—",ROUND(MAX((50*POWER(80,POWER(COS(PI()*MOD(Calculator!$B$31/Calculator!$F$15,1)),2)))/$C36,$C36/(50*POWER(80,POWER(COS(PI()*MOD(Calculator!$B$31/Calculator!$F$15,1)),2)))),2))</f>
        <v>1.13</v>
      </c>
      <c r="U36" s="96" t="n">
        <f aca="false">IF(OR(Calculator!$E$16&lt;&gt;"YES",Calculator!$B$31&lt;Calculator!$G$16),"—",ROUND(MAX((50*POWER(80,POWER(COS(PI()*MOD(Calculator!$B$31/Calculator!$F$16,1)),2)))/$C36,$C36/(50*POWER(80,POWER(COS(PI()*MOD(Calculator!$B$31/Calculator!$F$16,1)),2)))),2))</f>
        <v>2.33</v>
      </c>
      <c r="V36" s="96" t="n">
        <f aca="false">IF(OR(Calculator!$E$17&lt;&gt;"YES",Calculator!$B$31&lt;Calculator!$G$17),"—",ROUND(MAX((50*POWER(80,POWER(COS(PI()*MOD(Calculator!$B$31/Calculator!$F$17,1)),2)))/$C36,$C36/(50*POWER(80,POWER(COS(PI()*MOD(Calculator!$B$31/Calculator!$F$17,1)),2)))),2))</f>
        <v>8.1</v>
      </c>
      <c r="W36" s="96" t="n">
        <f aca="false">IF(OR(Calculator!$E$18&lt;&gt;"YES",Calculator!$B$31&lt;Calculator!$G$18),"—",ROUND(MAX((50*POWER(80,POWER(COS(PI()*MOD(Calculator!$B$31/Calculator!$F$18,1)),2)))/$C36,$C36/(50*POWER(80,POWER(COS(PI()*MOD(Calculator!$B$31/Calculator!$F$18,1)),2)))),2))</f>
        <v>9.21</v>
      </c>
      <c r="X36" s="96" t="n">
        <f aca="false">IF(OR(Calculator!$E$19&lt;&gt;"YES",Calculator!$B$31&lt;Calculator!$G$19),"—",ROUND(MAX((50*POWER(80,POWER(COS(PI()*MOD(Calculator!$B$31/Calculator!$F$19,1)),2)))/$C36,$C36/(50*POWER(80,POWER(COS(PI()*MOD(Calculator!$B$31/Calculator!$F$19,1)),2)))),2))</f>
        <v>1.35</v>
      </c>
      <c r="Y36" s="96" t="n">
        <f aca="false">IF(OR(Calculator!$E$20&lt;&gt;"YES",Calculator!$B$31&lt;Calculator!$G$20),"—",ROUND(MAX((50*POWER(80,POWER(COS(PI()*MOD(Calculator!$B$31/Calculator!$F$20,1)),2)))/$C36,$C36/(50*POWER(80,POWER(COS(PI()*MOD(Calculator!$B$31/Calculator!$F$20,1)),2)))),2))</f>
        <v>2.45</v>
      </c>
      <c r="Z36" s="96" t="str">
        <f aca="false">IF(OR(Calculator!$E$21&lt;&gt;"YES",Calculator!$B$31&lt;Calculator!$G$21),"—",ROUND(MAX((50*POWER(80,POWER(COS(PI()*MOD(Calculator!$B$31/Calculator!$F$21,1)),2)))/$C36,$C36/(50*POWER(80,POWER(COS(PI()*MOD(Calculator!$B$31/Calculator!$F$21,1)),2)))),2))</f>
        <v>—</v>
      </c>
      <c r="AA36" s="97" t="n">
        <f aca="false">IFERROR(ROUND((IF(ISNUMBER(P36),P36,0)+IF(ISNUMBER(Q36),Q36,0)+IF(ISNUMBER(R36),R36,0)+IF(ISNUMBER(S36),S36,0)+IF(ISNUMBER(T36),T36,0)+IF(ISNUMBER(U36),U36,0)+IF(ISNUMBER(V36),V36,0)+IF(ISNUMBER(W36),W36,0)+IF(ISNUMBER(X36),X36,0)+IF(ISNUMBER(Y36),Y36,0)+IF(ISNUMBER(Z36),Z36,0))/(IF(ISNUMBER(P36),1,0)+IF(ISNUMBER(Q36),1,0)+IF(ISNUMBER(R36),1,0)+IF(ISNUMBER(S36),1,0)+IF(ISNUMBER(T36),1,0)+IF(ISNUMBER(U36),1,0)+IF(ISNUMBER(V36),1,0)+IF(ISNUMBER(W36),1,0)+IF(ISNUMBER(X36),1,0)+IF(ISNUMBER(Y36),1,0)+IF(ISNUMBER(Z36),1,0)),2),"")</f>
        <v>3.77</v>
      </c>
      <c r="AB36" s="96" t="str">
        <f aca="false">IF(OR(Calculator!$E$11&lt;&gt;"YES",Calculator!$B$32&lt;Calculator!$G$11),"—",ROUND(MAX((50*POWER(80,POWER(COS(PI()*MOD(Calculator!$B$32/Calculator!$F$11,1)),2)))/$C36,$C36/(50*POWER(80,POWER(COS(PI()*MOD(Calculator!$B$32/Calculator!$F$11,1)),2)))),2))</f>
        <v>—</v>
      </c>
      <c r="AC36" s="96" t="str">
        <f aca="false">IF(OR(Calculator!$E$12&lt;&gt;"YES",Calculator!$B$32&lt;Calculator!$G$12),"—",ROUND(MAX((50*POWER(80,POWER(COS(PI()*MOD(Calculator!$B$32/Calculator!$F$12,1)),2)))/$C36,$C36/(50*POWER(80,POWER(COS(PI()*MOD(Calculator!$B$32/Calculator!$F$12,1)),2)))),2))</f>
        <v>—</v>
      </c>
      <c r="AD36" s="96" t="str">
        <f aca="false">IF(OR(Calculator!$E$13&lt;&gt;"YES",Calculator!$B$32&lt;Calculator!$G$13),"—",ROUND(MAX((50*POWER(80,POWER(COS(PI()*MOD(Calculator!$B$32/Calculator!$F$13,1)),2)))/$C36,$C36/(50*POWER(80,POWER(COS(PI()*MOD(Calculator!$B$32/Calculator!$F$13,1)),2)))),2))</f>
        <v>—</v>
      </c>
      <c r="AE36" s="96" t="n">
        <f aca="false">IF(OR(Calculator!$E$14&lt;&gt;"YES",Calculator!$B$32&lt;Calculator!$G$14),"—",ROUND(MAX((50*POWER(80,POWER(COS(PI()*MOD(Calculator!$B$32/Calculator!$F$14,1)),2)))/$C36,$C36/(50*POWER(80,POWER(COS(PI()*MOD(Calculator!$B$32/Calculator!$F$14,1)),2)))),2))</f>
        <v>1.17</v>
      </c>
      <c r="AF36" s="96" t="n">
        <f aca="false">IF(OR(Calculator!$E$15&lt;&gt;"YES",Calculator!$B$32&lt;Calculator!$G$15),"—",ROUND(MAX((50*POWER(80,POWER(COS(PI()*MOD(Calculator!$B$32/Calculator!$F$15,1)),2)))/$C36,$C36/(50*POWER(80,POWER(COS(PI()*MOD(Calculator!$B$32/Calculator!$F$15,1)),2)))),2))</f>
        <v>1.32</v>
      </c>
      <c r="AG36" s="96" t="n">
        <f aca="false">IF(OR(Calculator!$E$16&lt;&gt;"YES",Calculator!$B$32&lt;Calculator!$G$16),"—",ROUND(MAX((50*POWER(80,POWER(COS(PI()*MOD(Calculator!$B$32/Calculator!$F$16,1)),2)))/$C36,$C36/(50*POWER(80,POWER(COS(PI()*MOD(Calculator!$B$32/Calculator!$F$16,1)),2)))),2))</f>
        <v>2.55</v>
      </c>
      <c r="AH36" s="96" t="n">
        <f aca="false">IF(OR(Calculator!$E$17&lt;&gt;"YES",Calculator!$B$32&lt;Calculator!$G$17),"—",ROUND(MAX((50*POWER(80,POWER(COS(PI()*MOD(Calculator!$B$32/Calculator!$F$17,1)),2)))/$C36,$C36/(50*POWER(80,POWER(COS(PI()*MOD(Calculator!$B$32/Calculator!$F$17,1)),2)))),2))</f>
        <v>11.51</v>
      </c>
      <c r="AI36" s="96" t="n">
        <f aca="false">IF(OR(Calculator!$E$18&lt;&gt;"YES",Calculator!$B$32&lt;Calculator!$G$18),"—",ROUND(MAX((50*POWER(80,POWER(COS(PI()*MOD(Calculator!$B$32/Calculator!$F$18,1)),2)))/$C36,$C36/(50*POWER(80,POWER(COS(PI()*MOD(Calculator!$B$32/Calculator!$F$18,1)),2)))),2))</f>
        <v>12.48</v>
      </c>
      <c r="AJ36" s="96" t="n">
        <f aca="false">IF(OR(Calculator!$E$19&lt;&gt;"YES",Calculator!$B$32&lt;Calculator!$G$19),"—",ROUND(MAX((50*POWER(80,POWER(COS(PI()*MOD(Calculator!$B$32/Calculator!$F$19,1)),2)))/$C36,$C36/(50*POWER(80,POWER(COS(PI()*MOD(Calculator!$B$32/Calculator!$F$19,1)),2)))),2))</f>
        <v>13.14</v>
      </c>
      <c r="AK36" s="96" t="n">
        <f aca="false">IF(OR(Calculator!$E$20&lt;&gt;"YES",Calculator!$B$32&lt;Calculator!$G$20),"—",ROUND(MAX((50*POWER(80,POWER(COS(PI()*MOD(Calculator!$B$32/Calculator!$F$20,1)),2)))/$C36,$C36/(50*POWER(80,POWER(COS(PI()*MOD(Calculator!$B$32/Calculator!$F$20,1)),2)))),2))</f>
        <v>2.01</v>
      </c>
      <c r="AL36" s="96" t="str">
        <f aca="false">IF(OR(Calculator!$E$21&lt;&gt;"YES",Calculator!$B$32&lt;Calculator!$G$21),"—",ROUND(MAX((50*POWER(80,POWER(COS(PI()*MOD(Calculator!$B$32/Calculator!$F$21,1)),2)))/$C36,$C36/(50*POWER(80,POWER(COS(PI()*MOD(Calculator!$B$32/Calculator!$F$21,1)),2)))),2))</f>
        <v>—</v>
      </c>
      <c r="AM36" s="98" t="n">
        <f aca="false">IFERROR(ROUND((IF(ISNUMBER(AB36),AB36,0)+IF(ISNUMBER(AC36),AC36,0)+IF(ISNUMBER(AD36),AD36,0)+IF(ISNUMBER(AE36),AE36,0)+IF(ISNUMBER(AF36),AF36,0)+IF(ISNUMBER(AG36),AG36,0)+IF(ISNUMBER(AH36),AH36,0)+IF(ISNUMBER(AI36),AI36,0)+IF(ISNUMBER(AJ36),AJ36,0)+IF(ISNUMBER(AK36),AK36,0)+IF(ISNUMBER(AL36),AL36,0))/(IF(ISNUMBER(AB36),1,0)+IF(ISNUMBER(AC36),1,0)+IF(ISNUMBER(AD36),1,0)+IF(ISNUMBER(AE36),1,0)+IF(ISNUMBER(AF36),1,0)+IF(ISNUMBER(AG36),1,0)+IF(ISNUMBER(AH36),1,0)+IF(ISNUMBER(AI36),1,0)+IF(ISNUMBER(AJ36),1,0)+IF(ISNUMBER(AK36),1,0)+IF(ISNUMBER(AL36),1,0)),2),"")</f>
        <v>6.31</v>
      </c>
      <c r="AN36" s="99" t="str">
        <f aca="false">IF(OR(Calculator!$E$11&lt;&gt;"YES",Calculator!$B$33&lt;Calculator!$G$11),"—",ROUND(MAX((50*POWER(80,POWER(COS(PI()*MOD(Calculator!$B$33/Calculator!$F$11,1)),2)))/$C36,$C36/(50*POWER(80,POWER(COS(PI()*MOD(Calculator!$B$33/Calculator!$F$11,1)),2)))),2))</f>
        <v>—</v>
      </c>
      <c r="AO36" s="99" t="str">
        <f aca="false">IF(OR(Calculator!$E$12&lt;&gt;"YES",Calculator!$B$33&lt;Calculator!$G$12),"—",ROUND(MAX((50*POWER(80,POWER(COS(PI()*MOD(Calculator!$B$33/Calculator!$F$12,1)),2)))/$C36,$C36/(50*POWER(80,POWER(COS(PI()*MOD(Calculator!$B$33/Calculator!$F$12,1)),2)))),2))</f>
        <v>—</v>
      </c>
      <c r="AP36" s="99" t="str">
        <f aca="false">IF(OR(Calculator!$E$13&lt;&gt;"YES",Calculator!$B$33&lt;Calculator!$G$13),"—",ROUND(MAX((50*POWER(80,POWER(COS(PI()*MOD(Calculator!$B$33/Calculator!$F$13,1)),2)))/$C36,$C36/(50*POWER(80,POWER(COS(PI()*MOD(Calculator!$B$33/Calculator!$F$13,1)),2)))),2))</f>
        <v>—</v>
      </c>
      <c r="AQ36" s="99" t="n">
        <f aca="false">IF(OR(Calculator!$E$14&lt;&gt;"YES",Calculator!$B$33&lt;Calculator!$G$14),"—",ROUND(MAX((50*POWER(80,POWER(COS(PI()*MOD(Calculator!$B$33/Calculator!$F$14,1)),2)))/$C36,$C36/(50*POWER(80,POWER(COS(PI()*MOD(Calculator!$B$33/Calculator!$F$14,1)),2)))),2))</f>
        <v>13.63</v>
      </c>
      <c r="AR36" s="99" t="n">
        <f aca="false">IF(OR(Calculator!$E$15&lt;&gt;"YES",Calculator!$B$33&lt;Calculator!$G$15),"—",ROUND(MAX((50*POWER(80,POWER(COS(PI()*MOD(Calculator!$B$33/Calculator!$F$15,1)),2)))/$C36,$C36/(50*POWER(80,POWER(COS(PI()*MOD(Calculator!$B$33/Calculator!$F$15,1)),2)))),2))</f>
        <v>1.47</v>
      </c>
      <c r="AS36" s="99" t="n">
        <f aca="false">IF(OR(Calculator!$E$16&lt;&gt;"YES",Calculator!$B$33&lt;Calculator!$G$16),"—",ROUND(MAX((50*POWER(80,POWER(COS(PI()*MOD(Calculator!$B$33/Calculator!$F$16,1)),2)))/$C36,$C36/(50*POWER(80,POWER(COS(PI()*MOD(Calculator!$B$33/Calculator!$F$16,1)),2)))),2))</f>
        <v>4.02</v>
      </c>
      <c r="AT36" s="99" t="n">
        <f aca="false">IF(OR(Calculator!$E$17&lt;&gt;"YES",Calculator!$B$33&lt;Calculator!$G$17),"—",ROUND(MAX((50*POWER(80,POWER(COS(PI()*MOD(Calculator!$B$33/Calculator!$F$17,1)),2)))/$C36,$C36/(50*POWER(80,POWER(COS(PI()*MOD(Calculator!$B$33/Calculator!$F$17,1)),2)))),2))</f>
        <v>1.27</v>
      </c>
      <c r="AU36" s="99" t="n">
        <f aca="false">IF(OR(Calculator!$E$18&lt;&gt;"YES",Calculator!$B$33&lt;Calculator!$G$18),"—",ROUND(MAX((50*POWER(80,POWER(COS(PI()*MOD(Calculator!$B$33/Calculator!$F$18,1)),2)))/$C36,$C36/(50*POWER(80,POWER(COS(PI()*MOD(Calculator!$B$33/Calculator!$F$18,1)),2)))),2))</f>
        <v>1.07</v>
      </c>
      <c r="AV36" s="99" t="n">
        <f aca="false">IF(OR(Calculator!$E$19&lt;&gt;"YES",Calculator!$B$33&lt;Calculator!$G$19),"—",ROUND(MAX((50*POWER(80,POWER(COS(PI()*MOD(Calculator!$B$33/Calculator!$F$19,1)),2)))/$C36,$C36/(50*POWER(80,POWER(COS(PI()*MOD(Calculator!$B$33/Calculator!$F$19,1)),2)))),2))</f>
        <v>7.68</v>
      </c>
      <c r="AW36" s="99" t="n">
        <f aca="false">IF(OR(Calculator!$E$20&lt;&gt;"YES",Calculator!$B$33&lt;Calculator!$G$20),"—",ROUND(MAX((50*POWER(80,POWER(COS(PI()*MOD(Calculator!$B$33/Calculator!$F$20,1)),2)))/$C36,$C36/(50*POWER(80,POWER(COS(PI()*MOD(Calculator!$B$33/Calculator!$F$20,1)),2)))),2))</f>
        <v>1.63</v>
      </c>
      <c r="AX36" s="99" t="str">
        <f aca="false">IF(OR(Calculator!$E$21&lt;&gt;"YES",Calculator!$B$33&lt;Calculator!$G$21),"—",ROUND(MAX((50*POWER(80,POWER(COS(PI()*MOD(Calculator!$B$33/Calculator!$F$21,1)),2)))/$C36,$C36/(50*POWER(80,POWER(COS(PI()*MOD(Calculator!$B$33/Calculator!$F$21,1)),2)))),2))</f>
        <v>—</v>
      </c>
      <c r="AY36" s="98" t="n">
        <f aca="false">IFERROR(ROUND((IF(ISNUMBER(AN36),AN36,0)+IF(ISNUMBER(AO36),AO36,0)+IF(ISNUMBER(AP36),AP36,0)+IF(ISNUMBER(AQ36),AQ36,0)+IF(ISNUMBER(AR36),AR36,0)+IF(ISNUMBER(AS36),AS36,0)+IF(ISNUMBER(AT36),AT36,0)+IF(ISNUMBER(AU36),AU36,0)+IF(ISNUMBER(AV36),AV36,0)+IF(ISNUMBER(AW36),AW36,0)+IF(ISNUMBER(AX36),AX36,0))/(IF(ISNUMBER(AN36),1,0)+IF(ISNUMBER(AO36),1,0)+IF(ISNUMBER(AP36),1,0)+IF(ISNUMBER(AQ36),1,0)+IF(ISNUMBER(AR36),1,0)+IF(ISNUMBER(AS36),1,0)+IF(ISNUMBER(AT36),1,0)+IF(ISNUMBER(AU36),1,0)+IF(ISNUMBER(AV36),1,0)+IF(ISNUMBER(AW36),1,0)+IF(ISNUMBER(AX36),1,0)),2),"")</f>
        <v>4.4</v>
      </c>
      <c r="AZ36" s="99" t="str">
        <f aca="false">IF(OR(Calculator!$E$11&lt;&gt;"YES",Calculator!$B$34&lt;Calculator!$G$11),"—",ROUND(MAX((50*POWER(80,POWER(COS(PI()*MOD(Calculator!$B$34/Calculator!$F$11,1)),2)))/$C36,$C36/(50*POWER(80,POWER(COS(PI()*MOD(Calculator!$B$34/Calculator!$F$11,1)),2)))),2))</f>
        <v>—</v>
      </c>
      <c r="BA36" s="99" t="str">
        <f aca="false">IF(OR(Calculator!$E$12&lt;&gt;"YES",Calculator!$B$34&lt;Calculator!$G$12),"—",ROUND(MAX((50*POWER(80,POWER(COS(PI()*MOD(Calculator!$B$34/Calculator!$F$12,1)),2)))/$C36,$C36/(50*POWER(80,POWER(COS(PI()*MOD(Calculator!$B$34/Calculator!$F$12,1)),2)))),2))</f>
        <v>—</v>
      </c>
      <c r="BB36" s="99" t="str">
        <f aca="false">IF(OR(Calculator!$E$13&lt;&gt;"YES",Calculator!$B$34&lt;Calculator!$G$13),"—",ROUND(MAX((50*POWER(80,POWER(COS(PI()*MOD(Calculator!$B$34/Calculator!$F$13,1)),2)))/$C36,$C36/(50*POWER(80,POWER(COS(PI()*MOD(Calculator!$B$34/Calculator!$F$13,1)),2)))),2))</f>
        <v>—</v>
      </c>
      <c r="BC36" s="99" t="n">
        <f aca="false">IF(OR(Calculator!$E$14&lt;&gt;"YES",Calculator!$B$34&lt;Calculator!$G$14),"—",ROUND(MAX((50*POWER(80,POWER(COS(PI()*MOD(Calculator!$B$34/Calculator!$F$14,1)),2)))/$C36,$C36/(50*POWER(80,POWER(COS(PI()*MOD(Calculator!$B$34/Calculator!$F$14,1)),2)))),2))</f>
        <v>13.87</v>
      </c>
      <c r="BD36" s="99" t="n">
        <f aca="false">IF(OR(Calculator!$E$15&lt;&gt;"YES",Calculator!$B$34&lt;Calculator!$G$15),"—",ROUND(MAX((50*POWER(80,POWER(COS(PI()*MOD(Calculator!$B$34/Calculator!$F$15,1)),2)))/$C36,$C36/(50*POWER(80,POWER(COS(PI()*MOD(Calculator!$B$34/Calculator!$F$15,1)),2)))),2))</f>
        <v>1.14</v>
      </c>
      <c r="BE36" s="99" t="n">
        <f aca="false">IF(OR(Calculator!$E$16&lt;&gt;"YES",Calculator!$B$34&lt;Calculator!$G$16),"—",ROUND(MAX((50*POWER(80,POWER(COS(PI()*MOD(Calculator!$B$34/Calculator!$F$16,1)),2)))/$C36,$C36/(50*POWER(80,POWER(COS(PI()*MOD(Calculator!$B$34/Calculator!$F$16,1)),2)))),2))</f>
        <v>3.37</v>
      </c>
      <c r="BF36" s="99" t="n">
        <f aca="false">IF(OR(Calculator!$E$17&lt;&gt;"YES",Calculator!$B$34&lt;Calculator!$G$17),"—",ROUND(MAX((50*POWER(80,POWER(COS(PI()*MOD(Calculator!$B$34/Calculator!$F$17,1)),2)))/$C36,$C36/(50*POWER(80,POWER(COS(PI()*MOD(Calculator!$B$34/Calculator!$F$17,1)),2)))),2))</f>
        <v>6.54</v>
      </c>
      <c r="BG36" s="99" t="n">
        <f aca="false">IF(OR(Calculator!$E$18&lt;&gt;"YES",Calculator!$B$34&lt;Calculator!$G$18),"—",ROUND(MAX((50*POWER(80,POWER(COS(PI()*MOD(Calculator!$B$34/Calculator!$F$18,1)),2)))/$C36,$C36/(50*POWER(80,POWER(COS(PI()*MOD(Calculator!$B$34/Calculator!$F$18,1)),2)))),2))</f>
        <v>1.45</v>
      </c>
      <c r="BH36" s="99" t="n">
        <f aca="false">IF(OR(Calculator!$E$19&lt;&gt;"YES",Calculator!$B$34&lt;Calculator!$G$19),"—",ROUND(MAX((50*POWER(80,POWER(COS(PI()*MOD(Calculator!$B$34/Calculator!$F$19,1)),2)))/$C36,$C36/(50*POWER(80,POWER(COS(PI()*MOD(Calculator!$B$34/Calculator!$F$19,1)),2)))),2))</f>
        <v>1.61</v>
      </c>
      <c r="BI36" s="99" t="n">
        <f aca="false">IF(OR(Calculator!$E$20&lt;&gt;"YES",Calculator!$B$34&lt;Calculator!$G$20),"—",ROUND(MAX((50*POWER(80,POWER(COS(PI()*MOD(Calculator!$B$34/Calculator!$F$20,1)),2)))/$C36,$C36/(50*POWER(80,POWER(COS(PI()*MOD(Calculator!$B$34/Calculator!$F$20,1)),2)))),2))</f>
        <v>1.04</v>
      </c>
      <c r="BJ36" s="99" t="str">
        <f aca="false">IF(OR(Calculator!$E$21&lt;&gt;"YES",Calculator!$B$34&lt;Calculator!$G$21),"—",ROUND(MAX((50*POWER(80,POWER(COS(PI()*MOD(Calculator!$B$34/Calculator!$F$21,1)),2)))/$C36,$C36/(50*POWER(80,POWER(COS(PI()*MOD(Calculator!$B$34/Calculator!$F$21,1)),2)))),2))</f>
        <v>—</v>
      </c>
      <c r="BK36" s="98" t="n">
        <f aca="false">IFERROR(ROUND((IF(ISNUMBER(AZ36),AZ36,0)+IF(ISNUMBER(BA36),BA36,0)+IF(ISNUMBER(BB36),BB36,0)+IF(ISNUMBER(BC36),BC36,0)+IF(ISNUMBER(BD36),BD36,0)+IF(ISNUMBER(BE36),BE36,0)+IF(ISNUMBER(BF36),BF36,0)+IF(ISNUMBER(BG36),BG36,0)+IF(ISNUMBER(BH36),BH36,0)+IF(ISNUMBER(BI36),BI36,0)+IF(ISNUMBER(BJ36),BJ36,0))/(IF(ISNUMBER(AZ36),1,0)+IF(ISNUMBER(BA36),1,0)+IF(ISNUMBER(BB36),1,0)+IF(ISNUMBER(BC36),1,0)+IF(ISNUMBER(BD36),1,0)+IF(ISNUMBER(BE36),1,0)+IF(ISNUMBER(BF36),1,0)+IF(ISNUMBER(BG36),1,0)+IF(ISNUMBER(BH36),1,0)+IF(ISNUMBER(BI36),1,0)+IF(ISNUMBER(BJ36),1,0)),2),"")</f>
        <v>4.15</v>
      </c>
    </row>
    <row r="37" customFormat="false" ht="15" hidden="false" customHeight="false" outlineLevel="0" collapsed="false">
      <c r="A37" s="74" t="s">
        <v>85</v>
      </c>
      <c r="B37" s="74" t="s">
        <v>86</v>
      </c>
      <c r="C37" s="77" t="n">
        <v>250</v>
      </c>
      <c r="D37" s="78" t="str">
        <f aca="false">IF(OR(Calculator!$E$11&lt;&gt;"YES",Calculator!$B$30&lt;Calculator!$G$11),"—",ROUND(MAX((50*POWER(80,POWER(COS(PI()*MOD(Calculator!$B$30/Calculator!$F$11,1)),2)))/$C37,$C37/(50*POWER(80,POWER(COS(PI()*MOD(Calculator!$B$30/Calculator!$F$11,1)),2)))),2))</f>
        <v>—</v>
      </c>
      <c r="E37" s="78" t="str">
        <f aca="false">IF(OR(Calculator!$E$12&lt;&gt;"YES",Calculator!$B$30&lt;Calculator!$G$12),"—",ROUND(MAX((50*POWER(80,POWER(COS(PI()*MOD(Calculator!$B$30/Calculator!$F$12,1)),2)))/$C37,$C37/(50*POWER(80,POWER(COS(PI()*MOD(Calculator!$B$30/Calculator!$F$12,1)),2)))),2))</f>
        <v>—</v>
      </c>
      <c r="F37" s="78" t="str">
        <f aca="false">IF(OR(Calculator!$E$13&lt;&gt;"YES",Calculator!$B$30&lt;Calculator!$G$13),"—",ROUND(MAX((50*POWER(80,POWER(COS(PI()*MOD(Calculator!$B$30/Calculator!$F$13,1)),2)))/$C37,$C37/(50*POWER(80,POWER(COS(PI()*MOD(Calculator!$B$30/Calculator!$F$13,1)),2)))),2))</f>
        <v>—</v>
      </c>
      <c r="G37" s="78" t="n">
        <f aca="false">IF(OR(Calculator!$E$14&lt;&gt;"YES",Calculator!$B$30&lt;Calculator!$G$14),"—",ROUND(MAX((50*POWER(80,POWER(COS(PI()*MOD(Calculator!$B$30/Calculator!$F$14,1)),2)))/$C37,$C37/(50*POWER(80,POWER(COS(PI()*MOD(Calculator!$B$30/Calculator!$F$14,1)),2)))),2))</f>
        <v>2.26</v>
      </c>
      <c r="H37" s="78" t="n">
        <f aca="false">IF(OR(Calculator!$E$15&lt;&gt;"YES",Calculator!$B$30&lt;Calculator!$G$15),"—",ROUND(MAX((50*POWER(80,POWER(COS(PI()*MOD(Calculator!$B$30/Calculator!$F$15,1)),2)))/$C37,$C37/(50*POWER(80,POWER(COS(PI()*MOD(Calculator!$B$30/Calculator!$F$15,1)),2)))),2))</f>
        <v>1.53</v>
      </c>
      <c r="I37" s="78" t="n">
        <f aca="false">IF(OR(Calculator!$E$16&lt;&gt;"YES",Calculator!$B$30&lt;Calculator!$G$16),"—",ROUND(MAX((50*POWER(80,POWER(COS(PI()*MOD(Calculator!$B$30/Calculator!$F$16,1)),2)))/$C37,$C37/(50*POWER(80,POWER(COS(PI()*MOD(Calculator!$B$30/Calculator!$F$16,1)),2)))),2))</f>
        <v>2.23</v>
      </c>
      <c r="J37" s="78" t="n">
        <f aca="false">IF(OR(Calculator!$E$17&lt;&gt;"YES",Calculator!$B$30&lt;Calculator!$G$17),"—",ROUND(MAX((50*POWER(80,POWER(COS(PI()*MOD(Calculator!$B$30/Calculator!$F$17,1)),2)))/$C37,$C37/(50*POWER(80,POWER(COS(PI()*MOD(Calculator!$B$30/Calculator!$F$17,1)),2)))),2))</f>
        <v>1.26</v>
      </c>
      <c r="K37" s="78" t="n">
        <f aca="false">IF(OR(Calculator!$E$18&lt;&gt;"YES",Calculator!$B$30&lt;Calculator!$G$18),"—",ROUND(MAX((50*POWER(80,POWER(COS(PI()*MOD(Calculator!$B$30/Calculator!$F$18,1)),2)))/$C37,$C37/(50*POWER(80,POWER(COS(PI()*MOD(Calculator!$B$30/Calculator!$F$18,1)),2)))),2))</f>
        <v>5.58</v>
      </c>
      <c r="L37" s="78" t="n">
        <f aca="false">IF(OR(Calculator!$E$19&lt;&gt;"YES",Calculator!$B$30&lt;Calculator!$G$19),"—",ROUND(MAX((50*POWER(80,POWER(COS(PI()*MOD(Calculator!$B$30/Calculator!$F$19,1)),2)))/$C37,$C37/(50*POWER(80,POWER(COS(PI()*MOD(Calculator!$B$30/Calculator!$F$19,1)),2)))),2))</f>
        <v>3.14</v>
      </c>
      <c r="M37" s="78" t="n">
        <f aca="false">IF(OR(Calculator!$E$20&lt;&gt;"YES",Calculator!$B$30&lt;Calculator!$G$20),"—",ROUND(MAX((50*POWER(80,POWER(COS(PI()*MOD(Calculator!$B$30/Calculator!$F$20,1)),2)))/$C37,$C37/(50*POWER(80,POWER(COS(PI()*MOD(Calculator!$B$30/Calculator!$F$20,1)),2)))),2))</f>
        <v>1.97</v>
      </c>
      <c r="N37" s="78" t="str">
        <f aca="false">IF(OR(Calculator!$E$21&lt;&gt;"YES",Calculator!$B$30&lt;Calculator!$G$21),"—",ROUND(MAX((50*POWER(80,POWER(COS(PI()*MOD(Calculator!$B$30/Calculator!$F$21,1)),2)))/$C37,$C37/(50*POWER(80,POWER(COS(PI()*MOD(Calculator!$B$30/Calculator!$F$21,1)),2)))),2))</f>
        <v>—</v>
      </c>
      <c r="O37" s="100" t="n">
        <f aca="false">IFERROR(ROUND((IF(ISNUMBER(D37),D37,0)+IF(ISNUMBER(E37),E37,0)+IF(ISNUMBER(F37),F37,0)+IF(ISNUMBER(G37),G37,0)+IF(ISNUMBER(H37),H37,0)+IF(ISNUMBER(I37),I37,0)+IF(ISNUMBER(J37),J37,0)+IF(ISNUMBER(K37),K37,0)+IF(ISNUMBER(L37),L37,0)+IF(ISNUMBER(M37),M37,0)+IF(ISNUMBER(N37),N37,0))/(IF(ISNUMBER(D37),1,0)+IF(ISNUMBER(E37),1,0)+IF(ISNUMBER(F37),1,0)+IF(ISNUMBER(G37),1,0)+IF(ISNUMBER(H37),1,0)+IF(ISNUMBER(I37),1,0)+IF(ISNUMBER(J37),1,0)+IF(ISNUMBER(K37),1,0)+IF(ISNUMBER(L37),1,0)+IF(ISNUMBER(M37),1,0)+IF(ISNUMBER(N37),1,0)),2),"")</f>
        <v>2.57</v>
      </c>
      <c r="P37" s="78" t="str">
        <f aca="false">IF(OR(Calculator!$E$11&lt;&gt;"YES",Calculator!$B$31&lt;Calculator!$G$11),"—",ROUND(MAX((50*POWER(80,POWER(COS(PI()*MOD(Calculator!$B$31/Calculator!$F$11,1)),2)))/$C37,$C37/(50*POWER(80,POWER(COS(PI()*MOD(Calculator!$B$31/Calculator!$F$11,1)),2)))),2))</f>
        <v>—</v>
      </c>
      <c r="Q37" s="78" t="str">
        <f aca="false">IF(OR(Calculator!$E$12&lt;&gt;"YES",Calculator!$B$31&lt;Calculator!$G$12),"—",ROUND(MAX((50*POWER(80,POWER(COS(PI()*MOD(Calculator!$B$31/Calculator!$F$12,1)),2)))/$C37,$C37/(50*POWER(80,POWER(COS(PI()*MOD(Calculator!$B$31/Calculator!$F$12,1)),2)))),2))</f>
        <v>—</v>
      </c>
      <c r="R37" s="78" t="str">
        <f aca="false">IF(OR(Calculator!$E$13&lt;&gt;"YES",Calculator!$B$31&lt;Calculator!$G$13),"—",ROUND(MAX((50*POWER(80,POWER(COS(PI()*MOD(Calculator!$B$31/Calculator!$F$13,1)),2)))/$C37,$C37/(50*POWER(80,POWER(COS(PI()*MOD(Calculator!$B$31/Calculator!$F$13,1)),2)))),2))</f>
        <v>—</v>
      </c>
      <c r="S37" s="78" t="n">
        <f aca="false">IF(OR(Calculator!$E$14&lt;&gt;"YES",Calculator!$B$31&lt;Calculator!$G$14),"—",ROUND(MAX((50*POWER(80,POWER(COS(PI()*MOD(Calculator!$B$31/Calculator!$F$14,1)),2)))/$C37,$C37/(50*POWER(80,POWER(COS(PI()*MOD(Calculator!$B$31/Calculator!$F$14,1)),2)))),2))</f>
        <v>2.31</v>
      </c>
      <c r="T37" s="78" t="n">
        <f aca="false">IF(OR(Calculator!$E$15&lt;&gt;"YES",Calculator!$B$31&lt;Calculator!$G$15),"—",ROUND(MAX((50*POWER(80,POWER(COS(PI()*MOD(Calculator!$B$31/Calculator!$F$15,1)),2)))/$C37,$C37/(50*POWER(80,POWER(COS(PI()*MOD(Calculator!$B$31/Calculator!$F$15,1)),2)))),2))</f>
        <v>1.41</v>
      </c>
      <c r="U37" s="78" t="n">
        <f aca="false">IF(OR(Calculator!$E$16&lt;&gt;"YES",Calculator!$B$31&lt;Calculator!$G$16),"—",ROUND(MAX((50*POWER(80,POWER(COS(PI()*MOD(Calculator!$B$31/Calculator!$F$16,1)),2)))/$C37,$C37/(50*POWER(80,POWER(COS(PI()*MOD(Calculator!$B$31/Calculator!$F$16,1)),2)))),2))</f>
        <v>1.87</v>
      </c>
      <c r="V37" s="78" t="n">
        <f aca="false">IF(OR(Calculator!$E$17&lt;&gt;"YES",Calculator!$B$31&lt;Calculator!$G$17),"—",ROUND(MAX((50*POWER(80,POWER(COS(PI()*MOD(Calculator!$B$31/Calculator!$F$17,1)),2)))/$C37,$C37/(50*POWER(80,POWER(COS(PI()*MOD(Calculator!$B$31/Calculator!$F$17,1)),2)))),2))</f>
        <v>6.48</v>
      </c>
      <c r="W37" s="78" t="n">
        <f aca="false">IF(OR(Calculator!$E$18&lt;&gt;"YES",Calculator!$B$31&lt;Calculator!$G$18),"—",ROUND(MAX((50*POWER(80,POWER(COS(PI()*MOD(Calculator!$B$31/Calculator!$F$18,1)),2)))/$C37,$C37/(50*POWER(80,POWER(COS(PI()*MOD(Calculator!$B$31/Calculator!$F$18,1)),2)))),2))</f>
        <v>7.37</v>
      </c>
      <c r="X37" s="78" t="n">
        <f aca="false">IF(OR(Calculator!$E$19&lt;&gt;"YES",Calculator!$B$31&lt;Calculator!$G$19),"—",ROUND(MAX((50*POWER(80,POWER(COS(PI()*MOD(Calculator!$B$31/Calculator!$F$19,1)),2)))/$C37,$C37/(50*POWER(80,POWER(COS(PI()*MOD(Calculator!$B$31/Calculator!$F$19,1)),2)))),2))</f>
        <v>1.08</v>
      </c>
      <c r="Y37" s="78" t="n">
        <f aca="false">IF(OR(Calculator!$E$20&lt;&gt;"YES",Calculator!$B$31&lt;Calculator!$G$20),"—",ROUND(MAX((50*POWER(80,POWER(COS(PI()*MOD(Calculator!$B$31/Calculator!$F$20,1)),2)))/$C37,$C37/(50*POWER(80,POWER(COS(PI()*MOD(Calculator!$B$31/Calculator!$F$20,1)),2)))),2))</f>
        <v>3.07</v>
      </c>
      <c r="Z37" s="78" t="str">
        <f aca="false">IF(OR(Calculator!$E$21&lt;&gt;"YES",Calculator!$B$31&lt;Calculator!$G$21),"—",ROUND(MAX((50*POWER(80,POWER(COS(PI()*MOD(Calculator!$B$31/Calculator!$F$21,1)),2)))/$C37,$C37/(50*POWER(80,POWER(COS(PI()*MOD(Calculator!$B$31/Calculator!$F$21,1)),2)))),2))</f>
        <v>—</v>
      </c>
      <c r="AA37" s="100" t="n">
        <f aca="false">IFERROR(ROUND((IF(ISNUMBER(P37),P37,0)+IF(ISNUMBER(Q37),Q37,0)+IF(ISNUMBER(R37),R37,0)+IF(ISNUMBER(S37),S37,0)+IF(ISNUMBER(T37),T37,0)+IF(ISNUMBER(U37),U37,0)+IF(ISNUMBER(V37),V37,0)+IF(ISNUMBER(W37),W37,0)+IF(ISNUMBER(X37),X37,0)+IF(ISNUMBER(Y37),Y37,0)+IF(ISNUMBER(Z37),Z37,0))/(IF(ISNUMBER(P37),1,0)+IF(ISNUMBER(Q37),1,0)+IF(ISNUMBER(R37),1,0)+IF(ISNUMBER(S37),1,0)+IF(ISNUMBER(T37),1,0)+IF(ISNUMBER(U37),1,0)+IF(ISNUMBER(V37),1,0)+IF(ISNUMBER(W37),1,0)+IF(ISNUMBER(X37),1,0)+IF(ISNUMBER(Y37),1,0)+IF(ISNUMBER(Z37),1,0)),2),"")</f>
        <v>3.37</v>
      </c>
      <c r="AB37" s="78" t="str">
        <f aca="false">IF(OR(Calculator!$E$11&lt;&gt;"YES",Calculator!$B$32&lt;Calculator!$G$11),"—",ROUND(MAX((50*POWER(80,POWER(COS(PI()*MOD(Calculator!$B$32/Calculator!$F$11,1)),2)))/$C37,$C37/(50*POWER(80,POWER(COS(PI()*MOD(Calculator!$B$32/Calculator!$F$11,1)),2)))),2))</f>
        <v>—</v>
      </c>
      <c r="AC37" s="78" t="str">
        <f aca="false">IF(OR(Calculator!$E$12&lt;&gt;"YES",Calculator!$B$32&lt;Calculator!$G$12),"—",ROUND(MAX((50*POWER(80,POWER(COS(PI()*MOD(Calculator!$B$32/Calculator!$F$12,1)),2)))/$C37,$C37/(50*POWER(80,POWER(COS(PI()*MOD(Calculator!$B$32/Calculator!$F$12,1)),2)))),2))</f>
        <v>—</v>
      </c>
      <c r="AD37" s="78" t="str">
        <f aca="false">IF(OR(Calculator!$E$13&lt;&gt;"YES",Calculator!$B$32&lt;Calculator!$G$13),"—",ROUND(MAX((50*POWER(80,POWER(COS(PI()*MOD(Calculator!$B$32/Calculator!$F$13,1)),2)))/$C37,$C37/(50*POWER(80,POWER(COS(PI()*MOD(Calculator!$B$32/Calculator!$F$13,1)),2)))),2))</f>
        <v>—</v>
      </c>
      <c r="AE37" s="78" t="n">
        <f aca="false">IF(OR(Calculator!$E$14&lt;&gt;"YES",Calculator!$B$32&lt;Calculator!$G$14),"—",ROUND(MAX((50*POWER(80,POWER(COS(PI()*MOD(Calculator!$B$32/Calculator!$F$14,1)),2)))/$C37,$C37/(50*POWER(80,POWER(COS(PI()*MOD(Calculator!$B$32/Calculator!$F$14,1)),2)))),2))</f>
        <v>1.46</v>
      </c>
      <c r="AF37" s="78" t="n">
        <f aca="false">IF(OR(Calculator!$E$15&lt;&gt;"YES",Calculator!$B$32&lt;Calculator!$G$15),"—",ROUND(MAX((50*POWER(80,POWER(COS(PI()*MOD(Calculator!$B$32/Calculator!$F$15,1)),2)))/$C37,$C37/(50*POWER(80,POWER(COS(PI()*MOD(Calculator!$B$32/Calculator!$F$15,1)),2)))),2))</f>
        <v>1.06</v>
      </c>
      <c r="AG37" s="78" t="n">
        <f aca="false">IF(OR(Calculator!$E$16&lt;&gt;"YES",Calculator!$B$32&lt;Calculator!$G$16),"—",ROUND(MAX((50*POWER(80,POWER(COS(PI()*MOD(Calculator!$B$32/Calculator!$F$16,1)),2)))/$C37,$C37/(50*POWER(80,POWER(COS(PI()*MOD(Calculator!$B$32/Calculator!$F$16,1)),2)))),2))</f>
        <v>3.19</v>
      </c>
      <c r="AH37" s="78" t="n">
        <f aca="false">IF(OR(Calculator!$E$17&lt;&gt;"YES",Calculator!$B$32&lt;Calculator!$G$17),"—",ROUND(MAX((50*POWER(80,POWER(COS(PI()*MOD(Calculator!$B$32/Calculator!$F$17,1)),2)))/$C37,$C37/(50*POWER(80,POWER(COS(PI()*MOD(Calculator!$B$32/Calculator!$F$17,1)),2)))),2))</f>
        <v>9.21</v>
      </c>
      <c r="AI37" s="78" t="n">
        <f aca="false">IF(OR(Calculator!$E$18&lt;&gt;"YES",Calculator!$B$32&lt;Calculator!$G$18),"—",ROUND(MAX((50*POWER(80,POWER(COS(PI()*MOD(Calculator!$B$32/Calculator!$F$18,1)),2)))/$C37,$C37/(50*POWER(80,POWER(COS(PI()*MOD(Calculator!$B$32/Calculator!$F$18,1)),2)))),2))</f>
        <v>9.98</v>
      </c>
      <c r="AJ37" s="78" t="n">
        <f aca="false">IF(OR(Calculator!$E$19&lt;&gt;"YES",Calculator!$B$32&lt;Calculator!$G$19),"—",ROUND(MAX((50*POWER(80,POWER(COS(PI()*MOD(Calculator!$B$32/Calculator!$F$19,1)),2)))/$C37,$C37/(50*POWER(80,POWER(COS(PI()*MOD(Calculator!$B$32/Calculator!$F$19,1)),2)))),2))</f>
        <v>10.51</v>
      </c>
      <c r="AK37" s="78" t="n">
        <f aca="false">IF(OR(Calculator!$E$20&lt;&gt;"YES",Calculator!$B$32&lt;Calculator!$G$20),"—",ROUND(MAX((50*POWER(80,POWER(COS(PI()*MOD(Calculator!$B$32/Calculator!$F$20,1)),2)))/$C37,$C37/(50*POWER(80,POWER(COS(PI()*MOD(Calculator!$B$32/Calculator!$F$20,1)),2)))),2))</f>
        <v>2.51</v>
      </c>
      <c r="AL37" s="78" t="str">
        <f aca="false">IF(OR(Calculator!$E$21&lt;&gt;"YES",Calculator!$B$32&lt;Calculator!$G$21),"—",ROUND(MAX((50*POWER(80,POWER(COS(PI()*MOD(Calculator!$B$32/Calculator!$F$21,1)),2)))/$C37,$C37/(50*POWER(80,POWER(COS(PI()*MOD(Calculator!$B$32/Calculator!$F$21,1)),2)))),2))</f>
        <v>—</v>
      </c>
      <c r="AM37" s="101" t="n">
        <f aca="false">IFERROR(ROUND((IF(ISNUMBER(AB37),AB37,0)+IF(ISNUMBER(AC37),AC37,0)+IF(ISNUMBER(AD37),AD37,0)+IF(ISNUMBER(AE37),AE37,0)+IF(ISNUMBER(AF37),AF37,0)+IF(ISNUMBER(AG37),AG37,0)+IF(ISNUMBER(AH37),AH37,0)+IF(ISNUMBER(AI37),AI37,0)+IF(ISNUMBER(AJ37),AJ37,0)+IF(ISNUMBER(AK37),AK37,0)+IF(ISNUMBER(AL37),AL37,0))/(IF(ISNUMBER(AB37),1,0)+IF(ISNUMBER(AC37),1,0)+IF(ISNUMBER(AD37),1,0)+IF(ISNUMBER(AE37),1,0)+IF(ISNUMBER(AF37),1,0)+IF(ISNUMBER(AG37),1,0)+IF(ISNUMBER(AH37),1,0)+IF(ISNUMBER(AI37),1,0)+IF(ISNUMBER(AJ37),1,0)+IF(ISNUMBER(AK37),1,0)+IF(ISNUMBER(AL37),1,0)),2),"")</f>
        <v>5.42</v>
      </c>
      <c r="AN37" s="102" t="str">
        <f aca="false">IF(OR(Calculator!$E$11&lt;&gt;"YES",Calculator!$B$33&lt;Calculator!$G$11),"—",ROUND(MAX((50*POWER(80,POWER(COS(PI()*MOD(Calculator!$B$33/Calculator!$F$11,1)),2)))/$C37,$C37/(50*POWER(80,POWER(COS(PI()*MOD(Calculator!$B$33/Calculator!$F$11,1)),2)))),2))</f>
        <v>—</v>
      </c>
      <c r="AO37" s="102" t="str">
        <f aca="false">IF(OR(Calculator!$E$12&lt;&gt;"YES",Calculator!$B$33&lt;Calculator!$G$12),"—",ROUND(MAX((50*POWER(80,POWER(COS(PI()*MOD(Calculator!$B$33/Calculator!$F$12,1)),2)))/$C37,$C37/(50*POWER(80,POWER(COS(PI()*MOD(Calculator!$B$33/Calculator!$F$12,1)),2)))),2))</f>
        <v>—</v>
      </c>
      <c r="AP37" s="102" t="str">
        <f aca="false">IF(OR(Calculator!$E$13&lt;&gt;"YES",Calculator!$B$33&lt;Calculator!$G$13),"—",ROUND(MAX((50*POWER(80,POWER(COS(PI()*MOD(Calculator!$B$33/Calculator!$F$13,1)),2)))/$C37,$C37/(50*POWER(80,POWER(COS(PI()*MOD(Calculator!$B$33/Calculator!$F$13,1)),2)))),2))</f>
        <v>—</v>
      </c>
      <c r="AQ37" s="102" t="n">
        <f aca="false">IF(OR(Calculator!$E$14&lt;&gt;"YES",Calculator!$B$33&lt;Calculator!$G$14),"—",ROUND(MAX((50*POWER(80,POWER(COS(PI()*MOD(Calculator!$B$33/Calculator!$F$14,1)),2)))/$C37,$C37/(50*POWER(80,POWER(COS(PI()*MOD(Calculator!$B$33/Calculator!$F$14,1)),2)))),2))</f>
        <v>10.91</v>
      </c>
      <c r="AR37" s="102" t="n">
        <f aca="false">IF(OR(Calculator!$E$15&lt;&gt;"YES",Calculator!$B$33&lt;Calculator!$G$15),"—",ROUND(MAX((50*POWER(80,POWER(COS(PI()*MOD(Calculator!$B$33/Calculator!$F$15,1)),2)))/$C37,$C37/(50*POWER(80,POWER(COS(PI()*MOD(Calculator!$B$33/Calculator!$F$15,1)),2)))),2))</f>
        <v>1.17</v>
      </c>
      <c r="AS37" s="102" t="n">
        <f aca="false">IF(OR(Calculator!$E$16&lt;&gt;"YES",Calculator!$B$33&lt;Calculator!$G$16),"—",ROUND(MAX((50*POWER(80,POWER(COS(PI()*MOD(Calculator!$B$33/Calculator!$F$16,1)),2)))/$C37,$C37/(50*POWER(80,POWER(COS(PI()*MOD(Calculator!$B$33/Calculator!$F$16,1)),2)))),2))</f>
        <v>3.21</v>
      </c>
      <c r="AT37" s="102" t="n">
        <f aca="false">IF(OR(Calculator!$E$17&lt;&gt;"YES",Calculator!$B$33&lt;Calculator!$G$17),"—",ROUND(MAX((50*POWER(80,POWER(COS(PI()*MOD(Calculator!$B$33/Calculator!$F$17,1)),2)))/$C37,$C37/(50*POWER(80,POWER(COS(PI()*MOD(Calculator!$B$33/Calculator!$F$17,1)),2)))),2))</f>
        <v>1.01</v>
      </c>
      <c r="AU37" s="102" t="n">
        <f aca="false">IF(OR(Calculator!$E$18&lt;&gt;"YES",Calculator!$B$33&lt;Calculator!$G$18),"—",ROUND(MAX((50*POWER(80,POWER(COS(PI()*MOD(Calculator!$B$33/Calculator!$F$18,1)),2)))/$C37,$C37/(50*POWER(80,POWER(COS(PI()*MOD(Calculator!$B$33/Calculator!$F$18,1)),2)))),2))</f>
        <v>1.34</v>
      </c>
      <c r="AV37" s="102" t="n">
        <f aca="false">IF(OR(Calculator!$E$19&lt;&gt;"YES",Calculator!$B$33&lt;Calculator!$G$19),"—",ROUND(MAX((50*POWER(80,POWER(COS(PI()*MOD(Calculator!$B$33/Calculator!$F$19,1)),2)))/$C37,$C37/(50*POWER(80,POWER(COS(PI()*MOD(Calculator!$B$33/Calculator!$F$19,1)),2)))),2))</f>
        <v>6.14</v>
      </c>
      <c r="AW37" s="102" t="n">
        <f aca="false">IF(OR(Calculator!$E$20&lt;&gt;"YES",Calculator!$B$33&lt;Calculator!$G$20),"—",ROUND(MAX((50*POWER(80,POWER(COS(PI()*MOD(Calculator!$B$33/Calculator!$F$20,1)),2)))/$C37,$C37/(50*POWER(80,POWER(COS(PI()*MOD(Calculator!$B$33/Calculator!$F$20,1)),2)))),2))</f>
        <v>2.04</v>
      </c>
      <c r="AX37" s="102" t="str">
        <f aca="false">IF(OR(Calculator!$E$21&lt;&gt;"YES",Calculator!$B$33&lt;Calculator!$G$21),"—",ROUND(MAX((50*POWER(80,POWER(COS(PI()*MOD(Calculator!$B$33/Calculator!$F$21,1)),2)))/$C37,$C37/(50*POWER(80,POWER(COS(PI()*MOD(Calculator!$B$33/Calculator!$F$21,1)),2)))),2))</f>
        <v>—</v>
      </c>
      <c r="AY37" s="101" t="n">
        <f aca="false">IFERROR(ROUND((IF(ISNUMBER(AN37),AN37,0)+IF(ISNUMBER(AO37),AO37,0)+IF(ISNUMBER(AP37),AP37,0)+IF(ISNUMBER(AQ37),AQ37,0)+IF(ISNUMBER(AR37),AR37,0)+IF(ISNUMBER(AS37),AS37,0)+IF(ISNUMBER(AT37),AT37,0)+IF(ISNUMBER(AU37),AU37,0)+IF(ISNUMBER(AV37),AV37,0)+IF(ISNUMBER(AW37),AW37,0)+IF(ISNUMBER(AX37),AX37,0))/(IF(ISNUMBER(AN37),1,0)+IF(ISNUMBER(AO37),1,0)+IF(ISNUMBER(AP37),1,0)+IF(ISNUMBER(AQ37),1,0)+IF(ISNUMBER(AR37),1,0)+IF(ISNUMBER(AS37),1,0)+IF(ISNUMBER(AT37),1,0)+IF(ISNUMBER(AU37),1,0)+IF(ISNUMBER(AV37),1,0)+IF(ISNUMBER(AW37),1,0)+IF(ISNUMBER(AX37),1,0)),2),"")</f>
        <v>3.69</v>
      </c>
      <c r="AZ37" s="102" t="str">
        <f aca="false">IF(OR(Calculator!$E$11&lt;&gt;"YES",Calculator!$B$34&lt;Calculator!$G$11),"—",ROUND(MAX((50*POWER(80,POWER(COS(PI()*MOD(Calculator!$B$34/Calculator!$F$11,1)),2)))/$C37,$C37/(50*POWER(80,POWER(COS(PI()*MOD(Calculator!$B$34/Calculator!$F$11,1)),2)))),2))</f>
        <v>—</v>
      </c>
      <c r="BA37" s="102" t="str">
        <f aca="false">IF(OR(Calculator!$E$12&lt;&gt;"YES",Calculator!$B$34&lt;Calculator!$G$12),"—",ROUND(MAX((50*POWER(80,POWER(COS(PI()*MOD(Calculator!$B$34/Calculator!$F$12,1)),2)))/$C37,$C37/(50*POWER(80,POWER(COS(PI()*MOD(Calculator!$B$34/Calculator!$F$12,1)),2)))),2))</f>
        <v>—</v>
      </c>
      <c r="BB37" s="102" t="str">
        <f aca="false">IF(OR(Calculator!$E$13&lt;&gt;"YES",Calculator!$B$34&lt;Calculator!$G$13),"—",ROUND(MAX((50*POWER(80,POWER(COS(PI()*MOD(Calculator!$B$34/Calculator!$F$13,1)),2)))/$C37,$C37/(50*POWER(80,POWER(COS(PI()*MOD(Calculator!$B$34/Calculator!$F$13,1)),2)))),2))</f>
        <v>—</v>
      </c>
      <c r="BC37" s="102" t="n">
        <f aca="false">IF(OR(Calculator!$E$14&lt;&gt;"YES",Calculator!$B$34&lt;Calculator!$G$14),"—",ROUND(MAX((50*POWER(80,POWER(COS(PI()*MOD(Calculator!$B$34/Calculator!$F$14,1)),2)))/$C37,$C37/(50*POWER(80,POWER(COS(PI()*MOD(Calculator!$B$34/Calculator!$F$14,1)),2)))),2))</f>
        <v>11.1</v>
      </c>
      <c r="BD37" s="102" t="n">
        <f aca="false">IF(OR(Calculator!$E$15&lt;&gt;"YES",Calculator!$B$34&lt;Calculator!$G$15),"—",ROUND(MAX((50*POWER(80,POWER(COS(PI()*MOD(Calculator!$B$34/Calculator!$F$15,1)),2)))/$C37,$C37/(50*POWER(80,POWER(COS(PI()*MOD(Calculator!$B$34/Calculator!$F$15,1)),2)))),2))</f>
        <v>1.1</v>
      </c>
      <c r="BE37" s="102" t="n">
        <f aca="false">IF(OR(Calculator!$E$16&lt;&gt;"YES",Calculator!$B$34&lt;Calculator!$G$16),"—",ROUND(MAX((50*POWER(80,POWER(COS(PI()*MOD(Calculator!$B$34/Calculator!$F$16,1)),2)))/$C37,$C37/(50*POWER(80,POWER(COS(PI()*MOD(Calculator!$B$34/Calculator!$F$16,1)),2)))),2))</f>
        <v>2.7</v>
      </c>
      <c r="BF37" s="102" t="n">
        <f aca="false">IF(OR(Calculator!$E$17&lt;&gt;"YES",Calculator!$B$34&lt;Calculator!$G$17),"—",ROUND(MAX((50*POWER(80,POWER(COS(PI()*MOD(Calculator!$B$34/Calculator!$F$17,1)),2)))/$C37,$C37/(50*POWER(80,POWER(COS(PI()*MOD(Calculator!$B$34/Calculator!$F$17,1)),2)))),2))</f>
        <v>5.23</v>
      </c>
      <c r="BG37" s="102" t="n">
        <f aca="false">IF(OR(Calculator!$E$18&lt;&gt;"YES",Calculator!$B$34&lt;Calculator!$G$18),"—",ROUND(MAX((50*POWER(80,POWER(COS(PI()*MOD(Calculator!$B$34/Calculator!$F$18,1)),2)))/$C37,$C37/(50*POWER(80,POWER(COS(PI()*MOD(Calculator!$B$34/Calculator!$F$18,1)),2)))),2))</f>
        <v>1.81</v>
      </c>
      <c r="BH37" s="102" t="n">
        <f aca="false">IF(OR(Calculator!$E$19&lt;&gt;"YES",Calculator!$B$34&lt;Calculator!$G$19),"—",ROUND(MAX((50*POWER(80,POWER(COS(PI()*MOD(Calculator!$B$34/Calculator!$F$19,1)),2)))/$C37,$C37/(50*POWER(80,POWER(COS(PI()*MOD(Calculator!$B$34/Calculator!$F$19,1)),2)))),2))</f>
        <v>2.01</v>
      </c>
      <c r="BI37" s="102" t="n">
        <f aca="false">IF(OR(Calculator!$E$20&lt;&gt;"YES",Calculator!$B$34&lt;Calculator!$G$20),"—",ROUND(MAX((50*POWER(80,POWER(COS(PI()*MOD(Calculator!$B$34/Calculator!$F$20,1)),2)))/$C37,$C37/(50*POWER(80,POWER(COS(PI()*MOD(Calculator!$B$34/Calculator!$F$20,1)),2)))),2))</f>
        <v>1.2</v>
      </c>
      <c r="BJ37" s="102" t="str">
        <f aca="false">IF(OR(Calculator!$E$21&lt;&gt;"YES",Calculator!$B$34&lt;Calculator!$G$21),"—",ROUND(MAX((50*POWER(80,POWER(COS(PI()*MOD(Calculator!$B$34/Calculator!$F$21,1)),2)))/$C37,$C37/(50*POWER(80,POWER(COS(PI()*MOD(Calculator!$B$34/Calculator!$F$21,1)),2)))),2))</f>
        <v>—</v>
      </c>
      <c r="BK37" s="101" t="n">
        <f aca="false">IFERROR(ROUND((IF(ISNUMBER(AZ37),AZ37,0)+IF(ISNUMBER(BA37),BA37,0)+IF(ISNUMBER(BB37),BB37,0)+IF(ISNUMBER(BC37),BC37,0)+IF(ISNUMBER(BD37),BD37,0)+IF(ISNUMBER(BE37),BE37,0)+IF(ISNUMBER(BF37),BF37,0)+IF(ISNUMBER(BG37),BG37,0)+IF(ISNUMBER(BH37),BH37,0)+IF(ISNUMBER(BI37),BI37,0)+IF(ISNUMBER(BJ37),BJ37,0))/(IF(ISNUMBER(AZ37),1,0)+IF(ISNUMBER(BA37),1,0)+IF(ISNUMBER(BB37),1,0)+IF(ISNUMBER(BC37),1,0)+IF(ISNUMBER(BD37),1,0)+IF(ISNUMBER(BE37),1,0)+IF(ISNUMBER(BF37),1,0)+IF(ISNUMBER(BG37),1,0)+IF(ISNUMBER(BH37),1,0)+IF(ISNUMBER(BI37),1,0)+IF(ISNUMBER(BJ37),1,0)),2),"")</f>
        <v>3.59</v>
      </c>
    </row>
    <row r="38" customFormat="false" ht="15" hidden="false" customHeight="false" outlineLevel="0" collapsed="false">
      <c r="A38" s="103" t="s">
        <v>87</v>
      </c>
      <c r="B38" s="103" t="s">
        <v>86</v>
      </c>
      <c r="C38" s="104" t="n">
        <v>300</v>
      </c>
      <c r="D38" s="105" t="str">
        <f aca="false">IF(OR(Calculator!$E$11&lt;&gt;"YES",Calculator!$B$30&lt;Calculator!$G$11),"—",ROUND(MAX((50*POWER(80,POWER(COS(PI()*MOD(Calculator!$B$30/Calculator!$F$11,1)),2)))/$C38,$C38/(50*POWER(80,POWER(COS(PI()*MOD(Calculator!$B$30/Calculator!$F$11,1)),2)))),2))</f>
        <v>—</v>
      </c>
      <c r="E38" s="105" t="str">
        <f aca="false">IF(OR(Calculator!$E$12&lt;&gt;"YES",Calculator!$B$30&lt;Calculator!$G$12),"—",ROUND(MAX((50*POWER(80,POWER(COS(PI()*MOD(Calculator!$B$30/Calculator!$F$12,1)),2)))/$C38,$C38/(50*POWER(80,POWER(COS(PI()*MOD(Calculator!$B$30/Calculator!$F$12,1)),2)))),2))</f>
        <v>—</v>
      </c>
      <c r="F38" s="105" t="str">
        <f aca="false">IF(OR(Calculator!$E$13&lt;&gt;"YES",Calculator!$B$30&lt;Calculator!$G$13),"—",ROUND(MAX((50*POWER(80,POWER(COS(PI()*MOD(Calculator!$B$30/Calculator!$F$13,1)),2)))/$C38,$C38/(50*POWER(80,POWER(COS(PI()*MOD(Calculator!$B$30/Calculator!$F$13,1)),2)))),2))</f>
        <v>—</v>
      </c>
      <c r="G38" s="105" t="n">
        <f aca="false">IF(OR(Calculator!$E$14&lt;&gt;"YES",Calculator!$B$30&lt;Calculator!$G$14),"—",ROUND(MAX((50*POWER(80,POWER(COS(PI()*MOD(Calculator!$B$30/Calculator!$F$14,1)),2)))/$C38,$C38/(50*POWER(80,POWER(COS(PI()*MOD(Calculator!$B$30/Calculator!$F$14,1)),2)))),2))</f>
        <v>2.71</v>
      </c>
      <c r="H38" s="105" t="n">
        <f aca="false">IF(OR(Calculator!$E$15&lt;&gt;"YES",Calculator!$B$30&lt;Calculator!$G$15),"—",ROUND(MAX((50*POWER(80,POWER(COS(PI()*MOD(Calculator!$B$30/Calculator!$F$15,1)),2)))/$C38,$C38/(50*POWER(80,POWER(COS(PI()*MOD(Calculator!$B$30/Calculator!$F$15,1)),2)))),2))</f>
        <v>1.27</v>
      </c>
      <c r="I38" s="105" t="n">
        <f aca="false">IF(OR(Calculator!$E$16&lt;&gt;"YES",Calculator!$B$30&lt;Calculator!$G$16),"—",ROUND(MAX((50*POWER(80,POWER(COS(PI()*MOD(Calculator!$B$30/Calculator!$F$16,1)),2)))/$C38,$C38/(50*POWER(80,POWER(COS(PI()*MOD(Calculator!$B$30/Calculator!$F$16,1)),2)))),2))</f>
        <v>1.86</v>
      </c>
      <c r="J38" s="105" t="n">
        <f aca="false">IF(OR(Calculator!$E$17&lt;&gt;"YES",Calculator!$B$30&lt;Calculator!$G$17),"—",ROUND(MAX((50*POWER(80,POWER(COS(PI()*MOD(Calculator!$B$30/Calculator!$F$17,1)),2)))/$C38,$C38/(50*POWER(80,POWER(COS(PI()*MOD(Calculator!$B$30/Calculator!$F$17,1)),2)))),2))</f>
        <v>1.51</v>
      </c>
      <c r="K38" s="105" t="n">
        <f aca="false">IF(OR(Calculator!$E$18&lt;&gt;"YES",Calculator!$B$30&lt;Calculator!$G$18),"—",ROUND(MAX((50*POWER(80,POWER(COS(PI()*MOD(Calculator!$B$30/Calculator!$F$18,1)),2)))/$C38,$C38/(50*POWER(80,POWER(COS(PI()*MOD(Calculator!$B$30/Calculator!$F$18,1)),2)))),2))</f>
        <v>4.65</v>
      </c>
      <c r="L38" s="105" t="n">
        <f aca="false">IF(OR(Calculator!$E$19&lt;&gt;"YES",Calculator!$B$30&lt;Calculator!$G$19),"—",ROUND(MAX((50*POWER(80,POWER(COS(PI()*MOD(Calculator!$B$30/Calculator!$F$19,1)),2)))/$C38,$C38/(50*POWER(80,POWER(COS(PI()*MOD(Calculator!$B$30/Calculator!$F$19,1)),2)))),2))</f>
        <v>2.62</v>
      </c>
      <c r="M38" s="105" t="n">
        <f aca="false">IF(OR(Calculator!$E$20&lt;&gt;"YES",Calculator!$B$30&lt;Calculator!$G$20),"—",ROUND(MAX((50*POWER(80,POWER(COS(PI()*MOD(Calculator!$B$30/Calculator!$F$20,1)),2)))/$C38,$C38/(50*POWER(80,POWER(COS(PI()*MOD(Calculator!$B$30/Calculator!$F$20,1)),2)))),2))</f>
        <v>2.37</v>
      </c>
      <c r="N38" s="105" t="str">
        <f aca="false">IF(OR(Calculator!$E$21&lt;&gt;"YES",Calculator!$B$30&lt;Calculator!$G$21),"—",ROUND(MAX((50*POWER(80,POWER(COS(PI()*MOD(Calculator!$B$30/Calculator!$F$21,1)),2)))/$C38,$C38/(50*POWER(80,POWER(COS(PI()*MOD(Calculator!$B$30/Calculator!$F$21,1)),2)))),2))</f>
        <v>—</v>
      </c>
      <c r="O38" s="100" t="n">
        <f aca="false">IFERROR(ROUND((IF(ISNUMBER(D38),D38,0)+IF(ISNUMBER(E38),E38,0)+IF(ISNUMBER(F38),F38,0)+IF(ISNUMBER(G38),G38,0)+IF(ISNUMBER(H38),H38,0)+IF(ISNUMBER(I38),I38,0)+IF(ISNUMBER(J38),J38,0)+IF(ISNUMBER(K38),K38,0)+IF(ISNUMBER(L38),L38,0)+IF(ISNUMBER(M38),M38,0)+IF(ISNUMBER(N38),N38,0))/(IF(ISNUMBER(D38),1,0)+IF(ISNUMBER(E38),1,0)+IF(ISNUMBER(F38),1,0)+IF(ISNUMBER(G38),1,0)+IF(ISNUMBER(H38),1,0)+IF(ISNUMBER(I38),1,0)+IF(ISNUMBER(J38),1,0)+IF(ISNUMBER(K38),1,0)+IF(ISNUMBER(L38),1,0)+IF(ISNUMBER(M38),1,0)+IF(ISNUMBER(N38),1,0)),2),"")</f>
        <v>2.43</v>
      </c>
      <c r="P38" s="105" t="str">
        <f aca="false">IF(OR(Calculator!$E$11&lt;&gt;"YES",Calculator!$B$31&lt;Calculator!$G$11),"—",ROUND(MAX((50*POWER(80,POWER(COS(PI()*MOD(Calculator!$B$31/Calculator!$F$11,1)),2)))/$C38,$C38/(50*POWER(80,POWER(COS(PI()*MOD(Calculator!$B$31/Calculator!$F$11,1)),2)))),2))</f>
        <v>—</v>
      </c>
      <c r="Q38" s="105" t="str">
        <f aca="false">IF(OR(Calculator!$E$12&lt;&gt;"YES",Calculator!$B$31&lt;Calculator!$G$12),"—",ROUND(MAX((50*POWER(80,POWER(COS(PI()*MOD(Calculator!$B$31/Calculator!$F$12,1)),2)))/$C38,$C38/(50*POWER(80,POWER(COS(PI()*MOD(Calculator!$B$31/Calculator!$F$12,1)),2)))),2))</f>
        <v>—</v>
      </c>
      <c r="R38" s="105" t="str">
        <f aca="false">IF(OR(Calculator!$E$13&lt;&gt;"YES",Calculator!$B$31&lt;Calculator!$G$13),"—",ROUND(MAX((50*POWER(80,POWER(COS(PI()*MOD(Calculator!$B$31/Calculator!$F$13,1)),2)))/$C38,$C38/(50*POWER(80,POWER(COS(PI()*MOD(Calculator!$B$31/Calculator!$F$13,1)),2)))),2))</f>
        <v>—</v>
      </c>
      <c r="S38" s="105" t="n">
        <f aca="false">IF(OR(Calculator!$E$14&lt;&gt;"YES",Calculator!$B$31&lt;Calculator!$G$14),"—",ROUND(MAX((50*POWER(80,POWER(COS(PI()*MOD(Calculator!$B$31/Calculator!$F$14,1)),2)))/$C38,$C38/(50*POWER(80,POWER(COS(PI()*MOD(Calculator!$B$31/Calculator!$F$14,1)),2)))),2))</f>
        <v>2.78</v>
      </c>
      <c r="T38" s="105" t="n">
        <f aca="false">IF(OR(Calculator!$E$15&lt;&gt;"YES",Calculator!$B$31&lt;Calculator!$G$15),"—",ROUND(MAX((50*POWER(80,POWER(COS(PI()*MOD(Calculator!$B$31/Calculator!$F$15,1)),2)))/$C38,$C38/(50*POWER(80,POWER(COS(PI()*MOD(Calculator!$B$31/Calculator!$F$15,1)),2)))),2))</f>
        <v>1.69</v>
      </c>
      <c r="U38" s="105" t="n">
        <f aca="false">IF(OR(Calculator!$E$16&lt;&gt;"YES",Calculator!$B$31&lt;Calculator!$G$16),"—",ROUND(MAX((50*POWER(80,POWER(COS(PI()*MOD(Calculator!$B$31/Calculator!$F$16,1)),2)))/$C38,$C38/(50*POWER(80,POWER(COS(PI()*MOD(Calculator!$B$31/Calculator!$F$16,1)),2)))),2))</f>
        <v>1.56</v>
      </c>
      <c r="V38" s="105" t="n">
        <f aca="false">IF(OR(Calculator!$E$17&lt;&gt;"YES",Calculator!$B$31&lt;Calculator!$G$17),"—",ROUND(MAX((50*POWER(80,POWER(COS(PI()*MOD(Calculator!$B$31/Calculator!$F$17,1)),2)))/$C38,$C38/(50*POWER(80,POWER(COS(PI()*MOD(Calculator!$B$31/Calculator!$F$17,1)),2)))),2))</f>
        <v>5.4</v>
      </c>
      <c r="W38" s="105" t="n">
        <f aca="false">IF(OR(Calculator!$E$18&lt;&gt;"YES",Calculator!$B$31&lt;Calculator!$G$18),"—",ROUND(MAX((50*POWER(80,POWER(COS(PI()*MOD(Calculator!$B$31/Calculator!$F$18,1)),2)))/$C38,$C38/(50*POWER(80,POWER(COS(PI()*MOD(Calculator!$B$31/Calculator!$F$18,1)),2)))),2))</f>
        <v>6.14</v>
      </c>
      <c r="X38" s="105" t="n">
        <f aca="false">IF(OR(Calculator!$E$19&lt;&gt;"YES",Calculator!$B$31&lt;Calculator!$G$19),"—",ROUND(MAX((50*POWER(80,POWER(COS(PI()*MOD(Calculator!$B$31/Calculator!$F$19,1)),2)))/$C38,$C38/(50*POWER(80,POWER(COS(PI()*MOD(Calculator!$B$31/Calculator!$F$19,1)),2)))),2))</f>
        <v>1.11</v>
      </c>
      <c r="Y38" s="105" t="n">
        <f aca="false">IF(OR(Calculator!$E$20&lt;&gt;"YES",Calculator!$B$31&lt;Calculator!$G$20),"—",ROUND(MAX((50*POWER(80,POWER(COS(PI()*MOD(Calculator!$B$31/Calculator!$F$20,1)),2)))/$C38,$C38/(50*POWER(80,POWER(COS(PI()*MOD(Calculator!$B$31/Calculator!$F$20,1)),2)))),2))</f>
        <v>3.68</v>
      </c>
      <c r="Z38" s="105" t="str">
        <f aca="false">IF(OR(Calculator!$E$21&lt;&gt;"YES",Calculator!$B$31&lt;Calculator!$G$21),"—",ROUND(MAX((50*POWER(80,POWER(COS(PI()*MOD(Calculator!$B$31/Calculator!$F$21,1)),2)))/$C38,$C38/(50*POWER(80,POWER(COS(PI()*MOD(Calculator!$B$31/Calculator!$F$21,1)),2)))),2))</f>
        <v>—</v>
      </c>
      <c r="AA38" s="100" t="n">
        <f aca="false">IFERROR(ROUND((IF(ISNUMBER(P38),P38,0)+IF(ISNUMBER(Q38),Q38,0)+IF(ISNUMBER(R38),R38,0)+IF(ISNUMBER(S38),S38,0)+IF(ISNUMBER(T38),T38,0)+IF(ISNUMBER(U38),U38,0)+IF(ISNUMBER(V38),V38,0)+IF(ISNUMBER(W38),W38,0)+IF(ISNUMBER(X38),X38,0)+IF(ISNUMBER(Y38),Y38,0)+IF(ISNUMBER(Z38),Z38,0))/(IF(ISNUMBER(P38),1,0)+IF(ISNUMBER(Q38),1,0)+IF(ISNUMBER(R38),1,0)+IF(ISNUMBER(S38),1,0)+IF(ISNUMBER(T38),1,0)+IF(ISNUMBER(U38),1,0)+IF(ISNUMBER(V38),1,0)+IF(ISNUMBER(W38),1,0)+IF(ISNUMBER(X38),1,0)+IF(ISNUMBER(Y38),1,0)+IF(ISNUMBER(Z38),1,0)),2),"")</f>
        <v>3.19</v>
      </c>
      <c r="AB38" s="105" t="str">
        <f aca="false">IF(OR(Calculator!$E$11&lt;&gt;"YES",Calculator!$B$32&lt;Calculator!$G$11),"—",ROUND(MAX((50*POWER(80,POWER(COS(PI()*MOD(Calculator!$B$32/Calculator!$F$11,1)),2)))/$C38,$C38/(50*POWER(80,POWER(COS(PI()*MOD(Calculator!$B$32/Calculator!$F$11,1)),2)))),2))</f>
        <v>—</v>
      </c>
      <c r="AC38" s="105" t="str">
        <f aca="false">IF(OR(Calculator!$E$12&lt;&gt;"YES",Calculator!$B$32&lt;Calculator!$G$12),"—",ROUND(MAX((50*POWER(80,POWER(COS(PI()*MOD(Calculator!$B$32/Calculator!$F$12,1)),2)))/$C38,$C38/(50*POWER(80,POWER(COS(PI()*MOD(Calculator!$B$32/Calculator!$F$12,1)),2)))),2))</f>
        <v>—</v>
      </c>
      <c r="AD38" s="105" t="str">
        <f aca="false">IF(OR(Calculator!$E$13&lt;&gt;"YES",Calculator!$B$32&lt;Calculator!$G$13),"—",ROUND(MAX((50*POWER(80,POWER(COS(PI()*MOD(Calculator!$B$32/Calculator!$F$13,1)),2)))/$C38,$C38/(50*POWER(80,POWER(COS(PI()*MOD(Calculator!$B$32/Calculator!$F$13,1)),2)))),2))</f>
        <v>—</v>
      </c>
      <c r="AE38" s="105" t="n">
        <f aca="false">IF(OR(Calculator!$E$14&lt;&gt;"YES",Calculator!$B$32&lt;Calculator!$G$14),"—",ROUND(MAX((50*POWER(80,POWER(COS(PI()*MOD(Calculator!$B$32/Calculator!$F$14,1)),2)))/$C38,$C38/(50*POWER(80,POWER(COS(PI()*MOD(Calculator!$B$32/Calculator!$F$14,1)),2)))),2))</f>
        <v>1.75</v>
      </c>
      <c r="AF38" s="105" t="n">
        <f aca="false">IF(OR(Calculator!$E$15&lt;&gt;"YES",Calculator!$B$32&lt;Calculator!$G$15),"—",ROUND(MAX((50*POWER(80,POWER(COS(PI()*MOD(Calculator!$B$32/Calculator!$F$15,1)),2)))/$C38,$C38/(50*POWER(80,POWER(COS(PI()*MOD(Calculator!$B$32/Calculator!$F$15,1)),2)))),2))</f>
        <v>1.13</v>
      </c>
      <c r="AG38" s="105" t="n">
        <f aca="false">IF(OR(Calculator!$E$16&lt;&gt;"YES",Calculator!$B$32&lt;Calculator!$G$16),"—",ROUND(MAX((50*POWER(80,POWER(COS(PI()*MOD(Calculator!$B$32/Calculator!$F$16,1)),2)))/$C38,$C38/(50*POWER(80,POWER(COS(PI()*MOD(Calculator!$B$32/Calculator!$F$16,1)),2)))),2))</f>
        <v>3.83</v>
      </c>
      <c r="AH38" s="105" t="n">
        <f aca="false">IF(OR(Calculator!$E$17&lt;&gt;"YES",Calculator!$B$32&lt;Calculator!$G$17),"—",ROUND(MAX((50*POWER(80,POWER(COS(PI()*MOD(Calculator!$B$32/Calculator!$F$17,1)),2)))/$C38,$C38/(50*POWER(80,POWER(COS(PI()*MOD(Calculator!$B$32/Calculator!$F$17,1)),2)))),2))</f>
        <v>7.68</v>
      </c>
      <c r="AI38" s="105" t="n">
        <f aca="false">IF(OR(Calculator!$E$18&lt;&gt;"YES",Calculator!$B$32&lt;Calculator!$G$18),"—",ROUND(MAX((50*POWER(80,POWER(COS(PI()*MOD(Calculator!$B$32/Calculator!$F$18,1)),2)))/$C38,$C38/(50*POWER(80,POWER(COS(PI()*MOD(Calculator!$B$32/Calculator!$F$18,1)),2)))),2))</f>
        <v>8.32</v>
      </c>
      <c r="AJ38" s="105" t="n">
        <f aca="false">IF(OR(Calculator!$E$19&lt;&gt;"YES",Calculator!$B$32&lt;Calculator!$G$19),"—",ROUND(MAX((50*POWER(80,POWER(COS(PI()*MOD(Calculator!$B$32/Calculator!$F$19,1)),2)))/$C38,$C38/(50*POWER(80,POWER(COS(PI()*MOD(Calculator!$B$32/Calculator!$F$19,1)),2)))),2))</f>
        <v>8.76</v>
      </c>
      <c r="AK38" s="105" t="n">
        <f aca="false">IF(OR(Calculator!$E$20&lt;&gt;"YES",Calculator!$B$32&lt;Calculator!$G$20),"—",ROUND(MAX((50*POWER(80,POWER(COS(PI()*MOD(Calculator!$B$32/Calculator!$F$20,1)),2)))/$C38,$C38/(50*POWER(80,POWER(COS(PI()*MOD(Calculator!$B$32/Calculator!$F$20,1)),2)))),2))</f>
        <v>3.01</v>
      </c>
      <c r="AL38" s="105" t="str">
        <f aca="false">IF(OR(Calculator!$E$21&lt;&gt;"YES",Calculator!$B$32&lt;Calculator!$G$21),"—",ROUND(MAX((50*POWER(80,POWER(COS(PI()*MOD(Calculator!$B$32/Calculator!$F$21,1)),2)))/$C38,$C38/(50*POWER(80,POWER(COS(PI()*MOD(Calculator!$B$32/Calculator!$F$21,1)),2)))),2))</f>
        <v>—</v>
      </c>
      <c r="AM38" s="101" t="n">
        <f aca="false">IFERROR(ROUND((IF(ISNUMBER(AB38),AB38,0)+IF(ISNUMBER(AC38),AC38,0)+IF(ISNUMBER(AD38),AD38,0)+IF(ISNUMBER(AE38),AE38,0)+IF(ISNUMBER(AF38),AF38,0)+IF(ISNUMBER(AG38),AG38,0)+IF(ISNUMBER(AH38),AH38,0)+IF(ISNUMBER(AI38),AI38,0)+IF(ISNUMBER(AJ38),AJ38,0)+IF(ISNUMBER(AK38),AK38,0)+IF(ISNUMBER(AL38),AL38,0))/(IF(ISNUMBER(AB38),1,0)+IF(ISNUMBER(AC38),1,0)+IF(ISNUMBER(AD38),1,0)+IF(ISNUMBER(AE38),1,0)+IF(ISNUMBER(AF38),1,0)+IF(ISNUMBER(AG38),1,0)+IF(ISNUMBER(AH38),1,0)+IF(ISNUMBER(AI38),1,0)+IF(ISNUMBER(AJ38),1,0)+IF(ISNUMBER(AK38),1,0)+IF(ISNUMBER(AL38),1,0)),2),"")</f>
        <v>4.93</v>
      </c>
      <c r="AN38" s="106" t="str">
        <f aca="false">IF(OR(Calculator!$E$11&lt;&gt;"YES",Calculator!$B$33&lt;Calculator!$G$11),"—",ROUND(MAX((50*POWER(80,POWER(COS(PI()*MOD(Calculator!$B$33/Calculator!$F$11,1)),2)))/$C38,$C38/(50*POWER(80,POWER(COS(PI()*MOD(Calculator!$B$33/Calculator!$F$11,1)),2)))),2))</f>
        <v>—</v>
      </c>
      <c r="AO38" s="106" t="str">
        <f aca="false">IF(OR(Calculator!$E$12&lt;&gt;"YES",Calculator!$B$33&lt;Calculator!$G$12),"—",ROUND(MAX((50*POWER(80,POWER(COS(PI()*MOD(Calculator!$B$33/Calculator!$F$12,1)),2)))/$C38,$C38/(50*POWER(80,POWER(COS(PI()*MOD(Calculator!$B$33/Calculator!$F$12,1)),2)))),2))</f>
        <v>—</v>
      </c>
      <c r="AP38" s="106" t="str">
        <f aca="false">IF(OR(Calculator!$E$13&lt;&gt;"YES",Calculator!$B$33&lt;Calculator!$G$13),"—",ROUND(MAX((50*POWER(80,POWER(COS(PI()*MOD(Calculator!$B$33/Calculator!$F$13,1)),2)))/$C38,$C38/(50*POWER(80,POWER(COS(PI()*MOD(Calculator!$B$33/Calculator!$F$13,1)),2)))),2))</f>
        <v>—</v>
      </c>
      <c r="AQ38" s="106" t="n">
        <f aca="false">IF(OR(Calculator!$E$14&lt;&gt;"YES",Calculator!$B$33&lt;Calculator!$G$14),"—",ROUND(MAX((50*POWER(80,POWER(COS(PI()*MOD(Calculator!$B$33/Calculator!$F$14,1)),2)))/$C38,$C38/(50*POWER(80,POWER(COS(PI()*MOD(Calculator!$B$33/Calculator!$F$14,1)),2)))),2))</f>
        <v>9.09</v>
      </c>
      <c r="AR38" s="106" t="n">
        <f aca="false">IF(OR(Calculator!$E$15&lt;&gt;"YES",Calculator!$B$33&lt;Calculator!$G$15),"—",ROUND(MAX((50*POWER(80,POWER(COS(PI()*MOD(Calculator!$B$33/Calculator!$F$15,1)),2)))/$C38,$C38/(50*POWER(80,POWER(COS(PI()*MOD(Calculator!$B$33/Calculator!$F$15,1)),2)))),2))</f>
        <v>1.02</v>
      </c>
      <c r="AS38" s="106" t="n">
        <f aca="false">IF(OR(Calculator!$E$16&lt;&gt;"YES",Calculator!$B$33&lt;Calculator!$G$16),"—",ROUND(MAX((50*POWER(80,POWER(COS(PI()*MOD(Calculator!$B$33/Calculator!$F$16,1)),2)))/$C38,$C38/(50*POWER(80,POWER(COS(PI()*MOD(Calculator!$B$33/Calculator!$F$16,1)),2)))),2))</f>
        <v>2.68</v>
      </c>
      <c r="AT38" s="106" t="n">
        <f aca="false">IF(OR(Calculator!$E$17&lt;&gt;"YES",Calculator!$B$33&lt;Calculator!$G$17),"—",ROUND(MAX((50*POWER(80,POWER(COS(PI()*MOD(Calculator!$B$33/Calculator!$F$17,1)),2)))/$C38,$C38/(50*POWER(80,POWER(COS(PI()*MOD(Calculator!$B$33/Calculator!$F$17,1)),2)))),2))</f>
        <v>1.19</v>
      </c>
      <c r="AU38" s="106" t="n">
        <f aca="false">IF(OR(Calculator!$E$18&lt;&gt;"YES",Calculator!$B$33&lt;Calculator!$G$18),"—",ROUND(MAX((50*POWER(80,POWER(COS(PI()*MOD(Calculator!$B$33/Calculator!$F$18,1)),2)))/$C38,$C38/(50*POWER(80,POWER(COS(PI()*MOD(Calculator!$B$33/Calculator!$F$18,1)),2)))),2))</f>
        <v>1.6</v>
      </c>
      <c r="AV38" s="106" t="n">
        <f aca="false">IF(OR(Calculator!$E$19&lt;&gt;"YES",Calculator!$B$33&lt;Calculator!$G$19),"—",ROUND(MAX((50*POWER(80,POWER(COS(PI()*MOD(Calculator!$B$33/Calculator!$F$19,1)),2)))/$C38,$C38/(50*POWER(80,POWER(COS(PI()*MOD(Calculator!$B$33/Calculator!$F$19,1)),2)))),2))</f>
        <v>5.12</v>
      </c>
      <c r="AW38" s="106" t="n">
        <f aca="false">IF(OR(Calculator!$E$20&lt;&gt;"YES",Calculator!$B$33&lt;Calculator!$G$20),"—",ROUND(MAX((50*POWER(80,POWER(COS(PI()*MOD(Calculator!$B$33/Calculator!$F$20,1)),2)))/$C38,$C38/(50*POWER(80,POWER(COS(PI()*MOD(Calculator!$B$33/Calculator!$F$20,1)),2)))),2))</f>
        <v>2.45</v>
      </c>
      <c r="AX38" s="106" t="str">
        <f aca="false">IF(OR(Calculator!$E$21&lt;&gt;"YES",Calculator!$B$33&lt;Calculator!$G$21),"—",ROUND(MAX((50*POWER(80,POWER(COS(PI()*MOD(Calculator!$B$33/Calculator!$F$21,1)),2)))/$C38,$C38/(50*POWER(80,POWER(COS(PI()*MOD(Calculator!$B$33/Calculator!$F$21,1)),2)))),2))</f>
        <v>—</v>
      </c>
      <c r="AY38" s="101" t="n">
        <f aca="false">IFERROR(ROUND((IF(ISNUMBER(AN38),AN38,0)+IF(ISNUMBER(AO38),AO38,0)+IF(ISNUMBER(AP38),AP38,0)+IF(ISNUMBER(AQ38),AQ38,0)+IF(ISNUMBER(AR38),AR38,0)+IF(ISNUMBER(AS38),AS38,0)+IF(ISNUMBER(AT38),AT38,0)+IF(ISNUMBER(AU38),AU38,0)+IF(ISNUMBER(AV38),AV38,0)+IF(ISNUMBER(AW38),AW38,0)+IF(ISNUMBER(AX38),AX38,0))/(IF(ISNUMBER(AN38),1,0)+IF(ISNUMBER(AO38),1,0)+IF(ISNUMBER(AP38),1,0)+IF(ISNUMBER(AQ38),1,0)+IF(ISNUMBER(AR38),1,0)+IF(ISNUMBER(AS38),1,0)+IF(ISNUMBER(AT38),1,0)+IF(ISNUMBER(AU38),1,0)+IF(ISNUMBER(AV38),1,0)+IF(ISNUMBER(AW38),1,0)+IF(ISNUMBER(AX38),1,0)),2),"")</f>
        <v>3.31</v>
      </c>
      <c r="AZ38" s="106" t="str">
        <f aca="false">IF(OR(Calculator!$E$11&lt;&gt;"YES",Calculator!$B$34&lt;Calculator!$G$11),"—",ROUND(MAX((50*POWER(80,POWER(COS(PI()*MOD(Calculator!$B$34/Calculator!$F$11,1)),2)))/$C38,$C38/(50*POWER(80,POWER(COS(PI()*MOD(Calculator!$B$34/Calculator!$F$11,1)),2)))),2))</f>
        <v>—</v>
      </c>
      <c r="BA38" s="106" t="str">
        <f aca="false">IF(OR(Calculator!$E$12&lt;&gt;"YES",Calculator!$B$34&lt;Calculator!$G$12),"—",ROUND(MAX((50*POWER(80,POWER(COS(PI()*MOD(Calculator!$B$34/Calculator!$F$12,1)),2)))/$C38,$C38/(50*POWER(80,POWER(COS(PI()*MOD(Calculator!$B$34/Calculator!$F$12,1)),2)))),2))</f>
        <v>—</v>
      </c>
      <c r="BB38" s="106" t="str">
        <f aca="false">IF(OR(Calculator!$E$13&lt;&gt;"YES",Calculator!$B$34&lt;Calculator!$G$13),"—",ROUND(MAX((50*POWER(80,POWER(COS(PI()*MOD(Calculator!$B$34/Calculator!$F$13,1)),2)))/$C38,$C38/(50*POWER(80,POWER(COS(PI()*MOD(Calculator!$B$34/Calculator!$F$13,1)),2)))),2))</f>
        <v>—</v>
      </c>
      <c r="BC38" s="106" t="n">
        <f aca="false">IF(OR(Calculator!$E$14&lt;&gt;"YES",Calculator!$B$34&lt;Calculator!$G$14),"—",ROUND(MAX((50*POWER(80,POWER(COS(PI()*MOD(Calculator!$B$34/Calculator!$F$14,1)),2)))/$C38,$C38/(50*POWER(80,POWER(COS(PI()*MOD(Calculator!$B$34/Calculator!$F$14,1)),2)))),2))</f>
        <v>9.25</v>
      </c>
      <c r="BD38" s="106" t="n">
        <f aca="false">IF(OR(Calculator!$E$15&lt;&gt;"YES",Calculator!$B$34&lt;Calculator!$G$15),"—",ROUND(MAX((50*POWER(80,POWER(COS(PI()*MOD(Calculator!$B$34/Calculator!$F$15,1)),2)))/$C38,$C38/(50*POWER(80,POWER(COS(PI()*MOD(Calculator!$B$34/Calculator!$F$15,1)),2)))),2))</f>
        <v>1.32</v>
      </c>
      <c r="BE38" s="106" t="n">
        <f aca="false">IF(OR(Calculator!$E$16&lt;&gt;"YES",Calculator!$B$34&lt;Calculator!$G$16),"—",ROUND(MAX((50*POWER(80,POWER(COS(PI()*MOD(Calculator!$B$34/Calculator!$F$16,1)),2)))/$C38,$C38/(50*POWER(80,POWER(COS(PI()*MOD(Calculator!$B$34/Calculator!$F$16,1)),2)))),2))</f>
        <v>2.25</v>
      </c>
      <c r="BF38" s="106" t="n">
        <f aca="false">IF(OR(Calculator!$E$17&lt;&gt;"YES",Calculator!$B$34&lt;Calculator!$G$17),"—",ROUND(MAX((50*POWER(80,POWER(COS(PI()*MOD(Calculator!$B$34/Calculator!$F$17,1)),2)))/$C38,$C38/(50*POWER(80,POWER(COS(PI()*MOD(Calculator!$B$34/Calculator!$F$17,1)),2)))),2))</f>
        <v>4.36</v>
      </c>
      <c r="BG38" s="106" t="n">
        <f aca="false">IF(OR(Calculator!$E$18&lt;&gt;"YES",Calculator!$B$34&lt;Calculator!$G$18),"—",ROUND(MAX((50*POWER(80,POWER(COS(PI()*MOD(Calculator!$B$34/Calculator!$F$18,1)),2)))/$C38,$C38/(50*POWER(80,POWER(COS(PI()*MOD(Calculator!$B$34/Calculator!$F$18,1)),2)))),2))</f>
        <v>2.17</v>
      </c>
      <c r="BH38" s="106" t="n">
        <f aca="false">IF(OR(Calculator!$E$19&lt;&gt;"YES",Calculator!$B$34&lt;Calculator!$G$19),"—",ROUND(MAX((50*POWER(80,POWER(COS(PI()*MOD(Calculator!$B$34/Calculator!$F$19,1)),2)))/$C38,$C38/(50*POWER(80,POWER(COS(PI()*MOD(Calculator!$B$34/Calculator!$F$19,1)),2)))),2))</f>
        <v>2.41</v>
      </c>
      <c r="BI38" s="106" t="n">
        <f aca="false">IF(OR(Calculator!$E$20&lt;&gt;"YES",Calculator!$B$34&lt;Calculator!$G$20),"—",ROUND(MAX((50*POWER(80,POWER(COS(PI()*MOD(Calculator!$B$34/Calculator!$F$20,1)),2)))/$C38,$C38/(50*POWER(80,POWER(COS(PI()*MOD(Calculator!$B$34/Calculator!$F$20,1)),2)))),2))</f>
        <v>1.44</v>
      </c>
      <c r="BJ38" s="106" t="str">
        <f aca="false">IF(OR(Calculator!$E$21&lt;&gt;"YES",Calculator!$B$34&lt;Calculator!$G$21),"—",ROUND(MAX((50*POWER(80,POWER(COS(PI()*MOD(Calculator!$B$34/Calculator!$F$21,1)),2)))/$C38,$C38/(50*POWER(80,POWER(COS(PI()*MOD(Calculator!$B$34/Calculator!$F$21,1)),2)))),2))</f>
        <v>—</v>
      </c>
      <c r="BK38" s="101" t="n">
        <f aca="false">IFERROR(ROUND((IF(ISNUMBER(AZ38),AZ38,0)+IF(ISNUMBER(BA38),BA38,0)+IF(ISNUMBER(BB38),BB38,0)+IF(ISNUMBER(BC38),BC38,0)+IF(ISNUMBER(BD38),BD38,0)+IF(ISNUMBER(BE38),BE38,0)+IF(ISNUMBER(BF38),BF38,0)+IF(ISNUMBER(BG38),BG38,0)+IF(ISNUMBER(BH38),BH38,0)+IF(ISNUMBER(BI38),BI38,0)+IF(ISNUMBER(BJ38),BJ38,0))/(IF(ISNUMBER(AZ38),1,0)+IF(ISNUMBER(BA38),1,0)+IF(ISNUMBER(BB38),1,0)+IF(ISNUMBER(BC38),1,0)+IF(ISNUMBER(BD38),1,0)+IF(ISNUMBER(BE38),1,0)+IF(ISNUMBER(BF38),1,0)+IF(ISNUMBER(BG38),1,0)+IF(ISNUMBER(BH38),1,0)+IF(ISNUMBER(BI38),1,0)+IF(ISNUMBER(BJ38),1,0)),2),"")</f>
        <v>3.31</v>
      </c>
    </row>
    <row r="39" customFormat="false" ht="15" hidden="false" customHeight="false" outlineLevel="0" collapsed="false">
      <c r="A39" s="74" t="s">
        <v>88</v>
      </c>
      <c r="B39" s="74" t="s">
        <v>86</v>
      </c>
      <c r="C39" s="77" t="n">
        <v>350</v>
      </c>
      <c r="D39" s="78" t="str">
        <f aca="false">IF(OR(Calculator!$E$11&lt;&gt;"YES",Calculator!$B$30&lt;Calculator!$G$11),"—",ROUND(MAX((50*POWER(80,POWER(COS(PI()*MOD(Calculator!$B$30/Calculator!$F$11,1)),2)))/$C39,$C39/(50*POWER(80,POWER(COS(PI()*MOD(Calculator!$B$30/Calculator!$F$11,1)),2)))),2))</f>
        <v>—</v>
      </c>
      <c r="E39" s="78" t="str">
        <f aca="false">IF(OR(Calculator!$E$12&lt;&gt;"YES",Calculator!$B$30&lt;Calculator!$G$12),"—",ROUND(MAX((50*POWER(80,POWER(COS(PI()*MOD(Calculator!$B$30/Calculator!$F$12,1)),2)))/$C39,$C39/(50*POWER(80,POWER(COS(PI()*MOD(Calculator!$B$30/Calculator!$F$12,1)),2)))),2))</f>
        <v>—</v>
      </c>
      <c r="F39" s="78" t="str">
        <f aca="false">IF(OR(Calculator!$E$13&lt;&gt;"YES",Calculator!$B$30&lt;Calculator!$G$13),"—",ROUND(MAX((50*POWER(80,POWER(COS(PI()*MOD(Calculator!$B$30/Calculator!$F$13,1)),2)))/$C39,$C39/(50*POWER(80,POWER(COS(PI()*MOD(Calculator!$B$30/Calculator!$F$13,1)),2)))),2))</f>
        <v>—</v>
      </c>
      <c r="G39" s="78" t="n">
        <f aca="false">IF(OR(Calculator!$E$14&lt;&gt;"YES",Calculator!$B$30&lt;Calculator!$G$14),"—",ROUND(MAX((50*POWER(80,POWER(COS(PI()*MOD(Calculator!$B$30/Calculator!$F$14,1)),2)))/$C39,$C39/(50*POWER(80,POWER(COS(PI()*MOD(Calculator!$B$30/Calculator!$F$14,1)),2)))),2))</f>
        <v>3.16</v>
      </c>
      <c r="H39" s="78" t="n">
        <f aca="false">IF(OR(Calculator!$E$15&lt;&gt;"YES",Calculator!$B$30&lt;Calculator!$G$15),"—",ROUND(MAX((50*POWER(80,POWER(COS(PI()*MOD(Calculator!$B$30/Calculator!$F$15,1)),2)))/$C39,$C39/(50*POWER(80,POWER(COS(PI()*MOD(Calculator!$B$30/Calculator!$F$15,1)),2)))),2))</f>
        <v>1.09</v>
      </c>
      <c r="I39" s="78" t="n">
        <f aca="false">IF(OR(Calculator!$E$16&lt;&gt;"YES",Calculator!$B$30&lt;Calculator!$G$16),"—",ROUND(MAX((50*POWER(80,POWER(COS(PI()*MOD(Calculator!$B$30/Calculator!$F$16,1)),2)))/$C39,$C39/(50*POWER(80,POWER(COS(PI()*MOD(Calculator!$B$30/Calculator!$F$16,1)),2)))),2))</f>
        <v>1.6</v>
      </c>
      <c r="J39" s="78" t="n">
        <f aca="false">IF(OR(Calculator!$E$17&lt;&gt;"YES",Calculator!$B$30&lt;Calculator!$G$17),"—",ROUND(MAX((50*POWER(80,POWER(COS(PI()*MOD(Calculator!$B$30/Calculator!$F$17,1)),2)))/$C39,$C39/(50*POWER(80,POWER(COS(PI()*MOD(Calculator!$B$30/Calculator!$F$17,1)),2)))),2))</f>
        <v>1.76</v>
      </c>
      <c r="K39" s="78" t="n">
        <f aca="false">IF(OR(Calculator!$E$18&lt;&gt;"YES",Calculator!$B$30&lt;Calculator!$G$18),"—",ROUND(MAX((50*POWER(80,POWER(COS(PI()*MOD(Calculator!$B$30/Calculator!$F$18,1)),2)))/$C39,$C39/(50*POWER(80,POWER(COS(PI()*MOD(Calculator!$B$30/Calculator!$F$18,1)),2)))),2))</f>
        <v>3.99</v>
      </c>
      <c r="L39" s="78" t="n">
        <f aca="false">IF(OR(Calculator!$E$19&lt;&gt;"YES",Calculator!$B$30&lt;Calculator!$G$19),"—",ROUND(MAX((50*POWER(80,POWER(COS(PI()*MOD(Calculator!$B$30/Calculator!$F$19,1)),2)))/$C39,$C39/(50*POWER(80,POWER(COS(PI()*MOD(Calculator!$B$30/Calculator!$F$19,1)),2)))),2))</f>
        <v>2.24</v>
      </c>
      <c r="M39" s="78" t="n">
        <f aca="false">IF(OR(Calculator!$E$20&lt;&gt;"YES",Calculator!$B$30&lt;Calculator!$G$20),"—",ROUND(MAX((50*POWER(80,POWER(COS(PI()*MOD(Calculator!$B$30/Calculator!$F$20,1)),2)))/$C39,$C39/(50*POWER(80,POWER(COS(PI()*MOD(Calculator!$B$30/Calculator!$F$20,1)),2)))),2))</f>
        <v>2.76</v>
      </c>
      <c r="N39" s="78" t="str">
        <f aca="false">IF(OR(Calculator!$E$21&lt;&gt;"YES",Calculator!$B$30&lt;Calculator!$G$21),"—",ROUND(MAX((50*POWER(80,POWER(COS(PI()*MOD(Calculator!$B$30/Calculator!$F$21,1)),2)))/$C39,$C39/(50*POWER(80,POWER(COS(PI()*MOD(Calculator!$B$30/Calculator!$F$21,1)),2)))),2))</f>
        <v>—</v>
      </c>
      <c r="O39" s="100" t="n">
        <f aca="false">IFERROR(ROUND((IF(ISNUMBER(D39),D39,0)+IF(ISNUMBER(E39),E39,0)+IF(ISNUMBER(F39),F39,0)+IF(ISNUMBER(G39),G39,0)+IF(ISNUMBER(H39),H39,0)+IF(ISNUMBER(I39),I39,0)+IF(ISNUMBER(J39),J39,0)+IF(ISNUMBER(K39),K39,0)+IF(ISNUMBER(L39),L39,0)+IF(ISNUMBER(M39),M39,0)+IF(ISNUMBER(N39),N39,0))/(IF(ISNUMBER(D39),1,0)+IF(ISNUMBER(E39),1,0)+IF(ISNUMBER(F39),1,0)+IF(ISNUMBER(G39),1,0)+IF(ISNUMBER(H39),1,0)+IF(ISNUMBER(I39),1,0)+IF(ISNUMBER(J39),1,0)+IF(ISNUMBER(K39),1,0)+IF(ISNUMBER(L39),1,0)+IF(ISNUMBER(M39),1,0)+IF(ISNUMBER(N39),1,0)),2),"")</f>
        <v>2.37</v>
      </c>
      <c r="P39" s="78" t="str">
        <f aca="false">IF(OR(Calculator!$E$11&lt;&gt;"YES",Calculator!$B$31&lt;Calculator!$G$11),"—",ROUND(MAX((50*POWER(80,POWER(COS(PI()*MOD(Calculator!$B$31/Calculator!$F$11,1)),2)))/$C39,$C39/(50*POWER(80,POWER(COS(PI()*MOD(Calculator!$B$31/Calculator!$F$11,1)),2)))),2))</f>
        <v>—</v>
      </c>
      <c r="Q39" s="78" t="str">
        <f aca="false">IF(OR(Calculator!$E$12&lt;&gt;"YES",Calculator!$B$31&lt;Calculator!$G$12),"—",ROUND(MAX((50*POWER(80,POWER(COS(PI()*MOD(Calculator!$B$31/Calculator!$F$12,1)),2)))/$C39,$C39/(50*POWER(80,POWER(COS(PI()*MOD(Calculator!$B$31/Calculator!$F$12,1)),2)))),2))</f>
        <v>—</v>
      </c>
      <c r="R39" s="78" t="str">
        <f aca="false">IF(OR(Calculator!$E$13&lt;&gt;"YES",Calculator!$B$31&lt;Calculator!$G$13),"—",ROUND(MAX((50*POWER(80,POWER(COS(PI()*MOD(Calculator!$B$31/Calculator!$F$13,1)),2)))/$C39,$C39/(50*POWER(80,POWER(COS(PI()*MOD(Calculator!$B$31/Calculator!$F$13,1)),2)))),2))</f>
        <v>—</v>
      </c>
      <c r="S39" s="78" t="n">
        <f aca="false">IF(OR(Calculator!$E$14&lt;&gt;"YES",Calculator!$B$31&lt;Calculator!$G$14),"—",ROUND(MAX((50*POWER(80,POWER(COS(PI()*MOD(Calculator!$B$31/Calculator!$F$14,1)),2)))/$C39,$C39/(50*POWER(80,POWER(COS(PI()*MOD(Calculator!$B$31/Calculator!$F$14,1)),2)))),2))</f>
        <v>3.24</v>
      </c>
      <c r="T39" s="78" t="n">
        <f aca="false">IF(OR(Calculator!$E$15&lt;&gt;"YES",Calculator!$B$31&lt;Calculator!$G$15),"—",ROUND(MAX((50*POWER(80,POWER(COS(PI()*MOD(Calculator!$B$31/Calculator!$F$15,1)),2)))/$C39,$C39/(50*POWER(80,POWER(COS(PI()*MOD(Calculator!$B$31/Calculator!$F$15,1)),2)))),2))</f>
        <v>1.97</v>
      </c>
      <c r="U39" s="78" t="n">
        <f aca="false">IF(OR(Calculator!$E$16&lt;&gt;"YES",Calculator!$B$31&lt;Calculator!$G$16),"—",ROUND(MAX((50*POWER(80,POWER(COS(PI()*MOD(Calculator!$B$31/Calculator!$F$16,1)),2)))/$C39,$C39/(50*POWER(80,POWER(COS(PI()*MOD(Calculator!$B$31/Calculator!$F$16,1)),2)))),2))</f>
        <v>1.33</v>
      </c>
      <c r="V39" s="78" t="n">
        <f aca="false">IF(OR(Calculator!$E$17&lt;&gt;"YES",Calculator!$B$31&lt;Calculator!$G$17),"—",ROUND(MAX((50*POWER(80,POWER(COS(PI()*MOD(Calculator!$B$31/Calculator!$F$17,1)),2)))/$C39,$C39/(50*POWER(80,POWER(COS(PI()*MOD(Calculator!$B$31/Calculator!$F$17,1)),2)))),2))</f>
        <v>4.63</v>
      </c>
      <c r="W39" s="78" t="n">
        <f aca="false">IF(OR(Calculator!$E$18&lt;&gt;"YES",Calculator!$B$31&lt;Calculator!$G$18),"—",ROUND(MAX((50*POWER(80,POWER(COS(PI()*MOD(Calculator!$B$31/Calculator!$F$18,1)),2)))/$C39,$C39/(50*POWER(80,POWER(COS(PI()*MOD(Calculator!$B$31/Calculator!$F$18,1)),2)))),2))</f>
        <v>5.26</v>
      </c>
      <c r="X39" s="78" t="n">
        <f aca="false">IF(OR(Calculator!$E$19&lt;&gt;"YES",Calculator!$B$31&lt;Calculator!$G$19),"—",ROUND(MAX((50*POWER(80,POWER(COS(PI()*MOD(Calculator!$B$31/Calculator!$F$19,1)),2)))/$C39,$C39/(50*POWER(80,POWER(COS(PI()*MOD(Calculator!$B$31/Calculator!$F$19,1)),2)))),2))</f>
        <v>1.3</v>
      </c>
      <c r="Y39" s="78" t="n">
        <f aca="false">IF(OR(Calculator!$E$20&lt;&gt;"YES",Calculator!$B$31&lt;Calculator!$G$20),"—",ROUND(MAX((50*POWER(80,POWER(COS(PI()*MOD(Calculator!$B$31/Calculator!$F$20,1)),2)))/$C39,$C39/(50*POWER(80,POWER(COS(PI()*MOD(Calculator!$B$31/Calculator!$F$20,1)),2)))),2))</f>
        <v>4.29</v>
      </c>
      <c r="Z39" s="78" t="str">
        <f aca="false">IF(OR(Calculator!$E$21&lt;&gt;"YES",Calculator!$B$31&lt;Calculator!$G$21),"—",ROUND(MAX((50*POWER(80,POWER(COS(PI()*MOD(Calculator!$B$31/Calculator!$F$21,1)),2)))/$C39,$C39/(50*POWER(80,POWER(COS(PI()*MOD(Calculator!$B$31/Calculator!$F$21,1)),2)))),2))</f>
        <v>—</v>
      </c>
      <c r="AA39" s="100" t="n">
        <f aca="false">IFERROR(ROUND((IF(ISNUMBER(P39),P39,0)+IF(ISNUMBER(Q39),Q39,0)+IF(ISNUMBER(R39),R39,0)+IF(ISNUMBER(S39),S39,0)+IF(ISNUMBER(T39),T39,0)+IF(ISNUMBER(U39),U39,0)+IF(ISNUMBER(V39),V39,0)+IF(ISNUMBER(W39),W39,0)+IF(ISNUMBER(X39),X39,0)+IF(ISNUMBER(Y39),Y39,0)+IF(ISNUMBER(Z39),Z39,0))/(IF(ISNUMBER(P39),1,0)+IF(ISNUMBER(Q39),1,0)+IF(ISNUMBER(R39),1,0)+IF(ISNUMBER(S39),1,0)+IF(ISNUMBER(T39),1,0)+IF(ISNUMBER(U39),1,0)+IF(ISNUMBER(V39),1,0)+IF(ISNUMBER(W39),1,0)+IF(ISNUMBER(X39),1,0)+IF(ISNUMBER(Y39),1,0)+IF(ISNUMBER(Z39),1,0)),2),"")</f>
        <v>3.15</v>
      </c>
      <c r="AB39" s="78" t="str">
        <f aca="false">IF(OR(Calculator!$E$11&lt;&gt;"YES",Calculator!$B$32&lt;Calculator!$G$11),"—",ROUND(MAX((50*POWER(80,POWER(COS(PI()*MOD(Calculator!$B$32/Calculator!$F$11,1)),2)))/$C39,$C39/(50*POWER(80,POWER(COS(PI()*MOD(Calculator!$B$32/Calculator!$F$11,1)),2)))),2))</f>
        <v>—</v>
      </c>
      <c r="AC39" s="78" t="str">
        <f aca="false">IF(OR(Calculator!$E$12&lt;&gt;"YES",Calculator!$B$32&lt;Calculator!$G$12),"—",ROUND(MAX((50*POWER(80,POWER(COS(PI()*MOD(Calculator!$B$32/Calculator!$F$12,1)),2)))/$C39,$C39/(50*POWER(80,POWER(COS(PI()*MOD(Calculator!$B$32/Calculator!$F$12,1)),2)))),2))</f>
        <v>—</v>
      </c>
      <c r="AD39" s="78" t="str">
        <f aca="false">IF(OR(Calculator!$E$13&lt;&gt;"YES",Calculator!$B$32&lt;Calculator!$G$13),"—",ROUND(MAX((50*POWER(80,POWER(COS(PI()*MOD(Calculator!$B$32/Calculator!$F$13,1)),2)))/$C39,$C39/(50*POWER(80,POWER(COS(PI()*MOD(Calculator!$B$32/Calculator!$F$13,1)),2)))),2))</f>
        <v>—</v>
      </c>
      <c r="AE39" s="78" t="n">
        <f aca="false">IF(OR(Calculator!$E$14&lt;&gt;"YES",Calculator!$B$32&lt;Calculator!$G$14),"—",ROUND(MAX((50*POWER(80,POWER(COS(PI()*MOD(Calculator!$B$32/Calculator!$F$14,1)),2)))/$C39,$C39/(50*POWER(80,POWER(COS(PI()*MOD(Calculator!$B$32/Calculator!$F$14,1)),2)))),2))</f>
        <v>2.04</v>
      </c>
      <c r="AF39" s="78" t="n">
        <f aca="false">IF(OR(Calculator!$E$15&lt;&gt;"YES",Calculator!$B$32&lt;Calculator!$G$15),"—",ROUND(MAX((50*POWER(80,POWER(COS(PI()*MOD(Calculator!$B$32/Calculator!$F$15,1)),2)))/$C39,$C39/(50*POWER(80,POWER(COS(PI()*MOD(Calculator!$B$32/Calculator!$F$15,1)),2)))),2))</f>
        <v>1.32</v>
      </c>
      <c r="AG39" s="78" t="n">
        <f aca="false">IF(OR(Calculator!$E$16&lt;&gt;"YES",Calculator!$B$32&lt;Calculator!$G$16),"—",ROUND(MAX((50*POWER(80,POWER(COS(PI()*MOD(Calculator!$B$32/Calculator!$F$16,1)),2)))/$C39,$C39/(50*POWER(80,POWER(COS(PI()*MOD(Calculator!$B$32/Calculator!$F$16,1)),2)))),2))</f>
        <v>4.46</v>
      </c>
      <c r="AH39" s="78" t="n">
        <f aca="false">IF(OR(Calculator!$E$17&lt;&gt;"YES",Calculator!$B$32&lt;Calculator!$G$17),"—",ROUND(MAX((50*POWER(80,POWER(COS(PI()*MOD(Calculator!$B$32/Calculator!$F$17,1)),2)))/$C39,$C39/(50*POWER(80,POWER(COS(PI()*MOD(Calculator!$B$32/Calculator!$F$17,1)),2)))),2))</f>
        <v>6.58</v>
      </c>
      <c r="AI39" s="78" t="n">
        <f aca="false">IF(OR(Calculator!$E$18&lt;&gt;"YES",Calculator!$B$32&lt;Calculator!$G$18),"—",ROUND(MAX((50*POWER(80,POWER(COS(PI()*MOD(Calculator!$B$32/Calculator!$F$18,1)),2)))/$C39,$C39/(50*POWER(80,POWER(COS(PI()*MOD(Calculator!$B$32/Calculator!$F$18,1)),2)))),2))</f>
        <v>7.13</v>
      </c>
      <c r="AJ39" s="78" t="n">
        <f aca="false">IF(OR(Calculator!$E$19&lt;&gt;"YES",Calculator!$B$32&lt;Calculator!$G$19),"—",ROUND(MAX((50*POWER(80,POWER(COS(PI()*MOD(Calculator!$B$32/Calculator!$F$19,1)),2)))/$C39,$C39/(50*POWER(80,POWER(COS(PI()*MOD(Calculator!$B$32/Calculator!$F$19,1)),2)))),2))</f>
        <v>7.51</v>
      </c>
      <c r="AK39" s="78" t="n">
        <f aca="false">IF(OR(Calculator!$E$20&lt;&gt;"YES",Calculator!$B$32&lt;Calculator!$G$20),"—",ROUND(MAX((50*POWER(80,POWER(COS(PI()*MOD(Calculator!$B$32/Calculator!$F$20,1)),2)))/$C39,$C39/(50*POWER(80,POWER(COS(PI()*MOD(Calculator!$B$32/Calculator!$F$20,1)),2)))),2))</f>
        <v>3.51</v>
      </c>
      <c r="AL39" s="78" t="str">
        <f aca="false">IF(OR(Calculator!$E$21&lt;&gt;"YES",Calculator!$B$32&lt;Calculator!$G$21),"—",ROUND(MAX((50*POWER(80,POWER(COS(PI()*MOD(Calculator!$B$32/Calculator!$F$21,1)),2)))/$C39,$C39/(50*POWER(80,POWER(COS(PI()*MOD(Calculator!$B$32/Calculator!$F$21,1)),2)))),2))</f>
        <v>—</v>
      </c>
      <c r="AM39" s="101" t="n">
        <f aca="false">IFERROR(ROUND((IF(ISNUMBER(AB39),AB39,0)+IF(ISNUMBER(AC39),AC39,0)+IF(ISNUMBER(AD39),AD39,0)+IF(ISNUMBER(AE39),AE39,0)+IF(ISNUMBER(AF39),AF39,0)+IF(ISNUMBER(AG39),AG39,0)+IF(ISNUMBER(AH39),AH39,0)+IF(ISNUMBER(AI39),AI39,0)+IF(ISNUMBER(AJ39),AJ39,0)+IF(ISNUMBER(AK39),AK39,0)+IF(ISNUMBER(AL39),AL39,0))/(IF(ISNUMBER(AB39),1,0)+IF(ISNUMBER(AC39),1,0)+IF(ISNUMBER(AD39),1,0)+IF(ISNUMBER(AE39),1,0)+IF(ISNUMBER(AF39),1,0)+IF(ISNUMBER(AG39),1,0)+IF(ISNUMBER(AH39),1,0)+IF(ISNUMBER(AI39),1,0)+IF(ISNUMBER(AJ39),1,0)+IF(ISNUMBER(AK39),1,0)+IF(ISNUMBER(AL39),1,0)),2),"")</f>
        <v>4.65</v>
      </c>
      <c r="AN39" s="102" t="str">
        <f aca="false">IF(OR(Calculator!$E$11&lt;&gt;"YES",Calculator!$B$33&lt;Calculator!$G$11),"—",ROUND(MAX((50*POWER(80,POWER(COS(PI()*MOD(Calculator!$B$33/Calculator!$F$11,1)),2)))/$C39,$C39/(50*POWER(80,POWER(COS(PI()*MOD(Calculator!$B$33/Calculator!$F$11,1)),2)))),2))</f>
        <v>—</v>
      </c>
      <c r="AO39" s="102" t="str">
        <f aca="false">IF(OR(Calculator!$E$12&lt;&gt;"YES",Calculator!$B$33&lt;Calculator!$G$12),"—",ROUND(MAX((50*POWER(80,POWER(COS(PI()*MOD(Calculator!$B$33/Calculator!$F$12,1)),2)))/$C39,$C39/(50*POWER(80,POWER(COS(PI()*MOD(Calculator!$B$33/Calculator!$F$12,1)),2)))),2))</f>
        <v>—</v>
      </c>
      <c r="AP39" s="102" t="str">
        <f aca="false">IF(OR(Calculator!$E$13&lt;&gt;"YES",Calculator!$B$33&lt;Calculator!$G$13),"—",ROUND(MAX((50*POWER(80,POWER(COS(PI()*MOD(Calculator!$B$33/Calculator!$F$13,1)),2)))/$C39,$C39/(50*POWER(80,POWER(COS(PI()*MOD(Calculator!$B$33/Calculator!$F$13,1)),2)))),2))</f>
        <v>—</v>
      </c>
      <c r="AQ39" s="102" t="n">
        <f aca="false">IF(OR(Calculator!$E$14&lt;&gt;"YES",Calculator!$B$33&lt;Calculator!$G$14),"—",ROUND(MAX((50*POWER(80,POWER(COS(PI()*MOD(Calculator!$B$33/Calculator!$F$14,1)),2)))/$C39,$C39/(50*POWER(80,POWER(COS(PI()*MOD(Calculator!$B$33/Calculator!$F$14,1)),2)))),2))</f>
        <v>7.79</v>
      </c>
      <c r="AR39" s="102" t="n">
        <f aca="false">IF(OR(Calculator!$E$15&lt;&gt;"YES",Calculator!$B$33&lt;Calculator!$G$15),"—",ROUND(MAX((50*POWER(80,POWER(COS(PI()*MOD(Calculator!$B$33/Calculator!$F$15,1)),2)))/$C39,$C39/(50*POWER(80,POWER(COS(PI()*MOD(Calculator!$B$33/Calculator!$F$15,1)),2)))),2))</f>
        <v>1.19</v>
      </c>
      <c r="AS39" s="102" t="n">
        <f aca="false">IF(OR(Calculator!$E$16&lt;&gt;"YES",Calculator!$B$33&lt;Calculator!$G$16),"—",ROUND(MAX((50*POWER(80,POWER(COS(PI()*MOD(Calculator!$B$33/Calculator!$F$16,1)),2)))/$C39,$C39/(50*POWER(80,POWER(COS(PI()*MOD(Calculator!$B$33/Calculator!$F$16,1)),2)))),2))</f>
        <v>2.3</v>
      </c>
      <c r="AT39" s="102" t="n">
        <f aca="false">IF(OR(Calculator!$E$17&lt;&gt;"YES",Calculator!$B$33&lt;Calculator!$G$17),"—",ROUND(MAX((50*POWER(80,POWER(COS(PI()*MOD(Calculator!$B$33/Calculator!$F$17,1)),2)))/$C39,$C39/(50*POWER(80,POWER(COS(PI()*MOD(Calculator!$B$33/Calculator!$F$17,1)),2)))),2))</f>
        <v>1.38</v>
      </c>
      <c r="AU39" s="102" t="n">
        <f aca="false">IF(OR(Calculator!$E$18&lt;&gt;"YES",Calculator!$B$33&lt;Calculator!$G$18),"—",ROUND(MAX((50*POWER(80,POWER(COS(PI()*MOD(Calculator!$B$33/Calculator!$F$18,1)),2)))/$C39,$C39/(50*POWER(80,POWER(COS(PI()*MOD(Calculator!$B$33/Calculator!$F$18,1)),2)))),2))</f>
        <v>1.87</v>
      </c>
      <c r="AV39" s="102" t="n">
        <f aca="false">IF(OR(Calculator!$E$19&lt;&gt;"YES",Calculator!$B$33&lt;Calculator!$G$19),"—",ROUND(MAX((50*POWER(80,POWER(COS(PI()*MOD(Calculator!$B$33/Calculator!$F$19,1)),2)))/$C39,$C39/(50*POWER(80,POWER(COS(PI()*MOD(Calculator!$B$33/Calculator!$F$19,1)),2)))),2))</f>
        <v>4.39</v>
      </c>
      <c r="AW39" s="102" t="n">
        <f aca="false">IF(OR(Calculator!$E$20&lt;&gt;"YES",Calculator!$B$33&lt;Calculator!$G$20),"—",ROUND(MAX((50*POWER(80,POWER(COS(PI()*MOD(Calculator!$B$33/Calculator!$F$20,1)),2)))/$C39,$C39/(50*POWER(80,POWER(COS(PI()*MOD(Calculator!$B$33/Calculator!$F$20,1)),2)))),2))</f>
        <v>2.86</v>
      </c>
      <c r="AX39" s="102" t="str">
        <f aca="false">IF(OR(Calculator!$E$21&lt;&gt;"YES",Calculator!$B$33&lt;Calculator!$G$21),"—",ROUND(MAX((50*POWER(80,POWER(COS(PI()*MOD(Calculator!$B$33/Calculator!$F$21,1)),2)))/$C39,$C39/(50*POWER(80,POWER(COS(PI()*MOD(Calculator!$B$33/Calculator!$F$21,1)),2)))),2))</f>
        <v>—</v>
      </c>
      <c r="AY39" s="101" t="n">
        <f aca="false">IFERROR(ROUND((IF(ISNUMBER(AN39),AN39,0)+IF(ISNUMBER(AO39),AO39,0)+IF(ISNUMBER(AP39),AP39,0)+IF(ISNUMBER(AQ39),AQ39,0)+IF(ISNUMBER(AR39),AR39,0)+IF(ISNUMBER(AS39),AS39,0)+IF(ISNUMBER(AT39),AT39,0)+IF(ISNUMBER(AU39),AU39,0)+IF(ISNUMBER(AV39),AV39,0)+IF(ISNUMBER(AW39),AW39,0)+IF(ISNUMBER(AX39),AX39,0))/(IF(ISNUMBER(AN39),1,0)+IF(ISNUMBER(AO39),1,0)+IF(ISNUMBER(AP39),1,0)+IF(ISNUMBER(AQ39),1,0)+IF(ISNUMBER(AR39),1,0)+IF(ISNUMBER(AS39),1,0)+IF(ISNUMBER(AT39),1,0)+IF(ISNUMBER(AU39),1,0)+IF(ISNUMBER(AV39),1,0)+IF(ISNUMBER(AW39),1,0)+IF(ISNUMBER(AX39),1,0)),2),"")</f>
        <v>3.11</v>
      </c>
      <c r="AZ39" s="102" t="str">
        <f aca="false">IF(OR(Calculator!$E$11&lt;&gt;"YES",Calculator!$B$34&lt;Calculator!$G$11),"—",ROUND(MAX((50*POWER(80,POWER(COS(PI()*MOD(Calculator!$B$34/Calculator!$F$11,1)),2)))/$C39,$C39/(50*POWER(80,POWER(COS(PI()*MOD(Calculator!$B$34/Calculator!$F$11,1)),2)))),2))</f>
        <v>—</v>
      </c>
      <c r="BA39" s="102" t="str">
        <f aca="false">IF(OR(Calculator!$E$12&lt;&gt;"YES",Calculator!$B$34&lt;Calculator!$G$12),"—",ROUND(MAX((50*POWER(80,POWER(COS(PI()*MOD(Calculator!$B$34/Calculator!$F$12,1)),2)))/$C39,$C39/(50*POWER(80,POWER(COS(PI()*MOD(Calculator!$B$34/Calculator!$F$12,1)),2)))),2))</f>
        <v>—</v>
      </c>
      <c r="BB39" s="102" t="str">
        <f aca="false">IF(OR(Calculator!$E$13&lt;&gt;"YES",Calculator!$B$34&lt;Calculator!$G$13),"—",ROUND(MAX((50*POWER(80,POWER(COS(PI()*MOD(Calculator!$B$34/Calculator!$F$13,1)),2)))/$C39,$C39/(50*POWER(80,POWER(COS(PI()*MOD(Calculator!$B$34/Calculator!$F$13,1)),2)))),2))</f>
        <v>—</v>
      </c>
      <c r="BC39" s="102" t="n">
        <f aca="false">IF(OR(Calculator!$E$14&lt;&gt;"YES",Calculator!$B$34&lt;Calculator!$G$14),"—",ROUND(MAX((50*POWER(80,POWER(COS(PI()*MOD(Calculator!$B$34/Calculator!$F$14,1)),2)))/$C39,$C39/(50*POWER(80,POWER(COS(PI()*MOD(Calculator!$B$34/Calculator!$F$14,1)),2)))),2))</f>
        <v>7.93</v>
      </c>
      <c r="BD39" s="102" t="n">
        <f aca="false">IF(OR(Calculator!$E$15&lt;&gt;"YES",Calculator!$B$34&lt;Calculator!$G$15),"—",ROUND(MAX((50*POWER(80,POWER(COS(PI()*MOD(Calculator!$B$34/Calculator!$F$15,1)),2)))/$C39,$C39/(50*POWER(80,POWER(COS(PI()*MOD(Calculator!$B$34/Calculator!$F$15,1)),2)))),2))</f>
        <v>1.54</v>
      </c>
      <c r="BE39" s="102" t="n">
        <f aca="false">IF(OR(Calculator!$E$16&lt;&gt;"YES",Calculator!$B$34&lt;Calculator!$G$16),"—",ROUND(MAX((50*POWER(80,POWER(COS(PI()*MOD(Calculator!$B$34/Calculator!$F$16,1)),2)))/$C39,$C39/(50*POWER(80,POWER(COS(PI()*MOD(Calculator!$B$34/Calculator!$F$16,1)),2)))),2))</f>
        <v>1.93</v>
      </c>
      <c r="BF39" s="102" t="n">
        <f aca="false">IF(OR(Calculator!$E$17&lt;&gt;"YES",Calculator!$B$34&lt;Calculator!$G$17),"—",ROUND(MAX((50*POWER(80,POWER(COS(PI()*MOD(Calculator!$B$34/Calculator!$F$17,1)),2)))/$C39,$C39/(50*POWER(80,POWER(COS(PI()*MOD(Calculator!$B$34/Calculator!$F$17,1)),2)))),2))</f>
        <v>3.74</v>
      </c>
      <c r="BG39" s="102" t="n">
        <f aca="false">IF(OR(Calculator!$E$18&lt;&gt;"YES",Calculator!$B$34&lt;Calculator!$G$18),"—",ROUND(MAX((50*POWER(80,POWER(COS(PI()*MOD(Calculator!$B$34/Calculator!$F$18,1)),2)))/$C39,$C39/(50*POWER(80,POWER(COS(PI()*MOD(Calculator!$B$34/Calculator!$F$18,1)),2)))),2))</f>
        <v>2.53</v>
      </c>
      <c r="BH39" s="102" t="n">
        <f aca="false">IF(OR(Calculator!$E$19&lt;&gt;"YES",Calculator!$B$34&lt;Calculator!$G$19),"—",ROUND(MAX((50*POWER(80,POWER(COS(PI()*MOD(Calculator!$B$34/Calculator!$F$19,1)),2)))/$C39,$C39/(50*POWER(80,POWER(COS(PI()*MOD(Calculator!$B$34/Calculator!$F$19,1)),2)))),2))</f>
        <v>2.82</v>
      </c>
      <c r="BI39" s="102" t="n">
        <f aca="false">IF(OR(Calculator!$E$20&lt;&gt;"YES",Calculator!$B$34&lt;Calculator!$G$20),"—",ROUND(MAX((50*POWER(80,POWER(COS(PI()*MOD(Calculator!$B$34/Calculator!$F$20,1)),2)))/$C39,$C39/(50*POWER(80,POWER(COS(PI()*MOD(Calculator!$B$34/Calculator!$F$20,1)),2)))),2))</f>
        <v>1.68</v>
      </c>
      <c r="BJ39" s="102" t="str">
        <f aca="false">IF(OR(Calculator!$E$21&lt;&gt;"YES",Calculator!$B$34&lt;Calculator!$G$21),"—",ROUND(MAX((50*POWER(80,POWER(COS(PI()*MOD(Calculator!$B$34/Calculator!$F$21,1)),2)))/$C39,$C39/(50*POWER(80,POWER(COS(PI()*MOD(Calculator!$B$34/Calculator!$F$21,1)),2)))),2))</f>
        <v>—</v>
      </c>
      <c r="BK39" s="101" t="n">
        <f aca="false">IFERROR(ROUND((IF(ISNUMBER(AZ39),AZ39,0)+IF(ISNUMBER(BA39),BA39,0)+IF(ISNUMBER(BB39),BB39,0)+IF(ISNUMBER(BC39),BC39,0)+IF(ISNUMBER(BD39),BD39,0)+IF(ISNUMBER(BE39),BE39,0)+IF(ISNUMBER(BF39),BF39,0)+IF(ISNUMBER(BG39),BG39,0)+IF(ISNUMBER(BH39),BH39,0)+IF(ISNUMBER(BI39),BI39,0)+IF(ISNUMBER(BJ39),BJ39,0))/(IF(ISNUMBER(AZ39),1,0)+IF(ISNUMBER(BA39),1,0)+IF(ISNUMBER(BB39),1,0)+IF(ISNUMBER(BC39),1,0)+IF(ISNUMBER(BD39),1,0)+IF(ISNUMBER(BE39),1,0)+IF(ISNUMBER(BF39),1,0)+IF(ISNUMBER(BG39),1,0)+IF(ISNUMBER(BH39),1,0)+IF(ISNUMBER(BI39),1,0)+IF(ISNUMBER(BJ39),1,0)),2),"")</f>
        <v>3.17</v>
      </c>
    </row>
    <row r="40" customFormat="false" ht="15" hidden="false" customHeight="false" outlineLevel="0" collapsed="false">
      <c r="A40" s="103" t="s">
        <v>89</v>
      </c>
      <c r="B40" s="103" t="s">
        <v>86</v>
      </c>
      <c r="C40" s="104" t="n">
        <v>400</v>
      </c>
      <c r="D40" s="105" t="str">
        <f aca="false">IF(OR(Calculator!$E$11&lt;&gt;"YES",Calculator!$B$30&lt;Calculator!$G$11),"—",ROUND(MAX((50*POWER(80,POWER(COS(PI()*MOD(Calculator!$B$30/Calculator!$F$11,1)),2)))/$C40,$C40/(50*POWER(80,POWER(COS(PI()*MOD(Calculator!$B$30/Calculator!$F$11,1)),2)))),2))</f>
        <v>—</v>
      </c>
      <c r="E40" s="105" t="str">
        <f aca="false">IF(OR(Calculator!$E$12&lt;&gt;"YES",Calculator!$B$30&lt;Calculator!$G$12),"—",ROUND(MAX((50*POWER(80,POWER(COS(PI()*MOD(Calculator!$B$30/Calculator!$F$12,1)),2)))/$C40,$C40/(50*POWER(80,POWER(COS(PI()*MOD(Calculator!$B$30/Calculator!$F$12,1)),2)))),2))</f>
        <v>—</v>
      </c>
      <c r="F40" s="105" t="str">
        <f aca="false">IF(OR(Calculator!$E$13&lt;&gt;"YES",Calculator!$B$30&lt;Calculator!$G$13),"—",ROUND(MAX((50*POWER(80,POWER(COS(PI()*MOD(Calculator!$B$30/Calculator!$F$13,1)),2)))/$C40,$C40/(50*POWER(80,POWER(COS(PI()*MOD(Calculator!$B$30/Calculator!$F$13,1)),2)))),2))</f>
        <v>—</v>
      </c>
      <c r="G40" s="105" t="n">
        <f aca="false">IF(OR(Calculator!$E$14&lt;&gt;"YES",Calculator!$B$30&lt;Calculator!$G$14),"—",ROUND(MAX((50*POWER(80,POWER(COS(PI()*MOD(Calculator!$B$30/Calculator!$F$14,1)),2)))/$C40,$C40/(50*POWER(80,POWER(COS(PI()*MOD(Calculator!$B$30/Calculator!$F$14,1)),2)))),2))</f>
        <v>3.61</v>
      </c>
      <c r="H40" s="105" t="n">
        <f aca="false">IF(OR(Calculator!$E$15&lt;&gt;"YES",Calculator!$B$30&lt;Calculator!$G$15),"—",ROUND(MAX((50*POWER(80,POWER(COS(PI()*MOD(Calculator!$B$30/Calculator!$F$15,1)),2)))/$C40,$C40/(50*POWER(80,POWER(COS(PI()*MOD(Calculator!$B$30/Calculator!$F$15,1)),2)))),2))</f>
        <v>1.05</v>
      </c>
      <c r="I40" s="105" t="n">
        <f aca="false">IF(OR(Calculator!$E$16&lt;&gt;"YES",Calculator!$B$30&lt;Calculator!$G$16),"—",ROUND(MAX((50*POWER(80,POWER(COS(PI()*MOD(Calculator!$B$30/Calculator!$F$16,1)),2)))/$C40,$C40/(50*POWER(80,POWER(COS(PI()*MOD(Calculator!$B$30/Calculator!$F$16,1)),2)))),2))</f>
        <v>1.4</v>
      </c>
      <c r="J40" s="105" t="n">
        <f aca="false">IF(OR(Calculator!$E$17&lt;&gt;"YES",Calculator!$B$30&lt;Calculator!$G$17),"—",ROUND(MAX((50*POWER(80,POWER(COS(PI()*MOD(Calculator!$B$30/Calculator!$F$17,1)),2)))/$C40,$C40/(50*POWER(80,POWER(COS(PI()*MOD(Calculator!$B$30/Calculator!$F$17,1)),2)))),2))</f>
        <v>2.01</v>
      </c>
      <c r="K40" s="105" t="n">
        <f aca="false">IF(OR(Calculator!$E$18&lt;&gt;"YES",Calculator!$B$30&lt;Calculator!$G$18),"—",ROUND(MAX((50*POWER(80,POWER(COS(PI()*MOD(Calculator!$B$30/Calculator!$F$18,1)),2)))/$C40,$C40/(50*POWER(80,POWER(COS(PI()*MOD(Calculator!$B$30/Calculator!$F$18,1)),2)))),2))</f>
        <v>3.49</v>
      </c>
      <c r="L40" s="105" t="n">
        <f aca="false">IF(OR(Calculator!$E$19&lt;&gt;"YES",Calculator!$B$30&lt;Calculator!$G$19),"—",ROUND(MAX((50*POWER(80,POWER(COS(PI()*MOD(Calculator!$B$30/Calculator!$F$19,1)),2)))/$C40,$C40/(50*POWER(80,POWER(COS(PI()*MOD(Calculator!$B$30/Calculator!$F$19,1)),2)))),2))</f>
        <v>1.96</v>
      </c>
      <c r="M40" s="105" t="n">
        <f aca="false">IF(OR(Calculator!$E$20&lt;&gt;"YES",Calculator!$B$30&lt;Calculator!$G$20),"—",ROUND(MAX((50*POWER(80,POWER(COS(PI()*MOD(Calculator!$B$30/Calculator!$F$20,1)),2)))/$C40,$C40/(50*POWER(80,POWER(COS(PI()*MOD(Calculator!$B$30/Calculator!$F$20,1)),2)))),2))</f>
        <v>3.16</v>
      </c>
      <c r="N40" s="105" t="str">
        <f aca="false">IF(OR(Calculator!$E$21&lt;&gt;"YES",Calculator!$B$30&lt;Calculator!$G$21),"—",ROUND(MAX((50*POWER(80,POWER(COS(PI()*MOD(Calculator!$B$30/Calculator!$F$21,1)),2)))/$C40,$C40/(50*POWER(80,POWER(COS(PI()*MOD(Calculator!$B$30/Calculator!$F$21,1)),2)))),2))</f>
        <v>—</v>
      </c>
      <c r="O40" s="100" t="n">
        <f aca="false">IFERROR(ROUND((IF(ISNUMBER(D40),D40,0)+IF(ISNUMBER(E40),E40,0)+IF(ISNUMBER(F40),F40,0)+IF(ISNUMBER(G40),G40,0)+IF(ISNUMBER(H40),H40,0)+IF(ISNUMBER(I40),I40,0)+IF(ISNUMBER(J40),J40,0)+IF(ISNUMBER(K40),K40,0)+IF(ISNUMBER(L40),L40,0)+IF(ISNUMBER(M40),M40,0)+IF(ISNUMBER(N40),N40,0))/(IF(ISNUMBER(D40),1,0)+IF(ISNUMBER(E40),1,0)+IF(ISNUMBER(F40),1,0)+IF(ISNUMBER(G40),1,0)+IF(ISNUMBER(H40),1,0)+IF(ISNUMBER(I40),1,0)+IF(ISNUMBER(J40),1,0)+IF(ISNUMBER(K40),1,0)+IF(ISNUMBER(L40),1,0)+IF(ISNUMBER(M40),1,0)+IF(ISNUMBER(N40),1,0)),2),"")</f>
        <v>2.38</v>
      </c>
      <c r="P40" s="105" t="str">
        <f aca="false">IF(OR(Calculator!$E$11&lt;&gt;"YES",Calculator!$B$31&lt;Calculator!$G$11),"—",ROUND(MAX((50*POWER(80,POWER(COS(PI()*MOD(Calculator!$B$31/Calculator!$F$11,1)),2)))/$C40,$C40/(50*POWER(80,POWER(COS(PI()*MOD(Calculator!$B$31/Calculator!$F$11,1)),2)))),2))</f>
        <v>—</v>
      </c>
      <c r="Q40" s="105" t="str">
        <f aca="false">IF(OR(Calculator!$E$12&lt;&gt;"YES",Calculator!$B$31&lt;Calculator!$G$12),"—",ROUND(MAX((50*POWER(80,POWER(COS(PI()*MOD(Calculator!$B$31/Calculator!$F$12,1)),2)))/$C40,$C40/(50*POWER(80,POWER(COS(PI()*MOD(Calculator!$B$31/Calculator!$F$12,1)),2)))),2))</f>
        <v>—</v>
      </c>
      <c r="R40" s="105" t="str">
        <f aca="false">IF(OR(Calculator!$E$13&lt;&gt;"YES",Calculator!$B$31&lt;Calculator!$G$13),"—",ROUND(MAX((50*POWER(80,POWER(COS(PI()*MOD(Calculator!$B$31/Calculator!$F$13,1)),2)))/$C40,$C40/(50*POWER(80,POWER(COS(PI()*MOD(Calculator!$B$31/Calculator!$F$13,1)),2)))),2))</f>
        <v>—</v>
      </c>
      <c r="S40" s="105" t="n">
        <f aca="false">IF(OR(Calculator!$E$14&lt;&gt;"YES",Calculator!$B$31&lt;Calculator!$G$14),"—",ROUND(MAX((50*POWER(80,POWER(COS(PI()*MOD(Calculator!$B$31/Calculator!$F$14,1)),2)))/$C40,$C40/(50*POWER(80,POWER(COS(PI()*MOD(Calculator!$B$31/Calculator!$F$14,1)),2)))),2))</f>
        <v>3.7</v>
      </c>
      <c r="T40" s="105" t="n">
        <f aca="false">IF(OR(Calculator!$E$15&lt;&gt;"YES",Calculator!$B$31&lt;Calculator!$G$15),"—",ROUND(MAX((50*POWER(80,POWER(COS(PI()*MOD(Calculator!$B$31/Calculator!$F$15,1)),2)))/$C40,$C40/(50*POWER(80,POWER(COS(PI()*MOD(Calculator!$B$31/Calculator!$F$15,1)),2)))),2))</f>
        <v>2.25</v>
      </c>
      <c r="U40" s="105" t="n">
        <f aca="false">IF(OR(Calculator!$E$16&lt;&gt;"YES",Calculator!$B$31&lt;Calculator!$G$16),"—",ROUND(MAX((50*POWER(80,POWER(COS(PI()*MOD(Calculator!$B$31/Calculator!$F$16,1)),2)))/$C40,$C40/(50*POWER(80,POWER(COS(PI()*MOD(Calculator!$B$31/Calculator!$F$16,1)),2)))),2))</f>
        <v>1.17</v>
      </c>
      <c r="V40" s="105" t="n">
        <f aca="false">IF(OR(Calculator!$E$17&lt;&gt;"YES",Calculator!$B$31&lt;Calculator!$G$17),"—",ROUND(MAX((50*POWER(80,POWER(COS(PI()*MOD(Calculator!$B$31/Calculator!$F$17,1)),2)))/$C40,$C40/(50*POWER(80,POWER(COS(PI()*MOD(Calculator!$B$31/Calculator!$F$17,1)),2)))),2))</f>
        <v>4.05</v>
      </c>
      <c r="W40" s="105" t="n">
        <f aca="false">IF(OR(Calculator!$E$18&lt;&gt;"YES",Calculator!$B$31&lt;Calculator!$G$18),"—",ROUND(MAX((50*POWER(80,POWER(COS(PI()*MOD(Calculator!$B$31/Calculator!$F$18,1)),2)))/$C40,$C40/(50*POWER(80,POWER(COS(PI()*MOD(Calculator!$B$31/Calculator!$F$18,1)),2)))),2))</f>
        <v>4.6</v>
      </c>
      <c r="X40" s="105" t="n">
        <f aca="false">IF(OR(Calculator!$E$19&lt;&gt;"YES",Calculator!$B$31&lt;Calculator!$G$19),"—",ROUND(MAX((50*POWER(80,POWER(COS(PI()*MOD(Calculator!$B$31/Calculator!$F$19,1)),2)))/$C40,$C40/(50*POWER(80,POWER(COS(PI()*MOD(Calculator!$B$31/Calculator!$F$19,1)),2)))),2))</f>
        <v>1.49</v>
      </c>
      <c r="Y40" s="105" t="n">
        <f aca="false">IF(OR(Calculator!$E$20&lt;&gt;"YES",Calculator!$B$31&lt;Calculator!$G$20),"—",ROUND(MAX((50*POWER(80,POWER(COS(PI()*MOD(Calculator!$B$31/Calculator!$F$20,1)),2)))/$C40,$C40/(50*POWER(80,POWER(COS(PI()*MOD(Calculator!$B$31/Calculator!$F$20,1)),2)))),2))</f>
        <v>4.91</v>
      </c>
      <c r="Z40" s="105" t="str">
        <f aca="false">IF(OR(Calculator!$E$21&lt;&gt;"YES",Calculator!$B$31&lt;Calculator!$G$21),"—",ROUND(MAX((50*POWER(80,POWER(COS(PI()*MOD(Calculator!$B$31/Calculator!$F$21,1)),2)))/$C40,$C40/(50*POWER(80,POWER(COS(PI()*MOD(Calculator!$B$31/Calculator!$F$21,1)),2)))),2))</f>
        <v>—</v>
      </c>
      <c r="AA40" s="100" t="n">
        <f aca="false">IFERROR(ROUND((IF(ISNUMBER(P40),P40,0)+IF(ISNUMBER(Q40),Q40,0)+IF(ISNUMBER(R40),R40,0)+IF(ISNUMBER(S40),S40,0)+IF(ISNUMBER(T40),T40,0)+IF(ISNUMBER(U40),U40,0)+IF(ISNUMBER(V40),V40,0)+IF(ISNUMBER(W40),W40,0)+IF(ISNUMBER(X40),X40,0)+IF(ISNUMBER(Y40),Y40,0)+IF(ISNUMBER(Z40),Z40,0))/(IF(ISNUMBER(P40),1,0)+IF(ISNUMBER(Q40),1,0)+IF(ISNUMBER(R40),1,0)+IF(ISNUMBER(S40),1,0)+IF(ISNUMBER(T40),1,0)+IF(ISNUMBER(U40),1,0)+IF(ISNUMBER(V40),1,0)+IF(ISNUMBER(W40),1,0)+IF(ISNUMBER(X40),1,0)+IF(ISNUMBER(Y40),1,0)+IF(ISNUMBER(Z40),1,0)),2),"")</f>
        <v>3.17</v>
      </c>
      <c r="AB40" s="105" t="str">
        <f aca="false">IF(OR(Calculator!$E$11&lt;&gt;"YES",Calculator!$B$32&lt;Calculator!$G$11),"—",ROUND(MAX((50*POWER(80,POWER(COS(PI()*MOD(Calculator!$B$32/Calculator!$F$11,1)),2)))/$C40,$C40/(50*POWER(80,POWER(COS(PI()*MOD(Calculator!$B$32/Calculator!$F$11,1)),2)))),2))</f>
        <v>—</v>
      </c>
      <c r="AC40" s="105" t="str">
        <f aca="false">IF(OR(Calculator!$E$12&lt;&gt;"YES",Calculator!$B$32&lt;Calculator!$G$12),"—",ROUND(MAX((50*POWER(80,POWER(COS(PI()*MOD(Calculator!$B$32/Calculator!$F$12,1)),2)))/$C40,$C40/(50*POWER(80,POWER(COS(PI()*MOD(Calculator!$B$32/Calculator!$F$12,1)),2)))),2))</f>
        <v>—</v>
      </c>
      <c r="AD40" s="105" t="str">
        <f aca="false">IF(OR(Calculator!$E$13&lt;&gt;"YES",Calculator!$B$32&lt;Calculator!$G$13),"—",ROUND(MAX((50*POWER(80,POWER(COS(PI()*MOD(Calculator!$B$32/Calculator!$F$13,1)),2)))/$C40,$C40/(50*POWER(80,POWER(COS(PI()*MOD(Calculator!$B$32/Calculator!$F$13,1)),2)))),2))</f>
        <v>—</v>
      </c>
      <c r="AE40" s="105" t="n">
        <f aca="false">IF(OR(Calculator!$E$14&lt;&gt;"YES",Calculator!$B$32&lt;Calculator!$G$14),"—",ROUND(MAX((50*POWER(80,POWER(COS(PI()*MOD(Calculator!$B$32/Calculator!$F$14,1)),2)))/$C40,$C40/(50*POWER(80,POWER(COS(PI()*MOD(Calculator!$B$32/Calculator!$F$14,1)),2)))),2))</f>
        <v>2.34</v>
      </c>
      <c r="AF40" s="105" t="n">
        <f aca="false">IF(OR(Calculator!$E$15&lt;&gt;"YES",Calculator!$B$32&lt;Calculator!$G$15),"—",ROUND(MAX((50*POWER(80,POWER(COS(PI()*MOD(Calculator!$B$32/Calculator!$F$15,1)),2)))/$C40,$C40/(50*POWER(80,POWER(COS(PI()*MOD(Calculator!$B$32/Calculator!$F$15,1)),2)))),2))</f>
        <v>1.51</v>
      </c>
      <c r="AG40" s="105" t="n">
        <f aca="false">IF(OR(Calculator!$E$16&lt;&gt;"YES",Calculator!$B$32&lt;Calculator!$G$16),"—",ROUND(MAX((50*POWER(80,POWER(COS(PI()*MOD(Calculator!$B$32/Calculator!$F$16,1)),2)))/$C40,$C40/(50*POWER(80,POWER(COS(PI()*MOD(Calculator!$B$32/Calculator!$F$16,1)),2)))),2))</f>
        <v>5.1</v>
      </c>
      <c r="AH40" s="105" t="n">
        <f aca="false">IF(OR(Calculator!$E$17&lt;&gt;"YES",Calculator!$B$32&lt;Calculator!$G$17),"—",ROUND(MAX((50*POWER(80,POWER(COS(PI()*MOD(Calculator!$B$32/Calculator!$F$17,1)),2)))/$C40,$C40/(50*POWER(80,POWER(COS(PI()*MOD(Calculator!$B$32/Calculator!$F$17,1)),2)))),2))</f>
        <v>5.76</v>
      </c>
      <c r="AI40" s="105" t="n">
        <f aca="false">IF(OR(Calculator!$E$18&lt;&gt;"YES",Calculator!$B$32&lt;Calculator!$G$18),"—",ROUND(MAX((50*POWER(80,POWER(COS(PI()*MOD(Calculator!$B$32/Calculator!$F$18,1)),2)))/$C40,$C40/(50*POWER(80,POWER(COS(PI()*MOD(Calculator!$B$32/Calculator!$F$18,1)),2)))),2))</f>
        <v>6.24</v>
      </c>
      <c r="AJ40" s="105" t="n">
        <f aca="false">IF(OR(Calculator!$E$19&lt;&gt;"YES",Calculator!$B$32&lt;Calculator!$G$19),"—",ROUND(MAX((50*POWER(80,POWER(COS(PI()*MOD(Calculator!$B$32/Calculator!$F$19,1)),2)))/$C40,$C40/(50*POWER(80,POWER(COS(PI()*MOD(Calculator!$B$32/Calculator!$F$19,1)),2)))),2))</f>
        <v>6.57</v>
      </c>
      <c r="AK40" s="105" t="n">
        <f aca="false">IF(OR(Calculator!$E$20&lt;&gt;"YES",Calculator!$B$32&lt;Calculator!$G$20),"—",ROUND(MAX((50*POWER(80,POWER(COS(PI()*MOD(Calculator!$B$32/Calculator!$F$20,1)),2)))/$C40,$C40/(50*POWER(80,POWER(COS(PI()*MOD(Calculator!$B$32/Calculator!$F$20,1)),2)))),2))</f>
        <v>4.01</v>
      </c>
      <c r="AL40" s="105" t="str">
        <f aca="false">IF(OR(Calculator!$E$21&lt;&gt;"YES",Calculator!$B$32&lt;Calculator!$G$21),"—",ROUND(MAX((50*POWER(80,POWER(COS(PI()*MOD(Calculator!$B$32/Calculator!$F$21,1)),2)))/$C40,$C40/(50*POWER(80,POWER(COS(PI()*MOD(Calculator!$B$32/Calculator!$F$21,1)),2)))),2))</f>
        <v>—</v>
      </c>
      <c r="AM40" s="101" t="n">
        <f aca="false">IFERROR(ROUND((IF(ISNUMBER(AB40),AB40,0)+IF(ISNUMBER(AC40),AC40,0)+IF(ISNUMBER(AD40),AD40,0)+IF(ISNUMBER(AE40),AE40,0)+IF(ISNUMBER(AF40),AF40,0)+IF(ISNUMBER(AG40),AG40,0)+IF(ISNUMBER(AH40),AH40,0)+IF(ISNUMBER(AI40),AI40,0)+IF(ISNUMBER(AJ40),AJ40,0)+IF(ISNUMBER(AK40),AK40,0)+IF(ISNUMBER(AL40),AL40,0))/(IF(ISNUMBER(AB40),1,0)+IF(ISNUMBER(AC40),1,0)+IF(ISNUMBER(AD40),1,0)+IF(ISNUMBER(AE40),1,0)+IF(ISNUMBER(AF40),1,0)+IF(ISNUMBER(AG40),1,0)+IF(ISNUMBER(AH40),1,0)+IF(ISNUMBER(AI40),1,0)+IF(ISNUMBER(AJ40),1,0)+IF(ISNUMBER(AK40),1,0)+IF(ISNUMBER(AL40),1,0)),2),"")</f>
        <v>4.5</v>
      </c>
      <c r="AN40" s="106" t="str">
        <f aca="false">IF(OR(Calculator!$E$11&lt;&gt;"YES",Calculator!$B$33&lt;Calculator!$G$11),"—",ROUND(MAX((50*POWER(80,POWER(COS(PI()*MOD(Calculator!$B$33/Calculator!$F$11,1)),2)))/$C40,$C40/(50*POWER(80,POWER(COS(PI()*MOD(Calculator!$B$33/Calculator!$F$11,1)),2)))),2))</f>
        <v>—</v>
      </c>
      <c r="AO40" s="106" t="str">
        <f aca="false">IF(OR(Calculator!$E$12&lt;&gt;"YES",Calculator!$B$33&lt;Calculator!$G$12),"—",ROUND(MAX((50*POWER(80,POWER(COS(PI()*MOD(Calculator!$B$33/Calculator!$F$12,1)),2)))/$C40,$C40/(50*POWER(80,POWER(COS(PI()*MOD(Calculator!$B$33/Calculator!$F$12,1)),2)))),2))</f>
        <v>—</v>
      </c>
      <c r="AP40" s="106" t="str">
        <f aca="false">IF(OR(Calculator!$E$13&lt;&gt;"YES",Calculator!$B$33&lt;Calculator!$G$13),"—",ROUND(MAX((50*POWER(80,POWER(COS(PI()*MOD(Calculator!$B$33/Calculator!$F$13,1)),2)))/$C40,$C40/(50*POWER(80,POWER(COS(PI()*MOD(Calculator!$B$33/Calculator!$F$13,1)),2)))),2))</f>
        <v>—</v>
      </c>
      <c r="AQ40" s="106" t="n">
        <f aca="false">IF(OR(Calculator!$E$14&lt;&gt;"YES",Calculator!$B$33&lt;Calculator!$G$14),"—",ROUND(MAX((50*POWER(80,POWER(COS(PI()*MOD(Calculator!$B$33/Calculator!$F$14,1)),2)))/$C40,$C40/(50*POWER(80,POWER(COS(PI()*MOD(Calculator!$B$33/Calculator!$F$14,1)),2)))),2))</f>
        <v>6.82</v>
      </c>
      <c r="AR40" s="106" t="n">
        <f aca="false">IF(OR(Calculator!$E$15&lt;&gt;"YES",Calculator!$B$33&lt;Calculator!$G$15),"—",ROUND(MAX((50*POWER(80,POWER(COS(PI()*MOD(Calculator!$B$33/Calculator!$F$15,1)),2)))/$C40,$C40/(50*POWER(80,POWER(COS(PI()*MOD(Calculator!$B$33/Calculator!$F$15,1)),2)))),2))</f>
        <v>1.36</v>
      </c>
      <c r="AS40" s="106" t="n">
        <f aca="false">IF(OR(Calculator!$E$16&lt;&gt;"YES",Calculator!$B$33&lt;Calculator!$G$16),"—",ROUND(MAX((50*POWER(80,POWER(COS(PI()*MOD(Calculator!$B$33/Calculator!$F$16,1)),2)))/$C40,$C40/(50*POWER(80,POWER(COS(PI()*MOD(Calculator!$B$33/Calculator!$F$16,1)),2)))),2))</f>
        <v>2.01</v>
      </c>
      <c r="AT40" s="106" t="n">
        <f aca="false">IF(OR(Calculator!$E$17&lt;&gt;"YES",Calculator!$B$33&lt;Calculator!$G$17),"—",ROUND(MAX((50*POWER(80,POWER(COS(PI()*MOD(Calculator!$B$33/Calculator!$F$17,1)),2)))/$C40,$C40/(50*POWER(80,POWER(COS(PI()*MOD(Calculator!$B$33/Calculator!$F$17,1)),2)))),2))</f>
        <v>1.58</v>
      </c>
      <c r="AU40" s="106" t="n">
        <f aca="false">IF(OR(Calculator!$E$18&lt;&gt;"YES",Calculator!$B$33&lt;Calculator!$G$18),"—",ROUND(MAX((50*POWER(80,POWER(COS(PI()*MOD(Calculator!$B$33/Calculator!$F$18,1)),2)))/$C40,$C40/(50*POWER(80,POWER(COS(PI()*MOD(Calculator!$B$33/Calculator!$F$18,1)),2)))),2))</f>
        <v>2.14</v>
      </c>
      <c r="AV40" s="106" t="n">
        <f aca="false">IF(OR(Calculator!$E$19&lt;&gt;"YES",Calculator!$B$33&lt;Calculator!$G$19),"—",ROUND(MAX((50*POWER(80,POWER(COS(PI()*MOD(Calculator!$B$33/Calculator!$F$19,1)),2)))/$C40,$C40/(50*POWER(80,POWER(COS(PI()*MOD(Calculator!$B$33/Calculator!$F$19,1)),2)))),2))</f>
        <v>3.84</v>
      </c>
      <c r="AW40" s="106" t="n">
        <f aca="false">IF(OR(Calculator!$E$20&lt;&gt;"YES",Calculator!$B$33&lt;Calculator!$G$20),"—",ROUND(MAX((50*POWER(80,POWER(COS(PI()*MOD(Calculator!$B$33/Calculator!$F$20,1)),2)))/$C40,$C40/(50*POWER(80,POWER(COS(PI()*MOD(Calculator!$B$33/Calculator!$F$20,1)),2)))),2))</f>
        <v>3.26</v>
      </c>
      <c r="AX40" s="106" t="str">
        <f aca="false">IF(OR(Calculator!$E$21&lt;&gt;"YES",Calculator!$B$33&lt;Calculator!$G$21),"—",ROUND(MAX((50*POWER(80,POWER(COS(PI()*MOD(Calculator!$B$33/Calculator!$F$21,1)),2)))/$C40,$C40/(50*POWER(80,POWER(COS(PI()*MOD(Calculator!$B$33/Calculator!$F$21,1)),2)))),2))</f>
        <v>—</v>
      </c>
      <c r="AY40" s="101" t="n">
        <f aca="false">IFERROR(ROUND((IF(ISNUMBER(AN40),AN40,0)+IF(ISNUMBER(AO40),AO40,0)+IF(ISNUMBER(AP40),AP40,0)+IF(ISNUMBER(AQ40),AQ40,0)+IF(ISNUMBER(AR40),AR40,0)+IF(ISNUMBER(AS40),AS40,0)+IF(ISNUMBER(AT40),AT40,0)+IF(ISNUMBER(AU40),AU40,0)+IF(ISNUMBER(AV40),AV40,0)+IF(ISNUMBER(AW40),AW40,0)+IF(ISNUMBER(AX40),AX40,0))/(IF(ISNUMBER(AN40),1,0)+IF(ISNUMBER(AO40),1,0)+IF(ISNUMBER(AP40),1,0)+IF(ISNUMBER(AQ40),1,0)+IF(ISNUMBER(AR40),1,0)+IF(ISNUMBER(AS40),1,0)+IF(ISNUMBER(AT40),1,0)+IF(ISNUMBER(AU40),1,0)+IF(ISNUMBER(AV40),1,0)+IF(ISNUMBER(AW40),1,0)+IF(ISNUMBER(AX40),1,0)),2),"")</f>
        <v>3</v>
      </c>
      <c r="AZ40" s="106" t="str">
        <f aca="false">IF(OR(Calculator!$E$11&lt;&gt;"YES",Calculator!$B$34&lt;Calculator!$G$11),"—",ROUND(MAX((50*POWER(80,POWER(COS(PI()*MOD(Calculator!$B$34/Calculator!$F$11,1)),2)))/$C40,$C40/(50*POWER(80,POWER(COS(PI()*MOD(Calculator!$B$34/Calculator!$F$11,1)),2)))),2))</f>
        <v>—</v>
      </c>
      <c r="BA40" s="106" t="str">
        <f aca="false">IF(OR(Calculator!$E$12&lt;&gt;"YES",Calculator!$B$34&lt;Calculator!$G$12),"—",ROUND(MAX((50*POWER(80,POWER(COS(PI()*MOD(Calculator!$B$34/Calculator!$F$12,1)),2)))/$C40,$C40/(50*POWER(80,POWER(COS(PI()*MOD(Calculator!$B$34/Calculator!$F$12,1)),2)))),2))</f>
        <v>—</v>
      </c>
      <c r="BB40" s="106" t="str">
        <f aca="false">IF(OR(Calculator!$E$13&lt;&gt;"YES",Calculator!$B$34&lt;Calculator!$G$13),"—",ROUND(MAX((50*POWER(80,POWER(COS(PI()*MOD(Calculator!$B$34/Calculator!$F$13,1)),2)))/$C40,$C40/(50*POWER(80,POWER(COS(PI()*MOD(Calculator!$B$34/Calculator!$F$13,1)),2)))),2))</f>
        <v>—</v>
      </c>
      <c r="BC40" s="106" t="n">
        <f aca="false">IF(OR(Calculator!$E$14&lt;&gt;"YES",Calculator!$B$34&lt;Calculator!$G$14),"—",ROUND(MAX((50*POWER(80,POWER(COS(PI()*MOD(Calculator!$B$34/Calculator!$F$14,1)),2)))/$C40,$C40/(50*POWER(80,POWER(COS(PI()*MOD(Calculator!$B$34/Calculator!$F$14,1)),2)))),2))</f>
        <v>6.93</v>
      </c>
      <c r="BD40" s="106" t="n">
        <f aca="false">IF(OR(Calculator!$E$15&lt;&gt;"YES",Calculator!$B$34&lt;Calculator!$G$15),"—",ROUND(MAX((50*POWER(80,POWER(COS(PI()*MOD(Calculator!$B$34/Calculator!$F$15,1)),2)))/$C40,$C40/(50*POWER(80,POWER(COS(PI()*MOD(Calculator!$B$34/Calculator!$F$15,1)),2)))),2))</f>
        <v>1.76</v>
      </c>
      <c r="BE40" s="106" t="n">
        <f aca="false">IF(OR(Calculator!$E$16&lt;&gt;"YES",Calculator!$B$34&lt;Calculator!$G$16),"—",ROUND(MAX((50*POWER(80,POWER(COS(PI()*MOD(Calculator!$B$34/Calculator!$F$16,1)),2)))/$C40,$C40/(50*POWER(80,POWER(COS(PI()*MOD(Calculator!$B$34/Calculator!$F$16,1)),2)))),2))</f>
        <v>1.69</v>
      </c>
      <c r="BF40" s="106" t="n">
        <f aca="false">IF(OR(Calculator!$E$17&lt;&gt;"YES",Calculator!$B$34&lt;Calculator!$G$17),"—",ROUND(MAX((50*POWER(80,POWER(COS(PI()*MOD(Calculator!$B$34/Calculator!$F$17,1)),2)))/$C40,$C40/(50*POWER(80,POWER(COS(PI()*MOD(Calculator!$B$34/Calculator!$F$17,1)),2)))),2))</f>
        <v>3.27</v>
      </c>
      <c r="BG40" s="106" t="n">
        <f aca="false">IF(OR(Calculator!$E$18&lt;&gt;"YES",Calculator!$B$34&lt;Calculator!$G$18),"—",ROUND(MAX((50*POWER(80,POWER(COS(PI()*MOD(Calculator!$B$34/Calculator!$F$18,1)),2)))/$C40,$C40/(50*POWER(80,POWER(COS(PI()*MOD(Calculator!$B$34/Calculator!$F$18,1)),2)))),2))</f>
        <v>2.89</v>
      </c>
      <c r="BH40" s="106" t="n">
        <f aca="false">IF(OR(Calculator!$E$19&lt;&gt;"YES",Calculator!$B$34&lt;Calculator!$G$19),"—",ROUND(MAX((50*POWER(80,POWER(COS(PI()*MOD(Calculator!$B$34/Calculator!$F$19,1)),2)))/$C40,$C40/(50*POWER(80,POWER(COS(PI()*MOD(Calculator!$B$34/Calculator!$F$19,1)),2)))),2))</f>
        <v>3.22</v>
      </c>
      <c r="BI40" s="106" t="n">
        <f aca="false">IF(OR(Calculator!$E$20&lt;&gt;"YES",Calculator!$B$34&lt;Calculator!$G$20),"—",ROUND(MAX((50*POWER(80,POWER(COS(PI()*MOD(Calculator!$B$34/Calculator!$F$20,1)),2)))/$C40,$C40/(50*POWER(80,POWER(COS(PI()*MOD(Calculator!$B$34/Calculator!$F$20,1)),2)))),2))</f>
        <v>1.92</v>
      </c>
      <c r="BJ40" s="106" t="str">
        <f aca="false">IF(OR(Calculator!$E$21&lt;&gt;"YES",Calculator!$B$34&lt;Calculator!$G$21),"—",ROUND(MAX((50*POWER(80,POWER(COS(PI()*MOD(Calculator!$B$34/Calculator!$F$21,1)),2)))/$C40,$C40/(50*POWER(80,POWER(COS(PI()*MOD(Calculator!$B$34/Calculator!$F$21,1)),2)))),2))</f>
        <v>—</v>
      </c>
      <c r="BK40" s="101" t="n">
        <f aca="false">IFERROR(ROUND((IF(ISNUMBER(AZ40),AZ40,0)+IF(ISNUMBER(BA40),BA40,0)+IF(ISNUMBER(BB40),BB40,0)+IF(ISNUMBER(BC40),BC40,0)+IF(ISNUMBER(BD40),BD40,0)+IF(ISNUMBER(BE40),BE40,0)+IF(ISNUMBER(BF40),BF40,0)+IF(ISNUMBER(BG40),BG40,0)+IF(ISNUMBER(BH40),BH40,0)+IF(ISNUMBER(BI40),BI40,0)+IF(ISNUMBER(BJ40),BJ40,0))/(IF(ISNUMBER(AZ40),1,0)+IF(ISNUMBER(BA40),1,0)+IF(ISNUMBER(BB40),1,0)+IF(ISNUMBER(BC40),1,0)+IF(ISNUMBER(BD40),1,0)+IF(ISNUMBER(BE40),1,0)+IF(ISNUMBER(BF40),1,0)+IF(ISNUMBER(BG40),1,0)+IF(ISNUMBER(BH40),1,0)+IF(ISNUMBER(BI40),1,0)+IF(ISNUMBER(BJ40),1,0)),2),"")</f>
        <v>3.1</v>
      </c>
    </row>
    <row r="41" customFormat="false" ht="15" hidden="false" customHeight="false" outlineLevel="0" collapsed="false">
      <c r="A41" s="93" t="s">
        <v>90</v>
      </c>
      <c r="B41" s="94" t="s">
        <v>91</v>
      </c>
      <c r="C41" s="95" t="n">
        <v>450</v>
      </c>
      <c r="D41" s="96" t="str">
        <f aca="false">IF(OR(Calculator!$E$11&lt;&gt;"YES",Calculator!$B$30&lt;Calculator!$G$11),"—",ROUND(MAX((50*POWER(80,POWER(COS(PI()*MOD(Calculator!$B$30/Calculator!$F$11,1)),2)))/$C41,$C41/(50*POWER(80,POWER(COS(PI()*MOD(Calculator!$B$30/Calculator!$F$11,1)),2)))),2))</f>
        <v>—</v>
      </c>
      <c r="E41" s="96" t="str">
        <f aca="false">IF(OR(Calculator!$E$12&lt;&gt;"YES",Calculator!$B$30&lt;Calculator!$G$12),"—",ROUND(MAX((50*POWER(80,POWER(COS(PI()*MOD(Calculator!$B$30/Calculator!$F$12,1)),2)))/$C41,$C41/(50*POWER(80,POWER(COS(PI()*MOD(Calculator!$B$30/Calculator!$F$12,1)),2)))),2))</f>
        <v>—</v>
      </c>
      <c r="F41" s="96" t="str">
        <f aca="false">IF(OR(Calculator!$E$13&lt;&gt;"YES",Calculator!$B$30&lt;Calculator!$G$13),"—",ROUND(MAX((50*POWER(80,POWER(COS(PI()*MOD(Calculator!$B$30/Calculator!$F$13,1)),2)))/$C41,$C41/(50*POWER(80,POWER(COS(PI()*MOD(Calculator!$B$30/Calculator!$F$13,1)),2)))),2))</f>
        <v>—</v>
      </c>
      <c r="G41" s="96" t="n">
        <f aca="false">IF(OR(Calculator!$E$14&lt;&gt;"YES",Calculator!$B$30&lt;Calculator!$G$14),"—",ROUND(MAX((50*POWER(80,POWER(COS(PI()*MOD(Calculator!$B$30/Calculator!$F$14,1)),2)))/$C41,$C41/(50*POWER(80,POWER(COS(PI()*MOD(Calculator!$B$30/Calculator!$F$14,1)),2)))),2))</f>
        <v>4.07</v>
      </c>
      <c r="H41" s="96" t="n">
        <f aca="false">IF(OR(Calculator!$E$15&lt;&gt;"YES",Calculator!$B$30&lt;Calculator!$G$15),"—",ROUND(MAX((50*POWER(80,POWER(COS(PI()*MOD(Calculator!$B$30/Calculator!$F$15,1)),2)))/$C41,$C41/(50*POWER(80,POWER(COS(PI()*MOD(Calculator!$B$30/Calculator!$F$15,1)),2)))),2))</f>
        <v>1.18</v>
      </c>
      <c r="I41" s="96" t="n">
        <f aca="false">IF(OR(Calculator!$E$16&lt;&gt;"YES",Calculator!$B$30&lt;Calculator!$G$16),"—",ROUND(MAX((50*POWER(80,POWER(COS(PI()*MOD(Calculator!$B$30/Calculator!$F$16,1)),2)))/$C41,$C41/(50*POWER(80,POWER(COS(PI()*MOD(Calculator!$B$30/Calculator!$F$16,1)),2)))),2))</f>
        <v>1.24</v>
      </c>
      <c r="J41" s="96" t="n">
        <f aca="false">IF(OR(Calculator!$E$17&lt;&gt;"YES",Calculator!$B$30&lt;Calculator!$G$17),"—",ROUND(MAX((50*POWER(80,POWER(COS(PI()*MOD(Calculator!$B$30/Calculator!$F$17,1)),2)))/$C41,$C41/(50*POWER(80,POWER(COS(PI()*MOD(Calculator!$B$30/Calculator!$F$17,1)),2)))),2))</f>
        <v>2.26</v>
      </c>
      <c r="K41" s="96" t="n">
        <f aca="false">IF(OR(Calculator!$E$18&lt;&gt;"YES",Calculator!$B$30&lt;Calculator!$G$18),"—",ROUND(MAX((50*POWER(80,POWER(COS(PI()*MOD(Calculator!$B$30/Calculator!$F$18,1)),2)))/$C41,$C41/(50*POWER(80,POWER(COS(PI()*MOD(Calculator!$B$30/Calculator!$F$18,1)),2)))),2))</f>
        <v>3.1</v>
      </c>
      <c r="L41" s="96" t="n">
        <f aca="false">IF(OR(Calculator!$E$19&lt;&gt;"YES",Calculator!$B$30&lt;Calculator!$G$19),"—",ROUND(MAX((50*POWER(80,POWER(COS(PI()*MOD(Calculator!$B$30/Calculator!$F$19,1)),2)))/$C41,$C41/(50*POWER(80,POWER(COS(PI()*MOD(Calculator!$B$30/Calculator!$F$19,1)),2)))),2))</f>
        <v>1.75</v>
      </c>
      <c r="M41" s="96" t="n">
        <f aca="false">IF(OR(Calculator!$E$20&lt;&gt;"YES",Calculator!$B$30&lt;Calculator!$G$20),"—",ROUND(MAX((50*POWER(80,POWER(COS(PI()*MOD(Calculator!$B$30/Calculator!$F$20,1)),2)))/$C41,$C41/(50*POWER(80,POWER(COS(PI()*MOD(Calculator!$B$30/Calculator!$F$20,1)),2)))),2))</f>
        <v>3.55</v>
      </c>
      <c r="N41" s="96" t="str">
        <f aca="false">IF(OR(Calculator!$E$21&lt;&gt;"YES",Calculator!$B$30&lt;Calculator!$G$21),"—",ROUND(MAX((50*POWER(80,POWER(COS(PI()*MOD(Calculator!$B$30/Calculator!$F$21,1)),2)))/$C41,$C41/(50*POWER(80,POWER(COS(PI()*MOD(Calculator!$B$30/Calculator!$F$21,1)),2)))),2))</f>
        <v>—</v>
      </c>
      <c r="O41" s="97" t="n">
        <f aca="false">IFERROR(ROUND((IF(ISNUMBER(D41),D41,0)+IF(ISNUMBER(E41),E41,0)+IF(ISNUMBER(F41),F41,0)+IF(ISNUMBER(G41),G41,0)+IF(ISNUMBER(H41),H41,0)+IF(ISNUMBER(I41),I41,0)+IF(ISNUMBER(J41),J41,0)+IF(ISNUMBER(K41),K41,0)+IF(ISNUMBER(L41),L41,0)+IF(ISNUMBER(M41),M41,0)+IF(ISNUMBER(N41),N41,0))/(IF(ISNUMBER(D41),1,0)+IF(ISNUMBER(E41),1,0)+IF(ISNUMBER(F41),1,0)+IF(ISNUMBER(G41),1,0)+IF(ISNUMBER(H41),1,0)+IF(ISNUMBER(I41),1,0)+IF(ISNUMBER(J41),1,0)+IF(ISNUMBER(K41),1,0)+IF(ISNUMBER(L41),1,0)+IF(ISNUMBER(M41),1,0)+IF(ISNUMBER(N41),1,0)),2),"")</f>
        <v>2.45</v>
      </c>
      <c r="P41" s="96" t="str">
        <f aca="false">IF(OR(Calculator!$E$11&lt;&gt;"YES",Calculator!$B$31&lt;Calculator!$G$11),"—",ROUND(MAX((50*POWER(80,POWER(COS(PI()*MOD(Calculator!$B$31/Calculator!$F$11,1)),2)))/$C41,$C41/(50*POWER(80,POWER(COS(PI()*MOD(Calculator!$B$31/Calculator!$F$11,1)),2)))),2))</f>
        <v>—</v>
      </c>
      <c r="Q41" s="96" t="str">
        <f aca="false">IF(OR(Calculator!$E$12&lt;&gt;"YES",Calculator!$B$31&lt;Calculator!$G$12),"—",ROUND(MAX((50*POWER(80,POWER(COS(PI()*MOD(Calculator!$B$31/Calculator!$F$12,1)),2)))/$C41,$C41/(50*POWER(80,POWER(COS(PI()*MOD(Calculator!$B$31/Calculator!$F$12,1)),2)))),2))</f>
        <v>—</v>
      </c>
      <c r="R41" s="96" t="str">
        <f aca="false">IF(OR(Calculator!$E$13&lt;&gt;"YES",Calculator!$B$31&lt;Calculator!$G$13),"—",ROUND(MAX((50*POWER(80,POWER(COS(PI()*MOD(Calculator!$B$31/Calculator!$F$13,1)),2)))/$C41,$C41/(50*POWER(80,POWER(COS(PI()*MOD(Calculator!$B$31/Calculator!$F$13,1)),2)))),2))</f>
        <v>—</v>
      </c>
      <c r="S41" s="96" t="n">
        <f aca="false">IF(OR(Calculator!$E$14&lt;&gt;"YES",Calculator!$B$31&lt;Calculator!$G$14),"—",ROUND(MAX((50*POWER(80,POWER(COS(PI()*MOD(Calculator!$B$31/Calculator!$F$14,1)),2)))/$C41,$C41/(50*POWER(80,POWER(COS(PI()*MOD(Calculator!$B$31/Calculator!$F$14,1)),2)))),2))</f>
        <v>4.16</v>
      </c>
      <c r="T41" s="96" t="n">
        <f aca="false">IF(OR(Calculator!$E$15&lt;&gt;"YES",Calculator!$B$31&lt;Calculator!$G$15),"—",ROUND(MAX((50*POWER(80,POWER(COS(PI()*MOD(Calculator!$B$31/Calculator!$F$15,1)),2)))/$C41,$C41/(50*POWER(80,POWER(COS(PI()*MOD(Calculator!$B$31/Calculator!$F$15,1)),2)))),2))</f>
        <v>2.53</v>
      </c>
      <c r="U41" s="96" t="n">
        <f aca="false">IF(OR(Calculator!$E$16&lt;&gt;"YES",Calculator!$B$31&lt;Calculator!$G$16),"—",ROUND(MAX((50*POWER(80,POWER(COS(PI()*MOD(Calculator!$B$31/Calculator!$F$16,1)),2)))/$C41,$C41/(50*POWER(80,POWER(COS(PI()*MOD(Calculator!$B$31/Calculator!$F$16,1)),2)))),2))</f>
        <v>1.04</v>
      </c>
      <c r="V41" s="96" t="n">
        <f aca="false">IF(OR(Calculator!$E$17&lt;&gt;"YES",Calculator!$B$31&lt;Calculator!$G$17),"—",ROUND(MAX((50*POWER(80,POWER(COS(PI()*MOD(Calculator!$B$31/Calculator!$F$17,1)),2)))/$C41,$C41/(50*POWER(80,POWER(COS(PI()*MOD(Calculator!$B$31/Calculator!$F$17,1)),2)))),2))</f>
        <v>3.6</v>
      </c>
      <c r="W41" s="96" t="n">
        <f aca="false">IF(OR(Calculator!$E$18&lt;&gt;"YES",Calculator!$B$31&lt;Calculator!$G$18),"—",ROUND(MAX((50*POWER(80,POWER(COS(PI()*MOD(Calculator!$B$31/Calculator!$F$18,1)),2)))/$C41,$C41/(50*POWER(80,POWER(COS(PI()*MOD(Calculator!$B$31/Calculator!$F$18,1)),2)))),2))</f>
        <v>4.09</v>
      </c>
      <c r="X41" s="96" t="n">
        <f aca="false">IF(OR(Calculator!$E$19&lt;&gt;"YES",Calculator!$B$31&lt;Calculator!$G$19),"—",ROUND(MAX((50*POWER(80,POWER(COS(PI()*MOD(Calculator!$B$31/Calculator!$F$19,1)),2)))/$C41,$C41/(50*POWER(80,POWER(COS(PI()*MOD(Calculator!$B$31/Calculator!$F$19,1)),2)))),2))</f>
        <v>1.67</v>
      </c>
      <c r="Y41" s="96" t="n">
        <f aca="false">IF(OR(Calculator!$E$20&lt;&gt;"YES",Calculator!$B$31&lt;Calculator!$G$20),"—",ROUND(MAX((50*POWER(80,POWER(COS(PI()*MOD(Calculator!$B$31/Calculator!$F$20,1)),2)))/$C41,$C41/(50*POWER(80,POWER(COS(PI()*MOD(Calculator!$B$31/Calculator!$F$20,1)),2)))),2))</f>
        <v>5.52</v>
      </c>
      <c r="Z41" s="96" t="str">
        <f aca="false">IF(OR(Calculator!$E$21&lt;&gt;"YES",Calculator!$B$31&lt;Calculator!$G$21),"—",ROUND(MAX((50*POWER(80,POWER(COS(PI()*MOD(Calculator!$B$31/Calculator!$F$21,1)),2)))/$C41,$C41/(50*POWER(80,POWER(COS(PI()*MOD(Calculator!$B$31/Calculator!$F$21,1)),2)))),2))</f>
        <v>—</v>
      </c>
      <c r="AA41" s="97" t="n">
        <f aca="false">IFERROR(ROUND((IF(ISNUMBER(P41),P41,0)+IF(ISNUMBER(Q41),Q41,0)+IF(ISNUMBER(R41),R41,0)+IF(ISNUMBER(S41),S41,0)+IF(ISNUMBER(T41),T41,0)+IF(ISNUMBER(U41),U41,0)+IF(ISNUMBER(V41),V41,0)+IF(ISNUMBER(W41),W41,0)+IF(ISNUMBER(X41),X41,0)+IF(ISNUMBER(Y41),Y41,0)+IF(ISNUMBER(Z41),Z41,0))/(IF(ISNUMBER(P41),1,0)+IF(ISNUMBER(Q41),1,0)+IF(ISNUMBER(R41),1,0)+IF(ISNUMBER(S41),1,0)+IF(ISNUMBER(T41),1,0)+IF(ISNUMBER(U41),1,0)+IF(ISNUMBER(V41),1,0)+IF(ISNUMBER(W41),1,0)+IF(ISNUMBER(X41),1,0)+IF(ISNUMBER(Y41),1,0)+IF(ISNUMBER(Z41),1,0)),2),"")</f>
        <v>3.23</v>
      </c>
      <c r="AB41" s="96" t="str">
        <f aca="false">IF(OR(Calculator!$E$11&lt;&gt;"YES",Calculator!$B$32&lt;Calculator!$G$11),"—",ROUND(MAX((50*POWER(80,POWER(COS(PI()*MOD(Calculator!$B$32/Calculator!$F$11,1)),2)))/$C41,$C41/(50*POWER(80,POWER(COS(PI()*MOD(Calculator!$B$32/Calculator!$F$11,1)),2)))),2))</f>
        <v>—</v>
      </c>
      <c r="AC41" s="96" t="str">
        <f aca="false">IF(OR(Calculator!$E$12&lt;&gt;"YES",Calculator!$B$32&lt;Calculator!$G$12),"—",ROUND(MAX((50*POWER(80,POWER(COS(PI()*MOD(Calculator!$B$32/Calculator!$F$12,1)),2)))/$C41,$C41/(50*POWER(80,POWER(COS(PI()*MOD(Calculator!$B$32/Calculator!$F$12,1)),2)))),2))</f>
        <v>—</v>
      </c>
      <c r="AD41" s="96" t="str">
        <f aca="false">IF(OR(Calculator!$E$13&lt;&gt;"YES",Calculator!$B$32&lt;Calculator!$G$13),"—",ROUND(MAX((50*POWER(80,POWER(COS(PI()*MOD(Calculator!$B$32/Calculator!$F$13,1)),2)))/$C41,$C41/(50*POWER(80,POWER(COS(PI()*MOD(Calculator!$B$32/Calculator!$F$13,1)),2)))),2))</f>
        <v>—</v>
      </c>
      <c r="AE41" s="96" t="n">
        <f aca="false">IF(OR(Calculator!$E$14&lt;&gt;"YES",Calculator!$B$32&lt;Calculator!$G$14),"—",ROUND(MAX((50*POWER(80,POWER(COS(PI()*MOD(Calculator!$B$32/Calculator!$F$14,1)),2)))/$C41,$C41/(50*POWER(80,POWER(COS(PI()*MOD(Calculator!$B$32/Calculator!$F$14,1)),2)))),2))</f>
        <v>2.63</v>
      </c>
      <c r="AF41" s="96" t="n">
        <f aca="false">IF(OR(Calculator!$E$15&lt;&gt;"YES",Calculator!$B$32&lt;Calculator!$G$15),"—",ROUND(MAX((50*POWER(80,POWER(COS(PI()*MOD(Calculator!$B$32/Calculator!$F$15,1)),2)))/$C41,$C41/(50*POWER(80,POWER(COS(PI()*MOD(Calculator!$B$32/Calculator!$F$15,1)),2)))),2))</f>
        <v>1.7</v>
      </c>
      <c r="AG41" s="96" t="n">
        <f aca="false">IF(OR(Calculator!$E$16&lt;&gt;"YES",Calculator!$B$32&lt;Calculator!$G$16),"—",ROUND(MAX((50*POWER(80,POWER(COS(PI()*MOD(Calculator!$B$32/Calculator!$F$16,1)),2)))/$C41,$C41/(50*POWER(80,POWER(COS(PI()*MOD(Calculator!$B$32/Calculator!$F$16,1)),2)))),2))</f>
        <v>5.74</v>
      </c>
      <c r="AH41" s="96" t="n">
        <f aca="false">IF(OR(Calculator!$E$17&lt;&gt;"YES",Calculator!$B$32&lt;Calculator!$G$17),"—",ROUND(MAX((50*POWER(80,POWER(COS(PI()*MOD(Calculator!$B$32/Calculator!$F$17,1)),2)))/$C41,$C41/(50*POWER(80,POWER(COS(PI()*MOD(Calculator!$B$32/Calculator!$F$17,1)),2)))),2))</f>
        <v>5.12</v>
      </c>
      <c r="AI41" s="96" t="n">
        <f aca="false">IF(OR(Calculator!$E$18&lt;&gt;"YES",Calculator!$B$32&lt;Calculator!$G$18),"—",ROUND(MAX((50*POWER(80,POWER(COS(PI()*MOD(Calculator!$B$32/Calculator!$F$18,1)),2)))/$C41,$C41/(50*POWER(80,POWER(COS(PI()*MOD(Calculator!$B$32/Calculator!$F$18,1)),2)))),2))</f>
        <v>5.55</v>
      </c>
      <c r="AJ41" s="96" t="n">
        <f aca="false">IF(OR(Calculator!$E$19&lt;&gt;"YES",Calculator!$B$32&lt;Calculator!$G$19),"—",ROUND(MAX((50*POWER(80,POWER(COS(PI()*MOD(Calculator!$B$32/Calculator!$F$19,1)),2)))/$C41,$C41/(50*POWER(80,POWER(COS(PI()*MOD(Calculator!$B$32/Calculator!$F$19,1)),2)))),2))</f>
        <v>5.84</v>
      </c>
      <c r="AK41" s="96" t="n">
        <f aca="false">IF(OR(Calculator!$E$20&lt;&gt;"YES",Calculator!$B$32&lt;Calculator!$G$20),"—",ROUND(MAX((50*POWER(80,POWER(COS(PI()*MOD(Calculator!$B$32/Calculator!$F$20,1)),2)))/$C41,$C41/(50*POWER(80,POWER(COS(PI()*MOD(Calculator!$B$32/Calculator!$F$20,1)),2)))),2))</f>
        <v>4.51</v>
      </c>
      <c r="AL41" s="96" t="str">
        <f aca="false">IF(OR(Calculator!$E$21&lt;&gt;"YES",Calculator!$B$32&lt;Calculator!$G$21),"—",ROUND(MAX((50*POWER(80,POWER(COS(PI()*MOD(Calculator!$B$32/Calculator!$F$21,1)),2)))/$C41,$C41/(50*POWER(80,POWER(COS(PI()*MOD(Calculator!$B$32/Calculator!$F$21,1)),2)))),2))</f>
        <v>—</v>
      </c>
      <c r="AM41" s="98" t="n">
        <f aca="false">IFERROR(ROUND((IF(ISNUMBER(AB41),AB41,0)+IF(ISNUMBER(AC41),AC41,0)+IF(ISNUMBER(AD41),AD41,0)+IF(ISNUMBER(AE41),AE41,0)+IF(ISNUMBER(AF41),AF41,0)+IF(ISNUMBER(AG41),AG41,0)+IF(ISNUMBER(AH41),AH41,0)+IF(ISNUMBER(AI41),AI41,0)+IF(ISNUMBER(AJ41),AJ41,0)+IF(ISNUMBER(AK41),AK41,0)+IF(ISNUMBER(AL41),AL41,0))/(IF(ISNUMBER(AB41),1,0)+IF(ISNUMBER(AC41),1,0)+IF(ISNUMBER(AD41),1,0)+IF(ISNUMBER(AE41),1,0)+IF(ISNUMBER(AF41),1,0)+IF(ISNUMBER(AG41),1,0)+IF(ISNUMBER(AH41),1,0)+IF(ISNUMBER(AI41),1,0)+IF(ISNUMBER(AJ41),1,0)+IF(ISNUMBER(AK41),1,0)+IF(ISNUMBER(AL41),1,0)),2),"")</f>
        <v>4.44</v>
      </c>
      <c r="AN41" s="99" t="str">
        <f aca="false">IF(OR(Calculator!$E$11&lt;&gt;"YES",Calculator!$B$33&lt;Calculator!$G$11),"—",ROUND(MAX((50*POWER(80,POWER(COS(PI()*MOD(Calculator!$B$33/Calculator!$F$11,1)),2)))/$C41,$C41/(50*POWER(80,POWER(COS(PI()*MOD(Calculator!$B$33/Calculator!$F$11,1)),2)))),2))</f>
        <v>—</v>
      </c>
      <c r="AO41" s="99" t="str">
        <f aca="false">IF(OR(Calculator!$E$12&lt;&gt;"YES",Calculator!$B$33&lt;Calculator!$G$12),"—",ROUND(MAX((50*POWER(80,POWER(COS(PI()*MOD(Calculator!$B$33/Calculator!$F$12,1)),2)))/$C41,$C41/(50*POWER(80,POWER(COS(PI()*MOD(Calculator!$B$33/Calculator!$F$12,1)),2)))),2))</f>
        <v>—</v>
      </c>
      <c r="AP41" s="99" t="str">
        <f aca="false">IF(OR(Calculator!$E$13&lt;&gt;"YES",Calculator!$B$33&lt;Calculator!$G$13),"—",ROUND(MAX((50*POWER(80,POWER(COS(PI()*MOD(Calculator!$B$33/Calculator!$F$13,1)),2)))/$C41,$C41/(50*POWER(80,POWER(COS(PI()*MOD(Calculator!$B$33/Calculator!$F$13,1)),2)))),2))</f>
        <v>—</v>
      </c>
      <c r="AQ41" s="99" t="n">
        <f aca="false">IF(OR(Calculator!$E$14&lt;&gt;"YES",Calculator!$B$33&lt;Calculator!$G$14),"—",ROUND(MAX((50*POWER(80,POWER(COS(PI()*MOD(Calculator!$B$33/Calculator!$F$14,1)),2)))/$C41,$C41/(50*POWER(80,POWER(COS(PI()*MOD(Calculator!$B$33/Calculator!$F$14,1)),2)))),2))</f>
        <v>6.06</v>
      </c>
      <c r="AR41" s="99" t="n">
        <f aca="false">IF(OR(Calculator!$E$15&lt;&gt;"YES",Calculator!$B$33&lt;Calculator!$G$15),"—",ROUND(MAX((50*POWER(80,POWER(COS(PI()*MOD(Calculator!$B$33/Calculator!$F$15,1)),2)))/$C41,$C41/(50*POWER(80,POWER(COS(PI()*MOD(Calculator!$B$33/Calculator!$F$15,1)),2)))),2))</f>
        <v>1.53</v>
      </c>
      <c r="AS41" s="99" t="n">
        <f aca="false">IF(OR(Calculator!$E$16&lt;&gt;"YES",Calculator!$B$33&lt;Calculator!$G$16),"—",ROUND(MAX((50*POWER(80,POWER(COS(PI()*MOD(Calculator!$B$33/Calculator!$F$16,1)),2)))/$C41,$C41/(50*POWER(80,POWER(COS(PI()*MOD(Calculator!$B$33/Calculator!$F$16,1)),2)))),2))</f>
        <v>1.79</v>
      </c>
      <c r="AT41" s="99" t="n">
        <f aca="false">IF(OR(Calculator!$E$17&lt;&gt;"YES",Calculator!$B$33&lt;Calculator!$G$17),"—",ROUND(MAX((50*POWER(80,POWER(COS(PI()*MOD(Calculator!$B$33/Calculator!$F$17,1)),2)))/$C41,$C41/(50*POWER(80,POWER(COS(PI()*MOD(Calculator!$B$33/Calculator!$F$17,1)),2)))),2))</f>
        <v>1.78</v>
      </c>
      <c r="AU41" s="99" t="n">
        <f aca="false">IF(OR(Calculator!$E$18&lt;&gt;"YES",Calculator!$B$33&lt;Calculator!$G$18),"—",ROUND(MAX((50*POWER(80,POWER(COS(PI()*MOD(Calculator!$B$33/Calculator!$F$18,1)),2)))/$C41,$C41/(50*POWER(80,POWER(COS(PI()*MOD(Calculator!$B$33/Calculator!$F$18,1)),2)))),2))</f>
        <v>2.41</v>
      </c>
      <c r="AV41" s="99" t="n">
        <f aca="false">IF(OR(Calculator!$E$19&lt;&gt;"YES",Calculator!$B$33&lt;Calculator!$G$19),"—",ROUND(MAX((50*POWER(80,POWER(COS(PI()*MOD(Calculator!$B$33/Calculator!$F$19,1)),2)))/$C41,$C41/(50*POWER(80,POWER(COS(PI()*MOD(Calculator!$B$33/Calculator!$F$19,1)),2)))),2))</f>
        <v>3.41</v>
      </c>
      <c r="AW41" s="99" t="n">
        <f aca="false">IF(OR(Calculator!$E$20&lt;&gt;"YES",Calculator!$B$33&lt;Calculator!$G$20),"—",ROUND(MAX((50*POWER(80,POWER(COS(PI()*MOD(Calculator!$B$33/Calculator!$F$20,1)),2)))/$C41,$C41/(50*POWER(80,POWER(COS(PI()*MOD(Calculator!$B$33/Calculator!$F$20,1)),2)))),2))</f>
        <v>3.67</v>
      </c>
      <c r="AX41" s="99" t="str">
        <f aca="false">IF(OR(Calculator!$E$21&lt;&gt;"YES",Calculator!$B$33&lt;Calculator!$G$21),"—",ROUND(MAX((50*POWER(80,POWER(COS(PI()*MOD(Calculator!$B$33/Calculator!$F$21,1)),2)))/$C41,$C41/(50*POWER(80,POWER(COS(PI()*MOD(Calculator!$B$33/Calculator!$F$21,1)),2)))),2))</f>
        <v>—</v>
      </c>
      <c r="AY41" s="98" t="n">
        <f aca="false">IFERROR(ROUND((IF(ISNUMBER(AN41),AN41,0)+IF(ISNUMBER(AO41),AO41,0)+IF(ISNUMBER(AP41),AP41,0)+IF(ISNUMBER(AQ41),AQ41,0)+IF(ISNUMBER(AR41),AR41,0)+IF(ISNUMBER(AS41),AS41,0)+IF(ISNUMBER(AT41),AT41,0)+IF(ISNUMBER(AU41),AU41,0)+IF(ISNUMBER(AV41),AV41,0)+IF(ISNUMBER(AW41),AW41,0)+IF(ISNUMBER(AX41),AX41,0))/(IF(ISNUMBER(AN41),1,0)+IF(ISNUMBER(AO41),1,0)+IF(ISNUMBER(AP41),1,0)+IF(ISNUMBER(AQ41),1,0)+IF(ISNUMBER(AR41),1,0)+IF(ISNUMBER(AS41),1,0)+IF(ISNUMBER(AT41),1,0)+IF(ISNUMBER(AU41),1,0)+IF(ISNUMBER(AV41),1,0)+IF(ISNUMBER(AW41),1,0)+IF(ISNUMBER(AX41),1,0)),2),"")</f>
        <v>2.95</v>
      </c>
      <c r="AZ41" s="99" t="str">
        <f aca="false">IF(OR(Calculator!$E$11&lt;&gt;"YES",Calculator!$B$34&lt;Calculator!$G$11),"—",ROUND(MAX((50*POWER(80,POWER(COS(PI()*MOD(Calculator!$B$34/Calculator!$F$11,1)),2)))/$C41,$C41/(50*POWER(80,POWER(COS(PI()*MOD(Calculator!$B$34/Calculator!$F$11,1)),2)))),2))</f>
        <v>—</v>
      </c>
      <c r="BA41" s="99" t="str">
        <f aca="false">IF(OR(Calculator!$E$12&lt;&gt;"YES",Calculator!$B$34&lt;Calculator!$G$12),"—",ROUND(MAX((50*POWER(80,POWER(COS(PI()*MOD(Calculator!$B$34/Calculator!$F$12,1)),2)))/$C41,$C41/(50*POWER(80,POWER(COS(PI()*MOD(Calculator!$B$34/Calculator!$F$12,1)),2)))),2))</f>
        <v>—</v>
      </c>
      <c r="BB41" s="99" t="str">
        <f aca="false">IF(OR(Calculator!$E$13&lt;&gt;"YES",Calculator!$B$34&lt;Calculator!$G$13),"—",ROUND(MAX((50*POWER(80,POWER(COS(PI()*MOD(Calculator!$B$34/Calculator!$F$13,1)),2)))/$C41,$C41/(50*POWER(80,POWER(COS(PI()*MOD(Calculator!$B$34/Calculator!$F$13,1)),2)))),2))</f>
        <v>—</v>
      </c>
      <c r="BC41" s="99" t="n">
        <f aca="false">IF(OR(Calculator!$E$14&lt;&gt;"YES",Calculator!$B$34&lt;Calculator!$G$14),"—",ROUND(MAX((50*POWER(80,POWER(COS(PI()*MOD(Calculator!$B$34/Calculator!$F$14,1)),2)))/$C41,$C41/(50*POWER(80,POWER(COS(PI()*MOD(Calculator!$B$34/Calculator!$F$14,1)),2)))),2))</f>
        <v>6.16</v>
      </c>
      <c r="BD41" s="99" t="n">
        <f aca="false">IF(OR(Calculator!$E$15&lt;&gt;"YES",Calculator!$B$34&lt;Calculator!$G$15),"—",ROUND(MAX((50*POWER(80,POWER(COS(PI()*MOD(Calculator!$B$34/Calculator!$F$15,1)),2)))/$C41,$C41/(50*POWER(80,POWER(COS(PI()*MOD(Calculator!$B$34/Calculator!$F$15,1)),2)))),2))</f>
        <v>1.98</v>
      </c>
      <c r="BE41" s="99" t="n">
        <f aca="false">IF(OR(Calculator!$E$16&lt;&gt;"YES",Calculator!$B$34&lt;Calculator!$G$16),"—",ROUND(MAX((50*POWER(80,POWER(COS(PI()*MOD(Calculator!$B$34/Calculator!$F$16,1)),2)))/$C41,$C41/(50*POWER(80,POWER(COS(PI()*MOD(Calculator!$B$34/Calculator!$F$16,1)),2)))),2))</f>
        <v>1.5</v>
      </c>
      <c r="BF41" s="99" t="n">
        <f aca="false">IF(OR(Calculator!$E$17&lt;&gt;"YES",Calculator!$B$34&lt;Calculator!$G$17),"—",ROUND(MAX((50*POWER(80,POWER(COS(PI()*MOD(Calculator!$B$34/Calculator!$F$17,1)),2)))/$C41,$C41/(50*POWER(80,POWER(COS(PI()*MOD(Calculator!$B$34/Calculator!$F$17,1)),2)))),2))</f>
        <v>2.91</v>
      </c>
      <c r="BG41" s="99" t="n">
        <f aca="false">IF(OR(Calculator!$E$18&lt;&gt;"YES",Calculator!$B$34&lt;Calculator!$G$18),"—",ROUND(MAX((50*POWER(80,POWER(COS(PI()*MOD(Calculator!$B$34/Calculator!$F$18,1)),2)))/$C41,$C41/(50*POWER(80,POWER(COS(PI()*MOD(Calculator!$B$34/Calculator!$F$18,1)),2)))),2))</f>
        <v>3.26</v>
      </c>
      <c r="BH41" s="99" t="n">
        <f aca="false">IF(OR(Calculator!$E$19&lt;&gt;"YES",Calculator!$B$34&lt;Calculator!$G$19),"—",ROUND(MAX((50*POWER(80,POWER(COS(PI()*MOD(Calculator!$B$34/Calculator!$F$19,1)),2)))/$C41,$C41/(50*POWER(80,POWER(COS(PI()*MOD(Calculator!$B$34/Calculator!$F$19,1)),2)))),2))</f>
        <v>3.62</v>
      </c>
      <c r="BI41" s="99" t="n">
        <f aca="false">IF(OR(Calculator!$E$20&lt;&gt;"YES",Calculator!$B$34&lt;Calculator!$G$20),"—",ROUND(MAX((50*POWER(80,POWER(COS(PI()*MOD(Calculator!$B$34/Calculator!$F$20,1)),2)))/$C41,$C41/(50*POWER(80,POWER(COS(PI()*MOD(Calculator!$B$34/Calculator!$F$20,1)),2)))),2))</f>
        <v>2.16</v>
      </c>
      <c r="BJ41" s="99" t="str">
        <f aca="false">IF(OR(Calculator!$E$21&lt;&gt;"YES",Calculator!$B$34&lt;Calculator!$G$21),"—",ROUND(MAX((50*POWER(80,POWER(COS(PI()*MOD(Calculator!$B$34/Calculator!$F$21,1)),2)))/$C41,$C41/(50*POWER(80,POWER(COS(PI()*MOD(Calculator!$B$34/Calculator!$F$21,1)),2)))),2))</f>
        <v>—</v>
      </c>
      <c r="BK41" s="98" t="n">
        <f aca="false">IFERROR(ROUND((IF(ISNUMBER(AZ41),AZ41,0)+IF(ISNUMBER(BA41),BA41,0)+IF(ISNUMBER(BB41),BB41,0)+IF(ISNUMBER(BC41),BC41,0)+IF(ISNUMBER(BD41),BD41,0)+IF(ISNUMBER(BE41),BE41,0)+IF(ISNUMBER(BF41),BF41,0)+IF(ISNUMBER(BG41),BG41,0)+IF(ISNUMBER(BH41),BH41,0)+IF(ISNUMBER(BI41),BI41,0)+IF(ISNUMBER(BJ41),BJ41,0))/(IF(ISNUMBER(AZ41),1,0)+IF(ISNUMBER(BA41),1,0)+IF(ISNUMBER(BB41),1,0)+IF(ISNUMBER(BC41),1,0)+IF(ISNUMBER(BD41),1,0)+IF(ISNUMBER(BE41),1,0)+IF(ISNUMBER(BF41),1,0)+IF(ISNUMBER(BG41),1,0)+IF(ISNUMBER(BH41),1,0)+IF(ISNUMBER(BI41),1,0)+IF(ISNUMBER(BJ41),1,0)),2),"")</f>
        <v>3.08</v>
      </c>
    </row>
    <row r="42" customFormat="false" ht="15" hidden="false" customHeight="false" outlineLevel="0" collapsed="false">
      <c r="A42" s="103" t="s">
        <v>92</v>
      </c>
      <c r="B42" s="103" t="s">
        <v>86</v>
      </c>
      <c r="C42" s="104" t="n">
        <v>500</v>
      </c>
      <c r="D42" s="105" t="str">
        <f aca="false">IF(OR(Calculator!$E$11&lt;&gt;"YES",Calculator!$B$30&lt;Calculator!$G$11),"—",ROUND(MAX((50*POWER(80,POWER(COS(PI()*MOD(Calculator!$B$30/Calculator!$F$11,1)),2)))/$C42,$C42/(50*POWER(80,POWER(COS(PI()*MOD(Calculator!$B$30/Calculator!$F$11,1)),2)))),2))</f>
        <v>—</v>
      </c>
      <c r="E42" s="105" t="str">
        <f aca="false">IF(OR(Calculator!$E$12&lt;&gt;"YES",Calculator!$B$30&lt;Calculator!$G$12),"—",ROUND(MAX((50*POWER(80,POWER(COS(PI()*MOD(Calculator!$B$30/Calculator!$F$12,1)),2)))/$C42,$C42/(50*POWER(80,POWER(COS(PI()*MOD(Calculator!$B$30/Calculator!$F$12,1)),2)))),2))</f>
        <v>—</v>
      </c>
      <c r="F42" s="105" t="str">
        <f aca="false">IF(OR(Calculator!$E$13&lt;&gt;"YES",Calculator!$B$30&lt;Calculator!$G$13),"—",ROUND(MAX((50*POWER(80,POWER(COS(PI()*MOD(Calculator!$B$30/Calculator!$F$13,1)),2)))/$C42,$C42/(50*POWER(80,POWER(COS(PI()*MOD(Calculator!$B$30/Calculator!$F$13,1)),2)))),2))</f>
        <v>—</v>
      </c>
      <c r="G42" s="105" t="n">
        <f aca="false">IF(OR(Calculator!$E$14&lt;&gt;"YES",Calculator!$B$30&lt;Calculator!$G$14),"—",ROUND(MAX((50*POWER(80,POWER(COS(PI()*MOD(Calculator!$B$30/Calculator!$F$14,1)),2)))/$C42,$C42/(50*POWER(80,POWER(COS(PI()*MOD(Calculator!$B$30/Calculator!$F$14,1)),2)))),2))</f>
        <v>4.52</v>
      </c>
      <c r="H42" s="105" t="n">
        <f aca="false">IF(OR(Calculator!$E$15&lt;&gt;"YES",Calculator!$B$30&lt;Calculator!$G$15),"—",ROUND(MAX((50*POWER(80,POWER(COS(PI()*MOD(Calculator!$B$30/Calculator!$F$15,1)),2)))/$C42,$C42/(50*POWER(80,POWER(COS(PI()*MOD(Calculator!$B$30/Calculator!$F$15,1)),2)))),2))</f>
        <v>1.31</v>
      </c>
      <c r="I42" s="105" t="n">
        <f aca="false">IF(OR(Calculator!$E$16&lt;&gt;"YES",Calculator!$B$30&lt;Calculator!$G$16),"—",ROUND(MAX((50*POWER(80,POWER(COS(PI()*MOD(Calculator!$B$30/Calculator!$F$16,1)),2)))/$C42,$C42/(50*POWER(80,POWER(COS(PI()*MOD(Calculator!$B$30/Calculator!$F$16,1)),2)))),2))</f>
        <v>1.12</v>
      </c>
      <c r="J42" s="105" t="n">
        <f aca="false">IF(OR(Calculator!$E$17&lt;&gt;"YES",Calculator!$B$30&lt;Calculator!$G$17),"—",ROUND(MAX((50*POWER(80,POWER(COS(PI()*MOD(Calculator!$B$30/Calculator!$F$17,1)),2)))/$C42,$C42/(50*POWER(80,POWER(COS(PI()*MOD(Calculator!$B$30/Calculator!$F$17,1)),2)))),2))</f>
        <v>2.51</v>
      </c>
      <c r="K42" s="105" t="n">
        <f aca="false">IF(OR(Calculator!$E$18&lt;&gt;"YES",Calculator!$B$30&lt;Calculator!$G$18),"—",ROUND(MAX((50*POWER(80,POWER(COS(PI()*MOD(Calculator!$B$30/Calculator!$F$18,1)),2)))/$C42,$C42/(50*POWER(80,POWER(COS(PI()*MOD(Calculator!$B$30/Calculator!$F$18,1)),2)))),2))</f>
        <v>2.79</v>
      </c>
      <c r="L42" s="105" t="n">
        <f aca="false">IF(OR(Calculator!$E$19&lt;&gt;"YES",Calculator!$B$30&lt;Calculator!$G$19),"—",ROUND(MAX((50*POWER(80,POWER(COS(PI()*MOD(Calculator!$B$30/Calculator!$F$19,1)),2)))/$C42,$C42/(50*POWER(80,POWER(COS(PI()*MOD(Calculator!$B$30/Calculator!$F$19,1)),2)))),2))</f>
        <v>1.57</v>
      </c>
      <c r="M42" s="105" t="n">
        <f aca="false">IF(OR(Calculator!$E$20&lt;&gt;"YES",Calculator!$B$30&lt;Calculator!$G$20),"—",ROUND(MAX((50*POWER(80,POWER(COS(PI()*MOD(Calculator!$B$30/Calculator!$F$20,1)),2)))/$C42,$C42/(50*POWER(80,POWER(COS(PI()*MOD(Calculator!$B$30/Calculator!$F$20,1)),2)))),2))</f>
        <v>3.95</v>
      </c>
      <c r="N42" s="105" t="str">
        <f aca="false">IF(OR(Calculator!$E$21&lt;&gt;"YES",Calculator!$B$30&lt;Calculator!$G$21),"—",ROUND(MAX((50*POWER(80,POWER(COS(PI()*MOD(Calculator!$B$30/Calculator!$F$21,1)),2)))/$C42,$C42/(50*POWER(80,POWER(COS(PI()*MOD(Calculator!$B$30/Calculator!$F$21,1)),2)))),2))</f>
        <v>—</v>
      </c>
      <c r="O42" s="100" t="n">
        <f aca="false">IFERROR(ROUND((IF(ISNUMBER(D42),D42,0)+IF(ISNUMBER(E42),E42,0)+IF(ISNUMBER(F42),F42,0)+IF(ISNUMBER(G42),G42,0)+IF(ISNUMBER(H42),H42,0)+IF(ISNUMBER(I42),I42,0)+IF(ISNUMBER(J42),J42,0)+IF(ISNUMBER(K42),K42,0)+IF(ISNUMBER(L42),L42,0)+IF(ISNUMBER(M42),M42,0)+IF(ISNUMBER(N42),N42,0))/(IF(ISNUMBER(D42),1,0)+IF(ISNUMBER(E42),1,0)+IF(ISNUMBER(F42),1,0)+IF(ISNUMBER(G42),1,0)+IF(ISNUMBER(H42),1,0)+IF(ISNUMBER(I42),1,0)+IF(ISNUMBER(J42),1,0)+IF(ISNUMBER(K42),1,0)+IF(ISNUMBER(L42),1,0)+IF(ISNUMBER(M42),1,0)+IF(ISNUMBER(N42),1,0)),2),"")</f>
        <v>2.54</v>
      </c>
      <c r="P42" s="105" t="str">
        <f aca="false">IF(OR(Calculator!$E$11&lt;&gt;"YES",Calculator!$B$31&lt;Calculator!$G$11),"—",ROUND(MAX((50*POWER(80,POWER(COS(PI()*MOD(Calculator!$B$31/Calculator!$F$11,1)),2)))/$C42,$C42/(50*POWER(80,POWER(COS(PI()*MOD(Calculator!$B$31/Calculator!$F$11,1)),2)))),2))</f>
        <v>—</v>
      </c>
      <c r="Q42" s="105" t="str">
        <f aca="false">IF(OR(Calculator!$E$12&lt;&gt;"YES",Calculator!$B$31&lt;Calculator!$G$12),"—",ROUND(MAX((50*POWER(80,POWER(COS(PI()*MOD(Calculator!$B$31/Calculator!$F$12,1)),2)))/$C42,$C42/(50*POWER(80,POWER(COS(PI()*MOD(Calculator!$B$31/Calculator!$F$12,1)),2)))),2))</f>
        <v>—</v>
      </c>
      <c r="R42" s="105" t="str">
        <f aca="false">IF(OR(Calculator!$E$13&lt;&gt;"YES",Calculator!$B$31&lt;Calculator!$G$13),"—",ROUND(MAX((50*POWER(80,POWER(COS(PI()*MOD(Calculator!$B$31/Calculator!$F$13,1)),2)))/$C42,$C42/(50*POWER(80,POWER(COS(PI()*MOD(Calculator!$B$31/Calculator!$F$13,1)),2)))),2))</f>
        <v>—</v>
      </c>
      <c r="S42" s="105" t="n">
        <f aca="false">IF(OR(Calculator!$E$14&lt;&gt;"YES",Calculator!$B$31&lt;Calculator!$G$14),"—",ROUND(MAX((50*POWER(80,POWER(COS(PI()*MOD(Calculator!$B$31/Calculator!$F$14,1)),2)))/$C42,$C42/(50*POWER(80,POWER(COS(PI()*MOD(Calculator!$B$31/Calculator!$F$14,1)),2)))),2))</f>
        <v>4.63</v>
      </c>
      <c r="T42" s="105" t="n">
        <f aca="false">IF(OR(Calculator!$E$15&lt;&gt;"YES",Calculator!$B$31&lt;Calculator!$G$15),"—",ROUND(MAX((50*POWER(80,POWER(COS(PI()*MOD(Calculator!$B$31/Calculator!$F$15,1)),2)))/$C42,$C42/(50*POWER(80,POWER(COS(PI()*MOD(Calculator!$B$31/Calculator!$F$15,1)),2)))),2))</f>
        <v>2.81</v>
      </c>
      <c r="U42" s="105" t="n">
        <f aca="false">IF(OR(Calculator!$E$16&lt;&gt;"YES",Calculator!$B$31&lt;Calculator!$G$16),"—",ROUND(MAX((50*POWER(80,POWER(COS(PI()*MOD(Calculator!$B$31/Calculator!$F$16,1)),2)))/$C42,$C42/(50*POWER(80,POWER(COS(PI()*MOD(Calculator!$B$31/Calculator!$F$16,1)),2)))),2))</f>
        <v>1.07</v>
      </c>
      <c r="V42" s="105" t="n">
        <f aca="false">IF(OR(Calculator!$E$17&lt;&gt;"YES",Calculator!$B$31&lt;Calculator!$G$17),"—",ROUND(MAX((50*POWER(80,POWER(COS(PI()*MOD(Calculator!$B$31/Calculator!$F$17,1)),2)))/$C42,$C42/(50*POWER(80,POWER(COS(PI()*MOD(Calculator!$B$31/Calculator!$F$17,1)),2)))),2))</f>
        <v>3.24</v>
      </c>
      <c r="W42" s="105" t="n">
        <f aca="false">IF(OR(Calculator!$E$18&lt;&gt;"YES",Calculator!$B$31&lt;Calculator!$G$18),"—",ROUND(MAX((50*POWER(80,POWER(COS(PI()*MOD(Calculator!$B$31/Calculator!$F$18,1)),2)))/$C42,$C42/(50*POWER(80,POWER(COS(PI()*MOD(Calculator!$B$31/Calculator!$F$18,1)),2)))),2))</f>
        <v>3.68</v>
      </c>
      <c r="X42" s="105" t="n">
        <f aca="false">IF(OR(Calculator!$E$19&lt;&gt;"YES",Calculator!$B$31&lt;Calculator!$G$19),"—",ROUND(MAX((50*POWER(80,POWER(COS(PI()*MOD(Calculator!$B$31/Calculator!$F$19,1)),2)))/$C42,$C42/(50*POWER(80,POWER(COS(PI()*MOD(Calculator!$B$31/Calculator!$F$19,1)),2)))),2))</f>
        <v>1.86</v>
      </c>
      <c r="Y42" s="105" t="n">
        <f aca="false">IF(OR(Calculator!$E$20&lt;&gt;"YES",Calculator!$B$31&lt;Calculator!$G$20),"—",ROUND(MAX((50*POWER(80,POWER(COS(PI()*MOD(Calculator!$B$31/Calculator!$F$20,1)),2)))/$C42,$C42/(50*POWER(80,POWER(COS(PI()*MOD(Calculator!$B$31/Calculator!$F$20,1)),2)))),2))</f>
        <v>6.13</v>
      </c>
      <c r="Z42" s="105" t="str">
        <f aca="false">IF(OR(Calculator!$E$21&lt;&gt;"YES",Calculator!$B$31&lt;Calculator!$G$21),"—",ROUND(MAX((50*POWER(80,POWER(COS(PI()*MOD(Calculator!$B$31/Calculator!$F$21,1)),2)))/$C42,$C42/(50*POWER(80,POWER(COS(PI()*MOD(Calculator!$B$31/Calculator!$F$21,1)),2)))),2))</f>
        <v>—</v>
      </c>
      <c r="AA42" s="100" t="n">
        <f aca="false">IFERROR(ROUND((IF(ISNUMBER(P42),P42,0)+IF(ISNUMBER(Q42),Q42,0)+IF(ISNUMBER(R42),R42,0)+IF(ISNUMBER(S42),S42,0)+IF(ISNUMBER(T42),T42,0)+IF(ISNUMBER(U42),U42,0)+IF(ISNUMBER(V42),V42,0)+IF(ISNUMBER(W42),W42,0)+IF(ISNUMBER(X42),X42,0)+IF(ISNUMBER(Y42),Y42,0)+IF(ISNUMBER(Z42),Z42,0))/(IF(ISNUMBER(P42),1,0)+IF(ISNUMBER(Q42),1,0)+IF(ISNUMBER(R42),1,0)+IF(ISNUMBER(S42),1,0)+IF(ISNUMBER(T42),1,0)+IF(ISNUMBER(U42),1,0)+IF(ISNUMBER(V42),1,0)+IF(ISNUMBER(W42),1,0)+IF(ISNUMBER(X42),1,0)+IF(ISNUMBER(Y42),1,0)+IF(ISNUMBER(Z42),1,0)),2),"")</f>
        <v>3.35</v>
      </c>
      <c r="AB42" s="105" t="str">
        <f aca="false">IF(OR(Calculator!$E$11&lt;&gt;"YES",Calculator!$B$32&lt;Calculator!$G$11),"—",ROUND(MAX((50*POWER(80,POWER(COS(PI()*MOD(Calculator!$B$32/Calculator!$F$11,1)),2)))/$C42,$C42/(50*POWER(80,POWER(COS(PI()*MOD(Calculator!$B$32/Calculator!$F$11,1)),2)))),2))</f>
        <v>—</v>
      </c>
      <c r="AC42" s="105" t="str">
        <f aca="false">IF(OR(Calculator!$E$12&lt;&gt;"YES",Calculator!$B$32&lt;Calculator!$G$12),"—",ROUND(MAX((50*POWER(80,POWER(COS(PI()*MOD(Calculator!$B$32/Calculator!$F$12,1)),2)))/$C42,$C42/(50*POWER(80,POWER(COS(PI()*MOD(Calculator!$B$32/Calculator!$F$12,1)),2)))),2))</f>
        <v>—</v>
      </c>
      <c r="AD42" s="105" t="str">
        <f aca="false">IF(OR(Calculator!$E$13&lt;&gt;"YES",Calculator!$B$32&lt;Calculator!$G$13),"—",ROUND(MAX((50*POWER(80,POWER(COS(PI()*MOD(Calculator!$B$32/Calculator!$F$13,1)),2)))/$C42,$C42/(50*POWER(80,POWER(COS(PI()*MOD(Calculator!$B$32/Calculator!$F$13,1)),2)))),2))</f>
        <v>—</v>
      </c>
      <c r="AE42" s="105" t="n">
        <f aca="false">IF(OR(Calculator!$E$14&lt;&gt;"YES",Calculator!$B$32&lt;Calculator!$G$14),"—",ROUND(MAX((50*POWER(80,POWER(COS(PI()*MOD(Calculator!$B$32/Calculator!$F$14,1)),2)))/$C42,$C42/(50*POWER(80,POWER(COS(PI()*MOD(Calculator!$B$32/Calculator!$F$14,1)),2)))),2))</f>
        <v>2.92</v>
      </c>
      <c r="AF42" s="105" t="n">
        <f aca="false">IF(OR(Calculator!$E$15&lt;&gt;"YES",Calculator!$B$32&lt;Calculator!$G$15),"—",ROUND(MAX((50*POWER(80,POWER(COS(PI()*MOD(Calculator!$B$32/Calculator!$F$15,1)),2)))/$C42,$C42/(50*POWER(80,POWER(COS(PI()*MOD(Calculator!$B$32/Calculator!$F$15,1)),2)))),2))</f>
        <v>1.89</v>
      </c>
      <c r="AG42" s="105" t="n">
        <f aca="false">IF(OR(Calculator!$E$16&lt;&gt;"YES",Calculator!$B$32&lt;Calculator!$G$16),"—",ROUND(MAX((50*POWER(80,POWER(COS(PI()*MOD(Calculator!$B$32/Calculator!$F$16,1)),2)))/$C42,$C42/(50*POWER(80,POWER(COS(PI()*MOD(Calculator!$B$32/Calculator!$F$16,1)),2)))),2))</f>
        <v>6.38</v>
      </c>
      <c r="AH42" s="105" t="n">
        <f aca="false">IF(OR(Calculator!$E$17&lt;&gt;"YES",Calculator!$B$32&lt;Calculator!$G$17),"—",ROUND(MAX((50*POWER(80,POWER(COS(PI()*MOD(Calculator!$B$32/Calculator!$F$17,1)),2)))/$C42,$C42/(50*POWER(80,POWER(COS(PI()*MOD(Calculator!$B$32/Calculator!$F$17,1)),2)))),2))</f>
        <v>4.61</v>
      </c>
      <c r="AI42" s="105" t="n">
        <f aca="false">IF(OR(Calculator!$E$18&lt;&gt;"YES",Calculator!$B$32&lt;Calculator!$G$18),"—",ROUND(MAX((50*POWER(80,POWER(COS(PI()*MOD(Calculator!$B$32/Calculator!$F$18,1)),2)))/$C42,$C42/(50*POWER(80,POWER(COS(PI()*MOD(Calculator!$B$32/Calculator!$F$18,1)),2)))),2))</f>
        <v>4.99</v>
      </c>
      <c r="AJ42" s="105" t="n">
        <f aca="false">IF(OR(Calculator!$E$19&lt;&gt;"YES",Calculator!$B$32&lt;Calculator!$G$19),"—",ROUND(MAX((50*POWER(80,POWER(COS(PI()*MOD(Calculator!$B$32/Calculator!$F$19,1)),2)))/$C42,$C42/(50*POWER(80,POWER(COS(PI()*MOD(Calculator!$B$32/Calculator!$F$19,1)),2)))),2))</f>
        <v>5.26</v>
      </c>
      <c r="AK42" s="105" t="n">
        <f aca="false">IF(OR(Calculator!$E$20&lt;&gt;"YES",Calculator!$B$32&lt;Calculator!$G$20),"—",ROUND(MAX((50*POWER(80,POWER(COS(PI()*MOD(Calculator!$B$32/Calculator!$F$20,1)),2)))/$C42,$C42/(50*POWER(80,POWER(COS(PI()*MOD(Calculator!$B$32/Calculator!$F$20,1)),2)))),2))</f>
        <v>5.01</v>
      </c>
      <c r="AL42" s="105" t="str">
        <f aca="false">IF(OR(Calculator!$E$21&lt;&gt;"YES",Calculator!$B$32&lt;Calculator!$G$21),"—",ROUND(MAX((50*POWER(80,POWER(COS(PI()*MOD(Calculator!$B$32/Calculator!$F$21,1)),2)))/$C42,$C42/(50*POWER(80,POWER(COS(PI()*MOD(Calculator!$B$32/Calculator!$F$21,1)),2)))),2))</f>
        <v>—</v>
      </c>
      <c r="AM42" s="101" t="n">
        <f aca="false">IFERROR(ROUND((IF(ISNUMBER(AB42),AB42,0)+IF(ISNUMBER(AC42),AC42,0)+IF(ISNUMBER(AD42),AD42,0)+IF(ISNUMBER(AE42),AE42,0)+IF(ISNUMBER(AF42),AF42,0)+IF(ISNUMBER(AG42),AG42,0)+IF(ISNUMBER(AH42),AH42,0)+IF(ISNUMBER(AI42),AI42,0)+IF(ISNUMBER(AJ42),AJ42,0)+IF(ISNUMBER(AK42),AK42,0)+IF(ISNUMBER(AL42),AL42,0))/(IF(ISNUMBER(AB42),1,0)+IF(ISNUMBER(AC42),1,0)+IF(ISNUMBER(AD42),1,0)+IF(ISNUMBER(AE42),1,0)+IF(ISNUMBER(AF42),1,0)+IF(ISNUMBER(AG42),1,0)+IF(ISNUMBER(AH42),1,0)+IF(ISNUMBER(AI42),1,0)+IF(ISNUMBER(AJ42),1,0)+IF(ISNUMBER(AK42),1,0)+IF(ISNUMBER(AL42),1,0)),2),"")</f>
        <v>4.44</v>
      </c>
      <c r="AN42" s="106" t="str">
        <f aca="false">IF(OR(Calculator!$E$11&lt;&gt;"YES",Calculator!$B$33&lt;Calculator!$G$11),"—",ROUND(MAX((50*POWER(80,POWER(COS(PI()*MOD(Calculator!$B$33/Calculator!$F$11,1)),2)))/$C42,$C42/(50*POWER(80,POWER(COS(PI()*MOD(Calculator!$B$33/Calculator!$F$11,1)),2)))),2))</f>
        <v>—</v>
      </c>
      <c r="AO42" s="106" t="str">
        <f aca="false">IF(OR(Calculator!$E$12&lt;&gt;"YES",Calculator!$B$33&lt;Calculator!$G$12),"—",ROUND(MAX((50*POWER(80,POWER(COS(PI()*MOD(Calculator!$B$33/Calculator!$F$12,1)),2)))/$C42,$C42/(50*POWER(80,POWER(COS(PI()*MOD(Calculator!$B$33/Calculator!$F$12,1)),2)))),2))</f>
        <v>—</v>
      </c>
      <c r="AP42" s="106" t="str">
        <f aca="false">IF(OR(Calculator!$E$13&lt;&gt;"YES",Calculator!$B$33&lt;Calculator!$G$13),"—",ROUND(MAX((50*POWER(80,POWER(COS(PI()*MOD(Calculator!$B$33/Calculator!$F$13,1)),2)))/$C42,$C42/(50*POWER(80,POWER(COS(PI()*MOD(Calculator!$B$33/Calculator!$F$13,1)),2)))),2))</f>
        <v>—</v>
      </c>
      <c r="AQ42" s="106" t="n">
        <f aca="false">IF(OR(Calculator!$E$14&lt;&gt;"YES",Calculator!$B$33&lt;Calculator!$G$14),"—",ROUND(MAX((50*POWER(80,POWER(COS(PI()*MOD(Calculator!$B$33/Calculator!$F$14,1)),2)))/$C42,$C42/(50*POWER(80,POWER(COS(PI()*MOD(Calculator!$B$33/Calculator!$F$14,1)),2)))),2))</f>
        <v>5.45</v>
      </c>
      <c r="AR42" s="106" t="n">
        <f aca="false">IF(OR(Calculator!$E$15&lt;&gt;"YES",Calculator!$B$33&lt;Calculator!$G$15),"—",ROUND(MAX((50*POWER(80,POWER(COS(PI()*MOD(Calculator!$B$33/Calculator!$F$15,1)),2)))/$C42,$C42/(50*POWER(80,POWER(COS(PI()*MOD(Calculator!$B$33/Calculator!$F$15,1)),2)))),2))</f>
        <v>1.7</v>
      </c>
      <c r="AS42" s="106" t="n">
        <f aca="false">IF(OR(Calculator!$E$16&lt;&gt;"YES",Calculator!$B$33&lt;Calculator!$G$16),"—",ROUND(MAX((50*POWER(80,POWER(COS(PI()*MOD(Calculator!$B$33/Calculator!$F$16,1)),2)))/$C42,$C42/(50*POWER(80,POWER(COS(PI()*MOD(Calculator!$B$33/Calculator!$F$16,1)),2)))),2))</f>
        <v>1.61</v>
      </c>
      <c r="AT42" s="106" t="n">
        <f aca="false">IF(OR(Calculator!$E$17&lt;&gt;"YES",Calculator!$B$33&lt;Calculator!$G$17),"—",ROUND(MAX((50*POWER(80,POWER(COS(PI()*MOD(Calculator!$B$33/Calculator!$F$17,1)),2)))/$C42,$C42/(50*POWER(80,POWER(COS(PI()*MOD(Calculator!$B$33/Calculator!$F$17,1)),2)))),2))</f>
        <v>1.98</v>
      </c>
      <c r="AU42" s="106" t="n">
        <f aca="false">IF(OR(Calculator!$E$18&lt;&gt;"YES",Calculator!$B$33&lt;Calculator!$G$18),"—",ROUND(MAX((50*POWER(80,POWER(COS(PI()*MOD(Calculator!$B$33/Calculator!$F$18,1)),2)))/$C42,$C42/(50*POWER(80,POWER(COS(PI()*MOD(Calculator!$B$33/Calculator!$F$18,1)),2)))),2))</f>
        <v>2.67</v>
      </c>
      <c r="AV42" s="106" t="n">
        <f aca="false">IF(OR(Calculator!$E$19&lt;&gt;"YES",Calculator!$B$33&lt;Calculator!$G$19),"—",ROUND(MAX((50*POWER(80,POWER(COS(PI()*MOD(Calculator!$B$33/Calculator!$F$19,1)),2)))/$C42,$C42/(50*POWER(80,POWER(COS(PI()*MOD(Calculator!$B$33/Calculator!$F$19,1)),2)))),2))</f>
        <v>3.07</v>
      </c>
      <c r="AW42" s="106" t="n">
        <f aca="false">IF(OR(Calculator!$E$20&lt;&gt;"YES",Calculator!$B$33&lt;Calculator!$G$20),"—",ROUND(MAX((50*POWER(80,POWER(COS(PI()*MOD(Calculator!$B$33/Calculator!$F$20,1)),2)))/$C42,$C42/(50*POWER(80,POWER(COS(PI()*MOD(Calculator!$B$33/Calculator!$F$20,1)),2)))),2))</f>
        <v>4.08</v>
      </c>
      <c r="AX42" s="106" t="str">
        <f aca="false">IF(OR(Calculator!$E$21&lt;&gt;"YES",Calculator!$B$33&lt;Calculator!$G$21),"—",ROUND(MAX((50*POWER(80,POWER(COS(PI()*MOD(Calculator!$B$33/Calculator!$F$21,1)),2)))/$C42,$C42/(50*POWER(80,POWER(COS(PI()*MOD(Calculator!$B$33/Calculator!$F$21,1)),2)))),2))</f>
        <v>—</v>
      </c>
      <c r="AY42" s="101" t="n">
        <f aca="false">IFERROR(ROUND((IF(ISNUMBER(AN42),AN42,0)+IF(ISNUMBER(AO42),AO42,0)+IF(ISNUMBER(AP42),AP42,0)+IF(ISNUMBER(AQ42),AQ42,0)+IF(ISNUMBER(AR42),AR42,0)+IF(ISNUMBER(AS42),AS42,0)+IF(ISNUMBER(AT42),AT42,0)+IF(ISNUMBER(AU42),AU42,0)+IF(ISNUMBER(AV42),AV42,0)+IF(ISNUMBER(AW42),AW42,0)+IF(ISNUMBER(AX42),AX42,0))/(IF(ISNUMBER(AN42),1,0)+IF(ISNUMBER(AO42),1,0)+IF(ISNUMBER(AP42),1,0)+IF(ISNUMBER(AQ42),1,0)+IF(ISNUMBER(AR42),1,0)+IF(ISNUMBER(AS42),1,0)+IF(ISNUMBER(AT42),1,0)+IF(ISNUMBER(AU42),1,0)+IF(ISNUMBER(AV42),1,0)+IF(ISNUMBER(AW42),1,0)+IF(ISNUMBER(AX42),1,0)),2),"")</f>
        <v>2.94</v>
      </c>
      <c r="AZ42" s="106" t="str">
        <f aca="false">IF(OR(Calculator!$E$11&lt;&gt;"YES",Calculator!$B$34&lt;Calculator!$G$11),"—",ROUND(MAX((50*POWER(80,POWER(COS(PI()*MOD(Calculator!$B$34/Calculator!$F$11,1)),2)))/$C42,$C42/(50*POWER(80,POWER(COS(PI()*MOD(Calculator!$B$34/Calculator!$F$11,1)),2)))),2))</f>
        <v>—</v>
      </c>
      <c r="BA42" s="106" t="str">
        <f aca="false">IF(OR(Calculator!$E$12&lt;&gt;"YES",Calculator!$B$34&lt;Calculator!$G$12),"—",ROUND(MAX((50*POWER(80,POWER(COS(PI()*MOD(Calculator!$B$34/Calculator!$F$12,1)),2)))/$C42,$C42/(50*POWER(80,POWER(COS(PI()*MOD(Calculator!$B$34/Calculator!$F$12,1)),2)))),2))</f>
        <v>—</v>
      </c>
      <c r="BB42" s="106" t="str">
        <f aca="false">IF(OR(Calculator!$E$13&lt;&gt;"YES",Calculator!$B$34&lt;Calculator!$G$13),"—",ROUND(MAX((50*POWER(80,POWER(COS(PI()*MOD(Calculator!$B$34/Calculator!$F$13,1)),2)))/$C42,$C42/(50*POWER(80,POWER(COS(PI()*MOD(Calculator!$B$34/Calculator!$F$13,1)),2)))),2))</f>
        <v>—</v>
      </c>
      <c r="BC42" s="106" t="n">
        <f aca="false">IF(OR(Calculator!$E$14&lt;&gt;"YES",Calculator!$B$34&lt;Calculator!$G$14),"—",ROUND(MAX((50*POWER(80,POWER(COS(PI()*MOD(Calculator!$B$34/Calculator!$F$14,1)),2)))/$C42,$C42/(50*POWER(80,POWER(COS(PI()*MOD(Calculator!$B$34/Calculator!$F$14,1)),2)))),2))</f>
        <v>5.55</v>
      </c>
      <c r="BD42" s="106" t="n">
        <f aca="false">IF(OR(Calculator!$E$15&lt;&gt;"YES",Calculator!$B$34&lt;Calculator!$G$15),"—",ROUND(MAX((50*POWER(80,POWER(COS(PI()*MOD(Calculator!$B$34/Calculator!$F$15,1)),2)))/$C42,$C42/(50*POWER(80,POWER(COS(PI()*MOD(Calculator!$B$34/Calculator!$F$15,1)),2)))),2))</f>
        <v>2.2</v>
      </c>
      <c r="BE42" s="106" t="n">
        <f aca="false">IF(OR(Calculator!$E$16&lt;&gt;"YES",Calculator!$B$34&lt;Calculator!$G$16),"—",ROUND(MAX((50*POWER(80,POWER(COS(PI()*MOD(Calculator!$B$34/Calculator!$F$16,1)),2)))/$C42,$C42/(50*POWER(80,POWER(COS(PI()*MOD(Calculator!$B$34/Calculator!$F$16,1)),2)))),2))</f>
        <v>1.35</v>
      </c>
      <c r="BF42" s="106" t="n">
        <f aca="false">IF(OR(Calculator!$E$17&lt;&gt;"YES",Calculator!$B$34&lt;Calculator!$G$17),"—",ROUND(MAX((50*POWER(80,POWER(COS(PI()*MOD(Calculator!$B$34/Calculator!$F$17,1)),2)))/$C42,$C42/(50*POWER(80,POWER(COS(PI()*MOD(Calculator!$B$34/Calculator!$F$17,1)),2)))),2))</f>
        <v>2.62</v>
      </c>
      <c r="BG42" s="106" t="n">
        <f aca="false">IF(OR(Calculator!$E$18&lt;&gt;"YES",Calculator!$B$34&lt;Calculator!$G$18),"—",ROUND(MAX((50*POWER(80,POWER(COS(PI()*MOD(Calculator!$B$34/Calculator!$F$18,1)),2)))/$C42,$C42/(50*POWER(80,POWER(COS(PI()*MOD(Calculator!$B$34/Calculator!$F$18,1)),2)))),2))</f>
        <v>3.62</v>
      </c>
      <c r="BH42" s="106" t="n">
        <f aca="false">IF(OR(Calculator!$E$19&lt;&gt;"YES",Calculator!$B$34&lt;Calculator!$G$19),"—",ROUND(MAX((50*POWER(80,POWER(COS(PI()*MOD(Calculator!$B$34/Calculator!$F$19,1)),2)))/$C42,$C42/(50*POWER(80,POWER(COS(PI()*MOD(Calculator!$B$34/Calculator!$F$19,1)),2)))),2))</f>
        <v>4.02</v>
      </c>
      <c r="BI42" s="106" t="n">
        <f aca="false">IF(OR(Calculator!$E$20&lt;&gt;"YES",Calculator!$B$34&lt;Calculator!$G$20),"—",ROUND(MAX((50*POWER(80,POWER(COS(PI()*MOD(Calculator!$B$34/Calculator!$F$20,1)),2)))/$C42,$C42/(50*POWER(80,POWER(COS(PI()*MOD(Calculator!$B$34/Calculator!$F$20,1)),2)))),2))</f>
        <v>2.4</v>
      </c>
      <c r="BJ42" s="106" t="str">
        <f aca="false">IF(OR(Calculator!$E$21&lt;&gt;"YES",Calculator!$B$34&lt;Calculator!$G$21),"—",ROUND(MAX((50*POWER(80,POWER(COS(PI()*MOD(Calculator!$B$34/Calculator!$F$21,1)),2)))/$C42,$C42/(50*POWER(80,POWER(COS(PI()*MOD(Calculator!$B$34/Calculator!$F$21,1)),2)))),2))</f>
        <v>—</v>
      </c>
      <c r="BK42" s="101" t="n">
        <f aca="false">IFERROR(ROUND((IF(ISNUMBER(AZ42),AZ42,0)+IF(ISNUMBER(BA42),BA42,0)+IF(ISNUMBER(BB42),BB42,0)+IF(ISNUMBER(BC42),BC42,0)+IF(ISNUMBER(BD42),BD42,0)+IF(ISNUMBER(BE42),BE42,0)+IF(ISNUMBER(BF42),BF42,0)+IF(ISNUMBER(BG42),BG42,0)+IF(ISNUMBER(BH42),BH42,0)+IF(ISNUMBER(BI42),BI42,0)+IF(ISNUMBER(BJ42),BJ42,0))/(IF(ISNUMBER(AZ42),1,0)+IF(ISNUMBER(BA42),1,0)+IF(ISNUMBER(BB42),1,0)+IF(ISNUMBER(BC42),1,0)+IF(ISNUMBER(BD42),1,0)+IF(ISNUMBER(BE42),1,0)+IF(ISNUMBER(BF42),1,0)+IF(ISNUMBER(BG42),1,0)+IF(ISNUMBER(BH42),1,0)+IF(ISNUMBER(BI42),1,0)+IF(ISNUMBER(BJ42),1,0)),2),"")</f>
        <v>3.11</v>
      </c>
    </row>
    <row r="43" customFormat="false" ht="15" hidden="false" customHeight="false" outlineLevel="0" collapsed="false">
      <c r="A43" s="74" t="s">
        <v>93</v>
      </c>
      <c r="B43" s="74" t="s">
        <v>86</v>
      </c>
      <c r="C43" s="77" t="n">
        <v>550</v>
      </c>
      <c r="D43" s="78" t="str">
        <f aca="false">IF(OR(Calculator!$E$11&lt;&gt;"YES",Calculator!$B$30&lt;Calculator!$G$11),"—",ROUND(MAX((50*POWER(80,POWER(COS(PI()*MOD(Calculator!$B$30/Calculator!$F$11,1)),2)))/$C43,$C43/(50*POWER(80,POWER(COS(PI()*MOD(Calculator!$B$30/Calculator!$F$11,1)),2)))),2))</f>
        <v>—</v>
      </c>
      <c r="E43" s="78" t="str">
        <f aca="false">IF(OR(Calculator!$E$12&lt;&gt;"YES",Calculator!$B$30&lt;Calculator!$G$12),"—",ROUND(MAX((50*POWER(80,POWER(COS(PI()*MOD(Calculator!$B$30/Calculator!$F$12,1)),2)))/$C43,$C43/(50*POWER(80,POWER(COS(PI()*MOD(Calculator!$B$30/Calculator!$F$12,1)),2)))),2))</f>
        <v>—</v>
      </c>
      <c r="F43" s="78" t="str">
        <f aca="false">IF(OR(Calculator!$E$13&lt;&gt;"YES",Calculator!$B$30&lt;Calculator!$G$13),"—",ROUND(MAX((50*POWER(80,POWER(COS(PI()*MOD(Calculator!$B$30/Calculator!$F$13,1)),2)))/$C43,$C43/(50*POWER(80,POWER(COS(PI()*MOD(Calculator!$B$30/Calculator!$F$13,1)),2)))),2))</f>
        <v>—</v>
      </c>
      <c r="G43" s="78" t="n">
        <f aca="false">IF(OR(Calculator!$E$14&lt;&gt;"YES",Calculator!$B$30&lt;Calculator!$G$14),"—",ROUND(MAX((50*POWER(80,POWER(COS(PI()*MOD(Calculator!$B$30/Calculator!$F$14,1)),2)))/$C43,$C43/(50*POWER(80,POWER(COS(PI()*MOD(Calculator!$B$30/Calculator!$F$14,1)),2)))),2))</f>
        <v>4.97</v>
      </c>
      <c r="H43" s="78" t="n">
        <f aca="false">IF(OR(Calculator!$E$15&lt;&gt;"YES",Calculator!$B$30&lt;Calculator!$G$15),"—",ROUND(MAX((50*POWER(80,POWER(COS(PI()*MOD(Calculator!$B$30/Calculator!$F$15,1)),2)))/$C43,$C43/(50*POWER(80,POWER(COS(PI()*MOD(Calculator!$B$30/Calculator!$F$15,1)),2)))),2))</f>
        <v>1.44</v>
      </c>
      <c r="I43" s="78" t="n">
        <f aca="false">IF(OR(Calculator!$E$16&lt;&gt;"YES",Calculator!$B$30&lt;Calculator!$G$16),"—",ROUND(MAX((50*POWER(80,POWER(COS(PI()*MOD(Calculator!$B$30/Calculator!$F$16,1)),2)))/$C43,$C43/(50*POWER(80,POWER(COS(PI()*MOD(Calculator!$B$30/Calculator!$F$16,1)),2)))),2))</f>
        <v>1.02</v>
      </c>
      <c r="J43" s="78" t="n">
        <f aca="false">IF(OR(Calculator!$E$17&lt;&gt;"YES",Calculator!$B$30&lt;Calculator!$G$17),"—",ROUND(MAX((50*POWER(80,POWER(COS(PI()*MOD(Calculator!$B$30/Calculator!$F$17,1)),2)))/$C43,$C43/(50*POWER(80,POWER(COS(PI()*MOD(Calculator!$B$30/Calculator!$F$17,1)),2)))),2))</f>
        <v>2.76</v>
      </c>
      <c r="K43" s="78" t="n">
        <f aca="false">IF(OR(Calculator!$E$18&lt;&gt;"YES",Calculator!$B$30&lt;Calculator!$G$18),"—",ROUND(MAX((50*POWER(80,POWER(COS(PI()*MOD(Calculator!$B$30/Calculator!$F$18,1)),2)))/$C43,$C43/(50*POWER(80,POWER(COS(PI()*MOD(Calculator!$B$30/Calculator!$F$18,1)),2)))),2))</f>
        <v>2.54</v>
      </c>
      <c r="L43" s="78" t="n">
        <f aca="false">IF(OR(Calculator!$E$19&lt;&gt;"YES",Calculator!$B$30&lt;Calculator!$G$19),"—",ROUND(MAX((50*POWER(80,POWER(COS(PI()*MOD(Calculator!$B$30/Calculator!$F$19,1)),2)))/$C43,$C43/(50*POWER(80,POWER(COS(PI()*MOD(Calculator!$B$30/Calculator!$F$19,1)),2)))),2))</f>
        <v>1.43</v>
      </c>
      <c r="M43" s="78" t="n">
        <f aca="false">IF(OR(Calculator!$E$20&lt;&gt;"YES",Calculator!$B$30&lt;Calculator!$G$20),"—",ROUND(MAX((50*POWER(80,POWER(COS(PI()*MOD(Calculator!$B$30/Calculator!$F$20,1)),2)))/$C43,$C43/(50*POWER(80,POWER(COS(PI()*MOD(Calculator!$B$30/Calculator!$F$20,1)),2)))),2))</f>
        <v>4.34</v>
      </c>
      <c r="N43" s="78" t="str">
        <f aca="false">IF(OR(Calculator!$E$21&lt;&gt;"YES",Calculator!$B$30&lt;Calculator!$G$21),"—",ROUND(MAX((50*POWER(80,POWER(COS(PI()*MOD(Calculator!$B$30/Calculator!$F$21,1)),2)))/$C43,$C43/(50*POWER(80,POWER(COS(PI()*MOD(Calculator!$B$30/Calculator!$F$21,1)),2)))),2))</f>
        <v>—</v>
      </c>
      <c r="O43" s="100" t="n">
        <f aca="false">IFERROR(ROUND((IF(ISNUMBER(D43),D43,0)+IF(ISNUMBER(E43),E43,0)+IF(ISNUMBER(F43),F43,0)+IF(ISNUMBER(G43),G43,0)+IF(ISNUMBER(H43),H43,0)+IF(ISNUMBER(I43),I43,0)+IF(ISNUMBER(J43),J43,0)+IF(ISNUMBER(K43),K43,0)+IF(ISNUMBER(L43),L43,0)+IF(ISNUMBER(M43),M43,0)+IF(ISNUMBER(N43),N43,0))/(IF(ISNUMBER(D43),1,0)+IF(ISNUMBER(E43),1,0)+IF(ISNUMBER(F43),1,0)+IF(ISNUMBER(G43),1,0)+IF(ISNUMBER(H43),1,0)+IF(ISNUMBER(I43),1,0)+IF(ISNUMBER(J43),1,0)+IF(ISNUMBER(K43),1,0)+IF(ISNUMBER(L43),1,0)+IF(ISNUMBER(M43),1,0)+IF(ISNUMBER(N43),1,0)),2),"")</f>
        <v>2.64</v>
      </c>
      <c r="P43" s="78" t="str">
        <f aca="false">IF(OR(Calculator!$E$11&lt;&gt;"YES",Calculator!$B$31&lt;Calculator!$G$11),"—",ROUND(MAX((50*POWER(80,POWER(COS(PI()*MOD(Calculator!$B$31/Calculator!$F$11,1)),2)))/$C43,$C43/(50*POWER(80,POWER(COS(PI()*MOD(Calculator!$B$31/Calculator!$F$11,1)),2)))),2))</f>
        <v>—</v>
      </c>
      <c r="Q43" s="78" t="str">
        <f aca="false">IF(OR(Calculator!$E$12&lt;&gt;"YES",Calculator!$B$31&lt;Calculator!$G$12),"—",ROUND(MAX((50*POWER(80,POWER(COS(PI()*MOD(Calculator!$B$31/Calculator!$F$12,1)),2)))/$C43,$C43/(50*POWER(80,POWER(COS(PI()*MOD(Calculator!$B$31/Calculator!$F$12,1)),2)))),2))</f>
        <v>—</v>
      </c>
      <c r="R43" s="78" t="str">
        <f aca="false">IF(OR(Calculator!$E$13&lt;&gt;"YES",Calculator!$B$31&lt;Calculator!$G$13),"—",ROUND(MAX((50*POWER(80,POWER(COS(PI()*MOD(Calculator!$B$31/Calculator!$F$13,1)),2)))/$C43,$C43/(50*POWER(80,POWER(COS(PI()*MOD(Calculator!$B$31/Calculator!$F$13,1)),2)))),2))</f>
        <v>—</v>
      </c>
      <c r="S43" s="78" t="n">
        <f aca="false">IF(OR(Calculator!$E$14&lt;&gt;"YES",Calculator!$B$31&lt;Calculator!$G$14),"—",ROUND(MAX((50*POWER(80,POWER(COS(PI()*MOD(Calculator!$B$31/Calculator!$F$14,1)),2)))/$C43,$C43/(50*POWER(80,POWER(COS(PI()*MOD(Calculator!$B$31/Calculator!$F$14,1)),2)))),2))</f>
        <v>5.09</v>
      </c>
      <c r="T43" s="78" t="n">
        <f aca="false">IF(OR(Calculator!$E$15&lt;&gt;"YES",Calculator!$B$31&lt;Calculator!$G$15),"—",ROUND(MAX((50*POWER(80,POWER(COS(PI()*MOD(Calculator!$B$31/Calculator!$F$15,1)),2)))/$C43,$C43/(50*POWER(80,POWER(COS(PI()*MOD(Calculator!$B$31/Calculator!$F$15,1)),2)))),2))</f>
        <v>3.1</v>
      </c>
      <c r="U43" s="78" t="n">
        <f aca="false">IF(OR(Calculator!$E$16&lt;&gt;"YES",Calculator!$B$31&lt;Calculator!$G$16),"—",ROUND(MAX((50*POWER(80,POWER(COS(PI()*MOD(Calculator!$B$31/Calculator!$F$16,1)),2)))/$C43,$C43/(50*POWER(80,POWER(COS(PI()*MOD(Calculator!$B$31/Calculator!$F$16,1)),2)))),2))</f>
        <v>1.18</v>
      </c>
      <c r="V43" s="78" t="n">
        <f aca="false">IF(OR(Calculator!$E$17&lt;&gt;"YES",Calculator!$B$31&lt;Calculator!$G$17),"—",ROUND(MAX((50*POWER(80,POWER(COS(PI()*MOD(Calculator!$B$31/Calculator!$F$17,1)),2)))/$C43,$C43/(50*POWER(80,POWER(COS(PI()*MOD(Calculator!$B$31/Calculator!$F$17,1)),2)))),2))</f>
        <v>2.94</v>
      </c>
      <c r="W43" s="78" t="n">
        <f aca="false">IF(OR(Calculator!$E$18&lt;&gt;"YES",Calculator!$B$31&lt;Calculator!$G$18),"—",ROUND(MAX((50*POWER(80,POWER(COS(PI()*MOD(Calculator!$B$31/Calculator!$F$18,1)),2)))/$C43,$C43/(50*POWER(80,POWER(COS(PI()*MOD(Calculator!$B$31/Calculator!$F$18,1)),2)))),2))</f>
        <v>3.35</v>
      </c>
      <c r="X43" s="78" t="n">
        <f aca="false">IF(OR(Calculator!$E$19&lt;&gt;"YES",Calculator!$B$31&lt;Calculator!$G$19),"—",ROUND(MAX((50*POWER(80,POWER(COS(PI()*MOD(Calculator!$B$31/Calculator!$F$19,1)),2)))/$C43,$C43/(50*POWER(80,POWER(COS(PI()*MOD(Calculator!$B$31/Calculator!$F$19,1)),2)))),2))</f>
        <v>2.04</v>
      </c>
      <c r="Y43" s="78" t="n">
        <f aca="false">IF(OR(Calculator!$E$20&lt;&gt;"YES",Calculator!$B$31&lt;Calculator!$G$20),"—",ROUND(MAX((50*POWER(80,POWER(COS(PI()*MOD(Calculator!$B$31/Calculator!$F$20,1)),2)))/$C43,$C43/(50*POWER(80,POWER(COS(PI()*MOD(Calculator!$B$31/Calculator!$F$20,1)),2)))),2))</f>
        <v>6.75</v>
      </c>
      <c r="Z43" s="78" t="str">
        <f aca="false">IF(OR(Calculator!$E$21&lt;&gt;"YES",Calculator!$B$31&lt;Calculator!$G$21),"—",ROUND(MAX((50*POWER(80,POWER(COS(PI()*MOD(Calculator!$B$31/Calculator!$F$21,1)),2)))/$C43,$C43/(50*POWER(80,POWER(COS(PI()*MOD(Calculator!$B$31/Calculator!$F$21,1)),2)))),2))</f>
        <v>—</v>
      </c>
      <c r="AA43" s="100" t="n">
        <f aca="false">IFERROR(ROUND((IF(ISNUMBER(P43),P43,0)+IF(ISNUMBER(Q43),Q43,0)+IF(ISNUMBER(R43),R43,0)+IF(ISNUMBER(S43),S43,0)+IF(ISNUMBER(T43),T43,0)+IF(ISNUMBER(U43),U43,0)+IF(ISNUMBER(V43),V43,0)+IF(ISNUMBER(W43),W43,0)+IF(ISNUMBER(X43),X43,0)+IF(ISNUMBER(Y43),Y43,0)+IF(ISNUMBER(Z43),Z43,0))/(IF(ISNUMBER(P43),1,0)+IF(ISNUMBER(Q43),1,0)+IF(ISNUMBER(R43),1,0)+IF(ISNUMBER(S43),1,0)+IF(ISNUMBER(T43),1,0)+IF(ISNUMBER(U43),1,0)+IF(ISNUMBER(V43),1,0)+IF(ISNUMBER(W43),1,0)+IF(ISNUMBER(X43),1,0)+IF(ISNUMBER(Y43),1,0)+IF(ISNUMBER(Z43),1,0)),2),"")</f>
        <v>3.49</v>
      </c>
      <c r="AB43" s="78" t="str">
        <f aca="false">IF(OR(Calculator!$E$11&lt;&gt;"YES",Calculator!$B$32&lt;Calculator!$G$11),"—",ROUND(MAX((50*POWER(80,POWER(COS(PI()*MOD(Calculator!$B$32/Calculator!$F$11,1)),2)))/$C43,$C43/(50*POWER(80,POWER(COS(PI()*MOD(Calculator!$B$32/Calculator!$F$11,1)),2)))),2))</f>
        <v>—</v>
      </c>
      <c r="AC43" s="78" t="str">
        <f aca="false">IF(OR(Calculator!$E$12&lt;&gt;"YES",Calculator!$B$32&lt;Calculator!$G$12),"—",ROUND(MAX((50*POWER(80,POWER(COS(PI()*MOD(Calculator!$B$32/Calculator!$F$12,1)),2)))/$C43,$C43/(50*POWER(80,POWER(COS(PI()*MOD(Calculator!$B$32/Calculator!$F$12,1)),2)))),2))</f>
        <v>—</v>
      </c>
      <c r="AD43" s="78" t="str">
        <f aca="false">IF(OR(Calculator!$E$13&lt;&gt;"YES",Calculator!$B$32&lt;Calculator!$G$13),"—",ROUND(MAX((50*POWER(80,POWER(COS(PI()*MOD(Calculator!$B$32/Calculator!$F$13,1)),2)))/$C43,$C43/(50*POWER(80,POWER(COS(PI()*MOD(Calculator!$B$32/Calculator!$F$13,1)),2)))),2))</f>
        <v>—</v>
      </c>
      <c r="AE43" s="78" t="n">
        <f aca="false">IF(OR(Calculator!$E$14&lt;&gt;"YES",Calculator!$B$32&lt;Calculator!$G$14),"—",ROUND(MAX((50*POWER(80,POWER(COS(PI()*MOD(Calculator!$B$32/Calculator!$F$14,1)),2)))/$C43,$C43/(50*POWER(80,POWER(COS(PI()*MOD(Calculator!$B$32/Calculator!$F$14,1)),2)))),2))</f>
        <v>3.21</v>
      </c>
      <c r="AF43" s="78" t="n">
        <f aca="false">IF(OR(Calculator!$E$15&lt;&gt;"YES",Calculator!$B$32&lt;Calculator!$G$15),"—",ROUND(MAX((50*POWER(80,POWER(COS(PI()*MOD(Calculator!$B$32/Calculator!$F$15,1)),2)))/$C43,$C43/(50*POWER(80,POWER(COS(PI()*MOD(Calculator!$B$32/Calculator!$F$15,1)),2)))),2))</f>
        <v>2.08</v>
      </c>
      <c r="AG43" s="78" t="n">
        <f aca="false">IF(OR(Calculator!$E$16&lt;&gt;"YES",Calculator!$B$32&lt;Calculator!$G$16),"—",ROUND(MAX((50*POWER(80,POWER(COS(PI()*MOD(Calculator!$B$32/Calculator!$F$16,1)),2)))/$C43,$C43/(50*POWER(80,POWER(COS(PI()*MOD(Calculator!$B$32/Calculator!$F$16,1)),2)))),2))</f>
        <v>7.01</v>
      </c>
      <c r="AH43" s="78" t="n">
        <f aca="false">IF(OR(Calculator!$E$17&lt;&gt;"YES",Calculator!$B$32&lt;Calculator!$G$17),"—",ROUND(MAX((50*POWER(80,POWER(COS(PI()*MOD(Calculator!$B$32/Calculator!$F$17,1)),2)))/$C43,$C43/(50*POWER(80,POWER(COS(PI()*MOD(Calculator!$B$32/Calculator!$F$17,1)),2)))),2))</f>
        <v>4.19</v>
      </c>
      <c r="AI43" s="78" t="n">
        <f aca="false">IF(OR(Calculator!$E$18&lt;&gt;"YES",Calculator!$B$32&lt;Calculator!$G$18),"—",ROUND(MAX((50*POWER(80,POWER(COS(PI()*MOD(Calculator!$B$32/Calculator!$F$18,1)),2)))/$C43,$C43/(50*POWER(80,POWER(COS(PI()*MOD(Calculator!$B$32/Calculator!$F$18,1)),2)))),2))</f>
        <v>4.54</v>
      </c>
      <c r="AJ43" s="78" t="n">
        <f aca="false">IF(OR(Calculator!$E$19&lt;&gt;"YES",Calculator!$B$32&lt;Calculator!$G$19),"—",ROUND(MAX((50*POWER(80,POWER(COS(PI()*MOD(Calculator!$B$32/Calculator!$F$19,1)),2)))/$C43,$C43/(50*POWER(80,POWER(COS(PI()*MOD(Calculator!$B$32/Calculator!$F$19,1)),2)))),2))</f>
        <v>4.78</v>
      </c>
      <c r="AK43" s="78" t="n">
        <f aca="false">IF(OR(Calculator!$E$20&lt;&gt;"YES",Calculator!$B$32&lt;Calculator!$G$20),"—",ROUND(MAX((50*POWER(80,POWER(COS(PI()*MOD(Calculator!$B$32/Calculator!$F$20,1)),2)))/$C43,$C43/(50*POWER(80,POWER(COS(PI()*MOD(Calculator!$B$32/Calculator!$F$20,1)),2)))),2))</f>
        <v>5.52</v>
      </c>
      <c r="AL43" s="78" t="str">
        <f aca="false">IF(OR(Calculator!$E$21&lt;&gt;"YES",Calculator!$B$32&lt;Calculator!$G$21),"—",ROUND(MAX((50*POWER(80,POWER(COS(PI()*MOD(Calculator!$B$32/Calculator!$F$21,1)),2)))/$C43,$C43/(50*POWER(80,POWER(COS(PI()*MOD(Calculator!$B$32/Calculator!$F$21,1)),2)))),2))</f>
        <v>—</v>
      </c>
      <c r="AM43" s="101" t="n">
        <f aca="false">IFERROR(ROUND((IF(ISNUMBER(AB43),AB43,0)+IF(ISNUMBER(AC43),AC43,0)+IF(ISNUMBER(AD43),AD43,0)+IF(ISNUMBER(AE43),AE43,0)+IF(ISNUMBER(AF43),AF43,0)+IF(ISNUMBER(AG43),AG43,0)+IF(ISNUMBER(AH43),AH43,0)+IF(ISNUMBER(AI43),AI43,0)+IF(ISNUMBER(AJ43),AJ43,0)+IF(ISNUMBER(AK43),AK43,0)+IF(ISNUMBER(AL43),AL43,0))/(IF(ISNUMBER(AB43),1,0)+IF(ISNUMBER(AC43),1,0)+IF(ISNUMBER(AD43),1,0)+IF(ISNUMBER(AE43),1,0)+IF(ISNUMBER(AF43),1,0)+IF(ISNUMBER(AG43),1,0)+IF(ISNUMBER(AH43),1,0)+IF(ISNUMBER(AI43),1,0)+IF(ISNUMBER(AJ43),1,0)+IF(ISNUMBER(AK43),1,0)+IF(ISNUMBER(AL43),1,0)),2),"")</f>
        <v>4.48</v>
      </c>
      <c r="AN43" s="102" t="str">
        <f aca="false">IF(OR(Calculator!$E$11&lt;&gt;"YES",Calculator!$B$33&lt;Calculator!$G$11),"—",ROUND(MAX((50*POWER(80,POWER(COS(PI()*MOD(Calculator!$B$33/Calculator!$F$11,1)),2)))/$C43,$C43/(50*POWER(80,POWER(COS(PI()*MOD(Calculator!$B$33/Calculator!$F$11,1)),2)))),2))</f>
        <v>—</v>
      </c>
      <c r="AO43" s="102" t="str">
        <f aca="false">IF(OR(Calculator!$E$12&lt;&gt;"YES",Calculator!$B$33&lt;Calculator!$G$12),"—",ROUND(MAX((50*POWER(80,POWER(COS(PI()*MOD(Calculator!$B$33/Calculator!$F$12,1)),2)))/$C43,$C43/(50*POWER(80,POWER(COS(PI()*MOD(Calculator!$B$33/Calculator!$F$12,1)),2)))),2))</f>
        <v>—</v>
      </c>
      <c r="AP43" s="102" t="str">
        <f aca="false">IF(OR(Calculator!$E$13&lt;&gt;"YES",Calculator!$B$33&lt;Calculator!$G$13),"—",ROUND(MAX((50*POWER(80,POWER(COS(PI()*MOD(Calculator!$B$33/Calculator!$F$13,1)),2)))/$C43,$C43/(50*POWER(80,POWER(COS(PI()*MOD(Calculator!$B$33/Calculator!$F$13,1)),2)))),2))</f>
        <v>—</v>
      </c>
      <c r="AQ43" s="102" t="n">
        <f aca="false">IF(OR(Calculator!$E$14&lt;&gt;"YES",Calculator!$B$33&lt;Calculator!$G$14),"—",ROUND(MAX((50*POWER(80,POWER(COS(PI()*MOD(Calculator!$B$33/Calculator!$F$14,1)),2)))/$C43,$C43/(50*POWER(80,POWER(COS(PI()*MOD(Calculator!$B$33/Calculator!$F$14,1)),2)))),2))</f>
        <v>4.96</v>
      </c>
      <c r="AR43" s="102" t="n">
        <f aca="false">IF(OR(Calculator!$E$15&lt;&gt;"YES",Calculator!$B$33&lt;Calculator!$G$15),"—",ROUND(MAX((50*POWER(80,POWER(COS(PI()*MOD(Calculator!$B$33/Calculator!$F$15,1)),2)))/$C43,$C43/(50*POWER(80,POWER(COS(PI()*MOD(Calculator!$B$33/Calculator!$F$15,1)),2)))),2))</f>
        <v>1.87</v>
      </c>
      <c r="AS43" s="102" t="n">
        <f aca="false">IF(OR(Calculator!$E$16&lt;&gt;"YES",Calculator!$B$33&lt;Calculator!$G$16),"—",ROUND(MAX((50*POWER(80,POWER(COS(PI()*MOD(Calculator!$B$33/Calculator!$F$16,1)),2)))/$C43,$C43/(50*POWER(80,POWER(COS(PI()*MOD(Calculator!$B$33/Calculator!$F$16,1)),2)))),2))</f>
        <v>1.46</v>
      </c>
      <c r="AT43" s="102" t="n">
        <f aca="false">IF(OR(Calculator!$E$17&lt;&gt;"YES",Calculator!$B$33&lt;Calculator!$G$17),"—",ROUND(MAX((50*POWER(80,POWER(COS(PI()*MOD(Calculator!$B$33/Calculator!$F$17,1)),2)))/$C43,$C43/(50*POWER(80,POWER(COS(PI()*MOD(Calculator!$B$33/Calculator!$F$17,1)),2)))),2))</f>
        <v>2.17</v>
      </c>
      <c r="AU43" s="102" t="n">
        <f aca="false">IF(OR(Calculator!$E$18&lt;&gt;"YES",Calculator!$B$33&lt;Calculator!$G$18),"—",ROUND(MAX((50*POWER(80,POWER(COS(PI()*MOD(Calculator!$B$33/Calculator!$F$18,1)),2)))/$C43,$C43/(50*POWER(80,POWER(COS(PI()*MOD(Calculator!$B$33/Calculator!$F$18,1)),2)))),2))</f>
        <v>2.94</v>
      </c>
      <c r="AV43" s="102" t="n">
        <f aca="false">IF(OR(Calculator!$E$19&lt;&gt;"YES",Calculator!$B$33&lt;Calculator!$G$19),"—",ROUND(MAX((50*POWER(80,POWER(COS(PI()*MOD(Calculator!$B$33/Calculator!$F$19,1)),2)))/$C43,$C43/(50*POWER(80,POWER(COS(PI()*MOD(Calculator!$B$33/Calculator!$F$19,1)),2)))),2))</f>
        <v>2.79</v>
      </c>
      <c r="AW43" s="102" t="n">
        <f aca="false">IF(OR(Calculator!$E$20&lt;&gt;"YES",Calculator!$B$33&lt;Calculator!$G$20),"—",ROUND(MAX((50*POWER(80,POWER(COS(PI()*MOD(Calculator!$B$33/Calculator!$F$20,1)),2)))/$C43,$C43/(50*POWER(80,POWER(COS(PI()*MOD(Calculator!$B$33/Calculator!$F$20,1)),2)))),2))</f>
        <v>4.49</v>
      </c>
      <c r="AX43" s="102" t="str">
        <f aca="false">IF(OR(Calculator!$E$21&lt;&gt;"YES",Calculator!$B$33&lt;Calculator!$G$21),"—",ROUND(MAX((50*POWER(80,POWER(COS(PI()*MOD(Calculator!$B$33/Calculator!$F$21,1)),2)))/$C43,$C43/(50*POWER(80,POWER(COS(PI()*MOD(Calculator!$B$33/Calculator!$F$21,1)),2)))),2))</f>
        <v>—</v>
      </c>
      <c r="AY43" s="101" t="n">
        <f aca="false">IFERROR(ROUND((IF(ISNUMBER(AN43),AN43,0)+IF(ISNUMBER(AO43),AO43,0)+IF(ISNUMBER(AP43),AP43,0)+IF(ISNUMBER(AQ43),AQ43,0)+IF(ISNUMBER(AR43),AR43,0)+IF(ISNUMBER(AS43),AS43,0)+IF(ISNUMBER(AT43),AT43,0)+IF(ISNUMBER(AU43),AU43,0)+IF(ISNUMBER(AV43),AV43,0)+IF(ISNUMBER(AW43),AW43,0)+IF(ISNUMBER(AX43),AX43,0))/(IF(ISNUMBER(AN43),1,0)+IF(ISNUMBER(AO43),1,0)+IF(ISNUMBER(AP43),1,0)+IF(ISNUMBER(AQ43),1,0)+IF(ISNUMBER(AR43),1,0)+IF(ISNUMBER(AS43),1,0)+IF(ISNUMBER(AT43),1,0)+IF(ISNUMBER(AU43),1,0)+IF(ISNUMBER(AV43),1,0)+IF(ISNUMBER(AW43),1,0)+IF(ISNUMBER(AX43),1,0)),2),"")</f>
        <v>2.95</v>
      </c>
      <c r="AZ43" s="102" t="str">
        <f aca="false">IF(OR(Calculator!$E$11&lt;&gt;"YES",Calculator!$B$34&lt;Calculator!$G$11),"—",ROUND(MAX((50*POWER(80,POWER(COS(PI()*MOD(Calculator!$B$34/Calculator!$F$11,1)),2)))/$C43,$C43/(50*POWER(80,POWER(COS(PI()*MOD(Calculator!$B$34/Calculator!$F$11,1)),2)))),2))</f>
        <v>—</v>
      </c>
      <c r="BA43" s="102" t="str">
        <f aca="false">IF(OR(Calculator!$E$12&lt;&gt;"YES",Calculator!$B$34&lt;Calculator!$G$12),"—",ROUND(MAX((50*POWER(80,POWER(COS(PI()*MOD(Calculator!$B$34/Calculator!$F$12,1)),2)))/$C43,$C43/(50*POWER(80,POWER(COS(PI()*MOD(Calculator!$B$34/Calculator!$F$12,1)),2)))),2))</f>
        <v>—</v>
      </c>
      <c r="BB43" s="102" t="str">
        <f aca="false">IF(OR(Calculator!$E$13&lt;&gt;"YES",Calculator!$B$34&lt;Calculator!$G$13),"—",ROUND(MAX((50*POWER(80,POWER(COS(PI()*MOD(Calculator!$B$34/Calculator!$F$13,1)),2)))/$C43,$C43/(50*POWER(80,POWER(COS(PI()*MOD(Calculator!$B$34/Calculator!$F$13,1)),2)))),2))</f>
        <v>—</v>
      </c>
      <c r="BC43" s="102" t="n">
        <f aca="false">IF(OR(Calculator!$E$14&lt;&gt;"YES",Calculator!$B$34&lt;Calculator!$G$14),"—",ROUND(MAX((50*POWER(80,POWER(COS(PI()*MOD(Calculator!$B$34/Calculator!$F$14,1)),2)))/$C43,$C43/(50*POWER(80,POWER(COS(PI()*MOD(Calculator!$B$34/Calculator!$F$14,1)),2)))),2))</f>
        <v>5.04</v>
      </c>
      <c r="BD43" s="102" t="n">
        <f aca="false">IF(OR(Calculator!$E$15&lt;&gt;"YES",Calculator!$B$34&lt;Calculator!$G$15),"—",ROUND(MAX((50*POWER(80,POWER(COS(PI()*MOD(Calculator!$B$34/Calculator!$F$15,1)),2)))/$C43,$C43/(50*POWER(80,POWER(COS(PI()*MOD(Calculator!$B$34/Calculator!$F$15,1)),2)))),2))</f>
        <v>2.42</v>
      </c>
      <c r="BE43" s="102" t="n">
        <f aca="false">IF(OR(Calculator!$E$16&lt;&gt;"YES",Calculator!$B$34&lt;Calculator!$G$16),"—",ROUND(MAX((50*POWER(80,POWER(COS(PI()*MOD(Calculator!$B$34/Calculator!$F$16,1)),2)))/$C43,$C43/(50*POWER(80,POWER(COS(PI()*MOD(Calculator!$B$34/Calculator!$F$16,1)),2)))),2))</f>
        <v>1.23</v>
      </c>
      <c r="BF43" s="102" t="n">
        <f aca="false">IF(OR(Calculator!$E$17&lt;&gt;"YES",Calculator!$B$34&lt;Calculator!$G$17),"—",ROUND(MAX((50*POWER(80,POWER(COS(PI()*MOD(Calculator!$B$34/Calculator!$F$17,1)),2)))/$C43,$C43/(50*POWER(80,POWER(COS(PI()*MOD(Calculator!$B$34/Calculator!$F$17,1)),2)))),2))</f>
        <v>2.38</v>
      </c>
      <c r="BG43" s="102" t="n">
        <f aca="false">IF(OR(Calculator!$E$18&lt;&gt;"YES",Calculator!$B$34&lt;Calculator!$G$18),"—",ROUND(MAX((50*POWER(80,POWER(COS(PI()*MOD(Calculator!$B$34/Calculator!$F$18,1)),2)))/$C43,$C43/(50*POWER(80,POWER(COS(PI()*MOD(Calculator!$B$34/Calculator!$F$18,1)),2)))),2))</f>
        <v>3.98</v>
      </c>
      <c r="BH43" s="102" t="n">
        <f aca="false">IF(OR(Calculator!$E$19&lt;&gt;"YES",Calculator!$B$34&lt;Calculator!$G$19),"—",ROUND(MAX((50*POWER(80,POWER(COS(PI()*MOD(Calculator!$B$34/Calculator!$F$19,1)),2)))/$C43,$C43/(50*POWER(80,POWER(COS(PI()*MOD(Calculator!$B$34/Calculator!$F$19,1)),2)))),2))</f>
        <v>4.43</v>
      </c>
      <c r="BI43" s="102" t="n">
        <f aca="false">IF(OR(Calculator!$E$20&lt;&gt;"YES",Calculator!$B$34&lt;Calculator!$G$20),"—",ROUND(MAX((50*POWER(80,POWER(COS(PI()*MOD(Calculator!$B$34/Calculator!$F$20,1)),2)))/$C43,$C43/(50*POWER(80,POWER(COS(PI()*MOD(Calculator!$B$34/Calculator!$F$20,1)),2)))),2))</f>
        <v>2.64</v>
      </c>
      <c r="BJ43" s="102" t="str">
        <f aca="false">IF(OR(Calculator!$E$21&lt;&gt;"YES",Calculator!$B$34&lt;Calculator!$G$21),"—",ROUND(MAX((50*POWER(80,POWER(COS(PI()*MOD(Calculator!$B$34/Calculator!$F$21,1)),2)))/$C43,$C43/(50*POWER(80,POWER(COS(PI()*MOD(Calculator!$B$34/Calculator!$F$21,1)),2)))),2))</f>
        <v>—</v>
      </c>
      <c r="BK43" s="101" t="n">
        <f aca="false">IFERROR(ROUND((IF(ISNUMBER(AZ43),AZ43,0)+IF(ISNUMBER(BA43),BA43,0)+IF(ISNUMBER(BB43),BB43,0)+IF(ISNUMBER(BC43),BC43,0)+IF(ISNUMBER(BD43),BD43,0)+IF(ISNUMBER(BE43),BE43,0)+IF(ISNUMBER(BF43),BF43,0)+IF(ISNUMBER(BG43),BG43,0)+IF(ISNUMBER(BH43),BH43,0)+IF(ISNUMBER(BI43),BI43,0)+IF(ISNUMBER(BJ43),BJ43,0))/(IF(ISNUMBER(AZ43),1,0)+IF(ISNUMBER(BA43),1,0)+IF(ISNUMBER(BB43),1,0)+IF(ISNUMBER(BC43),1,0)+IF(ISNUMBER(BD43),1,0)+IF(ISNUMBER(BE43),1,0)+IF(ISNUMBER(BF43),1,0)+IF(ISNUMBER(BG43),1,0)+IF(ISNUMBER(BH43),1,0)+IF(ISNUMBER(BI43),1,0)+IF(ISNUMBER(BJ43),1,0)),2),"")</f>
        <v>3.16</v>
      </c>
    </row>
    <row r="44" customFormat="false" ht="15" hidden="false" customHeight="false" outlineLevel="0" collapsed="false">
      <c r="A44" s="103" t="s">
        <v>94</v>
      </c>
      <c r="B44" s="103" t="s">
        <v>86</v>
      </c>
      <c r="C44" s="104" t="n">
        <v>600</v>
      </c>
      <c r="D44" s="105" t="str">
        <f aca="false">IF(OR(Calculator!$E$11&lt;&gt;"YES",Calculator!$B$30&lt;Calculator!$G$11),"—",ROUND(MAX((50*POWER(80,POWER(COS(PI()*MOD(Calculator!$B$30/Calculator!$F$11,1)),2)))/$C44,$C44/(50*POWER(80,POWER(COS(PI()*MOD(Calculator!$B$30/Calculator!$F$11,1)),2)))),2))</f>
        <v>—</v>
      </c>
      <c r="E44" s="105" t="str">
        <f aca="false">IF(OR(Calculator!$E$12&lt;&gt;"YES",Calculator!$B$30&lt;Calculator!$G$12),"—",ROUND(MAX((50*POWER(80,POWER(COS(PI()*MOD(Calculator!$B$30/Calculator!$F$12,1)),2)))/$C44,$C44/(50*POWER(80,POWER(COS(PI()*MOD(Calculator!$B$30/Calculator!$F$12,1)),2)))),2))</f>
        <v>—</v>
      </c>
      <c r="F44" s="105" t="str">
        <f aca="false">IF(OR(Calculator!$E$13&lt;&gt;"YES",Calculator!$B$30&lt;Calculator!$G$13),"—",ROUND(MAX((50*POWER(80,POWER(COS(PI()*MOD(Calculator!$B$30/Calculator!$F$13,1)),2)))/$C44,$C44/(50*POWER(80,POWER(COS(PI()*MOD(Calculator!$B$30/Calculator!$F$13,1)),2)))),2))</f>
        <v>—</v>
      </c>
      <c r="G44" s="105" t="n">
        <f aca="false">IF(OR(Calculator!$E$14&lt;&gt;"YES",Calculator!$B$30&lt;Calculator!$G$14),"—",ROUND(MAX((50*POWER(80,POWER(COS(PI()*MOD(Calculator!$B$30/Calculator!$F$14,1)),2)))/$C44,$C44/(50*POWER(80,POWER(COS(PI()*MOD(Calculator!$B$30/Calculator!$F$14,1)),2)))),2))</f>
        <v>5.42</v>
      </c>
      <c r="H44" s="105" t="n">
        <f aca="false">IF(OR(Calculator!$E$15&lt;&gt;"YES",Calculator!$B$30&lt;Calculator!$G$15),"—",ROUND(MAX((50*POWER(80,POWER(COS(PI()*MOD(Calculator!$B$30/Calculator!$F$15,1)),2)))/$C44,$C44/(50*POWER(80,POWER(COS(PI()*MOD(Calculator!$B$30/Calculator!$F$15,1)),2)))),2))</f>
        <v>1.57</v>
      </c>
      <c r="I44" s="105" t="n">
        <f aca="false">IF(OR(Calculator!$E$16&lt;&gt;"YES",Calculator!$B$30&lt;Calculator!$G$16),"—",ROUND(MAX((50*POWER(80,POWER(COS(PI()*MOD(Calculator!$B$30/Calculator!$F$16,1)),2)))/$C44,$C44/(50*POWER(80,POWER(COS(PI()*MOD(Calculator!$B$30/Calculator!$F$16,1)),2)))),2))</f>
        <v>1.07</v>
      </c>
      <c r="J44" s="105" t="n">
        <f aca="false">IF(OR(Calculator!$E$17&lt;&gt;"YES",Calculator!$B$30&lt;Calculator!$G$17),"—",ROUND(MAX((50*POWER(80,POWER(COS(PI()*MOD(Calculator!$B$30/Calculator!$F$17,1)),2)))/$C44,$C44/(50*POWER(80,POWER(COS(PI()*MOD(Calculator!$B$30/Calculator!$F$17,1)),2)))),2))</f>
        <v>3.02</v>
      </c>
      <c r="K44" s="105" t="n">
        <f aca="false">IF(OR(Calculator!$E$18&lt;&gt;"YES",Calculator!$B$30&lt;Calculator!$G$18),"—",ROUND(MAX((50*POWER(80,POWER(COS(PI()*MOD(Calculator!$B$30/Calculator!$F$18,1)),2)))/$C44,$C44/(50*POWER(80,POWER(COS(PI()*MOD(Calculator!$B$30/Calculator!$F$18,1)),2)))),2))</f>
        <v>2.33</v>
      </c>
      <c r="L44" s="105" t="n">
        <f aca="false">IF(OR(Calculator!$E$19&lt;&gt;"YES",Calculator!$B$30&lt;Calculator!$G$19),"—",ROUND(MAX((50*POWER(80,POWER(COS(PI()*MOD(Calculator!$B$30/Calculator!$F$19,1)),2)))/$C44,$C44/(50*POWER(80,POWER(COS(PI()*MOD(Calculator!$B$30/Calculator!$F$19,1)),2)))),2))</f>
        <v>1.31</v>
      </c>
      <c r="M44" s="105" t="n">
        <f aca="false">IF(OR(Calculator!$E$20&lt;&gt;"YES",Calculator!$B$30&lt;Calculator!$G$20),"—",ROUND(MAX((50*POWER(80,POWER(COS(PI()*MOD(Calculator!$B$30/Calculator!$F$20,1)),2)))/$C44,$C44/(50*POWER(80,POWER(COS(PI()*MOD(Calculator!$B$30/Calculator!$F$20,1)),2)))),2))</f>
        <v>4.74</v>
      </c>
      <c r="N44" s="105" t="str">
        <f aca="false">IF(OR(Calculator!$E$21&lt;&gt;"YES",Calculator!$B$30&lt;Calculator!$G$21),"—",ROUND(MAX((50*POWER(80,POWER(COS(PI()*MOD(Calculator!$B$30/Calculator!$F$21,1)),2)))/$C44,$C44/(50*POWER(80,POWER(COS(PI()*MOD(Calculator!$B$30/Calculator!$F$21,1)),2)))),2))</f>
        <v>—</v>
      </c>
      <c r="O44" s="100" t="n">
        <f aca="false">IFERROR(ROUND((IF(ISNUMBER(D44),D44,0)+IF(ISNUMBER(E44),E44,0)+IF(ISNUMBER(F44),F44,0)+IF(ISNUMBER(G44),G44,0)+IF(ISNUMBER(H44),H44,0)+IF(ISNUMBER(I44),I44,0)+IF(ISNUMBER(J44),J44,0)+IF(ISNUMBER(K44),K44,0)+IF(ISNUMBER(L44),L44,0)+IF(ISNUMBER(M44),M44,0)+IF(ISNUMBER(N44),N44,0))/(IF(ISNUMBER(D44),1,0)+IF(ISNUMBER(E44),1,0)+IF(ISNUMBER(F44),1,0)+IF(ISNUMBER(G44),1,0)+IF(ISNUMBER(H44),1,0)+IF(ISNUMBER(I44),1,0)+IF(ISNUMBER(J44),1,0)+IF(ISNUMBER(K44),1,0)+IF(ISNUMBER(L44),1,0)+IF(ISNUMBER(M44),1,0)+IF(ISNUMBER(N44),1,0)),2),"")</f>
        <v>2.78</v>
      </c>
      <c r="P44" s="105" t="str">
        <f aca="false">IF(OR(Calculator!$E$11&lt;&gt;"YES",Calculator!$B$31&lt;Calculator!$G$11),"—",ROUND(MAX((50*POWER(80,POWER(COS(PI()*MOD(Calculator!$B$31/Calculator!$F$11,1)),2)))/$C44,$C44/(50*POWER(80,POWER(COS(PI()*MOD(Calculator!$B$31/Calculator!$F$11,1)),2)))),2))</f>
        <v>—</v>
      </c>
      <c r="Q44" s="105" t="str">
        <f aca="false">IF(OR(Calculator!$E$12&lt;&gt;"YES",Calculator!$B$31&lt;Calculator!$G$12),"—",ROUND(MAX((50*POWER(80,POWER(COS(PI()*MOD(Calculator!$B$31/Calculator!$F$12,1)),2)))/$C44,$C44/(50*POWER(80,POWER(COS(PI()*MOD(Calculator!$B$31/Calculator!$F$12,1)),2)))),2))</f>
        <v>—</v>
      </c>
      <c r="R44" s="105" t="str">
        <f aca="false">IF(OR(Calculator!$E$13&lt;&gt;"YES",Calculator!$B$31&lt;Calculator!$G$13),"—",ROUND(MAX((50*POWER(80,POWER(COS(PI()*MOD(Calculator!$B$31/Calculator!$F$13,1)),2)))/$C44,$C44/(50*POWER(80,POWER(COS(PI()*MOD(Calculator!$B$31/Calculator!$F$13,1)),2)))),2))</f>
        <v>—</v>
      </c>
      <c r="S44" s="105" t="n">
        <f aca="false">IF(OR(Calculator!$E$14&lt;&gt;"YES",Calculator!$B$31&lt;Calculator!$G$14),"—",ROUND(MAX((50*POWER(80,POWER(COS(PI()*MOD(Calculator!$B$31/Calculator!$F$14,1)),2)))/$C44,$C44/(50*POWER(80,POWER(COS(PI()*MOD(Calculator!$B$31/Calculator!$F$14,1)),2)))),2))</f>
        <v>5.55</v>
      </c>
      <c r="T44" s="105" t="n">
        <f aca="false">IF(OR(Calculator!$E$15&lt;&gt;"YES",Calculator!$B$31&lt;Calculator!$G$15),"—",ROUND(MAX((50*POWER(80,POWER(COS(PI()*MOD(Calculator!$B$31/Calculator!$F$15,1)),2)))/$C44,$C44/(50*POWER(80,POWER(COS(PI()*MOD(Calculator!$B$31/Calculator!$F$15,1)),2)))),2))</f>
        <v>3.38</v>
      </c>
      <c r="U44" s="105" t="n">
        <f aca="false">IF(OR(Calculator!$E$16&lt;&gt;"YES",Calculator!$B$31&lt;Calculator!$G$16),"—",ROUND(MAX((50*POWER(80,POWER(COS(PI()*MOD(Calculator!$B$31/Calculator!$F$16,1)),2)))/$C44,$C44/(50*POWER(80,POWER(COS(PI()*MOD(Calculator!$B$31/Calculator!$F$16,1)),2)))),2))</f>
        <v>1.29</v>
      </c>
      <c r="V44" s="105" t="n">
        <f aca="false">IF(OR(Calculator!$E$17&lt;&gt;"YES",Calculator!$B$31&lt;Calculator!$G$17),"—",ROUND(MAX((50*POWER(80,POWER(COS(PI()*MOD(Calculator!$B$31/Calculator!$F$17,1)),2)))/$C44,$C44/(50*POWER(80,POWER(COS(PI()*MOD(Calculator!$B$31/Calculator!$F$17,1)),2)))),2))</f>
        <v>2.7</v>
      </c>
      <c r="W44" s="105" t="n">
        <f aca="false">IF(OR(Calculator!$E$18&lt;&gt;"YES",Calculator!$B$31&lt;Calculator!$G$18),"—",ROUND(MAX((50*POWER(80,POWER(COS(PI()*MOD(Calculator!$B$31/Calculator!$F$18,1)),2)))/$C44,$C44/(50*POWER(80,POWER(COS(PI()*MOD(Calculator!$B$31/Calculator!$F$18,1)),2)))),2))</f>
        <v>3.07</v>
      </c>
      <c r="X44" s="105" t="n">
        <f aca="false">IF(OR(Calculator!$E$19&lt;&gt;"YES",Calculator!$B$31&lt;Calculator!$G$19),"—",ROUND(MAX((50*POWER(80,POWER(COS(PI()*MOD(Calculator!$B$31/Calculator!$F$19,1)),2)))/$C44,$C44/(50*POWER(80,POWER(COS(PI()*MOD(Calculator!$B$31/Calculator!$F$19,1)),2)))),2))</f>
        <v>2.23</v>
      </c>
      <c r="Y44" s="105" t="n">
        <f aca="false">IF(OR(Calculator!$E$20&lt;&gt;"YES",Calculator!$B$31&lt;Calculator!$G$20),"—",ROUND(MAX((50*POWER(80,POWER(COS(PI()*MOD(Calculator!$B$31/Calculator!$F$20,1)),2)))/$C44,$C44/(50*POWER(80,POWER(COS(PI()*MOD(Calculator!$B$31/Calculator!$F$20,1)),2)))),2))</f>
        <v>7.36</v>
      </c>
      <c r="Z44" s="105" t="str">
        <f aca="false">IF(OR(Calculator!$E$21&lt;&gt;"YES",Calculator!$B$31&lt;Calculator!$G$21),"—",ROUND(MAX((50*POWER(80,POWER(COS(PI()*MOD(Calculator!$B$31/Calculator!$F$21,1)),2)))/$C44,$C44/(50*POWER(80,POWER(COS(PI()*MOD(Calculator!$B$31/Calculator!$F$21,1)),2)))),2))</f>
        <v>—</v>
      </c>
      <c r="AA44" s="100" t="n">
        <f aca="false">IFERROR(ROUND((IF(ISNUMBER(P44),P44,0)+IF(ISNUMBER(Q44),Q44,0)+IF(ISNUMBER(R44),R44,0)+IF(ISNUMBER(S44),S44,0)+IF(ISNUMBER(T44),T44,0)+IF(ISNUMBER(U44),U44,0)+IF(ISNUMBER(V44),V44,0)+IF(ISNUMBER(W44),W44,0)+IF(ISNUMBER(X44),X44,0)+IF(ISNUMBER(Y44),Y44,0)+IF(ISNUMBER(Z44),Z44,0))/(IF(ISNUMBER(P44),1,0)+IF(ISNUMBER(Q44),1,0)+IF(ISNUMBER(R44),1,0)+IF(ISNUMBER(S44),1,0)+IF(ISNUMBER(T44),1,0)+IF(ISNUMBER(U44),1,0)+IF(ISNUMBER(V44),1,0)+IF(ISNUMBER(W44),1,0)+IF(ISNUMBER(X44),1,0)+IF(ISNUMBER(Y44),1,0)+IF(ISNUMBER(Z44),1,0)),2),"")</f>
        <v>3.65</v>
      </c>
      <c r="AB44" s="105" t="str">
        <f aca="false">IF(OR(Calculator!$E$11&lt;&gt;"YES",Calculator!$B$32&lt;Calculator!$G$11),"—",ROUND(MAX((50*POWER(80,POWER(COS(PI()*MOD(Calculator!$B$32/Calculator!$F$11,1)),2)))/$C44,$C44/(50*POWER(80,POWER(COS(PI()*MOD(Calculator!$B$32/Calculator!$F$11,1)),2)))),2))</f>
        <v>—</v>
      </c>
      <c r="AC44" s="105" t="str">
        <f aca="false">IF(OR(Calculator!$E$12&lt;&gt;"YES",Calculator!$B$32&lt;Calculator!$G$12),"—",ROUND(MAX((50*POWER(80,POWER(COS(PI()*MOD(Calculator!$B$32/Calculator!$F$12,1)),2)))/$C44,$C44/(50*POWER(80,POWER(COS(PI()*MOD(Calculator!$B$32/Calculator!$F$12,1)),2)))),2))</f>
        <v>—</v>
      </c>
      <c r="AD44" s="105" t="str">
        <f aca="false">IF(OR(Calculator!$E$13&lt;&gt;"YES",Calculator!$B$32&lt;Calculator!$G$13),"—",ROUND(MAX((50*POWER(80,POWER(COS(PI()*MOD(Calculator!$B$32/Calculator!$F$13,1)),2)))/$C44,$C44/(50*POWER(80,POWER(COS(PI()*MOD(Calculator!$B$32/Calculator!$F$13,1)),2)))),2))</f>
        <v>—</v>
      </c>
      <c r="AE44" s="105" t="n">
        <f aca="false">IF(OR(Calculator!$E$14&lt;&gt;"YES",Calculator!$B$32&lt;Calculator!$G$14),"—",ROUND(MAX((50*POWER(80,POWER(COS(PI()*MOD(Calculator!$B$32/Calculator!$F$14,1)),2)))/$C44,$C44/(50*POWER(80,POWER(COS(PI()*MOD(Calculator!$B$32/Calculator!$F$14,1)),2)))),2))</f>
        <v>3.51</v>
      </c>
      <c r="AF44" s="105" t="n">
        <f aca="false">IF(OR(Calculator!$E$15&lt;&gt;"YES",Calculator!$B$32&lt;Calculator!$G$15),"—",ROUND(MAX((50*POWER(80,POWER(COS(PI()*MOD(Calculator!$B$32/Calculator!$F$15,1)),2)))/$C44,$C44/(50*POWER(80,POWER(COS(PI()*MOD(Calculator!$B$32/Calculator!$F$15,1)),2)))),2))</f>
        <v>2.27</v>
      </c>
      <c r="AG44" s="105" t="n">
        <f aca="false">IF(OR(Calculator!$E$16&lt;&gt;"YES",Calculator!$B$32&lt;Calculator!$G$16),"—",ROUND(MAX((50*POWER(80,POWER(COS(PI()*MOD(Calculator!$B$32/Calculator!$F$16,1)),2)))/$C44,$C44/(50*POWER(80,POWER(COS(PI()*MOD(Calculator!$B$32/Calculator!$F$16,1)),2)))),2))</f>
        <v>7.65</v>
      </c>
      <c r="AH44" s="105" t="n">
        <f aca="false">IF(OR(Calculator!$E$17&lt;&gt;"YES",Calculator!$B$32&lt;Calculator!$G$17),"—",ROUND(MAX((50*POWER(80,POWER(COS(PI()*MOD(Calculator!$B$32/Calculator!$F$17,1)),2)))/$C44,$C44/(50*POWER(80,POWER(COS(PI()*MOD(Calculator!$B$32/Calculator!$F$17,1)),2)))),2))</f>
        <v>3.84</v>
      </c>
      <c r="AI44" s="105" t="n">
        <f aca="false">IF(OR(Calculator!$E$18&lt;&gt;"YES",Calculator!$B$32&lt;Calculator!$G$18),"—",ROUND(MAX((50*POWER(80,POWER(COS(PI()*MOD(Calculator!$B$32/Calculator!$F$18,1)),2)))/$C44,$C44/(50*POWER(80,POWER(COS(PI()*MOD(Calculator!$B$32/Calculator!$F$18,1)),2)))),2))</f>
        <v>4.16</v>
      </c>
      <c r="AJ44" s="105" t="n">
        <f aca="false">IF(OR(Calculator!$E$19&lt;&gt;"YES",Calculator!$B$32&lt;Calculator!$G$19),"—",ROUND(MAX((50*POWER(80,POWER(COS(PI()*MOD(Calculator!$B$32/Calculator!$F$19,1)),2)))/$C44,$C44/(50*POWER(80,POWER(COS(PI()*MOD(Calculator!$B$32/Calculator!$F$19,1)),2)))),2))</f>
        <v>4.38</v>
      </c>
      <c r="AK44" s="105" t="n">
        <f aca="false">IF(OR(Calculator!$E$20&lt;&gt;"YES",Calculator!$B$32&lt;Calculator!$G$20),"—",ROUND(MAX((50*POWER(80,POWER(COS(PI()*MOD(Calculator!$B$32/Calculator!$F$20,1)),2)))/$C44,$C44/(50*POWER(80,POWER(COS(PI()*MOD(Calculator!$B$32/Calculator!$F$20,1)),2)))),2))</f>
        <v>6.02</v>
      </c>
      <c r="AL44" s="105" t="str">
        <f aca="false">IF(OR(Calculator!$E$21&lt;&gt;"YES",Calculator!$B$32&lt;Calculator!$G$21),"—",ROUND(MAX((50*POWER(80,POWER(COS(PI()*MOD(Calculator!$B$32/Calculator!$F$21,1)),2)))/$C44,$C44/(50*POWER(80,POWER(COS(PI()*MOD(Calculator!$B$32/Calculator!$F$21,1)),2)))),2))</f>
        <v>—</v>
      </c>
      <c r="AM44" s="101" t="n">
        <f aca="false">IFERROR(ROUND((IF(ISNUMBER(AB44),AB44,0)+IF(ISNUMBER(AC44),AC44,0)+IF(ISNUMBER(AD44),AD44,0)+IF(ISNUMBER(AE44),AE44,0)+IF(ISNUMBER(AF44),AF44,0)+IF(ISNUMBER(AG44),AG44,0)+IF(ISNUMBER(AH44),AH44,0)+IF(ISNUMBER(AI44),AI44,0)+IF(ISNUMBER(AJ44),AJ44,0)+IF(ISNUMBER(AK44),AK44,0)+IF(ISNUMBER(AL44),AL44,0))/(IF(ISNUMBER(AB44),1,0)+IF(ISNUMBER(AC44),1,0)+IF(ISNUMBER(AD44),1,0)+IF(ISNUMBER(AE44),1,0)+IF(ISNUMBER(AF44),1,0)+IF(ISNUMBER(AG44),1,0)+IF(ISNUMBER(AH44),1,0)+IF(ISNUMBER(AI44),1,0)+IF(ISNUMBER(AJ44),1,0)+IF(ISNUMBER(AK44),1,0)+IF(ISNUMBER(AL44),1,0)),2),"")</f>
        <v>4.55</v>
      </c>
      <c r="AN44" s="106" t="str">
        <f aca="false">IF(OR(Calculator!$E$11&lt;&gt;"YES",Calculator!$B$33&lt;Calculator!$G$11),"—",ROUND(MAX((50*POWER(80,POWER(COS(PI()*MOD(Calculator!$B$33/Calculator!$F$11,1)),2)))/$C44,$C44/(50*POWER(80,POWER(COS(PI()*MOD(Calculator!$B$33/Calculator!$F$11,1)),2)))),2))</f>
        <v>—</v>
      </c>
      <c r="AO44" s="106" t="str">
        <f aca="false">IF(OR(Calculator!$E$12&lt;&gt;"YES",Calculator!$B$33&lt;Calculator!$G$12),"—",ROUND(MAX((50*POWER(80,POWER(COS(PI()*MOD(Calculator!$B$33/Calculator!$F$12,1)),2)))/$C44,$C44/(50*POWER(80,POWER(COS(PI()*MOD(Calculator!$B$33/Calculator!$F$12,1)),2)))),2))</f>
        <v>—</v>
      </c>
      <c r="AP44" s="106" t="str">
        <f aca="false">IF(OR(Calculator!$E$13&lt;&gt;"YES",Calculator!$B$33&lt;Calculator!$G$13),"—",ROUND(MAX((50*POWER(80,POWER(COS(PI()*MOD(Calculator!$B$33/Calculator!$F$13,1)),2)))/$C44,$C44/(50*POWER(80,POWER(COS(PI()*MOD(Calculator!$B$33/Calculator!$F$13,1)),2)))),2))</f>
        <v>—</v>
      </c>
      <c r="AQ44" s="106" t="n">
        <f aca="false">IF(OR(Calculator!$E$14&lt;&gt;"YES",Calculator!$B$33&lt;Calculator!$G$14),"—",ROUND(MAX((50*POWER(80,POWER(COS(PI()*MOD(Calculator!$B$33/Calculator!$F$14,1)),2)))/$C44,$C44/(50*POWER(80,POWER(COS(PI()*MOD(Calculator!$B$33/Calculator!$F$14,1)),2)))),2))</f>
        <v>4.54</v>
      </c>
      <c r="AR44" s="106" t="n">
        <f aca="false">IF(OR(Calculator!$E$15&lt;&gt;"YES",Calculator!$B$33&lt;Calculator!$G$15),"—",ROUND(MAX((50*POWER(80,POWER(COS(PI()*MOD(Calculator!$B$33/Calculator!$F$15,1)),2)))/$C44,$C44/(50*POWER(80,POWER(COS(PI()*MOD(Calculator!$B$33/Calculator!$F$15,1)),2)))),2))</f>
        <v>2.04</v>
      </c>
      <c r="AS44" s="106" t="n">
        <f aca="false">IF(OR(Calculator!$E$16&lt;&gt;"YES",Calculator!$B$33&lt;Calculator!$G$16),"—",ROUND(MAX((50*POWER(80,POWER(COS(PI()*MOD(Calculator!$B$33/Calculator!$F$16,1)),2)))/$C44,$C44/(50*POWER(80,POWER(COS(PI()*MOD(Calculator!$B$33/Calculator!$F$16,1)),2)))),2))</f>
        <v>1.34</v>
      </c>
      <c r="AT44" s="106" t="n">
        <f aca="false">IF(OR(Calculator!$E$17&lt;&gt;"YES",Calculator!$B$33&lt;Calculator!$G$17),"—",ROUND(MAX((50*POWER(80,POWER(COS(PI()*MOD(Calculator!$B$33/Calculator!$F$17,1)),2)))/$C44,$C44/(50*POWER(80,POWER(COS(PI()*MOD(Calculator!$B$33/Calculator!$F$17,1)),2)))),2))</f>
        <v>2.37</v>
      </c>
      <c r="AU44" s="106" t="n">
        <f aca="false">IF(OR(Calculator!$E$18&lt;&gt;"YES",Calculator!$B$33&lt;Calculator!$G$18),"—",ROUND(MAX((50*POWER(80,POWER(COS(PI()*MOD(Calculator!$B$33/Calculator!$F$18,1)),2)))/$C44,$C44/(50*POWER(80,POWER(COS(PI()*MOD(Calculator!$B$33/Calculator!$F$18,1)),2)))),2))</f>
        <v>3.21</v>
      </c>
      <c r="AV44" s="106" t="n">
        <f aca="false">IF(OR(Calculator!$E$19&lt;&gt;"YES",Calculator!$B$33&lt;Calculator!$G$19),"—",ROUND(MAX((50*POWER(80,POWER(COS(PI()*MOD(Calculator!$B$33/Calculator!$F$19,1)),2)))/$C44,$C44/(50*POWER(80,POWER(COS(PI()*MOD(Calculator!$B$33/Calculator!$F$19,1)),2)))),2))</f>
        <v>2.56</v>
      </c>
      <c r="AW44" s="106" t="n">
        <f aca="false">IF(OR(Calculator!$E$20&lt;&gt;"YES",Calculator!$B$33&lt;Calculator!$G$20),"—",ROUND(MAX((50*POWER(80,POWER(COS(PI()*MOD(Calculator!$B$33/Calculator!$F$20,1)),2)))/$C44,$C44/(50*POWER(80,POWER(COS(PI()*MOD(Calculator!$B$33/Calculator!$F$20,1)),2)))),2))</f>
        <v>4.9</v>
      </c>
      <c r="AX44" s="106" t="str">
        <f aca="false">IF(OR(Calculator!$E$21&lt;&gt;"YES",Calculator!$B$33&lt;Calculator!$G$21),"—",ROUND(MAX((50*POWER(80,POWER(COS(PI()*MOD(Calculator!$B$33/Calculator!$F$21,1)),2)))/$C44,$C44/(50*POWER(80,POWER(COS(PI()*MOD(Calculator!$B$33/Calculator!$F$21,1)),2)))),2))</f>
        <v>—</v>
      </c>
      <c r="AY44" s="101" t="n">
        <f aca="false">IFERROR(ROUND((IF(ISNUMBER(AN44),AN44,0)+IF(ISNUMBER(AO44),AO44,0)+IF(ISNUMBER(AP44),AP44,0)+IF(ISNUMBER(AQ44),AQ44,0)+IF(ISNUMBER(AR44),AR44,0)+IF(ISNUMBER(AS44),AS44,0)+IF(ISNUMBER(AT44),AT44,0)+IF(ISNUMBER(AU44),AU44,0)+IF(ISNUMBER(AV44),AV44,0)+IF(ISNUMBER(AW44),AW44,0)+IF(ISNUMBER(AX44),AX44,0))/(IF(ISNUMBER(AN44),1,0)+IF(ISNUMBER(AO44),1,0)+IF(ISNUMBER(AP44),1,0)+IF(ISNUMBER(AQ44),1,0)+IF(ISNUMBER(AR44),1,0)+IF(ISNUMBER(AS44),1,0)+IF(ISNUMBER(AT44),1,0)+IF(ISNUMBER(AU44),1,0)+IF(ISNUMBER(AV44),1,0)+IF(ISNUMBER(AW44),1,0)+IF(ISNUMBER(AX44),1,0)),2),"")</f>
        <v>2.99</v>
      </c>
      <c r="AZ44" s="106" t="str">
        <f aca="false">IF(OR(Calculator!$E$11&lt;&gt;"YES",Calculator!$B$34&lt;Calculator!$G$11),"—",ROUND(MAX((50*POWER(80,POWER(COS(PI()*MOD(Calculator!$B$34/Calculator!$F$11,1)),2)))/$C44,$C44/(50*POWER(80,POWER(COS(PI()*MOD(Calculator!$B$34/Calculator!$F$11,1)),2)))),2))</f>
        <v>—</v>
      </c>
      <c r="BA44" s="106" t="str">
        <f aca="false">IF(OR(Calculator!$E$12&lt;&gt;"YES",Calculator!$B$34&lt;Calculator!$G$12),"—",ROUND(MAX((50*POWER(80,POWER(COS(PI()*MOD(Calculator!$B$34/Calculator!$F$12,1)),2)))/$C44,$C44/(50*POWER(80,POWER(COS(PI()*MOD(Calculator!$B$34/Calculator!$F$12,1)),2)))),2))</f>
        <v>—</v>
      </c>
      <c r="BB44" s="106" t="str">
        <f aca="false">IF(OR(Calculator!$E$13&lt;&gt;"YES",Calculator!$B$34&lt;Calculator!$G$13),"—",ROUND(MAX((50*POWER(80,POWER(COS(PI()*MOD(Calculator!$B$34/Calculator!$F$13,1)),2)))/$C44,$C44/(50*POWER(80,POWER(COS(PI()*MOD(Calculator!$B$34/Calculator!$F$13,1)),2)))),2))</f>
        <v>—</v>
      </c>
      <c r="BC44" s="106" t="n">
        <f aca="false">IF(OR(Calculator!$E$14&lt;&gt;"YES",Calculator!$B$34&lt;Calculator!$G$14),"—",ROUND(MAX((50*POWER(80,POWER(COS(PI()*MOD(Calculator!$B$34/Calculator!$F$14,1)),2)))/$C44,$C44/(50*POWER(80,POWER(COS(PI()*MOD(Calculator!$B$34/Calculator!$F$14,1)),2)))),2))</f>
        <v>4.62</v>
      </c>
      <c r="BD44" s="106" t="n">
        <f aca="false">IF(OR(Calculator!$E$15&lt;&gt;"YES",Calculator!$B$34&lt;Calculator!$G$15),"—",ROUND(MAX((50*POWER(80,POWER(COS(PI()*MOD(Calculator!$B$34/Calculator!$F$15,1)),2)))/$C44,$C44/(50*POWER(80,POWER(COS(PI()*MOD(Calculator!$B$34/Calculator!$F$15,1)),2)))),2))</f>
        <v>2.64</v>
      </c>
      <c r="BE44" s="106" t="n">
        <f aca="false">IF(OR(Calculator!$E$16&lt;&gt;"YES",Calculator!$B$34&lt;Calculator!$G$16),"—",ROUND(MAX((50*POWER(80,POWER(COS(PI()*MOD(Calculator!$B$34/Calculator!$F$16,1)),2)))/$C44,$C44/(50*POWER(80,POWER(COS(PI()*MOD(Calculator!$B$34/Calculator!$F$16,1)),2)))),2))</f>
        <v>1.12</v>
      </c>
      <c r="BF44" s="106" t="n">
        <f aca="false">IF(OR(Calculator!$E$17&lt;&gt;"YES",Calculator!$B$34&lt;Calculator!$G$17),"—",ROUND(MAX((50*POWER(80,POWER(COS(PI()*MOD(Calculator!$B$34/Calculator!$F$17,1)),2)))/$C44,$C44/(50*POWER(80,POWER(COS(PI()*MOD(Calculator!$B$34/Calculator!$F$17,1)),2)))),2))</f>
        <v>2.18</v>
      </c>
      <c r="BG44" s="106" t="n">
        <f aca="false">IF(OR(Calculator!$E$18&lt;&gt;"YES",Calculator!$B$34&lt;Calculator!$G$18),"—",ROUND(MAX((50*POWER(80,POWER(COS(PI()*MOD(Calculator!$B$34/Calculator!$F$18,1)),2)))/$C44,$C44/(50*POWER(80,POWER(COS(PI()*MOD(Calculator!$B$34/Calculator!$F$18,1)),2)))),2))</f>
        <v>4.34</v>
      </c>
      <c r="BH44" s="106" t="n">
        <f aca="false">IF(OR(Calculator!$E$19&lt;&gt;"YES",Calculator!$B$34&lt;Calculator!$G$19),"—",ROUND(MAX((50*POWER(80,POWER(COS(PI()*MOD(Calculator!$B$34/Calculator!$F$19,1)),2)))/$C44,$C44/(50*POWER(80,POWER(COS(PI()*MOD(Calculator!$B$34/Calculator!$F$19,1)),2)))),2))</f>
        <v>4.83</v>
      </c>
      <c r="BI44" s="106" t="n">
        <f aca="false">IF(OR(Calculator!$E$20&lt;&gt;"YES",Calculator!$B$34&lt;Calculator!$G$20),"—",ROUND(MAX((50*POWER(80,POWER(COS(PI()*MOD(Calculator!$B$34/Calculator!$F$20,1)),2)))/$C44,$C44/(50*POWER(80,POWER(COS(PI()*MOD(Calculator!$B$34/Calculator!$F$20,1)),2)))),2))</f>
        <v>2.88</v>
      </c>
      <c r="BJ44" s="106" t="str">
        <f aca="false">IF(OR(Calculator!$E$21&lt;&gt;"YES",Calculator!$B$34&lt;Calculator!$G$21),"—",ROUND(MAX((50*POWER(80,POWER(COS(PI()*MOD(Calculator!$B$34/Calculator!$F$21,1)),2)))/$C44,$C44/(50*POWER(80,POWER(COS(PI()*MOD(Calculator!$B$34/Calculator!$F$21,1)),2)))),2))</f>
        <v>—</v>
      </c>
      <c r="BK44" s="101" t="n">
        <f aca="false">IFERROR(ROUND((IF(ISNUMBER(AZ44),AZ44,0)+IF(ISNUMBER(BA44),BA44,0)+IF(ISNUMBER(BB44),BB44,0)+IF(ISNUMBER(BC44),BC44,0)+IF(ISNUMBER(BD44),BD44,0)+IF(ISNUMBER(BE44),BE44,0)+IF(ISNUMBER(BF44),BF44,0)+IF(ISNUMBER(BG44),BG44,0)+IF(ISNUMBER(BH44),BH44,0)+IF(ISNUMBER(BI44),BI44,0)+IF(ISNUMBER(BJ44),BJ44,0))/(IF(ISNUMBER(AZ44),1,0)+IF(ISNUMBER(BA44),1,0)+IF(ISNUMBER(BB44),1,0)+IF(ISNUMBER(BC44),1,0)+IF(ISNUMBER(BD44),1,0)+IF(ISNUMBER(BE44),1,0)+IF(ISNUMBER(BF44),1,0)+IF(ISNUMBER(BG44),1,0)+IF(ISNUMBER(BH44),1,0)+IF(ISNUMBER(BI44),1,0)+IF(ISNUMBER(BJ44),1,0)),2),"")</f>
        <v>3.23</v>
      </c>
    </row>
    <row r="45" customFormat="false" ht="15" hidden="false" customHeight="false" outlineLevel="0" collapsed="false">
      <c r="A45" s="74" t="s">
        <v>95</v>
      </c>
      <c r="B45" s="74" t="s">
        <v>86</v>
      </c>
      <c r="C45" s="77" t="n">
        <v>650</v>
      </c>
      <c r="D45" s="78" t="str">
        <f aca="false">IF(OR(Calculator!$E$11&lt;&gt;"YES",Calculator!$B$30&lt;Calculator!$G$11),"—",ROUND(MAX((50*POWER(80,POWER(COS(PI()*MOD(Calculator!$B$30/Calculator!$F$11,1)),2)))/$C45,$C45/(50*POWER(80,POWER(COS(PI()*MOD(Calculator!$B$30/Calculator!$F$11,1)),2)))),2))</f>
        <v>—</v>
      </c>
      <c r="E45" s="78" t="str">
        <f aca="false">IF(OR(Calculator!$E$12&lt;&gt;"YES",Calculator!$B$30&lt;Calculator!$G$12),"—",ROUND(MAX((50*POWER(80,POWER(COS(PI()*MOD(Calculator!$B$30/Calculator!$F$12,1)),2)))/$C45,$C45/(50*POWER(80,POWER(COS(PI()*MOD(Calculator!$B$30/Calculator!$F$12,1)),2)))),2))</f>
        <v>—</v>
      </c>
      <c r="F45" s="78" t="str">
        <f aca="false">IF(OR(Calculator!$E$13&lt;&gt;"YES",Calculator!$B$30&lt;Calculator!$G$13),"—",ROUND(MAX((50*POWER(80,POWER(COS(PI()*MOD(Calculator!$B$30/Calculator!$F$13,1)),2)))/$C45,$C45/(50*POWER(80,POWER(COS(PI()*MOD(Calculator!$B$30/Calculator!$F$13,1)),2)))),2))</f>
        <v>—</v>
      </c>
      <c r="G45" s="78" t="n">
        <f aca="false">IF(OR(Calculator!$E$14&lt;&gt;"YES",Calculator!$B$30&lt;Calculator!$G$14),"—",ROUND(MAX((50*POWER(80,POWER(COS(PI()*MOD(Calculator!$B$30/Calculator!$F$14,1)),2)))/$C45,$C45/(50*POWER(80,POWER(COS(PI()*MOD(Calculator!$B$30/Calculator!$F$14,1)),2)))),2))</f>
        <v>5.87</v>
      </c>
      <c r="H45" s="78" t="n">
        <f aca="false">IF(OR(Calculator!$E$15&lt;&gt;"YES",Calculator!$B$30&lt;Calculator!$G$15),"—",ROUND(MAX((50*POWER(80,POWER(COS(PI()*MOD(Calculator!$B$30/Calculator!$F$15,1)),2)))/$C45,$C45/(50*POWER(80,POWER(COS(PI()*MOD(Calculator!$B$30/Calculator!$F$15,1)),2)))),2))</f>
        <v>1.7</v>
      </c>
      <c r="I45" s="78" t="n">
        <f aca="false">IF(OR(Calculator!$E$16&lt;&gt;"YES",Calculator!$B$30&lt;Calculator!$G$16),"—",ROUND(MAX((50*POWER(80,POWER(COS(PI()*MOD(Calculator!$B$30/Calculator!$F$16,1)),2)))/$C45,$C45/(50*POWER(80,POWER(COS(PI()*MOD(Calculator!$B$30/Calculator!$F$16,1)),2)))),2))</f>
        <v>1.16</v>
      </c>
      <c r="J45" s="78" t="n">
        <f aca="false">IF(OR(Calculator!$E$17&lt;&gt;"YES",Calculator!$B$30&lt;Calculator!$G$17),"—",ROUND(MAX((50*POWER(80,POWER(COS(PI()*MOD(Calculator!$B$30/Calculator!$F$17,1)),2)))/$C45,$C45/(50*POWER(80,POWER(COS(PI()*MOD(Calculator!$B$30/Calculator!$F$17,1)),2)))),2))</f>
        <v>3.27</v>
      </c>
      <c r="K45" s="78" t="n">
        <f aca="false">IF(OR(Calculator!$E$18&lt;&gt;"YES",Calculator!$B$30&lt;Calculator!$G$18),"—",ROUND(MAX((50*POWER(80,POWER(COS(PI()*MOD(Calculator!$B$30/Calculator!$F$18,1)),2)))/$C45,$C45/(50*POWER(80,POWER(COS(PI()*MOD(Calculator!$B$30/Calculator!$F$18,1)),2)))),2))</f>
        <v>2.15</v>
      </c>
      <c r="L45" s="78" t="n">
        <f aca="false">IF(OR(Calculator!$E$19&lt;&gt;"YES",Calculator!$B$30&lt;Calculator!$G$19),"—",ROUND(MAX((50*POWER(80,POWER(COS(PI()*MOD(Calculator!$B$30/Calculator!$F$19,1)),2)))/$C45,$C45/(50*POWER(80,POWER(COS(PI()*MOD(Calculator!$B$30/Calculator!$F$19,1)),2)))),2))</f>
        <v>1.21</v>
      </c>
      <c r="M45" s="78" t="n">
        <f aca="false">IF(OR(Calculator!$E$20&lt;&gt;"YES",Calculator!$B$30&lt;Calculator!$G$20),"—",ROUND(MAX((50*POWER(80,POWER(COS(PI()*MOD(Calculator!$B$30/Calculator!$F$20,1)),2)))/$C45,$C45/(50*POWER(80,POWER(COS(PI()*MOD(Calculator!$B$30/Calculator!$F$20,1)),2)))),2))</f>
        <v>5.13</v>
      </c>
      <c r="N45" s="78" t="str">
        <f aca="false">IF(OR(Calculator!$E$21&lt;&gt;"YES",Calculator!$B$30&lt;Calculator!$G$21),"—",ROUND(MAX((50*POWER(80,POWER(COS(PI()*MOD(Calculator!$B$30/Calculator!$F$21,1)),2)))/$C45,$C45/(50*POWER(80,POWER(COS(PI()*MOD(Calculator!$B$30/Calculator!$F$21,1)),2)))),2))</f>
        <v>—</v>
      </c>
      <c r="O45" s="100" t="n">
        <f aca="false">IFERROR(ROUND((IF(ISNUMBER(D45),D45,0)+IF(ISNUMBER(E45),E45,0)+IF(ISNUMBER(F45),F45,0)+IF(ISNUMBER(G45),G45,0)+IF(ISNUMBER(H45),H45,0)+IF(ISNUMBER(I45),I45,0)+IF(ISNUMBER(J45),J45,0)+IF(ISNUMBER(K45),K45,0)+IF(ISNUMBER(L45),L45,0)+IF(ISNUMBER(M45),M45,0)+IF(ISNUMBER(N45),N45,0))/(IF(ISNUMBER(D45),1,0)+IF(ISNUMBER(E45),1,0)+IF(ISNUMBER(F45),1,0)+IF(ISNUMBER(G45),1,0)+IF(ISNUMBER(H45),1,0)+IF(ISNUMBER(I45),1,0)+IF(ISNUMBER(J45),1,0)+IF(ISNUMBER(K45),1,0)+IF(ISNUMBER(L45),1,0)+IF(ISNUMBER(M45),1,0)+IF(ISNUMBER(N45),1,0)),2),"")</f>
        <v>2.93</v>
      </c>
      <c r="P45" s="78" t="str">
        <f aca="false">IF(OR(Calculator!$E$11&lt;&gt;"YES",Calculator!$B$31&lt;Calculator!$G$11),"—",ROUND(MAX((50*POWER(80,POWER(COS(PI()*MOD(Calculator!$B$31/Calculator!$F$11,1)),2)))/$C45,$C45/(50*POWER(80,POWER(COS(PI()*MOD(Calculator!$B$31/Calculator!$F$11,1)),2)))),2))</f>
        <v>—</v>
      </c>
      <c r="Q45" s="78" t="str">
        <f aca="false">IF(OR(Calculator!$E$12&lt;&gt;"YES",Calculator!$B$31&lt;Calculator!$G$12),"—",ROUND(MAX((50*POWER(80,POWER(COS(PI()*MOD(Calculator!$B$31/Calculator!$F$12,1)),2)))/$C45,$C45/(50*POWER(80,POWER(COS(PI()*MOD(Calculator!$B$31/Calculator!$F$12,1)),2)))),2))</f>
        <v>—</v>
      </c>
      <c r="R45" s="78" t="str">
        <f aca="false">IF(OR(Calculator!$E$13&lt;&gt;"YES",Calculator!$B$31&lt;Calculator!$G$13),"—",ROUND(MAX((50*POWER(80,POWER(COS(PI()*MOD(Calculator!$B$31/Calculator!$F$13,1)),2)))/$C45,$C45/(50*POWER(80,POWER(COS(PI()*MOD(Calculator!$B$31/Calculator!$F$13,1)),2)))),2))</f>
        <v>—</v>
      </c>
      <c r="S45" s="78" t="n">
        <f aca="false">IF(OR(Calculator!$E$14&lt;&gt;"YES",Calculator!$B$31&lt;Calculator!$G$14),"—",ROUND(MAX((50*POWER(80,POWER(COS(PI()*MOD(Calculator!$B$31/Calculator!$F$14,1)),2)))/$C45,$C45/(50*POWER(80,POWER(COS(PI()*MOD(Calculator!$B$31/Calculator!$F$14,1)),2)))),2))</f>
        <v>6.01</v>
      </c>
      <c r="T45" s="78" t="n">
        <f aca="false">IF(OR(Calculator!$E$15&lt;&gt;"YES",Calculator!$B$31&lt;Calculator!$G$15),"—",ROUND(MAX((50*POWER(80,POWER(COS(PI()*MOD(Calculator!$B$31/Calculator!$F$15,1)),2)))/$C45,$C45/(50*POWER(80,POWER(COS(PI()*MOD(Calculator!$B$31/Calculator!$F$15,1)),2)))),2))</f>
        <v>3.66</v>
      </c>
      <c r="U45" s="78" t="n">
        <f aca="false">IF(OR(Calculator!$E$16&lt;&gt;"YES",Calculator!$B$31&lt;Calculator!$G$16),"—",ROUND(MAX((50*POWER(80,POWER(COS(PI()*MOD(Calculator!$B$31/Calculator!$F$16,1)),2)))/$C45,$C45/(50*POWER(80,POWER(COS(PI()*MOD(Calculator!$B$31/Calculator!$F$16,1)),2)))),2))</f>
        <v>1.39</v>
      </c>
      <c r="V45" s="78" t="n">
        <f aca="false">IF(OR(Calculator!$E$17&lt;&gt;"YES",Calculator!$B$31&lt;Calculator!$G$17),"—",ROUND(MAX((50*POWER(80,POWER(COS(PI()*MOD(Calculator!$B$31/Calculator!$F$17,1)),2)))/$C45,$C45/(50*POWER(80,POWER(COS(PI()*MOD(Calculator!$B$31/Calculator!$F$17,1)),2)))),2))</f>
        <v>2.49</v>
      </c>
      <c r="W45" s="78" t="n">
        <f aca="false">IF(OR(Calculator!$E$18&lt;&gt;"YES",Calculator!$B$31&lt;Calculator!$G$18),"—",ROUND(MAX((50*POWER(80,POWER(COS(PI()*MOD(Calculator!$B$31/Calculator!$F$18,1)),2)))/$C45,$C45/(50*POWER(80,POWER(COS(PI()*MOD(Calculator!$B$31/Calculator!$F$18,1)),2)))),2))</f>
        <v>2.83</v>
      </c>
      <c r="X45" s="78" t="n">
        <f aca="false">IF(OR(Calculator!$E$19&lt;&gt;"YES",Calculator!$B$31&lt;Calculator!$G$19),"—",ROUND(MAX((50*POWER(80,POWER(COS(PI()*MOD(Calculator!$B$31/Calculator!$F$19,1)),2)))/$C45,$C45/(50*POWER(80,POWER(COS(PI()*MOD(Calculator!$B$31/Calculator!$F$19,1)),2)))),2))</f>
        <v>2.42</v>
      </c>
      <c r="Y45" s="78" t="n">
        <f aca="false">IF(OR(Calculator!$E$20&lt;&gt;"YES",Calculator!$B$31&lt;Calculator!$G$20),"—",ROUND(MAX((50*POWER(80,POWER(COS(PI()*MOD(Calculator!$B$31/Calculator!$F$20,1)),2)))/$C45,$C45/(50*POWER(80,POWER(COS(PI()*MOD(Calculator!$B$31/Calculator!$F$20,1)),2)))),2))</f>
        <v>7.97</v>
      </c>
      <c r="Z45" s="78" t="str">
        <f aca="false">IF(OR(Calculator!$E$21&lt;&gt;"YES",Calculator!$B$31&lt;Calculator!$G$21),"—",ROUND(MAX((50*POWER(80,POWER(COS(PI()*MOD(Calculator!$B$31/Calculator!$F$21,1)),2)))/$C45,$C45/(50*POWER(80,POWER(COS(PI()*MOD(Calculator!$B$31/Calculator!$F$21,1)),2)))),2))</f>
        <v>—</v>
      </c>
      <c r="AA45" s="100" t="n">
        <f aca="false">IFERROR(ROUND((IF(ISNUMBER(P45),P45,0)+IF(ISNUMBER(Q45),Q45,0)+IF(ISNUMBER(R45),R45,0)+IF(ISNUMBER(S45),S45,0)+IF(ISNUMBER(T45),T45,0)+IF(ISNUMBER(U45),U45,0)+IF(ISNUMBER(V45),V45,0)+IF(ISNUMBER(W45),W45,0)+IF(ISNUMBER(X45),X45,0)+IF(ISNUMBER(Y45),Y45,0)+IF(ISNUMBER(Z45),Z45,0))/(IF(ISNUMBER(P45),1,0)+IF(ISNUMBER(Q45),1,0)+IF(ISNUMBER(R45),1,0)+IF(ISNUMBER(S45),1,0)+IF(ISNUMBER(T45),1,0)+IF(ISNUMBER(U45),1,0)+IF(ISNUMBER(V45),1,0)+IF(ISNUMBER(W45),1,0)+IF(ISNUMBER(X45),1,0)+IF(ISNUMBER(Y45),1,0)+IF(ISNUMBER(Z45),1,0)),2),"")</f>
        <v>3.82</v>
      </c>
      <c r="AB45" s="78" t="str">
        <f aca="false">IF(OR(Calculator!$E$11&lt;&gt;"YES",Calculator!$B$32&lt;Calculator!$G$11),"—",ROUND(MAX((50*POWER(80,POWER(COS(PI()*MOD(Calculator!$B$32/Calculator!$F$11,1)),2)))/$C45,$C45/(50*POWER(80,POWER(COS(PI()*MOD(Calculator!$B$32/Calculator!$F$11,1)),2)))),2))</f>
        <v>—</v>
      </c>
      <c r="AC45" s="78" t="str">
        <f aca="false">IF(OR(Calculator!$E$12&lt;&gt;"YES",Calculator!$B$32&lt;Calculator!$G$12),"—",ROUND(MAX((50*POWER(80,POWER(COS(PI()*MOD(Calculator!$B$32/Calculator!$F$12,1)),2)))/$C45,$C45/(50*POWER(80,POWER(COS(PI()*MOD(Calculator!$B$32/Calculator!$F$12,1)),2)))),2))</f>
        <v>—</v>
      </c>
      <c r="AD45" s="78" t="str">
        <f aca="false">IF(OR(Calculator!$E$13&lt;&gt;"YES",Calculator!$B$32&lt;Calculator!$G$13),"—",ROUND(MAX((50*POWER(80,POWER(COS(PI()*MOD(Calculator!$B$32/Calculator!$F$13,1)),2)))/$C45,$C45/(50*POWER(80,POWER(COS(PI()*MOD(Calculator!$B$32/Calculator!$F$13,1)),2)))),2))</f>
        <v>—</v>
      </c>
      <c r="AE45" s="78" t="n">
        <f aca="false">IF(OR(Calculator!$E$14&lt;&gt;"YES",Calculator!$B$32&lt;Calculator!$G$14),"—",ROUND(MAX((50*POWER(80,POWER(COS(PI()*MOD(Calculator!$B$32/Calculator!$F$14,1)),2)))/$C45,$C45/(50*POWER(80,POWER(COS(PI()*MOD(Calculator!$B$32/Calculator!$F$14,1)),2)))),2))</f>
        <v>3.8</v>
      </c>
      <c r="AF45" s="78" t="n">
        <f aca="false">IF(OR(Calculator!$E$15&lt;&gt;"YES",Calculator!$B$32&lt;Calculator!$G$15),"—",ROUND(MAX((50*POWER(80,POWER(COS(PI()*MOD(Calculator!$B$32/Calculator!$F$15,1)),2)))/$C45,$C45/(50*POWER(80,POWER(COS(PI()*MOD(Calculator!$B$32/Calculator!$F$15,1)),2)))),2))</f>
        <v>2.46</v>
      </c>
      <c r="AG45" s="78" t="n">
        <f aca="false">IF(OR(Calculator!$E$16&lt;&gt;"YES",Calculator!$B$32&lt;Calculator!$G$16),"—",ROUND(MAX((50*POWER(80,POWER(COS(PI()*MOD(Calculator!$B$32/Calculator!$F$16,1)),2)))/$C45,$C45/(50*POWER(80,POWER(COS(PI()*MOD(Calculator!$B$32/Calculator!$F$16,1)),2)))),2))</f>
        <v>8.29</v>
      </c>
      <c r="AH45" s="78" t="n">
        <f aca="false">IF(OR(Calculator!$E$17&lt;&gt;"YES",Calculator!$B$32&lt;Calculator!$G$17),"—",ROUND(MAX((50*POWER(80,POWER(COS(PI()*MOD(Calculator!$B$32/Calculator!$F$17,1)),2)))/$C45,$C45/(50*POWER(80,POWER(COS(PI()*MOD(Calculator!$B$32/Calculator!$F$17,1)),2)))),2))</f>
        <v>3.54</v>
      </c>
      <c r="AI45" s="78" t="n">
        <f aca="false">IF(OR(Calculator!$E$18&lt;&gt;"YES",Calculator!$B$32&lt;Calculator!$G$18),"—",ROUND(MAX((50*POWER(80,POWER(COS(PI()*MOD(Calculator!$B$32/Calculator!$F$18,1)),2)))/$C45,$C45/(50*POWER(80,POWER(COS(PI()*MOD(Calculator!$B$32/Calculator!$F$18,1)),2)))),2))</f>
        <v>3.84</v>
      </c>
      <c r="AJ45" s="78" t="n">
        <f aca="false">IF(OR(Calculator!$E$19&lt;&gt;"YES",Calculator!$B$32&lt;Calculator!$G$19),"—",ROUND(MAX((50*POWER(80,POWER(COS(PI()*MOD(Calculator!$B$32/Calculator!$F$19,1)),2)))/$C45,$C45/(50*POWER(80,POWER(COS(PI()*MOD(Calculator!$B$32/Calculator!$F$19,1)),2)))),2))</f>
        <v>4.04</v>
      </c>
      <c r="AK45" s="78" t="n">
        <f aca="false">IF(OR(Calculator!$E$20&lt;&gt;"YES",Calculator!$B$32&lt;Calculator!$G$20),"—",ROUND(MAX((50*POWER(80,POWER(COS(PI()*MOD(Calculator!$B$32/Calculator!$F$20,1)),2)))/$C45,$C45/(50*POWER(80,POWER(COS(PI()*MOD(Calculator!$B$32/Calculator!$F$20,1)),2)))),2))</f>
        <v>6.52</v>
      </c>
      <c r="AL45" s="78" t="str">
        <f aca="false">IF(OR(Calculator!$E$21&lt;&gt;"YES",Calculator!$B$32&lt;Calculator!$G$21),"—",ROUND(MAX((50*POWER(80,POWER(COS(PI()*MOD(Calculator!$B$32/Calculator!$F$21,1)),2)))/$C45,$C45/(50*POWER(80,POWER(COS(PI()*MOD(Calculator!$B$32/Calculator!$F$21,1)),2)))),2))</f>
        <v>—</v>
      </c>
      <c r="AM45" s="101" t="n">
        <f aca="false">IFERROR(ROUND((IF(ISNUMBER(AB45),AB45,0)+IF(ISNUMBER(AC45),AC45,0)+IF(ISNUMBER(AD45),AD45,0)+IF(ISNUMBER(AE45),AE45,0)+IF(ISNUMBER(AF45),AF45,0)+IF(ISNUMBER(AG45),AG45,0)+IF(ISNUMBER(AH45),AH45,0)+IF(ISNUMBER(AI45),AI45,0)+IF(ISNUMBER(AJ45),AJ45,0)+IF(ISNUMBER(AK45),AK45,0)+IF(ISNUMBER(AL45),AL45,0))/(IF(ISNUMBER(AB45),1,0)+IF(ISNUMBER(AC45),1,0)+IF(ISNUMBER(AD45),1,0)+IF(ISNUMBER(AE45),1,0)+IF(ISNUMBER(AF45),1,0)+IF(ISNUMBER(AG45),1,0)+IF(ISNUMBER(AH45),1,0)+IF(ISNUMBER(AI45),1,0)+IF(ISNUMBER(AJ45),1,0)+IF(ISNUMBER(AK45),1,0)+IF(ISNUMBER(AL45),1,0)),2),"")</f>
        <v>4.64</v>
      </c>
      <c r="AN45" s="102" t="str">
        <f aca="false">IF(OR(Calculator!$E$11&lt;&gt;"YES",Calculator!$B$33&lt;Calculator!$G$11),"—",ROUND(MAX((50*POWER(80,POWER(COS(PI()*MOD(Calculator!$B$33/Calculator!$F$11,1)),2)))/$C45,$C45/(50*POWER(80,POWER(COS(PI()*MOD(Calculator!$B$33/Calculator!$F$11,1)),2)))),2))</f>
        <v>—</v>
      </c>
      <c r="AO45" s="102" t="str">
        <f aca="false">IF(OR(Calculator!$E$12&lt;&gt;"YES",Calculator!$B$33&lt;Calculator!$G$12),"—",ROUND(MAX((50*POWER(80,POWER(COS(PI()*MOD(Calculator!$B$33/Calculator!$F$12,1)),2)))/$C45,$C45/(50*POWER(80,POWER(COS(PI()*MOD(Calculator!$B$33/Calculator!$F$12,1)),2)))),2))</f>
        <v>—</v>
      </c>
      <c r="AP45" s="102" t="str">
        <f aca="false">IF(OR(Calculator!$E$13&lt;&gt;"YES",Calculator!$B$33&lt;Calculator!$G$13),"—",ROUND(MAX((50*POWER(80,POWER(COS(PI()*MOD(Calculator!$B$33/Calculator!$F$13,1)),2)))/$C45,$C45/(50*POWER(80,POWER(COS(PI()*MOD(Calculator!$B$33/Calculator!$F$13,1)),2)))),2))</f>
        <v>—</v>
      </c>
      <c r="AQ45" s="102" t="n">
        <f aca="false">IF(OR(Calculator!$E$14&lt;&gt;"YES",Calculator!$B$33&lt;Calculator!$G$14),"—",ROUND(MAX((50*POWER(80,POWER(COS(PI()*MOD(Calculator!$B$33/Calculator!$F$14,1)),2)))/$C45,$C45/(50*POWER(80,POWER(COS(PI()*MOD(Calculator!$B$33/Calculator!$F$14,1)),2)))),2))</f>
        <v>4.2</v>
      </c>
      <c r="AR45" s="102" t="n">
        <f aca="false">IF(OR(Calculator!$E$15&lt;&gt;"YES",Calculator!$B$33&lt;Calculator!$G$15),"—",ROUND(MAX((50*POWER(80,POWER(COS(PI()*MOD(Calculator!$B$33/Calculator!$F$15,1)),2)))/$C45,$C45/(50*POWER(80,POWER(COS(PI()*MOD(Calculator!$B$33/Calculator!$F$15,1)),2)))),2))</f>
        <v>2.21</v>
      </c>
      <c r="AS45" s="102" t="n">
        <f aca="false">IF(OR(Calculator!$E$16&lt;&gt;"YES",Calculator!$B$33&lt;Calculator!$G$16),"—",ROUND(MAX((50*POWER(80,POWER(COS(PI()*MOD(Calculator!$B$33/Calculator!$F$16,1)),2)))/$C45,$C45/(50*POWER(80,POWER(COS(PI()*MOD(Calculator!$B$33/Calculator!$F$16,1)),2)))),2))</f>
        <v>1.24</v>
      </c>
      <c r="AT45" s="102" t="n">
        <f aca="false">IF(OR(Calculator!$E$17&lt;&gt;"YES",Calculator!$B$33&lt;Calculator!$G$17),"—",ROUND(MAX((50*POWER(80,POWER(COS(PI()*MOD(Calculator!$B$33/Calculator!$F$17,1)),2)))/$C45,$C45/(50*POWER(80,POWER(COS(PI()*MOD(Calculator!$B$33/Calculator!$F$17,1)),2)))),2))</f>
        <v>2.57</v>
      </c>
      <c r="AU45" s="102" t="n">
        <f aca="false">IF(OR(Calculator!$E$18&lt;&gt;"YES",Calculator!$B$33&lt;Calculator!$G$18),"—",ROUND(MAX((50*POWER(80,POWER(COS(PI()*MOD(Calculator!$B$33/Calculator!$F$18,1)),2)))/$C45,$C45/(50*POWER(80,POWER(COS(PI()*MOD(Calculator!$B$33/Calculator!$F$18,1)),2)))),2))</f>
        <v>3.48</v>
      </c>
      <c r="AV45" s="102" t="n">
        <f aca="false">IF(OR(Calculator!$E$19&lt;&gt;"YES",Calculator!$B$33&lt;Calculator!$G$19),"—",ROUND(MAX((50*POWER(80,POWER(COS(PI()*MOD(Calculator!$B$33/Calculator!$F$19,1)),2)))/$C45,$C45/(50*POWER(80,POWER(COS(PI()*MOD(Calculator!$B$33/Calculator!$F$19,1)),2)))),2))</f>
        <v>2.36</v>
      </c>
      <c r="AW45" s="102" t="n">
        <f aca="false">IF(OR(Calculator!$E$20&lt;&gt;"YES",Calculator!$B$33&lt;Calculator!$G$20),"—",ROUND(MAX((50*POWER(80,POWER(COS(PI()*MOD(Calculator!$B$33/Calculator!$F$20,1)),2)))/$C45,$C45/(50*POWER(80,POWER(COS(PI()*MOD(Calculator!$B$33/Calculator!$F$20,1)),2)))),2))</f>
        <v>5.3</v>
      </c>
      <c r="AX45" s="102" t="str">
        <f aca="false">IF(OR(Calculator!$E$21&lt;&gt;"YES",Calculator!$B$33&lt;Calculator!$G$21),"—",ROUND(MAX((50*POWER(80,POWER(COS(PI()*MOD(Calculator!$B$33/Calculator!$F$21,1)),2)))/$C45,$C45/(50*POWER(80,POWER(COS(PI()*MOD(Calculator!$B$33/Calculator!$F$21,1)),2)))),2))</f>
        <v>—</v>
      </c>
      <c r="AY45" s="101" t="n">
        <f aca="false">IFERROR(ROUND((IF(ISNUMBER(AN45),AN45,0)+IF(ISNUMBER(AO45),AO45,0)+IF(ISNUMBER(AP45),AP45,0)+IF(ISNUMBER(AQ45),AQ45,0)+IF(ISNUMBER(AR45),AR45,0)+IF(ISNUMBER(AS45),AS45,0)+IF(ISNUMBER(AT45),AT45,0)+IF(ISNUMBER(AU45),AU45,0)+IF(ISNUMBER(AV45),AV45,0)+IF(ISNUMBER(AW45),AW45,0)+IF(ISNUMBER(AX45),AX45,0))/(IF(ISNUMBER(AN45),1,0)+IF(ISNUMBER(AO45),1,0)+IF(ISNUMBER(AP45),1,0)+IF(ISNUMBER(AQ45),1,0)+IF(ISNUMBER(AR45),1,0)+IF(ISNUMBER(AS45),1,0)+IF(ISNUMBER(AT45),1,0)+IF(ISNUMBER(AU45),1,0)+IF(ISNUMBER(AV45),1,0)+IF(ISNUMBER(AW45),1,0)+IF(ISNUMBER(AX45),1,0)),2),"")</f>
        <v>3.05</v>
      </c>
      <c r="AZ45" s="102" t="str">
        <f aca="false">IF(OR(Calculator!$E$11&lt;&gt;"YES",Calculator!$B$34&lt;Calculator!$G$11),"—",ROUND(MAX((50*POWER(80,POWER(COS(PI()*MOD(Calculator!$B$34/Calculator!$F$11,1)),2)))/$C45,$C45/(50*POWER(80,POWER(COS(PI()*MOD(Calculator!$B$34/Calculator!$F$11,1)),2)))),2))</f>
        <v>—</v>
      </c>
      <c r="BA45" s="102" t="str">
        <f aca="false">IF(OR(Calculator!$E$12&lt;&gt;"YES",Calculator!$B$34&lt;Calculator!$G$12),"—",ROUND(MAX((50*POWER(80,POWER(COS(PI()*MOD(Calculator!$B$34/Calculator!$F$12,1)),2)))/$C45,$C45/(50*POWER(80,POWER(COS(PI()*MOD(Calculator!$B$34/Calculator!$F$12,1)),2)))),2))</f>
        <v>—</v>
      </c>
      <c r="BB45" s="102" t="str">
        <f aca="false">IF(OR(Calculator!$E$13&lt;&gt;"YES",Calculator!$B$34&lt;Calculator!$G$13),"—",ROUND(MAX((50*POWER(80,POWER(COS(PI()*MOD(Calculator!$B$34/Calculator!$F$13,1)),2)))/$C45,$C45/(50*POWER(80,POWER(COS(PI()*MOD(Calculator!$B$34/Calculator!$F$13,1)),2)))),2))</f>
        <v>—</v>
      </c>
      <c r="BC45" s="102" t="n">
        <f aca="false">IF(OR(Calculator!$E$14&lt;&gt;"YES",Calculator!$B$34&lt;Calculator!$G$14),"—",ROUND(MAX((50*POWER(80,POWER(COS(PI()*MOD(Calculator!$B$34/Calculator!$F$14,1)),2)))/$C45,$C45/(50*POWER(80,POWER(COS(PI()*MOD(Calculator!$B$34/Calculator!$F$14,1)),2)))),2))</f>
        <v>4.27</v>
      </c>
      <c r="BD45" s="102" t="n">
        <f aca="false">IF(OR(Calculator!$E$15&lt;&gt;"YES",Calculator!$B$34&lt;Calculator!$G$15),"—",ROUND(MAX((50*POWER(80,POWER(COS(PI()*MOD(Calculator!$B$34/Calculator!$F$15,1)),2)))/$C45,$C45/(50*POWER(80,POWER(COS(PI()*MOD(Calculator!$B$34/Calculator!$F$15,1)),2)))),2))</f>
        <v>2.86</v>
      </c>
      <c r="BE45" s="102" t="n">
        <f aca="false">IF(OR(Calculator!$E$16&lt;&gt;"YES",Calculator!$B$34&lt;Calculator!$G$16),"—",ROUND(MAX((50*POWER(80,POWER(COS(PI()*MOD(Calculator!$B$34/Calculator!$F$16,1)),2)))/$C45,$C45/(50*POWER(80,POWER(COS(PI()*MOD(Calculator!$B$34/Calculator!$F$16,1)),2)))),2))</f>
        <v>1.04</v>
      </c>
      <c r="BF45" s="102" t="n">
        <f aca="false">IF(OR(Calculator!$E$17&lt;&gt;"YES",Calculator!$B$34&lt;Calculator!$G$17),"—",ROUND(MAX((50*POWER(80,POWER(COS(PI()*MOD(Calculator!$B$34/Calculator!$F$17,1)),2)))/$C45,$C45/(50*POWER(80,POWER(COS(PI()*MOD(Calculator!$B$34/Calculator!$F$17,1)),2)))),2))</f>
        <v>2.01</v>
      </c>
      <c r="BG45" s="102" t="n">
        <f aca="false">IF(OR(Calculator!$E$18&lt;&gt;"YES",Calculator!$B$34&lt;Calculator!$G$18),"—",ROUND(MAX((50*POWER(80,POWER(COS(PI()*MOD(Calculator!$B$34/Calculator!$F$18,1)),2)))/$C45,$C45/(50*POWER(80,POWER(COS(PI()*MOD(Calculator!$B$34/Calculator!$F$18,1)),2)))),2))</f>
        <v>4.7</v>
      </c>
      <c r="BH45" s="102" t="n">
        <f aca="false">IF(OR(Calculator!$E$19&lt;&gt;"YES",Calculator!$B$34&lt;Calculator!$G$19),"—",ROUND(MAX((50*POWER(80,POWER(COS(PI()*MOD(Calculator!$B$34/Calculator!$F$19,1)),2)))/$C45,$C45/(50*POWER(80,POWER(COS(PI()*MOD(Calculator!$B$34/Calculator!$F$19,1)),2)))),2))</f>
        <v>5.23</v>
      </c>
      <c r="BI45" s="102" t="n">
        <f aca="false">IF(OR(Calculator!$E$20&lt;&gt;"YES",Calculator!$B$34&lt;Calculator!$G$20),"—",ROUND(MAX((50*POWER(80,POWER(COS(PI()*MOD(Calculator!$B$34/Calculator!$F$20,1)),2)))/$C45,$C45/(50*POWER(80,POWER(COS(PI()*MOD(Calculator!$B$34/Calculator!$F$20,1)),2)))),2))</f>
        <v>3.12</v>
      </c>
      <c r="BJ45" s="102" t="str">
        <f aca="false">IF(OR(Calculator!$E$21&lt;&gt;"YES",Calculator!$B$34&lt;Calculator!$G$21),"—",ROUND(MAX((50*POWER(80,POWER(COS(PI()*MOD(Calculator!$B$34/Calculator!$F$21,1)),2)))/$C45,$C45/(50*POWER(80,POWER(COS(PI()*MOD(Calculator!$B$34/Calculator!$F$21,1)),2)))),2))</f>
        <v>—</v>
      </c>
      <c r="BK45" s="101" t="n">
        <f aca="false">IFERROR(ROUND((IF(ISNUMBER(AZ45),AZ45,0)+IF(ISNUMBER(BA45),BA45,0)+IF(ISNUMBER(BB45),BB45,0)+IF(ISNUMBER(BC45),BC45,0)+IF(ISNUMBER(BD45),BD45,0)+IF(ISNUMBER(BE45),BE45,0)+IF(ISNUMBER(BF45),BF45,0)+IF(ISNUMBER(BG45),BG45,0)+IF(ISNUMBER(BH45),BH45,0)+IF(ISNUMBER(BI45),BI45,0)+IF(ISNUMBER(BJ45),BJ45,0))/(IF(ISNUMBER(AZ45),1,0)+IF(ISNUMBER(BA45),1,0)+IF(ISNUMBER(BB45),1,0)+IF(ISNUMBER(BC45),1,0)+IF(ISNUMBER(BD45),1,0)+IF(ISNUMBER(BE45),1,0)+IF(ISNUMBER(BF45),1,0)+IF(ISNUMBER(BG45),1,0)+IF(ISNUMBER(BH45),1,0)+IF(ISNUMBER(BI45),1,0)+IF(ISNUMBER(BJ45),1,0)),2),"")</f>
        <v>3.32</v>
      </c>
    </row>
    <row r="46" customFormat="false" ht="15" hidden="false" customHeight="false" outlineLevel="0" collapsed="false">
      <c r="A46" s="103" t="s">
        <v>96</v>
      </c>
      <c r="B46" s="103" t="s">
        <v>86</v>
      </c>
      <c r="C46" s="104" t="n">
        <v>700</v>
      </c>
      <c r="D46" s="105" t="str">
        <f aca="false">IF(OR(Calculator!$E$11&lt;&gt;"YES",Calculator!$B$30&lt;Calculator!$G$11),"—",ROUND(MAX((50*POWER(80,POWER(COS(PI()*MOD(Calculator!$B$30/Calculator!$F$11,1)),2)))/$C46,$C46/(50*POWER(80,POWER(COS(PI()*MOD(Calculator!$B$30/Calculator!$F$11,1)),2)))),2))</f>
        <v>—</v>
      </c>
      <c r="E46" s="105" t="str">
        <f aca="false">IF(OR(Calculator!$E$12&lt;&gt;"YES",Calculator!$B$30&lt;Calculator!$G$12),"—",ROUND(MAX((50*POWER(80,POWER(COS(PI()*MOD(Calculator!$B$30/Calculator!$F$12,1)),2)))/$C46,$C46/(50*POWER(80,POWER(COS(PI()*MOD(Calculator!$B$30/Calculator!$F$12,1)),2)))),2))</f>
        <v>—</v>
      </c>
      <c r="F46" s="105" t="str">
        <f aca="false">IF(OR(Calculator!$E$13&lt;&gt;"YES",Calculator!$B$30&lt;Calculator!$G$13),"—",ROUND(MAX((50*POWER(80,POWER(COS(PI()*MOD(Calculator!$B$30/Calculator!$F$13,1)),2)))/$C46,$C46/(50*POWER(80,POWER(COS(PI()*MOD(Calculator!$B$30/Calculator!$F$13,1)),2)))),2))</f>
        <v>—</v>
      </c>
      <c r="G46" s="105" t="n">
        <f aca="false">IF(OR(Calculator!$E$14&lt;&gt;"YES",Calculator!$B$30&lt;Calculator!$G$14),"—",ROUND(MAX((50*POWER(80,POWER(COS(PI()*MOD(Calculator!$B$30/Calculator!$F$14,1)),2)))/$C46,$C46/(50*POWER(80,POWER(COS(PI()*MOD(Calculator!$B$30/Calculator!$F$14,1)),2)))),2))</f>
        <v>6.33</v>
      </c>
      <c r="H46" s="105" t="n">
        <f aca="false">IF(OR(Calculator!$E$15&lt;&gt;"YES",Calculator!$B$30&lt;Calculator!$G$15),"—",ROUND(MAX((50*POWER(80,POWER(COS(PI()*MOD(Calculator!$B$30/Calculator!$F$15,1)),2)))/$C46,$C46/(50*POWER(80,POWER(COS(PI()*MOD(Calculator!$B$30/Calculator!$F$15,1)),2)))),2))</f>
        <v>1.83</v>
      </c>
      <c r="I46" s="105" t="n">
        <f aca="false">IF(OR(Calculator!$E$16&lt;&gt;"YES",Calculator!$B$30&lt;Calculator!$G$16),"—",ROUND(MAX((50*POWER(80,POWER(COS(PI()*MOD(Calculator!$B$30/Calculator!$F$16,1)),2)))/$C46,$C46/(50*POWER(80,POWER(COS(PI()*MOD(Calculator!$B$30/Calculator!$F$16,1)),2)))),2))</f>
        <v>1.25</v>
      </c>
      <c r="J46" s="105" t="n">
        <f aca="false">IF(OR(Calculator!$E$17&lt;&gt;"YES",Calculator!$B$30&lt;Calculator!$G$17),"—",ROUND(MAX((50*POWER(80,POWER(COS(PI()*MOD(Calculator!$B$30/Calculator!$F$17,1)),2)))/$C46,$C46/(50*POWER(80,POWER(COS(PI()*MOD(Calculator!$B$30/Calculator!$F$17,1)),2)))),2))</f>
        <v>3.52</v>
      </c>
      <c r="K46" s="105" t="n">
        <f aca="false">IF(OR(Calculator!$E$18&lt;&gt;"YES",Calculator!$B$30&lt;Calculator!$G$18),"—",ROUND(MAX((50*POWER(80,POWER(COS(PI()*MOD(Calculator!$B$30/Calculator!$F$18,1)),2)))/$C46,$C46/(50*POWER(80,POWER(COS(PI()*MOD(Calculator!$B$30/Calculator!$F$18,1)),2)))),2))</f>
        <v>1.99</v>
      </c>
      <c r="L46" s="105" t="n">
        <f aca="false">IF(OR(Calculator!$E$19&lt;&gt;"YES",Calculator!$B$30&lt;Calculator!$G$19),"—",ROUND(MAX((50*POWER(80,POWER(COS(PI()*MOD(Calculator!$B$30/Calculator!$F$19,1)),2)))/$C46,$C46/(50*POWER(80,POWER(COS(PI()*MOD(Calculator!$B$30/Calculator!$F$19,1)),2)))),2))</f>
        <v>1.12</v>
      </c>
      <c r="M46" s="105" t="n">
        <f aca="false">IF(OR(Calculator!$E$20&lt;&gt;"YES",Calculator!$B$30&lt;Calculator!$G$20),"—",ROUND(MAX((50*POWER(80,POWER(COS(PI()*MOD(Calculator!$B$30/Calculator!$F$20,1)),2)))/$C46,$C46/(50*POWER(80,POWER(COS(PI()*MOD(Calculator!$B$30/Calculator!$F$20,1)),2)))),2))</f>
        <v>5.53</v>
      </c>
      <c r="N46" s="105" t="str">
        <f aca="false">IF(OR(Calculator!$E$21&lt;&gt;"YES",Calculator!$B$30&lt;Calculator!$G$21),"—",ROUND(MAX((50*POWER(80,POWER(COS(PI()*MOD(Calculator!$B$30/Calculator!$F$21,1)),2)))/$C46,$C46/(50*POWER(80,POWER(COS(PI()*MOD(Calculator!$B$30/Calculator!$F$21,1)),2)))),2))</f>
        <v>—</v>
      </c>
      <c r="O46" s="100" t="n">
        <f aca="false">IFERROR(ROUND((IF(ISNUMBER(D46),D46,0)+IF(ISNUMBER(E46),E46,0)+IF(ISNUMBER(F46),F46,0)+IF(ISNUMBER(G46),G46,0)+IF(ISNUMBER(H46),H46,0)+IF(ISNUMBER(I46),I46,0)+IF(ISNUMBER(J46),J46,0)+IF(ISNUMBER(K46),K46,0)+IF(ISNUMBER(L46),L46,0)+IF(ISNUMBER(M46),M46,0)+IF(ISNUMBER(N46),N46,0))/(IF(ISNUMBER(D46),1,0)+IF(ISNUMBER(E46),1,0)+IF(ISNUMBER(F46),1,0)+IF(ISNUMBER(G46),1,0)+IF(ISNUMBER(H46),1,0)+IF(ISNUMBER(I46),1,0)+IF(ISNUMBER(J46),1,0)+IF(ISNUMBER(K46),1,0)+IF(ISNUMBER(L46),1,0)+IF(ISNUMBER(M46),1,0)+IF(ISNUMBER(N46),1,0)),2),"")</f>
        <v>3.08</v>
      </c>
      <c r="P46" s="105" t="str">
        <f aca="false">IF(OR(Calculator!$E$11&lt;&gt;"YES",Calculator!$B$31&lt;Calculator!$G$11),"—",ROUND(MAX((50*POWER(80,POWER(COS(PI()*MOD(Calculator!$B$31/Calculator!$F$11,1)),2)))/$C46,$C46/(50*POWER(80,POWER(COS(PI()*MOD(Calculator!$B$31/Calculator!$F$11,1)),2)))),2))</f>
        <v>—</v>
      </c>
      <c r="Q46" s="105" t="str">
        <f aca="false">IF(OR(Calculator!$E$12&lt;&gt;"YES",Calculator!$B$31&lt;Calculator!$G$12),"—",ROUND(MAX((50*POWER(80,POWER(COS(PI()*MOD(Calculator!$B$31/Calculator!$F$12,1)),2)))/$C46,$C46/(50*POWER(80,POWER(COS(PI()*MOD(Calculator!$B$31/Calculator!$F$12,1)),2)))),2))</f>
        <v>—</v>
      </c>
      <c r="R46" s="105" t="str">
        <f aca="false">IF(OR(Calculator!$E$13&lt;&gt;"YES",Calculator!$B$31&lt;Calculator!$G$13),"—",ROUND(MAX((50*POWER(80,POWER(COS(PI()*MOD(Calculator!$B$31/Calculator!$F$13,1)),2)))/$C46,$C46/(50*POWER(80,POWER(COS(PI()*MOD(Calculator!$B$31/Calculator!$F$13,1)),2)))),2))</f>
        <v>—</v>
      </c>
      <c r="S46" s="105" t="n">
        <f aca="false">IF(OR(Calculator!$E$14&lt;&gt;"YES",Calculator!$B$31&lt;Calculator!$G$14),"—",ROUND(MAX((50*POWER(80,POWER(COS(PI()*MOD(Calculator!$B$31/Calculator!$F$14,1)),2)))/$C46,$C46/(50*POWER(80,POWER(COS(PI()*MOD(Calculator!$B$31/Calculator!$F$14,1)),2)))),2))</f>
        <v>6.48</v>
      </c>
      <c r="T46" s="105" t="n">
        <f aca="false">IF(OR(Calculator!$E$15&lt;&gt;"YES",Calculator!$B$31&lt;Calculator!$G$15),"—",ROUND(MAX((50*POWER(80,POWER(COS(PI()*MOD(Calculator!$B$31/Calculator!$F$15,1)),2)))/$C46,$C46/(50*POWER(80,POWER(COS(PI()*MOD(Calculator!$B$31/Calculator!$F$15,1)),2)))),2))</f>
        <v>3.94</v>
      </c>
      <c r="U46" s="105" t="n">
        <f aca="false">IF(OR(Calculator!$E$16&lt;&gt;"YES",Calculator!$B$31&lt;Calculator!$G$16),"—",ROUND(MAX((50*POWER(80,POWER(COS(PI()*MOD(Calculator!$B$31/Calculator!$F$16,1)),2)))/$C46,$C46/(50*POWER(80,POWER(COS(PI()*MOD(Calculator!$B$31/Calculator!$F$16,1)),2)))),2))</f>
        <v>1.5</v>
      </c>
      <c r="V46" s="105" t="n">
        <f aca="false">IF(OR(Calculator!$E$17&lt;&gt;"YES",Calculator!$B$31&lt;Calculator!$G$17),"—",ROUND(MAX((50*POWER(80,POWER(COS(PI()*MOD(Calculator!$B$31/Calculator!$F$17,1)),2)))/$C46,$C46/(50*POWER(80,POWER(COS(PI()*MOD(Calculator!$B$31/Calculator!$F$17,1)),2)))),2))</f>
        <v>2.31</v>
      </c>
      <c r="W46" s="105" t="n">
        <f aca="false">IF(OR(Calculator!$E$18&lt;&gt;"YES",Calculator!$B$31&lt;Calculator!$G$18),"—",ROUND(MAX((50*POWER(80,POWER(COS(PI()*MOD(Calculator!$B$31/Calculator!$F$18,1)),2)))/$C46,$C46/(50*POWER(80,POWER(COS(PI()*MOD(Calculator!$B$31/Calculator!$F$18,1)),2)))),2))</f>
        <v>2.63</v>
      </c>
      <c r="X46" s="105" t="n">
        <f aca="false">IF(OR(Calculator!$E$19&lt;&gt;"YES",Calculator!$B$31&lt;Calculator!$G$19),"—",ROUND(MAX((50*POWER(80,POWER(COS(PI()*MOD(Calculator!$B$31/Calculator!$F$19,1)),2)))/$C46,$C46/(50*POWER(80,POWER(COS(PI()*MOD(Calculator!$B$31/Calculator!$F$19,1)),2)))),2))</f>
        <v>2.6</v>
      </c>
      <c r="Y46" s="105" t="n">
        <f aca="false">IF(OR(Calculator!$E$20&lt;&gt;"YES",Calculator!$B$31&lt;Calculator!$G$20),"—",ROUND(MAX((50*POWER(80,POWER(COS(PI()*MOD(Calculator!$B$31/Calculator!$F$20,1)),2)))/$C46,$C46/(50*POWER(80,POWER(COS(PI()*MOD(Calculator!$B$31/Calculator!$F$20,1)),2)))),2))</f>
        <v>8.59</v>
      </c>
      <c r="Z46" s="105" t="str">
        <f aca="false">IF(OR(Calculator!$E$21&lt;&gt;"YES",Calculator!$B$31&lt;Calculator!$G$21),"—",ROUND(MAX((50*POWER(80,POWER(COS(PI()*MOD(Calculator!$B$31/Calculator!$F$21,1)),2)))/$C46,$C46/(50*POWER(80,POWER(COS(PI()*MOD(Calculator!$B$31/Calculator!$F$21,1)),2)))),2))</f>
        <v>—</v>
      </c>
      <c r="AA46" s="100" t="n">
        <f aca="false">IFERROR(ROUND((IF(ISNUMBER(P46),P46,0)+IF(ISNUMBER(Q46),Q46,0)+IF(ISNUMBER(R46),R46,0)+IF(ISNUMBER(S46),S46,0)+IF(ISNUMBER(T46),T46,0)+IF(ISNUMBER(U46),U46,0)+IF(ISNUMBER(V46),V46,0)+IF(ISNUMBER(W46),W46,0)+IF(ISNUMBER(X46),X46,0)+IF(ISNUMBER(Y46),Y46,0)+IF(ISNUMBER(Z46),Z46,0))/(IF(ISNUMBER(P46),1,0)+IF(ISNUMBER(Q46),1,0)+IF(ISNUMBER(R46),1,0)+IF(ISNUMBER(S46),1,0)+IF(ISNUMBER(T46),1,0)+IF(ISNUMBER(U46),1,0)+IF(ISNUMBER(V46),1,0)+IF(ISNUMBER(W46),1,0)+IF(ISNUMBER(X46),1,0)+IF(ISNUMBER(Y46),1,0)+IF(ISNUMBER(Z46),1,0)),2),"")</f>
        <v>4.01</v>
      </c>
      <c r="AB46" s="105" t="str">
        <f aca="false">IF(OR(Calculator!$E$11&lt;&gt;"YES",Calculator!$B$32&lt;Calculator!$G$11),"—",ROUND(MAX((50*POWER(80,POWER(COS(PI()*MOD(Calculator!$B$32/Calculator!$F$11,1)),2)))/$C46,$C46/(50*POWER(80,POWER(COS(PI()*MOD(Calculator!$B$32/Calculator!$F$11,1)),2)))),2))</f>
        <v>—</v>
      </c>
      <c r="AC46" s="105" t="str">
        <f aca="false">IF(OR(Calculator!$E$12&lt;&gt;"YES",Calculator!$B$32&lt;Calculator!$G$12),"—",ROUND(MAX((50*POWER(80,POWER(COS(PI()*MOD(Calculator!$B$32/Calculator!$F$12,1)),2)))/$C46,$C46/(50*POWER(80,POWER(COS(PI()*MOD(Calculator!$B$32/Calculator!$F$12,1)),2)))),2))</f>
        <v>—</v>
      </c>
      <c r="AD46" s="105" t="str">
        <f aca="false">IF(OR(Calculator!$E$13&lt;&gt;"YES",Calculator!$B$32&lt;Calculator!$G$13),"—",ROUND(MAX((50*POWER(80,POWER(COS(PI()*MOD(Calculator!$B$32/Calculator!$F$13,1)),2)))/$C46,$C46/(50*POWER(80,POWER(COS(PI()*MOD(Calculator!$B$32/Calculator!$F$13,1)),2)))),2))</f>
        <v>—</v>
      </c>
      <c r="AE46" s="105" t="n">
        <f aca="false">IF(OR(Calculator!$E$14&lt;&gt;"YES",Calculator!$B$32&lt;Calculator!$G$14),"—",ROUND(MAX((50*POWER(80,POWER(COS(PI()*MOD(Calculator!$B$32/Calculator!$F$14,1)),2)))/$C46,$C46/(50*POWER(80,POWER(COS(PI()*MOD(Calculator!$B$32/Calculator!$F$14,1)),2)))),2))</f>
        <v>4.09</v>
      </c>
      <c r="AF46" s="105" t="n">
        <f aca="false">IF(OR(Calculator!$E$15&lt;&gt;"YES",Calculator!$B$32&lt;Calculator!$G$15),"—",ROUND(MAX((50*POWER(80,POWER(COS(PI()*MOD(Calculator!$B$32/Calculator!$F$15,1)),2)))/$C46,$C46/(50*POWER(80,POWER(COS(PI()*MOD(Calculator!$B$32/Calculator!$F$15,1)),2)))),2))</f>
        <v>2.64</v>
      </c>
      <c r="AG46" s="105" t="n">
        <f aca="false">IF(OR(Calculator!$E$16&lt;&gt;"YES",Calculator!$B$32&lt;Calculator!$G$16),"—",ROUND(MAX((50*POWER(80,POWER(COS(PI()*MOD(Calculator!$B$32/Calculator!$F$16,1)),2)))/$C46,$C46/(50*POWER(80,POWER(COS(PI()*MOD(Calculator!$B$32/Calculator!$F$16,1)),2)))),2))</f>
        <v>8.93</v>
      </c>
      <c r="AH46" s="105" t="n">
        <f aca="false">IF(OR(Calculator!$E$17&lt;&gt;"YES",Calculator!$B$32&lt;Calculator!$G$17),"—",ROUND(MAX((50*POWER(80,POWER(COS(PI()*MOD(Calculator!$B$32/Calculator!$F$17,1)),2)))/$C46,$C46/(50*POWER(80,POWER(COS(PI()*MOD(Calculator!$B$32/Calculator!$F$17,1)),2)))),2))</f>
        <v>3.29</v>
      </c>
      <c r="AI46" s="105" t="n">
        <f aca="false">IF(OR(Calculator!$E$18&lt;&gt;"YES",Calculator!$B$32&lt;Calculator!$G$18),"—",ROUND(MAX((50*POWER(80,POWER(COS(PI()*MOD(Calculator!$B$32/Calculator!$F$18,1)),2)))/$C46,$C46/(50*POWER(80,POWER(COS(PI()*MOD(Calculator!$B$32/Calculator!$F$18,1)),2)))),2))</f>
        <v>3.57</v>
      </c>
      <c r="AJ46" s="105" t="n">
        <f aca="false">IF(OR(Calculator!$E$19&lt;&gt;"YES",Calculator!$B$32&lt;Calculator!$G$19),"—",ROUND(MAX((50*POWER(80,POWER(COS(PI()*MOD(Calculator!$B$32/Calculator!$F$19,1)),2)))/$C46,$C46/(50*POWER(80,POWER(COS(PI()*MOD(Calculator!$B$32/Calculator!$F$19,1)),2)))),2))</f>
        <v>3.76</v>
      </c>
      <c r="AK46" s="105" t="n">
        <f aca="false">IF(OR(Calculator!$E$20&lt;&gt;"YES",Calculator!$B$32&lt;Calculator!$G$20),"—",ROUND(MAX((50*POWER(80,POWER(COS(PI()*MOD(Calculator!$B$32/Calculator!$F$20,1)),2)))/$C46,$C46/(50*POWER(80,POWER(COS(PI()*MOD(Calculator!$B$32/Calculator!$F$20,1)),2)))),2))</f>
        <v>7.02</v>
      </c>
      <c r="AL46" s="105" t="str">
        <f aca="false">IF(OR(Calculator!$E$21&lt;&gt;"YES",Calculator!$B$32&lt;Calculator!$G$21),"—",ROUND(MAX((50*POWER(80,POWER(COS(PI()*MOD(Calculator!$B$32/Calculator!$F$21,1)),2)))/$C46,$C46/(50*POWER(80,POWER(COS(PI()*MOD(Calculator!$B$32/Calculator!$F$21,1)),2)))),2))</f>
        <v>—</v>
      </c>
      <c r="AM46" s="101" t="n">
        <f aca="false">IFERROR(ROUND((IF(ISNUMBER(AB46),AB46,0)+IF(ISNUMBER(AC46),AC46,0)+IF(ISNUMBER(AD46),AD46,0)+IF(ISNUMBER(AE46),AE46,0)+IF(ISNUMBER(AF46),AF46,0)+IF(ISNUMBER(AG46),AG46,0)+IF(ISNUMBER(AH46),AH46,0)+IF(ISNUMBER(AI46),AI46,0)+IF(ISNUMBER(AJ46),AJ46,0)+IF(ISNUMBER(AK46),AK46,0)+IF(ISNUMBER(AL46),AL46,0))/(IF(ISNUMBER(AB46),1,0)+IF(ISNUMBER(AC46),1,0)+IF(ISNUMBER(AD46),1,0)+IF(ISNUMBER(AE46),1,0)+IF(ISNUMBER(AF46),1,0)+IF(ISNUMBER(AG46),1,0)+IF(ISNUMBER(AH46),1,0)+IF(ISNUMBER(AI46),1,0)+IF(ISNUMBER(AJ46),1,0)+IF(ISNUMBER(AK46),1,0)+IF(ISNUMBER(AL46),1,0)),2),"")</f>
        <v>4.76</v>
      </c>
      <c r="AN46" s="106" t="str">
        <f aca="false">IF(OR(Calculator!$E$11&lt;&gt;"YES",Calculator!$B$33&lt;Calculator!$G$11),"—",ROUND(MAX((50*POWER(80,POWER(COS(PI()*MOD(Calculator!$B$33/Calculator!$F$11,1)),2)))/$C46,$C46/(50*POWER(80,POWER(COS(PI()*MOD(Calculator!$B$33/Calculator!$F$11,1)),2)))),2))</f>
        <v>—</v>
      </c>
      <c r="AO46" s="106" t="str">
        <f aca="false">IF(OR(Calculator!$E$12&lt;&gt;"YES",Calculator!$B$33&lt;Calculator!$G$12),"—",ROUND(MAX((50*POWER(80,POWER(COS(PI()*MOD(Calculator!$B$33/Calculator!$F$12,1)),2)))/$C46,$C46/(50*POWER(80,POWER(COS(PI()*MOD(Calculator!$B$33/Calculator!$F$12,1)),2)))),2))</f>
        <v>—</v>
      </c>
      <c r="AP46" s="106" t="str">
        <f aca="false">IF(OR(Calculator!$E$13&lt;&gt;"YES",Calculator!$B$33&lt;Calculator!$G$13),"—",ROUND(MAX((50*POWER(80,POWER(COS(PI()*MOD(Calculator!$B$33/Calculator!$F$13,1)),2)))/$C46,$C46/(50*POWER(80,POWER(COS(PI()*MOD(Calculator!$B$33/Calculator!$F$13,1)),2)))),2))</f>
        <v>—</v>
      </c>
      <c r="AQ46" s="106" t="n">
        <f aca="false">IF(OR(Calculator!$E$14&lt;&gt;"YES",Calculator!$B$33&lt;Calculator!$G$14),"—",ROUND(MAX((50*POWER(80,POWER(COS(PI()*MOD(Calculator!$B$33/Calculator!$F$14,1)),2)))/$C46,$C46/(50*POWER(80,POWER(COS(PI()*MOD(Calculator!$B$33/Calculator!$F$14,1)),2)))),2))</f>
        <v>3.9</v>
      </c>
      <c r="AR46" s="106" t="n">
        <f aca="false">IF(OR(Calculator!$E$15&lt;&gt;"YES",Calculator!$B$33&lt;Calculator!$G$15),"—",ROUND(MAX((50*POWER(80,POWER(COS(PI()*MOD(Calculator!$B$33/Calculator!$F$15,1)),2)))/$C46,$C46/(50*POWER(80,POWER(COS(PI()*MOD(Calculator!$B$33/Calculator!$F$15,1)),2)))),2))</f>
        <v>2.38</v>
      </c>
      <c r="AS46" s="106" t="n">
        <f aca="false">IF(OR(Calculator!$E$16&lt;&gt;"YES",Calculator!$B$33&lt;Calculator!$G$16),"—",ROUND(MAX((50*POWER(80,POWER(COS(PI()*MOD(Calculator!$B$33/Calculator!$F$16,1)),2)))/$C46,$C46/(50*POWER(80,POWER(COS(PI()*MOD(Calculator!$B$33/Calculator!$F$16,1)),2)))),2))</f>
        <v>1.15</v>
      </c>
      <c r="AT46" s="106" t="n">
        <f aca="false">IF(OR(Calculator!$E$17&lt;&gt;"YES",Calculator!$B$33&lt;Calculator!$G$17),"—",ROUND(MAX((50*POWER(80,POWER(COS(PI()*MOD(Calculator!$B$33/Calculator!$F$17,1)),2)))/$C46,$C46/(50*POWER(80,POWER(COS(PI()*MOD(Calculator!$B$33/Calculator!$F$17,1)),2)))),2))</f>
        <v>2.77</v>
      </c>
      <c r="AU46" s="106" t="n">
        <f aca="false">IF(OR(Calculator!$E$18&lt;&gt;"YES",Calculator!$B$33&lt;Calculator!$G$18),"—",ROUND(MAX((50*POWER(80,POWER(COS(PI()*MOD(Calculator!$B$33/Calculator!$F$18,1)),2)))/$C46,$C46/(50*POWER(80,POWER(COS(PI()*MOD(Calculator!$B$33/Calculator!$F$18,1)),2)))),2))</f>
        <v>3.74</v>
      </c>
      <c r="AV46" s="106" t="n">
        <f aca="false">IF(OR(Calculator!$E$19&lt;&gt;"YES",Calculator!$B$33&lt;Calculator!$G$19),"—",ROUND(MAX((50*POWER(80,POWER(COS(PI()*MOD(Calculator!$B$33/Calculator!$F$19,1)),2)))/$C46,$C46/(50*POWER(80,POWER(COS(PI()*MOD(Calculator!$B$33/Calculator!$F$19,1)),2)))),2))</f>
        <v>2.19</v>
      </c>
      <c r="AW46" s="106" t="n">
        <f aca="false">IF(OR(Calculator!$E$20&lt;&gt;"YES",Calculator!$B$33&lt;Calculator!$G$20),"—",ROUND(MAX((50*POWER(80,POWER(COS(PI()*MOD(Calculator!$B$33/Calculator!$F$20,1)),2)))/$C46,$C46/(50*POWER(80,POWER(COS(PI()*MOD(Calculator!$B$33/Calculator!$F$20,1)),2)))),2))</f>
        <v>5.71</v>
      </c>
      <c r="AX46" s="106" t="str">
        <f aca="false">IF(OR(Calculator!$E$21&lt;&gt;"YES",Calculator!$B$33&lt;Calculator!$G$21),"—",ROUND(MAX((50*POWER(80,POWER(COS(PI()*MOD(Calculator!$B$33/Calculator!$F$21,1)),2)))/$C46,$C46/(50*POWER(80,POWER(COS(PI()*MOD(Calculator!$B$33/Calculator!$F$21,1)),2)))),2))</f>
        <v>—</v>
      </c>
      <c r="AY46" s="101" t="n">
        <f aca="false">IFERROR(ROUND((IF(ISNUMBER(AN46),AN46,0)+IF(ISNUMBER(AO46),AO46,0)+IF(ISNUMBER(AP46),AP46,0)+IF(ISNUMBER(AQ46),AQ46,0)+IF(ISNUMBER(AR46),AR46,0)+IF(ISNUMBER(AS46),AS46,0)+IF(ISNUMBER(AT46),AT46,0)+IF(ISNUMBER(AU46),AU46,0)+IF(ISNUMBER(AV46),AV46,0)+IF(ISNUMBER(AW46),AW46,0)+IF(ISNUMBER(AX46),AX46,0))/(IF(ISNUMBER(AN46),1,0)+IF(ISNUMBER(AO46),1,0)+IF(ISNUMBER(AP46),1,0)+IF(ISNUMBER(AQ46),1,0)+IF(ISNUMBER(AR46),1,0)+IF(ISNUMBER(AS46),1,0)+IF(ISNUMBER(AT46),1,0)+IF(ISNUMBER(AU46),1,0)+IF(ISNUMBER(AV46),1,0)+IF(ISNUMBER(AW46),1,0)+IF(ISNUMBER(AX46),1,0)),2),"")</f>
        <v>3.12</v>
      </c>
      <c r="AZ46" s="106" t="str">
        <f aca="false">IF(OR(Calculator!$E$11&lt;&gt;"YES",Calculator!$B$34&lt;Calculator!$G$11),"—",ROUND(MAX((50*POWER(80,POWER(COS(PI()*MOD(Calculator!$B$34/Calculator!$F$11,1)),2)))/$C46,$C46/(50*POWER(80,POWER(COS(PI()*MOD(Calculator!$B$34/Calculator!$F$11,1)),2)))),2))</f>
        <v>—</v>
      </c>
      <c r="BA46" s="106" t="str">
        <f aca="false">IF(OR(Calculator!$E$12&lt;&gt;"YES",Calculator!$B$34&lt;Calculator!$G$12),"—",ROUND(MAX((50*POWER(80,POWER(COS(PI()*MOD(Calculator!$B$34/Calculator!$F$12,1)),2)))/$C46,$C46/(50*POWER(80,POWER(COS(PI()*MOD(Calculator!$B$34/Calculator!$F$12,1)),2)))),2))</f>
        <v>—</v>
      </c>
      <c r="BB46" s="106" t="str">
        <f aca="false">IF(OR(Calculator!$E$13&lt;&gt;"YES",Calculator!$B$34&lt;Calculator!$G$13),"—",ROUND(MAX((50*POWER(80,POWER(COS(PI()*MOD(Calculator!$B$34/Calculator!$F$13,1)),2)))/$C46,$C46/(50*POWER(80,POWER(COS(PI()*MOD(Calculator!$B$34/Calculator!$F$13,1)),2)))),2))</f>
        <v>—</v>
      </c>
      <c r="BC46" s="106" t="n">
        <f aca="false">IF(OR(Calculator!$E$14&lt;&gt;"YES",Calculator!$B$34&lt;Calculator!$G$14),"—",ROUND(MAX((50*POWER(80,POWER(COS(PI()*MOD(Calculator!$B$34/Calculator!$F$14,1)),2)))/$C46,$C46/(50*POWER(80,POWER(COS(PI()*MOD(Calculator!$B$34/Calculator!$F$14,1)),2)))),2))</f>
        <v>3.96</v>
      </c>
      <c r="BD46" s="106" t="n">
        <f aca="false">IF(OR(Calculator!$E$15&lt;&gt;"YES",Calculator!$B$34&lt;Calculator!$G$15),"—",ROUND(MAX((50*POWER(80,POWER(COS(PI()*MOD(Calculator!$B$34/Calculator!$F$15,1)),2)))/$C46,$C46/(50*POWER(80,POWER(COS(PI()*MOD(Calculator!$B$34/Calculator!$F$15,1)),2)))),2))</f>
        <v>3.08</v>
      </c>
      <c r="BE46" s="106" t="n">
        <f aca="false">IF(OR(Calculator!$E$16&lt;&gt;"YES",Calculator!$B$34&lt;Calculator!$G$16),"—",ROUND(MAX((50*POWER(80,POWER(COS(PI()*MOD(Calculator!$B$34/Calculator!$F$16,1)),2)))/$C46,$C46/(50*POWER(80,POWER(COS(PI()*MOD(Calculator!$B$34/Calculator!$F$16,1)),2)))),2))</f>
        <v>1.04</v>
      </c>
      <c r="BF46" s="106" t="n">
        <f aca="false">IF(OR(Calculator!$E$17&lt;&gt;"YES",Calculator!$B$34&lt;Calculator!$G$17),"—",ROUND(MAX((50*POWER(80,POWER(COS(PI()*MOD(Calculator!$B$34/Calculator!$F$17,1)),2)))/$C46,$C46/(50*POWER(80,POWER(COS(PI()*MOD(Calculator!$B$34/Calculator!$F$17,1)),2)))),2))</f>
        <v>1.87</v>
      </c>
      <c r="BG46" s="106" t="n">
        <f aca="false">IF(OR(Calculator!$E$18&lt;&gt;"YES",Calculator!$B$34&lt;Calculator!$G$18),"—",ROUND(MAX((50*POWER(80,POWER(COS(PI()*MOD(Calculator!$B$34/Calculator!$F$18,1)),2)))/$C46,$C46/(50*POWER(80,POWER(COS(PI()*MOD(Calculator!$B$34/Calculator!$F$18,1)),2)))),2))</f>
        <v>5.06</v>
      </c>
      <c r="BH46" s="106" t="n">
        <f aca="false">IF(OR(Calculator!$E$19&lt;&gt;"YES",Calculator!$B$34&lt;Calculator!$G$19),"—",ROUND(MAX((50*POWER(80,POWER(COS(PI()*MOD(Calculator!$B$34/Calculator!$F$19,1)),2)))/$C46,$C46/(50*POWER(80,POWER(COS(PI()*MOD(Calculator!$B$34/Calculator!$F$19,1)),2)))),2))</f>
        <v>5.63</v>
      </c>
      <c r="BI46" s="106" t="n">
        <f aca="false">IF(OR(Calculator!$E$20&lt;&gt;"YES",Calculator!$B$34&lt;Calculator!$G$20),"—",ROUND(MAX((50*POWER(80,POWER(COS(PI()*MOD(Calculator!$B$34/Calculator!$F$20,1)),2)))/$C46,$C46/(50*POWER(80,POWER(COS(PI()*MOD(Calculator!$B$34/Calculator!$F$20,1)),2)))),2))</f>
        <v>3.36</v>
      </c>
      <c r="BJ46" s="106" t="str">
        <f aca="false">IF(OR(Calculator!$E$21&lt;&gt;"YES",Calculator!$B$34&lt;Calculator!$G$21),"—",ROUND(MAX((50*POWER(80,POWER(COS(PI()*MOD(Calculator!$B$34/Calculator!$F$21,1)),2)))/$C46,$C46/(50*POWER(80,POWER(COS(PI()*MOD(Calculator!$B$34/Calculator!$F$21,1)),2)))),2))</f>
        <v>—</v>
      </c>
      <c r="BK46" s="101" t="n">
        <f aca="false">IFERROR(ROUND((IF(ISNUMBER(AZ46),AZ46,0)+IF(ISNUMBER(BA46),BA46,0)+IF(ISNUMBER(BB46),BB46,0)+IF(ISNUMBER(BC46),BC46,0)+IF(ISNUMBER(BD46),BD46,0)+IF(ISNUMBER(BE46),BE46,0)+IF(ISNUMBER(BF46),BF46,0)+IF(ISNUMBER(BG46),BG46,0)+IF(ISNUMBER(BH46),BH46,0)+IF(ISNUMBER(BI46),BI46,0)+IF(ISNUMBER(BJ46),BJ46,0))/(IF(ISNUMBER(AZ46),1,0)+IF(ISNUMBER(BA46),1,0)+IF(ISNUMBER(BB46),1,0)+IF(ISNUMBER(BC46),1,0)+IF(ISNUMBER(BD46),1,0)+IF(ISNUMBER(BE46),1,0)+IF(ISNUMBER(BF46),1,0)+IF(ISNUMBER(BG46),1,0)+IF(ISNUMBER(BH46),1,0)+IF(ISNUMBER(BI46),1,0)+IF(ISNUMBER(BJ46),1,0)),2),"")</f>
        <v>3.43</v>
      </c>
    </row>
    <row r="47" customFormat="false" ht="15" hidden="false" customHeight="false" outlineLevel="0" collapsed="false">
      <c r="A47" s="74" t="s">
        <v>97</v>
      </c>
      <c r="B47" s="74" t="s">
        <v>86</v>
      </c>
      <c r="C47" s="77" t="n">
        <v>750</v>
      </c>
      <c r="D47" s="78" t="str">
        <f aca="false">IF(OR(Calculator!$E$11&lt;&gt;"YES",Calculator!$B$30&lt;Calculator!$G$11),"—",ROUND(MAX((50*POWER(80,POWER(COS(PI()*MOD(Calculator!$B$30/Calculator!$F$11,1)),2)))/$C47,$C47/(50*POWER(80,POWER(COS(PI()*MOD(Calculator!$B$30/Calculator!$F$11,1)),2)))),2))</f>
        <v>—</v>
      </c>
      <c r="E47" s="78" t="str">
        <f aca="false">IF(OR(Calculator!$E$12&lt;&gt;"YES",Calculator!$B$30&lt;Calculator!$G$12),"—",ROUND(MAX((50*POWER(80,POWER(COS(PI()*MOD(Calculator!$B$30/Calculator!$F$12,1)),2)))/$C47,$C47/(50*POWER(80,POWER(COS(PI()*MOD(Calculator!$B$30/Calculator!$F$12,1)),2)))),2))</f>
        <v>—</v>
      </c>
      <c r="F47" s="78" t="str">
        <f aca="false">IF(OR(Calculator!$E$13&lt;&gt;"YES",Calculator!$B$30&lt;Calculator!$G$13),"—",ROUND(MAX((50*POWER(80,POWER(COS(PI()*MOD(Calculator!$B$30/Calculator!$F$13,1)),2)))/$C47,$C47/(50*POWER(80,POWER(COS(PI()*MOD(Calculator!$B$30/Calculator!$F$13,1)),2)))),2))</f>
        <v>—</v>
      </c>
      <c r="G47" s="78" t="n">
        <f aca="false">IF(OR(Calculator!$E$14&lt;&gt;"YES",Calculator!$B$30&lt;Calculator!$G$14),"—",ROUND(MAX((50*POWER(80,POWER(COS(PI()*MOD(Calculator!$B$30/Calculator!$F$14,1)),2)))/$C47,$C47/(50*POWER(80,POWER(COS(PI()*MOD(Calculator!$B$30/Calculator!$F$14,1)),2)))),2))</f>
        <v>6.78</v>
      </c>
      <c r="H47" s="78" t="n">
        <f aca="false">IF(OR(Calculator!$E$15&lt;&gt;"YES",Calculator!$B$30&lt;Calculator!$G$15),"—",ROUND(MAX((50*POWER(80,POWER(COS(PI()*MOD(Calculator!$B$30/Calculator!$F$15,1)),2)))/$C47,$C47/(50*POWER(80,POWER(COS(PI()*MOD(Calculator!$B$30/Calculator!$F$15,1)),2)))),2))</f>
        <v>1.97</v>
      </c>
      <c r="I47" s="78" t="n">
        <f aca="false">IF(OR(Calculator!$E$16&lt;&gt;"YES",Calculator!$B$30&lt;Calculator!$G$16),"—",ROUND(MAX((50*POWER(80,POWER(COS(PI()*MOD(Calculator!$B$30/Calculator!$F$16,1)),2)))/$C47,$C47/(50*POWER(80,POWER(COS(PI()*MOD(Calculator!$B$30/Calculator!$F$16,1)),2)))),2))</f>
        <v>1.34</v>
      </c>
      <c r="J47" s="78" t="n">
        <f aca="false">IF(OR(Calculator!$E$17&lt;&gt;"YES",Calculator!$B$30&lt;Calculator!$G$17),"—",ROUND(MAX((50*POWER(80,POWER(COS(PI()*MOD(Calculator!$B$30/Calculator!$F$17,1)),2)))/$C47,$C47/(50*POWER(80,POWER(COS(PI()*MOD(Calculator!$B$30/Calculator!$F$17,1)),2)))),2))</f>
        <v>3.77</v>
      </c>
      <c r="K47" s="78" t="n">
        <f aca="false">IF(OR(Calculator!$E$18&lt;&gt;"YES",Calculator!$B$30&lt;Calculator!$G$18),"—",ROUND(MAX((50*POWER(80,POWER(COS(PI()*MOD(Calculator!$B$30/Calculator!$F$18,1)),2)))/$C47,$C47/(50*POWER(80,POWER(COS(PI()*MOD(Calculator!$B$30/Calculator!$F$18,1)),2)))),2))</f>
        <v>1.86</v>
      </c>
      <c r="L47" s="78" t="n">
        <f aca="false">IF(OR(Calculator!$E$19&lt;&gt;"YES",Calculator!$B$30&lt;Calculator!$G$19),"—",ROUND(MAX((50*POWER(80,POWER(COS(PI()*MOD(Calculator!$B$30/Calculator!$F$19,1)),2)))/$C47,$C47/(50*POWER(80,POWER(COS(PI()*MOD(Calculator!$B$30/Calculator!$F$19,1)),2)))),2))</f>
        <v>1.05</v>
      </c>
      <c r="M47" s="78" t="n">
        <f aca="false">IF(OR(Calculator!$E$20&lt;&gt;"YES",Calculator!$B$30&lt;Calculator!$G$20),"—",ROUND(MAX((50*POWER(80,POWER(COS(PI()*MOD(Calculator!$B$30/Calculator!$F$20,1)),2)))/$C47,$C47/(50*POWER(80,POWER(COS(PI()*MOD(Calculator!$B$30/Calculator!$F$20,1)),2)))),2))</f>
        <v>5.92</v>
      </c>
      <c r="N47" s="78" t="str">
        <f aca="false">IF(OR(Calculator!$E$21&lt;&gt;"YES",Calculator!$B$30&lt;Calculator!$G$21),"—",ROUND(MAX((50*POWER(80,POWER(COS(PI()*MOD(Calculator!$B$30/Calculator!$F$21,1)),2)))/$C47,$C47/(50*POWER(80,POWER(COS(PI()*MOD(Calculator!$B$30/Calculator!$F$21,1)),2)))),2))</f>
        <v>—</v>
      </c>
      <c r="O47" s="100" t="n">
        <f aca="false">IFERROR(ROUND((IF(ISNUMBER(D47),D47,0)+IF(ISNUMBER(E47),E47,0)+IF(ISNUMBER(F47),F47,0)+IF(ISNUMBER(G47),G47,0)+IF(ISNUMBER(H47),H47,0)+IF(ISNUMBER(I47),I47,0)+IF(ISNUMBER(J47),J47,0)+IF(ISNUMBER(K47),K47,0)+IF(ISNUMBER(L47),L47,0)+IF(ISNUMBER(M47),M47,0)+IF(ISNUMBER(N47),N47,0))/(IF(ISNUMBER(D47),1,0)+IF(ISNUMBER(E47),1,0)+IF(ISNUMBER(F47),1,0)+IF(ISNUMBER(G47),1,0)+IF(ISNUMBER(H47),1,0)+IF(ISNUMBER(I47),1,0)+IF(ISNUMBER(J47),1,0)+IF(ISNUMBER(K47),1,0)+IF(ISNUMBER(L47),1,0)+IF(ISNUMBER(M47),1,0)+IF(ISNUMBER(N47),1,0)),2),"")</f>
        <v>3.24</v>
      </c>
      <c r="P47" s="78" t="str">
        <f aca="false">IF(OR(Calculator!$E$11&lt;&gt;"YES",Calculator!$B$31&lt;Calculator!$G$11),"—",ROUND(MAX((50*POWER(80,POWER(COS(PI()*MOD(Calculator!$B$31/Calculator!$F$11,1)),2)))/$C47,$C47/(50*POWER(80,POWER(COS(PI()*MOD(Calculator!$B$31/Calculator!$F$11,1)),2)))),2))</f>
        <v>—</v>
      </c>
      <c r="Q47" s="78" t="str">
        <f aca="false">IF(OR(Calculator!$E$12&lt;&gt;"YES",Calculator!$B$31&lt;Calculator!$G$12),"—",ROUND(MAX((50*POWER(80,POWER(COS(PI()*MOD(Calculator!$B$31/Calculator!$F$12,1)),2)))/$C47,$C47/(50*POWER(80,POWER(COS(PI()*MOD(Calculator!$B$31/Calculator!$F$12,1)),2)))),2))</f>
        <v>—</v>
      </c>
      <c r="R47" s="78" t="str">
        <f aca="false">IF(OR(Calculator!$E$13&lt;&gt;"YES",Calculator!$B$31&lt;Calculator!$G$13),"—",ROUND(MAX((50*POWER(80,POWER(COS(PI()*MOD(Calculator!$B$31/Calculator!$F$13,1)),2)))/$C47,$C47/(50*POWER(80,POWER(COS(PI()*MOD(Calculator!$B$31/Calculator!$F$13,1)),2)))),2))</f>
        <v>—</v>
      </c>
      <c r="S47" s="78" t="n">
        <f aca="false">IF(OR(Calculator!$E$14&lt;&gt;"YES",Calculator!$B$31&lt;Calculator!$G$14),"—",ROUND(MAX((50*POWER(80,POWER(COS(PI()*MOD(Calculator!$B$31/Calculator!$F$14,1)),2)))/$C47,$C47/(50*POWER(80,POWER(COS(PI()*MOD(Calculator!$B$31/Calculator!$F$14,1)),2)))),2))</f>
        <v>6.94</v>
      </c>
      <c r="T47" s="78" t="n">
        <f aca="false">IF(OR(Calculator!$E$15&lt;&gt;"YES",Calculator!$B$31&lt;Calculator!$G$15),"—",ROUND(MAX((50*POWER(80,POWER(COS(PI()*MOD(Calculator!$B$31/Calculator!$F$15,1)),2)))/$C47,$C47/(50*POWER(80,POWER(COS(PI()*MOD(Calculator!$B$31/Calculator!$F$15,1)),2)))),2))</f>
        <v>4.22</v>
      </c>
      <c r="U47" s="78" t="n">
        <f aca="false">IF(OR(Calculator!$E$16&lt;&gt;"YES",Calculator!$B$31&lt;Calculator!$G$16),"—",ROUND(MAX((50*POWER(80,POWER(COS(PI()*MOD(Calculator!$B$31/Calculator!$F$16,1)),2)))/$C47,$C47/(50*POWER(80,POWER(COS(PI()*MOD(Calculator!$B$31/Calculator!$F$16,1)),2)))),2))</f>
        <v>1.61</v>
      </c>
      <c r="V47" s="78" t="n">
        <f aca="false">IF(OR(Calculator!$E$17&lt;&gt;"YES",Calculator!$B$31&lt;Calculator!$G$17),"—",ROUND(MAX((50*POWER(80,POWER(COS(PI()*MOD(Calculator!$B$31/Calculator!$F$17,1)),2)))/$C47,$C47/(50*POWER(80,POWER(COS(PI()*MOD(Calculator!$B$31/Calculator!$F$17,1)),2)))),2))</f>
        <v>2.16</v>
      </c>
      <c r="W47" s="78" t="n">
        <f aca="false">IF(OR(Calculator!$E$18&lt;&gt;"YES",Calculator!$B$31&lt;Calculator!$G$18),"—",ROUND(MAX((50*POWER(80,POWER(COS(PI()*MOD(Calculator!$B$31/Calculator!$F$18,1)),2)))/$C47,$C47/(50*POWER(80,POWER(COS(PI()*MOD(Calculator!$B$31/Calculator!$F$18,1)),2)))),2))</f>
        <v>2.46</v>
      </c>
      <c r="X47" s="78" t="n">
        <f aca="false">IF(OR(Calculator!$E$19&lt;&gt;"YES",Calculator!$B$31&lt;Calculator!$G$19),"—",ROUND(MAX((50*POWER(80,POWER(COS(PI()*MOD(Calculator!$B$31/Calculator!$F$19,1)),2)))/$C47,$C47/(50*POWER(80,POWER(COS(PI()*MOD(Calculator!$B$31/Calculator!$F$19,1)),2)))),2))</f>
        <v>2.79</v>
      </c>
      <c r="Y47" s="78" t="n">
        <f aca="false">IF(OR(Calculator!$E$20&lt;&gt;"YES",Calculator!$B$31&lt;Calculator!$G$20),"—",ROUND(MAX((50*POWER(80,POWER(COS(PI()*MOD(Calculator!$B$31/Calculator!$F$20,1)),2)))/$C47,$C47/(50*POWER(80,POWER(COS(PI()*MOD(Calculator!$B$31/Calculator!$F$20,1)),2)))),2))</f>
        <v>9.2</v>
      </c>
      <c r="Z47" s="78" t="str">
        <f aca="false">IF(OR(Calculator!$E$21&lt;&gt;"YES",Calculator!$B$31&lt;Calculator!$G$21),"—",ROUND(MAX((50*POWER(80,POWER(COS(PI()*MOD(Calculator!$B$31/Calculator!$F$21,1)),2)))/$C47,$C47/(50*POWER(80,POWER(COS(PI()*MOD(Calculator!$B$31/Calculator!$F$21,1)),2)))),2))</f>
        <v>—</v>
      </c>
      <c r="AA47" s="100" t="n">
        <f aca="false">IFERROR(ROUND((IF(ISNUMBER(P47),P47,0)+IF(ISNUMBER(Q47),Q47,0)+IF(ISNUMBER(R47),R47,0)+IF(ISNUMBER(S47),S47,0)+IF(ISNUMBER(T47),T47,0)+IF(ISNUMBER(U47),U47,0)+IF(ISNUMBER(V47),V47,0)+IF(ISNUMBER(W47),W47,0)+IF(ISNUMBER(X47),X47,0)+IF(ISNUMBER(Y47),Y47,0)+IF(ISNUMBER(Z47),Z47,0))/(IF(ISNUMBER(P47),1,0)+IF(ISNUMBER(Q47),1,0)+IF(ISNUMBER(R47),1,0)+IF(ISNUMBER(S47),1,0)+IF(ISNUMBER(T47),1,0)+IF(ISNUMBER(U47),1,0)+IF(ISNUMBER(V47),1,0)+IF(ISNUMBER(W47),1,0)+IF(ISNUMBER(X47),1,0)+IF(ISNUMBER(Y47),1,0)+IF(ISNUMBER(Z47),1,0)),2),"")</f>
        <v>4.2</v>
      </c>
      <c r="AB47" s="78" t="str">
        <f aca="false">IF(OR(Calculator!$E$11&lt;&gt;"YES",Calculator!$B$32&lt;Calculator!$G$11),"—",ROUND(MAX((50*POWER(80,POWER(COS(PI()*MOD(Calculator!$B$32/Calculator!$F$11,1)),2)))/$C47,$C47/(50*POWER(80,POWER(COS(PI()*MOD(Calculator!$B$32/Calculator!$F$11,1)),2)))),2))</f>
        <v>—</v>
      </c>
      <c r="AC47" s="78" t="str">
        <f aca="false">IF(OR(Calculator!$E$12&lt;&gt;"YES",Calculator!$B$32&lt;Calculator!$G$12),"—",ROUND(MAX((50*POWER(80,POWER(COS(PI()*MOD(Calculator!$B$32/Calculator!$F$12,1)),2)))/$C47,$C47/(50*POWER(80,POWER(COS(PI()*MOD(Calculator!$B$32/Calculator!$F$12,1)),2)))),2))</f>
        <v>—</v>
      </c>
      <c r="AD47" s="78" t="str">
        <f aca="false">IF(OR(Calculator!$E$13&lt;&gt;"YES",Calculator!$B$32&lt;Calculator!$G$13),"—",ROUND(MAX((50*POWER(80,POWER(COS(PI()*MOD(Calculator!$B$32/Calculator!$F$13,1)),2)))/$C47,$C47/(50*POWER(80,POWER(COS(PI()*MOD(Calculator!$B$32/Calculator!$F$13,1)),2)))),2))</f>
        <v>—</v>
      </c>
      <c r="AE47" s="78" t="n">
        <f aca="false">IF(OR(Calculator!$E$14&lt;&gt;"YES",Calculator!$B$32&lt;Calculator!$G$14),"—",ROUND(MAX((50*POWER(80,POWER(COS(PI()*MOD(Calculator!$B$32/Calculator!$F$14,1)),2)))/$C47,$C47/(50*POWER(80,POWER(COS(PI()*MOD(Calculator!$B$32/Calculator!$F$14,1)),2)))),2))</f>
        <v>4.38</v>
      </c>
      <c r="AF47" s="78" t="n">
        <f aca="false">IF(OR(Calculator!$E$15&lt;&gt;"YES",Calculator!$B$32&lt;Calculator!$G$15),"—",ROUND(MAX((50*POWER(80,POWER(COS(PI()*MOD(Calculator!$B$32/Calculator!$F$15,1)),2)))/$C47,$C47/(50*POWER(80,POWER(COS(PI()*MOD(Calculator!$B$32/Calculator!$F$15,1)),2)))),2))</f>
        <v>2.83</v>
      </c>
      <c r="AG47" s="78" t="n">
        <f aca="false">IF(OR(Calculator!$E$16&lt;&gt;"YES",Calculator!$B$32&lt;Calculator!$G$16),"—",ROUND(MAX((50*POWER(80,POWER(COS(PI()*MOD(Calculator!$B$32/Calculator!$F$16,1)),2)))/$C47,$C47/(50*POWER(80,POWER(COS(PI()*MOD(Calculator!$B$32/Calculator!$F$16,1)),2)))),2))</f>
        <v>9.56</v>
      </c>
      <c r="AH47" s="78" t="n">
        <f aca="false">IF(OR(Calculator!$E$17&lt;&gt;"YES",Calculator!$B$32&lt;Calculator!$G$17),"—",ROUND(MAX((50*POWER(80,POWER(COS(PI()*MOD(Calculator!$B$32/Calculator!$F$17,1)),2)))/$C47,$C47/(50*POWER(80,POWER(COS(PI()*MOD(Calculator!$B$32/Calculator!$F$17,1)),2)))),2))</f>
        <v>3.07</v>
      </c>
      <c r="AI47" s="78" t="n">
        <f aca="false">IF(OR(Calculator!$E$18&lt;&gt;"YES",Calculator!$B$32&lt;Calculator!$G$18),"—",ROUND(MAX((50*POWER(80,POWER(COS(PI()*MOD(Calculator!$B$32/Calculator!$F$18,1)),2)))/$C47,$C47/(50*POWER(80,POWER(COS(PI()*MOD(Calculator!$B$32/Calculator!$F$18,1)),2)))),2))</f>
        <v>3.33</v>
      </c>
      <c r="AJ47" s="78" t="n">
        <f aca="false">IF(OR(Calculator!$E$19&lt;&gt;"YES",Calculator!$B$32&lt;Calculator!$G$19),"—",ROUND(MAX((50*POWER(80,POWER(COS(PI()*MOD(Calculator!$B$32/Calculator!$F$19,1)),2)))/$C47,$C47/(50*POWER(80,POWER(COS(PI()*MOD(Calculator!$B$32/Calculator!$F$19,1)),2)))),2))</f>
        <v>3.5</v>
      </c>
      <c r="AK47" s="78" t="n">
        <f aca="false">IF(OR(Calculator!$E$20&lt;&gt;"YES",Calculator!$B$32&lt;Calculator!$G$20),"—",ROUND(MAX((50*POWER(80,POWER(COS(PI()*MOD(Calculator!$B$32/Calculator!$F$20,1)),2)))/$C47,$C47/(50*POWER(80,POWER(COS(PI()*MOD(Calculator!$B$32/Calculator!$F$20,1)),2)))),2))</f>
        <v>7.52</v>
      </c>
      <c r="AL47" s="78" t="str">
        <f aca="false">IF(OR(Calculator!$E$21&lt;&gt;"YES",Calculator!$B$32&lt;Calculator!$G$21),"—",ROUND(MAX((50*POWER(80,POWER(COS(PI()*MOD(Calculator!$B$32/Calculator!$F$21,1)),2)))/$C47,$C47/(50*POWER(80,POWER(COS(PI()*MOD(Calculator!$B$32/Calculator!$F$21,1)),2)))),2))</f>
        <v>—</v>
      </c>
      <c r="AM47" s="101" t="n">
        <f aca="false">IFERROR(ROUND((IF(ISNUMBER(AB47),AB47,0)+IF(ISNUMBER(AC47),AC47,0)+IF(ISNUMBER(AD47),AD47,0)+IF(ISNUMBER(AE47),AE47,0)+IF(ISNUMBER(AF47),AF47,0)+IF(ISNUMBER(AG47),AG47,0)+IF(ISNUMBER(AH47),AH47,0)+IF(ISNUMBER(AI47),AI47,0)+IF(ISNUMBER(AJ47),AJ47,0)+IF(ISNUMBER(AK47),AK47,0)+IF(ISNUMBER(AL47),AL47,0))/(IF(ISNUMBER(AB47),1,0)+IF(ISNUMBER(AC47),1,0)+IF(ISNUMBER(AD47),1,0)+IF(ISNUMBER(AE47),1,0)+IF(ISNUMBER(AF47),1,0)+IF(ISNUMBER(AG47),1,0)+IF(ISNUMBER(AH47),1,0)+IF(ISNUMBER(AI47),1,0)+IF(ISNUMBER(AJ47),1,0)+IF(ISNUMBER(AK47),1,0)+IF(ISNUMBER(AL47),1,0)),2),"")</f>
        <v>4.88</v>
      </c>
      <c r="AN47" s="102" t="str">
        <f aca="false">IF(OR(Calculator!$E$11&lt;&gt;"YES",Calculator!$B$33&lt;Calculator!$G$11),"—",ROUND(MAX((50*POWER(80,POWER(COS(PI()*MOD(Calculator!$B$33/Calculator!$F$11,1)),2)))/$C47,$C47/(50*POWER(80,POWER(COS(PI()*MOD(Calculator!$B$33/Calculator!$F$11,1)),2)))),2))</f>
        <v>—</v>
      </c>
      <c r="AO47" s="102" t="str">
        <f aca="false">IF(OR(Calculator!$E$12&lt;&gt;"YES",Calculator!$B$33&lt;Calculator!$G$12),"—",ROUND(MAX((50*POWER(80,POWER(COS(PI()*MOD(Calculator!$B$33/Calculator!$F$12,1)),2)))/$C47,$C47/(50*POWER(80,POWER(COS(PI()*MOD(Calculator!$B$33/Calculator!$F$12,1)),2)))),2))</f>
        <v>—</v>
      </c>
      <c r="AP47" s="102" t="str">
        <f aca="false">IF(OR(Calculator!$E$13&lt;&gt;"YES",Calculator!$B$33&lt;Calculator!$G$13),"—",ROUND(MAX((50*POWER(80,POWER(COS(PI()*MOD(Calculator!$B$33/Calculator!$F$13,1)),2)))/$C47,$C47/(50*POWER(80,POWER(COS(PI()*MOD(Calculator!$B$33/Calculator!$F$13,1)),2)))),2))</f>
        <v>—</v>
      </c>
      <c r="AQ47" s="102" t="n">
        <f aca="false">IF(OR(Calculator!$E$14&lt;&gt;"YES",Calculator!$B$33&lt;Calculator!$G$14),"—",ROUND(MAX((50*POWER(80,POWER(COS(PI()*MOD(Calculator!$B$33/Calculator!$F$14,1)),2)))/$C47,$C47/(50*POWER(80,POWER(COS(PI()*MOD(Calculator!$B$33/Calculator!$F$14,1)),2)))),2))</f>
        <v>3.64</v>
      </c>
      <c r="AR47" s="102" t="n">
        <f aca="false">IF(OR(Calculator!$E$15&lt;&gt;"YES",Calculator!$B$33&lt;Calculator!$G$15),"—",ROUND(MAX((50*POWER(80,POWER(COS(PI()*MOD(Calculator!$B$33/Calculator!$F$15,1)),2)))/$C47,$C47/(50*POWER(80,POWER(COS(PI()*MOD(Calculator!$B$33/Calculator!$F$15,1)),2)))),2))</f>
        <v>2.55</v>
      </c>
      <c r="AS47" s="102" t="n">
        <f aca="false">IF(OR(Calculator!$E$16&lt;&gt;"YES",Calculator!$B$33&lt;Calculator!$G$16),"—",ROUND(MAX((50*POWER(80,POWER(COS(PI()*MOD(Calculator!$B$33/Calculator!$F$16,1)),2)))/$C47,$C47/(50*POWER(80,POWER(COS(PI()*MOD(Calculator!$B$33/Calculator!$F$16,1)),2)))),2))</f>
        <v>1.07</v>
      </c>
      <c r="AT47" s="102" t="n">
        <f aca="false">IF(OR(Calculator!$E$17&lt;&gt;"YES",Calculator!$B$33&lt;Calculator!$G$17),"—",ROUND(MAX((50*POWER(80,POWER(COS(PI()*MOD(Calculator!$B$33/Calculator!$F$17,1)),2)))/$C47,$C47/(50*POWER(80,POWER(COS(PI()*MOD(Calculator!$B$33/Calculator!$F$17,1)),2)))),2))</f>
        <v>2.96</v>
      </c>
      <c r="AU47" s="102" t="n">
        <f aca="false">IF(OR(Calculator!$E$18&lt;&gt;"YES",Calculator!$B$33&lt;Calculator!$G$18),"—",ROUND(MAX((50*POWER(80,POWER(COS(PI()*MOD(Calculator!$B$33/Calculator!$F$18,1)),2)))/$C47,$C47/(50*POWER(80,POWER(COS(PI()*MOD(Calculator!$B$33/Calculator!$F$18,1)),2)))),2))</f>
        <v>4.01</v>
      </c>
      <c r="AV47" s="102" t="n">
        <f aca="false">IF(OR(Calculator!$E$19&lt;&gt;"YES",Calculator!$B$33&lt;Calculator!$G$19),"—",ROUND(MAX((50*POWER(80,POWER(COS(PI()*MOD(Calculator!$B$33/Calculator!$F$19,1)),2)))/$C47,$C47/(50*POWER(80,POWER(COS(PI()*MOD(Calculator!$B$33/Calculator!$F$19,1)),2)))),2))</f>
        <v>2.05</v>
      </c>
      <c r="AW47" s="102" t="n">
        <f aca="false">IF(OR(Calculator!$E$20&lt;&gt;"YES",Calculator!$B$33&lt;Calculator!$G$20),"—",ROUND(MAX((50*POWER(80,POWER(COS(PI()*MOD(Calculator!$B$33/Calculator!$F$20,1)),2)))/$C47,$C47/(50*POWER(80,POWER(COS(PI()*MOD(Calculator!$B$33/Calculator!$F$20,1)),2)))),2))</f>
        <v>6.12</v>
      </c>
      <c r="AX47" s="102" t="str">
        <f aca="false">IF(OR(Calculator!$E$21&lt;&gt;"YES",Calculator!$B$33&lt;Calculator!$G$21),"—",ROUND(MAX((50*POWER(80,POWER(COS(PI()*MOD(Calculator!$B$33/Calculator!$F$21,1)),2)))/$C47,$C47/(50*POWER(80,POWER(COS(PI()*MOD(Calculator!$B$33/Calculator!$F$21,1)),2)))),2))</f>
        <v>—</v>
      </c>
      <c r="AY47" s="101" t="n">
        <f aca="false">IFERROR(ROUND((IF(ISNUMBER(AN47),AN47,0)+IF(ISNUMBER(AO47),AO47,0)+IF(ISNUMBER(AP47),AP47,0)+IF(ISNUMBER(AQ47),AQ47,0)+IF(ISNUMBER(AR47),AR47,0)+IF(ISNUMBER(AS47),AS47,0)+IF(ISNUMBER(AT47),AT47,0)+IF(ISNUMBER(AU47),AU47,0)+IF(ISNUMBER(AV47),AV47,0)+IF(ISNUMBER(AW47),AW47,0)+IF(ISNUMBER(AX47),AX47,0))/(IF(ISNUMBER(AN47),1,0)+IF(ISNUMBER(AO47),1,0)+IF(ISNUMBER(AP47),1,0)+IF(ISNUMBER(AQ47),1,0)+IF(ISNUMBER(AR47),1,0)+IF(ISNUMBER(AS47),1,0)+IF(ISNUMBER(AT47),1,0)+IF(ISNUMBER(AU47),1,0)+IF(ISNUMBER(AV47),1,0)+IF(ISNUMBER(AW47),1,0)+IF(ISNUMBER(AX47),1,0)),2),"")</f>
        <v>3.2</v>
      </c>
      <c r="AZ47" s="102" t="str">
        <f aca="false">IF(OR(Calculator!$E$11&lt;&gt;"YES",Calculator!$B$34&lt;Calculator!$G$11),"—",ROUND(MAX((50*POWER(80,POWER(COS(PI()*MOD(Calculator!$B$34/Calculator!$F$11,1)),2)))/$C47,$C47/(50*POWER(80,POWER(COS(PI()*MOD(Calculator!$B$34/Calculator!$F$11,1)),2)))),2))</f>
        <v>—</v>
      </c>
      <c r="BA47" s="102" t="str">
        <f aca="false">IF(OR(Calculator!$E$12&lt;&gt;"YES",Calculator!$B$34&lt;Calculator!$G$12),"—",ROUND(MAX((50*POWER(80,POWER(COS(PI()*MOD(Calculator!$B$34/Calculator!$F$12,1)),2)))/$C47,$C47/(50*POWER(80,POWER(COS(PI()*MOD(Calculator!$B$34/Calculator!$F$12,1)),2)))),2))</f>
        <v>—</v>
      </c>
      <c r="BB47" s="102" t="str">
        <f aca="false">IF(OR(Calculator!$E$13&lt;&gt;"YES",Calculator!$B$34&lt;Calculator!$G$13),"—",ROUND(MAX((50*POWER(80,POWER(COS(PI()*MOD(Calculator!$B$34/Calculator!$F$13,1)),2)))/$C47,$C47/(50*POWER(80,POWER(COS(PI()*MOD(Calculator!$B$34/Calculator!$F$13,1)),2)))),2))</f>
        <v>—</v>
      </c>
      <c r="BC47" s="102" t="n">
        <f aca="false">IF(OR(Calculator!$E$14&lt;&gt;"YES",Calculator!$B$34&lt;Calculator!$G$14),"—",ROUND(MAX((50*POWER(80,POWER(COS(PI()*MOD(Calculator!$B$34/Calculator!$F$14,1)),2)))/$C47,$C47/(50*POWER(80,POWER(COS(PI()*MOD(Calculator!$B$34/Calculator!$F$14,1)),2)))),2))</f>
        <v>3.7</v>
      </c>
      <c r="BD47" s="102" t="n">
        <f aca="false">IF(OR(Calculator!$E$15&lt;&gt;"YES",Calculator!$B$34&lt;Calculator!$G$15),"—",ROUND(MAX((50*POWER(80,POWER(COS(PI()*MOD(Calculator!$B$34/Calculator!$F$15,1)),2)))/$C47,$C47/(50*POWER(80,POWER(COS(PI()*MOD(Calculator!$B$34/Calculator!$F$15,1)),2)))),2))</f>
        <v>3.3</v>
      </c>
      <c r="BE47" s="102" t="n">
        <f aca="false">IF(OR(Calculator!$E$16&lt;&gt;"YES",Calculator!$B$34&lt;Calculator!$G$16),"—",ROUND(MAX((50*POWER(80,POWER(COS(PI()*MOD(Calculator!$B$34/Calculator!$F$16,1)),2)))/$C47,$C47/(50*POWER(80,POWER(COS(PI()*MOD(Calculator!$B$34/Calculator!$F$16,1)),2)))),2))</f>
        <v>1.11</v>
      </c>
      <c r="BF47" s="102" t="n">
        <f aca="false">IF(OR(Calculator!$E$17&lt;&gt;"YES",Calculator!$B$34&lt;Calculator!$G$17),"—",ROUND(MAX((50*POWER(80,POWER(COS(PI()*MOD(Calculator!$B$34/Calculator!$F$17,1)),2)))/$C47,$C47/(50*POWER(80,POWER(COS(PI()*MOD(Calculator!$B$34/Calculator!$F$17,1)),2)))),2))</f>
        <v>1.74</v>
      </c>
      <c r="BG47" s="102" t="n">
        <f aca="false">IF(OR(Calculator!$E$18&lt;&gt;"YES",Calculator!$B$34&lt;Calculator!$G$18),"—",ROUND(MAX((50*POWER(80,POWER(COS(PI()*MOD(Calculator!$B$34/Calculator!$F$18,1)),2)))/$C47,$C47/(50*POWER(80,POWER(COS(PI()*MOD(Calculator!$B$34/Calculator!$F$18,1)),2)))),2))</f>
        <v>5.43</v>
      </c>
      <c r="BH47" s="102" t="n">
        <f aca="false">IF(OR(Calculator!$E$19&lt;&gt;"YES",Calculator!$B$34&lt;Calculator!$G$19),"—",ROUND(MAX((50*POWER(80,POWER(COS(PI()*MOD(Calculator!$B$34/Calculator!$F$19,1)),2)))/$C47,$C47/(50*POWER(80,POWER(COS(PI()*MOD(Calculator!$B$34/Calculator!$F$19,1)),2)))),2))</f>
        <v>6.03</v>
      </c>
      <c r="BI47" s="102" t="n">
        <f aca="false">IF(OR(Calculator!$E$20&lt;&gt;"YES",Calculator!$B$34&lt;Calculator!$G$20),"—",ROUND(MAX((50*POWER(80,POWER(COS(PI()*MOD(Calculator!$B$34/Calculator!$F$20,1)),2)))/$C47,$C47/(50*POWER(80,POWER(COS(PI()*MOD(Calculator!$B$34/Calculator!$F$20,1)),2)))),2))</f>
        <v>3.6</v>
      </c>
      <c r="BJ47" s="102" t="str">
        <f aca="false">IF(OR(Calculator!$E$21&lt;&gt;"YES",Calculator!$B$34&lt;Calculator!$G$21),"—",ROUND(MAX((50*POWER(80,POWER(COS(PI()*MOD(Calculator!$B$34/Calculator!$F$21,1)),2)))/$C47,$C47/(50*POWER(80,POWER(COS(PI()*MOD(Calculator!$B$34/Calculator!$F$21,1)),2)))),2))</f>
        <v>—</v>
      </c>
      <c r="BK47" s="101" t="n">
        <f aca="false">IFERROR(ROUND((IF(ISNUMBER(AZ47),AZ47,0)+IF(ISNUMBER(BA47),BA47,0)+IF(ISNUMBER(BB47),BB47,0)+IF(ISNUMBER(BC47),BC47,0)+IF(ISNUMBER(BD47),BD47,0)+IF(ISNUMBER(BE47),BE47,0)+IF(ISNUMBER(BF47),BF47,0)+IF(ISNUMBER(BG47),BG47,0)+IF(ISNUMBER(BH47),BH47,0)+IF(ISNUMBER(BI47),BI47,0)+IF(ISNUMBER(BJ47),BJ47,0))/(IF(ISNUMBER(AZ47),1,0)+IF(ISNUMBER(BA47),1,0)+IF(ISNUMBER(BB47),1,0)+IF(ISNUMBER(BC47),1,0)+IF(ISNUMBER(BD47),1,0)+IF(ISNUMBER(BE47),1,0)+IF(ISNUMBER(BF47),1,0)+IF(ISNUMBER(BG47),1,0)+IF(ISNUMBER(BH47),1,0)+IF(ISNUMBER(BI47),1,0)+IF(ISNUMBER(BJ47),1,0)),2),"")</f>
        <v>3.56</v>
      </c>
    </row>
    <row r="48" customFormat="false" ht="15" hidden="false" customHeight="false" outlineLevel="0" collapsed="false">
      <c r="A48" s="93" t="s">
        <v>98</v>
      </c>
      <c r="B48" s="94" t="s">
        <v>99</v>
      </c>
      <c r="C48" s="95" t="n">
        <v>800</v>
      </c>
      <c r="D48" s="96" t="str">
        <f aca="false">IF(OR(Calculator!$E$11&lt;&gt;"YES",Calculator!$B$30&lt;Calculator!$G$11),"—",ROUND(MAX((50*POWER(80,POWER(COS(PI()*MOD(Calculator!$B$30/Calculator!$F$11,1)),2)))/$C48,$C48/(50*POWER(80,POWER(COS(PI()*MOD(Calculator!$B$30/Calculator!$F$11,1)),2)))),2))</f>
        <v>—</v>
      </c>
      <c r="E48" s="96" t="str">
        <f aca="false">IF(OR(Calculator!$E$12&lt;&gt;"YES",Calculator!$B$30&lt;Calculator!$G$12),"—",ROUND(MAX((50*POWER(80,POWER(COS(PI()*MOD(Calculator!$B$30/Calculator!$F$12,1)),2)))/$C48,$C48/(50*POWER(80,POWER(COS(PI()*MOD(Calculator!$B$30/Calculator!$F$12,1)),2)))),2))</f>
        <v>—</v>
      </c>
      <c r="F48" s="96" t="str">
        <f aca="false">IF(OR(Calculator!$E$13&lt;&gt;"YES",Calculator!$B$30&lt;Calculator!$G$13),"—",ROUND(MAX((50*POWER(80,POWER(COS(PI()*MOD(Calculator!$B$30/Calculator!$F$13,1)),2)))/$C48,$C48/(50*POWER(80,POWER(COS(PI()*MOD(Calculator!$B$30/Calculator!$F$13,1)),2)))),2))</f>
        <v>—</v>
      </c>
      <c r="G48" s="96" t="n">
        <f aca="false">IF(OR(Calculator!$E$14&lt;&gt;"YES",Calculator!$B$30&lt;Calculator!$G$14),"—",ROUND(MAX((50*POWER(80,POWER(COS(PI()*MOD(Calculator!$B$30/Calculator!$F$14,1)),2)))/$C48,$C48/(50*POWER(80,POWER(COS(PI()*MOD(Calculator!$B$30/Calculator!$F$14,1)),2)))),2))</f>
        <v>7.23</v>
      </c>
      <c r="H48" s="96" t="n">
        <f aca="false">IF(OR(Calculator!$E$15&lt;&gt;"YES",Calculator!$B$30&lt;Calculator!$G$15),"—",ROUND(MAX((50*POWER(80,POWER(COS(PI()*MOD(Calculator!$B$30/Calculator!$F$15,1)),2)))/$C48,$C48/(50*POWER(80,POWER(COS(PI()*MOD(Calculator!$B$30/Calculator!$F$15,1)),2)))),2))</f>
        <v>2.1</v>
      </c>
      <c r="I48" s="96" t="n">
        <f aca="false">IF(OR(Calculator!$E$16&lt;&gt;"YES",Calculator!$B$30&lt;Calculator!$G$16),"—",ROUND(MAX((50*POWER(80,POWER(COS(PI()*MOD(Calculator!$B$30/Calculator!$F$16,1)),2)))/$C48,$C48/(50*POWER(80,POWER(COS(PI()*MOD(Calculator!$B$30/Calculator!$F$16,1)),2)))),2))</f>
        <v>1.43</v>
      </c>
      <c r="J48" s="96" t="n">
        <f aca="false">IF(OR(Calculator!$E$17&lt;&gt;"YES",Calculator!$B$30&lt;Calculator!$G$17),"—",ROUND(MAX((50*POWER(80,POWER(COS(PI()*MOD(Calculator!$B$30/Calculator!$F$17,1)),2)))/$C48,$C48/(50*POWER(80,POWER(COS(PI()*MOD(Calculator!$B$30/Calculator!$F$17,1)),2)))),2))</f>
        <v>4.02</v>
      </c>
      <c r="K48" s="96" t="n">
        <f aca="false">IF(OR(Calculator!$E$18&lt;&gt;"YES",Calculator!$B$30&lt;Calculator!$G$18),"—",ROUND(MAX((50*POWER(80,POWER(COS(PI()*MOD(Calculator!$B$30/Calculator!$F$18,1)),2)))/$C48,$C48/(50*POWER(80,POWER(COS(PI()*MOD(Calculator!$B$30/Calculator!$F$18,1)),2)))),2))</f>
        <v>1.74</v>
      </c>
      <c r="L48" s="96" t="n">
        <f aca="false">IF(OR(Calculator!$E$19&lt;&gt;"YES",Calculator!$B$30&lt;Calculator!$G$19),"—",ROUND(MAX((50*POWER(80,POWER(COS(PI()*MOD(Calculator!$B$30/Calculator!$F$19,1)),2)))/$C48,$C48/(50*POWER(80,POWER(COS(PI()*MOD(Calculator!$B$30/Calculator!$F$19,1)),2)))),2))</f>
        <v>1.02</v>
      </c>
      <c r="M48" s="96" t="n">
        <f aca="false">IF(OR(Calculator!$E$20&lt;&gt;"YES",Calculator!$B$30&lt;Calculator!$G$20),"—",ROUND(MAX((50*POWER(80,POWER(COS(PI()*MOD(Calculator!$B$30/Calculator!$F$20,1)),2)))/$C48,$C48/(50*POWER(80,POWER(COS(PI()*MOD(Calculator!$B$30/Calculator!$F$20,1)),2)))),2))</f>
        <v>6.32</v>
      </c>
      <c r="N48" s="96" t="str">
        <f aca="false">IF(OR(Calculator!$E$21&lt;&gt;"YES",Calculator!$B$30&lt;Calculator!$G$21),"—",ROUND(MAX((50*POWER(80,POWER(COS(PI()*MOD(Calculator!$B$30/Calculator!$F$21,1)),2)))/$C48,$C48/(50*POWER(80,POWER(COS(PI()*MOD(Calculator!$B$30/Calculator!$F$21,1)),2)))),2))</f>
        <v>—</v>
      </c>
      <c r="O48" s="97" t="n">
        <f aca="false">IFERROR(ROUND((IF(ISNUMBER(D48),D48,0)+IF(ISNUMBER(E48),E48,0)+IF(ISNUMBER(F48),F48,0)+IF(ISNUMBER(G48),G48,0)+IF(ISNUMBER(H48),H48,0)+IF(ISNUMBER(I48),I48,0)+IF(ISNUMBER(J48),J48,0)+IF(ISNUMBER(K48),K48,0)+IF(ISNUMBER(L48),L48,0)+IF(ISNUMBER(M48),M48,0)+IF(ISNUMBER(N48),N48,0))/(IF(ISNUMBER(D48),1,0)+IF(ISNUMBER(E48),1,0)+IF(ISNUMBER(F48),1,0)+IF(ISNUMBER(G48),1,0)+IF(ISNUMBER(H48),1,0)+IF(ISNUMBER(I48),1,0)+IF(ISNUMBER(J48),1,0)+IF(ISNUMBER(K48),1,0)+IF(ISNUMBER(L48),1,0)+IF(ISNUMBER(M48),1,0)+IF(ISNUMBER(N48),1,0)),2),"")</f>
        <v>3.41</v>
      </c>
      <c r="P48" s="96" t="str">
        <f aca="false">IF(OR(Calculator!$E$11&lt;&gt;"YES",Calculator!$B$31&lt;Calculator!$G$11),"—",ROUND(MAX((50*POWER(80,POWER(COS(PI()*MOD(Calculator!$B$31/Calculator!$F$11,1)),2)))/$C48,$C48/(50*POWER(80,POWER(COS(PI()*MOD(Calculator!$B$31/Calculator!$F$11,1)),2)))),2))</f>
        <v>—</v>
      </c>
      <c r="Q48" s="96" t="str">
        <f aca="false">IF(OR(Calculator!$E$12&lt;&gt;"YES",Calculator!$B$31&lt;Calculator!$G$12),"—",ROUND(MAX((50*POWER(80,POWER(COS(PI()*MOD(Calculator!$B$31/Calculator!$F$12,1)),2)))/$C48,$C48/(50*POWER(80,POWER(COS(PI()*MOD(Calculator!$B$31/Calculator!$F$12,1)),2)))),2))</f>
        <v>—</v>
      </c>
      <c r="R48" s="96" t="str">
        <f aca="false">IF(OR(Calculator!$E$13&lt;&gt;"YES",Calculator!$B$31&lt;Calculator!$G$13),"—",ROUND(MAX((50*POWER(80,POWER(COS(PI()*MOD(Calculator!$B$31/Calculator!$F$13,1)),2)))/$C48,$C48/(50*POWER(80,POWER(COS(PI()*MOD(Calculator!$B$31/Calculator!$F$13,1)),2)))),2))</f>
        <v>—</v>
      </c>
      <c r="S48" s="96" t="n">
        <f aca="false">IF(OR(Calculator!$E$14&lt;&gt;"YES",Calculator!$B$31&lt;Calculator!$G$14),"—",ROUND(MAX((50*POWER(80,POWER(COS(PI()*MOD(Calculator!$B$31/Calculator!$F$14,1)),2)))/$C48,$C48/(50*POWER(80,POWER(COS(PI()*MOD(Calculator!$B$31/Calculator!$F$14,1)),2)))),2))</f>
        <v>7.4</v>
      </c>
      <c r="T48" s="96" t="n">
        <f aca="false">IF(OR(Calculator!$E$15&lt;&gt;"YES",Calculator!$B$31&lt;Calculator!$G$15),"—",ROUND(MAX((50*POWER(80,POWER(COS(PI()*MOD(Calculator!$B$31/Calculator!$F$15,1)),2)))/$C48,$C48/(50*POWER(80,POWER(COS(PI()*MOD(Calculator!$B$31/Calculator!$F$15,1)),2)))),2))</f>
        <v>4.5</v>
      </c>
      <c r="U48" s="96" t="n">
        <f aca="false">IF(OR(Calculator!$E$16&lt;&gt;"YES",Calculator!$B$31&lt;Calculator!$G$16),"—",ROUND(MAX((50*POWER(80,POWER(COS(PI()*MOD(Calculator!$B$31/Calculator!$F$16,1)),2)))/$C48,$C48/(50*POWER(80,POWER(COS(PI()*MOD(Calculator!$B$31/Calculator!$F$16,1)),2)))),2))</f>
        <v>1.71</v>
      </c>
      <c r="V48" s="96" t="n">
        <f aca="false">IF(OR(Calculator!$E$17&lt;&gt;"YES",Calculator!$B$31&lt;Calculator!$G$17),"—",ROUND(MAX((50*POWER(80,POWER(COS(PI()*MOD(Calculator!$B$31/Calculator!$F$17,1)),2)))/$C48,$C48/(50*POWER(80,POWER(COS(PI()*MOD(Calculator!$B$31/Calculator!$F$17,1)),2)))),2))</f>
        <v>2.02</v>
      </c>
      <c r="W48" s="96" t="n">
        <f aca="false">IF(OR(Calculator!$E$18&lt;&gt;"YES",Calculator!$B$31&lt;Calculator!$G$18),"—",ROUND(MAX((50*POWER(80,POWER(COS(PI()*MOD(Calculator!$B$31/Calculator!$F$18,1)),2)))/$C48,$C48/(50*POWER(80,POWER(COS(PI()*MOD(Calculator!$B$31/Calculator!$F$18,1)),2)))),2))</f>
        <v>2.3</v>
      </c>
      <c r="X48" s="96" t="n">
        <f aca="false">IF(OR(Calculator!$E$19&lt;&gt;"YES",Calculator!$B$31&lt;Calculator!$G$19),"—",ROUND(MAX((50*POWER(80,POWER(COS(PI()*MOD(Calculator!$B$31/Calculator!$F$19,1)),2)))/$C48,$C48/(50*POWER(80,POWER(COS(PI()*MOD(Calculator!$B$31/Calculator!$F$19,1)),2)))),2))</f>
        <v>2.97</v>
      </c>
      <c r="Y48" s="96" t="n">
        <f aca="false">IF(OR(Calculator!$E$20&lt;&gt;"YES",Calculator!$B$31&lt;Calculator!$G$20),"—",ROUND(MAX((50*POWER(80,POWER(COS(PI()*MOD(Calculator!$B$31/Calculator!$F$20,1)),2)))/$C48,$C48/(50*POWER(80,POWER(COS(PI()*MOD(Calculator!$B$31/Calculator!$F$20,1)),2)))),2))</f>
        <v>9.82</v>
      </c>
      <c r="Z48" s="96" t="str">
        <f aca="false">IF(OR(Calculator!$E$21&lt;&gt;"YES",Calculator!$B$31&lt;Calculator!$G$21),"—",ROUND(MAX((50*POWER(80,POWER(COS(PI()*MOD(Calculator!$B$31/Calculator!$F$21,1)),2)))/$C48,$C48/(50*POWER(80,POWER(COS(PI()*MOD(Calculator!$B$31/Calculator!$F$21,1)),2)))),2))</f>
        <v>—</v>
      </c>
      <c r="AA48" s="97" t="n">
        <f aca="false">IFERROR(ROUND((IF(ISNUMBER(P48),P48,0)+IF(ISNUMBER(Q48),Q48,0)+IF(ISNUMBER(R48),R48,0)+IF(ISNUMBER(S48),S48,0)+IF(ISNUMBER(T48),T48,0)+IF(ISNUMBER(U48),U48,0)+IF(ISNUMBER(V48),V48,0)+IF(ISNUMBER(W48),W48,0)+IF(ISNUMBER(X48),X48,0)+IF(ISNUMBER(Y48),Y48,0)+IF(ISNUMBER(Z48),Z48,0))/(IF(ISNUMBER(P48),1,0)+IF(ISNUMBER(Q48),1,0)+IF(ISNUMBER(R48),1,0)+IF(ISNUMBER(S48),1,0)+IF(ISNUMBER(T48),1,0)+IF(ISNUMBER(U48),1,0)+IF(ISNUMBER(V48),1,0)+IF(ISNUMBER(W48),1,0)+IF(ISNUMBER(X48),1,0)+IF(ISNUMBER(Y48),1,0)+IF(ISNUMBER(Z48),1,0)),2),"")</f>
        <v>4.39</v>
      </c>
      <c r="AB48" s="96" t="str">
        <f aca="false">IF(OR(Calculator!$E$11&lt;&gt;"YES",Calculator!$B$32&lt;Calculator!$G$11),"—",ROUND(MAX((50*POWER(80,POWER(COS(PI()*MOD(Calculator!$B$32/Calculator!$F$11,1)),2)))/$C48,$C48/(50*POWER(80,POWER(COS(PI()*MOD(Calculator!$B$32/Calculator!$F$11,1)),2)))),2))</f>
        <v>—</v>
      </c>
      <c r="AC48" s="96" t="str">
        <f aca="false">IF(OR(Calculator!$E$12&lt;&gt;"YES",Calculator!$B$32&lt;Calculator!$G$12),"—",ROUND(MAX((50*POWER(80,POWER(COS(PI()*MOD(Calculator!$B$32/Calculator!$F$12,1)),2)))/$C48,$C48/(50*POWER(80,POWER(COS(PI()*MOD(Calculator!$B$32/Calculator!$F$12,1)),2)))),2))</f>
        <v>—</v>
      </c>
      <c r="AD48" s="96" t="str">
        <f aca="false">IF(OR(Calculator!$E$13&lt;&gt;"YES",Calculator!$B$32&lt;Calculator!$G$13),"—",ROUND(MAX((50*POWER(80,POWER(COS(PI()*MOD(Calculator!$B$32/Calculator!$F$13,1)),2)))/$C48,$C48/(50*POWER(80,POWER(COS(PI()*MOD(Calculator!$B$32/Calculator!$F$13,1)),2)))),2))</f>
        <v>—</v>
      </c>
      <c r="AE48" s="96" t="n">
        <f aca="false">IF(OR(Calculator!$E$14&lt;&gt;"YES",Calculator!$B$32&lt;Calculator!$G$14),"—",ROUND(MAX((50*POWER(80,POWER(COS(PI()*MOD(Calculator!$B$32/Calculator!$F$14,1)),2)))/$C48,$C48/(50*POWER(80,POWER(COS(PI()*MOD(Calculator!$B$32/Calculator!$F$14,1)),2)))),2))</f>
        <v>4.67</v>
      </c>
      <c r="AF48" s="96" t="n">
        <f aca="false">IF(OR(Calculator!$E$15&lt;&gt;"YES",Calculator!$B$32&lt;Calculator!$G$15),"—",ROUND(MAX((50*POWER(80,POWER(COS(PI()*MOD(Calculator!$B$32/Calculator!$F$15,1)),2)))/$C48,$C48/(50*POWER(80,POWER(COS(PI()*MOD(Calculator!$B$32/Calculator!$F$15,1)),2)))),2))</f>
        <v>3.02</v>
      </c>
      <c r="AG48" s="96" t="n">
        <f aca="false">IF(OR(Calculator!$E$16&lt;&gt;"YES",Calculator!$B$32&lt;Calculator!$G$16),"—",ROUND(MAX((50*POWER(80,POWER(COS(PI()*MOD(Calculator!$B$32/Calculator!$F$16,1)),2)))/$C48,$C48/(50*POWER(80,POWER(COS(PI()*MOD(Calculator!$B$32/Calculator!$F$16,1)),2)))),2))</f>
        <v>10.2</v>
      </c>
      <c r="AH48" s="96" t="n">
        <f aca="false">IF(OR(Calculator!$E$17&lt;&gt;"YES",Calculator!$B$32&lt;Calculator!$G$17),"—",ROUND(MAX((50*POWER(80,POWER(COS(PI()*MOD(Calculator!$B$32/Calculator!$F$17,1)),2)))/$C48,$C48/(50*POWER(80,POWER(COS(PI()*MOD(Calculator!$B$32/Calculator!$F$17,1)),2)))),2))</f>
        <v>2.88</v>
      </c>
      <c r="AI48" s="96" t="n">
        <f aca="false">IF(OR(Calculator!$E$18&lt;&gt;"YES",Calculator!$B$32&lt;Calculator!$G$18),"—",ROUND(MAX((50*POWER(80,POWER(COS(PI()*MOD(Calculator!$B$32/Calculator!$F$18,1)),2)))/$C48,$C48/(50*POWER(80,POWER(COS(PI()*MOD(Calculator!$B$32/Calculator!$F$18,1)),2)))),2))</f>
        <v>3.12</v>
      </c>
      <c r="AJ48" s="96" t="n">
        <f aca="false">IF(OR(Calculator!$E$19&lt;&gt;"YES",Calculator!$B$32&lt;Calculator!$G$19),"—",ROUND(MAX((50*POWER(80,POWER(COS(PI()*MOD(Calculator!$B$32/Calculator!$F$19,1)),2)))/$C48,$C48/(50*POWER(80,POWER(COS(PI()*MOD(Calculator!$B$32/Calculator!$F$19,1)),2)))),2))</f>
        <v>3.29</v>
      </c>
      <c r="AK48" s="96" t="n">
        <f aca="false">IF(OR(Calculator!$E$20&lt;&gt;"YES",Calculator!$B$32&lt;Calculator!$G$20),"—",ROUND(MAX((50*POWER(80,POWER(COS(PI()*MOD(Calculator!$B$32/Calculator!$F$20,1)),2)))/$C48,$C48/(50*POWER(80,POWER(COS(PI()*MOD(Calculator!$B$32/Calculator!$F$20,1)),2)))),2))</f>
        <v>8.02</v>
      </c>
      <c r="AL48" s="96" t="str">
        <f aca="false">IF(OR(Calculator!$E$21&lt;&gt;"YES",Calculator!$B$32&lt;Calculator!$G$21),"—",ROUND(MAX((50*POWER(80,POWER(COS(PI()*MOD(Calculator!$B$32/Calculator!$F$21,1)),2)))/$C48,$C48/(50*POWER(80,POWER(COS(PI()*MOD(Calculator!$B$32/Calculator!$F$21,1)),2)))),2))</f>
        <v>—</v>
      </c>
      <c r="AM48" s="98" t="n">
        <f aca="false">IFERROR(ROUND((IF(ISNUMBER(AB48),AB48,0)+IF(ISNUMBER(AC48),AC48,0)+IF(ISNUMBER(AD48),AD48,0)+IF(ISNUMBER(AE48),AE48,0)+IF(ISNUMBER(AF48),AF48,0)+IF(ISNUMBER(AG48),AG48,0)+IF(ISNUMBER(AH48),AH48,0)+IF(ISNUMBER(AI48),AI48,0)+IF(ISNUMBER(AJ48),AJ48,0)+IF(ISNUMBER(AK48),AK48,0)+IF(ISNUMBER(AL48),AL48,0))/(IF(ISNUMBER(AB48),1,0)+IF(ISNUMBER(AC48),1,0)+IF(ISNUMBER(AD48),1,0)+IF(ISNUMBER(AE48),1,0)+IF(ISNUMBER(AF48),1,0)+IF(ISNUMBER(AG48),1,0)+IF(ISNUMBER(AH48),1,0)+IF(ISNUMBER(AI48),1,0)+IF(ISNUMBER(AJ48),1,0)+IF(ISNUMBER(AK48),1,0)+IF(ISNUMBER(AL48),1,0)),2),"")</f>
        <v>5.03</v>
      </c>
      <c r="AN48" s="99" t="str">
        <f aca="false">IF(OR(Calculator!$E$11&lt;&gt;"YES",Calculator!$B$33&lt;Calculator!$G$11),"—",ROUND(MAX((50*POWER(80,POWER(COS(PI()*MOD(Calculator!$B$33/Calculator!$F$11,1)),2)))/$C48,$C48/(50*POWER(80,POWER(COS(PI()*MOD(Calculator!$B$33/Calculator!$F$11,1)),2)))),2))</f>
        <v>—</v>
      </c>
      <c r="AO48" s="99" t="str">
        <f aca="false">IF(OR(Calculator!$E$12&lt;&gt;"YES",Calculator!$B$33&lt;Calculator!$G$12),"—",ROUND(MAX((50*POWER(80,POWER(COS(PI()*MOD(Calculator!$B$33/Calculator!$F$12,1)),2)))/$C48,$C48/(50*POWER(80,POWER(COS(PI()*MOD(Calculator!$B$33/Calculator!$F$12,1)),2)))),2))</f>
        <v>—</v>
      </c>
      <c r="AP48" s="99" t="str">
        <f aca="false">IF(OR(Calculator!$E$13&lt;&gt;"YES",Calculator!$B$33&lt;Calculator!$G$13),"—",ROUND(MAX((50*POWER(80,POWER(COS(PI()*MOD(Calculator!$B$33/Calculator!$F$13,1)),2)))/$C48,$C48/(50*POWER(80,POWER(COS(PI()*MOD(Calculator!$B$33/Calculator!$F$13,1)),2)))),2))</f>
        <v>—</v>
      </c>
      <c r="AQ48" s="99" t="n">
        <f aca="false">IF(OR(Calculator!$E$14&lt;&gt;"YES",Calculator!$B$33&lt;Calculator!$G$14),"—",ROUND(MAX((50*POWER(80,POWER(COS(PI()*MOD(Calculator!$B$33/Calculator!$F$14,1)),2)))/$C48,$C48/(50*POWER(80,POWER(COS(PI()*MOD(Calculator!$B$33/Calculator!$F$14,1)),2)))),2))</f>
        <v>3.41</v>
      </c>
      <c r="AR48" s="99" t="n">
        <f aca="false">IF(OR(Calculator!$E$15&lt;&gt;"YES",Calculator!$B$33&lt;Calculator!$G$15),"—",ROUND(MAX((50*POWER(80,POWER(COS(PI()*MOD(Calculator!$B$33/Calculator!$F$15,1)),2)))/$C48,$C48/(50*POWER(80,POWER(COS(PI()*MOD(Calculator!$B$33/Calculator!$F$15,1)),2)))),2))</f>
        <v>2.73</v>
      </c>
      <c r="AS48" s="99" t="n">
        <f aca="false">IF(OR(Calculator!$E$16&lt;&gt;"YES",Calculator!$B$33&lt;Calculator!$G$16),"—",ROUND(MAX((50*POWER(80,POWER(COS(PI()*MOD(Calculator!$B$33/Calculator!$F$16,1)),2)))/$C48,$C48/(50*POWER(80,POWER(COS(PI()*MOD(Calculator!$B$33/Calculator!$F$16,1)),2)))),2))</f>
        <v>1</v>
      </c>
      <c r="AT48" s="99" t="n">
        <f aca="false">IF(OR(Calculator!$E$17&lt;&gt;"YES",Calculator!$B$33&lt;Calculator!$G$17),"—",ROUND(MAX((50*POWER(80,POWER(COS(PI()*MOD(Calculator!$B$33/Calculator!$F$17,1)),2)))/$C48,$C48/(50*POWER(80,POWER(COS(PI()*MOD(Calculator!$B$33/Calculator!$F$17,1)),2)))),2))</f>
        <v>3.16</v>
      </c>
      <c r="AU48" s="99" t="n">
        <f aca="false">IF(OR(Calculator!$E$18&lt;&gt;"YES",Calculator!$B$33&lt;Calculator!$G$18),"—",ROUND(MAX((50*POWER(80,POWER(COS(PI()*MOD(Calculator!$B$33/Calculator!$F$18,1)),2)))/$C48,$C48/(50*POWER(80,POWER(COS(PI()*MOD(Calculator!$B$33/Calculator!$F$18,1)),2)))),2))</f>
        <v>4.28</v>
      </c>
      <c r="AV48" s="99" t="n">
        <f aca="false">IF(OR(Calculator!$E$19&lt;&gt;"YES",Calculator!$B$33&lt;Calculator!$G$19),"—",ROUND(MAX((50*POWER(80,POWER(COS(PI()*MOD(Calculator!$B$33/Calculator!$F$19,1)),2)))/$C48,$C48/(50*POWER(80,POWER(COS(PI()*MOD(Calculator!$B$33/Calculator!$F$19,1)),2)))),2))</f>
        <v>1.92</v>
      </c>
      <c r="AW48" s="99" t="n">
        <f aca="false">IF(OR(Calculator!$E$20&lt;&gt;"YES",Calculator!$B$33&lt;Calculator!$G$20),"—",ROUND(MAX((50*POWER(80,POWER(COS(PI()*MOD(Calculator!$B$33/Calculator!$F$20,1)),2)))/$C48,$C48/(50*POWER(80,POWER(COS(PI()*MOD(Calculator!$B$33/Calculator!$F$20,1)),2)))),2))</f>
        <v>6.53</v>
      </c>
      <c r="AX48" s="99" t="str">
        <f aca="false">IF(OR(Calculator!$E$21&lt;&gt;"YES",Calculator!$B$33&lt;Calculator!$G$21),"—",ROUND(MAX((50*POWER(80,POWER(COS(PI()*MOD(Calculator!$B$33/Calculator!$F$21,1)),2)))/$C48,$C48/(50*POWER(80,POWER(COS(PI()*MOD(Calculator!$B$33/Calculator!$F$21,1)),2)))),2))</f>
        <v>—</v>
      </c>
      <c r="AY48" s="98" t="n">
        <f aca="false">IFERROR(ROUND((IF(ISNUMBER(AN48),AN48,0)+IF(ISNUMBER(AO48),AO48,0)+IF(ISNUMBER(AP48),AP48,0)+IF(ISNUMBER(AQ48),AQ48,0)+IF(ISNUMBER(AR48),AR48,0)+IF(ISNUMBER(AS48),AS48,0)+IF(ISNUMBER(AT48),AT48,0)+IF(ISNUMBER(AU48),AU48,0)+IF(ISNUMBER(AV48),AV48,0)+IF(ISNUMBER(AW48),AW48,0)+IF(ISNUMBER(AX48),AX48,0))/(IF(ISNUMBER(AN48),1,0)+IF(ISNUMBER(AO48),1,0)+IF(ISNUMBER(AP48),1,0)+IF(ISNUMBER(AQ48),1,0)+IF(ISNUMBER(AR48),1,0)+IF(ISNUMBER(AS48),1,0)+IF(ISNUMBER(AT48),1,0)+IF(ISNUMBER(AU48),1,0)+IF(ISNUMBER(AV48),1,0)+IF(ISNUMBER(AW48),1,0)+IF(ISNUMBER(AX48),1,0)),2),"")</f>
        <v>3.29</v>
      </c>
      <c r="AZ48" s="99" t="str">
        <f aca="false">IF(OR(Calculator!$E$11&lt;&gt;"YES",Calculator!$B$34&lt;Calculator!$G$11),"—",ROUND(MAX((50*POWER(80,POWER(COS(PI()*MOD(Calculator!$B$34/Calculator!$F$11,1)),2)))/$C48,$C48/(50*POWER(80,POWER(COS(PI()*MOD(Calculator!$B$34/Calculator!$F$11,1)),2)))),2))</f>
        <v>—</v>
      </c>
      <c r="BA48" s="99" t="str">
        <f aca="false">IF(OR(Calculator!$E$12&lt;&gt;"YES",Calculator!$B$34&lt;Calculator!$G$12),"—",ROUND(MAX((50*POWER(80,POWER(COS(PI()*MOD(Calculator!$B$34/Calculator!$F$12,1)),2)))/$C48,$C48/(50*POWER(80,POWER(COS(PI()*MOD(Calculator!$B$34/Calculator!$F$12,1)),2)))),2))</f>
        <v>—</v>
      </c>
      <c r="BB48" s="99" t="str">
        <f aca="false">IF(OR(Calculator!$E$13&lt;&gt;"YES",Calculator!$B$34&lt;Calculator!$G$13),"—",ROUND(MAX((50*POWER(80,POWER(COS(PI()*MOD(Calculator!$B$34/Calculator!$F$13,1)),2)))/$C48,$C48/(50*POWER(80,POWER(COS(PI()*MOD(Calculator!$B$34/Calculator!$F$13,1)),2)))),2))</f>
        <v>—</v>
      </c>
      <c r="BC48" s="99" t="n">
        <f aca="false">IF(OR(Calculator!$E$14&lt;&gt;"YES",Calculator!$B$34&lt;Calculator!$G$14),"—",ROUND(MAX((50*POWER(80,POWER(COS(PI()*MOD(Calculator!$B$34/Calculator!$F$14,1)),2)))/$C48,$C48/(50*POWER(80,POWER(COS(PI()*MOD(Calculator!$B$34/Calculator!$F$14,1)),2)))),2))</f>
        <v>3.47</v>
      </c>
      <c r="BD48" s="99" t="n">
        <f aca="false">IF(OR(Calculator!$E$15&lt;&gt;"YES",Calculator!$B$34&lt;Calculator!$G$15),"—",ROUND(MAX((50*POWER(80,POWER(COS(PI()*MOD(Calculator!$B$34/Calculator!$F$15,1)),2)))/$C48,$C48/(50*POWER(80,POWER(COS(PI()*MOD(Calculator!$B$34/Calculator!$F$15,1)),2)))),2))</f>
        <v>3.52</v>
      </c>
      <c r="BE48" s="99" t="n">
        <f aca="false">IF(OR(Calculator!$E$16&lt;&gt;"YES",Calculator!$B$34&lt;Calculator!$G$16),"—",ROUND(MAX((50*POWER(80,POWER(COS(PI()*MOD(Calculator!$B$34/Calculator!$F$16,1)),2)))/$C48,$C48/(50*POWER(80,POWER(COS(PI()*MOD(Calculator!$B$34/Calculator!$F$16,1)),2)))),2))</f>
        <v>1.19</v>
      </c>
      <c r="BF48" s="99" t="n">
        <f aca="false">IF(OR(Calculator!$E$17&lt;&gt;"YES",Calculator!$B$34&lt;Calculator!$G$17),"—",ROUND(MAX((50*POWER(80,POWER(COS(PI()*MOD(Calculator!$B$34/Calculator!$F$17,1)),2)))/$C48,$C48/(50*POWER(80,POWER(COS(PI()*MOD(Calculator!$B$34/Calculator!$F$17,1)),2)))),2))</f>
        <v>1.63</v>
      </c>
      <c r="BG48" s="99" t="n">
        <f aca="false">IF(OR(Calculator!$E$18&lt;&gt;"YES",Calculator!$B$34&lt;Calculator!$G$18),"—",ROUND(MAX((50*POWER(80,POWER(COS(PI()*MOD(Calculator!$B$34/Calculator!$F$18,1)),2)))/$C48,$C48/(50*POWER(80,POWER(COS(PI()*MOD(Calculator!$B$34/Calculator!$F$18,1)),2)))),2))</f>
        <v>5.79</v>
      </c>
      <c r="BH48" s="99" t="n">
        <f aca="false">IF(OR(Calculator!$E$19&lt;&gt;"YES",Calculator!$B$34&lt;Calculator!$G$19),"—",ROUND(MAX((50*POWER(80,POWER(COS(PI()*MOD(Calculator!$B$34/Calculator!$F$19,1)),2)))/$C48,$C48/(50*POWER(80,POWER(COS(PI()*MOD(Calculator!$B$34/Calculator!$F$19,1)),2)))),2))</f>
        <v>6.44</v>
      </c>
      <c r="BI48" s="99" t="n">
        <f aca="false">IF(OR(Calculator!$E$20&lt;&gt;"YES",Calculator!$B$34&lt;Calculator!$G$20),"—",ROUND(MAX((50*POWER(80,POWER(COS(PI()*MOD(Calculator!$B$34/Calculator!$F$20,1)),2)))/$C48,$C48/(50*POWER(80,POWER(COS(PI()*MOD(Calculator!$B$34/Calculator!$F$20,1)),2)))),2))</f>
        <v>3.84</v>
      </c>
      <c r="BJ48" s="99" t="str">
        <f aca="false">IF(OR(Calculator!$E$21&lt;&gt;"YES",Calculator!$B$34&lt;Calculator!$G$21),"—",ROUND(MAX((50*POWER(80,POWER(COS(PI()*MOD(Calculator!$B$34/Calculator!$F$21,1)),2)))/$C48,$C48/(50*POWER(80,POWER(COS(PI()*MOD(Calculator!$B$34/Calculator!$F$21,1)),2)))),2))</f>
        <v>—</v>
      </c>
      <c r="BK48" s="98" t="n">
        <f aca="false">IFERROR(ROUND((IF(ISNUMBER(AZ48),AZ48,0)+IF(ISNUMBER(BA48),BA48,0)+IF(ISNUMBER(BB48),BB48,0)+IF(ISNUMBER(BC48),BC48,0)+IF(ISNUMBER(BD48),BD48,0)+IF(ISNUMBER(BE48),BE48,0)+IF(ISNUMBER(BF48),BF48,0)+IF(ISNUMBER(BG48),BG48,0)+IF(ISNUMBER(BH48),BH48,0)+IF(ISNUMBER(BI48),BI48,0)+IF(ISNUMBER(BJ48),BJ48,0))/(IF(ISNUMBER(AZ48),1,0)+IF(ISNUMBER(BA48),1,0)+IF(ISNUMBER(BB48),1,0)+IF(ISNUMBER(BC48),1,0)+IF(ISNUMBER(BD48),1,0)+IF(ISNUMBER(BE48),1,0)+IF(ISNUMBER(BF48),1,0)+IF(ISNUMBER(BG48),1,0)+IF(ISNUMBER(BH48),1,0)+IF(ISNUMBER(BI48),1,0)+IF(ISNUMBER(BJ48),1,0)),2),"")</f>
        <v>3.7</v>
      </c>
    </row>
    <row r="49" customFormat="false" ht="15" hidden="false" customHeight="false" outlineLevel="0" collapsed="false">
      <c r="A49" s="74" t="s">
        <v>100</v>
      </c>
      <c r="B49" s="74" t="s">
        <v>86</v>
      </c>
      <c r="C49" s="77" t="n">
        <v>850</v>
      </c>
      <c r="D49" s="78" t="str">
        <f aca="false">IF(OR(Calculator!$E$11&lt;&gt;"YES",Calculator!$B$30&lt;Calculator!$G$11),"—",ROUND(MAX((50*POWER(80,POWER(COS(PI()*MOD(Calculator!$B$30/Calculator!$F$11,1)),2)))/$C49,$C49/(50*POWER(80,POWER(COS(PI()*MOD(Calculator!$B$30/Calculator!$F$11,1)),2)))),2))</f>
        <v>—</v>
      </c>
      <c r="E49" s="78" t="str">
        <f aca="false">IF(OR(Calculator!$E$12&lt;&gt;"YES",Calculator!$B$30&lt;Calculator!$G$12),"—",ROUND(MAX((50*POWER(80,POWER(COS(PI()*MOD(Calculator!$B$30/Calculator!$F$12,1)),2)))/$C49,$C49/(50*POWER(80,POWER(COS(PI()*MOD(Calculator!$B$30/Calculator!$F$12,1)),2)))),2))</f>
        <v>—</v>
      </c>
      <c r="F49" s="78" t="str">
        <f aca="false">IF(OR(Calculator!$E$13&lt;&gt;"YES",Calculator!$B$30&lt;Calculator!$G$13),"—",ROUND(MAX((50*POWER(80,POWER(COS(PI()*MOD(Calculator!$B$30/Calculator!$F$13,1)),2)))/$C49,$C49/(50*POWER(80,POWER(COS(PI()*MOD(Calculator!$B$30/Calculator!$F$13,1)),2)))),2))</f>
        <v>—</v>
      </c>
      <c r="G49" s="78" t="n">
        <f aca="false">IF(OR(Calculator!$E$14&lt;&gt;"YES",Calculator!$B$30&lt;Calculator!$G$14),"—",ROUND(MAX((50*POWER(80,POWER(COS(PI()*MOD(Calculator!$B$30/Calculator!$F$14,1)),2)))/$C49,$C49/(50*POWER(80,POWER(COS(PI()*MOD(Calculator!$B$30/Calculator!$F$14,1)),2)))),2))</f>
        <v>7.68</v>
      </c>
      <c r="H49" s="78" t="n">
        <f aca="false">IF(OR(Calculator!$E$15&lt;&gt;"YES",Calculator!$B$30&lt;Calculator!$G$15),"—",ROUND(MAX((50*POWER(80,POWER(COS(PI()*MOD(Calculator!$B$30/Calculator!$F$15,1)),2)))/$C49,$C49/(50*POWER(80,POWER(COS(PI()*MOD(Calculator!$B$30/Calculator!$F$15,1)),2)))),2))</f>
        <v>2.23</v>
      </c>
      <c r="I49" s="78" t="n">
        <f aca="false">IF(OR(Calculator!$E$16&lt;&gt;"YES",Calculator!$B$30&lt;Calculator!$G$16),"—",ROUND(MAX((50*POWER(80,POWER(COS(PI()*MOD(Calculator!$B$30/Calculator!$F$16,1)),2)))/$C49,$C49/(50*POWER(80,POWER(COS(PI()*MOD(Calculator!$B$30/Calculator!$F$16,1)),2)))),2))</f>
        <v>1.52</v>
      </c>
      <c r="J49" s="78" t="n">
        <f aca="false">IF(OR(Calculator!$E$17&lt;&gt;"YES",Calculator!$B$30&lt;Calculator!$G$17),"—",ROUND(MAX((50*POWER(80,POWER(COS(PI()*MOD(Calculator!$B$30/Calculator!$F$17,1)),2)))/$C49,$C49/(50*POWER(80,POWER(COS(PI()*MOD(Calculator!$B$30/Calculator!$F$17,1)),2)))),2))</f>
        <v>4.27</v>
      </c>
      <c r="K49" s="78" t="n">
        <f aca="false">IF(OR(Calculator!$E$18&lt;&gt;"YES",Calculator!$B$30&lt;Calculator!$G$18),"—",ROUND(MAX((50*POWER(80,POWER(COS(PI()*MOD(Calculator!$B$30/Calculator!$F$18,1)),2)))/$C49,$C49/(50*POWER(80,POWER(COS(PI()*MOD(Calculator!$B$30/Calculator!$F$18,1)),2)))),2))</f>
        <v>1.64</v>
      </c>
      <c r="L49" s="78" t="n">
        <f aca="false">IF(OR(Calculator!$E$19&lt;&gt;"YES",Calculator!$B$30&lt;Calculator!$G$19),"—",ROUND(MAX((50*POWER(80,POWER(COS(PI()*MOD(Calculator!$B$30/Calculator!$F$19,1)),2)))/$C49,$C49/(50*POWER(80,POWER(COS(PI()*MOD(Calculator!$B$30/Calculator!$F$19,1)),2)))),2))</f>
        <v>1.08</v>
      </c>
      <c r="M49" s="78" t="n">
        <f aca="false">IF(OR(Calculator!$E$20&lt;&gt;"YES",Calculator!$B$30&lt;Calculator!$G$20),"—",ROUND(MAX((50*POWER(80,POWER(COS(PI()*MOD(Calculator!$B$30/Calculator!$F$20,1)),2)))/$C49,$C49/(50*POWER(80,POWER(COS(PI()*MOD(Calculator!$B$30/Calculator!$F$20,1)),2)))),2))</f>
        <v>6.71</v>
      </c>
      <c r="N49" s="78" t="str">
        <f aca="false">IF(OR(Calculator!$E$21&lt;&gt;"YES",Calculator!$B$30&lt;Calculator!$G$21),"—",ROUND(MAX((50*POWER(80,POWER(COS(PI()*MOD(Calculator!$B$30/Calculator!$F$21,1)),2)))/$C49,$C49/(50*POWER(80,POWER(COS(PI()*MOD(Calculator!$B$30/Calculator!$F$21,1)),2)))),2))</f>
        <v>—</v>
      </c>
      <c r="O49" s="100" t="n">
        <f aca="false">IFERROR(ROUND((IF(ISNUMBER(D49),D49,0)+IF(ISNUMBER(E49),E49,0)+IF(ISNUMBER(F49),F49,0)+IF(ISNUMBER(G49),G49,0)+IF(ISNUMBER(H49),H49,0)+IF(ISNUMBER(I49),I49,0)+IF(ISNUMBER(J49),J49,0)+IF(ISNUMBER(K49),K49,0)+IF(ISNUMBER(L49),L49,0)+IF(ISNUMBER(M49),M49,0)+IF(ISNUMBER(N49),N49,0))/(IF(ISNUMBER(D49),1,0)+IF(ISNUMBER(E49),1,0)+IF(ISNUMBER(F49),1,0)+IF(ISNUMBER(G49),1,0)+IF(ISNUMBER(H49),1,0)+IF(ISNUMBER(I49),1,0)+IF(ISNUMBER(J49),1,0)+IF(ISNUMBER(K49),1,0)+IF(ISNUMBER(L49),1,0)+IF(ISNUMBER(M49),1,0)+IF(ISNUMBER(N49),1,0)),2),"")</f>
        <v>3.59</v>
      </c>
      <c r="P49" s="78" t="str">
        <f aca="false">IF(OR(Calculator!$E$11&lt;&gt;"YES",Calculator!$B$31&lt;Calculator!$G$11),"—",ROUND(MAX((50*POWER(80,POWER(COS(PI()*MOD(Calculator!$B$31/Calculator!$F$11,1)),2)))/$C49,$C49/(50*POWER(80,POWER(COS(PI()*MOD(Calculator!$B$31/Calculator!$F$11,1)),2)))),2))</f>
        <v>—</v>
      </c>
      <c r="Q49" s="78" t="str">
        <f aca="false">IF(OR(Calculator!$E$12&lt;&gt;"YES",Calculator!$B$31&lt;Calculator!$G$12),"—",ROUND(MAX((50*POWER(80,POWER(COS(PI()*MOD(Calculator!$B$31/Calculator!$F$12,1)),2)))/$C49,$C49/(50*POWER(80,POWER(COS(PI()*MOD(Calculator!$B$31/Calculator!$F$12,1)),2)))),2))</f>
        <v>—</v>
      </c>
      <c r="R49" s="78" t="str">
        <f aca="false">IF(OR(Calculator!$E$13&lt;&gt;"YES",Calculator!$B$31&lt;Calculator!$G$13),"—",ROUND(MAX((50*POWER(80,POWER(COS(PI()*MOD(Calculator!$B$31/Calculator!$F$13,1)),2)))/$C49,$C49/(50*POWER(80,POWER(COS(PI()*MOD(Calculator!$B$31/Calculator!$F$13,1)),2)))),2))</f>
        <v>—</v>
      </c>
      <c r="S49" s="78" t="n">
        <f aca="false">IF(OR(Calculator!$E$14&lt;&gt;"YES",Calculator!$B$31&lt;Calculator!$G$14),"—",ROUND(MAX((50*POWER(80,POWER(COS(PI()*MOD(Calculator!$B$31/Calculator!$F$14,1)),2)))/$C49,$C49/(50*POWER(80,POWER(COS(PI()*MOD(Calculator!$B$31/Calculator!$F$14,1)),2)))),2))</f>
        <v>7.86</v>
      </c>
      <c r="T49" s="78" t="n">
        <f aca="false">IF(OR(Calculator!$E$15&lt;&gt;"YES",Calculator!$B$31&lt;Calculator!$G$15),"—",ROUND(MAX((50*POWER(80,POWER(COS(PI()*MOD(Calculator!$B$31/Calculator!$F$15,1)),2)))/$C49,$C49/(50*POWER(80,POWER(COS(PI()*MOD(Calculator!$B$31/Calculator!$F$15,1)),2)))),2))</f>
        <v>4.79</v>
      </c>
      <c r="U49" s="78" t="n">
        <f aca="false">IF(OR(Calculator!$E$16&lt;&gt;"YES",Calculator!$B$31&lt;Calculator!$G$16),"—",ROUND(MAX((50*POWER(80,POWER(COS(PI()*MOD(Calculator!$B$31/Calculator!$F$16,1)),2)))/$C49,$C49/(50*POWER(80,POWER(COS(PI()*MOD(Calculator!$B$31/Calculator!$F$16,1)),2)))),2))</f>
        <v>1.82</v>
      </c>
      <c r="V49" s="78" t="n">
        <f aca="false">IF(OR(Calculator!$E$17&lt;&gt;"YES",Calculator!$B$31&lt;Calculator!$G$17),"—",ROUND(MAX((50*POWER(80,POWER(COS(PI()*MOD(Calculator!$B$31/Calculator!$F$17,1)),2)))/$C49,$C49/(50*POWER(80,POWER(COS(PI()*MOD(Calculator!$B$31/Calculator!$F$17,1)),2)))),2))</f>
        <v>1.9</v>
      </c>
      <c r="W49" s="78" t="n">
        <f aca="false">IF(OR(Calculator!$E$18&lt;&gt;"YES",Calculator!$B$31&lt;Calculator!$G$18),"—",ROUND(MAX((50*POWER(80,POWER(COS(PI()*MOD(Calculator!$B$31/Calculator!$F$18,1)),2)))/$C49,$C49/(50*POWER(80,POWER(COS(PI()*MOD(Calculator!$B$31/Calculator!$F$18,1)),2)))),2))</f>
        <v>2.17</v>
      </c>
      <c r="X49" s="78" t="n">
        <f aca="false">IF(OR(Calculator!$E$19&lt;&gt;"YES",Calculator!$B$31&lt;Calculator!$G$19),"—",ROUND(MAX((50*POWER(80,POWER(COS(PI()*MOD(Calculator!$B$31/Calculator!$F$19,1)),2)))/$C49,$C49/(50*POWER(80,POWER(COS(PI()*MOD(Calculator!$B$31/Calculator!$F$19,1)),2)))),2))</f>
        <v>3.16</v>
      </c>
      <c r="Y49" s="78" t="n">
        <f aca="false">IF(OR(Calculator!$E$20&lt;&gt;"YES",Calculator!$B$31&lt;Calculator!$G$20),"—",ROUND(MAX((50*POWER(80,POWER(COS(PI()*MOD(Calculator!$B$31/Calculator!$F$20,1)),2)))/$C49,$C49/(50*POWER(80,POWER(COS(PI()*MOD(Calculator!$B$31/Calculator!$F$20,1)),2)))),2))</f>
        <v>10.43</v>
      </c>
      <c r="Z49" s="78" t="str">
        <f aca="false">IF(OR(Calculator!$E$21&lt;&gt;"YES",Calculator!$B$31&lt;Calculator!$G$21),"—",ROUND(MAX((50*POWER(80,POWER(COS(PI()*MOD(Calculator!$B$31/Calculator!$F$21,1)),2)))/$C49,$C49/(50*POWER(80,POWER(COS(PI()*MOD(Calculator!$B$31/Calculator!$F$21,1)),2)))),2))</f>
        <v>—</v>
      </c>
      <c r="AA49" s="100" t="n">
        <f aca="false">IFERROR(ROUND((IF(ISNUMBER(P49),P49,0)+IF(ISNUMBER(Q49),Q49,0)+IF(ISNUMBER(R49),R49,0)+IF(ISNUMBER(S49),S49,0)+IF(ISNUMBER(T49),T49,0)+IF(ISNUMBER(U49),U49,0)+IF(ISNUMBER(V49),V49,0)+IF(ISNUMBER(W49),W49,0)+IF(ISNUMBER(X49),X49,0)+IF(ISNUMBER(Y49),Y49,0)+IF(ISNUMBER(Z49),Z49,0))/(IF(ISNUMBER(P49),1,0)+IF(ISNUMBER(Q49),1,0)+IF(ISNUMBER(R49),1,0)+IF(ISNUMBER(S49),1,0)+IF(ISNUMBER(T49),1,0)+IF(ISNUMBER(U49),1,0)+IF(ISNUMBER(V49),1,0)+IF(ISNUMBER(W49),1,0)+IF(ISNUMBER(X49),1,0)+IF(ISNUMBER(Y49),1,0)+IF(ISNUMBER(Z49),1,0)),2),"")</f>
        <v>4.59</v>
      </c>
      <c r="AB49" s="78" t="str">
        <f aca="false">IF(OR(Calculator!$E$11&lt;&gt;"YES",Calculator!$B$32&lt;Calculator!$G$11),"—",ROUND(MAX((50*POWER(80,POWER(COS(PI()*MOD(Calculator!$B$32/Calculator!$F$11,1)),2)))/$C49,$C49/(50*POWER(80,POWER(COS(PI()*MOD(Calculator!$B$32/Calculator!$F$11,1)),2)))),2))</f>
        <v>—</v>
      </c>
      <c r="AC49" s="78" t="str">
        <f aca="false">IF(OR(Calculator!$E$12&lt;&gt;"YES",Calculator!$B$32&lt;Calculator!$G$12),"—",ROUND(MAX((50*POWER(80,POWER(COS(PI()*MOD(Calculator!$B$32/Calculator!$F$12,1)),2)))/$C49,$C49/(50*POWER(80,POWER(COS(PI()*MOD(Calculator!$B$32/Calculator!$F$12,1)),2)))),2))</f>
        <v>—</v>
      </c>
      <c r="AD49" s="78" t="str">
        <f aca="false">IF(OR(Calculator!$E$13&lt;&gt;"YES",Calculator!$B$32&lt;Calculator!$G$13),"—",ROUND(MAX((50*POWER(80,POWER(COS(PI()*MOD(Calculator!$B$32/Calculator!$F$13,1)),2)))/$C49,$C49/(50*POWER(80,POWER(COS(PI()*MOD(Calculator!$B$32/Calculator!$F$13,1)),2)))),2))</f>
        <v>—</v>
      </c>
      <c r="AE49" s="78" t="n">
        <f aca="false">IF(OR(Calculator!$E$14&lt;&gt;"YES",Calculator!$B$32&lt;Calculator!$G$14),"—",ROUND(MAX((50*POWER(80,POWER(COS(PI()*MOD(Calculator!$B$32/Calculator!$F$14,1)),2)))/$C49,$C49/(50*POWER(80,POWER(COS(PI()*MOD(Calculator!$B$32/Calculator!$F$14,1)),2)))),2))</f>
        <v>4.97</v>
      </c>
      <c r="AF49" s="78" t="n">
        <f aca="false">IF(OR(Calculator!$E$15&lt;&gt;"YES",Calculator!$B$32&lt;Calculator!$G$15),"—",ROUND(MAX((50*POWER(80,POWER(COS(PI()*MOD(Calculator!$B$32/Calculator!$F$15,1)),2)))/$C49,$C49/(50*POWER(80,POWER(COS(PI()*MOD(Calculator!$B$32/Calculator!$F$15,1)),2)))),2))</f>
        <v>3.21</v>
      </c>
      <c r="AG49" s="78" t="n">
        <f aca="false">IF(OR(Calculator!$E$16&lt;&gt;"YES",Calculator!$B$32&lt;Calculator!$G$16),"—",ROUND(MAX((50*POWER(80,POWER(COS(PI()*MOD(Calculator!$B$32/Calculator!$F$16,1)),2)))/$C49,$C49/(50*POWER(80,POWER(COS(PI()*MOD(Calculator!$B$32/Calculator!$F$16,1)),2)))),2))</f>
        <v>10.84</v>
      </c>
      <c r="AH49" s="78" t="n">
        <f aca="false">IF(OR(Calculator!$E$17&lt;&gt;"YES",Calculator!$B$32&lt;Calculator!$G$17),"—",ROUND(MAX((50*POWER(80,POWER(COS(PI()*MOD(Calculator!$B$32/Calculator!$F$17,1)),2)))/$C49,$C49/(50*POWER(80,POWER(COS(PI()*MOD(Calculator!$B$32/Calculator!$F$17,1)),2)))),2))</f>
        <v>2.71</v>
      </c>
      <c r="AI49" s="78" t="n">
        <f aca="false">IF(OR(Calculator!$E$18&lt;&gt;"YES",Calculator!$B$32&lt;Calculator!$G$18),"—",ROUND(MAX((50*POWER(80,POWER(COS(PI()*MOD(Calculator!$B$32/Calculator!$F$18,1)),2)))/$C49,$C49/(50*POWER(80,POWER(COS(PI()*MOD(Calculator!$B$32/Calculator!$F$18,1)),2)))),2))</f>
        <v>2.94</v>
      </c>
      <c r="AJ49" s="78" t="n">
        <f aca="false">IF(OR(Calculator!$E$19&lt;&gt;"YES",Calculator!$B$32&lt;Calculator!$G$19),"—",ROUND(MAX((50*POWER(80,POWER(COS(PI()*MOD(Calculator!$B$32/Calculator!$F$19,1)),2)))/$C49,$C49/(50*POWER(80,POWER(COS(PI()*MOD(Calculator!$B$32/Calculator!$F$19,1)),2)))),2))</f>
        <v>3.09</v>
      </c>
      <c r="AK49" s="78" t="n">
        <f aca="false">IF(OR(Calculator!$E$20&lt;&gt;"YES",Calculator!$B$32&lt;Calculator!$G$20),"—",ROUND(MAX((50*POWER(80,POWER(COS(PI()*MOD(Calculator!$B$32/Calculator!$F$20,1)),2)))/$C49,$C49/(50*POWER(80,POWER(COS(PI()*MOD(Calculator!$B$32/Calculator!$F$20,1)),2)))),2))</f>
        <v>8.52</v>
      </c>
      <c r="AL49" s="78" t="str">
        <f aca="false">IF(OR(Calculator!$E$21&lt;&gt;"YES",Calculator!$B$32&lt;Calculator!$G$21),"—",ROUND(MAX((50*POWER(80,POWER(COS(PI()*MOD(Calculator!$B$32/Calculator!$F$21,1)),2)))/$C49,$C49/(50*POWER(80,POWER(COS(PI()*MOD(Calculator!$B$32/Calculator!$F$21,1)),2)))),2))</f>
        <v>—</v>
      </c>
      <c r="AM49" s="101" t="n">
        <f aca="false">IFERROR(ROUND((IF(ISNUMBER(AB49),AB49,0)+IF(ISNUMBER(AC49),AC49,0)+IF(ISNUMBER(AD49),AD49,0)+IF(ISNUMBER(AE49),AE49,0)+IF(ISNUMBER(AF49),AF49,0)+IF(ISNUMBER(AG49),AG49,0)+IF(ISNUMBER(AH49),AH49,0)+IF(ISNUMBER(AI49),AI49,0)+IF(ISNUMBER(AJ49),AJ49,0)+IF(ISNUMBER(AK49),AK49,0)+IF(ISNUMBER(AL49),AL49,0))/(IF(ISNUMBER(AB49),1,0)+IF(ISNUMBER(AC49),1,0)+IF(ISNUMBER(AD49),1,0)+IF(ISNUMBER(AE49),1,0)+IF(ISNUMBER(AF49),1,0)+IF(ISNUMBER(AG49),1,0)+IF(ISNUMBER(AH49),1,0)+IF(ISNUMBER(AI49),1,0)+IF(ISNUMBER(AJ49),1,0)+IF(ISNUMBER(AK49),1,0)+IF(ISNUMBER(AL49),1,0)),2),"")</f>
        <v>5.18</v>
      </c>
      <c r="AN49" s="102" t="str">
        <f aca="false">IF(OR(Calculator!$E$11&lt;&gt;"YES",Calculator!$B$33&lt;Calculator!$G$11),"—",ROUND(MAX((50*POWER(80,POWER(COS(PI()*MOD(Calculator!$B$33/Calculator!$F$11,1)),2)))/$C49,$C49/(50*POWER(80,POWER(COS(PI()*MOD(Calculator!$B$33/Calculator!$F$11,1)),2)))),2))</f>
        <v>—</v>
      </c>
      <c r="AO49" s="102" t="str">
        <f aca="false">IF(OR(Calculator!$E$12&lt;&gt;"YES",Calculator!$B$33&lt;Calculator!$G$12),"—",ROUND(MAX((50*POWER(80,POWER(COS(PI()*MOD(Calculator!$B$33/Calculator!$F$12,1)),2)))/$C49,$C49/(50*POWER(80,POWER(COS(PI()*MOD(Calculator!$B$33/Calculator!$F$12,1)),2)))),2))</f>
        <v>—</v>
      </c>
      <c r="AP49" s="102" t="str">
        <f aca="false">IF(OR(Calculator!$E$13&lt;&gt;"YES",Calculator!$B$33&lt;Calculator!$G$13),"—",ROUND(MAX((50*POWER(80,POWER(COS(PI()*MOD(Calculator!$B$33/Calculator!$F$13,1)),2)))/$C49,$C49/(50*POWER(80,POWER(COS(PI()*MOD(Calculator!$B$33/Calculator!$F$13,1)),2)))),2))</f>
        <v>—</v>
      </c>
      <c r="AQ49" s="102" t="n">
        <f aca="false">IF(OR(Calculator!$E$14&lt;&gt;"YES",Calculator!$B$33&lt;Calculator!$G$14),"—",ROUND(MAX((50*POWER(80,POWER(COS(PI()*MOD(Calculator!$B$33/Calculator!$F$14,1)),2)))/$C49,$C49/(50*POWER(80,POWER(COS(PI()*MOD(Calculator!$B$33/Calculator!$F$14,1)),2)))),2))</f>
        <v>3.21</v>
      </c>
      <c r="AR49" s="102" t="n">
        <f aca="false">IF(OR(Calculator!$E$15&lt;&gt;"YES",Calculator!$B$33&lt;Calculator!$G$15),"—",ROUND(MAX((50*POWER(80,POWER(COS(PI()*MOD(Calculator!$B$33/Calculator!$F$15,1)),2)))/$C49,$C49/(50*POWER(80,POWER(COS(PI()*MOD(Calculator!$B$33/Calculator!$F$15,1)),2)))),2))</f>
        <v>2.9</v>
      </c>
      <c r="AS49" s="102" t="n">
        <f aca="false">IF(OR(Calculator!$E$16&lt;&gt;"YES",Calculator!$B$33&lt;Calculator!$G$16),"—",ROUND(MAX((50*POWER(80,POWER(COS(PI()*MOD(Calculator!$B$33/Calculator!$F$16,1)),2)))/$C49,$C49/(50*POWER(80,POWER(COS(PI()*MOD(Calculator!$B$33/Calculator!$F$16,1)),2)))),2))</f>
        <v>1.06</v>
      </c>
      <c r="AT49" s="102" t="n">
        <f aca="false">IF(OR(Calculator!$E$17&lt;&gt;"YES",Calculator!$B$33&lt;Calculator!$G$17),"—",ROUND(MAX((50*POWER(80,POWER(COS(PI()*MOD(Calculator!$B$33/Calculator!$F$17,1)),2)))/$C49,$C49/(50*POWER(80,POWER(COS(PI()*MOD(Calculator!$B$33/Calculator!$F$17,1)),2)))),2))</f>
        <v>3.36</v>
      </c>
      <c r="AU49" s="102" t="n">
        <f aca="false">IF(OR(Calculator!$E$18&lt;&gt;"YES",Calculator!$B$33&lt;Calculator!$G$18),"—",ROUND(MAX((50*POWER(80,POWER(COS(PI()*MOD(Calculator!$B$33/Calculator!$F$18,1)),2)))/$C49,$C49/(50*POWER(80,POWER(COS(PI()*MOD(Calculator!$B$33/Calculator!$F$18,1)),2)))),2))</f>
        <v>4.54</v>
      </c>
      <c r="AV49" s="102" t="n">
        <f aca="false">IF(OR(Calculator!$E$19&lt;&gt;"YES",Calculator!$B$33&lt;Calculator!$G$19),"—",ROUND(MAX((50*POWER(80,POWER(COS(PI()*MOD(Calculator!$B$33/Calculator!$F$19,1)),2)))/$C49,$C49/(50*POWER(80,POWER(COS(PI()*MOD(Calculator!$B$33/Calculator!$F$19,1)),2)))),2))</f>
        <v>1.81</v>
      </c>
      <c r="AW49" s="102" t="n">
        <f aca="false">IF(OR(Calculator!$E$20&lt;&gt;"YES",Calculator!$B$33&lt;Calculator!$G$20),"—",ROUND(MAX((50*POWER(80,POWER(COS(PI()*MOD(Calculator!$B$33/Calculator!$F$20,1)),2)))/$C49,$C49/(50*POWER(80,POWER(COS(PI()*MOD(Calculator!$B$33/Calculator!$F$20,1)),2)))),2))</f>
        <v>6.94</v>
      </c>
      <c r="AX49" s="102" t="str">
        <f aca="false">IF(OR(Calculator!$E$21&lt;&gt;"YES",Calculator!$B$33&lt;Calculator!$G$21),"—",ROUND(MAX((50*POWER(80,POWER(COS(PI()*MOD(Calculator!$B$33/Calculator!$F$21,1)),2)))/$C49,$C49/(50*POWER(80,POWER(COS(PI()*MOD(Calculator!$B$33/Calculator!$F$21,1)),2)))),2))</f>
        <v>—</v>
      </c>
      <c r="AY49" s="101" t="n">
        <f aca="false">IFERROR(ROUND((IF(ISNUMBER(AN49),AN49,0)+IF(ISNUMBER(AO49),AO49,0)+IF(ISNUMBER(AP49),AP49,0)+IF(ISNUMBER(AQ49),AQ49,0)+IF(ISNUMBER(AR49),AR49,0)+IF(ISNUMBER(AS49),AS49,0)+IF(ISNUMBER(AT49),AT49,0)+IF(ISNUMBER(AU49),AU49,0)+IF(ISNUMBER(AV49),AV49,0)+IF(ISNUMBER(AW49),AW49,0)+IF(ISNUMBER(AX49),AX49,0))/(IF(ISNUMBER(AN49),1,0)+IF(ISNUMBER(AO49),1,0)+IF(ISNUMBER(AP49),1,0)+IF(ISNUMBER(AQ49),1,0)+IF(ISNUMBER(AR49),1,0)+IF(ISNUMBER(AS49),1,0)+IF(ISNUMBER(AT49),1,0)+IF(ISNUMBER(AU49),1,0)+IF(ISNUMBER(AV49),1,0)+IF(ISNUMBER(AW49),1,0)+IF(ISNUMBER(AX49),1,0)),2),"")</f>
        <v>3.4</v>
      </c>
      <c r="AZ49" s="102" t="str">
        <f aca="false">IF(OR(Calculator!$E$11&lt;&gt;"YES",Calculator!$B$34&lt;Calculator!$G$11),"—",ROUND(MAX((50*POWER(80,POWER(COS(PI()*MOD(Calculator!$B$34/Calculator!$F$11,1)),2)))/$C49,$C49/(50*POWER(80,POWER(COS(PI()*MOD(Calculator!$B$34/Calculator!$F$11,1)),2)))),2))</f>
        <v>—</v>
      </c>
      <c r="BA49" s="102" t="str">
        <f aca="false">IF(OR(Calculator!$E$12&lt;&gt;"YES",Calculator!$B$34&lt;Calculator!$G$12),"—",ROUND(MAX((50*POWER(80,POWER(COS(PI()*MOD(Calculator!$B$34/Calculator!$F$12,1)),2)))/$C49,$C49/(50*POWER(80,POWER(COS(PI()*MOD(Calculator!$B$34/Calculator!$F$12,1)),2)))),2))</f>
        <v>—</v>
      </c>
      <c r="BB49" s="102" t="str">
        <f aca="false">IF(OR(Calculator!$E$13&lt;&gt;"YES",Calculator!$B$34&lt;Calculator!$G$13),"—",ROUND(MAX((50*POWER(80,POWER(COS(PI()*MOD(Calculator!$B$34/Calculator!$F$13,1)),2)))/$C49,$C49/(50*POWER(80,POWER(COS(PI()*MOD(Calculator!$B$34/Calculator!$F$13,1)),2)))),2))</f>
        <v>—</v>
      </c>
      <c r="BC49" s="102" t="n">
        <f aca="false">IF(OR(Calculator!$E$14&lt;&gt;"YES",Calculator!$B$34&lt;Calculator!$G$14),"—",ROUND(MAX((50*POWER(80,POWER(COS(PI()*MOD(Calculator!$B$34/Calculator!$F$14,1)),2)))/$C49,$C49/(50*POWER(80,POWER(COS(PI()*MOD(Calculator!$B$34/Calculator!$F$14,1)),2)))),2))</f>
        <v>3.26</v>
      </c>
      <c r="BD49" s="102" t="n">
        <f aca="false">IF(OR(Calculator!$E$15&lt;&gt;"YES",Calculator!$B$34&lt;Calculator!$G$15),"—",ROUND(MAX((50*POWER(80,POWER(COS(PI()*MOD(Calculator!$B$34/Calculator!$F$15,1)),2)))/$C49,$C49/(50*POWER(80,POWER(COS(PI()*MOD(Calculator!$B$34/Calculator!$F$15,1)),2)))),2))</f>
        <v>3.74</v>
      </c>
      <c r="BE49" s="102" t="n">
        <f aca="false">IF(OR(Calculator!$E$16&lt;&gt;"YES",Calculator!$B$34&lt;Calculator!$G$16),"—",ROUND(MAX((50*POWER(80,POWER(COS(PI()*MOD(Calculator!$B$34/Calculator!$F$16,1)),2)))/$C49,$C49/(50*POWER(80,POWER(COS(PI()*MOD(Calculator!$B$34/Calculator!$F$16,1)),2)))),2))</f>
        <v>1.26</v>
      </c>
      <c r="BF49" s="102" t="n">
        <f aca="false">IF(OR(Calculator!$E$17&lt;&gt;"YES",Calculator!$B$34&lt;Calculator!$G$17),"—",ROUND(MAX((50*POWER(80,POWER(COS(PI()*MOD(Calculator!$B$34/Calculator!$F$17,1)),2)))/$C49,$C49/(50*POWER(80,POWER(COS(PI()*MOD(Calculator!$B$34/Calculator!$F$17,1)),2)))),2))</f>
        <v>1.54</v>
      </c>
      <c r="BG49" s="102" t="n">
        <f aca="false">IF(OR(Calculator!$E$18&lt;&gt;"YES",Calculator!$B$34&lt;Calculator!$G$18),"—",ROUND(MAX((50*POWER(80,POWER(COS(PI()*MOD(Calculator!$B$34/Calculator!$F$18,1)),2)))/$C49,$C49/(50*POWER(80,POWER(COS(PI()*MOD(Calculator!$B$34/Calculator!$F$18,1)),2)))),2))</f>
        <v>6.15</v>
      </c>
      <c r="BH49" s="102" t="n">
        <f aca="false">IF(OR(Calculator!$E$19&lt;&gt;"YES",Calculator!$B$34&lt;Calculator!$G$19),"—",ROUND(MAX((50*POWER(80,POWER(COS(PI()*MOD(Calculator!$B$34/Calculator!$F$19,1)),2)))/$C49,$C49/(50*POWER(80,POWER(COS(PI()*MOD(Calculator!$B$34/Calculator!$F$19,1)),2)))),2))</f>
        <v>6.84</v>
      </c>
      <c r="BI49" s="102" t="n">
        <f aca="false">IF(OR(Calculator!$E$20&lt;&gt;"YES",Calculator!$B$34&lt;Calculator!$G$20),"—",ROUND(MAX((50*POWER(80,POWER(COS(PI()*MOD(Calculator!$B$34/Calculator!$F$20,1)),2)))/$C49,$C49/(50*POWER(80,POWER(COS(PI()*MOD(Calculator!$B$34/Calculator!$F$20,1)),2)))),2))</f>
        <v>4.08</v>
      </c>
      <c r="BJ49" s="102" t="str">
        <f aca="false">IF(OR(Calculator!$E$21&lt;&gt;"YES",Calculator!$B$34&lt;Calculator!$G$21),"—",ROUND(MAX((50*POWER(80,POWER(COS(PI()*MOD(Calculator!$B$34/Calculator!$F$21,1)),2)))/$C49,$C49/(50*POWER(80,POWER(COS(PI()*MOD(Calculator!$B$34/Calculator!$F$21,1)),2)))),2))</f>
        <v>—</v>
      </c>
      <c r="BK49" s="101" t="n">
        <f aca="false">IFERROR(ROUND((IF(ISNUMBER(AZ49),AZ49,0)+IF(ISNUMBER(BA49),BA49,0)+IF(ISNUMBER(BB49),BB49,0)+IF(ISNUMBER(BC49),BC49,0)+IF(ISNUMBER(BD49),BD49,0)+IF(ISNUMBER(BE49),BE49,0)+IF(ISNUMBER(BF49),BF49,0)+IF(ISNUMBER(BG49),BG49,0)+IF(ISNUMBER(BH49),BH49,0)+IF(ISNUMBER(BI49),BI49,0)+IF(ISNUMBER(BJ49),BJ49,0))/(IF(ISNUMBER(AZ49),1,0)+IF(ISNUMBER(BA49),1,0)+IF(ISNUMBER(BB49),1,0)+IF(ISNUMBER(BC49),1,0)+IF(ISNUMBER(BD49),1,0)+IF(ISNUMBER(BE49),1,0)+IF(ISNUMBER(BF49),1,0)+IF(ISNUMBER(BG49),1,0)+IF(ISNUMBER(BH49),1,0)+IF(ISNUMBER(BI49),1,0)+IF(ISNUMBER(BJ49),1,0)),2),"")</f>
        <v>3.84</v>
      </c>
    </row>
    <row r="50" customFormat="false" ht="15" hidden="false" customHeight="false" outlineLevel="0" collapsed="false">
      <c r="A50" s="103" t="s">
        <v>101</v>
      </c>
      <c r="B50" s="103" t="s">
        <v>86</v>
      </c>
      <c r="C50" s="104" t="n">
        <v>900</v>
      </c>
      <c r="D50" s="105" t="str">
        <f aca="false">IF(OR(Calculator!$E$11&lt;&gt;"YES",Calculator!$B$30&lt;Calculator!$G$11),"—",ROUND(MAX((50*POWER(80,POWER(COS(PI()*MOD(Calculator!$B$30/Calculator!$F$11,1)),2)))/$C50,$C50/(50*POWER(80,POWER(COS(PI()*MOD(Calculator!$B$30/Calculator!$F$11,1)),2)))),2))</f>
        <v>—</v>
      </c>
      <c r="E50" s="105" t="str">
        <f aca="false">IF(OR(Calculator!$E$12&lt;&gt;"YES",Calculator!$B$30&lt;Calculator!$G$12),"—",ROUND(MAX((50*POWER(80,POWER(COS(PI()*MOD(Calculator!$B$30/Calculator!$F$12,1)),2)))/$C50,$C50/(50*POWER(80,POWER(COS(PI()*MOD(Calculator!$B$30/Calculator!$F$12,1)),2)))),2))</f>
        <v>—</v>
      </c>
      <c r="F50" s="105" t="str">
        <f aca="false">IF(OR(Calculator!$E$13&lt;&gt;"YES",Calculator!$B$30&lt;Calculator!$G$13),"—",ROUND(MAX((50*POWER(80,POWER(COS(PI()*MOD(Calculator!$B$30/Calculator!$F$13,1)),2)))/$C50,$C50/(50*POWER(80,POWER(COS(PI()*MOD(Calculator!$B$30/Calculator!$F$13,1)),2)))),2))</f>
        <v>—</v>
      </c>
      <c r="G50" s="105" t="n">
        <f aca="false">IF(OR(Calculator!$E$14&lt;&gt;"YES",Calculator!$B$30&lt;Calculator!$G$14),"—",ROUND(MAX((50*POWER(80,POWER(COS(PI()*MOD(Calculator!$B$30/Calculator!$F$14,1)),2)))/$C50,$C50/(50*POWER(80,POWER(COS(PI()*MOD(Calculator!$B$30/Calculator!$F$14,1)),2)))),2))</f>
        <v>8.13</v>
      </c>
      <c r="H50" s="105" t="n">
        <f aca="false">IF(OR(Calculator!$E$15&lt;&gt;"YES",Calculator!$B$30&lt;Calculator!$G$15),"—",ROUND(MAX((50*POWER(80,POWER(COS(PI()*MOD(Calculator!$B$30/Calculator!$F$15,1)),2)))/$C50,$C50/(50*POWER(80,POWER(COS(PI()*MOD(Calculator!$B$30/Calculator!$F$15,1)),2)))),2))</f>
        <v>2.36</v>
      </c>
      <c r="I50" s="105" t="n">
        <f aca="false">IF(OR(Calculator!$E$16&lt;&gt;"YES",Calculator!$B$30&lt;Calculator!$G$16),"—",ROUND(MAX((50*POWER(80,POWER(COS(PI()*MOD(Calculator!$B$30/Calculator!$F$16,1)),2)))/$C50,$C50/(50*POWER(80,POWER(COS(PI()*MOD(Calculator!$B$30/Calculator!$F$16,1)),2)))),2))</f>
        <v>1.61</v>
      </c>
      <c r="J50" s="105" t="n">
        <f aca="false">IF(OR(Calculator!$E$17&lt;&gt;"YES",Calculator!$B$30&lt;Calculator!$G$17),"—",ROUND(MAX((50*POWER(80,POWER(COS(PI()*MOD(Calculator!$B$30/Calculator!$F$17,1)),2)))/$C50,$C50/(50*POWER(80,POWER(COS(PI()*MOD(Calculator!$B$30/Calculator!$F$17,1)),2)))),2))</f>
        <v>4.52</v>
      </c>
      <c r="K50" s="105" t="n">
        <f aca="false">IF(OR(Calculator!$E$18&lt;&gt;"YES",Calculator!$B$30&lt;Calculator!$G$18),"—",ROUND(MAX((50*POWER(80,POWER(COS(PI()*MOD(Calculator!$B$30/Calculator!$F$18,1)),2)))/$C50,$C50/(50*POWER(80,POWER(COS(PI()*MOD(Calculator!$B$30/Calculator!$F$18,1)),2)))),2))</f>
        <v>1.55</v>
      </c>
      <c r="L50" s="105" t="n">
        <f aca="false">IF(OR(Calculator!$E$19&lt;&gt;"YES",Calculator!$B$30&lt;Calculator!$G$19),"—",ROUND(MAX((50*POWER(80,POWER(COS(PI()*MOD(Calculator!$B$30/Calculator!$F$19,1)),2)))/$C50,$C50/(50*POWER(80,POWER(COS(PI()*MOD(Calculator!$B$30/Calculator!$F$19,1)),2)))),2))</f>
        <v>1.15</v>
      </c>
      <c r="M50" s="105" t="n">
        <f aca="false">IF(OR(Calculator!$E$20&lt;&gt;"YES",Calculator!$B$30&lt;Calculator!$G$20),"—",ROUND(MAX((50*POWER(80,POWER(COS(PI()*MOD(Calculator!$B$30/Calculator!$F$20,1)),2)))/$C50,$C50/(50*POWER(80,POWER(COS(PI()*MOD(Calculator!$B$30/Calculator!$F$20,1)),2)))),2))</f>
        <v>7.11</v>
      </c>
      <c r="N50" s="105" t="str">
        <f aca="false">IF(OR(Calculator!$E$21&lt;&gt;"YES",Calculator!$B$30&lt;Calculator!$G$21),"—",ROUND(MAX((50*POWER(80,POWER(COS(PI()*MOD(Calculator!$B$30/Calculator!$F$21,1)),2)))/$C50,$C50/(50*POWER(80,POWER(COS(PI()*MOD(Calculator!$B$30/Calculator!$F$21,1)),2)))),2))</f>
        <v>—</v>
      </c>
      <c r="O50" s="100" t="n">
        <f aca="false">IFERROR(ROUND((IF(ISNUMBER(D50),D50,0)+IF(ISNUMBER(E50),E50,0)+IF(ISNUMBER(F50),F50,0)+IF(ISNUMBER(G50),G50,0)+IF(ISNUMBER(H50),H50,0)+IF(ISNUMBER(I50),I50,0)+IF(ISNUMBER(J50),J50,0)+IF(ISNUMBER(K50),K50,0)+IF(ISNUMBER(L50),L50,0)+IF(ISNUMBER(M50),M50,0)+IF(ISNUMBER(N50),N50,0))/(IF(ISNUMBER(D50),1,0)+IF(ISNUMBER(E50),1,0)+IF(ISNUMBER(F50),1,0)+IF(ISNUMBER(G50),1,0)+IF(ISNUMBER(H50),1,0)+IF(ISNUMBER(I50),1,0)+IF(ISNUMBER(J50),1,0)+IF(ISNUMBER(K50),1,0)+IF(ISNUMBER(L50),1,0)+IF(ISNUMBER(M50),1,0)+IF(ISNUMBER(N50),1,0)),2),"")</f>
        <v>3.78</v>
      </c>
      <c r="P50" s="105" t="str">
        <f aca="false">IF(OR(Calculator!$E$11&lt;&gt;"YES",Calculator!$B$31&lt;Calculator!$G$11),"—",ROUND(MAX((50*POWER(80,POWER(COS(PI()*MOD(Calculator!$B$31/Calculator!$F$11,1)),2)))/$C50,$C50/(50*POWER(80,POWER(COS(PI()*MOD(Calculator!$B$31/Calculator!$F$11,1)),2)))),2))</f>
        <v>—</v>
      </c>
      <c r="Q50" s="105" t="str">
        <f aca="false">IF(OR(Calculator!$E$12&lt;&gt;"YES",Calculator!$B$31&lt;Calculator!$G$12),"—",ROUND(MAX((50*POWER(80,POWER(COS(PI()*MOD(Calculator!$B$31/Calculator!$F$12,1)),2)))/$C50,$C50/(50*POWER(80,POWER(COS(PI()*MOD(Calculator!$B$31/Calculator!$F$12,1)),2)))),2))</f>
        <v>—</v>
      </c>
      <c r="R50" s="105" t="str">
        <f aca="false">IF(OR(Calculator!$E$13&lt;&gt;"YES",Calculator!$B$31&lt;Calculator!$G$13),"—",ROUND(MAX((50*POWER(80,POWER(COS(PI()*MOD(Calculator!$B$31/Calculator!$F$13,1)),2)))/$C50,$C50/(50*POWER(80,POWER(COS(PI()*MOD(Calculator!$B$31/Calculator!$F$13,1)),2)))),2))</f>
        <v>—</v>
      </c>
      <c r="S50" s="105" t="n">
        <f aca="false">IF(OR(Calculator!$E$14&lt;&gt;"YES",Calculator!$B$31&lt;Calculator!$G$14),"—",ROUND(MAX((50*POWER(80,POWER(COS(PI()*MOD(Calculator!$B$31/Calculator!$F$14,1)),2)))/$C50,$C50/(50*POWER(80,POWER(COS(PI()*MOD(Calculator!$B$31/Calculator!$F$14,1)),2)))),2))</f>
        <v>8.33</v>
      </c>
      <c r="T50" s="105" t="n">
        <f aca="false">IF(OR(Calculator!$E$15&lt;&gt;"YES",Calculator!$B$31&lt;Calculator!$G$15),"—",ROUND(MAX((50*POWER(80,POWER(COS(PI()*MOD(Calculator!$B$31/Calculator!$F$15,1)),2)))/$C50,$C50/(50*POWER(80,POWER(COS(PI()*MOD(Calculator!$B$31/Calculator!$F$15,1)),2)))),2))</f>
        <v>5.07</v>
      </c>
      <c r="U50" s="105" t="n">
        <f aca="false">IF(OR(Calculator!$E$16&lt;&gt;"YES",Calculator!$B$31&lt;Calculator!$G$16),"—",ROUND(MAX((50*POWER(80,POWER(COS(PI()*MOD(Calculator!$B$31/Calculator!$F$16,1)),2)))/$C50,$C50/(50*POWER(80,POWER(COS(PI()*MOD(Calculator!$B$31/Calculator!$F$16,1)),2)))),2))</f>
        <v>1.93</v>
      </c>
      <c r="V50" s="105" t="n">
        <f aca="false">IF(OR(Calculator!$E$17&lt;&gt;"YES",Calculator!$B$31&lt;Calculator!$G$17),"—",ROUND(MAX((50*POWER(80,POWER(COS(PI()*MOD(Calculator!$B$31/Calculator!$F$17,1)),2)))/$C50,$C50/(50*POWER(80,POWER(COS(PI()*MOD(Calculator!$B$31/Calculator!$F$17,1)),2)))),2))</f>
        <v>1.8</v>
      </c>
      <c r="W50" s="105" t="n">
        <f aca="false">IF(OR(Calculator!$E$18&lt;&gt;"YES",Calculator!$B$31&lt;Calculator!$G$18),"—",ROUND(MAX((50*POWER(80,POWER(COS(PI()*MOD(Calculator!$B$31/Calculator!$F$18,1)),2)))/$C50,$C50/(50*POWER(80,POWER(COS(PI()*MOD(Calculator!$B$31/Calculator!$F$18,1)),2)))),2))</f>
        <v>2.05</v>
      </c>
      <c r="X50" s="105" t="n">
        <f aca="false">IF(OR(Calculator!$E$19&lt;&gt;"YES",Calculator!$B$31&lt;Calculator!$G$19),"—",ROUND(MAX((50*POWER(80,POWER(COS(PI()*MOD(Calculator!$B$31/Calculator!$F$19,1)),2)))/$C50,$C50/(50*POWER(80,POWER(COS(PI()*MOD(Calculator!$B$31/Calculator!$F$19,1)),2)))),2))</f>
        <v>3.34</v>
      </c>
      <c r="Y50" s="105" t="n">
        <f aca="false">IF(OR(Calculator!$E$20&lt;&gt;"YES",Calculator!$B$31&lt;Calculator!$G$20),"—",ROUND(MAX((50*POWER(80,POWER(COS(PI()*MOD(Calculator!$B$31/Calculator!$F$20,1)),2)))/$C50,$C50/(50*POWER(80,POWER(COS(PI()*MOD(Calculator!$B$31/Calculator!$F$20,1)),2)))),2))</f>
        <v>11.04</v>
      </c>
      <c r="Z50" s="105" t="str">
        <f aca="false">IF(OR(Calculator!$E$21&lt;&gt;"YES",Calculator!$B$31&lt;Calculator!$G$21),"—",ROUND(MAX((50*POWER(80,POWER(COS(PI()*MOD(Calculator!$B$31/Calculator!$F$21,1)),2)))/$C50,$C50/(50*POWER(80,POWER(COS(PI()*MOD(Calculator!$B$31/Calculator!$F$21,1)),2)))),2))</f>
        <v>—</v>
      </c>
      <c r="AA50" s="100" t="n">
        <f aca="false">IFERROR(ROUND((IF(ISNUMBER(P50),P50,0)+IF(ISNUMBER(Q50),Q50,0)+IF(ISNUMBER(R50),R50,0)+IF(ISNUMBER(S50),S50,0)+IF(ISNUMBER(T50),T50,0)+IF(ISNUMBER(U50),U50,0)+IF(ISNUMBER(V50),V50,0)+IF(ISNUMBER(W50),W50,0)+IF(ISNUMBER(X50),X50,0)+IF(ISNUMBER(Y50),Y50,0)+IF(ISNUMBER(Z50),Z50,0))/(IF(ISNUMBER(P50),1,0)+IF(ISNUMBER(Q50),1,0)+IF(ISNUMBER(R50),1,0)+IF(ISNUMBER(S50),1,0)+IF(ISNUMBER(T50),1,0)+IF(ISNUMBER(U50),1,0)+IF(ISNUMBER(V50),1,0)+IF(ISNUMBER(W50),1,0)+IF(ISNUMBER(X50),1,0)+IF(ISNUMBER(Y50),1,0)+IF(ISNUMBER(Z50),1,0)),2),"")</f>
        <v>4.79</v>
      </c>
      <c r="AB50" s="105" t="str">
        <f aca="false">IF(OR(Calculator!$E$11&lt;&gt;"YES",Calculator!$B$32&lt;Calculator!$G$11),"—",ROUND(MAX((50*POWER(80,POWER(COS(PI()*MOD(Calculator!$B$32/Calculator!$F$11,1)),2)))/$C50,$C50/(50*POWER(80,POWER(COS(PI()*MOD(Calculator!$B$32/Calculator!$F$11,1)),2)))),2))</f>
        <v>—</v>
      </c>
      <c r="AC50" s="105" t="str">
        <f aca="false">IF(OR(Calculator!$E$12&lt;&gt;"YES",Calculator!$B$32&lt;Calculator!$G$12),"—",ROUND(MAX((50*POWER(80,POWER(COS(PI()*MOD(Calculator!$B$32/Calculator!$F$12,1)),2)))/$C50,$C50/(50*POWER(80,POWER(COS(PI()*MOD(Calculator!$B$32/Calculator!$F$12,1)),2)))),2))</f>
        <v>—</v>
      </c>
      <c r="AD50" s="105" t="str">
        <f aca="false">IF(OR(Calculator!$E$13&lt;&gt;"YES",Calculator!$B$32&lt;Calculator!$G$13),"—",ROUND(MAX((50*POWER(80,POWER(COS(PI()*MOD(Calculator!$B$32/Calculator!$F$13,1)),2)))/$C50,$C50/(50*POWER(80,POWER(COS(PI()*MOD(Calculator!$B$32/Calculator!$F$13,1)),2)))),2))</f>
        <v>—</v>
      </c>
      <c r="AE50" s="105" t="n">
        <f aca="false">IF(OR(Calculator!$E$14&lt;&gt;"YES",Calculator!$B$32&lt;Calculator!$G$14),"—",ROUND(MAX((50*POWER(80,POWER(COS(PI()*MOD(Calculator!$B$32/Calculator!$F$14,1)),2)))/$C50,$C50/(50*POWER(80,POWER(COS(PI()*MOD(Calculator!$B$32/Calculator!$F$14,1)),2)))),2))</f>
        <v>5.26</v>
      </c>
      <c r="AF50" s="105" t="n">
        <f aca="false">IF(OR(Calculator!$E$15&lt;&gt;"YES",Calculator!$B$32&lt;Calculator!$G$15),"—",ROUND(MAX((50*POWER(80,POWER(COS(PI()*MOD(Calculator!$B$32/Calculator!$F$15,1)),2)))/$C50,$C50/(50*POWER(80,POWER(COS(PI()*MOD(Calculator!$B$32/Calculator!$F$15,1)),2)))),2))</f>
        <v>3.4</v>
      </c>
      <c r="AG50" s="105" t="n">
        <f aca="false">IF(OR(Calculator!$E$16&lt;&gt;"YES",Calculator!$B$32&lt;Calculator!$G$16),"—",ROUND(MAX((50*POWER(80,POWER(COS(PI()*MOD(Calculator!$B$32/Calculator!$F$16,1)),2)))/$C50,$C50/(50*POWER(80,POWER(COS(PI()*MOD(Calculator!$B$32/Calculator!$F$16,1)),2)))),2))</f>
        <v>11.48</v>
      </c>
      <c r="AH50" s="105" t="n">
        <f aca="false">IF(OR(Calculator!$E$17&lt;&gt;"YES",Calculator!$B$32&lt;Calculator!$G$17),"—",ROUND(MAX((50*POWER(80,POWER(COS(PI()*MOD(Calculator!$B$32/Calculator!$F$17,1)),2)))/$C50,$C50/(50*POWER(80,POWER(COS(PI()*MOD(Calculator!$B$32/Calculator!$F$17,1)),2)))),2))</f>
        <v>2.56</v>
      </c>
      <c r="AI50" s="105" t="n">
        <f aca="false">IF(OR(Calculator!$E$18&lt;&gt;"YES",Calculator!$B$32&lt;Calculator!$G$18),"—",ROUND(MAX((50*POWER(80,POWER(COS(PI()*MOD(Calculator!$B$32/Calculator!$F$18,1)),2)))/$C50,$C50/(50*POWER(80,POWER(COS(PI()*MOD(Calculator!$B$32/Calculator!$F$18,1)),2)))),2))</f>
        <v>2.77</v>
      </c>
      <c r="AJ50" s="105" t="n">
        <f aca="false">IF(OR(Calculator!$E$19&lt;&gt;"YES",Calculator!$B$32&lt;Calculator!$G$19),"—",ROUND(MAX((50*POWER(80,POWER(COS(PI()*MOD(Calculator!$B$32/Calculator!$F$19,1)),2)))/$C50,$C50/(50*POWER(80,POWER(COS(PI()*MOD(Calculator!$B$32/Calculator!$F$19,1)),2)))),2))</f>
        <v>2.92</v>
      </c>
      <c r="AK50" s="105" t="n">
        <f aca="false">IF(OR(Calculator!$E$20&lt;&gt;"YES",Calculator!$B$32&lt;Calculator!$G$20),"—",ROUND(MAX((50*POWER(80,POWER(COS(PI()*MOD(Calculator!$B$32/Calculator!$F$20,1)),2)))/$C50,$C50/(50*POWER(80,POWER(COS(PI()*MOD(Calculator!$B$32/Calculator!$F$20,1)),2)))),2))</f>
        <v>9.03</v>
      </c>
      <c r="AL50" s="105" t="str">
        <f aca="false">IF(OR(Calculator!$E$21&lt;&gt;"YES",Calculator!$B$32&lt;Calculator!$G$21),"—",ROUND(MAX((50*POWER(80,POWER(COS(PI()*MOD(Calculator!$B$32/Calculator!$F$21,1)),2)))/$C50,$C50/(50*POWER(80,POWER(COS(PI()*MOD(Calculator!$B$32/Calculator!$F$21,1)),2)))),2))</f>
        <v>—</v>
      </c>
      <c r="AM50" s="101" t="n">
        <f aca="false">IFERROR(ROUND((IF(ISNUMBER(AB50),AB50,0)+IF(ISNUMBER(AC50),AC50,0)+IF(ISNUMBER(AD50),AD50,0)+IF(ISNUMBER(AE50),AE50,0)+IF(ISNUMBER(AF50),AF50,0)+IF(ISNUMBER(AG50),AG50,0)+IF(ISNUMBER(AH50),AH50,0)+IF(ISNUMBER(AI50),AI50,0)+IF(ISNUMBER(AJ50),AJ50,0)+IF(ISNUMBER(AK50),AK50,0)+IF(ISNUMBER(AL50),AL50,0))/(IF(ISNUMBER(AB50),1,0)+IF(ISNUMBER(AC50),1,0)+IF(ISNUMBER(AD50),1,0)+IF(ISNUMBER(AE50),1,0)+IF(ISNUMBER(AF50),1,0)+IF(ISNUMBER(AG50),1,0)+IF(ISNUMBER(AH50),1,0)+IF(ISNUMBER(AI50),1,0)+IF(ISNUMBER(AJ50),1,0)+IF(ISNUMBER(AK50),1,0)+IF(ISNUMBER(AL50),1,0)),2),"")</f>
        <v>5.35</v>
      </c>
      <c r="AN50" s="106" t="str">
        <f aca="false">IF(OR(Calculator!$E$11&lt;&gt;"YES",Calculator!$B$33&lt;Calculator!$G$11),"—",ROUND(MAX((50*POWER(80,POWER(COS(PI()*MOD(Calculator!$B$33/Calculator!$F$11,1)),2)))/$C50,$C50/(50*POWER(80,POWER(COS(PI()*MOD(Calculator!$B$33/Calculator!$F$11,1)),2)))),2))</f>
        <v>—</v>
      </c>
      <c r="AO50" s="106" t="str">
        <f aca="false">IF(OR(Calculator!$E$12&lt;&gt;"YES",Calculator!$B$33&lt;Calculator!$G$12),"—",ROUND(MAX((50*POWER(80,POWER(COS(PI()*MOD(Calculator!$B$33/Calculator!$F$12,1)),2)))/$C50,$C50/(50*POWER(80,POWER(COS(PI()*MOD(Calculator!$B$33/Calculator!$F$12,1)),2)))),2))</f>
        <v>—</v>
      </c>
      <c r="AP50" s="106" t="str">
        <f aca="false">IF(OR(Calculator!$E$13&lt;&gt;"YES",Calculator!$B$33&lt;Calculator!$G$13),"—",ROUND(MAX((50*POWER(80,POWER(COS(PI()*MOD(Calculator!$B$33/Calculator!$F$13,1)),2)))/$C50,$C50/(50*POWER(80,POWER(COS(PI()*MOD(Calculator!$B$33/Calculator!$F$13,1)),2)))),2))</f>
        <v>—</v>
      </c>
      <c r="AQ50" s="106" t="n">
        <f aca="false">IF(OR(Calculator!$E$14&lt;&gt;"YES",Calculator!$B$33&lt;Calculator!$G$14),"—",ROUND(MAX((50*POWER(80,POWER(COS(PI()*MOD(Calculator!$B$33/Calculator!$F$14,1)),2)))/$C50,$C50/(50*POWER(80,POWER(COS(PI()*MOD(Calculator!$B$33/Calculator!$F$14,1)),2)))),2))</f>
        <v>3.03</v>
      </c>
      <c r="AR50" s="106" t="n">
        <f aca="false">IF(OR(Calculator!$E$15&lt;&gt;"YES",Calculator!$B$33&lt;Calculator!$G$15),"—",ROUND(MAX((50*POWER(80,POWER(COS(PI()*MOD(Calculator!$B$33/Calculator!$F$15,1)),2)))/$C50,$C50/(50*POWER(80,POWER(COS(PI()*MOD(Calculator!$B$33/Calculator!$F$15,1)),2)))),2))</f>
        <v>3.07</v>
      </c>
      <c r="AS50" s="106" t="n">
        <f aca="false">IF(OR(Calculator!$E$16&lt;&gt;"YES",Calculator!$B$33&lt;Calculator!$G$16),"—",ROUND(MAX((50*POWER(80,POWER(COS(PI()*MOD(Calculator!$B$33/Calculator!$F$16,1)),2)))/$C50,$C50/(50*POWER(80,POWER(COS(PI()*MOD(Calculator!$B$33/Calculator!$F$16,1)),2)))),2))</f>
        <v>1.12</v>
      </c>
      <c r="AT50" s="106" t="n">
        <f aca="false">IF(OR(Calculator!$E$17&lt;&gt;"YES",Calculator!$B$33&lt;Calculator!$G$17),"—",ROUND(MAX((50*POWER(80,POWER(COS(PI()*MOD(Calculator!$B$33/Calculator!$F$17,1)),2)))/$C50,$C50/(50*POWER(80,POWER(COS(PI()*MOD(Calculator!$B$33/Calculator!$F$17,1)),2)))),2))</f>
        <v>3.56</v>
      </c>
      <c r="AU50" s="106" t="n">
        <f aca="false">IF(OR(Calculator!$E$18&lt;&gt;"YES",Calculator!$B$33&lt;Calculator!$G$18),"—",ROUND(MAX((50*POWER(80,POWER(COS(PI()*MOD(Calculator!$B$33/Calculator!$F$18,1)),2)))/$C50,$C50/(50*POWER(80,POWER(COS(PI()*MOD(Calculator!$B$33/Calculator!$F$18,1)),2)))),2))</f>
        <v>4.81</v>
      </c>
      <c r="AV50" s="106" t="n">
        <f aca="false">IF(OR(Calculator!$E$19&lt;&gt;"YES",Calculator!$B$33&lt;Calculator!$G$19),"—",ROUND(MAX((50*POWER(80,POWER(COS(PI()*MOD(Calculator!$B$33/Calculator!$F$19,1)),2)))/$C50,$C50/(50*POWER(80,POWER(COS(PI()*MOD(Calculator!$B$33/Calculator!$F$19,1)),2)))),2))</f>
        <v>1.71</v>
      </c>
      <c r="AW50" s="106" t="n">
        <f aca="false">IF(OR(Calculator!$E$20&lt;&gt;"YES",Calculator!$B$33&lt;Calculator!$G$20),"—",ROUND(MAX((50*POWER(80,POWER(COS(PI()*MOD(Calculator!$B$33/Calculator!$F$20,1)),2)))/$C50,$C50/(50*POWER(80,POWER(COS(PI()*MOD(Calculator!$B$33/Calculator!$F$20,1)),2)))),2))</f>
        <v>7.34</v>
      </c>
      <c r="AX50" s="106" t="str">
        <f aca="false">IF(OR(Calculator!$E$21&lt;&gt;"YES",Calculator!$B$33&lt;Calculator!$G$21),"—",ROUND(MAX((50*POWER(80,POWER(COS(PI()*MOD(Calculator!$B$33/Calculator!$F$21,1)),2)))/$C50,$C50/(50*POWER(80,POWER(COS(PI()*MOD(Calculator!$B$33/Calculator!$F$21,1)),2)))),2))</f>
        <v>—</v>
      </c>
      <c r="AY50" s="101" t="n">
        <f aca="false">IFERROR(ROUND((IF(ISNUMBER(AN50),AN50,0)+IF(ISNUMBER(AO50),AO50,0)+IF(ISNUMBER(AP50),AP50,0)+IF(ISNUMBER(AQ50),AQ50,0)+IF(ISNUMBER(AR50),AR50,0)+IF(ISNUMBER(AS50),AS50,0)+IF(ISNUMBER(AT50),AT50,0)+IF(ISNUMBER(AU50),AU50,0)+IF(ISNUMBER(AV50),AV50,0)+IF(ISNUMBER(AW50),AW50,0)+IF(ISNUMBER(AX50),AX50,0))/(IF(ISNUMBER(AN50),1,0)+IF(ISNUMBER(AO50),1,0)+IF(ISNUMBER(AP50),1,0)+IF(ISNUMBER(AQ50),1,0)+IF(ISNUMBER(AR50),1,0)+IF(ISNUMBER(AS50),1,0)+IF(ISNUMBER(AT50),1,0)+IF(ISNUMBER(AU50),1,0)+IF(ISNUMBER(AV50),1,0)+IF(ISNUMBER(AW50),1,0)+IF(ISNUMBER(AX50),1,0)),2),"")</f>
        <v>3.52</v>
      </c>
      <c r="AZ50" s="106" t="str">
        <f aca="false">IF(OR(Calculator!$E$11&lt;&gt;"YES",Calculator!$B$34&lt;Calculator!$G$11),"—",ROUND(MAX((50*POWER(80,POWER(COS(PI()*MOD(Calculator!$B$34/Calculator!$F$11,1)),2)))/$C50,$C50/(50*POWER(80,POWER(COS(PI()*MOD(Calculator!$B$34/Calculator!$F$11,1)),2)))),2))</f>
        <v>—</v>
      </c>
      <c r="BA50" s="106" t="str">
        <f aca="false">IF(OR(Calculator!$E$12&lt;&gt;"YES",Calculator!$B$34&lt;Calculator!$G$12),"—",ROUND(MAX((50*POWER(80,POWER(COS(PI()*MOD(Calculator!$B$34/Calculator!$F$12,1)),2)))/$C50,$C50/(50*POWER(80,POWER(COS(PI()*MOD(Calculator!$B$34/Calculator!$F$12,1)),2)))),2))</f>
        <v>—</v>
      </c>
      <c r="BB50" s="106" t="str">
        <f aca="false">IF(OR(Calculator!$E$13&lt;&gt;"YES",Calculator!$B$34&lt;Calculator!$G$13),"—",ROUND(MAX((50*POWER(80,POWER(COS(PI()*MOD(Calculator!$B$34/Calculator!$F$13,1)),2)))/$C50,$C50/(50*POWER(80,POWER(COS(PI()*MOD(Calculator!$B$34/Calculator!$F$13,1)),2)))),2))</f>
        <v>—</v>
      </c>
      <c r="BC50" s="106" t="n">
        <f aca="false">IF(OR(Calculator!$E$14&lt;&gt;"YES",Calculator!$B$34&lt;Calculator!$G$14),"—",ROUND(MAX((50*POWER(80,POWER(COS(PI()*MOD(Calculator!$B$34/Calculator!$F$14,1)),2)))/$C50,$C50/(50*POWER(80,POWER(COS(PI()*MOD(Calculator!$B$34/Calculator!$F$14,1)),2)))),2))</f>
        <v>3.08</v>
      </c>
      <c r="BD50" s="106" t="n">
        <f aca="false">IF(OR(Calculator!$E$15&lt;&gt;"YES",Calculator!$B$34&lt;Calculator!$G$15),"—",ROUND(MAX((50*POWER(80,POWER(COS(PI()*MOD(Calculator!$B$34/Calculator!$F$15,1)),2)))/$C50,$C50/(50*POWER(80,POWER(COS(PI()*MOD(Calculator!$B$34/Calculator!$F$15,1)),2)))),2))</f>
        <v>3.96</v>
      </c>
      <c r="BE50" s="106" t="n">
        <f aca="false">IF(OR(Calculator!$E$16&lt;&gt;"YES",Calculator!$B$34&lt;Calculator!$G$16),"—",ROUND(MAX((50*POWER(80,POWER(COS(PI()*MOD(Calculator!$B$34/Calculator!$F$16,1)),2)))/$C50,$C50/(50*POWER(80,POWER(COS(PI()*MOD(Calculator!$B$34/Calculator!$F$16,1)),2)))),2))</f>
        <v>1.33</v>
      </c>
      <c r="BF50" s="106" t="n">
        <f aca="false">IF(OR(Calculator!$E$17&lt;&gt;"YES",Calculator!$B$34&lt;Calculator!$G$17),"—",ROUND(MAX((50*POWER(80,POWER(COS(PI()*MOD(Calculator!$B$34/Calculator!$F$17,1)),2)))/$C50,$C50/(50*POWER(80,POWER(COS(PI()*MOD(Calculator!$B$34/Calculator!$F$17,1)),2)))),2))</f>
        <v>1.45</v>
      </c>
      <c r="BG50" s="106" t="n">
        <f aca="false">IF(OR(Calculator!$E$18&lt;&gt;"YES",Calculator!$B$34&lt;Calculator!$G$18),"—",ROUND(MAX((50*POWER(80,POWER(COS(PI()*MOD(Calculator!$B$34/Calculator!$F$18,1)),2)))/$C50,$C50/(50*POWER(80,POWER(COS(PI()*MOD(Calculator!$B$34/Calculator!$F$18,1)),2)))),2))</f>
        <v>6.51</v>
      </c>
      <c r="BH50" s="106" t="n">
        <f aca="false">IF(OR(Calculator!$E$19&lt;&gt;"YES",Calculator!$B$34&lt;Calculator!$G$19),"—",ROUND(MAX((50*POWER(80,POWER(COS(PI()*MOD(Calculator!$B$34/Calculator!$F$19,1)),2)))/$C50,$C50/(50*POWER(80,POWER(COS(PI()*MOD(Calculator!$B$34/Calculator!$F$19,1)),2)))),2))</f>
        <v>7.24</v>
      </c>
      <c r="BI50" s="106" t="n">
        <f aca="false">IF(OR(Calculator!$E$20&lt;&gt;"YES",Calculator!$B$34&lt;Calculator!$G$20),"—",ROUND(MAX((50*POWER(80,POWER(COS(PI()*MOD(Calculator!$B$34/Calculator!$F$20,1)),2)))/$C50,$C50/(50*POWER(80,POWER(COS(PI()*MOD(Calculator!$B$34/Calculator!$F$20,1)),2)))),2))</f>
        <v>4.32</v>
      </c>
      <c r="BJ50" s="106" t="str">
        <f aca="false">IF(OR(Calculator!$E$21&lt;&gt;"YES",Calculator!$B$34&lt;Calculator!$G$21),"—",ROUND(MAX((50*POWER(80,POWER(COS(PI()*MOD(Calculator!$B$34/Calculator!$F$21,1)),2)))/$C50,$C50/(50*POWER(80,POWER(COS(PI()*MOD(Calculator!$B$34/Calculator!$F$21,1)),2)))),2))</f>
        <v>—</v>
      </c>
      <c r="BK50" s="101" t="n">
        <f aca="false">IFERROR(ROUND((IF(ISNUMBER(AZ50),AZ50,0)+IF(ISNUMBER(BA50),BA50,0)+IF(ISNUMBER(BB50),BB50,0)+IF(ISNUMBER(BC50),BC50,0)+IF(ISNUMBER(BD50),BD50,0)+IF(ISNUMBER(BE50),BE50,0)+IF(ISNUMBER(BF50),BF50,0)+IF(ISNUMBER(BG50),BG50,0)+IF(ISNUMBER(BH50),BH50,0)+IF(ISNUMBER(BI50),BI50,0)+IF(ISNUMBER(BJ50),BJ50,0))/(IF(ISNUMBER(AZ50),1,0)+IF(ISNUMBER(BA50),1,0)+IF(ISNUMBER(BB50),1,0)+IF(ISNUMBER(BC50),1,0)+IF(ISNUMBER(BD50),1,0)+IF(ISNUMBER(BE50),1,0)+IF(ISNUMBER(BF50),1,0)+IF(ISNUMBER(BG50),1,0)+IF(ISNUMBER(BH50),1,0)+IF(ISNUMBER(BI50),1,0)+IF(ISNUMBER(BJ50),1,0)),2),"")</f>
        <v>3.98</v>
      </c>
    </row>
    <row r="51" customFormat="false" ht="15" hidden="false" customHeight="false" outlineLevel="0" collapsed="false">
      <c r="A51" s="74" t="s">
        <v>102</v>
      </c>
      <c r="B51" s="74" t="s">
        <v>86</v>
      </c>
      <c r="C51" s="77" t="n">
        <v>950</v>
      </c>
      <c r="D51" s="78" t="str">
        <f aca="false">IF(OR(Calculator!$E$11&lt;&gt;"YES",Calculator!$B$30&lt;Calculator!$G$11),"—",ROUND(MAX((50*POWER(80,POWER(COS(PI()*MOD(Calculator!$B$30/Calculator!$F$11,1)),2)))/$C51,$C51/(50*POWER(80,POWER(COS(PI()*MOD(Calculator!$B$30/Calculator!$F$11,1)),2)))),2))</f>
        <v>—</v>
      </c>
      <c r="E51" s="78" t="str">
        <f aca="false">IF(OR(Calculator!$E$12&lt;&gt;"YES",Calculator!$B$30&lt;Calculator!$G$12),"—",ROUND(MAX((50*POWER(80,POWER(COS(PI()*MOD(Calculator!$B$30/Calculator!$F$12,1)),2)))/$C51,$C51/(50*POWER(80,POWER(COS(PI()*MOD(Calculator!$B$30/Calculator!$F$12,1)),2)))),2))</f>
        <v>—</v>
      </c>
      <c r="F51" s="78" t="str">
        <f aca="false">IF(OR(Calculator!$E$13&lt;&gt;"YES",Calculator!$B$30&lt;Calculator!$G$13),"—",ROUND(MAX((50*POWER(80,POWER(COS(PI()*MOD(Calculator!$B$30/Calculator!$F$13,1)),2)))/$C51,$C51/(50*POWER(80,POWER(COS(PI()*MOD(Calculator!$B$30/Calculator!$F$13,1)),2)))),2))</f>
        <v>—</v>
      </c>
      <c r="G51" s="78" t="n">
        <f aca="false">IF(OR(Calculator!$E$14&lt;&gt;"YES",Calculator!$B$30&lt;Calculator!$G$14),"—",ROUND(MAX((50*POWER(80,POWER(COS(PI()*MOD(Calculator!$B$30/Calculator!$F$14,1)),2)))/$C51,$C51/(50*POWER(80,POWER(COS(PI()*MOD(Calculator!$B$30/Calculator!$F$14,1)),2)))),2))</f>
        <v>8.59</v>
      </c>
      <c r="H51" s="78" t="n">
        <f aca="false">IF(OR(Calculator!$E$15&lt;&gt;"YES",Calculator!$B$30&lt;Calculator!$G$15),"—",ROUND(MAX((50*POWER(80,POWER(COS(PI()*MOD(Calculator!$B$30/Calculator!$F$15,1)),2)))/$C51,$C51/(50*POWER(80,POWER(COS(PI()*MOD(Calculator!$B$30/Calculator!$F$15,1)),2)))),2))</f>
        <v>2.49</v>
      </c>
      <c r="I51" s="78" t="n">
        <f aca="false">IF(OR(Calculator!$E$16&lt;&gt;"YES",Calculator!$B$30&lt;Calculator!$G$16),"—",ROUND(MAX((50*POWER(80,POWER(COS(PI()*MOD(Calculator!$B$30/Calculator!$F$16,1)),2)))/$C51,$C51/(50*POWER(80,POWER(COS(PI()*MOD(Calculator!$B$30/Calculator!$F$16,1)),2)))),2))</f>
        <v>1.7</v>
      </c>
      <c r="J51" s="78" t="n">
        <f aca="false">IF(OR(Calculator!$E$17&lt;&gt;"YES",Calculator!$B$30&lt;Calculator!$G$17),"—",ROUND(MAX((50*POWER(80,POWER(COS(PI()*MOD(Calculator!$B$30/Calculator!$F$17,1)),2)))/$C51,$C51/(50*POWER(80,POWER(COS(PI()*MOD(Calculator!$B$30/Calculator!$F$17,1)),2)))),2))</f>
        <v>4.78</v>
      </c>
      <c r="K51" s="78" t="n">
        <f aca="false">IF(OR(Calculator!$E$18&lt;&gt;"YES",Calculator!$B$30&lt;Calculator!$G$18),"—",ROUND(MAX((50*POWER(80,POWER(COS(PI()*MOD(Calculator!$B$30/Calculator!$F$18,1)),2)))/$C51,$C51/(50*POWER(80,POWER(COS(PI()*MOD(Calculator!$B$30/Calculator!$F$18,1)),2)))),2))</f>
        <v>1.47</v>
      </c>
      <c r="L51" s="78" t="n">
        <f aca="false">IF(OR(Calculator!$E$19&lt;&gt;"YES",Calculator!$B$30&lt;Calculator!$G$19),"—",ROUND(MAX((50*POWER(80,POWER(COS(PI()*MOD(Calculator!$B$30/Calculator!$F$19,1)),2)))/$C51,$C51/(50*POWER(80,POWER(COS(PI()*MOD(Calculator!$B$30/Calculator!$F$19,1)),2)))),2))</f>
        <v>1.21</v>
      </c>
      <c r="M51" s="78" t="n">
        <f aca="false">IF(OR(Calculator!$E$20&lt;&gt;"YES",Calculator!$B$30&lt;Calculator!$G$20),"—",ROUND(MAX((50*POWER(80,POWER(COS(PI()*MOD(Calculator!$B$30/Calculator!$F$20,1)),2)))/$C51,$C51/(50*POWER(80,POWER(COS(PI()*MOD(Calculator!$B$30/Calculator!$F$20,1)),2)))),2))</f>
        <v>7.5</v>
      </c>
      <c r="N51" s="78" t="str">
        <f aca="false">IF(OR(Calculator!$E$21&lt;&gt;"YES",Calculator!$B$30&lt;Calculator!$G$21),"—",ROUND(MAX((50*POWER(80,POWER(COS(PI()*MOD(Calculator!$B$30/Calculator!$F$21,1)),2)))/$C51,$C51/(50*POWER(80,POWER(COS(PI()*MOD(Calculator!$B$30/Calculator!$F$21,1)),2)))),2))</f>
        <v>—</v>
      </c>
      <c r="O51" s="100" t="n">
        <f aca="false">IFERROR(ROUND((IF(ISNUMBER(D51),D51,0)+IF(ISNUMBER(E51),E51,0)+IF(ISNUMBER(F51),F51,0)+IF(ISNUMBER(G51),G51,0)+IF(ISNUMBER(H51),H51,0)+IF(ISNUMBER(I51),I51,0)+IF(ISNUMBER(J51),J51,0)+IF(ISNUMBER(K51),K51,0)+IF(ISNUMBER(L51),L51,0)+IF(ISNUMBER(M51),M51,0)+IF(ISNUMBER(N51),N51,0))/(IF(ISNUMBER(D51),1,0)+IF(ISNUMBER(E51),1,0)+IF(ISNUMBER(F51),1,0)+IF(ISNUMBER(G51),1,0)+IF(ISNUMBER(H51),1,0)+IF(ISNUMBER(I51),1,0)+IF(ISNUMBER(J51),1,0)+IF(ISNUMBER(K51),1,0)+IF(ISNUMBER(L51),1,0)+IF(ISNUMBER(M51),1,0)+IF(ISNUMBER(N51),1,0)),2),"")</f>
        <v>3.96</v>
      </c>
      <c r="P51" s="78" t="str">
        <f aca="false">IF(OR(Calculator!$E$11&lt;&gt;"YES",Calculator!$B$31&lt;Calculator!$G$11),"—",ROUND(MAX((50*POWER(80,POWER(COS(PI()*MOD(Calculator!$B$31/Calculator!$F$11,1)),2)))/$C51,$C51/(50*POWER(80,POWER(COS(PI()*MOD(Calculator!$B$31/Calculator!$F$11,1)),2)))),2))</f>
        <v>—</v>
      </c>
      <c r="Q51" s="78" t="str">
        <f aca="false">IF(OR(Calculator!$E$12&lt;&gt;"YES",Calculator!$B$31&lt;Calculator!$G$12),"—",ROUND(MAX((50*POWER(80,POWER(COS(PI()*MOD(Calculator!$B$31/Calculator!$F$12,1)),2)))/$C51,$C51/(50*POWER(80,POWER(COS(PI()*MOD(Calculator!$B$31/Calculator!$F$12,1)),2)))),2))</f>
        <v>—</v>
      </c>
      <c r="R51" s="78" t="str">
        <f aca="false">IF(OR(Calculator!$E$13&lt;&gt;"YES",Calculator!$B$31&lt;Calculator!$G$13),"—",ROUND(MAX((50*POWER(80,POWER(COS(PI()*MOD(Calculator!$B$31/Calculator!$F$13,1)),2)))/$C51,$C51/(50*POWER(80,POWER(COS(PI()*MOD(Calculator!$B$31/Calculator!$F$13,1)),2)))),2))</f>
        <v>—</v>
      </c>
      <c r="S51" s="78" t="n">
        <f aca="false">IF(OR(Calculator!$E$14&lt;&gt;"YES",Calculator!$B$31&lt;Calculator!$G$14),"—",ROUND(MAX((50*POWER(80,POWER(COS(PI()*MOD(Calculator!$B$31/Calculator!$F$14,1)),2)))/$C51,$C51/(50*POWER(80,POWER(COS(PI()*MOD(Calculator!$B$31/Calculator!$F$14,1)),2)))),2))</f>
        <v>8.79</v>
      </c>
      <c r="T51" s="78" t="n">
        <f aca="false">IF(OR(Calculator!$E$15&lt;&gt;"YES",Calculator!$B$31&lt;Calculator!$G$15),"—",ROUND(MAX((50*POWER(80,POWER(COS(PI()*MOD(Calculator!$B$31/Calculator!$F$15,1)),2)))/$C51,$C51/(50*POWER(80,POWER(COS(PI()*MOD(Calculator!$B$31/Calculator!$F$15,1)),2)))),2))</f>
        <v>5.35</v>
      </c>
      <c r="U51" s="78" t="n">
        <f aca="false">IF(OR(Calculator!$E$16&lt;&gt;"YES",Calculator!$B$31&lt;Calculator!$G$16),"—",ROUND(MAX((50*POWER(80,POWER(COS(PI()*MOD(Calculator!$B$31/Calculator!$F$16,1)),2)))/$C51,$C51/(50*POWER(80,POWER(COS(PI()*MOD(Calculator!$B$31/Calculator!$F$16,1)),2)))),2))</f>
        <v>2.04</v>
      </c>
      <c r="V51" s="78" t="n">
        <f aca="false">IF(OR(Calculator!$E$17&lt;&gt;"YES",Calculator!$B$31&lt;Calculator!$G$17),"—",ROUND(MAX((50*POWER(80,POWER(COS(PI()*MOD(Calculator!$B$31/Calculator!$F$17,1)),2)))/$C51,$C51/(50*POWER(80,POWER(COS(PI()*MOD(Calculator!$B$31/Calculator!$F$17,1)),2)))),2))</f>
        <v>1.7</v>
      </c>
      <c r="W51" s="78" t="n">
        <f aca="false">IF(OR(Calculator!$E$18&lt;&gt;"YES",Calculator!$B$31&lt;Calculator!$G$18),"—",ROUND(MAX((50*POWER(80,POWER(COS(PI()*MOD(Calculator!$B$31/Calculator!$F$18,1)),2)))/$C51,$C51/(50*POWER(80,POWER(COS(PI()*MOD(Calculator!$B$31/Calculator!$F$18,1)),2)))),2))</f>
        <v>1.94</v>
      </c>
      <c r="X51" s="78" t="n">
        <f aca="false">IF(OR(Calculator!$E$19&lt;&gt;"YES",Calculator!$B$31&lt;Calculator!$G$19),"—",ROUND(MAX((50*POWER(80,POWER(COS(PI()*MOD(Calculator!$B$31/Calculator!$F$19,1)),2)))/$C51,$C51/(50*POWER(80,POWER(COS(PI()*MOD(Calculator!$B$31/Calculator!$F$19,1)),2)))),2))</f>
        <v>3.53</v>
      </c>
      <c r="Y51" s="78" t="n">
        <f aca="false">IF(OR(Calculator!$E$20&lt;&gt;"YES",Calculator!$B$31&lt;Calculator!$G$20),"—",ROUND(MAX((50*POWER(80,POWER(COS(PI()*MOD(Calculator!$B$31/Calculator!$F$20,1)),2)))/$C51,$C51/(50*POWER(80,POWER(COS(PI()*MOD(Calculator!$B$31/Calculator!$F$20,1)),2)))),2))</f>
        <v>11.66</v>
      </c>
      <c r="Z51" s="78" t="str">
        <f aca="false">IF(OR(Calculator!$E$21&lt;&gt;"YES",Calculator!$B$31&lt;Calculator!$G$21),"—",ROUND(MAX((50*POWER(80,POWER(COS(PI()*MOD(Calculator!$B$31/Calculator!$F$21,1)),2)))/$C51,$C51/(50*POWER(80,POWER(COS(PI()*MOD(Calculator!$B$31/Calculator!$F$21,1)),2)))),2))</f>
        <v>—</v>
      </c>
      <c r="AA51" s="100" t="n">
        <f aca="false">IFERROR(ROUND((IF(ISNUMBER(P51),P51,0)+IF(ISNUMBER(Q51),Q51,0)+IF(ISNUMBER(R51),R51,0)+IF(ISNUMBER(S51),S51,0)+IF(ISNUMBER(T51),T51,0)+IF(ISNUMBER(U51),U51,0)+IF(ISNUMBER(V51),V51,0)+IF(ISNUMBER(W51),W51,0)+IF(ISNUMBER(X51),X51,0)+IF(ISNUMBER(Y51),Y51,0)+IF(ISNUMBER(Z51),Z51,0))/(IF(ISNUMBER(P51),1,0)+IF(ISNUMBER(Q51),1,0)+IF(ISNUMBER(R51),1,0)+IF(ISNUMBER(S51),1,0)+IF(ISNUMBER(T51),1,0)+IF(ISNUMBER(U51),1,0)+IF(ISNUMBER(V51),1,0)+IF(ISNUMBER(W51),1,0)+IF(ISNUMBER(X51),1,0)+IF(ISNUMBER(Y51),1,0)+IF(ISNUMBER(Z51),1,0)),2),"")</f>
        <v>5</v>
      </c>
      <c r="AB51" s="78" t="str">
        <f aca="false">IF(OR(Calculator!$E$11&lt;&gt;"YES",Calculator!$B$32&lt;Calculator!$G$11),"—",ROUND(MAX((50*POWER(80,POWER(COS(PI()*MOD(Calculator!$B$32/Calculator!$F$11,1)),2)))/$C51,$C51/(50*POWER(80,POWER(COS(PI()*MOD(Calculator!$B$32/Calculator!$F$11,1)),2)))),2))</f>
        <v>—</v>
      </c>
      <c r="AC51" s="78" t="str">
        <f aca="false">IF(OR(Calculator!$E$12&lt;&gt;"YES",Calculator!$B$32&lt;Calculator!$G$12),"—",ROUND(MAX((50*POWER(80,POWER(COS(PI()*MOD(Calculator!$B$32/Calculator!$F$12,1)),2)))/$C51,$C51/(50*POWER(80,POWER(COS(PI()*MOD(Calculator!$B$32/Calculator!$F$12,1)),2)))),2))</f>
        <v>—</v>
      </c>
      <c r="AD51" s="78" t="str">
        <f aca="false">IF(OR(Calculator!$E$13&lt;&gt;"YES",Calculator!$B$32&lt;Calculator!$G$13),"—",ROUND(MAX((50*POWER(80,POWER(COS(PI()*MOD(Calculator!$B$32/Calculator!$F$13,1)),2)))/$C51,$C51/(50*POWER(80,POWER(COS(PI()*MOD(Calculator!$B$32/Calculator!$F$13,1)),2)))),2))</f>
        <v>—</v>
      </c>
      <c r="AE51" s="78" t="n">
        <f aca="false">IF(OR(Calculator!$E$14&lt;&gt;"YES",Calculator!$B$32&lt;Calculator!$G$14),"—",ROUND(MAX((50*POWER(80,POWER(COS(PI()*MOD(Calculator!$B$32/Calculator!$F$14,1)),2)))/$C51,$C51/(50*POWER(80,POWER(COS(PI()*MOD(Calculator!$B$32/Calculator!$F$14,1)),2)))),2))</f>
        <v>5.55</v>
      </c>
      <c r="AF51" s="78" t="n">
        <f aca="false">IF(OR(Calculator!$E$15&lt;&gt;"YES",Calculator!$B$32&lt;Calculator!$G$15),"—",ROUND(MAX((50*POWER(80,POWER(COS(PI()*MOD(Calculator!$B$32/Calculator!$F$15,1)),2)))/$C51,$C51/(50*POWER(80,POWER(COS(PI()*MOD(Calculator!$B$32/Calculator!$F$15,1)),2)))),2))</f>
        <v>3.59</v>
      </c>
      <c r="AG51" s="78" t="n">
        <f aca="false">IF(OR(Calculator!$E$16&lt;&gt;"YES",Calculator!$B$32&lt;Calculator!$G$16),"—",ROUND(MAX((50*POWER(80,POWER(COS(PI()*MOD(Calculator!$B$32/Calculator!$F$16,1)),2)))/$C51,$C51/(50*POWER(80,POWER(COS(PI()*MOD(Calculator!$B$32/Calculator!$F$16,1)),2)))),2))</f>
        <v>12.11</v>
      </c>
      <c r="AH51" s="78" t="n">
        <f aca="false">IF(OR(Calculator!$E$17&lt;&gt;"YES",Calculator!$B$32&lt;Calculator!$G$17),"—",ROUND(MAX((50*POWER(80,POWER(COS(PI()*MOD(Calculator!$B$32/Calculator!$F$17,1)),2)))/$C51,$C51/(50*POWER(80,POWER(COS(PI()*MOD(Calculator!$B$32/Calculator!$F$17,1)),2)))),2))</f>
        <v>2.42</v>
      </c>
      <c r="AI51" s="78" t="n">
        <f aca="false">IF(OR(Calculator!$E$18&lt;&gt;"YES",Calculator!$B$32&lt;Calculator!$G$18),"—",ROUND(MAX((50*POWER(80,POWER(COS(PI()*MOD(Calculator!$B$32/Calculator!$F$18,1)),2)))/$C51,$C51/(50*POWER(80,POWER(COS(PI()*MOD(Calculator!$B$32/Calculator!$F$18,1)),2)))),2))</f>
        <v>2.63</v>
      </c>
      <c r="AJ51" s="78" t="n">
        <f aca="false">IF(OR(Calculator!$E$19&lt;&gt;"YES",Calculator!$B$32&lt;Calculator!$G$19),"—",ROUND(MAX((50*POWER(80,POWER(COS(PI()*MOD(Calculator!$B$32/Calculator!$F$19,1)),2)))/$C51,$C51/(50*POWER(80,POWER(COS(PI()*MOD(Calculator!$B$32/Calculator!$F$19,1)),2)))),2))</f>
        <v>2.77</v>
      </c>
      <c r="AK51" s="78" t="n">
        <f aca="false">IF(OR(Calculator!$E$20&lt;&gt;"YES",Calculator!$B$32&lt;Calculator!$G$20),"—",ROUND(MAX((50*POWER(80,POWER(COS(PI()*MOD(Calculator!$B$32/Calculator!$F$20,1)),2)))/$C51,$C51/(50*POWER(80,POWER(COS(PI()*MOD(Calculator!$B$32/Calculator!$F$20,1)),2)))),2))</f>
        <v>9.53</v>
      </c>
      <c r="AL51" s="78" t="str">
        <f aca="false">IF(OR(Calculator!$E$21&lt;&gt;"YES",Calculator!$B$32&lt;Calculator!$G$21),"—",ROUND(MAX((50*POWER(80,POWER(COS(PI()*MOD(Calculator!$B$32/Calculator!$F$21,1)),2)))/$C51,$C51/(50*POWER(80,POWER(COS(PI()*MOD(Calculator!$B$32/Calculator!$F$21,1)),2)))),2))</f>
        <v>—</v>
      </c>
      <c r="AM51" s="101" t="n">
        <f aca="false">IFERROR(ROUND((IF(ISNUMBER(AB51),AB51,0)+IF(ISNUMBER(AC51),AC51,0)+IF(ISNUMBER(AD51),AD51,0)+IF(ISNUMBER(AE51),AE51,0)+IF(ISNUMBER(AF51),AF51,0)+IF(ISNUMBER(AG51),AG51,0)+IF(ISNUMBER(AH51),AH51,0)+IF(ISNUMBER(AI51),AI51,0)+IF(ISNUMBER(AJ51),AJ51,0)+IF(ISNUMBER(AK51),AK51,0)+IF(ISNUMBER(AL51),AL51,0))/(IF(ISNUMBER(AB51),1,0)+IF(ISNUMBER(AC51),1,0)+IF(ISNUMBER(AD51),1,0)+IF(ISNUMBER(AE51),1,0)+IF(ISNUMBER(AF51),1,0)+IF(ISNUMBER(AG51),1,0)+IF(ISNUMBER(AH51),1,0)+IF(ISNUMBER(AI51),1,0)+IF(ISNUMBER(AJ51),1,0)+IF(ISNUMBER(AK51),1,0)+IF(ISNUMBER(AL51),1,0)),2),"")</f>
        <v>5.51</v>
      </c>
      <c r="AN51" s="102" t="str">
        <f aca="false">IF(OR(Calculator!$E$11&lt;&gt;"YES",Calculator!$B$33&lt;Calculator!$G$11),"—",ROUND(MAX((50*POWER(80,POWER(COS(PI()*MOD(Calculator!$B$33/Calculator!$F$11,1)),2)))/$C51,$C51/(50*POWER(80,POWER(COS(PI()*MOD(Calculator!$B$33/Calculator!$F$11,1)),2)))),2))</f>
        <v>—</v>
      </c>
      <c r="AO51" s="102" t="str">
        <f aca="false">IF(OR(Calculator!$E$12&lt;&gt;"YES",Calculator!$B$33&lt;Calculator!$G$12),"—",ROUND(MAX((50*POWER(80,POWER(COS(PI()*MOD(Calculator!$B$33/Calculator!$F$12,1)),2)))/$C51,$C51/(50*POWER(80,POWER(COS(PI()*MOD(Calculator!$B$33/Calculator!$F$12,1)),2)))),2))</f>
        <v>—</v>
      </c>
      <c r="AP51" s="102" t="str">
        <f aca="false">IF(OR(Calculator!$E$13&lt;&gt;"YES",Calculator!$B$33&lt;Calculator!$G$13),"—",ROUND(MAX((50*POWER(80,POWER(COS(PI()*MOD(Calculator!$B$33/Calculator!$F$13,1)),2)))/$C51,$C51/(50*POWER(80,POWER(COS(PI()*MOD(Calculator!$B$33/Calculator!$F$13,1)),2)))),2))</f>
        <v>—</v>
      </c>
      <c r="AQ51" s="102" t="n">
        <f aca="false">IF(OR(Calculator!$E$14&lt;&gt;"YES",Calculator!$B$33&lt;Calculator!$G$14),"—",ROUND(MAX((50*POWER(80,POWER(COS(PI()*MOD(Calculator!$B$33/Calculator!$F$14,1)),2)))/$C51,$C51/(50*POWER(80,POWER(COS(PI()*MOD(Calculator!$B$33/Calculator!$F$14,1)),2)))),2))</f>
        <v>2.87</v>
      </c>
      <c r="AR51" s="102" t="n">
        <f aca="false">IF(OR(Calculator!$E$15&lt;&gt;"YES",Calculator!$B$33&lt;Calculator!$G$15),"—",ROUND(MAX((50*POWER(80,POWER(COS(PI()*MOD(Calculator!$B$33/Calculator!$F$15,1)),2)))/$C51,$C51/(50*POWER(80,POWER(COS(PI()*MOD(Calculator!$B$33/Calculator!$F$15,1)),2)))),2))</f>
        <v>3.24</v>
      </c>
      <c r="AS51" s="102" t="n">
        <f aca="false">IF(OR(Calculator!$E$16&lt;&gt;"YES",Calculator!$B$33&lt;Calculator!$G$16),"—",ROUND(MAX((50*POWER(80,POWER(COS(PI()*MOD(Calculator!$B$33/Calculator!$F$16,1)),2)))/$C51,$C51/(50*POWER(80,POWER(COS(PI()*MOD(Calculator!$B$33/Calculator!$F$16,1)),2)))),2))</f>
        <v>1.18</v>
      </c>
      <c r="AT51" s="102" t="n">
        <f aca="false">IF(OR(Calculator!$E$17&lt;&gt;"YES",Calculator!$B$33&lt;Calculator!$G$17),"—",ROUND(MAX((50*POWER(80,POWER(COS(PI()*MOD(Calculator!$B$33/Calculator!$F$17,1)),2)))/$C51,$C51/(50*POWER(80,POWER(COS(PI()*MOD(Calculator!$B$33/Calculator!$F$17,1)),2)))),2))</f>
        <v>3.75</v>
      </c>
      <c r="AU51" s="102" t="n">
        <f aca="false">IF(OR(Calculator!$E$18&lt;&gt;"YES",Calculator!$B$33&lt;Calculator!$G$18),"—",ROUND(MAX((50*POWER(80,POWER(COS(PI()*MOD(Calculator!$B$33/Calculator!$F$18,1)),2)))/$C51,$C51/(50*POWER(80,POWER(COS(PI()*MOD(Calculator!$B$33/Calculator!$F$18,1)),2)))),2))</f>
        <v>5.08</v>
      </c>
      <c r="AV51" s="102" t="n">
        <f aca="false">IF(OR(Calculator!$E$19&lt;&gt;"YES",Calculator!$B$33&lt;Calculator!$G$19),"—",ROUND(MAX((50*POWER(80,POWER(COS(PI()*MOD(Calculator!$B$33/Calculator!$F$19,1)),2)))/$C51,$C51/(50*POWER(80,POWER(COS(PI()*MOD(Calculator!$B$33/Calculator!$F$19,1)),2)))),2))</f>
        <v>1.62</v>
      </c>
      <c r="AW51" s="102" t="n">
        <f aca="false">IF(OR(Calculator!$E$20&lt;&gt;"YES",Calculator!$B$33&lt;Calculator!$G$20),"—",ROUND(MAX((50*POWER(80,POWER(COS(PI()*MOD(Calculator!$B$33/Calculator!$F$20,1)),2)))/$C51,$C51/(50*POWER(80,POWER(COS(PI()*MOD(Calculator!$B$33/Calculator!$F$20,1)),2)))),2))</f>
        <v>7.75</v>
      </c>
      <c r="AX51" s="102" t="str">
        <f aca="false">IF(OR(Calculator!$E$21&lt;&gt;"YES",Calculator!$B$33&lt;Calculator!$G$21),"—",ROUND(MAX((50*POWER(80,POWER(COS(PI()*MOD(Calculator!$B$33/Calculator!$F$21,1)),2)))/$C51,$C51/(50*POWER(80,POWER(COS(PI()*MOD(Calculator!$B$33/Calculator!$F$21,1)),2)))),2))</f>
        <v>—</v>
      </c>
      <c r="AY51" s="101" t="n">
        <f aca="false">IFERROR(ROUND((IF(ISNUMBER(AN51),AN51,0)+IF(ISNUMBER(AO51),AO51,0)+IF(ISNUMBER(AP51),AP51,0)+IF(ISNUMBER(AQ51),AQ51,0)+IF(ISNUMBER(AR51),AR51,0)+IF(ISNUMBER(AS51),AS51,0)+IF(ISNUMBER(AT51),AT51,0)+IF(ISNUMBER(AU51),AU51,0)+IF(ISNUMBER(AV51),AV51,0)+IF(ISNUMBER(AW51),AW51,0)+IF(ISNUMBER(AX51),AX51,0))/(IF(ISNUMBER(AN51),1,0)+IF(ISNUMBER(AO51),1,0)+IF(ISNUMBER(AP51),1,0)+IF(ISNUMBER(AQ51),1,0)+IF(ISNUMBER(AR51),1,0)+IF(ISNUMBER(AS51),1,0)+IF(ISNUMBER(AT51),1,0)+IF(ISNUMBER(AU51),1,0)+IF(ISNUMBER(AV51),1,0)+IF(ISNUMBER(AW51),1,0)+IF(ISNUMBER(AX51),1,0)),2),"")</f>
        <v>3.64</v>
      </c>
      <c r="AZ51" s="102" t="str">
        <f aca="false">IF(OR(Calculator!$E$11&lt;&gt;"YES",Calculator!$B$34&lt;Calculator!$G$11),"—",ROUND(MAX((50*POWER(80,POWER(COS(PI()*MOD(Calculator!$B$34/Calculator!$F$11,1)),2)))/$C51,$C51/(50*POWER(80,POWER(COS(PI()*MOD(Calculator!$B$34/Calculator!$F$11,1)),2)))),2))</f>
        <v>—</v>
      </c>
      <c r="BA51" s="102" t="str">
        <f aca="false">IF(OR(Calculator!$E$12&lt;&gt;"YES",Calculator!$B$34&lt;Calculator!$G$12),"—",ROUND(MAX((50*POWER(80,POWER(COS(PI()*MOD(Calculator!$B$34/Calculator!$F$12,1)),2)))/$C51,$C51/(50*POWER(80,POWER(COS(PI()*MOD(Calculator!$B$34/Calculator!$F$12,1)),2)))),2))</f>
        <v>—</v>
      </c>
      <c r="BB51" s="102" t="str">
        <f aca="false">IF(OR(Calculator!$E$13&lt;&gt;"YES",Calculator!$B$34&lt;Calculator!$G$13),"—",ROUND(MAX((50*POWER(80,POWER(COS(PI()*MOD(Calculator!$B$34/Calculator!$F$13,1)),2)))/$C51,$C51/(50*POWER(80,POWER(COS(PI()*MOD(Calculator!$B$34/Calculator!$F$13,1)),2)))),2))</f>
        <v>—</v>
      </c>
      <c r="BC51" s="102" t="n">
        <f aca="false">IF(OR(Calculator!$E$14&lt;&gt;"YES",Calculator!$B$34&lt;Calculator!$G$14),"—",ROUND(MAX((50*POWER(80,POWER(COS(PI()*MOD(Calculator!$B$34/Calculator!$F$14,1)),2)))/$C51,$C51/(50*POWER(80,POWER(COS(PI()*MOD(Calculator!$B$34/Calculator!$F$14,1)),2)))),2))</f>
        <v>2.92</v>
      </c>
      <c r="BD51" s="102" t="n">
        <f aca="false">IF(OR(Calculator!$E$15&lt;&gt;"YES",Calculator!$B$34&lt;Calculator!$G$15),"—",ROUND(MAX((50*POWER(80,POWER(COS(PI()*MOD(Calculator!$B$34/Calculator!$F$15,1)),2)))/$C51,$C51/(50*POWER(80,POWER(COS(PI()*MOD(Calculator!$B$34/Calculator!$F$15,1)),2)))),2))</f>
        <v>4.18</v>
      </c>
      <c r="BE51" s="102" t="n">
        <f aca="false">IF(OR(Calculator!$E$16&lt;&gt;"YES",Calculator!$B$34&lt;Calculator!$G$16),"—",ROUND(MAX((50*POWER(80,POWER(COS(PI()*MOD(Calculator!$B$34/Calculator!$F$16,1)),2)))/$C51,$C51/(50*POWER(80,POWER(COS(PI()*MOD(Calculator!$B$34/Calculator!$F$16,1)),2)))),2))</f>
        <v>1.41</v>
      </c>
      <c r="BF51" s="102" t="n">
        <f aca="false">IF(OR(Calculator!$E$17&lt;&gt;"YES",Calculator!$B$34&lt;Calculator!$G$17),"—",ROUND(MAX((50*POWER(80,POWER(COS(PI()*MOD(Calculator!$B$34/Calculator!$F$17,1)),2)))/$C51,$C51/(50*POWER(80,POWER(COS(PI()*MOD(Calculator!$B$34/Calculator!$F$17,1)),2)))),2))</f>
        <v>1.38</v>
      </c>
      <c r="BG51" s="102" t="n">
        <f aca="false">IF(OR(Calculator!$E$18&lt;&gt;"YES",Calculator!$B$34&lt;Calculator!$G$18),"—",ROUND(MAX((50*POWER(80,POWER(COS(PI()*MOD(Calculator!$B$34/Calculator!$F$18,1)),2)))/$C51,$C51/(50*POWER(80,POWER(COS(PI()*MOD(Calculator!$B$34/Calculator!$F$18,1)),2)))),2))</f>
        <v>6.87</v>
      </c>
      <c r="BH51" s="102" t="n">
        <f aca="false">IF(OR(Calculator!$E$19&lt;&gt;"YES",Calculator!$B$34&lt;Calculator!$G$19),"—",ROUND(MAX((50*POWER(80,POWER(COS(PI()*MOD(Calculator!$B$34/Calculator!$F$19,1)),2)))/$C51,$C51/(50*POWER(80,POWER(COS(PI()*MOD(Calculator!$B$34/Calculator!$F$19,1)),2)))),2))</f>
        <v>7.64</v>
      </c>
      <c r="BI51" s="102" t="n">
        <f aca="false">IF(OR(Calculator!$E$20&lt;&gt;"YES",Calculator!$B$34&lt;Calculator!$G$20),"—",ROUND(MAX((50*POWER(80,POWER(COS(PI()*MOD(Calculator!$B$34/Calculator!$F$20,1)),2)))/$C51,$C51/(50*POWER(80,POWER(COS(PI()*MOD(Calculator!$B$34/Calculator!$F$20,1)),2)))),2))</f>
        <v>4.56</v>
      </c>
      <c r="BJ51" s="102" t="str">
        <f aca="false">IF(OR(Calculator!$E$21&lt;&gt;"YES",Calculator!$B$34&lt;Calculator!$G$21),"—",ROUND(MAX((50*POWER(80,POWER(COS(PI()*MOD(Calculator!$B$34/Calculator!$F$21,1)),2)))/$C51,$C51/(50*POWER(80,POWER(COS(PI()*MOD(Calculator!$B$34/Calculator!$F$21,1)),2)))),2))</f>
        <v>—</v>
      </c>
      <c r="BK51" s="101" t="n">
        <f aca="false">IFERROR(ROUND((IF(ISNUMBER(AZ51),AZ51,0)+IF(ISNUMBER(BA51),BA51,0)+IF(ISNUMBER(BB51),BB51,0)+IF(ISNUMBER(BC51),BC51,0)+IF(ISNUMBER(BD51),BD51,0)+IF(ISNUMBER(BE51),BE51,0)+IF(ISNUMBER(BF51),BF51,0)+IF(ISNUMBER(BG51),BG51,0)+IF(ISNUMBER(BH51),BH51,0)+IF(ISNUMBER(BI51),BI51,0)+IF(ISNUMBER(BJ51),BJ51,0))/(IF(ISNUMBER(AZ51),1,0)+IF(ISNUMBER(BA51),1,0)+IF(ISNUMBER(BB51),1,0)+IF(ISNUMBER(BC51),1,0)+IF(ISNUMBER(BD51),1,0)+IF(ISNUMBER(BE51),1,0)+IF(ISNUMBER(BF51),1,0)+IF(ISNUMBER(BG51),1,0)+IF(ISNUMBER(BH51),1,0)+IF(ISNUMBER(BI51),1,0)+IF(ISNUMBER(BJ51),1,0)),2),"")</f>
        <v>4.14</v>
      </c>
    </row>
    <row r="52" customFormat="false" ht="15" hidden="false" customHeight="false" outlineLevel="0" collapsed="false">
      <c r="A52" s="103" t="s">
        <v>103</v>
      </c>
      <c r="B52" s="103" t="s">
        <v>86</v>
      </c>
      <c r="C52" s="104" t="n">
        <v>1000</v>
      </c>
      <c r="D52" s="105" t="str">
        <f aca="false">IF(OR(Calculator!$E$11&lt;&gt;"YES",Calculator!$B$30&lt;Calculator!$G$11),"—",ROUND(MAX((50*POWER(80,POWER(COS(PI()*MOD(Calculator!$B$30/Calculator!$F$11,1)),2)))/$C52,$C52/(50*POWER(80,POWER(COS(PI()*MOD(Calculator!$B$30/Calculator!$F$11,1)),2)))),2))</f>
        <v>—</v>
      </c>
      <c r="E52" s="105" t="str">
        <f aca="false">IF(OR(Calculator!$E$12&lt;&gt;"YES",Calculator!$B$30&lt;Calculator!$G$12),"—",ROUND(MAX((50*POWER(80,POWER(COS(PI()*MOD(Calculator!$B$30/Calculator!$F$12,1)),2)))/$C52,$C52/(50*POWER(80,POWER(COS(PI()*MOD(Calculator!$B$30/Calculator!$F$12,1)),2)))),2))</f>
        <v>—</v>
      </c>
      <c r="F52" s="105" t="str">
        <f aca="false">IF(OR(Calculator!$E$13&lt;&gt;"YES",Calculator!$B$30&lt;Calculator!$G$13),"—",ROUND(MAX((50*POWER(80,POWER(COS(PI()*MOD(Calculator!$B$30/Calculator!$F$13,1)),2)))/$C52,$C52/(50*POWER(80,POWER(COS(PI()*MOD(Calculator!$B$30/Calculator!$F$13,1)),2)))),2))</f>
        <v>—</v>
      </c>
      <c r="G52" s="105" t="n">
        <f aca="false">IF(OR(Calculator!$E$14&lt;&gt;"YES",Calculator!$B$30&lt;Calculator!$G$14),"—",ROUND(MAX((50*POWER(80,POWER(COS(PI()*MOD(Calculator!$B$30/Calculator!$F$14,1)),2)))/$C52,$C52/(50*POWER(80,POWER(COS(PI()*MOD(Calculator!$B$30/Calculator!$F$14,1)),2)))),2))</f>
        <v>9.04</v>
      </c>
      <c r="H52" s="105" t="n">
        <f aca="false">IF(OR(Calculator!$E$15&lt;&gt;"YES",Calculator!$B$30&lt;Calculator!$G$15),"—",ROUND(MAX((50*POWER(80,POWER(COS(PI()*MOD(Calculator!$B$30/Calculator!$F$15,1)),2)))/$C52,$C52/(50*POWER(80,POWER(COS(PI()*MOD(Calculator!$B$30/Calculator!$F$15,1)),2)))),2))</f>
        <v>2.62</v>
      </c>
      <c r="I52" s="105" t="n">
        <f aca="false">IF(OR(Calculator!$E$16&lt;&gt;"YES",Calculator!$B$30&lt;Calculator!$G$16),"—",ROUND(MAX((50*POWER(80,POWER(COS(PI()*MOD(Calculator!$B$30/Calculator!$F$16,1)),2)))/$C52,$C52/(50*POWER(80,POWER(COS(PI()*MOD(Calculator!$B$30/Calculator!$F$16,1)),2)))),2))</f>
        <v>1.79</v>
      </c>
      <c r="J52" s="105" t="n">
        <f aca="false">IF(OR(Calculator!$E$17&lt;&gt;"YES",Calculator!$B$30&lt;Calculator!$G$17),"—",ROUND(MAX((50*POWER(80,POWER(COS(PI()*MOD(Calculator!$B$30/Calculator!$F$17,1)),2)))/$C52,$C52/(50*POWER(80,POWER(COS(PI()*MOD(Calculator!$B$30/Calculator!$F$17,1)),2)))),2))</f>
        <v>5.03</v>
      </c>
      <c r="K52" s="105" t="n">
        <f aca="false">IF(OR(Calculator!$E$18&lt;&gt;"YES",Calculator!$B$30&lt;Calculator!$G$18),"—",ROUND(MAX((50*POWER(80,POWER(COS(PI()*MOD(Calculator!$B$30/Calculator!$F$18,1)),2)))/$C52,$C52/(50*POWER(80,POWER(COS(PI()*MOD(Calculator!$B$30/Calculator!$F$18,1)),2)))),2))</f>
        <v>1.4</v>
      </c>
      <c r="L52" s="105" t="n">
        <f aca="false">IF(OR(Calculator!$E$19&lt;&gt;"YES",Calculator!$B$30&lt;Calculator!$G$19),"—",ROUND(MAX((50*POWER(80,POWER(COS(PI()*MOD(Calculator!$B$30/Calculator!$F$19,1)),2)))/$C52,$C52/(50*POWER(80,POWER(COS(PI()*MOD(Calculator!$B$30/Calculator!$F$19,1)),2)))),2))</f>
        <v>1.27</v>
      </c>
      <c r="M52" s="105" t="n">
        <f aca="false">IF(OR(Calculator!$E$20&lt;&gt;"YES",Calculator!$B$30&lt;Calculator!$G$20),"—",ROUND(MAX((50*POWER(80,POWER(COS(PI()*MOD(Calculator!$B$30/Calculator!$F$20,1)),2)))/$C52,$C52/(50*POWER(80,POWER(COS(PI()*MOD(Calculator!$B$30/Calculator!$F$20,1)),2)))),2))</f>
        <v>7.9</v>
      </c>
      <c r="N52" s="105" t="str">
        <f aca="false">IF(OR(Calculator!$E$21&lt;&gt;"YES",Calculator!$B$30&lt;Calculator!$G$21),"—",ROUND(MAX((50*POWER(80,POWER(COS(PI()*MOD(Calculator!$B$30/Calculator!$F$21,1)),2)))/$C52,$C52/(50*POWER(80,POWER(COS(PI()*MOD(Calculator!$B$30/Calculator!$F$21,1)),2)))),2))</f>
        <v>—</v>
      </c>
      <c r="O52" s="100" t="n">
        <f aca="false">IFERROR(ROUND((IF(ISNUMBER(D52),D52,0)+IF(ISNUMBER(E52),E52,0)+IF(ISNUMBER(F52),F52,0)+IF(ISNUMBER(G52),G52,0)+IF(ISNUMBER(H52),H52,0)+IF(ISNUMBER(I52),I52,0)+IF(ISNUMBER(J52),J52,0)+IF(ISNUMBER(K52),K52,0)+IF(ISNUMBER(L52),L52,0)+IF(ISNUMBER(M52),M52,0)+IF(ISNUMBER(N52),N52,0))/(IF(ISNUMBER(D52),1,0)+IF(ISNUMBER(E52),1,0)+IF(ISNUMBER(F52),1,0)+IF(ISNUMBER(G52),1,0)+IF(ISNUMBER(H52),1,0)+IF(ISNUMBER(I52),1,0)+IF(ISNUMBER(J52),1,0)+IF(ISNUMBER(K52),1,0)+IF(ISNUMBER(L52),1,0)+IF(ISNUMBER(M52),1,0)+IF(ISNUMBER(N52),1,0)),2),"")</f>
        <v>4.15</v>
      </c>
      <c r="P52" s="105" t="str">
        <f aca="false">IF(OR(Calculator!$E$11&lt;&gt;"YES",Calculator!$B$31&lt;Calculator!$G$11),"—",ROUND(MAX((50*POWER(80,POWER(COS(PI()*MOD(Calculator!$B$31/Calculator!$F$11,1)),2)))/$C52,$C52/(50*POWER(80,POWER(COS(PI()*MOD(Calculator!$B$31/Calculator!$F$11,1)),2)))),2))</f>
        <v>—</v>
      </c>
      <c r="Q52" s="105" t="str">
        <f aca="false">IF(OR(Calculator!$E$12&lt;&gt;"YES",Calculator!$B$31&lt;Calculator!$G$12),"—",ROUND(MAX((50*POWER(80,POWER(COS(PI()*MOD(Calculator!$B$31/Calculator!$F$12,1)),2)))/$C52,$C52/(50*POWER(80,POWER(COS(PI()*MOD(Calculator!$B$31/Calculator!$F$12,1)),2)))),2))</f>
        <v>—</v>
      </c>
      <c r="R52" s="105" t="str">
        <f aca="false">IF(OR(Calculator!$E$13&lt;&gt;"YES",Calculator!$B$31&lt;Calculator!$G$13),"—",ROUND(MAX((50*POWER(80,POWER(COS(PI()*MOD(Calculator!$B$31/Calculator!$F$13,1)),2)))/$C52,$C52/(50*POWER(80,POWER(COS(PI()*MOD(Calculator!$B$31/Calculator!$F$13,1)),2)))),2))</f>
        <v>—</v>
      </c>
      <c r="S52" s="105" t="n">
        <f aca="false">IF(OR(Calculator!$E$14&lt;&gt;"YES",Calculator!$B$31&lt;Calculator!$G$14),"—",ROUND(MAX((50*POWER(80,POWER(COS(PI()*MOD(Calculator!$B$31/Calculator!$F$14,1)),2)))/$C52,$C52/(50*POWER(80,POWER(COS(PI()*MOD(Calculator!$B$31/Calculator!$F$14,1)),2)))),2))</f>
        <v>9.25</v>
      </c>
      <c r="T52" s="105" t="n">
        <f aca="false">IF(OR(Calculator!$E$15&lt;&gt;"YES",Calculator!$B$31&lt;Calculator!$G$15),"—",ROUND(MAX((50*POWER(80,POWER(COS(PI()*MOD(Calculator!$B$31/Calculator!$F$15,1)),2)))/$C52,$C52/(50*POWER(80,POWER(COS(PI()*MOD(Calculator!$B$31/Calculator!$F$15,1)),2)))),2))</f>
        <v>5.63</v>
      </c>
      <c r="U52" s="105" t="n">
        <f aca="false">IF(OR(Calculator!$E$16&lt;&gt;"YES",Calculator!$B$31&lt;Calculator!$G$16),"—",ROUND(MAX((50*POWER(80,POWER(COS(PI()*MOD(Calculator!$B$31/Calculator!$F$16,1)),2)))/$C52,$C52/(50*POWER(80,POWER(COS(PI()*MOD(Calculator!$B$31/Calculator!$F$16,1)),2)))),2))</f>
        <v>2.14</v>
      </c>
      <c r="V52" s="105" t="n">
        <f aca="false">IF(OR(Calculator!$E$17&lt;&gt;"YES",Calculator!$B$31&lt;Calculator!$G$17),"—",ROUND(MAX((50*POWER(80,POWER(COS(PI()*MOD(Calculator!$B$31/Calculator!$F$17,1)),2)))/$C52,$C52/(50*POWER(80,POWER(COS(PI()*MOD(Calculator!$B$31/Calculator!$F$17,1)),2)))),2))</f>
        <v>1.62</v>
      </c>
      <c r="W52" s="105" t="n">
        <f aca="false">IF(OR(Calculator!$E$18&lt;&gt;"YES",Calculator!$B$31&lt;Calculator!$G$18),"—",ROUND(MAX((50*POWER(80,POWER(COS(PI()*MOD(Calculator!$B$31/Calculator!$F$18,1)),2)))/$C52,$C52/(50*POWER(80,POWER(COS(PI()*MOD(Calculator!$B$31/Calculator!$F$18,1)),2)))),2))</f>
        <v>1.84</v>
      </c>
      <c r="X52" s="105" t="n">
        <f aca="false">IF(OR(Calculator!$E$19&lt;&gt;"YES",Calculator!$B$31&lt;Calculator!$G$19),"—",ROUND(MAX((50*POWER(80,POWER(COS(PI()*MOD(Calculator!$B$31/Calculator!$F$19,1)),2)))/$C52,$C52/(50*POWER(80,POWER(COS(PI()*MOD(Calculator!$B$31/Calculator!$F$19,1)),2)))),2))</f>
        <v>3.72</v>
      </c>
      <c r="Y52" s="105" t="n">
        <f aca="false">IF(OR(Calculator!$E$20&lt;&gt;"YES",Calculator!$B$31&lt;Calculator!$G$20),"—",ROUND(MAX((50*POWER(80,POWER(COS(PI()*MOD(Calculator!$B$31/Calculator!$F$20,1)),2)))/$C52,$C52/(50*POWER(80,POWER(COS(PI()*MOD(Calculator!$B$31/Calculator!$F$20,1)),2)))),2))</f>
        <v>12.27</v>
      </c>
      <c r="Z52" s="105" t="str">
        <f aca="false">IF(OR(Calculator!$E$21&lt;&gt;"YES",Calculator!$B$31&lt;Calculator!$G$21),"—",ROUND(MAX((50*POWER(80,POWER(COS(PI()*MOD(Calculator!$B$31/Calculator!$F$21,1)),2)))/$C52,$C52/(50*POWER(80,POWER(COS(PI()*MOD(Calculator!$B$31/Calculator!$F$21,1)),2)))),2))</f>
        <v>—</v>
      </c>
      <c r="AA52" s="100" t="n">
        <f aca="false">IFERROR(ROUND((IF(ISNUMBER(P52),P52,0)+IF(ISNUMBER(Q52),Q52,0)+IF(ISNUMBER(R52),R52,0)+IF(ISNUMBER(S52),S52,0)+IF(ISNUMBER(T52),T52,0)+IF(ISNUMBER(U52),U52,0)+IF(ISNUMBER(V52),V52,0)+IF(ISNUMBER(W52),W52,0)+IF(ISNUMBER(X52),X52,0)+IF(ISNUMBER(Y52),Y52,0)+IF(ISNUMBER(Z52),Z52,0))/(IF(ISNUMBER(P52),1,0)+IF(ISNUMBER(Q52),1,0)+IF(ISNUMBER(R52),1,0)+IF(ISNUMBER(S52),1,0)+IF(ISNUMBER(T52),1,0)+IF(ISNUMBER(U52),1,0)+IF(ISNUMBER(V52),1,0)+IF(ISNUMBER(W52),1,0)+IF(ISNUMBER(X52),1,0)+IF(ISNUMBER(Y52),1,0)+IF(ISNUMBER(Z52),1,0)),2),"")</f>
        <v>5.21</v>
      </c>
      <c r="AB52" s="105" t="str">
        <f aca="false">IF(OR(Calculator!$E$11&lt;&gt;"YES",Calculator!$B$32&lt;Calculator!$G$11),"—",ROUND(MAX((50*POWER(80,POWER(COS(PI()*MOD(Calculator!$B$32/Calculator!$F$11,1)),2)))/$C52,$C52/(50*POWER(80,POWER(COS(PI()*MOD(Calculator!$B$32/Calculator!$F$11,1)),2)))),2))</f>
        <v>—</v>
      </c>
      <c r="AC52" s="105" t="str">
        <f aca="false">IF(OR(Calculator!$E$12&lt;&gt;"YES",Calculator!$B$32&lt;Calculator!$G$12),"—",ROUND(MAX((50*POWER(80,POWER(COS(PI()*MOD(Calculator!$B$32/Calculator!$F$12,1)),2)))/$C52,$C52/(50*POWER(80,POWER(COS(PI()*MOD(Calculator!$B$32/Calculator!$F$12,1)),2)))),2))</f>
        <v>—</v>
      </c>
      <c r="AD52" s="105" t="str">
        <f aca="false">IF(OR(Calculator!$E$13&lt;&gt;"YES",Calculator!$B$32&lt;Calculator!$G$13),"—",ROUND(MAX((50*POWER(80,POWER(COS(PI()*MOD(Calculator!$B$32/Calculator!$F$13,1)),2)))/$C52,$C52/(50*POWER(80,POWER(COS(PI()*MOD(Calculator!$B$32/Calculator!$F$13,1)),2)))),2))</f>
        <v>—</v>
      </c>
      <c r="AE52" s="105" t="n">
        <f aca="false">IF(OR(Calculator!$E$14&lt;&gt;"YES",Calculator!$B$32&lt;Calculator!$G$14),"—",ROUND(MAX((50*POWER(80,POWER(COS(PI()*MOD(Calculator!$B$32/Calculator!$F$14,1)),2)))/$C52,$C52/(50*POWER(80,POWER(COS(PI()*MOD(Calculator!$B$32/Calculator!$F$14,1)),2)))),2))</f>
        <v>5.84</v>
      </c>
      <c r="AF52" s="105" t="n">
        <f aca="false">IF(OR(Calculator!$E$15&lt;&gt;"YES",Calculator!$B$32&lt;Calculator!$G$15),"—",ROUND(MAX((50*POWER(80,POWER(COS(PI()*MOD(Calculator!$B$32/Calculator!$F$15,1)),2)))/$C52,$C52/(50*POWER(80,POWER(COS(PI()*MOD(Calculator!$B$32/Calculator!$F$15,1)),2)))),2))</f>
        <v>3.78</v>
      </c>
      <c r="AG52" s="105" t="n">
        <f aca="false">IF(OR(Calculator!$E$16&lt;&gt;"YES",Calculator!$B$32&lt;Calculator!$G$16),"—",ROUND(MAX((50*POWER(80,POWER(COS(PI()*MOD(Calculator!$B$32/Calculator!$F$16,1)),2)))/$C52,$C52/(50*POWER(80,POWER(COS(PI()*MOD(Calculator!$B$32/Calculator!$F$16,1)),2)))),2))</f>
        <v>12.75</v>
      </c>
      <c r="AH52" s="105" t="n">
        <f aca="false">IF(OR(Calculator!$E$17&lt;&gt;"YES",Calculator!$B$32&lt;Calculator!$G$17),"—",ROUND(MAX((50*POWER(80,POWER(COS(PI()*MOD(Calculator!$B$32/Calculator!$F$17,1)),2)))/$C52,$C52/(50*POWER(80,POWER(COS(PI()*MOD(Calculator!$B$32/Calculator!$F$17,1)),2)))),2))</f>
        <v>2.3</v>
      </c>
      <c r="AI52" s="105" t="n">
        <f aca="false">IF(OR(Calculator!$E$18&lt;&gt;"YES",Calculator!$B$32&lt;Calculator!$G$18),"—",ROUND(MAX((50*POWER(80,POWER(COS(PI()*MOD(Calculator!$B$32/Calculator!$F$18,1)),2)))/$C52,$C52/(50*POWER(80,POWER(COS(PI()*MOD(Calculator!$B$32/Calculator!$F$18,1)),2)))),2))</f>
        <v>2.5</v>
      </c>
      <c r="AJ52" s="105" t="n">
        <f aca="false">IF(OR(Calculator!$E$19&lt;&gt;"YES",Calculator!$B$32&lt;Calculator!$G$19),"—",ROUND(MAX((50*POWER(80,POWER(COS(PI()*MOD(Calculator!$B$32/Calculator!$F$19,1)),2)))/$C52,$C52/(50*POWER(80,POWER(COS(PI()*MOD(Calculator!$B$32/Calculator!$F$19,1)),2)))),2))</f>
        <v>2.63</v>
      </c>
      <c r="AK52" s="105" t="n">
        <f aca="false">IF(OR(Calculator!$E$20&lt;&gt;"YES",Calculator!$B$32&lt;Calculator!$G$20),"—",ROUND(MAX((50*POWER(80,POWER(COS(PI()*MOD(Calculator!$B$32/Calculator!$F$20,1)),2)))/$C52,$C52/(50*POWER(80,POWER(COS(PI()*MOD(Calculator!$B$32/Calculator!$F$20,1)),2)))),2))</f>
        <v>10.03</v>
      </c>
      <c r="AL52" s="105" t="str">
        <f aca="false">IF(OR(Calculator!$E$21&lt;&gt;"YES",Calculator!$B$32&lt;Calculator!$G$21),"—",ROUND(MAX((50*POWER(80,POWER(COS(PI()*MOD(Calculator!$B$32/Calculator!$F$21,1)),2)))/$C52,$C52/(50*POWER(80,POWER(COS(PI()*MOD(Calculator!$B$32/Calculator!$F$21,1)),2)))),2))</f>
        <v>—</v>
      </c>
      <c r="AM52" s="101" t="n">
        <f aca="false">IFERROR(ROUND((IF(ISNUMBER(AB52),AB52,0)+IF(ISNUMBER(AC52),AC52,0)+IF(ISNUMBER(AD52),AD52,0)+IF(ISNUMBER(AE52),AE52,0)+IF(ISNUMBER(AF52),AF52,0)+IF(ISNUMBER(AG52),AG52,0)+IF(ISNUMBER(AH52),AH52,0)+IF(ISNUMBER(AI52),AI52,0)+IF(ISNUMBER(AJ52),AJ52,0)+IF(ISNUMBER(AK52),AK52,0)+IF(ISNUMBER(AL52),AL52,0))/(IF(ISNUMBER(AB52),1,0)+IF(ISNUMBER(AC52),1,0)+IF(ISNUMBER(AD52),1,0)+IF(ISNUMBER(AE52),1,0)+IF(ISNUMBER(AF52),1,0)+IF(ISNUMBER(AG52),1,0)+IF(ISNUMBER(AH52),1,0)+IF(ISNUMBER(AI52),1,0)+IF(ISNUMBER(AJ52),1,0)+IF(ISNUMBER(AK52),1,0)+IF(ISNUMBER(AL52),1,0)),2),"")</f>
        <v>5.69</v>
      </c>
      <c r="AN52" s="106" t="str">
        <f aca="false">IF(OR(Calculator!$E$11&lt;&gt;"YES",Calculator!$B$33&lt;Calculator!$G$11),"—",ROUND(MAX((50*POWER(80,POWER(COS(PI()*MOD(Calculator!$B$33/Calculator!$F$11,1)),2)))/$C52,$C52/(50*POWER(80,POWER(COS(PI()*MOD(Calculator!$B$33/Calculator!$F$11,1)),2)))),2))</f>
        <v>—</v>
      </c>
      <c r="AO52" s="106" t="str">
        <f aca="false">IF(OR(Calculator!$E$12&lt;&gt;"YES",Calculator!$B$33&lt;Calculator!$G$12),"—",ROUND(MAX((50*POWER(80,POWER(COS(PI()*MOD(Calculator!$B$33/Calculator!$F$12,1)),2)))/$C52,$C52/(50*POWER(80,POWER(COS(PI()*MOD(Calculator!$B$33/Calculator!$F$12,1)),2)))),2))</f>
        <v>—</v>
      </c>
      <c r="AP52" s="106" t="str">
        <f aca="false">IF(OR(Calculator!$E$13&lt;&gt;"YES",Calculator!$B$33&lt;Calculator!$G$13),"—",ROUND(MAX((50*POWER(80,POWER(COS(PI()*MOD(Calculator!$B$33/Calculator!$F$13,1)),2)))/$C52,$C52/(50*POWER(80,POWER(COS(PI()*MOD(Calculator!$B$33/Calculator!$F$13,1)),2)))),2))</f>
        <v>—</v>
      </c>
      <c r="AQ52" s="106" t="n">
        <f aca="false">IF(OR(Calculator!$E$14&lt;&gt;"YES",Calculator!$B$33&lt;Calculator!$G$14),"—",ROUND(MAX((50*POWER(80,POWER(COS(PI()*MOD(Calculator!$B$33/Calculator!$F$14,1)),2)))/$C52,$C52/(50*POWER(80,POWER(COS(PI()*MOD(Calculator!$B$33/Calculator!$F$14,1)),2)))),2))</f>
        <v>2.73</v>
      </c>
      <c r="AR52" s="106" t="n">
        <f aca="false">IF(OR(Calculator!$E$15&lt;&gt;"YES",Calculator!$B$33&lt;Calculator!$G$15),"—",ROUND(MAX((50*POWER(80,POWER(COS(PI()*MOD(Calculator!$B$33/Calculator!$F$15,1)),2)))/$C52,$C52/(50*POWER(80,POWER(COS(PI()*MOD(Calculator!$B$33/Calculator!$F$15,1)),2)))),2))</f>
        <v>3.41</v>
      </c>
      <c r="AS52" s="106" t="n">
        <f aca="false">IF(OR(Calculator!$E$16&lt;&gt;"YES",Calculator!$B$33&lt;Calculator!$G$16),"—",ROUND(MAX((50*POWER(80,POWER(COS(PI()*MOD(Calculator!$B$33/Calculator!$F$16,1)),2)))/$C52,$C52/(50*POWER(80,POWER(COS(PI()*MOD(Calculator!$B$33/Calculator!$F$16,1)),2)))),2))</f>
        <v>1.24</v>
      </c>
      <c r="AT52" s="106" t="n">
        <f aca="false">IF(OR(Calculator!$E$17&lt;&gt;"YES",Calculator!$B$33&lt;Calculator!$G$17),"—",ROUND(MAX((50*POWER(80,POWER(COS(PI()*MOD(Calculator!$B$33/Calculator!$F$17,1)),2)))/$C52,$C52/(50*POWER(80,POWER(COS(PI()*MOD(Calculator!$B$33/Calculator!$F$17,1)),2)))),2))</f>
        <v>3.95</v>
      </c>
      <c r="AU52" s="106" t="n">
        <f aca="false">IF(OR(Calculator!$E$18&lt;&gt;"YES",Calculator!$B$33&lt;Calculator!$G$18),"—",ROUND(MAX((50*POWER(80,POWER(COS(PI()*MOD(Calculator!$B$33/Calculator!$F$18,1)),2)))/$C52,$C52/(50*POWER(80,POWER(COS(PI()*MOD(Calculator!$B$33/Calculator!$F$18,1)),2)))),2))</f>
        <v>5.35</v>
      </c>
      <c r="AV52" s="106" t="n">
        <f aca="false">IF(OR(Calculator!$E$19&lt;&gt;"YES",Calculator!$B$33&lt;Calculator!$G$19),"—",ROUND(MAX((50*POWER(80,POWER(COS(PI()*MOD(Calculator!$B$33/Calculator!$F$19,1)),2)))/$C52,$C52/(50*POWER(80,POWER(COS(PI()*MOD(Calculator!$B$33/Calculator!$F$19,1)),2)))),2))</f>
        <v>1.54</v>
      </c>
      <c r="AW52" s="106" t="n">
        <f aca="false">IF(OR(Calculator!$E$20&lt;&gt;"YES",Calculator!$B$33&lt;Calculator!$G$20),"—",ROUND(MAX((50*POWER(80,POWER(COS(PI()*MOD(Calculator!$B$33/Calculator!$F$20,1)),2)))/$C52,$C52/(50*POWER(80,POWER(COS(PI()*MOD(Calculator!$B$33/Calculator!$F$20,1)),2)))),2))</f>
        <v>8.16</v>
      </c>
      <c r="AX52" s="106" t="str">
        <f aca="false">IF(OR(Calculator!$E$21&lt;&gt;"YES",Calculator!$B$33&lt;Calculator!$G$21),"—",ROUND(MAX((50*POWER(80,POWER(COS(PI()*MOD(Calculator!$B$33/Calculator!$F$21,1)),2)))/$C52,$C52/(50*POWER(80,POWER(COS(PI()*MOD(Calculator!$B$33/Calculator!$F$21,1)),2)))),2))</f>
        <v>—</v>
      </c>
      <c r="AY52" s="101" t="n">
        <f aca="false">IFERROR(ROUND((IF(ISNUMBER(AN52),AN52,0)+IF(ISNUMBER(AO52),AO52,0)+IF(ISNUMBER(AP52),AP52,0)+IF(ISNUMBER(AQ52),AQ52,0)+IF(ISNUMBER(AR52),AR52,0)+IF(ISNUMBER(AS52),AS52,0)+IF(ISNUMBER(AT52),AT52,0)+IF(ISNUMBER(AU52),AU52,0)+IF(ISNUMBER(AV52),AV52,0)+IF(ISNUMBER(AW52),AW52,0)+IF(ISNUMBER(AX52),AX52,0))/(IF(ISNUMBER(AN52),1,0)+IF(ISNUMBER(AO52),1,0)+IF(ISNUMBER(AP52),1,0)+IF(ISNUMBER(AQ52),1,0)+IF(ISNUMBER(AR52),1,0)+IF(ISNUMBER(AS52),1,0)+IF(ISNUMBER(AT52),1,0)+IF(ISNUMBER(AU52),1,0)+IF(ISNUMBER(AV52),1,0)+IF(ISNUMBER(AW52),1,0)+IF(ISNUMBER(AX52),1,0)),2),"")</f>
        <v>3.77</v>
      </c>
      <c r="AZ52" s="106" t="str">
        <f aca="false">IF(OR(Calculator!$E$11&lt;&gt;"YES",Calculator!$B$34&lt;Calculator!$G$11),"—",ROUND(MAX((50*POWER(80,POWER(COS(PI()*MOD(Calculator!$B$34/Calculator!$F$11,1)),2)))/$C52,$C52/(50*POWER(80,POWER(COS(PI()*MOD(Calculator!$B$34/Calculator!$F$11,1)),2)))),2))</f>
        <v>—</v>
      </c>
      <c r="BA52" s="106" t="str">
        <f aca="false">IF(OR(Calculator!$E$12&lt;&gt;"YES",Calculator!$B$34&lt;Calculator!$G$12),"—",ROUND(MAX((50*POWER(80,POWER(COS(PI()*MOD(Calculator!$B$34/Calculator!$F$12,1)),2)))/$C52,$C52/(50*POWER(80,POWER(COS(PI()*MOD(Calculator!$B$34/Calculator!$F$12,1)),2)))),2))</f>
        <v>—</v>
      </c>
      <c r="BB52" s="106" t="str">
        <f aca="false">IF(OR(Calculator!$E$13&lt;&gt;"YES",Calculator!$B$34&lt;Calculator!$G$13),"—",ROUND(MAX((50*POWER(80,POWER(COS(PI()*MOD(Calculator!$B$34/Calculator!$F$13,1)),2)))/$C52,$C52/(50*POWER(80,POWER(COS(PI()*MOD(Calculator!$B$34/Calculator!$F$13,1)),2)))),2))</f>
        <v>—</v>
      </c>
      <c r="BC52" s="106" t="n">
        <f aca="false">IF(OR(Calculator!$E$14&lt;&gt;"YES",Calculator!$B$34&lt;Calculator!$G$14),"—",ROUND(MAX((50*POWER(80,POWER(COS(PI()*MOD(Calculator!$B$34/Calculator!$F$14,1)),2)))/$C52,$C52/(50*POWER(80,POWER(COS(PI()*MOD(Calculator!$B$34/Calculator!$F$14,1)),2)))),2))</f>
        <v>2.77</v>
      </c>
      <c r="BD52" s="106" t="n">
        <f aca="false">IF(OR(Calculator!$E$15&lt;&gt;"YES",Calculator!$B$34&lt;Calculator!$G$15),"—",ROUND(MAX((50*POWER(80,POWER(COS(PI()*MOD(Calculator!$B$34/Calculator!$F$15,1)),2)))/$C52,$C52/(50*POWER(80,POWER(COS(PI()*MOD(Calculator!$B$34/Calculator!$F$15,1)),2)))),2))</f>
        <v>4.4</v>
      </c>
      <c r="BE52" s="106" t="n">
        <f aca="false">IF(OR(Calculator!$E$16&lt;&gt;"YES",Calculator!$B$34&lt;Calculator!$G$16),"—",ROUND(MAX((50*POWER(80,POWER(COS(PI()*MOD(Calculator!$B$34/Calculator!$F$16,1)),2)))/$C52,$C52/(50*POWER(80,POWER(COS(PI()*MOD(Calculator!$B$34/Calculator!$F$16,1)),2)))),2))</f>
        <v>1.48</v>
      </c>
      <c r="BF52" s="106" t="n">
        <f aca="false">IF(OR(Calculator!$E$17&lt;&gt;"YES",Calculator!$B$34&lt;Calculator!$G$17),"—",ROUND(MAX((50*POWER(80,POWER(COS(PI()*MOD(Calculator!$B$34/Calculator!$F$17,1)),2)))/$C52,$C52/(50*POWER(80,POWER(COS(PI()*MOD(Calculator!$B$34/Calculator!$F$17,1)),2)))),2))</f>
        <v>1.31</v>
      </c>
      <c r="BG52" s="106" t="n">
        <f aca="false">IF(OR(Calculator!$E$18&lt;&gt;"YES",Calculator!$B$34&lt;Calculator!$G$18),"—",ROUND(MAX((50*POWER(80,POWER(COS(PI()*MOD(Calculator!$B$34/Calculator!$F$18,1)),2)))/$C52,$C52/(50*POWER(80,POWER(COS(PI()*MOD(Calculator!$B$34/Calculator!$F$18,1)),2)))),2))</f>
        <v>7.23</v>
      </c>
      <c r="BH52" s="106" t="n">
        <f aca="false">IF(OR(Calculator!$E$19&lt;&gt;"YES",Calculator!$B$34&lt;Calculator!$G$19),"—",ROUND(MAX((50*POWER(80,POWER(COS(PI()*MOD(Calculator!$B$34/Calculator!$F$19,1)),2)))/$C52,$C52/(50*POWER(80,POWER(COS(PI()*MOD(Calculator!$B$34/Calculator!$F$19,1)),2)))),2))</f>
        <v>8.05</v>
      </c>
      <c r="BI52" s="106" t="n">
        <f aca="false">IF(OR(Calculator!$E$20&lt;&gt;"YES",Calculator!$B$34&lt;Calculator!$G$20),"—",ROUND(MAX((50*POWER(80,POWER(COS(PI()*MOD(Calculator!$B$34/Calculator!$F$20,1)),2)))/$C52,$C52/(50*POWER(80,POWER(COS(PI()*MOD(Calculator!$B$34/Calculator!$F$20,1)),2)))),2))</f>
        <v>4.8</v>
      </c>
      <c r="BJ52" s="106" t="str">
        <f aca="false">IF(OR(Calculator!$E$21&lt;&gt;"YES",Calculator!$B$34&lt;Calculator!$G$21),"—",ROUND(MAX((50*POWER(80,POWER(COS(PI()*MOD(Calculator!$B$34/Calculator!$F$21,1)),2)))/$C52,$C52/(50*POWER(80,POWER(COS(PI()*MOD(Calculator!$B$34/Calculator!$F$21,1)),2)))),2))</f>
        <v>—</v>
      </c>
      <c r="BK52" s="101" t="n">
        <f aca="false">IFERROR(ROUND((IF(ISNUMBER(AZ52),AZ52,0)+IF(ISNUMBER(BA52),BA52,0)+IF(ISNUMBER(BB52),BB52,0)+IF(ISNUMBER(BC52),BC52,0)+IF(ISNUMBER(BD52),BD52,0)+IF(ISNUMBER(BE52),BE52,0)+IF(ISNUMBER(BF52),BF52,0)+IF(ISNUMBER(BG52),BG52,0)+IF(ISNUMBER(BH52),BH52,0)+IF(ISNUMBER(BI52),BI52,0)+IF(ISNUMBER(BJ52),BJ52,0))/(IF(ISNUMBER(AZ52),1,0)+IF(ISNUMBER(BA52),1,0)+IF(ISNUMBER(BB52),1,0)+IF(ISNUMBER(BC52),1,0)+IF(ISNUMBER(BD52),1,0)+IF(ISNUMBER(BE52),1,0)+IF(ISNUMBER(BF52),1,0)+IF(ISNUMBER(BG52),1,0)+IF(ISNUMBER(BH52),1,0)+IF(ISNUMBER(BI52),1,0)+IF(ISNUMBER(BJ52),1,0)),2),"")</f>
        <v>4.29</v>
      </c>
    </row>
    <row r="53" customFormat="false" ht="15" hidden="false" customHeight="false" outlineLevel="0" collapsed="false">
      <c r="A53" s="74" t="s">
        <v>104</v>
      </c>
      <c r="B53" s="74" t="s">
        <v>86</v>
      </c>
      <c r="C53" s="77" t="n">
        <v>1050</v>
      </c>
      <c r="D53" s="78" t="str">
        <f aca="false">IF(OR(Calculator!$E$11&lt;&gt;"YES",Calculator!$B$30&lt;Calculator!$G$11),"—",ROUND(MAX((50*POWER(80,POWER(COS(PI()*MOD(Calculator!$B$30/Calculator!$F$11,1)),2)))/$C53,$C53/(50*POWER(80,POWER(COS(PI()*MOD(Calculator!$B$30/Calculator!$F$11,1)),2)))),2))</f>
        <v>—</v>
      </c>
      <c r="E53" s="78" t="str">
        <f aca="false">IF(OR(Calculator!$E$12&lt;&gt;"YES",Calculator!$B$30&lt;Calculator!$G$12),"—",ROUND(MAX((50*POWER(80,POWER(COS(PI()*MOD(Calculator!$B$30/Calculator!$F$12,1)),2)))/$C53,$C53/(50*POWER(80,POWER(COS(PI()*MOD(Calculator!$B$30/Calculator!$F$12,1)),2)))),2))</f>
        <v>—</v>
      </c>
      <c r="F53" s="78" t="str">
        <f aca="false">IF(OR(Calculator!$E$13&lt;&gt;"YES",Calculator!$B$30&lt;Calculator!$G$13),"—",ROUND(MAX((50*POWER(80,POWER(COS(PI()*MOD(Calculator!$B$30/Calculator!$F$13,1)),2)))/$C53,$C53/(50*POWER(80,POWER(COS(PI()*MOD(Calculator!$B$30/Calculator!$F$13,1)),2)))),2))</f>
        <v>—</v>
      </c>
      <c r="G53" s="78" t="n">
        <f aca="false">IF(OR(Calculator!$E$14&lt;&gt;"YES",Calculator!$B$30&lt;Calculator!$G$14),"—",ROUND(MAX((50*POWER(80,POWER(COS(PI()*MOD(Calculator!$B$30/Calculator!$F$14,1)),2)))/$C53,$C53/(50*POWER(80,POWER(COS(PI()*MOD(Calculator!$B$30/Calculator!$F$14,1)),2)))),2))</f>
        <v>9.49</v>
      </c>
      <c r="H53" s="78" t="n">
        <f aca="false">IF(OR(Calculator!$E$15&lt;&gt;"YES",Calculator!$B$30&lt;Calculator!$G$15),"—",ROUND(MAX((50*POWER(80,POWER(COS(PI()*MOD(Calculator!$B$30/Calculator!$F$15,1)),2)))/$C53,$C53/(50*POWER(80,POWER(COS(PI()*MOD(Calculator!$B$30/Calculator!$F$15,1)),2)))),2))</f>
        <v>2.75</v>
      </c>
      <c r="I53" s="78" t="n">
        <f aca="false">IF(OR(Calculator!$E$16&lt;&gt;"YES",Calculator!$B$30&lt;Calculator!$G$16),"—",ROUND(MAX((50*POWER(80,POWER(COS(PI()*MOD(Calculator!$B$30/Calculator!$F$16,1)),2)))/$C53,$C53/(50*POWER(80,POWER(COS(PI()*MOD(Calculator!$B$30/Calculator!$F$16,1)),2)))),2))</f>
        <v>1.88</v>
      </c>
      <c r="J53" s="78" t="n">
        <f aca="false">IF(OR(Calculator!$E$17&lt;&gt;"YES",Calculator!$B$30&lt;Calculator!$G$17),"—",ROUND(MAX((50*POWER(80,POWER(COS(PI()*MOD(Calculator!$B$30/Calculator!$F$17,1)),2)))/$C53,$C53/(50*POWER(80,POWER(COS(PI()*MOD(Calculator!$B$30/Calculator!$F$17,1)),2)))),2))</f>
        <v>5.28</v>
      </c>
      <c r="K53" s="78" t="n">
        <f aca="false">IF(OR(Calculator!$E$18&lt;&gt;"YES",Calculator!$B$30&lt;Calculator!$G$18),"—",ROUND(MAX((50*POWER(80,POWER(COS(PI()*MOD(Calculator!$B$30/Calculator!$F$18,1)),2)))/$C53,$C53/(50*POWER(80,POWER(COS(PI()*MOD(Calculator!$B$30/Calculator!$F$18,1)),2)))),2))</f>
        <v>1.33</v>
      </c>
      <c r="L53" s="78" t="n">
        <f aca="false">IF(OR(Calculator!$E$19&lt;&gt;"YES",Calculator!$B$30&lt;Calculator!$G$19),"—",ROUND(MAX((50*POWER(80,POWER(COS(PI()*MOD(Calculator!$B$30/Calculator!$F$19,1)),2)))/$C53,$C53/(50*POWER(80,POWER(COS(PI()*MOD(Calculator!$B$30/Calculator!$F$19,1)),2)))),2))</f>
        <v>1.34</v>
      </c>
      <c r="M53" s="78" t="n">
        <f aca="false">IF(OR(Calculator!$E$20&lt;&gt;"YES",Calculator!$B$30&lt;Calculator!$G$20),"—",ROUND(MAX((50*POWER(80,POWER(COS(PI()*MOD(Calculator!$B$30/Calculator!$F$20,1)),2)))/$C53,$C53/(50*POWER(80,POWER(COS(PI()*MOD(Calculator!$B$30/Calculator!$F$20,1)),2)))),2))</f>
        <v>8.29</v>
      </c>
      <c r="N53" s="78" t="str">
        <f aca="false">IF(OR(Calculator!$E$21&lt;&gt;"YES",Calculator!$B$30&lt;Calculator!$G$21),"—",ROUND(MAX((50*POWER(80,POWER(COS(PI()*MOD(Calculator!$B$30/Calculator!$F$21,1)),2)))/$C53,$C53/(50*POWER(80,POWER(COS(PI()*MOD(Calculator!$B$30/Calculator!$F$21,1)),2)))),2))</f>
        <v>—</v>
      </c>
      <c r="O53" s="100" t="n">
        <f aca="false">IFERROR(ROUND((IF(ISNUMBER(D53),D53,0)+IF(ISNUMBER(E53),E53,0)+IF(ISNUMBER(F53),F53,0)+IF(ISNUMBER(G53),G53,0)+IF(ISNUMBER(H53),H53,0)+IF(ISNUMBER(I53),I53,0)+IF(ISNUMBER(J53),J53,0)+IF(ISNUMBER(K53),K53,0)+IF(ISNUMBER(L53),L53,0)+IF(ISNUMBER(M53),M53,0)+IF(ISNUMBER(N53),N53,0))/(IF(ISNUMBER(D53),1,0)+IF(ISNUMBER(E53),1,0)+IF(ISNUMBER(F53),1,0)+IF(ISNUMBER(G53),1,0)+IF(ISNUMBER(H53),1,0)+IF(ISNUMBER(I53),1,0)+IF(ISNUMBER(J53),1,0)+IF(ISNUMBER(K53),1,0)+IF(ISNUMBER(L53),1,0)+IF(ISNUMBER(M53),1,0)+IF(ISNUMBER(N53),1,0)),2),"")</f>
        <v>4.34</v>
      </c>
      <c r="P53" s="78" t="str">
        <f aca="false">IF(OR(Calculator!$E$11&lt;&gt;"YES",Calculator!$B$31&lt;Calculator!$G$11),"—",ROUND(MAX((50*POWER(80,POWER(COS(PI()*MOD(Calculator!$B$31/Calculator!$F$11,1)),2)))/$C53,$C53/(50*POWER(80,POWER(COS(PI()*MOD(Calculator!$B$31/Calculator!$F$11,1)),2)))),2))</f>
        <v>—</v>
      </c>
      <c r="Q53" s="78" t="str">
        <f aca="false">IF(OR(Calculator!$E$12&lt;&gt;"YES",Calculator!$B$31&lt;Calculator!$G$12),"—",ROUND(MAX((50*POWER(80,POWER(COS(PI()*MOD(Calculator!$B$31/Calculator!$F$12,1)),2)))/$C53,$C53/(50*POWER(80,POWER(COS(PI()*MOD(Calculator!$B$31/Calculator!$F$12,1)),2)))),2))</f>
        <v>—</v>
      </c>
      <c r="R53" s="78" t="str">
        <f aca="false">IF(OR(Calculator!$E$13&lt;&gt;"YES",Calculator!$B$31&lt;Calculator!$G$13),"—",ROUND(MAX((50*POWER(80,POWER(COS(PI()*MOD(Calculator!$B$31/Calculator!$F$13,1)),2)))/$C53,$C53/(50*POWER(80,POWER(COS(PI()*MOD(Calculator!$B$31/Calculator!$F$13,1)),2)))),2))</f>
        <v>—</v>
      </c>
      <c r="S53" s="78" t="n">
        <f aca="false">IF(OR(Calculator!$E$14&lt;&gt;"YES",Calculator!$B$31&lt;Calculator!$G$14),"—",ROUND(MAX((50*POWER(80,POWER(COS(PI()*MOD(Calculator!$B$31/Calculator!$F$14,1)),2)))/$C53,$C53/(50*POWER(80,POWER(COS(PI()*MOD(Calculator!$B$31/Calculator!$F$14,1)),2)))),2))</f>
        <v>9.71</v>
      </c>
      <c r="T53" s="78" t="n">
        <f aca="false">IF(OR(Calculator!$E$15&lt;&gt;"YES",Calculator!$B$31&lt;Calculator!$G$15),"—",ROUND(MAX((50*POWER(80,POWER(COS(PI()*MOD(Calculator!$B$31/Calculator!$F$15,1)),2)))/$C53,$C53/(50*POWER(80,POWER(COS(PI()*MOD(Calculator!$B$31/Calculator!$F$15,1)),2)))),2))</f>
        <v>5.91</v>
      </c>
      <c r="U53" s="78" t="n">
        <f aca="false">IF(OR(Calculator!$E$16&lt;&gt;"YES",Calculator!$B$31&lt;Calculator!$G$16),"—",ROUND(MAX((50*POWER(80,POWER(COS(PI()*MOD(Calculator!$B$31/Calculator!$F$16,1)),2)))/$C53,$C53/(50*POWER(80,POWER(COS(PI()*MOD(Calculator!$B$31/Calculator!$F$16,1)),2)))),2))</f>
        <v>2.25</v>
      </c>
      <c r="V53" s="78" t="n">
        <f aca="false">IF(OR(Calculator!$E$17&lt;&gt;"YES",Calculator!$B$31&lt;Calculator!$G$17),"—",ROUND(MAX((50*POWER(80,POWER(COS(PI()*MOD(Calculator!$B$31/Calculator!$F$17,1)),2)))/$C53,$C53/(50*POWER(80,POWER(COS(PI()*MOD(Calculator!$B$31/Calculator!$F$17,1)),2)))),2))</f>
        <v>1.54</v>
      </c>
      <c r="W53" s="78" t="n">
        <f aca="false">IF(OR(Calculator!$E$18&lt;&gt;"YES",Calculator!$B$31&lt;Calculator!$G$18),"—",ROUND(MAX((50*POWER(80,POWER(COS(PI()*MOD(Calculator!$B$31/Calculator!$F$18,1)),2)))/$C53,$C53/(50*POWER(80,POWER(COS(PI()*MOD(Calculator!$B$31/Calculator!$F$18,1)),2)))),2))</f>
        <v>1.75</v>
      </c>
      <c r="X53" s="78" t="n">
        <f aca="false">IF(OR(Calculator!$E$19&lt;&gt;"YES",Calculator!$B$31&lt;Calculator!$G$19),"—",ROUND(MAX((50*POWER(80,POWER(COS(PI()*MOD(Calculator!$B$31/Calculator!$F$19,1)),2)))/$C53,$C53/(50*POWER(80,POWER(COS(PI()*MOD(Calculator!$B$31/Calculator!$F$19,1)),2)))),2))</f>
        <v>3.9</v>
      </c>
      <c r="Y53" s="78" t="n">
        <f aca="false">IF(OR(Calculator!$E$20&lt;&gt;"YES",Calculator!$B$31&lt;Calculator!$G$20),"—",ROUND(MAX((50*POWER(80,POWER(COS(PI()*MOD(Calculator!$B$31/Calculator!$F$20,1)),2)))/$C53,$C53/(50*POWER(80,POWER(COS(PI()*MOD(Calculator!$B$31/Calculator!$F$20,1)),2)))),2))</f>
        <v>12.88</v>
      </c>
      <c r="Z53" s="78" t="str">
        <f aca="false">IF(OR(Calculator!$E$21&lt;&gt;"YES",Calculator!$B$31&lt;Calculator!$G$21),"—",ROUND(MAX((50*POWER(80,POWER(COS(PI()*MOD(Calculator!$B$31/Calculator!$F$21,1)),2)))/$C53,$C53/(50*POWER(80,POWER(COS(PI()*MOD(Calculator!$B$31/Calculator!$F$21,1)),2)))),2))</f>
        <v>—</v>
      </c>
      <c r="AA53" s="100" t="n">
        <f aca="false">IFERROR(ROUND((IF(ISNUMBER(P53),P53,0)+IF(ISNUMBER(Q53),Q53,0)+IF(ISNUMBER(R53),R53,0)+IF(ISNUMBER(S53),S53,0)+IF(ISNUMBER(T53),T53,0)+IF(ISNUMBER(U53),U53,0)+IF(ISNUMBER(V53),V53,0)+IF(ISNUMBER(W53),W53,0)+IF(ISNUMBER(X53),X53,0)+IF(ISNUMBER(Y53),Y53,0)+IF(ISNUMBER(Z53),Z53,0))/(IF(ISNUMBER(P53),1,0)+IF(ISNUMBER(Q53),1,0)+IF(ISNUMBER(R53),1,0)+IF(ISNUMBER(S53),1,0)+IF(ISNUMBER(T53),1,0)+IF(ISNUMBER(U53),1,0)+IF(ISNUMBER(V53),1,0)+IF(ISNUMBER(W53),1,0)+IF(ISNUMBER(X53),1,0)+IF(ISNUMBER(Y53),1,0)+IF(ISNUMBER(Z53),1,0)),2),"")</f>
        <v>5.42</v>
      </c>
      <c r="AB53" s="78" t="str">
        <f aca="false">IF(OR(Calculator!$E$11&lt;&gt;"YES",Calculator!$B$32&lt;Calculator!$G$11),"—",ROUND(MAX((50*POWER(80,POWER(COS(PI()*MOD(Calculator!$B$32/Calculator!$F$11,1)),2)))/$C53,$C53/(50*POWER(80,POWER(COS(PI()*MOD(Calculator!$B$32/Calculator!$F$11,1)),2)))),2))</f>
        <v>—</v>
      </c>
      <c r="AC53" s="78" t="str">
        <f aca="false">IF(OR(Calculator!$E$12&lt;&gt;"YES",Calculator!$B$32&lt;Calculator!$G$12),"—",ROUND(MAX((50*POWER(80,POWER(COS(PI()*MOD(Calculator!$B$32/Calculator!$F$12,1)),2)))/$C53,$C53/(50*POWER(80,POWER(COS(PI()*MOD(Calculator!$B$32/Calculator!$F$12,1)),2)))),2))</f>
        <v>—</v>
      </c>
      <c r="AD53" s="78" t="str">
        <f aca="false">IF(OR(Calculator!$E$13&lt;&gt;"YES",Calculator!$B$32&lt;Calculator!$G$13),"—",ROUND(MAX((50*POWER(80,POWER(COS(PI()*MOD(Calculator!$B$32/Calculator!$F$13,1)),2)))/$C53,$C53/(50*POWER(80,POWER(COS(PI()*MOD(Calculator!$B$32/Calculator!$F$13,1)),2)))),2))</f>
        <v>—</v>
      </c>
      <c r="AE53" s="78" t="n">
        <f aca="false">IF(OR(Calculator!$E$14&lt;&gt;"YES",Calculator!$B$32&lt;Calculator!$G$14),"—",ROUND(MAX((50*POWER(80,POWER(COS(PI()*MOD(Calculator!$B$32/Calculator!$F$14,1)),2)))/$C53,$C53/(50*POWER(80,POWER(COS(PI()*MOD(Calculator!$B$32/Calculator!$F$14,1)),2)))),2))</f>
        <v>6.13</v>
      </c>
      <c r="AF53" s="78" t="n">
        <f aca="false">IF(OR(Calculator!$E$15&lt;&gt;"YES",Calculator!$B$32&lt;Calculator!$G$15),"—",ROUND(MAX((50*POWER(80,POWER(COS(PI()*MOD(Calculator!$B$32/Calculator!$F$15,1)),2)))/$C53,$C53/(50*POWER(80,POWER(COS(PI()*MOD(Calculator!$B$32/Calculator!$F$15,1)),2)))),2))</f>
        <v>3.97</v>
      </c>
      <c r="AG53" s="78" t="n">
        <f aca="false">IF(OR(Calculator!$E$16&lt;&gt;"YES",Calculator!$B$32&lt;Calculator!$G$16),"—",ROUND(MAX((50*POWER(80,POWER(COS(PI()*MOD(Calculator!$B$32/Calculator!$F$16,1)),2)))/$C53,$C53/(50*POWER(80,POWER(COS(PI()*MOD(Calculator!$B$32/Calculator!$F$16,1)),2)))),2))</f>
        <v>13.39</v>
      </c>
      <c r="AH53" s="78" t="n">
        <f aca="false">IF(OR(Calculator!$E$17&lt;&gt;"YES",Calculator!$B$32&lt;Calculator!$G$17),"—",ROUND(MAX((50*POWER(80,POWER(COS(PI()*MOD(Calculator!$B$32/Calculator!$F$17,1)),2)))/$C53,$C53/(50*POWER(80,POWER(COS(PI()*MOD(Calculator!$B$32/Calculator!$F$17,1)),2)))),2))</f>
        <v>2.19</v>
      </c>
      <c r="AI53" s="78" t="n">
        <f aca="false">IF(OR(Calculator!$E$18&lt;&gt;"YES",Calculator!$B$32&lt;Calculator!$G$18),"—",ROUND(MAX((50*POWER(80,POWER(COS(PI()*MOD(Calculator!$B$32/Calculator!$F$18,1)),2)))/$C53,$C53/(50*POWER(80,POWER(COS(PI()*MOD(Calculator!$B$32/Calculator!$F$18,1)),2)))),2))</f>
        <v>2.38</v>
      </c>
      <c r="AJ53" s="78" t="n">
        <f aca="false">IF(OR(Calculator!$E$19&lt;&gt;"YES",Calculator!$B$32&lt;Calculator!$G$19),"—",ROUND(MAX((50*POWER(80,POWER(COS(PI()*MOD(Calculator!$B$32/Calculator!$F$19,1)),2)))/$C53,$C53/(50*POWER(80,POWER(COS(PI()*MOD(Calculator!$B$32/Calculator!$F$19,1)),2)))),2))</f>
        <v>2.5</v>
      </c>
      <c r="AK53" s="78" t="n">
        <f aca="false">IF(OR(Calculator!$E$20&lt;&gt;"YES",Calculator!$B$32&lt;Calculator!$G$20),"—",ROUND(MAX((50*POWER(80,POWER(COS(PI()*MOD(Calculator!$B$32/Calculator!$F$20,1)),2)))/$C53,$C53/(50*POWER(80,POWER(COS(PI()*MOD(Calculator!$B$32/Calculator!$F$20,1)),2)))),2))</f>
        <v>10.53</v>
      </c>
      <c r="AL53" s="78" t="str">
        <f aca="false">IF(OR(Calculator!$E$21&lt;&gt;"YES",Calculator!$B$32&lt;Calculator!$G$21),"—",ROUND(MAX((50*POWER(80,POWER(COS(PI()*MOD(Calculator!$B$32/Calculator!$F$21,1)),2)))/$C53,$C53/(50*POWER(80,POWER(COS(PI()*MOD(Calculator!$B$32/Calculator!$F$21,1)),2)))),2))</f>
        <v>—</v>
      </c>
      <c r="AM53" s="101" t="n">
        <f aca="false">IFERROR(ROUND((IF(ISNUMBER(AB53),AB53,0)+IF(ISNUMBER(AC53),AC53,0)+IF(ISNUMBER(AD53),AD53,0)+IF(ISNUMBER(AE53),AE53,0)+IF(ISNUMBER(AF53),AF53,0)+IF(ISNUMBER(AG53),AG53,0)+IF(ISNUMBER(AH53),AH53,0)+IF(ISNUMBER(AI53),AI53,0)+IF(ISNUMBER(AJ53),AJ53,0)+IF(ISNUMBER(AK53),AK53,0)+IF(ISNUMBER(AL53),AL53,0))/(IF(ISNUMBER(AB53),1,0)+IF(ISNUMBER(AC53),1,0)+IF(ISNUMBER(AD53),1,0)+IF(ISNUMBER(AE53),1,0)+IF(ISNUMBER(AF53),1,0)+IF(ISNUMBER(AG53),1,0)+IF(ISNUMBER(AH53),1,0)+IF(ISNUMBER(AI53),1,0)+IF(ISNUMBER(AJ53),1,0)+IF(ISNUMBER(AK53),1,0)+IF(ISNUMBER(AL53),1,0)),2),"")</f>
        <v>5.87</v>
      </c>
      <c r="AN53" s="102" t="str">
        <f aca="false">IF(OR(Calculator!$E$11&lt;&gt;"YES",Calculator!$B$33&lt;Calculator!$G$11),"—",ROUND(MAX((50*POWER(80,POWER(COS(PI()*MOD(Calculator!$B$33/Calculator!$F$11,1)),2)))/$C53,$C53/(50*POWER(80,POWER(COS(PI()*MOD(Calculator!$B$33/Calculator!$F$11,1)),2)))),2))</f>
        <v>—</v>
      </c>
      <c r="AO53" s="102" t="str">
        <f aca="false">IF(OR(Calculator!$E$12&lt;&gt;"YES",Calculator!$B$33&lt;Calculator!$G$12),"—",ROUND(MAX((50*POWER(80,POWER(COS(PI()*MOD(Calculator!$B$33/Calculator!$F$12,1)),2)))/$C53,$C53/(50*POWER(80,POWER(COS(PI()*MOD(Calculator!$B$33/Calculator!$F$12,1)),2)))),2))</f>
        <v>—</v>
      </c>
      <c r="AP53" s="102" t="str">
        <f aca="false">IF(OR(Calculator!$E$13&lt;&gt;"YES",Calculator!$B$33&lt;Calculator!$G$13),"—",ROUND(MAX((50*POWER(80,POWER(COS(PI()*MOD(Calculator!$B$33/Calculator!$F$13,1)),2)))/$C53,$C53/(50*POWER(80,POWER(COS(PI()*MOD(Calculator!$B$33/Calculator!$F$13,1)),2)))),2))</f>
        <v>—</v>
      </c>
      <c r="AQ53" s="102" t="n">
        <f aca="false">IF(OR(Calculator!$E$14&lt;&gt;"YES",Calculator!$B$33&lt;Calculator!$G$14),"—",ROUND(MAX((50*POWER(80,POWER(COS(PI()*MOD(Calculator!$B$33/Calculator!$F$14,1)),2)))/$C53,$C53/(50*POWER(80,POWER(COS(PI()*MOD(Calculator!$B$33/Calculator!$F$14,1)),2)))),2))</f>
        <v>2.6</v>
      </c>
      <c r="AR53" s="102" t="n">
        <f aca="false">IF(OR(Calculator!$E$15&lt;&gt;"YES",Calculator!$B$33&lt;Calculator!$G$15),"—",ROUND(MAX((50*POWER(80,POWER(COS(PI()*MOD(Calculator!$B$33/Calculator!$F$15,1)),2)))/$C53,$C53/(50*POWER(80,POWER(COS(PI()*MOD(Calculator!$B$33/Calculator!$F$15,1)),2)))),2))</f>
        <v>3.58</v>
      </c>
      <c r="AS53" s="102" t="n">
        <f aca="false">IF(OR(Calculator!$E$16&lt;&gt;"YES",Calculator!$B$33&lt;Calculator!$G$16),"—",ROUND(MAX((50*POWER(80,POWER(COS(PI()*MOD(Calculator!$B$33/Calculator!$F$16,1)),2)))/$C53,$C53/(50*POWER(80,POWER(COS(PI()*MOD(Calculator!$B$33/Calculator!$F$16,1)),2)))),2))</f>
        <v>1.31</v>
      </c>
      <c r="AT53" s="102" t="n">
        <f aca="false">IF(OR(Calculator!$E$17&lt;&gt;"YES",Calculator!$B$33&lt;Calculator!$G$17),"—",ROUND(MAX((50*POWER(80,POWER(COS(PI()*MOD(Calculator!$B$33/Calculator!$F$17,1)),2)))/$C53,$C53/(50*POWER(80,POWER(COS(PI()*MOD(Calculator!$B$33/Calculator!$F$17,1)),2)))),2))</f>
        <v>4.15</v>
      </c>
      <c r="AU53" s="102" t="n">
        <f aca="false">IF(OR(Calculator!$E$18&lt;&gt;"YES",Calculator!$B$33&lt;Calculator!$G$18),"—",ROUND(MAX((50*POWER(80,POWER(COS(PI()*MOD(Calculator!$B$33/Calculator!$F$18,1)),2)))/$C53,$C53/(50*POWER(80,POWER(COS(PI()*MOD(Calculator!$B$33/Calculator!$F$18,1)),2)))),2))</f>
        <v>5.61</v>
      </c>
      <c r="AV53" s="102" t="n">
        <f aca="false">IF(OR(Calculator!$E$19&lt;&gt;"YES",Calculator!$B$33&lt;Calculator!$G$19),"—",ROUND(MAX((50*POWER(80,POWER(COS(PI()*MOD(Calculator!$B$33/Calculator!$F$19,1)),2)))/$C53,$C53/(50*POWER(80,POWER(COS(PI()*MOD(Calculator!$B$33/Calculator!$F$19,1)),2)))),2))</f>
        <v>1.46</v>
      </c>
      <c r="AW53" s="102" t="n">
        <f aca="false">IF(OR(Calculator!$E$20&lt;&gt;"YES",Calculator!$B$33&lt;Calculator!$G$20),"—",ROUND(MAX((50*POWER(80,POWER(COS(PI()*MOD(Calculator!$B$33/Calculator!$F$20,1)),2)))/$C53,$C53/(50*POWER(80,POWER(COS(PI()*MOD(Calculator!$B$33/Calculator!$F$20,1)),2)))),2))</f>
        <v>8.57</v>
      </c>
      <c r="AX53" s="102" t="str">
        <f aca="false">IF(OR(Calculator!$E$21&lt;&gt;"YES",Calculator!$B$33&lt;Calculator!$G$21),"—",ROUND(MAX((50*POWER(80,POWER(COS(PI()*MOD(Calculator!$B$33/Calculator!$F$21,1)),2)))/$C53,$C53/(50*POWER(80,POWER(COS(PI()*MOD(Calculator!$B$33/Calculator!$F$21,1)),2)))),2))</f>
        <v>—</v>
      </c>
      <c r="AY53" s="101" t="n">
        <f aca="false">IFERROR(ROUND((IF(ISNUMBER(AN53),AN53,0)+IF(ISNUMBER(AO53),AO53,0)+IF(ISNUMBER(AP53),AP53,0)+IF(ISNUMBER(AQ53),AQ53,0)+IF(ISNUMBER(AR53),AR53,0)+IF(ISNUMBER(AS53),AS53,0)+IF(ISNUMBER(AT53),AT53,0)+IF(ISNUMBER(AU53),AU53,0)+IF(ISNUMBER(AV53),AV53,0)+IF(ISNUMBER(AW53),AW53,0)+IF(ISNUMBER(AX53),AX53,0))/(IF(ISNUMBER(AN53),1,0)+IF(ISNUMBER(AO53),1,0)+IF(ISNUMBER(AP53),1,0)+IF(ISNUMBER(AQ53),1,0)+IF(ISNUMBER(AR53),1,0)+IF(ISNUMBER(AS53),1,0)+IF(ISNUMBER(AT53),1,0)+IF(ISNUMBER(AU53),1,0)+IF(ISNUMBER(AV53),1,0)+IF(ISNUMBER(AW53),1,0)+IF(ISNUMBER(AX53),1,0)),2),"")</f>
        <v>3.9</v>
      </c>
      <c r="AZ53" s="102" t="str">
        <f aca="false">IF(OR(Calculator!$E$11&lt;&gt;"YES",Calculator!$B$34&lt;Calculator!$G$11),"—",ROUND(MAX((50*POWER(80,POWER(COS(PI()*MOD(Calculator!$B$34/Calculator!$F$11,1)),2)))/$C53,$C53/(50*POWER(80,POWER(COS(PI()*MOD(Calculator!$B$34/Calculator!$F$11,1)),2)))),2))</f>
        <v>—</v>
      </c>
      <c r="BA53" s="102" t="str">
        <f aca="false">IF(OR(Calculator!$E$12&lt;&gt;"YES",Calculator!$B$34&lt;Calculator!$G$12),"—",ROUND(MAX((50*POWER(80,POWER(COS(PI()*MOD(Calculator!$B$34/Calculator!$F$12,1)),2)))/$C53,$C53/(50*POWER(80,POWER(COS(PI()*MOD(Calculator!$B$34/Calculator!$F$12,1)),2)))),2))</f>
        <v>—</v>
      </c>
      <c r="BB53" s="102" t="str">
        <f aca="false">IF(OR(Calculator!$E$13&lt;&gt;"YES",Calculator!$B$34&lt;Calculator!$G$13),"—",ROUND(MAX((50*POWER(80,POWER(COS(PI()*MOD(Calculator!$B$34/Calculator!$F$13,1)),2)))/$C53,$C53/(50*POWER(80,POWER(COS(PI()*MOD(Calculator!$B$34/Calculator!$F$13,1)),2)))),2))</f>
        <v>—</v>
      </c>
      <c r="BC53" s="102" t="n">
        <f aca="false">IF(OR(Calculator!$E$14&lt;&gt;"YES",Calculator!$B$34&lt;Calculator!$G$14),"—",ROUND(MAX((50*POWER(80,POWER(COS(PI()*MOD(Calculator!$B$34/Calculator!$F$14,1)),2)))/$C53,$C53/(50*POWER(80,POWER(COS(PI()*MOD(Calculator!$B$34/Calculator!$F$14,1)),2)))),2))</f>
        <v>2.64</v>
      </c>
      <c r="BD53" s="102" t="n">
        <f aca="false">IF(OR(Calculator!$E$15&lt;&gt;"YES",Calculator!$B$34&lt;Calculator!$G$15),"—",ROUND(MAX((50*POWER(80,POWER(COS(PI()*MOD(Calculator!$B$34/Calculator!$F$15,1)),2)))/$C53,$C53/(50*POWER(80,POWER(COS(PI()*MOD(Calculator!$B$34/Calculator!$F$15,1)),2)))),2))</f>
        <v>4.62</v>
      </c>
      <c r="BE53" s="102" t="n">
        <f aca="false">IF(OR(Calculator!$E$16&lt;&gt;"YES",Calculator!$B$34&lt;Calculator!$G$16),"—",ROUND(MAX((50*POWER(80,POWER(COS(PI()*MOD(Calculator!$B$34/Calculator!$F$16,1)),2)))/$C53,$C53/(50*POWER(80,POWER(COS(PI()*MOD(Calculator!$B$34/Calculator!$F$16,1)),2)))),2))</f>
        <v>1.56</v>
      </c>
      <c r="BF53" s="102" t="n">
        <f aca="false">IF(OR(Calculator!$E$17&lt;&gt;"YES",Calculator!$B$34&lt;Calculator!$G$17),"—",ROUND(MAX((50*POWER(80,POWER(COS(PI()*MOD(Calculator!$B$34/Calculator!$F$17,1)),2)))/$C53,$C53/(50*POWER(80,POWER(COS(PI()*MOD(Calculator!$B$34/Calculator!$F$17,1)),2)))),2))</f>
        <v>1.25</v>
      </c>
      <c r="BG53" s="102" t="n">
        <f aca="false">IF(OR(Calculator!$E$18&lt;&gt;"YES",Calculator!$B$34&lt;Calculator!$G$18),"—",ROUND(MAX((50*POWER(80,POWER(COS(PI()*MOD(Calculator!$B$34/Calculator!$F$18,1)),2)))/$C53,$C53/(50*POWER(80,POWER(COS(PI()*MOD(Calculator!$B$34/Calculator!$F$18,1)),2)))),2))</f>
        <v>7.6</v>
      </c>
      <c r="BH53" s="102" t="n">
        <f aca="false">IF(OR(Calculator!$E$19&lt;&gt;"YES",Calculator!$B$34&lt;Calculator!$G$19),"—",ROUND(MAX((50*POWER(80,POWER(COS(PI()*MOD(Calculator!$B$34/Calculator!$F$19,1)),2)))/$C53,$C53/(50*POWER(80,POWER(COS(PI()*MOD(Calculator!$B$34/Calculator!$F$19,1)),2)))),2))</f>
        <v>8.45</v>
      </c>
      <c r="BI53" s="102" t="n">
        <f aca="false">IF(OR(Calculator!$E$20&lt;&gt;"YES",Calculator!$B$34&lt;Calculator!$G$20),"—",ROUND(MAX((50*POWER(80,POWER(COS(PI()*MOD(Calculator!$B$34/Calculator!$F$20,1)),2)))/$C53,$C53/(50*POWER(80,POWER(COS(PI()*MOD(Calculator!$B$34/Calculator!$F$20,1)),2)))),2))</f>
        <v>5.04</v>
      </c>
      <c r="BJ53" s="102" t="str">
        <f aca="false">IF(OR(Calculator!$E$21&lt;&gt;"YES",Calculator!$B$34&lt;Calculator!$G$21),"—",ROUND(MAX((50*POWER(80,POWER(COS(PI()*MOD(Calculator!$B$34/Calculator!$F$21,1)),2)))/$C53,$C53/(50*POWER(80,POWER(COS(PI()*MOD(Calculator!$B$34/Calculator!$F$21,1)),2)))),2))</f>
        <v>—</v>
      </c>
      <c r="BK53" s="101" t="n">
        <f aca="false">IFERROR(ROUND((IF(ISNUMBER(AZ53),AZ53,0)+IF(ISNUMBER(BA53),BA53,0)+IF(ISNUMBER(BB53),BB53,0)+IF(ISNUMBER(BC53),BC53,0)+IF(ISNUMBER(BD53),BD53,0)+IF(ISNUMBER(BE53),BE53,0)+IF(ISNUMBER(BF53),BF53,0)+IF(ISNUMBER(BG53),BG53,0)+IF(ISNUMBER(BH53),BH53,0)+IF(ISNUMBER(BI53),BI53,0)+IF(ISNUMBER(BJ53),BJ53,0))/(IF(ISNUMBER(AZ53),1,0)+IF(ISNUMBER(BA53),1,0)+IF(ISNUMBER(BB53),1,0)+IF(ISNUMBER(BC53),1,0)+IF(ISNUMBER(BD53),1,0)+IF(ISNUMBER(BE53),1,0)+IF(ISNUMBER(BF53),1,0)+IF(ISNUMBER(BG53),1,0)+IF(ISNUMBER(BH53),1,0)+IF(ISNUMBER(BI53),1,0)+IF(ISNUMBER(BJ53),1,0)),2),"")</f>
        <v>4.45</v>
      </c>
    </row>
    <row r="54" customFormat="false" ht="15" hidden="false" customHeight="false" outlineLevel="0" collapsed="false">
      <c r="A54" s="103" t="s">
        <v>105</v>
      </c>
      <c r="B54" s="103" t="s">
        <v>86</v>
      </c>
      <c r="C54" s="104" t="n">
        <v>1100</v>
      </c>
      <c r="D54" s="105" t="str">
        <f aca="false">IF(OR(Calculator!$E$11&lt;&gt;"YES",Calculator!$B$30&lt;Calculator!$G$11),"—",ROUND(MAX((50*POWER(80,POWER(COS(PI()*MOD(Calculator!$B$30/Calculator!$F$11,1)),2)))/$C54,$C54/(50*POWER(80,POWER(COS(PI()*MOD(Calculator!$B$30/Calculator!$F$11,1)),2)))),2))</f>
        <v>—</v>
      </c>
      <c r="E54" s="105" t="str">
        <f aca="false">IF(OR(Calculator!$E$12&lt;&gt;"YES",Calculator!$B$30&lt;Calculator!$G$12),"—",ROUND(MAX((50*POWER(80,POWER(COS(PI()*MOD(Calculator!$B$30/Calculator!$F$12,1)),2)))/$C54,$C54/(50*POWER(80,POWER(COS(PI()*MOD(Calculator!$B$30/Calculator!$F$12,1)),2)))),2))</f>
        <v>—</v>
      </c>
      <c r="F54" s="105" t="str">
        <f aca="false">IF(OR(Calculator!$E$13&lt;&gt;"YES",Calculator!$B$30&lt;Calculator!$G$13),"—",ROUND(MAX((50*POWER(80,POWER(COS(PI()*MOD(Calculator!$B$30/Calculator!$F$13,1)),2)))/$C54,$C54/(50*POWER(80,POWER(COS(PI()*MOD(Calculator!$B$30/Calculator!$F$13,1)),2)))),2))</f>
        <v>—</v>
      </c>
      <c r="G54" s="105" t="n">
        <f aca="false">IF(OR(Calculator!$E$14&lt;&gt;"YES",Calculator!$B$30&lt;Calculator!$G$14),"—",ROUND(MAX((50*POWER(80,POWER(COS(PI()*MOD(Calculator!$B$30/Calculator!$F$14,1)),2)))/$C54,$C54/(50*POWER(80,POWER(COS(PI()*MOD(Calculator!$B$30/Calculator!$F$14,1)),2)))),2))</f>
        <v>9.94</v>
      </c>
      <c r="H54" s="105" t="n">
        <f aca="false">IF(OR(Calculator!$E$15&lt;&gt;"YES",Calculator!$B$30&lt;Calculator!$G$15),"—",ROUND(MAX((50*POWER(80,POWER(COS(PI()*MOD(Calculator!$B$30/Calculator!$F$15,1)),2)))/$C54,$C54/(50*POWER(80,POWER(COS(PI()*MOD(Calculator!$B$30/Calculator!$F$15,1)),2)))),2))</f>
        <v>2.88</v>
      </c>
      <c r="I54" s="105" t="n">
        <f aca="false">IF(OR(Calculator!$E$16&lt;&gt;"YES",Calculator!$B$30&lt;Calculator!$G$16),"—",ROUND(MAX((50*POWER(80,POWER(COS(PI()*MOD(Calculator!$B$30/Calculator!$F$16,1)),2)))/$C54,$C54/(50*POWER(80,POWER(COS(PI()*MOD(Calculator!$B$30/Calculator!$F$16,1)),2)))),2))</f>
        <v>1.97</v>
      </c>
      <c r="J54" s="105" t="n">
        <f aca="false">IF(OR(Calculator!$E$17&lt;&gt;"YES",Calculator!$B$30&lt;Calculator!$G$17),"—",ROUND(MAX((50*POWER(80,POWER(COS(PI()*MOD(Calculator!$B$30/Calculator!$F$17,1)),2)))/$C54,$C54/(50*POWER(80,POWER(COS(PI()*MOD(Calculator!$B$30/Calculator!$F$17,1)),2)))),2))</f>
        <v>5.53</v>
      </c>
      <c r="K54" s="105" t="n">
        <f aca="false">IF(OR(Calculator!$E$18&lt;&gt;"YES",Calculator!$B$30&lt;Calculator!$G$18),"—",ROUND(MAX((50*POWER(80,POWER(COS(PI()*MOD(Calculator!$B$30/Calculator!$F$18,1)),2)))/$C54,$C54/(50*POWER(80,POWER(COS(PI()*MOD(Calculator!$B$30/Calculator!$F$18,1)),2)))),2))</f>
        <v>1.27</v>
      </c>
      <c r="L54" s="105" t="n">
        <f aca="false">IF(OR(Calculator!$E$19&lt;&gt;"YES",Calculator!$B$30&lt;Calculator!$G$19),"—",ROUND(MAX((50*POWER(80,POWER(COS(PI()*MOD(Calculator!$B$30/Calculator!$F$19,1)),2)))/$C54,$C54/(50*POWER(80,POWER(COS(PI()*MOD(Calculator!$B$30/Calculator!$F$19,1)),2)))),2))</f>
        <v>1.4</v>
      </c>
      <c r="M54" s="105" t="n">
        <f aca="false">IF(OR(Calculator!$E$20&lt;&gt;"YES",Calculator!$B$30&lt;Calculator!$G$20),"—",ROUND(MAX((50*POWER(80,POWER(COS(PI()*MOD(Calculator!$B$30/Calculator!$F$20,1)),2)))/$C54,$C54/(50*POWER(80,POWER(COS(PI()*MOD(Calculator!$B$30/Calculator!$F$20,1)),2)))),2))</f>
        <v>8.69</v>
      </c>
      <c r="N54" s="105" t="str">
        <f aca="false">IF(OR(Calculator!$E$21&lt;&gt;"YES",Calculator!$B$30&lt;Calculator!$G$21),"—",ROUND(MAX((50*POWER(80,POWER(COS(PI()*MOD(Calculator!$B$30/Calculator!$F$21,1)),2)))/$C54,$C54/(50*POWER(80,POWER(COS(PI()*MOD(Calculator!$B$30/Calculator!$F$21,1)),2)))),2))</f>
        <v>—</v>
      </c>
      <c r="O54" s="100" t="n">
        <f aca="false">IFERROR(ROUND((IF(ISNUMBER(D54),D54,0)+IF(ISNUMBER(E54),E54,0)+IF(ISNUMBER(F54),F54,0)+IF(ISNUMBER(G54),G54,0)+IF(ISNUMBER(H54),H54,0)+IF(ISNUMBER(I54),I54,0)+IF(ISNUMBER(J54),J54,0)+IF(ISNUMBER(K54),K54,0)+IF(ISNUMBER(L54),L54,0)+IF(ISNUMBER(M54),M54,0)+IF(ISNUMBER(N54),N54,0))/(IF(ISNUMBER(D54),1,0)+IF(ISNUMBER(E54),1,0)+IF(ISNUMBER(F54),1,0)+IF(ISNUMBER(G54),1,0)+IF(ISNUMBER(H54),1,0)+IF(ISNUMBER(I54),1,0)+IF(ISNUMBER(J54),1,0)+IF(ISNUMBER(K54),1,0)+IF(ISNUMBER(L54),1,0)+IF(ISNUMBER(M54),1,0)+IF(ISNUMBER(N54),1,0)),2),"")</f>
        <v>4.53</v>
      </c>
      <c r="P54" s="105" t="str">
        <f aca="false">IF(OR(Calculator!$E$11&lt;&gt;"YES",Calculator!$B$31&lt;Calculator!$G$11),"—",ROUND(MAX((50*POWER(80,POWER(COS(PI()*MOD(Calculator!$B$31/Calculator!$F$11,1)),2)))/$C54,$C54/(50*POWER(80,POWER(COS(PI()*MOD(Calculator!$B$31/Calculator!$F$11,1)),2)))),2))</f>
        <v>—</v>
      </c>
      <c r="Q54" s="105" t="str">
        <f aca="false">IF(OR(Calculator!$E$12&lt;&gt;"YES",Calculator!$B$31&lt;Calculator!$G$12),"—",ROUND(MAX((50*POWER(80,POWER(COS(PI()*MOD(Calculator!$B$31/Calculator!$F$12,1)),2)))/$C54,$C54/(50*POWER(80,POWER(COS(PI()*MOD(Calculator!$B$31/Calculator!$F$12,1)),2)))),2))</f>
        <v>—</v>
      </c>
      <c r="R54" s="105" t="str">
        <f aca="false">IF(OR(Calculator!$E$13&lt;&gt;"YES",Calculator!$B$31&lt;Calculator!$G$13),"—",ROUND(MAX((50*POWER(80,POWER(COS(PI()*MOD(Calculator!$B$31/Calculator!$F$13,1)),2)))/$C54,$C54/(50*POWER(80,POWER(COS(PI()*MOD(Calculator!$B$31/Calculator!$F$13,1)),2)))),2))</f>
        <v>—</v>
      </c>
      <c r="S54" s="105" t="n">
        <f aca="false">IF(OR(Calculator!$E$14&lt;&gt;"YES",Calculator!$B$31&lt;Calculator!$G$14),"—",ROUND(MAX((50*POWER(80,POWER(COS(PI()*MOD(Calculator!$B$31/Calculator!$F$14,1)),2)))/$C54,$C54/(50*POWER(80,POWER(COS(PI()*MOD(Calculator!$B$31/Calculator!$F$14,1)),2)))),2))</f>
        <v>10.18</v>
      </c>
      <c r="T54" s="105" t="n">
        <f aca="false">IF(OR(Calculator!$E$15&lt;&gt;"YES",Calculator!$B$31&lt;Calculator!$G$15),"—",ROUND(MAX((50*POWER(80,POWER(COS(PI()*MOD(Calculator!$B$31/Calculator!$F$15,1)),2)))/$C54,$C54/(50*POWER(80,POWER(COS(PI()*MOD(Calculator!$B$31/Calculator!$F$15,1)),2)))),2))</f>
        <v>6.19</v>
      </c>
      <c r="U54" s="105" t="n">
        <f aca="false">IF(OR(Calculator!$E$16&lt;&gt;"YES",Calculator!$B$31&lt;Calculator!$G$16),"—",ROUND(MAX((50*POWER(80,POWER(COS(PI()*MOD(Calculator!$B$31/Calculator!$F$16,1)),2)))/$C54,$C54/(50*POWER(80,POWER(COS(PI()*MOD(Calculator!$B$31/Calculator!$F$16,1)),2)))),2))</f>
        <v>2.36</v>
      </c>
      <c r="V54" s="105" t="n">
        <f aca="false">IF(OR(Calculator!$E$17&lt;&gt;"YES",Calculator!$B$31&lt;Calculator!$G$17),"—",ROUND(MAX((50*POWER(80,POWER(COS(PI()*MOD(Calculator!$B$31/Calculator!$F$17,1)),2)))/$C54,$C54/(50*POWER(80,POWER(COS(PI()*MOD(Calculator!$B$31/Calculator!$F$17,1)),2)))),2))</f>
        <v>1.47</v>
      </c>
      <c r="W54" s="105" t="n">
        <f aca="false">IF(OR(Calculator!$E$18&lt;&gt;"YES",Calculator!$B$31&lt;Calculator!$G$18),"—",ROUND(MAX((50*POWER(80,POWER(COS(PI()*MOD(Calculator!$B$31/Calculator!$F$18,1)),2)))/$C54,$C54/(50*POWER(80,POWER(COS(PI()*MOD(Calculator!$B$31/Calculator!$F$18,1)),2)))),2))</f>
        <v>1.67</v>
      </c>
      <c r="X54" s="105" t="n">
        <f aca="false">IF(OR(Calculator!$E$19&lt;&gt;"YES",Calculator!$B$31&lt;Calculator!$G$19),"—",ROUND(MAX((50*POWER(80,POWER(COS(PI()*MOD(Calculator!$B$31/Calculator!$F$19,1)),2)))/$C54,$C54/(50*POWER(80,POWER(COS(PI()*MOD(Calculator!$B$31/Calculator!$F$19,1)),2)))),2))</f>
        <v>4.09</v>
      </c>
      <c r="Y54" s="105" t="n">
        <f aca="false">IF(OR(Calculator!$E$20&lt;&gt;"YES",Calculator!$B$31&lt;Calculator!$G$20),"—",ROUND(MAX((50*POWER(80,POWER(COS(PI()*MOD(Calculator!$B$31/Calculator!$F$20,1)),2)))/$C54,$C54/(50*POWER(80,POWER(COS(PI()*MOD(Calculator!$B$31/Calculator!$F$20,1)),2)))),2))</f>
        <v>13.5</v>
      </c>
      <c r="Z54" s="105" t="str">
        <f aca="false">IF(OR(Calculator!$E$21&lt;&gt;"YES",Calculator!$B$31&lt;Calculator!$G$21),"—",ROUND(MAX((50*POWER(80,POWER(COS(PI()*MOD(Calculator!$B$31/Calculator!$F$21,1)),2)))/$C54,$C54/(50*POWER(80,POWER(COS(PI()*MOD(Calculator!$B$31/Calculator!$F$21,1)),2)))),2))</f>
        <v>—</v>
      </c>
      <c r="AA54" s="100" t="n">
        <f aca="false">IFERROR(ROUND((IF(ISNUMBER(P54),P54,0)+IF(ISNUMBER(Q54),Q54,0)+IF(ISNUMBER(R54),R54,0)+IF(ISNUMBER(S54),S54,0)+IF(ISNUMBER(T54),T54,0)+IF(ISNUMBER(U54),U54,0)+IF(ISNUMBER(V54),V54,0)+IF(ISNUMBER(W54),W54,0)+IF(ISNUMBER(X54),X54,0)+IF(ISNUMBER(Y54),Y54,0)+IF(ISNUMBER(Z54),Z54,0))/(IF(ISNUMBER(P54),1,0)+IF(ISNUMBER(Q54),1,0)+IF(ISNUMBER(R54),1,0)+IF(ISNUMBER(S54),1,0)+IF(ISNUMBER(T54),1,0)+IF(ISNUMBER(U54),1,0)+IF(ISNUMBER(V54),1,0)+IF(ISNUMBER(W54),1,0)+IF(ISNUMBER(X54),1,0)+IF(ISNUMBER(Y54),1,0)+IF(ISNUMBER(Z54),1,0)),2),"")</f>
        <v>5.64</v>
      </c>
      <c r="AB54" s="105" t="str">
        <f aca="false">IF(OR(Calculator!$E$11&lt;&gt;"YES",Calculator!$B$32&lt;Calculator!$G$11),"—",ROUND(MAX((50*POWER(80,POWER(COS(PI()*MOD(Calculator!$B$32/Calculator!$F$11,1)),2)))/$C54,$C54/(50*POWER(80,POWER(COS(PI()*MOD(Calculator!$B$32/Calculator!$F$11,1)),2)))),2))</f>
        <v>—</v>
      </c>
      <c r="AC54" s="105" t="str">
        <f aca="false">IF(OR(Calculator!$E$12&lt;&gt;"YES",Calculator!$B$32&lt;Calculator!$G$12),"—",ROUND(MAX((50*POWER(80,POWER(COS(PI()*MOD(Calculator!$B$32/Calculator!$F$12,1)),2)))/$C54,$C54/(50*POWER(80,POWER(COS(PI()*MOD(Calculator!$B$32/Calculator!$F$12,1)),2)))),2))</f>
        <v>—</v>
      </c>
      <c r="AD54" s="105" t="str">
        <f aca="false">IF(OR(Calculator!$E$13&lt;&gt;"YES",Calculator!$B$32&lt;Calculator!$G$13),"—",ROUND(MAX((50*POWER(80,POWER(COS(PI()*MOD(Calculator!$B$32/Calculator!$F$13,1)),2)))/$C54,$C54/(50*POWER(80,POWER(COS(PI()*MOD(Calculator!$B$32/Calculator!$F$13,1)),2)))),2))</f>
        <v>—</v>
      </c>
      <c r="AE54" s="105" t="n">
        <f aca="false">IF(OR(Calculator!$E$14&lt;&gt;"YES",Calculator!$B$32&lt;Calculator!$G$14),"—",ROUND(MAX((50*POWER(80,POWER(COS(PI()*MOD(Calculator!$B$32/Calculator!$F$14,1)),2)))/$C54,$C54/(50*POWER(80,POWER(COS(PI()*MOD(Calculator!$B$32/Calculator!$F$14,1)),2)))),2))</f>
        <v>6.43</v>
      </c>
      <c r="AF54" s="105" t="n">
        <f aca="false">IF(OR(Calculator!$E$15&lt;&gt;"YES",Calculator!$B$32&lt;Calculator!$G$15),"—",ROUND(MAX((50*POWER(80,POWER(COS(PI()*MOD(Calculator!$B$32/Calculator!$F$15,1)),2)))/$C54,$C54/(50*POWER(80,POWER(COS(PI()*MOD(Calculator!$B$32/Calculator!$F$15,1)),2)))),2))</f>
        <v>4.16</v>
      </c>
      <c r="AG54" s="105" t="n">
        <f aca="false">IF(OR(Calculator!$E$16&lt;&gt;"YES",Calculator!$B$32&lt;Calculator!$G$16),"—",ROUND(MAX((50*POWER(80,POWER(COS(PI()*MOD(Calculator!$B$32/Calculator!$F$16,1)),2)))/$C54,$C54/(50*POWER(80,POWER(COS(PI()*MOD(Calculator!$B$32/Calculator!$F$16,1)),2)))),2))</f>
        <v>14.03</v>
      </c>
      <c r="AH54" s="105" t="n">
        <f aca="false">IF(OR(Calculator!$E$17&lt;&gt;"YES",Calculator!$B$32&lt;Calculator!$G$17),"—",ROUND(MAX((50*POWER(80,POWER(COS(PI()*MOD(Calculator!$B$32/Calculator!$F$17,1)),2)))/$C54,$C54/(50*POWER(80,POWER(COS(PI()*MOD(Calculator!$B$32/Calculator!$F$17,1)),2)))),2))</f>
        <v>2.09</v>
      </c>
      <c r="AI54" s="105" t="n">
        <f aca="false">IF(OR(Calculator!$E$18&lt;&gt;"YES",Calculator!$B$32&lt;Calculator!$G$18),"—",ROUND(MAX((50*POWER(80,POWER(COS(PI()*MOD(Calculator!$B$32/Calculator!$F$18,1)),2)))/$C54,$C54/(50*POWER(80,POWER(COS(PI()*MOD(Calculator!$B$32/Calculator!$F$18,1)),2)))),2))</f>
        <v>2.27</v>
      </c>
      <c r="AJ54" s="105" t="n">
        <f aca="false">IF(OR(Calculator!$E$19&lt;&gt;"YES",Calculator!$B$32&lt;Calculator!$G$19),"—",ROUND(MAX((50*POWER(80,POWER(COS(PI()*MOD(Calculator!$B$32/Calculator!$F$19,1)),2)))/$C54,$C54/(50*POWER(80,POWER(COS(PI()*MOD(Calculator!$B$32/Calculator!$F$19,1)),2)))),2))</f>
        <v>2.39</v>
      </c>
      <c r="AK54" s="105" t="n">
        <f aca="false">IF(OR(Calculator!$E$20&lt;&gt;"YES",Calculator!$B$32&lt;Calculator!$G$20),"—",ROUND(MAX((50*POWER(80,POWER(COS(PI()*MOD(Calculator!$B$32/Calculator!$F$20,1)),2)))/$C54,$C54/(50*POWER(80,POWER(COS(PI()*MOD(Calculator!$B$32/Calculator!$F$20,1)),2)))),2))</f>
        <v>11.03</v>
      </c>
      <c r="AL54" s="105" t="str">
        <f aca="false">IF(OR(Calculator!$E$21&lt;&gt;"YES",Calculator!$B$32&lt;Calculator!$G$21),"—",ROUND(MAX((50*POWER(80,POWER(COS(PI()*MOD(Calculator!$B$32/Calculator!$F$21,1)),2)))/$C54,$C54/(50*POWER(80,POWER(COS(PI()*MOD(Calculator!$B$32/Calculator!$F$21,1)),2)))),2))</f>
        <v>—</v>
      </c>
      <c r="AM54" s="101" t="n">
        <f aca="false">IFERROR(ROUND((IF(ISNUMBER(AB54),AB54,0)+IF(ISNUMBER(AC54),AC54,0)+IF(ISNUMBER(AD54),AD54,0)+IF(ISNUMBER(AE54),AE54,0)+IF(ISNUMBER(AF54),AF54,0)+IF(ISNUMBER(AG54),AG54,0)+IF(ISNUMBER(AH54),AH54,0)+IF(ISNUMBER(AI54),AI54,0)+IF(ISNUMBER(AJ54),AJ54,0)+IF(ISNUMBER(AK54),AK54,0)+IF(ISNUMBER(AL54),AL54,0))/(IF(ISNUMBER(AB54),1,0)+IF(ISNUMBER(AC54),1,0)+IF(ISNUMBER(AD54),1,0)+IF(ISNUMBER(AE54),1,0)+IF(ISNUMBER(AF54),1,0)+IF(ISNUMBER(AG54),1,0)+IF(ISNUMBER(AH54),1,0)+IF(ISNUMBER(AI54),1,0)+IF(ISNUMBER(AJ54),1,0)+IF(ISNUMBER(AK54),1,0)+IF(ISNUMBER(AL54),1,0)),2),"")</f>
        <v>6.06</v>
      </c>
      <c r="AN54" s="106" t="str">
        <f aca="false">IF(OR(Calculator!$E$11&lt;&gt;"YES",Calculator!$B$33&lt;Calculator!$G$11),"—",ROUND(MAX((50*POWER(80,POWER(COS(PI()*MOD(Calculator!$B$33/Calculator!$F$11,1)),2)))/$C54,$C54/(50*POWER(80,POWER(COS(PI()*MOD(Calculator!$B$33/Calculator!$F$11,1)),2)))),2))</f>
        <v>—</v>
      </c>
      <c r="AO54" s="106" t="str">
        <f aca="false">IF(OR(Calculator!$E$12&lt;&gt;"YES",Calculator!$B$33&lt;Calculator!$G$12),"—",ROUND(MAX((50*POWER(80,POWER(COS(PI()*MOD(Calculator!$B$33/Calculator!$F$12,1)),2)))/$C54,$C54/(50*POWER(80,POWER(COS(PI()*MOD(Calculator!$B$33/Calculator!$F$12,1)),2)))),2))</f>
        <v>—</v>
      </c>
      <c r="AP54" s="106" t="str">
        <f aca="false">IF(OR(Calculator!$E$13&lt;&gt;"YES",Calculator!$B$33&lt;Calculator!$G$13),"—",ROUND(MAX((50*POWER(80,POWER(COS(PI()*MOD(Calculator!$B$33/Calculator!$F$13,1)),2)))/$C54,$C54/(50*POWER(80,POWER(COS(PI()*MOD(Calculator!$B$33/Calculator!$F$13,1)),2)))),2))</f>
        <v>—</v>
      </c>
      <c r="AQ54" s="106" t="n">
        <f aca="false">IF(OR(Calculator!$E$14&lt;&gt;"YES",Calculator!$B$33&lt;Calculator!$G$14),"—",ROUND(MAX((50*POWER(80,POWER(COS(PI()*MOD(Calculator!$B$33/Calculator!$F$14,1)),2)))/$C54,$C54/(50*POWER(80,POWER(COS(PI()*MOD(Calculator!$B$33/Calculator!$F$14,1)),2)))),2))</f>
        <v>2.48</v>
      </c>
      <c r="AR54" s="106" t="n">
        <f aca="false">IF(OR(Calculator!$E$15&lt;&gt;"YES",Calculator!$B$33&lt;Calculator!$G$15),"—",ROUND(MAX((50*POWER(80,POWER(COS(PI()*MOD(Calculator!$B$33/Calculator!$F$15,1)),2)))/$C54,$C54/(50*POWER(80,POWER(COS(PI()*MOD(Calculator!$B$33/Calculator!$F$15,1)),2)))),2))</f>
        <v>3.75</v>
      </c>
      <c r="AS54" s="106" t="n">
        <f aca="false">IF(OR(Calculator!$E$16&lt;&gt;"YES",Calculator!$B$33&lt;Calculator!$G$16),"—",ROUND(MAX((50*POWER(80,POWER(COS(PI()*MOD(Calculator!$B$33/Calculator!$F$16,1)),2)))/$C54,$C54/(50*POWER(80,POWER(COS(PI()*MOD(Calculator!$B$33/Calculator!$F$16,1)),2)))),2))</f>
        <v>1.37</v>
      </c>
      <c r="AT54" s="106" t="n">
        <f aca="false">IF(OR(Calculator!$E$17&lt;&gt;"YES",Calculator!$B$33&lt;Calculator!$G$17),"—",ROUND(MAX((50*POWER(80,POWER(COS(PI()*MOD(Calculator!$B$33/Calculator!$F$17,1)),2)))/$C54,$C54/(50*POWER(80,POWER(COS(PI()*MOD(Calculator!$B$33/Calculator!$F$17,1)),2)))),2))</f>
        <v>4.35</v>
      </c>
      <c r="AU54" s="106" t="n">
        <f aca="false">IF(OR(Calculator!$E$18&lt;&gt;"YES",Calculator!$B$33&lt;Calculator!$G$18),"—",ROUND(MAX((50*POWER(80,POWER(COS(PI()*MOD(Calculator!$B$33/Calculator!$F$18,1)),2)))/$C54,$C54/(50*POWER(80,POWER(COS(PI()*MOD(Calculator!$B$33/Calculator!$F$18,1)),2)))),2))</f>
        <v>5.88</v>
      </c>
      <c r="AV54" s="106" t="n">
        <f aca="false">IF(OR(Calculator!$E$19&lt;&gt;"YES",Calculator!$B$33&lt;Calculator!$G$19),"—",ROUND(MAX((50*POWER(80,POWER(COS(PI()*MOD(Calculator!$B$33/Calculator!$F$19,1)),2)))/$C54,$C54/(50*POWER(80,POWER(COS(PI()*MOD(Calculator!$B$33/Calculator!$F$19,1)),2)))),2))</f>
        <v>1.4</v>
      </c>
      <c r="AW54" s="106" t="n">
        <f aca="false">IF(OR(Calculator!$E$20&lt;&gt;"YES",Calculator!$B$33&lt;Calculator!$G$20),"—",ROUND(MAX((50*POWER(80,POWER(COS(PI()*MOD(Calculator!$B$33/Calculator!$F$20,1)),2)))/$C54,$C54/(50*POWER(80,POWER(COS(PI()*MOD(Calculator!$B$33/Calculator!$F$20,1)),2)))),2))</f>
        <v>8.98</v>
      </c>
      <c r="AX54" s="106" t="str">
        <f aca="false">IF(OR(Calculator!$E$21&lt;&gt;"YES",Calculator!$B$33&lt;Calculator!$G$21),"—",ROUND(MAX((50*POWER(80,POWER(COS(PI()*MOD(Calculator!$B$33/Calculator!$F$21,1)),2)))/$C54,$C54/(50*POWER(80,POWER(COS(PI()*MOD(Calculator!$B$33/Calculator!$F$21,1)),2)))),2))</f>
        <v>—</v>
      </c>
      <c r="AY54" s="101" t="n">
        <f aca="false">IFERROR(ROUND((IF(ISNUMBER(AN54),AN54,0)+IF(ISNUMBER(AO54),AO54,0)+IF(ISNUMBER(AP54),AP54,0)+IF(ISNUMBER(AQ54),AQ54,0)+IF(ISNUMBER(AR54),AR54,0)+IF(ISNUMBER(AS54),AS54,0)+IF(ISNUMBER(AT54),AT54,0)+IF(ISNUMBER(AU54),AU54,0)+IF(ISNUMBER(AV54),AV54,0)+IF(ISNUMBER(AW54),AW54,0)+IF(ISNUMBER(AX54),AX54,0))/(IF(ISNUMBER(AN54),1,0)+IF(ISNUMBER(AO54),1,0)+IF(ISNUMBER(AP54),1,0)+IF(ISNUMBER(AQ54),1,0)+IF(ISNUMBER(AR54),1,0)+IF(ISNUMBER(AS54),1,0)+IF(ISNUMBER(AT54),1,0)+IF(ISNUMBER(AU54),1,0)+IF(ISNUMBER(AV54),1,0)+IF(ISNUMBER(AW54),1,0)+IF(ISNUMBER(AX54),1,0)),2),"")</f>
        <v>4.03</v>
      </c>
      <c r="AZ54" s="106" t="str">
        <f aca="false">IF(OR(Calculator!$E$11&lt;&gt;"YES",Calculator!$B$34&lt;Calculator!$G$11),"—",ROUND(MAX((50*POWER(80,POWER(COS(PI()*MOD(Calculator!$B$34/Calculator!$F$11,1)),2)))/$C54,$C54/(50*POWER(80,POWER(COS(PI()*MOD(Calculator!$B$34/Calculator!$F$11,1)),2)))),2))</f>
        <v>—</v>
      </c>
      <c r="BA54" s="106" t="str">
        <f aca="false">IF(OR(Calculator!$E$12&lt;&gt;"YES",Calculator!$B$34&lt;Calculator!$G$12),"—",ROUND(MAX((50*POWER(80,POWER(COS(PI()*MOD(Calculator!$B$34/Calculator!$F$12,1)),2)))/$C54,$C54/(50*POWER(80,POWER(COS(PI()*MOD(Calculator!$B$34/Calculator!$F$12,1)),2)))),2))</f>
        <v>—</v>
      </c>
      <c r="BB54" s="106" t="str">
        <f aca="false">IF(OR(Calculator!$E$13&lt;&gt;"YES",Calculator!$B$34&lt;Calculator!$G$13),"—",ROUND(MAX((50*POWER(80,POWER(COS(PI()*MOD(Calculator!$B$34/Calculator!$F$13,1)),2)))/$C54,$C54/(50*POWER(80,POWER(COS(PI()*MOD(Calculator!$B$34/Calculator!$F$13,1)),2)))),2))</f>
        <v>—</v>
      </c>
      <c r="BC54" s="106" t="n">
        <f aca="false">IF(OR(Calculator!$E$14&lt;&gt;"YES",Calculator!$B$34&lt;Calculator!$G$14),"—",ROUND(MAX((50*POWER(80,POWER(COS(PI()*MOD(Calculator!$B$34/Calculator!$F$14,1)),2)))/$C54,$C54/(50*POWER(80,POWER(COS(PI()*MOD(Calculator!$B$34/Calculator!$F$14,1)),2)))),2))</f>
        <v>2.52</v>
      </c>
      <c r="BD54" s="106" t="n">
        <f aca="false">IF(OR(Calculator!$E$15&lt;&gt;"YES",Calculator!$B$34&lt;Calculator!$G$15),"—",ROUND(MAX((50*POWER(80,POWER(COS(PI()*MOD(Calculator!$B$34/Calculator!$F$15,1)),2)))/$C54,$C54/(50*POWER(80,POWER(COS(PI()*MOD(Calculator!$B$34/Calculator!$F$15,1)),2)))),2))</f>
        <v>4.84</v>
      </c>
      <c r="BE54" s="106" t="n">
        <f aca="false">IF(OR(Calculator!$E$16&lt;&gt;"YES",Calculator!$B$34&lt;Calculator!$G$16),"—",ROUND(MAX((50*POWER(80,POWER(COS(PI()*MOD(Calculator!$B$34/Calculator!$F$16,1)),2)))/$C54,$C54/(50*POWER(80,POWER(COS(PI()*MOD(Calculator!$B$34/Calculator!$F$16,1)),2)))),2))</f>
        <v>1.63</v>
      </c>
      <c r="BF54" s="106" t="n">
        <f aca="false">IF(OR(Calculator!$E$17&lt;&gt;"YES",Calculator!$B$34&lt;Calculator!$G$17),"—",ROUND(MAX((50*POWER(80,POWER(COS(PI()*MOD(Calculator!$B$34/Calculator!$F$17,1)),2)))/$C54,$C54/(50*POWER(80,POWER(COS(PI()*MOD(Calculator!$B$34/Calculator!$F$17,1)),2)))),2))</f>
        <v>1.19</v>
      </c>
      <c r="BG54" s="106" t="n">
        <f aca="false">IF(OR(Calculator!$E$18&lt;&gt;"YES",Calculator!$B$34&lt;Calculator!$G$18),"—",ROUND(MAX((50*POWER(80,POWER(COS(PI()*MOD(Calculator!$B$34/Calculator!$F$18,1)),2)))/$C54,$C54/(50*POWER(80,POWER(COS(PI()*MOD(Calculator!$B$34/Calculator!$F$18,1)),2)))),2))</f>
        <v>7.96</v>
      </c>
      <c r="BH54" s="106" t="n">
        <f aca="false">IF(OR(Calculator!$E$19&lt;&gt;"YES",Calculator!$B$34&lt;Calculator!$G$19),"—",ROUND(MAX((50*POWER(80,POWER(COS(PI()*MOD(Calculator!$B$34/Calculator!$F$19,1)),2)))/$C54,$C54/(50*POWER(80,POWER(COS(PI()*MOD(Calculator!$B$34/Calculator!$F$19,1)),2)))),2))</f>
        <v>8.85</v>
      </c>
      <c r="BI54" s="106" t="n">
        <f aca="false">IF(OR(Calculator!$E$20&lt;&gt;"YES",Calculator!$B$34&lt;Calculator!$G$20),"—",ROUND(MAX((50*POWER(80,POWER(COS(PI()*MOD(Calculator!$B$34/Calculator!$F$20,1)),2)))/$C54,$C54/(50*POWER(80,POWER(COS(PI()*MOD(Calculator!$B$34/Calculator!$F$20,1)),2)))),2))</f>
        <v>5.28</v>
      </c>
      <c r="BJ54" s="106" t="str">
        <f aca="false">IF(OR(Calculator!$E$21&lt;&gt;"YES",Calculator!$B$34&lt;Calculator!$G$21),"—",ROUND(MAX((50*POWER(80,POWER(COS(PI()*MOD(Calculator!$B$34/Calculator!$F$21,1)),2)))/$C54,$C54/(50*POWER(80,POWER(COS(PI()*MOD(Calculator!$B$34/Calculator!$F$21,1)),2)))),2))</f>
        <v>—</v>
      </c>
      <c r="BK54" s="101" t="n">
        <f aca="false">IFERROR(ROUND((IF(ISNUMBER(AZ54),AZ54,0)+IF(ISNUMBER(BA54),BA54,0)+IF(ISNUMBER(BB54),BB54,0)+IF(ISNUMBER(BC54),BC54,0)+IF(ISNUMBER(BD54),BD54,0)+IF(ISNUMBER(BE54),BE54,0)+IF(ISNUMBER(BF54),BF54,0)+IF(ISNUMBER(BG54),BG54,0)+IF(ISNUMBER(BH54),BH54,0)+IF(ISNUMBER(BI54),BI54,0)+IF(ISNUMBER(BJ54),BJ54,0))/(IF(ISNUMBER(AZ54),1,0)+IF(ISNUMBER(BA54),1,0)+IF(ISNUMBER(BB54),1,0)+IF(ISNUMBER(BC54),1,0)+IF(ISNUMBER(BD54),1,0)+IF(ISNUMBER(BE54),1,0)+IF(ISNUMBER(BF54),1,0)+IF(ISNUMBER(BG54),1,0)+IF(ISNUMBER(BH54),1,0)+IF(ISNUMBER(BI54),1,0)+IF(ISNUMBER(BJ54),1,0)),2),"")</f>
        <v>4.61</v>
      </c>
    </row>
    <row r="55" customFormat="false" ht="15" hidden="false" customHeight="false" outlineLevel="0" collapsed="false">
      <c r="A55" s="74" t="s">
        <v>106</v>
      </c>
      <c r="B55" s="74" t="s">
        <v>86</v>
      </c>
      <c r="C55" s="77" t="n">
        <v>1150</v>
      </c>
      <c r="D55" s="78" t="str">
        <f aca="false">IF(OR(Calculator!$E$11&lt;&gt;"YES",Calculator!$B$30&lt;Calculator!$G$11),"—",ROUND(MAX((50*POWER(80,POWER(COS(PI()*MOD(Calculator!$B$30/Calculator!$F$11,1)),2)))/$C55,$C55/(50*POWER(80,POWER(COS(PI()*MOD(Calculator!$B$30/Calculator!$F$11,1)),2)))),2))</f>
        <v>—</v>
      </c>
      <c r="E55" s="78" t="str">
        <f aca="false">IF(OR(Calculator!$E$12&lt;&gt;"YES",Calculator!$B$30&lt;Calculator!$G$12),"—",ROUND(MAX((50*POWER(80,POWER(COS(PI()*MOD(Calculator!$B$30/Calculator!$F$12,1)),2)))/$C55,$C55/(50*POWER(80,POWER(COS(PI()*MOD(Calculator!$B$30/Calculator!$F$12,1)),2)))),2))</f>
        <v>—</v>
      </c>
      <c r="F55" s="78" t="str">
        <f aca="false">IF(OR(Calculator!$E$13&lt;&gt;"YES",Calculator!$B$30&lt;Calculator!$G$13),"—",ROUND(MAX((50*POWER(80,POWER(COS(PI()*MOD(Calculator!$B$30/Calculator!$F$13,1)),2)))/$C55,$C55/(50*POWER(80,POWER(COS(PI()*MOD(Calculator!$B$30/Calculator!$F$13,1)),2)))),2))</f>
        <v>—</v>
      </c>
      <c r="G55" s="78" t="n">
        <f aca="false">IF(OR(Calculator!$E$14&lt;&gt;"YES",Calculator!$B$30&lt;Calculator!$G$14),"—",ROUND(MAX((50*POWER(80,POWER(COS(PI()*MOD(Calculator!$B$30/Calculator!$F$14,1)),2)))/$C55,$C55/(50*POWER(80,POWER(COS(PI()*MOD(Calculator!$B$30/Calculator!$F$14,1)),2)))),2))</f>
        <v>10.39</v>
      </c>
      <c r="H55" s="78" t="n">
        <f aca="false">IF(OR(Calculator!$E$15&lt;&gt;"YES",Calculator!$B$30&lt;Calculator!$G$15),"—",ROUND(MAX((50*POWER(80,POWER(COS(PI()*MOD(Calculator!$B$30/Calculator!$F$15,1)),2)))/$C55,$C55/(50*POWER(80,POWER(COS(PI()*MOD(Calculator!$B$30/Calculator!$F$15,1)),2)))),2))</f>
        <v>3.01</v>
      </c>
      <c r="I55" s="78" t="n">
        <f aca="false">IF(OR(Calculator!$E$16&lt;&gt;"YES",Calculator!$B$30&lt;Calculator!$G$16),"—",ROUND(MAX((50*POWER(80,POWER(COS(PI()*MOD(Calculator!$B$30/Calculator!$F$16,1)),2)))/$C55,$C55/(50*POWER(80,POWER(COS(PI()*MOD(Calculator!$B$30/Calculator!$F$16,1)),2)))),2))</f>
        <v>2.06</v>
      </c>
      <c r="J55" s="78" t="n">
        <f aca="false">IF(OR(Calculator!$E$17&lt;&gt;"YES",Calculator!$B$30&lt;Calculator!$G$17),"—",ROUND(MAX((50*POWER(80,POWER(COS(PI()*MOD(Calculator!$B$30/Calculator!$F$17,1)),2)))/$C55,$C55/(50*POWER(80,POWER(COS(PI()*MOD(Calculator!$B$30/Calculator!$F$17,1)),2)))),2))</f>
        <v>5.78</v>
      </c>
      <c r="K55" s="78" t="n">
        <f aca="false">IF(OR(Calculator!$E$18&lt;&gt;"YES",Calculator!$B$30&lt;Calculator!$G$18),"—",ROUND(MAX((50*POWER(80,POWER(COS(PI()*MOD(Calculator!$B$30/Calculator!$F$18,1)),2)))/$C55,$C55/(50*POWER(80,POWER(COS(PI()*MOD(Calculator!$B$30/Calculator!$F$18,1)),2)))),2))</f>
        <v>1.21</v>
      </c>
      <c r="L55" s="78" t="n">
        <f aca="false">IF(OR(Calculator!$E$19&lt;&gt;"YES",Calculator!$B$30&lt;Calculator!$G$19),"—",ROUND(MAX((50*POWER(80,POWER(COS(PI()*MOD(Calculator!$B$30/Calculator!$F$19,1)),2)))/$C55,$C55/(50*POWER(80,POWER(COS(PI()*MOD(Calculator!$B$30/Calculator!$F$19,1)),2)))),2))</f>
        <v>1.46</v>
      </c>
      <c r="M55" s="78" t="n">
        <f aca="false">IF(OR(Calculator!$E$20&lt;&gt;"YES",Calculator!$B$30&lt;Calculator!$G$20),"—",ROUND(MAX((50*POWER(80,POWER(COS(PI()*MOD(Calculator!$B$30/Calculator!$F$20,1)),2)))/$C55,$C55/(50*POWER(80,POWER(COS(PI()*MOD(Calculator!$B$30/Calculator!$F$20,1)),2)))),2))</f>
        <v>9.08</v>
      </c>
      <c r="N55" s="78" t="str">
        <f aca="false">IF(OR(Calculator!$E$21&lt;&gt;"YES",Calculator!$B$30&lt;Calculator!$G$21),"—",ROUND(MAX((50*POWER(80,POWER(COS(PI()*MOD(Calculator!$B$30/Calculator!$F$21,1)),2)))/$C55,$C55/(50*POWER(80,POWER(COS(PI()*MOD(Calculator!$B$30/Calculator!$F$21,1)),2)))),2))</f>
        <v>—</v>
      </c>
      <c r="O55" s="100" t="n">
        <f aca="false">IFERROR(ROUND((IF(ISNUMBER(D55),D55,0)+IF(ISNUMBER(E55),E55,0)+IF(ISNUMBER(F55),F55,0)+IF(ISNUMBER(G55),G55,0)+IF(ISNUMBER(H55),H55,0)+IF(ISNUMBER(I55),I55,0)+IF(ISNUMBER(J55),J55,0)+IF(ISNUMBER(K55),K55,0)+IF(ISNUMBER(L55),L55,0)+IF(ISNUMBER(M55),M55,0)+IF(ISNUMBER(N55),N55,0))/(IF(ISNUMBER(D55),1,0)+IF(ISNUMBER(E55),1,0)+IF(ISNUMBER(F55),1,0)+IF(ISNUMBER(G55),1,0)+IF(ISNUMBER(H55),1,0)+IF(ISNUMBER(I55),1,0)+IF(ISNUMBER(J55),1,0)+IF(ISNUMBER(K55),1,0)+IF(ISNUMBER(L55),1,0)+IF(ISNUMBER(M55),1,0)+IF(ISNUMBER(N55),1,0)),2),"")</f>
        <v>4.71</v>
      </c>
      <c r="P55" s="78" t="str">
        <f aca="false">IF(OR(Calculator!$E$11&lt;&gt;"YES",Calculator!$B$31&lt;Calculator!$G$11),"—",ROUND(MAX((50*POWER(80,POWER(COS(PI()*MOD(Calculator!$B$31/Calculator!$F$11,1)),2)))/$C55,$C55/(50*POWER(80,POWER(COS(PI()*MOD(Calculator!$B$31/Calculator!$F$11,1)),2)))),2))</f>
        <v>—</v>
      </c>
      <c r="Q55" s="78" t="str">
        <f aca="false">IF(OR(Calculator!$E$12&lt;&gt;"YES",Calculator!$B$31&lt;Calculator!$G$12),"—",ROUND(MAX((50*POWER(80,POWER(COS(PI()*MOD(Calculator!$B$31/Calculator!$F$12,1)),2)))/$C55,$C55/(50*POWER(80,POWER(COS(PI()*MOD(Calculator!$B$31/Calculator!$F$12,1)),2)))),2))</f>
        <v>—</v>
      </c>
      <c r="R55" s="78" t="str">
        <f aca="false">IF(OR(Calculator!$E$13&lt;&gt;"YES",Calculator!$B$31&lt;Calculator!$G$13),"—",ROUND(MAX((50*POWER(80,POWER(COS(PI()*MOD(Calculator!$B$31/Calculator!$F$13,1)),2)))/$C55,$C55/(50*POWER(80,POWER(COS(PI()*MOD(Calculator!$B$31/Calculator!$F$13,1)),2)))),2))</f>
        <v>—</v>
      </c>
      <c r="S55" s="78" t="n">
        <f aca="false">IF(OR(Calculator!$E$14&lt;&gt;"YES",Calculator!$B$31&lt;Calculator!$G$14),"—",ROUND(MAX((50*POWER(80,POWER(COS(PI()*MOD(Calculator!$B$31/Calculator!$F$14,1)),2)))/$C55,$C55/(50*POWER(80,POWER(COS(PI()*MOD(Calculator!$B$31/Calculator!$F$14,1)),2)))),2))</f>
        <v>10.64</v>
      </c>
      <c r="T55" s="78" t="n">
        <f aca="false">IF(OR(Calculator!$E$15&lt;&gt;"YES",Calculator!$B$31&lt;Calculator!$G$15),"—",ROUND(MAX((50*POWER(80,POWER(COS(PI()*MOD(Calculator!$B$31/Calculator!$F$15,1)),2)))/$C55,$C55/(50*POWER(80,POWER(COS(PI()*MOD(Calculator!$B$31/Calculator!$F$15,1)),2)))),2))</f>
        <v>6.47</v>
      </c>
      <c r="U55" s="78" t="n">
        <f aca="false">IF(OR(Calculator!$E$16&lt;&gt;"YES",Calculator!$B$31&lt;Calculator!$G$16),"—",ROUND(MAX((50*POWER(80,POWER(COS(PI()*MOD(Calculator!$B$31/Calculator!$F$16,1)),2)))/$C55,$C55/(50*POWER(80,POWER(COS(PI()*MOD(Calculator!$B$31/Calculator!$F$16,1)),2)))),2))</f>
        <v>2.46</v>
      </c>
      <c r="V55" s="78" t="n">
        <f aca="false">IF(OR(Calculator!$E$17&lt;&gt;"YES",Calculator!$B$31&lt;Calculator!$G$17),"—",ROUND(MAX((50*POWER(80,POWER(COS(PI()*MOD(Calculator!$B$31/Calculator!$F$17,1)),2)))/$C55,$C55/(50*POWER(80,POWER(COS(PI()*MOD(Calculator!$B$31/Calculator!$F$17,1)),2)))),2))</f>
        <v>1.41</v>
      </c>
      <c r="W55" s="78" t="n">
        <f aca="false">IF(OR(Calculator!$E$18&lt;&gt;"YES",Calculator!$B$31&lt;Calculator!$G$18),"—",ROUND(MAX((50*POWER(80,POWER(COS(PI()*MOD(Calculator!$B$31/Calculator!$F$18,1)),2)))/$C55,$C55/(50*POWER(80,POWER(COS(PI()*MOD(Calculator!$B$31/Calculator!$F$18,1)),2)))),2))</f>
        <v>1.6</v>
      </c>
      <c r="X55" s="78" t="n">
        <f aca="false">IF(OR(Calculator!$E$19&lt;&gt;"YES",Calculator!$B$31&lt;Calculator!$G$19),"—",ROUND(MAX((50*POWER(80,POWER(COS(PI()*MOD(Calculator!$B$31/Calculator!$F$19,1)),2)))/$C55,$C55/(50*POWER(80,POWER(COS(PI()*MOD(Calculator!$B$31/Calculator!$F$19,1)),2)))),2))</f>
        <v>4.27</v>
      </c>
      <c r="Y55" s="78" t="n">
        <f aca="false">IF(OR(Calculator!$E$20&lt;&gt;"YES",Calculator!$B$31&lt;Calculator!$G$20),"—",ROUND(MAX((50*POWER(80,POWER(COS(PI()*MOD(Calculator!$B$31/Calculator!$F$20,1)),2)))/$C55,$C55/(50*POWER(80,POWER(COS(PI()*MOD(Calculator!$B$31/Calculator!$F$20,1)),2)))),2))</f>
        <v>14.11</v>
      </c>
      <c r="Z55" s="78" t="str">
        <f aca="false">IF(OR(Calculator!$E$21&lt;&gt;"YES",Calculator!$B$31&lt;Calculator!$G$21),"—",ROUND(MAX((50*POWER(80,POWER(COS(PI()*MOD(Calculator!$B$31/Calculator!$F$21,1)),2)))/$C55,$C55/(50*POWER(80,POWER(COS(PI()*MOD(Calculator!$B$31/Calculator!$F$21,1)),2)))),2))</f>
        <v>—</v>
      </c>
      <c r="AA55" s="100" t="n">
        <f aca="false">IFERROR(ROUND((IF(ISNUMBER(P55),P55,0)+IF(ISNUMBER(Q55),Q55,0)+IF(ISNUMBER(R55),R55,0)+IF(ISNUMBER(S55),S55,0)+IF(ISNUMBER(T55),T55,0)+IF(ISNUMBER(U55),U55,0)+IF(ISNUMBER(V55),V55,0)+IF(ISNUMBER(W55),W55,0)+IF(ISNUMBER(X55),X55,0)+IF(ISNUMBER(Y55),Y55,0)+IF(ISNUMBER(Z55),Z55,0))/(IF(ISNUMBER(P55),1,0)+IF(ISNUMBER(Q55),1,0)+IF(ISNUMBER(R55),1,0)+IF(ISNUMBER(S55),1,0)+IF(ISNUMBER(T55),1,0)+IF(ISNUMBER(U55),1,0)+IF(ISNUMBER(V55),1,0)+IF(ISNUMBER(W55),1,0)+IF(ISNUMBER(X55),1,0)+IF(ISNUMBER(Y55),1,0)+IF(ISNUMBER(Z55),1,0)),2),"")</f>
        <v>5.85</v>
      </c>
      <c r="AB55" s="78" t="str">
        <f aca="false">IF(OR(Calculator!$E$11&lt;&gt;"YES",Calculator!$B$32&lt;Calculator!$G$11),"—",ROUND(MAX((50*POWER(80,POWER(COS(PI()*MOD(Calculator!$B$32/Calculator!$F$11,1)),2)))/$C55,$C55/(50*POWER(80,POWER(COS(PI()*MOD(Calculator!$B$32/Calculator!$F$11,1)),2)))),2))</f>
        <v>—</v>
      </c>
      <c r="AC55" s="78" t="str">
        <f aca="false">IF(OR(Calculator!$E$12&lt;&gt;"YES",Calculator!$B$32&lt;Calculator!$G$12),"—",ROUND(MAX((50*POWER(80,POWER(COS(PI()*MOD(Calculator!$B$32/Calculator!$F$12,1)),2)))/$C55,$C55/(50*POWER(80,POWER(COS(PI()*MOD(Calculator!$B$32/Calculator!$F$12,1)),2)))),2))</f>
        <v>—</v>
      </c>
      <c r="AD55" s="78" t="str">
        <f aca="false">IF(OR(Calculator!$E$13&lt;&gt;"YES",Calculator!$B$32&lt;Calculator!$G$13),"—",ROUND(MAX((50*POWER(80,POWER(COS(PI()*MOD(Calculator!$B$32/Calculator!$F$13,1)),2)))/$C55,$C55/(50*POWER(80,POWER(COS(PI()*MOD(Calculator!$B$32/Calculator!$F$13,1)),2)))),2))</f>
        <v>—</v>
      </c>
      <c r="AE55" s="78" t="n">
        <f aca="false">IF(OR(Calculator!$E$14&lt;&gt;"YES",Calculator!$B$32&lt;Calculator!$G$14),"—",ROUND(MAX((50*POWER(80,POWER(COS(PI()*MOD(Calculator!$B$32/Calculator!$F$14,1)),2)))/$C55,$C55/(50*POWER(80,POWER(COS(PI()*MOD(Calculator!$B$32/Calculator!$F$14,1)),2)))),2))</f>
        <v>6.72</v>
      </c>
      <c r="AF55" s="78" t="n">
        <f aca="false">IF(OR(Calculator!$E$15&lt;&gt;"YES",Calculator!$B$32&lt;Calculator!$G$15),"—",ROUND(MAX((50*POWER(80,POWER(COS(PI()*MOD(Calculator!$B$32/Calculator!$F$15,1)),2)))/$C55,$C55/(50*POWER(80,POWER(COS(PI()*MOD(Calculator!$B$32/Calculator!$F$15,1)),2)))),2))</f>
        <v>4.34</v>
      </c>
      <c r="AG55" s="78" t="n">
        <f aca="false">IF(OR(Calculator!$E$16&lt;&gt;"YES",Calculator!$B$32&lt;Calculator!$G$16),"—",ROUND(MAX((50*POWER(80,POWER(COS(PI()*MOD(Calculator!$B$32/Calculator!$F$16,1)),2)))/$C55,$C55/(50*POWER(80,POWER(COS(PI()*MOD(Calculator!$B$32/Calculator!$F$16,1)),2)))),2))</f>
        <v>14.66</v>
      </c>
      <c r="AH55" s="78" t="n">
        <f aca="false">IF(OR(Calculator!$E$17&lt;&gt;"YES",Calculator!$B$32&lt;Calculator!$G$17),"—",ROUND(MAX((50*POWER(80,POWER(COS(PI()*MOD(Calculator!$B$32/Calculator!$F$17,1)),2)))/$C55,$C55/(50*POWER(80,POWER(COS(PI()*MOD(Calculator!$B$32/Calculator!$F$17,1)),2)))),2))</f>
        <v>2</v>
      </c>
      <c r="AI55" s="78" t="n">
        <f aca="false">IF(OR(Calculator!$E$18&lt;&gt;"YES",Calculator!$B$32&lt;Calculator!$G$18),"—",ROUND(MAX((50*POWER(80,POWER(COS(PI()*MOD(Calculator!$B$32/Calculator!$F$18,1)),2)))/$C55,$C55/(50*POWER(80,POWER(COS(PI()*MOD(Calculator!$B$32/Calculator!$F$18,1)),2)))),2))</f>
        <v>2.17</v>
      </c>
      <c r="AJ55" s="78" t="n">
        <f aca="false">IF(OR(Calculator!$E$19&lt;&gt;"YES",Calculator!$B$32&lt;Calculator!$G$19),"—",ROUND(MAX((50*POWER(80,POWER(COS(PI()*MOD(Calculator!$B$32/Calculator!$F$19,1)),2)))/$C55,$C55/(50*POWER(80,POWER(COS(PI()*MOD(Calculator!$B$32/Calculator!$F$19,1)),2)))),2))</f>
        <v>2.29</v>
      </c>
      <c r="AK55" s="78" t="n">
        <f aca="false">IF(OR(Calculator!$E$20&lt;&gt;"YES",Calculator!$B$32&lt;Calculator!$G$20),"—",ROUND(MAX((50*POWER(80,POWER(COS(PI()*MOD(Calculator!$B$32/Calculator!$F$20,1)),2)))/$C55,$C55/(50*POWER(80,POWER(COS(PI()*MOD(Calculator!$B$32/Calculator!$F$20,1)),2)))),2))</f>
        <v>11.53</v>
      </c>
      <c r="AL55" s="78" t="str">
        <f aca="false">IF(OR(Calculator!$E$21&lt;&gt;"YES",Calculator!$B$32&lt;Calculator!$G$21),"—",ROUND(MAX((50*POWER(80,POWER(COS(PI()*MOD(Calculator!$B$32/Calculator!$F$21,1)),2)))/$C55,$C55/(50*POWER(80,POWER(COS(PI()*MOD(Calculator!$B$32/Calculator!$F$21,1)),2)))),2))</f>
        <v>—</v>
      </c>
      <c r="AM55" s="101" t="n">
        <f aca="false">IFERROR(ROUND((IF(ISNUMBER(AB55),AB55,0)+IF(ISNUMBER(AC55),AC55,0)+IF(ISNUMBER(AD55),AD55,0)+IF(ISNUMBER(AE55),AE55,0)+IF(ISNUMBER(AF55),AF55,0)+IF(ISNUMBER(AG55),AG55,0)+IF(ISNUMBER(AH55),AH55,0)+IF(ISNUMBER(AI55),AI55,0)+IF(ISNUMBER(AJ55),AJ55,0)+IF(ISNUMBER(AK55),AK55,0)+IF(ISNUMBER(AL55),AL55,0))/(IF(ISNUMBER(AB55),1,0)+IF(ISNUMBER(AC55),1,0)+IF(ISNUMBER(AD55),1,0)+IF(ISNUMBER(AE55),1,0)+IF(ISNUMBER(AF55),1,0)+IF(ISNUMBER(AG55),1,0)+IF(ISNUMBER(AH55),1,0)+IF(ISNUMBER(AI55),1,0)+IF(ISNUMBER(AJ55),1,0)+IF(ISNUMBER(AK55),1,0)+IF(ISNUMBER(AL55),1,0)),2),"")</f>
        <v>6.24</v>
      </c>
      <c r="AN55" s="102" t="str">
        <f aca="false">IF(OR(Calculator!$E$11&lt;&gt;"YES",Calculator!$B$33&lt;Calculator!$G$11),"—",ROUND(MAX((50*POWER(80,POWER(COS(PI()*MOD(Calculator!$B$33/Calculator!$F$11,1)),2)))/$C55,$C55/(50*POWER(80,POWER(COS(PI()*MOD(Calculator!$B$33/Calculator!$F$11,1)),2)))),2))</f>
        <v>—</v>
      </c>
      <c r="AO55" s="102" t="str">
        <f aca="false">IF(OR(Calculator!$E$12&lt;&gt;"YES",Calculator!$B$33&lt;Calculator!$G$12),"—",ROUND(MAX((50*POWER(80,POWER(COS(PI()*MOD(Calculator!$B$33/Calculator!$F$12,1)),2)))/$C55,$C55/(50*POWER(80,POWER(COS(PI()*MOD(Calculator!$B$33/Calculator!$F$12,1)),2)))),2))</f>
        <v>—</v>
      </c>
      <c r="AP55" s="102" t="str">
        <f aca="false">IF(OR(Calculator!$E$13&lt;&gt;"YES",Calculator!$B$33&lt;Calculator!$G$13),"—",ROUND(MAX((50*POWER(80,POWER(COS(PI()*MOD(Calculator!$B$33/Calculator!$F$13,1)),2)))/$C55,$C55/(50*POWER(80,POWER(COS(PI()*MOD(Calculator!$B$33/Calculator!$F$13,1)),2)))),2))</f>
        <v>—</v>
      </c>
      <c r="AQ55" s="102" t="n">
        <f aca="false">IF(OR(Calculator!$E$14&lt;&gt;"YES",Calculator!$B$33&lt;Calculator!$G$14),"—",ROUND(MAX((50*POWER(80,POWER(COS(PI()*MOD(Calculator!$B$33/Calculator!$F$14,1)),2)))/$C55,$C55/(50*POWER(80,POWER(COS(PI()*MOD(Calculator!$B$33/Calculator!$F$14,1)),2)))),2))</f>
        <v>2.37</v>
      </c>
      <c r="AR55" s="102" t="n">
        <f aca="false">IF(OR(Calculator!$E$15&lt;&gt;"YES",Calculator!$B$33&lt;Calculator!$G$15),"—",ROUND(MAX((50*POWER(80,POWER(COS(PI()*MOD(Calculator!$B$33/Calculator!$F$15,1)),2)))/$C55,$C55/(50*POWER(80,POWER(COS(PI()*MOD(Calculator!$B$33/Calculator!$F$15,1)),2)))),2))</f>
        <v>3.92</v>
      </c>
      <c r="AS55" s="102" t="n">
        <f aca="false">IF(OR(Calculator!$E$16&lt;&gt;"YES",Calculator!$B$33&lt;Calculator!$G$16),"—",ROUND(MAX((50*POWER(80,POWER(COS(PI()*MOD(Calculator!$B$33/Calculator!$F$16,1)),2)))/$C55,$C55/(50*POWER(80,POWER(COS(PI()*MOD(Calculator!$B$33/Calculator!$F$16,1)),2)))),2))</f>
        <v>1.43</v>
      </c>
      <c r="AT55" s="102" t="n">
        <f aca="false">IF(OR(Calculator!$E$17&lt;&gt;"YES",Calculator!$B$33&lt;Calculator!$G$17),"—",ROUND(MAX((50*POWER(80,POWER(COS(PI()*MOD(Calculator!$B$33/Calculator!$F$17,1)),2)))/$C55,$C55/(50*POWER(80,POWER(COS(PI()*MOD(Calculator!$B$33/Calculator!$F$17,1)),2)))),2))</f>
        <v>4.54</v>
      </c>
      <c r="AU55" s="102" t="n">
        <f aca="false">IF(OR(Calculator!$E$18&lt;&gt;"YES",Calculator!$B$33&lt;Calculator!$G$18),"—",ROUND(MAX((50*POWER(80,POWER(COS(PI()*MOD(Calculator!$B$33/Calculator!$F$18,1)),2)))/$C55,$C55/(50*POWER(80,POWER(COS(PI()*MOD(Calculator!$B$33/Calculator!$F$18,1)),2)))),2))</f>
        <v>6.15</v>
      </c>
      <c r="AV55" s="102" t="n">
        <f aca="false">IF(OR(Calculator!$E$19&lt;&gt;"YES",Calculator!$B$33&lt;Calculator!$G$19),"—",ROUND(MAX((50*POWER(80,POWER(COS(PI()*MOD(Calculator!$B$33/Calculator!$F$19,1)),2)))/$C55,$C55/(50*POWER(80,POWER(COS(PI()*MOD(Calculator!$B$33/Calculator!$F$19,1)),2)))),2))</f>
        <v>1.34</v>
      </c>
      <c r="AW55" s="102" t="n">
        <f aca="false">IF(OR(Calculator!$E$20&lt;&gt;"YES",Calculator!$B$33&lt;Calculator!$G$20),"—",ROUND(MAX((50*POWER(80,POWER(COS(PI()*MOD(Calculator!$B$33/Calculator!$F$20,1)),2)))/$C55,$C55/(50*POWER(80,POWER(COS(PI()*MOD(Calculator!$B$33/Calculator!$F$20,1)),2)))),2))</f>
        <v>9.38</v>
      </c>
      <c r="AX55" s="102" t="str">
        <f aca="false">IF(OR(Calculator!$E$21&lt;&gt;"YES",Calculator!$B$33&lt;Calculator!$G$21),"—",ROUND(MAX((50*POWER(80,POWER(COS(PI()*MOD(Calculator!$B$33/Calculator!$F$21,1)),2)))/$C55,$C55/(50*POWER(80,POWER(COS(PI()*MOD(Calculator!$B$33/Calculator!$F$21,1)),2)))),2))</f>
        <v>—</v>
      </c>
      <c r="AY55" s="101" t="n">
        <f aca="false">IFERROR(ROUND((IF(ISNUMBER(AN55),AN55,0)+IF(ISNUMBER(AO55),AO55,0)+IF(ISNUMBER(AP55),AP55,0)+IF(ISNUMBER(AQ55),AQ55,0)+IF(ISNUMBER(AR55),AR55,0)+IF(ISNUMBER(AS55),AS55,0)+IF(ISNUMBER(AT55),AT55,0)+IF(ISNUMBER(AU55),AU55,0)+IF(ISNUMBER(AV55),AV55,0)+IF(ISNUMBER(AW55),AW55,0)+IF(ISNUMBER(AX55),AX55,0))/(IF(ISNUMBER(AN55),1,0)+IF(ISNUMBER(AO55),1,0)+IF(ISNUMBER(AP55),1,0)+IF(ISNUMBER(AQ55),1,0)+IF(ISNUMBER(AR55),1,0)+IF(ISNUMBER(AS55),1,0)+IF(ISNUMBER(AT55),1,0)+IF(ISNUMBER(AU55),1,0)+IF(ISNUMBER(AV55),1,0)+IF(ISNUMBER(AW55),1,0)+IF(ISNUMBER(AX55),1,0)),2),"")</f>
        <v>4.16</v>
      </c>
      <c r="AZ55" s="102" t="str">
        <f aca="false">IF(OR(Calculator!$E$11&lt;&gt;"YES",Calculator!$B$34&lt;Calculator!$G$11),"—",ROUND(MAX((50*POWER(80,POWER(COS(PI()*MOD(Calculator!$B$34/Calculator!$F$11,1)),2)))/$C55,$C55/(50*POWER(80,POWER(COS(PI()*MOD(Calculator!$B$34/Calculator!$F$11,1)),2)))),2))</f>
        <v>—</v>
      </c>
      <c r="BA55" s="102" t="str">
        <f aca="false">IF(OR(Calculator!$E$12&lt;&gt;"YES",Calculator!$B$34&lt;Calculator!$G$12),"—",ROUND(MAX((50*POWER(80,POWER(COS(PI()*MOD(Calculator!$B$34/Calculator!$F$12,1)),2)))/$C55,$C55/(50*POWER(80,POWER(COS(PI()*MOD(Calculator!$B$34/Calculator!$F$12,1)),2)))),2))</f>
        <v>—</v>
      </c>
      <c r="BB55" s="102" t="str">
        <f aca="false">IF(OR(Calculator!$E$13&lt;&gt;"YES",Calculator!$B$34&lt;Calculator!$G$13),"—",ROUND(MAX((50*POWER(80,POWER(COS(PI()*MOD(Calculator!$B$34/Calculator!$F$13,1)),2)))/$C55,$C55/(50*POWER(80,POWER(COS(PI()*MOD(Calculator!$B$34/Calculator!$F$13,1)),2)))),2))</f>
        <v>—</v>
      </c>
      <c r="BC55" s="102" t="n">
        <f aca="false">IF(OR(Calculator!$E$14&lt;&gt;"YES",Calculator!$B$34&lt;Calculator!$G$14),"—",ROUND(MAX((50*POWER(80,POWER(COS(PI()*MOD(Calculator!$B$34/Calculator!$F$14,1)),2)))/$C55,$C55/(50*POWER(80,POWER(COS(PI()*MOD(Calculator!$B$34/Calculator!$F$14,1)),2)))),2))</f>
        <v>2.41</v>
      </c>
      <c r="BD55" s="102" t="n">
        <f aca="false">IF(OR(Calculator!$E$15&lt;&gt;"YES",Calculator!$B$34&lt;Calculator!$G$15),"—",ROUND(MAX((50*POWER(80,POWER(COS(PI()*MOD(Calculator!$B$34/Calculator!$F$15,1)),2)))/$C55,$C55/(50*POWER(80,POWER(COS(PI()*MOD(Calculator!$B$34/Calculator!$F$15,1)),2)))),2))</f>
        <v>5.06</v>
      </c>
      <c r="BE55" s="102" t="n">
        <f aca="false">IF(OR(Calculator!$E$16&lt;&gt;"YES",Calculator!$B$34&lt;Calculator!$G$16),"—",ROUND(MAX((50*POWER(80,POWER(COS(PI()*MOD(Calculator!$B$34/Calculator!$F$16,1)),2)))/$C55,$C55/(50*POWER(80,POWER(COS(PI()*MOD(Calculator!$B$34/Calculator!$F$16,1)),2)))),2))</f>
        <v>1.71</v>
      </c>
      <c r="BF55" s="102" t="n">
        <f aca="false">IF(OR(Calculator!$E$17&lt;&gt;"YES",Calculator!$B$34&lt;Calculator!$G$17),"—",ROUND(MAX((50*POWER(80,POWER(COS(PI()*MOD(Calculator!$B$34/Calculator!$F$17,1)),2)))/$C55,$C55/(50*POWER(80,POWER(COS(PI()*MOD(Calculator!$B$34/Calculator!$F$17,1)),2)))),2))</f>
        <v>1.14</v>
      </c>
      <c r="BG55" s="102" t="n">
        <f aca="false">IF(OR(Calculator!$E$18&lt;&gt;"YES",Calculator!$B$34&lt;Calculator!$G$18),"—",ROUND(MAX((50*POWER(80,POWER(COS(PI()*MOD(Calculator!$B$34/Calculator!$F$18,1)),2)))/$C55,$C55/(50*POWER(80,POWER(COS(PI()*MOD(Calculator!$B$34/Calculator!$F$18,1)),2)))),2))</f>
        <v>8.32</v>
      </c>
      <c r="BH55" s="102" t="n">
        <f aca="false">IF(OR(Calculator!$E$19&lt;&gt;"YES",Calculator!$B$34&lt;Calculator!$G$19),"—",ROUND(MAX((50*POWER(80,POWER(COS(PI()*MOD(Calculator!$B$34/Calculator!$F$19,1)),2)))/$C55,$C55/(50*POWER(80,POWER(COS(PI()*MOD(Calculator!$B$34/Calculator!$F$19,1)),2)))),2))</f>
        <v>9.25</v>
      </c>
      <c r="BI55" s="102" t="n">
        <f aca="false">IF(OR(Calculator!$E$20&lt;&gt;"YES",Calculator!$B$34&lt;Calculator!$G$20),"—",ROUND(MAX((50*POWER(80,POWER(COS(PI()*MOD(Calculator!$B$34/Calculator!$F$20,1)),2)))/$C55,$C55/(50*POWER(80,POWER(COS(PI()*MOD(Calculator!$B$34/Calculator!$F$20,1)),2)))),2))</f>
        <v>5.52</v>
      </c>
      <c r="BJ55" s="102" t="str">
        <f aca="false">IF(OR(Calculator!$E$21&lt;&gt;"YES",Calculator!$B$34&lt;Calculator!$G$21),"—",ROUND(MAX((50*POWER(80,POWER(COS(PI()*MOD(Calculator!$B$34/Calculator!$F$21,1)),2)))/$C55,$C55/(50*POWER(80,POWER(COS(PI()*MOD(Calculator!$B$34/Calculator!$F$21,1)),2)))),2))</f>
        <v>—</v>
      </c>
      <c r="BK55" s="101" t="n">
        <f aca="false">IFERROR(ROUND((IF(ISNUMBER(AZ55),AZ55,0)+IF(ISNUMBER(BA55),BA55,0)+IF(ISNUMBER(BB55),BB55,0)+IF(ISNUMBER(BC55),BC55,0)+IF(ISNUMBER(BD55),BD55,0)+IF(ISNUMBER(BE55),BE55,0)+IF(ISNUMBER(BF55),BF55,0)+IF(ISNUMBER(BG55),BG55,0)+IF(ISNUMBER(BH55),BH55,0)+IF(ISNUMBER(BI55),BI55,0)+IF(ISNUMBER(BJ55),BJ55,0))/(IF(ISNUMBER(AZ55),1,0)+IF(ISNUMBER(BA55),1,0)+IF(ISNUMBER(BB55),1,0)+IF(ISNUMBER(BC55),1,0)+IF(ISNUMBER(BD55),1,0)+IF(ISNUMBER(BE55),1,0)+IF(ISNUMBER(BF55),1,0)+IF(ISNUMBER(BG55),1,0)+IF(ISNUMBER(BH55),1,0)+IF(ISNUMBER(BI55),1,0)+IF(ISNUMBER(BJ55),1,0)),2),"")</f>
        <v>4.77</v>
      </c>
    </row>
    <row r="56" customFormat="false" ht="15" hidden="false" customHeight="false" outlineLevel="0" collapsed="false">
      <c r="A56" s="103" t="s">
        <v>107</v>
      </c>
      <c r="B56" s="103" t="s">
        <v>86</v>
      </c>
      <c r="C56" s="104" t="n">
        <v>1200</v>
      </c>
      <c r="D56" s="105" t="str">
        <f aca="false">IF(OR(Calculator!$E$11&lt;&gt;"YES",Calculator!$B$30&lt;Calculator!$G$11),"—",ROUND(MAX((50*POWER(80,POWER(COS(PI()*MOD(Calculator!$B$30/Calculator!$F$11,1)),2)))/$C56,$C56/(50*POWER(80,POWER(COS(PI()*MOD(Calculator!$B$30/Calculator!$F$11,1)),2)))),2))</f>
        <v>—</v>
      </c>
      <c r="E56" s="105" t="str">
        <f aca="false">IF(OR(Calculator!$E$12&lt;&gt;"YES",Calculator!$B$30&lt;Calculator!$G$12),"—",ROUND(MAX((50*POWER(80,POWER(COS(PI()*MOD(Calculator!$B$30/Calculator!$F$12,1)),2)))/$C56,$C56/(50*POWER(80,POWER(COS(PI()*MOD(Calculator!$B$30/Calculator!$F$12,1)),2)))),2))</f>
        <v>—</v>
      </c>
      <c r="F56" s="105" t="str">
        <f aca="false">IF(OR(Calculator!$E$13&lt;&gt;"YES",Calculator!$B$30&lt;Calculator!$G$13),"—",ROUND(MAX((50*POWER(80,POWER(COS(PI()*MOD(Calculator!$B$30/Calculator!$F$13,1)),2)))/$C56,$C56/(50*POWER(80,POWER(COS(PI()*MOD(Calculator!$B$30/Calculator!$F$13,1)),2)))),2))</f>
        <v>—</v>
      </c>
      <c r="G56" s="105" t="n">
        <f aca="false">IF(OR(Calculator!$E$14&lt;&gt;"YES",Calculator!$B$30&lt;Calculator!$G$14),"—",ROUND(MAX((50*POWER(80,POWER(COS(PI()*MOD(Calculator!$B$30/Calculator!$F$14,1)),2)))/$C56,$C56/(50*POWER(80,POWER(COS(PI()*MOD(Calculator!$B$30/Calculator!$F$14,1)),2)))),2))</f>
        <v>10.84</v>
      </c>
      <c r="H56" s="105" t="n">
        <f aca="false">IF(OR(Calculator!$E$15&lt;&gt;"YES",Calculator!$B$30&lt;Calculator!$G$15),"—",ROUND(MAX((50*POWER(80,POWER(COS(PI()*MOD(Calculator!$B$30/Calculator!$F$15,1)),2)))/$C56,$C56/(50*POWER(80,POWER(COS(PI()*MOD(Calculator!$B$30/Calculator!$F$15,1)),2)))),2))</f>
        <v>3.14</v>
      </c>
      <c r="I56" s="105" t="n">
        <f aca="false">IF(OR(Calculator!$E$16&lt;&gt;"YES",Calculator!$B$30&lt;Calculator!$G$16),"—",ROUND(MAX((50*POWER(80,POWER(COS(PI()*MOD(Calculator!$B$30/Calculator!$F$16,1)),2)))/$C56,$C56/(50*POWER(80,POWER(COS(PI()*MOD(Calculator!$B$30/Calculator!$F$16,1)),2)))),2))</f>
        <v>2.15</v>
      </c>
      <c r="J56" s="105" t="n">
        <f aca="false">IF(OR(Calculator!$E$17&lt;&gt;"YES",Calculator!$B$30&lt;Calculator!$G$17),"—",ROUND(MAX((50*POWER(80,POWER(COS(PI()*MOD(Calculator!$B$30/Calculator!$F$17,1)),2)))/$C56,$C56/(50*POWER(80,POWER(COS(PI()*MOD(Calculator!$B$30/Calculator!$F$17,1)),2)))),2))</f>
        <v>6.03</v>
      </c>
      <c r="K56" s="105" t="n">
        <f aca="false">IF(OR(Calculator!$E$18&lt;&gt;"YES",Calculator!$B$30&lt;Calculator!$G$18),"—",ROUND(MAX((50*POWER(80,POWER(COS(PI()*MOD(Calculator!$B$30/Calculator!$F$18,1)),2)))/$C56,$C56/(50*POWER(80,POWER(COS(PI()*MOD(Calculator!$B$30/Calculator!$F$18,1)),2)))),2))</f>
        <v>1.16</v>
      </c>
      <c r="L56" s="105" t="n">
        <f aca="false">IF(OR(Calculator!$E$19&lt;&gt;"YES",Calculator!$B$30&lt;Calculator!$G$19),"—",ROUND(MAX((50*POWER(80,POWER(COS(PI()*MOD(Calculator!$B$30/Calculator!$F$19,1)),2)))/$C56,$C56/(50*POWER(80,POWER(COS(PI()*MOD(Calculator!$B$30/Calculator!$F$19,1)),2)))),2))</f>
        <v>1.53</v>
      </c>
      <c r="M56" s="105" t="n">
        <f aca="false">IF(OR(Calculator!$E$20&lt;&gt;"YES",Calculator!$B$30&lt;Calculator!$G$20),"—",ROUND(MAX((50*POWER(80,POWER(COS(PI()*MOD(Calculator!$B$30/Calculator!$F$20,1)),2)))/$C56,$C56/(50*POWER(80,POWER(COS(PI()*MOD(Calculator!$B$30/Calculator!$F$20,1)),2)))),2))</f>
        <v>9.48</v>
      </c>
      <c r="N56" s="105" t="str">
        <f aca="false">IF(OR(Calculator!$E$21&lt;&gt;"YES",Calculator!$B$30&lt;Calculator!$G$21),"—",ROUND(MAX((50*POWER(80,POWER(COS(PI()*MOD(Calculator!$B$30/Calculator!$F$21,1)),2)))/$C56,$C56/(50*POWER(80,POWER(COS(PI()*MOD(Calculator!$B$30/Calculator!$F$21,1)),2)))),2))</f>
        <v>—</v>
      </c>
      <c r="O56" s="100" t="n">
        <f aca="false">IFERROR(ROUND((IF(ISNUMBER(D56),D56,0)+IF(ISNUMBER(E56),E56,0)+IF(ISNUMBER(F56),F56,0)+IF(ISNUMBER(G56),G56,0)+IF(ISNUMBER(H56),H56,0)+IF(ISNUMBER(I56),I56,0)+IF(ISNUMBER(J56),J56,0)+IF(ISNUMBER(K56),K56,0)+IF(ISNUMBER(L56),L56,0)+IF(ISNUMBER(M56),M56,0)+IF(ISNUMBER(N56),N56,0))/(IF(ISNUMBER(D56),1,0)+IF(ISNUMBER(E56),1,0)+IF(ISNUMBER(F56),1,0)+IF(ISNUMBER(G56),1,0)+IF(ISNUMBER(H56),1,0)+IF(ISNUMBER(I56),1,0)+IF(ISNUMBER(J56),1,0)+IF(ISNUMBER(K56),1,0)+IF(ISNUMBER(L56),1,0)+IF(ISNUMBER(M56),1,0)+IF(ISNUMBER(N56),1,0)),2),"")</f>
        <v>4.9</v>
      </c>
      <c r="P56" s="105" t="str">
        <f aca="false">IF(OR(Calculator!$E$11&lt;&gt;"YES",Calculator!$B$31&lt;Calculator!$G$11),"—",ROUND(MAX((50*POWER(80,POWER(COS(PI()*MOD(Calculator!$B$31/Calculator!$F$11,1)),2)))/$C56,$C56/(50*POWER(80,POWER(COS(PI()*MOD(Calculator!$B$31/Calculator!$F$11,1)),2)))),2))</f>
        <v>—</v>
      </c>
      <c r="Q56" s="105" t="str">
        <f aca="false">IF(OR(Calculator!$E$12&lt;&gt;"YES",Calculator!$B$31&lt;Calculator!$G$12),"—",ROUND(MAX((50*POWER(80,POWER(COS(PI()*MOD(Calculator!$B$31/Calculator!$F$12,1)),2)))/$C56,$C56/(50*POWER(80,POWER(COS(PI()*MOD(Calculator!$B$31/Calculator!$F$12,1)),2)))),2))</f>
        <v>—</v>
      </c>
      <c r="R56" s="105" t="str">
        <f aca="false">IF(OR(Calculator!$E$13&lt;&gt;"YES",Calculator!$B$31&lt;Calculator!$G$13),"—",ROUND(MAX((50*POWER(80,POWER(COS(PI()*MOD(Calculator!$B$31/Calculator!$F$13,1)),2)))/$C56,$C56/(50*POWER(80,POWER(COS(PI()*MOD(Calculator!$B$31/Calculator!$F$13,1)),2)))),2))</f>
        <v>—</v>
      </c>
      <c r="S56" s="105" t="n">
        <f aca="false">IF(OR(Calculator!$E$14&lt;&gt;"YES",Calculator!$B$31&lt;Calculator!$G$14),"—",ROUND(MAX((50*POWER(80,POWER(COS(PI()*MOD(Calculator!$B$31/Calculator!$F$14,1)),2)))/$C56,$C56/(50*POWER(80,POWER(COS(PI()*MOD(Calculator!$B$31/Calculator!$F$14,1)),2)))),2))</f>
        <v>11.1</v>
      </c>
      <c r="T56" s="105" t="n">
        <f aca="false">IF(OR(Calculator!$E$15&lt;&gt;"YES",Calculator!$B$31&lt;Calculator!$G$15),"—",ROUND(MAX((50*POWER(80,POWER(COS(PI()*MOD(Calculator!$B$31/Calculator!$F$15,1)),2)))/$C56,$C56/(50*POWER(80,POWER(COS(PI()*MOD(Calculator!$B$31/Calculator!$F$15,1)),2)))),2))</f>
        <v>6.76</v>
      </c>
      <c r="U56" s="105" t="n">
        <f aca="false">IF(OR(Calculator!$E$16&lt;&gt;"YES",Calculator!$B$31&lt;Calculator!$G$16),"—",ROUND(MAX((50*POWER(80,POWER(COS(PI()*MOD(Calculator!$B$31/Calculator!$F$16,1)),2)))/$C56,$C56/(50*POWER(80,POWER(COS(PI()*MOD(Calculator!$B$31/Calculator!$F$16,1)),2)))),2))</f>
        <v>2.57</v>
      </c>
      <c r="V56" s="105" t="n">
        <f aca="false">IF(OR(Calculator!$E$17&lt;&gt;"YES",Calculator!$B$31&lt;Calculator!$G$17),"—",ROUND(MAX((50*POWER(80,POWER(COS(PI()*MOD(Calculator!$B$31/Calculator!$F$17,1)),2)))/$C56,$C56/(50*POWER(80,POWER(COS(PI()*MOD(Calculator!$B$31/Calculator!$F$17,1)),2)))),2))</f>
        <v>1.35</v>
      </c>
      <c r="W56" s="105" t="n">
        <f aca="false">IF(OR(Calculator!$E$18&lt;&gt;"YES",Calculator!$B$31&lt;Calculator!$G$18),"—",ROUND(MAX((50*POWER(80,POWER(COS(PI()*MOD(Calculator!$B$31/Calculator!$F$18,1)),2)))/$C56,$C56/(50*POWER(80,POWER(COS(PI()*MOD(Calculator!$B$31/Calculator!$F$18,1)),2)))),2))</f>
        <v>1.53</v>
      </c>
      <c r="X56" s="105" t="n">
        <f aca="false">IF(OR(Calculator!$E$19&lt;&gt;"YES",Calculator!$B$31&lt;Calculator!$G$19),"—",ROUND(MAX((50*POWER(80,POWER(COS(PI()*MOD(Calculator!$B$31/Calculator!$F$19,1)),2)))/$C56,$C56/(50*POWER(80,POWER(COS(PI()*MOD(Calculator!$B$31/Calculator!$F$19,1)),2)))),2))</f>
        <v>4.46</v>
      </c>
      <c r="Y56" s="105" t="n">
        <f aca="false">IF(OR(Calculator!$E$20&lt;&gt;"YES",Calculator!$B$31&lt;Calculator!$G$20),"—",ROUND(MAX((50*POWER(80,POWER(COS(PI()*MOD(Calculator!$B$31/Calculator!$F$20,1)),2)))/$C56,$C56/(50*POWER(80,POWER(COS(PI()*MOD(Calculator!$B$31/Calculator!$F$20,1)),2)))),2))</f>
        <v>14.72</v>
      </c>
      <c r="Z56" s="105" t="str">
        <f aca="false">IF(OR(Calculator!$E$21&lt;&gt;"YES",Calculator!$B$31&lt;Calculator!$G$21),"—",ROUND(MAX((50*POWER(80,POWER(COS(PI()*MOD(Calculator!$B$31/Calculator!$F$21,1)),2)))/$C56,$C56/(50*POWER(80,POWER(COS(PI()*MOD(Calculator!$B$31/Calculator!$F$21,1)),2)))),2))</f>
        <v>—</v>
      </c>
      <c r="AA56" s="100" t="n">
        <f aca="false">IFERROR(ROUND((IF(ISNUMBER(P56),P56,0)+IF(ISNUMBER(Q56),Q56,0)+IF(ISNUMBER(R56),R56,0)+IF(ISNUMBER(S56),S56,0)+IF(ISNUMBER(T56),T56,0)+IF(ISNUMBER(U56),U56,0)+IF(ISNUMBER(V56),V56,0)+IF(ISNUMBER(W56),W56,0)+IF(ISNUMBER(X56),X56,0)+IF(ISNUMBER(Y56),Y56,0)+IF(ISNUMBER(Z56),Z56,0))/(IF(ISNUMBER(P56),1,0)+IF(ISNUMBER(Q56),1,0)+IF(ISNUMBER(R56),1,0)+IF(ISNUMBER(S56),1,0)+IF(ISNUMBER(T56),1,0)+IF(ISNUMBER(U56),1,0)+IF(ISNUMBER(V56),1,0)+IF(ISNUMBER(W56),1,0)+IF(ISNUMBER(X56),1,0)+IF(ISNUMBER(Y56),1,0)+IF(ISNUMBER(Z56),1,0)),2),"")</f>
        <v>6.07</v>
      </c>
      <c r="AB56" s="105" t="str">
        <f aca="false">IF(OR(Calculator!$E$11&lt;&gt;"YES",Calculator!$B$32&lt;Calculator!$G$11),"—",ROUND(MAX((50*POWER(80,POWER(COS(PI()*MOD(Calculator!$B$32/Calculator!$F$11,1)),2)))/$C56,$C56/(50*POWER(80,POWER(COS(PI()*MOD(Calculator!$B$32/Calculator!$F$11,1)),2)))),2))</f>
        <v>—</v>
      </c>
      <c r="AC56" s="105" t="str">
        <f aca="false">IF(OR(Calculator!$E$12&lt;&gt;"YES",Calculator!$B$32&lt;Calculator!$G$12),"—",ROUND(MAX((50*POWER(80,POWER(COS(PI()*MOD(Calculator!$B$32/Calculator!$F$12,1)),2)))/$C56,$C56/(50*POWER(80,POWER(COS(PI()*MOD(Calculator!$B$32/Calculator!$F$12,1)),2)))),2))</f>
        <v>—</v>
      </c>
      <c r="AD56" s="105" t="str">
        <f aca="false">IF(OR(Calculator!$E$13&lt;&gt;"YES",Calculator!$B$32&lt;Calculator!$G$13),"—",ROUND(MAX((50*POWER(80,POWER(COS(PI()*MOD(Calculator!$B$32/Calculator!$F$13,1)),2)))/$C56,$C56/(50*POWER(80,POWER(COS(PI()*MOD(Calculator!$B$32/Calculator!$F$13,1)),2)))),2))</f>
        <v>—</v>
      </c>
      <c r="AE56" s="105" t="n">
        <f aca="false">IF(OR(Calculator!$E$14&lt;&gt;"YES",Calculator!$B$32&lt;Calculator!$G$14),"—",ROUND(MAX((50*POWER(80,POWER(COS(PI()*MOD(Calculator!$B$32/Calculator!$F$14,1)),2)))/$C56,$C56/(50*POWER(80,POWER(COS(PI()*MOD(Calculator!$B$32/Calculator!$F$14,1)),2)))),2))</f>
        <v>7.01</v>
      </c>
      <c r="AF56" s="105" t="n">
        <f aca="false">IF(OR(Calculator!$E$15&lt;&gt;"YES",Calculator!$B$32&lt;Calculator!$G$15),"—",ROUND(MAX((50*POWER(80,POWER(COS(PI()*MOD(Calculator!$B$32/Calculator!$F$15,1)),2)))/$C56,$C56/(50*POWER(80,POWER(COS(PI()*MOD(Calculator!$B$32/Calculator!$F$15,1)),2)))),2))</f>
        <v>4.53</v>
      </c>
      <c r="AG56" s="105" t="n">
        <f aca="false">IF(OR(Calculator!$E$16&lt;&gt;"YES",Calculator!$B$32&lt;Calculator!$G$16),"—",ROUND(MAX((50*POWER(80,POWER(COS(PI()*MOD(Calculator!$B$32/Calculator!$F$16,1)),2)))/$C56,$C56/(50*POWER(80,POWER(COS(PI()*MOD(Calculator!$B$32/Calculator!$F$16,1)),2)))),2))</f>
        <v>15.3</v>
      </c>
      <c r="AH56" s="105" t="n">
        <f aca="false">IF(OR(Calculator!$E$17&lt;&gt;"YES",Calculator!$B$32&lt;Calculator!$G$17),"—",ROUND(MAX((50*POWER(80,POWER(COS(PI()*MOD(Calculator!$B$32/Calculator!$F$17,1)),2)))/$C56,$C56/(50*POWER(80,POWER(COS(PI()*MOD(Calculator!$B$32/Calculator!$F$17,1)),2)))),2))</f>
        <v>1.92</v>
      </c>
      <c r="AI56" s="105" t="n">
        <f aca="false">IF(OR(Calculator!$E$18&lt;&gt;"YES",Calculator!$B$32&lt;Calculator!$G$18),"—",ROUND(MAX((50*POWER(80,POWER(COS(PI()*MOD(Calculator!$B$32/Calculator!$F$18,1)),2)))/$C56,$C56/(50*POWER(80,POWER(COS(PI()*MOD(Calculator!$B$32/Calculator!$F$18,1)),2)))),2))</f>
        <v>2.08</v>
      </c>
      <c r="AJ56" s="105" t="n">
        <f aca="false">IF(OR(Calculator!$E$19&lt;&gt;"YES",Calculator!$B$32&lt;Calculator!$G$19),"—",ROUND(MAX((50*POWER(80,POWER(COS(PI()*MOD(Calculator!$B$32/Calculator!$F$19,1)),2)))/$C56,$C56/(50*POWER(80,POWER(COS(PI()*MOD(Calculator!$B$32/Calculator!$F$19,1)),2)))),2))</f>
        <v>2.19</v>
      </c>
      <c r="AK56" s="105" t="n">
        <f aca="false">IF(OR(Calculator!$E$20&lt;&gt;"YES",Calculator!$B$32&lt;Calculator!$G$20),"—",ROUND(MAX((50*POWER(80,POWER(COS(PI()*MOD(Calculator!$B$32/Calculator!$F$20,1)),2)))/$C56,$C56/(50*POWER(80,POWER(COS(PI()*MOD(Calculator!$B$32/Calculator!$F$20,1)),2)))),2))</f>
        <v>12.03</v>
      </c>
      <c r="AL56" s="105" t="str">
        <f aca="false">IF(OR(Calculator!$E$21&lt;&gt;"YES",Calculator!$B$32&lt;Calculator!$G$21),"—",ROUND(MAX((50*POWER(80,POWER(COS(PI()*MOD(Calculator!$B$32/Calculator!$F$21,1)),2)))/$C56,$C56/(50*POWER(80,POWER(COS(PI()*MOD(Calculator!$B$32/Calculator!$F$21,1)),2)))),2))</f>
        <v>—</v>
      </c>
      <c r="AM56" s="101" t="n">
        <f aca="false">IFERROR(ROUND((IF(ISNUMBER(AB56),AB56,0)+IF(ISNUMBER(AC56),AC56,0)+IF(ISNUMBER(AD56),AD56,0)+IF(ISNUMBER(AE56),AE56,0)+IF(ISNUMBER(AF56),AF56,0)+IF(ISNUMBER(AG56),AG56,0)+IF(ISNUMBER(AH56),AH56,0)+IF(ISNUMBER(AI56),AI56,0)+IF(ISNUMBER(AJ56),AJ56,0)+IF(ISNUMBER(AK56),AK56,0)+IF(ISNUMBER(AL56),AL56,0))/(IF(ISNUMBER(AB56),1,0)+IF(ISNUMBER(AC56),1,0)+IF(ISNUMBER(AD56),1,0)+IF(ISNUMBER(AE56),1,0)+IF(ISNUMBER(AF56),1,0)+IF(ISNUMBER(AG56),1,0)+IF(ISNUMBER(AH56),1,0)+IF(ISNUMBER(AI56),1,0)+IF(ISNUMBER(AJ56),1,0)+IF(ISNUMBER(AK56),1,0)+IF(ISNUMBER(AL56),1,0)),2),"")</f>
        <v>6.44</v>
      </c>
      <c r="AN56" s="106" t="str">
        <f aca="false">IF(OR(Calculator!$E$11&lt;&gt;"YES",Calculator!$B$33&lt;Calculator!$G$11),"—",ROUND(MAX((50*POWER(80,POWER(COS(PI()*MOD(Calculator!$B$33/Calculator!$F$11,1)),2)))/$C56,$C56/(50*POWER(80,POWER(COS(PI()*MOD(Calculator!$B$33/Calculator!$F$11,1)),2)))),2))</f>
        <v>—</v>
      </c>
      <c r="AO56" s="106" t="str">
        <f aca="false">IF(OR(Calculator!$E$12&lt;&gt;"YES",Calculator!$B$33&lt;Calculator!$G$12),"—",ROUND(MAX((50*POWER(80,POWER(COS(PI()*MOD(Calculator!$B$33/Calculator!$F$12,1)),2)))/$C56,$C56/(50*POWER(80,POWER(COS(PI()*MOD(Calculator!$B$33/Calculator!$F$12,1)),2)))),2))</f>
        <v>—</v>
      </c>
      <c r="AP56" s="106" t="str">
        <f aca="false">IF(OR(Calculator!$E$13&lt;&gt;"YES",Calculator!$B$33&lt;Calculator!$G$13),"—",ROUND(MAX((50*POWER(80,POWER(COS(PI()*MOD(Calculator!$B$33/Calculator!$F$13,1)),2)))/$C56,$C56/(50*POWER(80,POWER(COS(PI()*MOD(Calculator!$B$33/Calculator!$F$13,1)),2)))),2))</f>
        <v>—</v>
      </c>
      <c r="AQ56" s="106" t="n">
        <f aca="false">IF(OR(Calculator!$E$14&lt;&gt;"YES",Calculator!$B$33&lt;Calculator!$G$14),"—",ROUND(MAX((50*POWER(80,POWER(COS(PI()*MOD(Calculator!$B$33/Calculator!$F$14,1)),2)))/$C56,$C56/(50*POWER(80,POWER(COS(PI()*MOD(Calculator!$B$33/Calculator!$F$14,1)),2)))),2))</f>
        <v>2.27</v>
      </c>
      <c r="AR56" s="106" t="n">
        <f aca="false">IF(OR(Calculator!$E$15&lt;&gt;"YES",Calculator!$B$33&lt;Calculator!$G$15),"—",ROUND(MAX((50*POWER(80,POWER(COS(PI()*MOD(Calculator!$B$33/Calculator!$F$15,1)),2)))/$C56,$C56/(50*POWER(80,POWER(COS(PI()*MOD(Calculator!$B$33/Calculator!$F$15,1)),2)))),2))</f>
        <v>4.09</v>
      </c>
      <c r="AS56" s="106" t="n">
        <f aca="false">IF(OR(Calculator!$E$16&lt;&gt;"YES",Calculator!$B$33&lt;Calculator!$G$16),"—",ROUND(MAX((50*POWER(80,POWER(COS(PI()*MOD(Calculator!$B$33/Calculator!$F$16,1)),2)))/$C56,$C56/(50*POWER(80,POWER(COS(PI()*MOD(Calculator!$B$33/Calculator!$F$16,1)),2)))),2))</f>
        <v>1.49</v>
      </c>
      <c r="AT56" s="106" t="n">
        <f aca="false">IF(OR(Calculator!$E$17&lt;&gt;"YES",Calculator!$B$33&lt;Calculator!$G$17),"—",ROUND(MAX((50*POWER(80,POWER(COS(PI()*MOD(Calculator!$B$33/Calculator!$F$17,1)),2)))/$C56,$C56/(50*POWER(80,POWER(COS(PI()*MOD(Calculator!$B$33/Calculator!$F$17,1)),2)))),2))</f>
        <v>4.74</v>
      </c>
      <c r="AU56" s="106" t="n">
        <f aca="false">IF(OR(Calculator!$E$18&lt;&gt;"YES",Calculator!$B$33&lt;Calculator!$G$18),"—",ROUND(MAX((50*POWER(80,POWER(COS(PI()*MOD(Calculator!$B$33/Calculator!$F$18,1)),2)))/$C56,$C56/(50*POWER(80,POWER(COS(PI()*MOD(Calculator!$B$33/Calculator!$F$18,1)),2)))),2))</f>
        <v>6.42</v>
      </c>
      <c r="AV56" s="106" t="n">
        <f aca="false">IF(OR(Calculator!$E$19&lt;&gt;"YES",Calculator!$B$33&lt;Calculator!$G$19),"—",ROUND(MAX((50*POWER(80,POWER(COS(PI()*MOD(Calculator!$B$33/Calculator!$F$19,1)),2)))/$C56,$C56/(50*POWER(80,POWER(COS(PI()*MOD(Calculator!$B$33/Calculator!$F$19,1)),2)))),2))</f>
        <v>1.28</v>
      </c>
      <c r="AW56" s="106" t="n">
        <f aca="false">IF(OR(Calculator!$E$20&lt;&gt;"YES",Calculator!$B$33&lt;Calculator!$G$20),"—",ROUND(MAX((50*POWER(80,POWER(COS(PI()*MOD(Calculator!$B$33/Calculator!$F$20,1)),2)))/$C56,$C56/(50*POWER(80,POWER(COS(PI()*MOD(Calculator!$B$33/Calculator!$F$20,1)),2)))),2))</f>
        <v>9.79</v>
      </c>
      <c r="AX56" s="106" t="str">
        <f aca="false">IF(OR(Calculator!$E$21&lt;&gt;"YES",Calculator!$B$33&lt;Calculator!$G$21),"—",ROUND(MAX((50*POWER(80,POWER(COS(PI()*MOD(Calculator!$B$33/Calculator!$F$21,1)),2)))/$C56,$C56/(50*POWER(80,POWER(COS(PI()*MOD(Calculator!$B$33/Calculator!$F$21,1)),2)))),2))</f>
        <v>—</v>
      </c>
      <c r="AY56" s="101" t="n">
        <f aca="false">IFERROR(ROUND((IF(ISNUMBER(AN56),AN56,0)+IF(ISNUMBER(AO56),AO56,0)+IF(ISNUMBER(AP56),AP56,0)+IF(ISNUMBER(AQ56),AQ56,0)+IF(ISNUMBER(AR56),AR56,0)+IF(ISNUMBER(AS56),AS56,0)+IF(ISNUMBER(AT56),AT56,0)+IF(ISNUMBER(AU56),AU56,0)+IF(ISNUMBER(AV56),AV56,0)+IF(ISNUMBER(AW56),AW56,0)+IF(ISNUMBER(AX56),AX56,0))/(IF(ISNUMBER(AN56),1,0)+IF(ISNUMBER(AO56),1,0)+IF(ISNUMBER(AP56),1,0)+IF(ISNUMBER(AQ56),1,0)+IF(ISNUMBER(AR56),1,0)+IF(ISNUMBER(AS56),1,0)+IF(ISNUMBER(AT56),1,0)+IF(ISNUMBER(AU56),1,0)+IF(ISNUMBER(AV56),1,0)+IF(ISNUMBER(AW56),1,0)+IF(ISNUMBER(AX56),1,0)),2),"")</f>
        <v>4.3</v>
      </c>
      <c r="AZ56" s="106" t="str">
        <f aca="false">IF(OR(Calculator!$E$11&lt;&gt;"YES",Calculator!$B$34&lt;Calculator!$G$11),"—",ROUND(MAX((50*POWER(80,POWER(COS(PI()*MOD(Calculator!$B$34/Calculator!$F$11,1)),2)))/$C56,$C56/(50*POWER(80,POWER(COS(PI()*MOD(Calculator!$B$34/Calculator!$F$11,1)),2)))),2))</f>
        <v>—</v>
      </c>
      <c r="BA56" s="106" t="str">
        <f aca="false">IF(OR(Calculator!$E$12&lt;&gt;"YES",Calculator!$B$34&lt;Calculator!$G$12),"—",ROUND(MAX((50*POWER(80,POWER(COS(PI()*MOD(Calculator!$B$34/Calculator!$F$12,1)),2)))/$C56,$C56/(50*POWER(80,POWER(COS(PI()*MOD(Calculator!$B$34/Calculator!$F$12,1)),2)))),2))</f>
        <v>—</v>
      </c>
      <c r="BB56" s="106" t="str">
        <f aca="false">IF(OR(Calculator!$E$13&lt;&gt;"YES",Calculator!$B$34&lt;Calculator!$G$13),"—",ROUND(MAX((50*POWER(80,POWER(COS(PI()*MOD(Calculator!$B$34/Calculator!$F$13,1)),2)))/$C56,$C56/(50*POWER(80,POWER(COS(PI()*MOD(Calculator!$B$34/Calculator!$F$13,1)),2)))),2))</f>
        <v>—</v>
      </c>
      <c r="BC56" s="106" t="n">
        <f aca="false">IF(OR(Calculator!$E$14&lt;&gt;"YES",Calculator!$B$34&lt;Calculator!$G$14),"—",ROUND(MAX((50*POWER(80,POWER(COS(PI()*MOD(Calculator!$B$34/Calculator!$F$14,1)),2)))/$C56,$C56/(50*POWER(80,POWER(COS(PI()*MOD(Calculator!$B$34/Calculator!$F$14,1)),2)))),2))</f>
        <v>2.31</v>
      </c>
      <c r="BD56" s="106" t="n">
        <f aca="false">IF(OR(Calculator!$E$15&lt;&gt;"YES",Calculator!$B$34&lt;Calculator!$G$15),"—",ROUND(MAX((50*POWER(80,POWER(COS(PI()*MOD(Calculator!$B$34/Calculator!$F$15,1)),2)))/$C56,$C56/(50*POWER(80,POWER(COS(PI()*MOD(Calculator!$B$34/Calculator!$F$15,1)),2)))),2))</f>
        <v>5.28</v>
      </c>
      <c r="BE56" s="106" t="n">
        <f aca="false">IF(OR(Calculator!$E$16&lt;&gt;"YES",Calculator!$B$34&lt;Calculator!$G$16),"—",ROUND(MAX((50*POWER(80,POWER(COS(PI()*MOD(Calculator!$B$34/Calculator!$F$16,1)),2)))/$C56,$C56/(50*POWER(80,POWER(COS(PI()*MOD(Calculator!$B$34/Calculator!$F$16,1)),2)))),2))</f>
        <v>1.78</v>
      </c>
      <c r="BF56" s="106" t="n">
        <f aca="false">IF(OR(Calculator!$E$17&lt;&gt;"YES",Calculator!$B$34&lt;Calculator!$G$17),"—",ROUND(MAX((50*POWER(80,POWER(COS(PI()*MOD(Calculator!$B$34/Calculator!$F$17,1)),2)))/$C56,$C56/(50*POWER(80,POWER(COS(PI()*MOD(Calculator!$B$34/Calculator!$F$17,1)),2)))),2))</f>
        <v>1.09</v>
      </c>
      <c r="BG56" s="106" t="n">
        <f aca="false">IF(OR(Calculator!$E$18&lt;&gt;"YES",Calculator!$B$34&lt;Calculator!$G$18),"—",ROUND(MAX((50*POWER(80,POWER(COS(PI()*MOD(Calculator!$B$34/Calculator!$F$18,1)),2)))/$C56,$C56/(50*POWER(80,POWER(COS(PI()*MOD(Calculator!$B$34/Calculator!$F$18,1)),2)))),2))</f>
        <v>8.68</v>
      </c>
      <c r="BH56" s="106" t="n">
        <f aca="false">IF(OR(Calculator!$E$19&lt;&gt;"YES",Calculator!$B$34&lt;Calculator!$G$19),"—",ROUND(MAX((50*POWER(80,POWER(COS(PI()*MOD(Calculator!$B$34/Calculator!$F$19,1)),2)))/$C56,$C56/(50*POWER(80,POWER(COS(PI()*MOD(Calculator!$B$34/Calculator!$F$19,1)),2)))),2))</f>
        <v>9.65</v>
      </c>
      <c r="BI56" s="106" t="n">
        <f aca="false">IF(OR(Calculator!$E$20&lt;&gt;"YES",Calculator!$B$34&lt;Calculator!$G$20),"—",ROUND(MAX((50*POWER(80,POWER(COS(PI()*MOD(Calculator!$B$34/Calculator!$F$20,1)),2)))/$C56,$C56/(50*POWER(80,POWER(COS(PI()*MOD(Calculator!$B$34/Calculator!$F$20,1)),2)))),2))</f>
        <v>5.76</v>
      </c>
      <c r="BJ56" s="106" t="str">
        <f aca="false">IF(OR(Calculator!$E$21&lt;&gt;"YES",Calculator!$B$34&lt;Calculator!$G$21),"—",ROUND(MAX((50*POWER(80,POWER(COS(PI()*MOD(Calculator!$B$34/Calculator!$F$21,1)),2)))/$C56,$C56/(50*POWER(80,POWER(COS(PI()*MOD(Calculator!$B$34/Calculator!$F$21,1)),2)))),2))</f>
        <v>—</v>
      </c>
      <c r="BK56" s="101" t="n">
        <f aca="false">IFERROR(ROUND((IF(ISNUMBER(AZ56),AZ56,0)+IF(ISNUMBER(BA56),BA56,0)+IF(ISNUMBER(BB56),BB56,0)+IF(ISNUMBER(BC56),BC56,0)+IF(ISNUMBER(BD56),BD56,0)+IF(ISNUMBER(BE56),BE56,0)+IF(ISNUMBER(BF56),BF56,0)+IF(ISNUMBER(BG56),BG56,0)+IF(ISNUMBER(BH56),BH56,0)+IF(ISNUMBER(BI56),BI56,0)+IF(ISNUMBER(BJ56),BJ56,0))/(IF(ISNUMBER(AZ56),1,0)+IF(ISNUMBER(BA56),1,0)+IF(ISNUMBER(BB56),1,0)+IF(ISNUMBER(BC56),1,0)+IF(ISNUMBER(BD56),1,0)+IF(ISNUMBER(BE56),1,0)+IF(ISNUMBER(BF56),1,0)+IF(ISNUMBER(BG56),1,0)+IF(ISNUMBER(BH56),1,0)+IF(ISNUMBER(BI56),1,0)+IF(ISNUMBER(BJ56),1,0)),2),"")</f>
        <v>4.94</v>
      </c>
    </row>
    <row r="57" customFormat="false" ht="15" hidden="false" customHeight="false" outlineLevel="0" collapsed="false">
      <c r="A57" s="93" t="s">
        <v>108</v>
      </c>
      <c r="B57" s="94" t="s">
        <v>85</v>
      </c>
      <c r="C57" s="95" t="n">
        <v>1250</v>
      </c>
      <c r="D57" s="96" t="str">
        <f aca="false">IF(OR(Calculator!$E$11&lt;&gt;"YES",Calculator!$B$30&lt;Calculator!$G$11),"—",ROUND(MAX((50*POWER(80,POWER(COS(PI()*MOD(Calculator!$B$30/Calculator!$F$11,1)),2)))/$C57,$C57/(50*POWER(80,POWER(COS(PI()*MOD(Calculator!$B$30/Calculator!$F$11,1)),2)))),2))</f>
        <v>—</v>
      </c>
      <c r="E57" s="96" t="str">
        <f aca="false">IF(OR(Calculator!$E$12&lt;&gt;"YES",Calculator!$B$30&lt;Calculator!$G$12),"—",ROUND(MAX((50*POWER(80,POWER(COS(PI()*MOD(Calculator!$B$30/Calculator!$F$12,1)),2)))/$C57,$C57/(50*POWER(80,POWER(COS(PI()*MOD(Calculator!$B$30/Calculator!$F$12,1)),2)))),2))</f>
        <v>—</v>
      </c>
      <c r="F57" s="96" t="str">
        <f aca="false">IF(OR(Calculator!$E$13&lt;&gt;"YES",Calculator!$B$30&lt;Calculator!$G$13),"—",ROUND(MAX((50*POWER(80,POWER(COS(PI()*MOD(Calculator!$B$30/Calculator!$F$13,1)),2)))/$C57,$C57/(50*POWER(80,POWER(COS(PI()*MOD(Calculator!$B$30/Calculator!$F$13,1)),2)))),2))</f>
        <v>—</v>
      </c>
      <c r="G57" s="96" t="n">
        <f aca="false">IF(OR(Calculator!$E$14&lt;&gt;"YES",Calculator!$B$30&lt;Calculator!$G$14),"—",ROUND(MAX((50*POWER(80,POWER(COS(PI()*MOD(Calculator!$B$30/Calculator!$F$14,1)),2)))/$C57,$C57/(50*POWER(80,POWER(COS(PI()*MOD(Calculator!$B$30/Calculator!$F$14,1)),2)))),2))</f>
        <v>11.3</v>
      </c>
      <c r="H57" s="96" t="n">
        <f aca="false">IF(OR(Calculator!$E$15&lt;&gt;"YES",Calculator!$B$30&lt;Calculator!$G$15),"—",ROUND(MAX((50*POWER(80,POWER(COS(PI()*MOD(Calculator!$B$30/Calculator!$F$15,1)),2)))/$C57,$C57/(50*POWER(80,POWER(COS(PI()*MOD(Calculator!$B$30/Calculator!$F$15,1)),2)))),2))</f>
        <v>3.28</v>
      </c>
      <c r="I57" s="96" t="n">
        <f aca="false">IF(OR(Calculator!$E$16&lt;&gt;"YES",Calculator!$B$30&lt;Calculator!$G$16),"—",ROUND(MAX((50*POWER(80,POWER(COS(PI()*MOD(Calculator!$B$30/Calculator!$F$16,1)),2)))/$C57,$C57/(50*POWER(80,POWER(COS(PI()*MOD(Calculator!$B$30/Calculator!$F$16,1)),2)))),2))</f>
        <v>2.24</v>
      </c>
      <c r="J57" s="96" t="n">
        <f aca="false">IF(OR(Calculator!$E$17&lt;&gt;"YES",Calculator!$B$30&lt;Calculator!$G$17),"—",ROUND(MAX((50*POWER(80,POWER(COS(PI()*MOD(Calculator!$B$30/Calculator!$F$17,1)),2)))/$C57,$C57/(50*POWER(80,POWER(COS(PI()*MOD(Calculator!$B$30/Calculator!$F$17,1)),2)))),2))</f>
        <v>6.28</v>
      </c>
      <c r="K57" s="96" t="n">
        <f aca="false">IF(OR(Calculator!$E$18&lt;&gt;"YES",Calculator!$B$30&lt;Calculator!$G$18),"—",ROUND(MAX((50*POWER(80,POWER(COS(PI()*MOD(Calculator!$B$30/Calculator!$F$18,1)),2)))/$C57,$C57/(50*POWER(80,POWER(COS(PI()*MOD(Calculator!$B$30/Calculator!$F$18,1)),2)))),2))</f>
        <v>1.12</v>
      </c>
      <c r="L57" s="96" t="n">
        <f aca="false">IF(OR(Calculator!$E$19&lt;&gt;"YES",Calculator!$B$30&lt;Calculator!$G$19),"—",ROUND(MAX((50*POWER(80,POWER(COS(PI()*MOD(Calculator!$B$30/Calculator!$F$19,1)),2)))/$C57,$C57/(50*POWER(80,POWER(COS(PI()*MOD(Calculator!$B$30/Calculator!$F$19,1)),2)))),2))</f>
        <v>1.59</v>
      </c>
      <c r="M57" s="96" t="n">
        <f aca="false">IF(OR(Calculator!$E$20&lt;&gt;"YES",Calculator!$B$30&lt;Calculator!$G$20),"—",ROUND(MAX((50*POWER(80,POWER(COS(PI()*MOD(Calculator!$B$30/Calculator!$F$20,1)),2)))/$C57,$C57/(50*POWER(80,POWER(COS(PI()*MOD(Calculator!$B$30/Calculator!$F$20,1)),2)))),2))</f>
        <v>9.87</v>
      </c>
      <c r="N57" s="96" t="str">
        <f aca="false">IF(OR(Calculator!$E$21&lt;&gt;"YES",Calculator!$B$30&lt;Calculator!$G$21),"—",ROUND(MAX((50*POWER(80,POWER(COS(PI()*MOD(Calculator!$B$30/Calculator!$F$21,1)),2)))/$C57,$C57/(50*POWER(80,POWER(COS(PI()*MOD(Calculator!$B$30/Calculator!$F$21,1)),2)))),2))</f>
        <v>—</v>
      </c>
      <c r="O57" s="97" t="n">
        <f aca="false">IFERROR(ROUND((IF(ISNUMBER(D57),D57,0)+IF(ISNUMBER(E57),E57,0)+IF(ISNUMBER(F57),F57,0)+IF(ISNUMBER(G57),G57,0)+IF(ISNUMBER(H57),H57,0)+IF(ISNUMBER(I57),I57,0)+IF(ISNUMBER(J57),J57,0)+IF(ISNUMBER(K57),K57,0)+IF(ISNUMBER(L57),L57,0)+IF(ISNUMBER(M57),M57,0)+IF(ISNUMBER(N57),N57,0))/(IF(ISNUMBER(D57),1,0)+IF(ISNUMBER(E57),1,0)+IF(ISNUMBER(F57),1,0)+IF(ISNUMBER(G57),1,0)+IF(ISNUMBER(H57),1,0)+IF(ISNUMBER(I57),1,0)+IF(ISNUMBER(J57),1,0)+IF(ISNUMBER(K57),1,0)+IF(ISNUMBER(L57),1,0)+IF(ISNUMBER(M57),1,0)+IF(ISNUMBER(N57),1,0)),2),"")</f>
        <v>5.1</v>
      </c>
      <c r="P57" s="96" t="str">
        <f aca="false">IF(OR(Calculator!$E$11&lt;&gt;"YES",Calculator!$B$31&lt;Calculator!$G$11),"—",ROUND(MAX((50*POWER(80,POWER(COS(PI()*MOD(Calculator!$B$31/Calculator!$F$11,1)),2)))/$C57,$C57/(50*POWER(80,POWER(COS(PI()*MOD(Calculator!$B$31/Calculator!$F$11,1)),2)))),2))</f>
        <v>—</v>
      </c>
      <c r="Q57" s="96" t="str">
        <f aca="false">IF(OR(Calculator!$E$12&lt;&gt;"YES",Calculator!$B$31&lt;Calculator!$G$12),"—",ROUND(MAX((50*POWER(80,POWER(COS(PI()*MOD(Calculator!$B$31/Calculator!$F$12,1)),2)))/$C57,$C57/(50*POWER(80,POWER(COS(PI()*MOD(Calculator!$B$31/Calculator!$F$12,1)),2)))),2))</f>
        <v>—</v>
      </c>
      <c r="R57" s="96" t="str">
        <f aca="false">IF(OR(Calculator!$E$13&lt;&gt;"YES",Calculator!$B$31&lt;Calculator!$G$13),"—",ROUND(MAX((50*POWER(80,POWER(COS(PI()*MOD(Calculator!$B$31/Calculator!$F$13,1)),2)))/$C57,$C57/(50*POWER(80,POWER(COS(PI()*MOD(Calculator!$B$31/Calculator!$F$13,1)),2)))),2))</f>
        <v>—</v>
      </c>
      <c r="S57" s="96" t="n">
        <f aca="false">IF(OR(Calculator!$E$14&lt;&gt;"YES",Calculator!$B$31&lt;Calculator!$G$14),"—",ROUND(MAX((50*POWER(80,POWER(COS(PI()*MOD(Calculator!$B$31/Calculator!$F$14,1)),2)))/$C57,$C57/(50*POWER(80,POWER(COS(PI()*MOD(Calculator!$B$31/Calculator!$F$14,1)),2)))),2))</f>
        <v>11.56</v>
      </c>
      <c r="T57" s="96" t="n">
        <f aca="false">IF(OR(Calculator!$E$15&lt;&gt;"YES",Calculator!$B$31&lt;Calculator!$G$15),"—",ROUND(MAX((50*POWER(80,POWER(COS(PI()*MOD(Calculator!$B$31/Calculator!$F$15,1)),2)))/$C57,$C57/(50*POWER(80,POWER(COS(PI()*MOD(Calculator!$B$31/Calculator!$F$15,1)),2)))),2))</f>
        <v>7.04</v>
      </c>
      <c r="U57" s="96" t="n">
        <f aca="false">IF(OR(Calculator!$E$16&lt;&gt;"YES",Calculator!$B$31&lt;Calculator!$G$16),"—",ROUND(MAX((50*POWER(80,POWER(COS(PI()*MOD(Calculator!$B$31/Calculator!$F$16,1)),2)))/$C57,$C57/(50*POWER(80,POWER(COS(PI()*MOD(Calculator!$B$31/Calculator!$F$16,1)),2)))),2))</f>
        <v>2.68</v>
      </c>
      <c r="V57" s="96" t="n">
        <f aca="false">IF(OR(Calculator!$E$17&lt;&gt;"YES",Calculator!$B$31&lt;Calculator!$G$17),"—",ROUND(MAX((50*POWER(80,POWER(COS(PI()*MOD(Calculator!$B$31/Calculator!$F$17,1)),2)))/$C57,$C57/(50*POWER(80,POWER(COS(PI()*MOD(Calculator!$B$31/Calculator!$F$17,1)),2)))),2))</f>
        <v>1.3</v>
      </c>
      <c r="W57" s="96" t="n">
        <f aca="false">IF(OR(Calculator!$E$18&lt;&gt;"YES",Calculator!$B$31&lt;Calculator!$G$18),"—",ROUND(MAX((50*POWER(80,POWER(COS(PI()*MOD(Calculator!$B$31/Calculator!$F$18,1)),2)))/$C57,$C57/(50*POWER(80,POWER(COS(PI()*MOD(Calculator!$B$31/Calculator!$F$18,1)),2)))),2))</f>
        <v>1.47</v>
      </c>
      <c r="X57" s="96" t="n">
        <f aca="false">IF(OR(Calculator!$E$19&lt;&gt;"YES",Calculator!$B$31&lt;Calculator!$G$19),"—",ROUND(MAX((50*POWER(80,POWER(COS(PI()*MOD(Calculator!$B$31/Calculator!$F$19,1)),2)))/$C57,$C57/(50*POWER(80,POWER(COS(PI()*MOD(Calculator!$B$31/Calculator!$F$19,1)),2)))),2))</f>
        <v>4.65</v>
      </c>
      <c r="Y57" s="96" t="n">
        <f aca="false">IF(OR(Calculator!$E$20&lt;&gt;"YES",Calculator!$B$31&lt;Calculator!$G$20),"—",ROUND(MAX((50*POWER(80,POWER(COS(PI()*MOD(Calculator!$B$31/Calculator!$F$20,1)),2)))/$C57,$C57/(50*POWER(80,POWER(COS(PI()*MOD(Calculator!$B$31/Calculator!$F$20,1)),2)))),2))</f>
        <v>15.34</v>
      </c>
      <c r="Z57" s="96" t="str">
        <f aca="false">IF(OR(Calculator!$E$21&lt;&gt;"YES",Calculator!$B$31&lt;Calculator!$G$21),"—",ROUND(MAX((50*POWER(80,POWER(COS(PI()*MOD(Calculator!$B$31/Calculator!$F$21,1)),2)))/$C57,$C57/(50*POWER(80,POWER(COS(PI()*MOD(Calculator!$B$31/Calculator!$F$21,1)),2)))),2))</f>
        <v>—</v>
      </c>
      <c r="AA57" s="97" t="n">
        <f aca="false">IFERROR(ROUND((IF(ISNUMBER(P57),P57,0)+IF(ISNUMBER(Q57),Q57,0)+IF(ISNUMBER(R57),R57,0)+IF(ISNUMBER(S57),S57,0)+IF(ISNUMBER(T57),T57,0)+IF(ISNUMBER(U57),U57,0)+IF(ISNUMBER(V57),V57,0)+IF(ISNUMBER(W57),W57,0)+IF(ISNUMBER(X57),X57,0)+IF(ISNUMBER(Y57),Y57,0)+IF(ISNUMBER(Z57),Z57,0))/(IF(ISNUMBER(P57),1,0)+IF(ISNUMBER(Q57),1,0)+IF(ISNUMBER(R57),1,0)+IF(ISNUMBER(S57),1,0)+IF(ISNUMBER(T57),1,0)+IF(ISNUMBER(U57),1,0)+IF(ISNUMBER(V57),1,0)+IF(ISNUMBER(W57),1,0)+IF(ISNUMBER(X57),1,0)+IF(ISNUMBER(Y57),1,0)+IF(ISNUMBER(Z57),1,0)),2),"")</f>
        <v>6.29</v>
      </c>
      <c r="AB57" s="96" t="str">
        <f aca="false">IF(OR(Calculator!$E$11&lt;&gt;"YES",Calculator!$B$32&lt;Calculator!$G$11),"—",ROUND(MAX((50*POWER(80,POWER(COS(PI()*MOD(Calculator!$B$32/Calculator!$F$11,1)),2)))/$C57,$C57/(50*POWER(80,POWER(COS(PI()*MOD(Calculator!$B$32/Calculator!$F$11,1)),2)))),2))</f>
        <v>—</v>
      </c>
      <c r="AC57" s="96" t="str">
        <f aca="false">IF(OR(Calculator!$E$12&lt;&gt;"YES",Calculator!$B$32&lt;Calculator!$G$12),"—",ROUND(MAX((50*POWER(80,POWER(COS(PI()*MOD(Calculator!$B$32/Calculator!$F$12,1)),2)))/$C57,$C57/(50*POWER(80,POWER(COS(PI()*MOD(Calculator!$B$32/Calculator!$F$12,1)),2)))),2))</f>
        <v>—</v>
      </c>
      <c r="AD57" s="96" t="str">
        <f aca="false">IF(OR(Calculator!$E$13&lt;&gt;"YES",Calculator!$B$32&lt;Calculator!$G$13),"—",ROUND(MAX((50*POWER(80,POWER(COS(PI()*MOD(Calculator!$B$32/Calculator!$F$13,1)),2)))/$C57,$C57/(50*POWER(80,POWER(COS(PI()*MOD(Calculator!$B$32/Calculator!$F$13,1)),2)))),2))</f>
        <v>—</v>
      </c>
      <c r="AE57" s="96" t="n">
        <f aca="false">IF(OR(Calculator!$E$14&lt;&gt;"YES",Calculator!$B$32&lt;Calculator!$G$14),"—",ROUND(MAX((50*POWER(80,POWER(COS(PI()*MOD(Calculator!$B$32/Calculator!$F$14,1)),2)))/$C57,$C57/(50*POWER(80,POWER(COS(PI()*MOD(Calculator!$B$32/Calculator!$F$14,1)),2)))),2))</f>
        <v>7.3</v>
      </c>
      <c r="AF57" s="96" t="n">
        <f aca="false">IF(OR(Calculator!$E$15&lt;&gt;"YES",Calculator!$B$32&lt;Calculator!$G$15),"—",ROUND(MAX((50*POWER(80,POWER(COS(PI()*MOD(Calculator!$B$32/Calculator!$F$15,1)),2)))/$C57,$C57/(50*POWER(80,POWER(COS(PI()*MOD(Calculator!$B$32/Calculator!$F$15,1)),2)))),2))</f>
        <v>4.72</v>
      </c>
      <c r="AG57" s="96" t="n">
        <f aca="false">IF(OR(Calculator!$E$16&lt;&gt;"YES",Calculator!$B$32&lt;Calculator!$G$16),"—",ROUND(MAX((50*POWER(80,POWER(COS(PI()*MOD(Calculator!$B$32/Calculator!$F$16,1)),2)))/$C57,$C57/(50*POWER(80,POWER(COS(PI()*MOD(Calculator!$B$32/Calculator!$F$16,1)),2)))),2))</f>
        <v>15.94</v>
      </c>
      <c r="AH57" s="96" t="n">
        <f aca="false">IF(OR(Calculator!$E$17&lt;&gt;"YES",Calculator!$B$32&lt;Calculator!$G$17),"—",ROUND(MAX((50*POWER(80,POWER(COS(PI()*MOD(Calculator!$B$32/Calculator!$F$17,1)),2)))/$C57,$C57/(50*POWER(80,POWER(COS(PI()*MOD(Calculator!$B$32/Calculator!$F$17,1)),2)))),2))</f>
        <v>1.84</v>
      </c>
      <c r="AI57" s="96" t="n">
        <f aca="false">IF(OR(Calculator!$E$18&lt;&gt;"YES",Calculator!$B$32&lt;Calculator!$G$18),"—",ROUND(MAX((50*POWER(80,POWER(COS(PI()*MOD(Calculator!$B$32/Calculator!$F$18,1)),2)))/$C57,$C57/(50*POWER(80,POWER(COS(PI()*MOD(Calculator!$B$32/Calculator!$F$18,1)),2)))),2))</f>
        <v>2</v>
      </c>
      <c r="AJ57" s="96" t="n">
        <f aca="false">IF(OR(Calculator!$E$19&lt;&gt;"YES",Calculator!$B$32&lt;Calculator!$G$19),"—",ROUND(MAX((50*POWER(80,POWER(COS(PI()*MOD(Calculator!$B$32/Calculator!$F$19,1)),2)))/$C57,$C57/(50*POWER(80,POWER(COS(PI()*MOD(Calculator!$B$32/Calculator!$F$19,1)),2)))),2))</f>
        <v>2.1</v>
      </c>
      <c r="AK57" s="96" t="n">
        <f aca="false">IF(OR(Calculator!$E$20&lt;&gt;"YES",Calculator!$B$32&lt;Calculator!$G$20),"—",ROUND(MAX((50*POWER(80,POWER(COS(PI()*MOD(Calculator!$B$32/Calculator!$F$20,1)),2)))/$C57,$C57/(50*POWER(80,POWER(COS(PI()*MOD(Calculator!$B$32/Calculator!$F$20,1)),2)))),2))</f>
        <v>12.54</v>
      </c>
      <c r="AL57" s="96" t="str">
        <f aca="false">IF(OR(Calculator!$E$21&lt;&gt;"YES",Calculator!$B$32&lt;Calculator!$G$21),"—",ROUND(MAX((50*POWER(80,POWER(COS(PI()*MOD(Calculator!$B$32/Calculator!$F$21,1)),2)))/$C57,$C57/(50*POWER(80,POWER(COS(PI()*MOD(Calculator!$B$32/Calculator!$F$21,1)),2)))),2))</f>
        <v>—</v>
      </c>
      <c r="AM57" s="98" t="n">
        <f aca="false">IFERROR(ROUND((IF(ISNUMBER(AB57),AB57,0)+IF(ISNUMBER(AC57),AC57,0)+IF(ISNUMBER(AD57),AD57,0)+IF(ISNUMBER(AE57),AE57,0)+IF(ISNUMBER(AF57),AF57,0)+IF(ISNUMBER(AG57),AG57,0)+IF(ISNUMBER(AH57),AH57,0)+IF(ISNUMBER(AI57),AI57,0)+IF(ISNUMBER(AJ57),AJ57,0)+IF(ISNUMBER(AK57),AK57,0)+IF(ISNUMBER(AL57),AL57,0))/(IF(ISNUMBER(AB57),1,0)+IF(ISNUMBER(AC57),1,0)+IF(ISNUMBER(AD57),1,0)+IF(ISNUMBER(AE57),1,0)+IF(ISNUMBER(AF57),1,0)+IF(ISNUMBER(AG57),1,0)+IF(ISNUMBER(AH57),1,0)+IF(ISNUMBER(AI57),1,0)+IF(ISNUMBER(AJ57),1,0)+IF(ISNUMBER(AK57),1,0)+IF(ISNUMBER(AL57),1,0)),2),"")</f>
        <v>6.63</v>
      </c>
      <c r="AN57" s="99" t="str">
        <f aca="false">IF(OR(Calculator!$E$11&lt;&gt;"YES",Calculator!$B$33&lt;Calculator!$G$11),"—",ROUND(MAX((50*POWER(80,POWER(COS(PI()*MOD(Calculator!$B$33/Calculator!$F$11,1)),2)))/$C57,$C57/(50*POWER(80,POWER(COS(PI()*MOD(Calculator!$B$33/Calculator!$F$11,1)),2)))),2))</f>
        <v>—</v>
      </c>
      <c r="AO57" s="99" t="str">
        <f aca="false">IF(OR(Calculator!$E$12&lt;&gt;"YES",Calculator!$B$33&lt;Calculator!$G$12),"—",ROUND(MAX((50*POWER(80,POWER(COS(PI()*MOD(Calculator!$B$33/Calculator!$F$12,1)),2)))/$C57,$C57/(50*POWER(80,POWER(COS(PI()*MOD(Calculator!$B$33/Calculator!$F$12,1)),2)))),2))</f>
        <v>—</v>
      </c>
      <c r="AP57" s="99" t="str">
        <f aca="false">IF(OR(Calculator!$E$13&lt;&gt;"YES",Calculator!$B$33&lt;Calculator!$G$13),"—",ROUND(MAX((50*POWER(80,POWER(COS(PI()*MOD(Calculator!$B$33/Calculator!$F$13,1)),2)))/$C57,$C57/(50*POWER(80,POWER(COS(PI()*MOD(Calculator!$B$33/Calculator!$F$13,1)),2)))),2))</f>
        <v>—</v>
      </c>
      <c r="AQ57" s="99" t="n">
        <f aca="false">IF(OR(Calculator!$E$14&lt;&gt;"YES",Calculator!$B$33&lt;Calculator!$G$14),"—",ROUND(MAX((50*POWER(80,POWER(COS(PI()*MOD(Calculator!$B$33/Calculator!$F$14,1)),2)))/$C57,$C57/(50*POWER(80,POWER(COS(PI()*MOD(Calculator!$B$33/Calculator!$F$14,1)),2)))),2))</f>
        <v>2.18</v>
      </c>
      <c r="AR57" s="99" t="n">
        <f aca="false">IF(OR(Calculator!$E$15&lt;&gt;"YES",Calculator!$B$33&lt;Calculator!$G$15),"—",ROUND(MAX((50*POWER(80,POWER(COS(PI()*MOD(Calculator!$B$33/Calculator!$F$15,1)),2)))/$C57,$C57/(50*POWER(80,POWER(COS(PI()*MOD(Calculator!$B$33/Calculator!$F$15,1)),2)))),2))</f>
        <v>4.26</v>
      </c>
      <c r="AS57" s="99" t="n">
        <f aca="false">IF(OR(Calculator!$E$16&lt;&gt;"YES",Calculator!$B$33&lt;Calculator!$G$16),"—",ROUND(MAX((50*POWER(80,POWER(COS(PI()*MOD(Calculator!$B$33/Calculator!$F$16,1)),2)))/$C57,$C57/(50*POWER(80,POWER(COS(PI()*MOD(Calculator!$B$33/Calculator!$F$16,1)),2)))),2))</f>
        <v>1.56</v>
      </c>
      <c r="AT57" s="99" t="n">
        <f aca="false">IF(OR(Calculator!$E$17&lt;&gt;"YES",Calculator!$B$33&lt;Calculator!$G$17),"—",ROUND(MAX((50*POWER(80,POWER(COS(PI()*MOD(Calculator!$B$33/Calculator!$F$17,1)),2)))/$C57,$C57/(50*POWER(80,POWER(COS(PI()*MOD(Calculator!$B$33/Calculator!$F$17,1)),2)))),2))</f>
        <v>4.94</v>
      </c>
      <c r="AU57" s="99" t="n">
        <f aca="false">IF(OR(Calculator!$E$18&lt;&gt;"YES",Calculator!$B$33&lt;Calculator!$G$18),"—",ROUND(MAX((50*POWER(80,POWER(COS(PI()*MOD(Calculator!$B$33/Calculator!$F$18,1)),2)))/$C57,$C57/(50*POWER(80,POWER(COS(PI()*MOD(Calculator!$B$33/Calculator!$F$18,1)),2)))),2))</f>
        <v>6.68</v>
      </c>
      <c r="AV57" s="99" t="n">
        <f aca="false">IF(OR(Calculator!$E$19&lt;&gt;"YES",Calculator!$B$33&lt;Calculator!$G$19),"—",ROUND(MAX((50*POWER(80,POWER(COS(PI()*MOD(Calculator!$B$33/Calculator!$F$19,1)),2)))/$C57,$C57/(50*POWER(80,POWER(COS(PI()*MOD(Calculator!$B$33/Calculator!$F$19,1)),2)))),2))</f>
        <v>1.23</v>
      </c>
      <c r="AW57" s="99" t="n">
        <f aca="false">IF(OR(Calculator!$E$20&lt;&gt;"YES",Calculator!$B$33&lt;Calculator!$G$20),"—",ROUND(MAX((50*POWER(80,POWER(COS(PI()*MOD(Calculator!$B$33/Calculator!$F$20,1)),2)))/$C57,$C57/(50*POWER(80,POWER(COS(PI()*MOD(Calculator!$B$33/Calculator!$F$20,1)),2)))),2))</f>
        <v>10.2</v>
      </c>
      <c r="AX57" s="99" t="str">
        <f aca="false">IF(OR(Calculator!$E$21&lt;&gt;"YES",Calculator!$B$33&lt;Calculator!$G$21),"—",ROUND(MAX((50*POWER(80,POWER(COS(PI()*MOD(Calculator!$B$33/Calculator!$F$21,1)),2)))/$C57,$C57/(50*POWER(80,POWER(COS(PI()*MOD(Calculator!$B$33/Calculator!$F$21,1)),2)))),2))</f>
        <v>—</v>
      </c>
      <c r="AY57" s="98" t="n">
        <f aca="false">IFERROR(ROUND((IF(ISNUMBER(AN57),AN57,0)+IF(ISNUMBER(AO57),AO57,0)+IF(ISNUMBER(AP57),AP57,0)+IF(ISNUMBER(AQ57),AQ57,0)+IF(ISNUMBER(AR57),AR57,0)+IF(ISNUMBER(AS57),AS57,0)+IF(ISNUMBER(AT57),AT57,0)+IF(ISNUMBER(AU57),AU57,0)+IF(ISNUMBER(AV57),AV57,0)+IF(ISNUMBER(AW57),AW57,0)+IF(ISNUMBER(AX57),AX57,0))/(IF(ISNUMBER(AN57),1,0)+IF(ISNUMBER(AO57),1,0)+IF(ISNUMBER(AP57),1,0)+IF(ISNUMBER(AQ57),1,0)+IF(ISNUMBER(AR57),1,0)+IF(ISNUMBER(AS57),1,0)+IF(ISNUMBER(AT57),1,0)+IF(ISNUMBER(AU57),1,0)+IF(ISNUMBER(AV57),1,0)+IF(ISNUMBER(AW57),1,0)+IF(ISNUMBER(AX57),1,0)),2),"")</f>
        <v>4.44</v>
      </c>
      <c r="AZ57" s="99" t="str">
        <f aca="false">IF(OR(Calculator!$E$11&lt;&gt;"YES",Calculator!$B$34&lt;Calculator!$G$11),"—",ROUND(MAX((50*POWER(80,POWER(COS(PI()*MOD(Calculator!$B$34/Calculator!$F$11,1)),2)))/$C57,$C57/(50*POWER(80,POWER(COS(PI()*MOD(Calculator!$B$34/Calculator!$F$11,1)),2)))),2))</f>
        <v>—</v>
      </c>
      <c r="BA57" s="99" t="str">
        <f aca="false">IF(OR(Calculator!$E$12&lt;&gt;"YES",Calculator!$B$34&lt;Calculator!$G$12),"—",ROUND(MAX((50*POWER(80,POWER(COS(PI()*MOD(Calculator!$B$34/Calculator!$F$12,1)),2)))/$C57,$C57/(50*POWER(80,POWER(COS(PI()*MOD(Calculator!$B$34/Calculator!$F$12,1)),2)))),2))</f>
        <v>—</v>
      </c>
      <c r="BB57" s="99" t="str">
        <f aca="false">IF(OR(Calculator!$E$13&lt;&gt;"YES",Calculator!$B$34&lt;Calculator!$G$13),"—",ROUND(MAX((50*POWER(80,POWER(COS(PI()*MOD(Calculator!$B$34/Calculator!$F$13,1)),2)))/$C57,$C57/(50*POWER(80,POWER(COS(PI()*MOD(Calculator!$B$34/Calculator!$F$13,1)),2)))),2))</f>
        <v>—</v>
      </c>
      <c r="BC57" s="99" t="n">
        <f aca="false">IF(OR(Calculator!$E$14&lt;&gt;"YES",Calculator!$B$34&lt;Calculator!$G$14),"—",ROUND(MAX((50*POWER(80,POWER(COS(PI()*MOD(Calculator!$B$34/Calculator!$F$14,1)),2)))/$C57,$C57/(50*POWER(80,POWER(COS(PI()*MOD(Calculator!$B$34/Calculator!$F$14,1)),2)))),2))</f>
        <v>2.22</v>
      </c>
      <c r="BD57" s="99" t="n">
        <f aca="false">IF(OR(Calculator!$E$15&lt;&gt;"YES",Calculator!$B$34&lt;Calculator!$G$15),"—",ROUND(MAX((50*POWER(80,POWER(COS(PI()*MOD(Calculator!$B$34/Calculator!$F$15,1)),2)))/$C57,$C57/(50*POWER(80,POWER(COS(PI()*MOD(Calculator!$B$34/Calculator!$F$15,1)),2)))),2))</f>
        <v>5.5</v>
      </c>
      <c r="BE57" s="99" t="n">
        <f aca="false">IF(OR(Calculator!$E$16&lt;&gt;"YES",Calculator!$B$34&lt;Calculator!$G$16),"—",ROUND(MAX((50*POWER(80,POWER(COS(PI()*MOD(Calculator!$B$34/Calculator!$F$16,1)),2)))/$C57,$C57/(50*POWER(80,POWER(COS(PI()*MOD(Calculator!$B$34/Calculator!$F$16,1)),2)))),2))</f>
        <v>1.85</v>
      </c>
      <c r="BF57" s="99" t="n">
        <f aca="false">IF(OR(Calculator!$E$17&lt;&gt;"YES",Calculator!$B$34&lt;Calculator!$G$17),"—",ROUND(MAX((50*POWER(80,POWER(COS(PI()*MOD(Calculator!$B$34/Calculator!$F$17,1)),2)))/$C57,$C57/(50*POWER(80,POWER(COS(PI()*MOD(Calculator!$B$34/Calculator!$F$17,1)),2)))),2))</f>
        <v>1.05</v>
      </c>
      <c r="BG57" s="99" t="n">
        <f aca="false">IF(OR(Calculator!$E$18&lt;&gt;"YES",Calculator!$B$34&lt;Calculator!$G$18),"—",ROUND(MAX((50*POWER(80,POWER(COS(PI()*MOD(Calculator!$B$34/Calculator!$F$18,1)),2)))/$C57,$C57/(50*POWER(80,POWER(COS(PI()*MOD(Calculator!$B$34/Calculator!$F$18,1)),2)))),2))</f>
        <v>9.04</v>
      </c>
      <c r="BH57" s="99" t="n">
        <f aca="false">IF(OR(Calculator!$E$19&lt;&gt;"YES",Calculator!$B$34&lt;Calculator!$G$19),"—",ROUND(MAX((50*POWER(80,POWER(COS(PI()*MOD(Calculator!$B$34/Calculator!$F$19,1)),2)))/$C57,$C57/(50*POWER(80,POWER(COS(PI()*MOD(Calculator!$B$34/Calculator!$F$19,1)),2)))),2))</f>
        <v>10.06</v>
      </c>
      <c r="BI57" s="99" t="n">
        <f aca="false">IF(OR(Calculator!$E$20&lt;&gt;"YES",Calculator!$B$34&lt;Calculator!$G$20),"—",ROUND(MAX((50*POWER(80,POWER(COS(PI()*MOD(Calculator!$B$34/Calculator!$F$20,1)),2)))/$C57,$C57/(50*POWER(80,POWER(COS(PI()*MOD(Calculator!$B$34/Calculator!$F$20,1)),2)))),2))</f>
        <v>6</v>
      </c>
      <c r="BJ57" s="99" t="str">
        <f aca="false">IF(OR(Calculator!$E$21&lt;&gt;"YES",Calculator!$B$34&lt;Calculator!$G$21),"—",ROUND(MAX((50*POWER(80,POWER(COS(PI()*MOD(Calculator!$B$34/Calculator!$F$21,1)),2)))/$C57,$C57/(50*POWER(80,POWER(COS(PI()*MOD(Calculator!$B$34/Calculator!$F$21,1)),2)))),2))</f>
        <v>—</v>
      </c>
      <c r="BK57" s="98" t="n">
        <f aca="false">IFERROR(ROUND((IF(ISNUMBER(AZ57),AZ57,0)+IF(ISNUMBER(BA57),BA57,0)+IF(ISNUMBER(BB57),BB57,0)+IF(ISNUMBER(BC57),BC57,0)+IF(ISNUMBER(BD57),BD57,0)+IF(ISNUMBER(BE57),BE57,0)+IF(ISNUMBER(BF57),BF57,0)+IF(ISNUMBER(BG57),BG57,0)+IF(ISNUMBER(BH57),BH57,0)+IF(ISNUMBER(BI57),BI57,0)+IF(ISNUMBER(BJ57),BJ57,0))/(IF(ISNUMBER(AZ57),1,0)+IF(ISNUMBER(BA57),1,0)+IF(ISNUMBER(BB57),1,0)+IF(ISNUMBER(BC57),1,0)+IF(ISNUMBER(BD57),1,0)+IF(ISNUMBER(BE57),1,0)+IF(ISNUMBER(BF57),1,0)+IF(ISNUMBER(BG57),1,0)+IF(ISNUMBER(BH57),1,0)+IF(ISNUMBER(BI57),1,0)+IF(ISNUMBER(BJ57),1,0)),2),"")</f>
        <v>5.1</v>
      </c>
    </row>
    <row r="58" customFormat="false" ht="15" hidden="false" customHeight="false" outlineLevel="0" collapsed="false">
      <c r="A58" s="103" t="s">
        <v>109</v>
      </c>
      <c r="B58" s="103" t="s">
        <v>86</v>
      </c>
      <c r="C58" s="104" t="n">
        <v>1300</v>
      </c>
      <c r="D58" s="105" t="str">
        <f aca="false">IF(OR(Calculator!$E$11&lt;&gt;"YES",Calculator!$B$30&lt;Calculator!$G$11),"—",ROUND(MAX((50*POWER(80,POWER(COS(PI()*MOD(Calculator!$B$30/Calculator!$F$11,1)),2)))/$C58,$C58/(50*POWER(80,POWER(COS(PI()*MOD(Calculator!$B$30/Calculator!$F$11,1)),2)))),2))</f>
        <v>—</v>
      </c>
      <c r="E58" s="105" t="str">
        <f aca="false">IF(OR(Calculator!$E$12&lt;&gt;"YES",Calculator!$B$30&lt;Calculator!$G$12),"—",ROUND(MAX((50*POWER(80,POWER(COS(PI()*MOD(Calculator!$B$30/Calculator!$F$12,1)),2)))/$C58,$C58/(50*POWER(80,POWER(COS(PI()*MOD(Calculator!$B$30/Calculator!$F$12,1)),2)))),2))</f>
        <v>—</v>
      </c>
      <c r="F58" s="105" t="str">
        <f aca="false">IF(OR(Calculator!$E$13&lt;&gt;"YES",Calculator!$B$30&lt;Calculator!$G$13),"—",ROUND(MAX((50*POWER(80,POWER(COS(PI()*MOD(Calculator!$B$30/Calculator!$F$13,1)),2)))/$C58,$C58/(50*POWER(80,POWER(COS(PI()*MOD(Calculator!$B$30/Calculator!$F$13,1)),2)))),2))</f>
        <v>—</v>
      </c>
      <c r="G58" s="105" t="n">
        <f aca="false">IF(OR(Calculator!$E$14&lt;&gt;"YES",Calculator!$B$30&lt;Calculator!$G$14),"—",ROUND(MAX((50*POWER(80,POWER(COS(PI()*MOD(Calculator!$B$30/Calculator!$F$14,1)),2)))/$C58,$C58/(50*POWER(80,POWER(COS(PI()*MOD(Calculator!$B$30/Calculator!$F$14,1)),2)))),2))</f>
        <v>11.75</v>
      </c>
      <c r="H58" s="105" t="n">
        <f aca="false">IF(OR(Calculator!$E$15&lt;&gt;"YES",Calculator!$B$30&lt;Calculator!$G$15),"—",ROUND(MAX((50*POWER(80,POWER(COS(PI()*MOD(Calculator!$B$30/Calculator!$F$15,1)),2)))/$C58,$C58/(50*POWER(80,POWER(COS(PI()*MOD(Calculator!$B$30/Calculator!$F$15,1)),2)))),2))</f>
        <v>3.41</v>
      </c>
      <c r="I58" s="105" t="n">
        <f aca="false">IF(OR(Calculator!$E$16&lt;&gt;"YES",Calculator!$B$30&lt;Calculator!$G$16),"—",ROUND(MAX((50*POWER(80,POWER(COS(PI()*MOD(Calculator!$B$30/Calculator!$F$16,1)),2)))/$C58,$C58/(50*POWER(80,POWER(COS(PI()*MOD(Calculator!$B$30/Calculator!$F$16,1)),2)))),2))</f>
        <v>2.33</v>
      </c>
      <c r="J58" s="105" t="n">
        <f aca="false">IF(OR(Calculator!$E$17&lt;&gt;"YES",Calculator!$B$30&lt;Calculator!$G$17),"—",ROUND(MAX((50*POWER(80,POWER(COS(PI()*MOD(Calculator!$B$30/Calculator!$F$17,1)),2)))/$C58,$C58/(50*POWER(80,POWER(COS(PI()*MOD(Calculator!$B$30/Calculator!$F$17,1)),2)))),2))</f>
        <v>6.54</v>
      </c>
      <c r="K58" s="105" t="n">
        <f aca="false">IF(OR(Calculator!$E$18&lt;&gt;"YES",Calculator!$B$30&lt;Calculator!$G$18),"—",ROUND(MAX((50*POWER(80,POWER(COS(PI()*MOD(Calculator!$B$30/Calculator!$F$18,1)),2)))/$C58,$C58/(50*POWER(80,POWER(COS(PI()*MOD(Calculator!$B$30/Calculator!$F$18,1)),2)))),2))</f>
        <v>1.07</v>
      </c>
      <c r="L58" s="105" t="n">
        <f aca="false">IF(OR(Calculator!$E$19&lt;&gt;"YES",Calculator!$B$30&lt;Calculator!$G$19),"—",ROUND(MAX((50*POWER(80,POWER(COS(PI()*MOD(Calculator!$B$30/Calculator!$F$19,1)),2)))/$C58,$C58/(50*POWER(80,POWER(COS(PI()*MOD(Calculator!$B$30/Calculator!$F$19,1)),2)))),2))</f>
        <v>1.65</v>
      </c>
      <c r="M58" s="105" t="n">
        <f aca="false">IF(OR(Calculator!$E$20&lt;&gt;"YES",Calculator!$B$30&lt;Calculator!$G$20),"—",ROUND(MAX((50*POWER(80,POWER(COS(PI()*MOD(Calculator!$B$30/Calculator!$F$20,1)),2)))/$C58,$C58/(50*POWER(80,POWER(COS(PI()*MOD(Calculator!$B$30/Calculator!$F$20,1)),2)))),2))</f>
        <v>10.27</v>
      </c>
      <c r="N58" s="105" t="str">
        <f aca="false">IF(OR(Calculator!$E$21&lt;&gt;"YES",Calculator!$B$30&lt;Calculator!$G$21),"—",ROUND(MAX((50*POWER(80,POWER(COS(PI()*MOD(Calculator!$B$30/Calculator!$F$21,1)),2)))/$C58,$C58/(50*POWER(80,POWER(COS(PI()*MOD(Calculator!$B$30/Calculator!$F$21,1)),2)))),2))</f>
        <v>—</v>
      </c>
      <c r="O58" s="100" t="n">
        <f aca="false">IFERROR(ROUND((IF(ISNUMBER(D58),D58,0)+IF(ISNUMBER(E58),E58,0)+IF(ISNUMBER(F58),F58,0)+IF(ISNUMBER(G58),G58,0)+IF(ISNUMBER(H58),H58,0)+IF(ISNUMBER(I58),I58,0)+IF(ISNUMBER(J58),J58,0)+IF(ISNUMBER(K58),K58,0)+IF(ISNUMBER(L58),L58,0)+IF(ISNUMBER(M58),M58,0)+IF(ISNUMBER(N58),N58,0))/(IF(ISNUMBER(D58),1,0)+IF(ISNUMBER(E58),1,0)+IF(ISNUMBER(F58),1,0)+IF(ISNUMBER(G58),1,0)+IF(ISNUMBER(H58),1,0)+IF(ISNUMBER(I58),1,0)+IF(ISNUMBER(J58),1,0)+IF(ISNUMBER(K58),1,0)+IF(ISNUMBER(L58),1,0)+IF(ISNUMBER(M58),1,0)+IF(ISNUMBER(N58),1,0)),2),"")</f>
        <v>5.29</v>
      </c>
      <c r="P58" s="105" t="str">
        <f aca="false">IF(OR(Calculator!$E$11&lt;&gt;"YES",Calculator!$B$31&lt;Calculator!$G$11),"—",ROUND(MAX((50*POWER(80,POWER(COS(PI()*MOD(Calculator!$B$31/Calculator!$F$11,1)),2)))/$C58,$C58/(50*POWER(80,POWER(COS(PI()*MOD(Calculator!$B$31/Calculator!$F$11,1)),2)))),2))</f>
        <v>—</v>
      </c>
      <c r="Q58" s="105" t="str">
        <f aca="false">IF(OR(Calculator!$E$12&lt;&gt;"YES",Calculator!$B$31&lt;Calculator!$G$12),"—",ROUND(MAX((50*POWER(80,POWER(COS(PI()*MOD(Calculator!$B$31/Calculator!$F$12,1)),2)))/$C58,$C58/(50*POWER(80,POWER(COS(PI()*MOD(Calculator!$B$31/Calculator!$F$12,1)),2)))),2))</f>
        <v>—</v>
      </c>
      <c r="R58" s="105" t="str">
        <f aca="false">IF(OR(Calculator!$E$13&lt;&gt;"YES",Calculator!$B$31&lt;Calculator!$G$13),"—",ROUND(MAX((50*POWER(80,POWER(COS(PI()*MOD(Calculator!$B$31/Calculator!$F$13,1)),2)))/$C58,$C58/(50*POWER(80,POWER(COS(PI()*MOD(Calculator!$B$31/Calculator!$F$13,1)),2)))),2))</f>
        <v>—</v>
      </c>
      <c r="S58" s="105" t="n">
        <f aca="false">IF(OR(Calculator!$E$14&lt;&gt;"YES",Calculator!$B$31&lt;Calculator!$G$14),"—",ROUND(MAX((50*POWER(80,POWER(COS(PI()*MOD(Calculator!$B$31/Calculator!$F$14,1)),2)))/$C58,$C58/(50*POWER(80,POWER(COS(PI()*MOD(Calculator!$B$31/Calculator!$F$14,1)),2)))),2))</f>
        <v>12.03</v>
      </c>
      <c r="T58" s="105" t="n">
        <f aca="false">IF(OR(Calculator!$E$15&lt;&gt;"YES",Calculator!$B$31&lt;Calculator!$G$15),"—",ROUND(MAX((50*POWER(80,POWER(COS(PI()*MOD(Calculator!$B$31/Calculator!$F$15,1)),2)))/$C58,$C58/(50*POWER(80,POWER(COS(PI()*MOD(Calculator!$B$31/Calculator!$F$15,1)),2)))),2))</f>
        <v>7.32</v>
      </c>
      <c r="U58" s="105" t="n">
        <f aca="false">IF(OR(Calculator!$E$16&lt;&gt;"YES",Calculator!$B$31&lt;Calculator!$G$16),"—",ROUND(MAX((50*POWER(80,POWER(COS(PI()*MOD(Calculator!$B$31/Calculator!$F$16,1)),2)))/$C58,$C58/(50*POWER(80,POWER(COS(PI()*MOD(Calculator!$B$31/Calculator!$F$16,1)),2)))),2))</f>
        <v>2.79</v>
      </c>
      <c r="V58" s="105" t="n">
        <f aca="false">IF(OR(Calculator!$E$17&lt;&gt;"YES",Calculator!$B$31&lt;Calculator!$G$17),"—",ROUND(MAX((50*POWER(80,POWER(COS(PI()*MOD(Calculator!$B$31/Calculator!$F$17,1)),2)))/$C58,$C58/(50*POWER(80,POWER(COS(PI()*MOD(Calculator!$B$31/Calculator!$F$17,1)),2)))),2))</f>
        <v>1.25</v>
      </c>
      <c r="W58" s="105" t="n">
        <f aca="false">IF(OR(Calculator!$E$18&lt;&gt;"YES",Calculator!$B$31&lt;Calculator!$G$18),"—",ROUND(MAX((50*POWER(80,POWER(COS(PI()*MOD(Calculator!$B$31/Calculator!$F$18,1)),2)))/$C58,$C58/(50*POWER(80,POWER(COS(PI()*MOD(Calculator!$B$31/Calculator!$F$18,1)),2)))),2))</f>
        <v>1.42</v>
      </c>
      <c r="X58" s="105" t="n">
        <f aca="false">IF(OR(Calculator!$E$19&lt;&gt;"YES",Calculator!$B$31&lt;Calculator!$G$19),"—",ROUND(MAX((50*POWER(80,POWER(COS(PI()*MOD(Calculator!$B$31/Calculator!$F$19,1)),2)))/$C58,$C58/(50*POWER(80,POWER(COS(PI()*MOD(Calculator!$B$31/Calculator!$F$19,1)),2)))),2))</f>
        <v>4.83</v>
      </c>
      <c r="Y58" s="105" t="n">
        <f aca="false">IF(OR(Calculator!$E$20&lt;&gt;"YES",Calculator!$B$31&lt;Calculator!$G$20),"—",ROUND(MAX((50*POWER(80,POWER(COS(PI()*MOD(Calculator!$B$31/Calculator!$F$20,1)),2)))/$C58,$C58/(50*POWER(80,POWER(COS(PI()*MOD(Calculator!$B$31/Calculator!$F$20,1)),2)))),2))</f>
        <v>15.95</v>
      </c>
      <c r="Z58" s="105" t="str">
        <f aca="false">IF(OR(Calculator!$E$21&lt;&gt;"YES",Calculator!$B$31&lt;Calculator!$G$21),"—",ROUND(MAX((50*POWER(80,POWER(COS(PI()*MOD(Calculator!$B$31/Calculator!$F$21,1)),2)))/$C58,$C58/(50*POWER(80,POWER(COS(PI()*MOD(Calculator!$B$31/Calculator!$F$21,1)),2)))),2))</f>
        <v>—</v>
      </c>
      <c r="AA58" s="100" t="n">
        <f aca="false">IFERROR(ROUND((IF(ISNUMBER(P58),P58,0)+IF(ISNUMBER(Q58),Q58,0)+IF(ISNUMBER(R58),R58,0)+IF(ISNUMBER(S58),S58,0)+IF(ISNUMBER(T58),T58,0)+IF(ISNUMBER(U58),U58,0)+IF(ISNUMBER(V58),V58,0)+IF(ISNUMBER(W58),W58,0)+IF(ISNUMBER(X58),X58,0)+IF(ISNUMBER(Y58),Y58,0)+IF(ISNUMBER(Z58),Z58,0))/(IF(ISNUMBER(P58),1,0)+IF(ISNUMBER(Q58),1,0)+IF(ISNUMBER(R58),1,0)+IF(ISNUMBER(S58),1,0)+IF(ISNUMBER(T58),1,0)+IF(ISNUMBER(U58),1,0)+IF(ISNUMBER(V58),1,0)+IF(ISNUMBER(W58),1,0)+IF(ISNUMBER(X58),1,0)+IF(ISNUMBER(Y58),1,0)+IF(ISNUMBER(Z58),1,0)),2),"")</f>
        <v>6.51</v>
      </c>
      <c r="AB58" s="105" t="str">
        <f aca="false">IF(OR(Calculator!$E$11&lt;&gt;"YES",Calculator!$B$32&lt;Calculator!$G$11),"—",ROUND(MAX((50*POWER(80,POWER(COS(PI()*MOD(Calculator!$B$32/Calculator!$F$11,1)),2)))/$C58,$C58/(50*POWER(80,POWER(COS(PI()*MOD(Calculator!$B$32/Calculator!$F$11,1)),2)))),2))</f>
        <v>—</v>
      </c>
      <c r="AC58" s="105" t="str">
        <f aca="false">IF(OR(Calculator!$E$12&lt;&gt;"YES",Calculator!$B$32&lt;Calculator!$G$12),"—",ROUND(MAX((50*POWER(80,POWER(COS(PI()*MOD(Calculator!$B$32/Calculator!$F$12,1)),2)))/$C58,$C58/(50*POWER(80,POWER(COS(PI()*MOD(Calculator!$B$32/Calculator!$F$12,1)),2)))),2))</f>
        <v>—</v>
      </c>
      <c r="AD58" s="105" t="str">
        <f aca="false">IF(OR(Calculator!$E$13&lt;&gt;"YES",Calculator!$B$32&lt;Calculator!$G$13),"—",ROUND(MAX((50*POWER(80,POWER(COS(PI()*MOD(Calculator!$B$32/Calculator!$F$13,1)),2)))/$C58,$C58/(50*POWER(80,POWER(COS(PI()*MOD(Calculator!$B$32/Calculator!$F$13,1)),2)))),2))</f>
        <v>—</v>
      </c>
      <c r="AE58" s="105" t="n">
        <f aca="false">IF(OR(Calculator!$E$14&lt;&gt;"YES",Calculator!$B$32&lt;Calculator!$G$14),"—",ROUND(MAX((50*POWER(80,POWER(COS(PI()*MOD(Calculator!$B$32/Calculator!$F$14,1)),2)))/$C58,$C58/(50*POWER(80,POWER(COS(PI()*MOD(Calculator!$B$32/Calculator!$F$14,1)),2)))),2))</f>
        <v>7.6</v>
      </c>
      <c r="AF58" s="105" t="n">
        <f aca="false">IF(OR(Calculator!$E$15&lt;&gt;"YES",Calculator!$B$32&lt;Calculator!$G$15),"—",ROUND(MAX((50*POWER(80,POWER(COS(PI()*MOD(Calculator!$B$32/Calculator!$F$15,1)),2)))/$C58,$C58/(50*POWER(80,POWER(COS(PI()*MOD(Calculator!$B$32/Calculator!$F$15,1)),2)))),2))</f>
        <v>4.91</v>
      </c>
      <c r="AG58" s="105" t="n">
        <f aca="false">IF(OR(Calculator!$E$16&lt;&gt;"YES",Calculator!$B$32&lt;Calculator!$G$16),"—",ROUND(MAX((50*POWER(80,POWER(COS(PI()*MOD(Calculator!$B$32/Calculator!$F$16,1)),2)))/$C58,$C58/(50*POWER(80,POWER(COS(PI()*MOD(Calculator!$B$32/Calculator!$F$16,1)),2)))),2))</f>
        <v>16.58</v>
      </c>
      <c r="AH58" s="105" t="n">
        <f aca="false">IF(OR(Calculator!$E$17&lt;&gt;"YES",Calculator!$B$32&lt;Calculator!$G$17),"—",ROUND(MAX((50*POWER(80,POWER(COS(PI()*MOD(Calculator!$B$32/Calculator!$F$17,1)),2)))/$C58,$C58/(50*POWER(80,POWER(COS(PI()*MOD(Calculator!$B$32/Calculator!$F$17,1)),2)))),2))</f>
        <v>1.77</v>
      </c>
      <c r="AI58" s="105" t="n">
        <f aca="false">IF(OR(Calculator!$E$18&lt;&gt;"YES",Calculator!$B$32&lt;Calculator!$G$18),"—",ROUND(MAX((50*POWER(80,POWER(COS(PI()*MOD(Calculator!$B$32/Calculator!$F$18,1)),2)))/$C58,$C58/(50*POWER(80,POWER(COS(PI()*MOD(Calculator!$B$32/Calculator!$F$18,1)),2)))),2))</f>
        <v>1.92</v>
      </c>
      <c r="AJ58" s="105" t="n">
        <f aca="false">IF(OR(Calculator!$E$19&lt;&gt;"YES",Calculator!$B$32&lt;Calculator!$G$19),"—",ROUND(MAX((50*POWER(80,POWER(COS(PI()*MOD(Calculator!$B$32/Calculator!$F$19,1)),2)))/$C58,$C58/(50*POWER(80,POWER(COS(PI()*MOD(Calculator!$B$32/Calculator!$F$19,1)),2)))),2))</f>
        <v>2.02</v>
      </c>
      <c r="AK58" s="105" t="n">
        <f aca="false">IF(OR(Calculator!$E$20&lt;&gt;"YES",Calculator!$B$32&lt;Calculator!$G$20),"—",ROUND(MAX((50*POWER(80,POWER(COS(PI()*MOD(Calculator!$B$32/Calculator!$F$20,1)),2)))/$C58,$C58/(50*POWER(80,POWER(COS(PI()*MOD(Calculator!$B$32/Calculator!$F$20,1)),2)))),2))</f>
        <v>13.04</v>
      </c>
      <c r="AL58" s="105" t="str">
        <f aca="false">IF(OR(Calculator!$E$21&lt;&gt;"YES",Calculator!$B$32&lt;Calculator!$G$21),"—",ROUND(MAX((50*POWER(80,POWER(COS(PI()*MOD(Calculator!$B$32/Calculator!$F$21,1)),2)))/$C58,$C58/(50*POWER(80,POWER(COS(PI()*MOD(Calculator!$B$32/Calculator!$F$21,1)),2)))),2))</f>
        <v>—</v>
      </c>
      <c r="AM58" s="101" t="n">
        <f aca="false">IFERROR(ROUND((IF(ISNUMBER(AB58),AB58,0)+IF(ISNUMBER(AC58),AC58,0)+IF(ISNUMBER(AD58),AD58,0)+IF(ISNUMBER(AE58),AE58,0)+IF(ISNUMBER(AF58),AF58,0)+IF(ISNUMBER(AG58),AG58,0)+IF(ISNUMBER(AH58),AH58,0)+IF(ISNUMBER(AI58),AI58,0)+IF(ISNUMBER(AJ58),AJ58,0)+IF(ISNUMBER(AK58),AK58,0)+IF(ISNUMBER(AL58),AL58,0))/(IF(ISNUMBER(AB58),1,0)+IF(ISNUMBER(AC58),1,0)+IF(ISNUMBER(AD58),1,0)+IF(ISNUMBER(AE58),1,0)+IF(ISNUMBER(AF58),1,0)+IF(ISNUMBER(AG58),1,0)+IF(ISNUMBER(AH58),1,0)+IF(ISNUMBER(AI58),1,0)+IF(ISNUMBER(AJ58),1,0)+IF(ISNUMBER(AK58),1,0)+IF(ISNUMBER(AL58),1,0)),2),"")</f>
        <v>6.83</v>
      </c>
      <c r="AN58" s="106" t="str">
        <f aca="false">IF(OR(Calculator!$E$11&lt;&gt;"YES",Calculator!$B$33&lt;Calculator!$G$11),"—",ROUND(MAX((50*POWER(80,POWER(COS(PI()*MOD(Calculator!$B$33/Calculator!$F$11,1)),2)))/$C58,$C58/(50*POWER(80,POWER(COS(PI()*MOD(Calculator!$B$33/Calculator!$F$11,1)),2)))),2))</f>
        <v>—</v>
      </c>
      <c r="AO58" s="106" t="str">
        <f aca="false">IF(OR(Calculator!$E$12&lt;&gt;"YES",Calculator!$B$33&lt;Calculator!$G$12),"—",ROUND(MAX((50*POWER(80,POWER(COS(PI()*MOD(Calculator!$B$33/Calculator!$F$12,1)),2)))/$C58,$C58/(50*POWER(80,POWER(COS(PI()*MOD(Calculator!$B$33/Calculator!$F$12,1)),2)))),2))</f>
        <v>—</v>
      </c>
      <c r="AP58" s="106" t="str">
        <f aca="false">IF(OR(Calculator!$E$13&lt;&gt;"YES",Calculator!$B$33&lt;Calculator!$G$13),"—",ROUND(MAX((50*POWER(80,POWER(COS(PI()*MOD(Calculator!$B$33/Calculator!$F$13,1)),2)))/$C58,$C58/(50*POWER(80,POWER(COS(PI()*MOD(Calculator!$B$33/Calculator!$F$13,1)),2)))),2))</f>
        <v>—</v>
      </c>
      <c r="AQ58" s="106" t="n">
        <f aca="false">IF(OR(Calculator!$E$14&lt;&gt;"YES",Calculator!$B$33&lt;Calculator!$G$14),"—",ROUND(MAX((50*POWER(80,POWER(COS(PI()*MOD(Calculator!$B$33/Calculator!$F$14,1)),2)))/$C58,$C58/(50*POWER(80,POWER(COS(PI()*MOD(Calculator!$B$33/Calculator!$F$14,1)),2)))),2))</f>
        <v>2.1</v>
      </c>
      <c r="AR58" s="106" t="n">
        <f aca="false">IF(OR(Calculator!$E$15&lt;&gt;"YES",Calculator!$B$33&lt;Calculator!$G$15),"—",ROUND(MAX((50*POWER(80,POWER(COS(PI()*MOD(Calculator!$B$33/Calculator!$F$15,1)),2)))/$C58,$C58/(50*POWER(80,POWER(COS(PI()*MOD(Calculator!$B$33/Calculator!$F$15,1)),2)))),2))</f>
        <v>4.43</v>
      </c>
      <c r="AS58" s="106" t="n">
        <f aca="false">IF(OR(Calculator!$E$16&lt;&gt;"YES",Calculator!$B$33&lt;Calculator!$G$16),"—",ROUND(MAX((50*POWER(80,POWER(COS(PI()*MOD(Calculator!$B$33/Calculator!$F$16,1)),2)))/$C58,$C58/(50*POWER(80,POWER(COS(PI()*MOD(Calculator!$B$33/Calculator!$F$16,1)),2)))),2))</f>
        <v>1.62</v>
      </c>
      <c r="AT58" s="106" t="n">
        <f aca="false">IF(OR(Calculator!$E$17&lt;&gt;"YES",Calculator!$B$33&lt;Calculator!$G$17),"—",ROUND(MAX((50*POWER(80,POWER(COS(PI()*MOD(Calculator!$B$33/Calculator!$F$17,1)),2)))/$C58,$C58/(50*POWER(80,POWER(COS(PI()*MOD(Calculator!$B$33/Calculator!$F$17,1)),2)))),2))</f>
        <v>5.14</v>
      </c>
      <c r="AU58" s="106" t="n">
        <f aca="false">IF(OR(Calculator!$E$18&lt;&gt;"YES",Calculator!$B$33&lt;Calculator!$G$18),"—",ROUND(MAX((50*POWER(80,POWER(COS(PI()*MOD(Calculator!$B$33/Calculator!$F$18,1)),2)))/$C58,$C58/(50*POWER(80,POWER(COS(PI()*MOD(Calculator!$B$33/Calculator!$F$18,1)),2)))),2))</f>
        <v>6.95</v>
      </c>
      <c r="AV58" s="106" t="n">
        <f aca="false">IF(OR(Calculator!$E$19&lt;&gt;"YES",Calculator!$B$33&lt;Calculator!$G$19),"—",ROUND(MAX((50*POWER(80,POWER(COS(PI()*MOD(Calculator!$B$33/Calculator!$F$19,1)),2)))/$C58,$C58/(50*POWER(80,POWER(COS(PI()*MOD(Calculator!$B$33/Calculator!$F$19,1)),2)))),2))</f>
        <v>1.18</v>
      </c>
      <c r="AW58" s="106" t="n">
        <f aca="false">IF(OR(Calculator!$E$20&lt;&gt;"YES",Calculator!$B$33&lt;Calculator!$G$20),"—",ROUND(MAX((50*POWER(80,POWER(COS(PI()*MOD(Calculator!$B$33/Calculator!$F$20,1)),2)))/$C58,$C58/(50*POWER(80,POWER(COS(PI()*MOD(Calculator!$B$33/Calculator!$F$20,1)),2)))),2))</f>
        <v>10.61</v>
      </c>
      <c r="AX58" s="106" t="str">
        <f aca="false">IF(OR(Calculator!$E$21&lt;&gt;"YES",Calculator!$B$33&lt;Calculator!$G$21),"—",ROUND(MAX((50*POWER(80,POWER(COS(PI()*MOD(Calculator!$B$33/Calculator!$F$21,1)),2)))/$C58,$C58/(50*POWER(80,POWER(COS(PI()*MOD(Calculator!$B$33/Calculator!$F$21,1)),2)))),2))</f>
        <v>—</v>
      </c>
      <c r="AY58" s="101" t="n">
        <f aca="false">IFERROR(ROUND((IF(ISNUMBER(AN58),AN58,0)+IF(ISNUMBER(AO58),AO58,0)+IF(ISNUMBER(AP58),AP58,0)+IF(ISNUMBER(AQ58),AQ58,0)+IF(ISNUMBER(AR58),AR58,0)+IF(ISNUMBER(AS58),AS58,0)+IF(ISNUMBER(AT58),AT58,0)+IF(ISNUMBER(AU58),AU58,0)+IF(ISNUMBER(AV58),AV58,0)+IF(ISNUMBER(AW58),AW58,0)+IF(ISNUMBER(AX58),AX58,0))/(IF(ISNUMBER(AN58),1,0)+IF(ISNUMBER(AO58),1,0)+IF(ISNUMBER(AP58),1,0)+IF(ISNUMBER(AQ58),1,0)+IF(ISNUMBER(AR58),1,0)+IF(ISNUMBER(AS58),1,0)+IF(ISNUMBER(AT58),1,0)+IF(ISNUMBER(AU58),1,0)+IF(ISNUMBER(AV58),1,0)+IF(ISNUMBER(AW58),1,0)+IF(ISNUMBER(AX58),1,0)),2),"")</f>
        <v>4.58</v>
      </c>
      <c r="AZ58" s="106" t="str">
        <f aca="false">IF(OR(Calculator!$E$11&lt;&gt;"YES",Calculator!$B$34&lt;Calculator!$G$11),"—",ROUND(MAX((50*POWER(80,POWER(COS(PI()*MOD(Calculator!$B$34/Calculator!$F$11,1)),2)))/$C58,$C58/(50*POWER(80,POWER(COS(PI()*MOD(Calculator!$B$34/Calculator!$F$11,1)),2)))),2))</f>
        <v>—</v>
      </c>
      <c r="BA58" s="106" t="str">
        <f aca="false">IF(OR(Calculator!$E$12&lt;&gt;"YES",Calculator!$B$34&lt;Calculator!$G$12),"—",ROUND(MAX((50*POWER(80,POWER(COS(PI()*MOD(Calculator!$B$34/Calculator!$F$12,1)),2)))/$C58,$C58/(50*POWER(80,POWER(COS(PI()*MOD(Calculator!$B$34/Calculator!$F$12,1)),2)))),2))</f>
        <v>—</v>
      </c>
      <c r="BB58" s="106" t="str">
        <f aca="false">IF(OR(Calculator!$E$13&lt;&gt;"YES",Calculator!$B$34&lt;Calculator!$G$13),"—",ROUND(MAX((50*POWER(80,POWER(COS(PI()*MOD(Calculator!$B$34/Calculator!$F$13,1)),2)))/$C58,$C58/(50*POWER(80,POWER(COS(PI()*MOD(Calculator!$B$34/Calculator!$F$13,1)),2)))),2))</f>
        <v>—</v>
      </c>
      <c r="BC58" s="106" t="n">
        <f aca="false">IF(OR(Calculator!$E$14&lt;&gt;"YES",Calculator!$B$34&lt;Calculator!$G$14),"—",ROUND(MAX((50*POWER(80,POWER(COS(PI()*MOD(Calculator!$B$34/Calculator!$F$14,1)),2)))/$C58,$C58/(50*POWER(80,POWER(COS(PI()*MOD(Calculator!$B$34/Calculator!$F$14,1)),2)))),2))</f>
        <v>2.13</v>
      </c>
      <c r="BD58" s="106" t="n">
        <f aca="false">IF(OR(Calculator!$E$15&lt;&gt;"YES",Calculator!$B$34&lt;Calculator!$G$15),"—",ROUND(MAX((50*POWER(80,POWER(COS(PI()*MOD(Calculator!$B$34/Calculator!$F$15,1)),2)))/$C58,$C58/(50*POWER(80,POWER(COS(PI()*MOD(Calculator!$B$34/Calculator!$F$15,1)),2)))),2))</f>
        <v>5.72</v>
      </c>
      <c r="BE58" s="106" t="n">
        <f aca="false">IF(OR(Calculator!$E$16&lt;&gt;"YES",Calculator!$B$34&lt;Calculator!$G$16),"—",ROUND(MAX((50*POWER(80,POWER(COS(PI()*MOD(Calculator!$B$34/Calculator!$F$16,1)),2)))/$C58,$C58/(50*POWER(80,POWER(COS(PI()*MOD(Calculator!$B$34/Calculator!$F$16,1)),2)))),2))</f>
        <v>1.93</v>
      </c>
      <c r="BF58" s="106" t="n">
        <f aca="false">IF(OR(Calculator!$E$17&lt;&gt;"YES",Calculator!$B$34&lt;Calculator!$G$17),"—",ROUND(MAX((50*POWER(80,POWER(COS(PI()*MOD(Calculator!$B$34/Calculator!$F$17,1)),2)))/$C58,$C58/(50*POWER(80,POWER(COS(PI()*MOD(Calculator!$B$34/Calculator!$F$17,1)),2)))),2))</f>
        <v>1.01</v>
      </c>
      <c r="BG58" s="106" t="n">
        <f aca="false">IF(OR(Calculator!$E$18&lt;&gt;"YES",Calculator!$B$34&lt;Calculator!$G$18),"—",ROUND(MAX((50*POWER(80,POWER(COS(PI()*MOD(Calculator!$B$34/Calculator!$F$18,1)),2)))/$C58,$C58/(50*POWER(80,POWER(COS(PI()*MOD(Calculator!$B$34/Calculator!$F$18,1)),2)))),2))</f>
        <v>9.4</v>
      </c>
      <c r="BH58" s="106" t="n">
        <f aca="false">IF(OR(Calculator!$E$19&lt;&gt;"YES",Calculator!$B$34&lt;Calculator!$G$19),"—",ROUND(MAX((50*POWER(80,POWER(COS(PI()*MOD(Calculator!$B$34/Calculator!$F$19,1)),2)))/$C58,$C58/(50*POWER(80,POWER(COS(PI()*MOD(Calculator!$B$34/Calculator!$F$19,1)),2)))),2))</f>
        <v>10.46</v>
      </c>
      <c r="BI58" s="106" t="n">
        <f aca="false">IF(OR(Calculator!$E$20&lt;&gt;"YES",Calculator!$B$34&lt;Calculator!$G$20),"—",ROUND(MAX((50*POWER(80,POWER(COS(PI()*MOD(Calculator!$B$34/Calculator!$F$20,1)),2)))/$C58,$C58/(50*POWER(80,POWER(COS(PI()*MOD(Calculator!$B$34/Calculator!$F$20,1)),2)))),2))</f>
        <v>6.24</v>
      </c>
      <c r="BJ58" s="106" t="str">
        <f aca="false">IF(OR(Calculator!$E$21&lt;&gt;"YES",Calculator!$B$34&lt;Calculator!$G$21),"—",ROUND(MAX((50*POWER(80,POWER(COS(PI()*MOD(Calculator!$B$34/Calculator!$F$21,1)),2)))/$C58,$C58/(50*POWER(80,POWER(COS(PI()*MOD(Calculator!$B$34/Calculator!$F$21,1)),2)))),2))</f>
        <v>—</v>
      </c>
      <c r="BK58" s="101" t="n">
        <f aca="false">IFERROR(ROUND((IF(ISNUMBER(AZ58),AZ58,0)+IF(ISNUMBER(BA58),BA58,0)+IF(ISNUMBER(BB58),BB58,0)+IF(ISNUMBER(BC58),BC58,0)+IF(ISNUMBER(BD58),BD58,0)+IF(ISNUMBER(BE58),BE58,0)+IF(ISNUMBER(BF58),BF58,0)+IF(ISNUMBER(BG58),BG58,0)+IF(ISNUMBER(BH58),BH58,0)+IF(ISNUMBER(BI58),BI58,0)+IF(ISNUMBER(BJ58),BJ58,0))/(IF(ISNUMBER(AZ58),1,0)+IF(ISNUMBER(BA58),1,0)+IF(ISNUMBER(BB58),1,0)+IF(ISNUMBER(BC58),1,0)+IF(ISNUMBER(BD58),1,0)+IF(ISNUMBER(BE58),1,0)+IF(ISNUMBER(BF58),1,0)+IF(ISNUMBER(BG58),1,0)+IF(ISNUMBER(BH58),1,0)+IF(ISNUMBER(BI58),1,0)+IF(ISNUMBER(BJ58),1,0)),2),"")</f>
        <v>5.27</v>
      </c>
    </row>
    <row r="59" customFormat="false" ht="15" hidden="false" customHeight="false" outlineLevel="0" collapsed="false">
      <c r="A59" s="74" t="s">
        <v>110</v>
      </c>
      <c r="B59" s="74" t="s">
        <v>86</v>
      </c>
      <c r="C59" s="77" t="n">
        <v>1350</v>
      </c>
      <c r="D59" s="78" t="str">
        <f aca="false">IF(OR(Calculator!$E$11&lt;&gt;"YES",Calculator!$B$30&lt;Calculator!$G$11),"—",ROUND(MAX((50*POWER(80,POWER(COS(PI()*MOD(Calculator!$B$30/Calculator!$F$11,1)),2)))/$C59,$C59/(50*POWER(80,POWER(COS(PI()*MOD(Calculator!$B$30/Calculator!$F$11,1)),2)))),2))</f>
        <v>—</v>
      </c>
      <c r="E59" s="78" t="str">
        <f aca="false">IF(OR(Calculator!$E$12&lt;&gt;"YES",Calculator!$B$30&lt;Calculator!$G$12),"—",ROUND(MAX((50*POWER(80,POWER(COS(PI()*MOD(Calculator!$B$30/Calculator!$F$12,1)),2)))/$C59,$C59/(50*POWER(80,POWER(COS(PI()*MOD(Calculator!$B$30/Calculator!$F$12,1)),2)))),2))</f>
        <v>—</v>
      </c>
      <c r="F59" s="78" t="str">
        <f aca="false">IF(OR(Calculator!$E$13&lt;&gt;"YES",Calculator!$B$30&lt;Calculator!$G$13),"—",ROUND(MAX((50*POWER(80,POWER(COS(PI()*MOD(Calculator!$B$30/Calculator!$F$13,1)),2)))/$C59,$C59/(50*POWER(80,POWER(COS(PI()*MOD(Calculator!$B$30/Calculator!$F$13,1)),2)))),2))</f>
        <v>—</v>
      </c>
      <c r="G59" s="78" t="n">
        <f aca="false">IF(OR(Calculator!$E$14&lt;&gt;"YES",Calculator!$B$30&lt;Calculator!$G$14),"—",ROUND(MAX((50*POWER(80,POWER(COS(PI()*MOD(Calculator!$B$30/Calculator!$F$14,1)),2)))/$C59,$C59/(50*POWER(80,POWER(COS(PI()*MOD(Calculator!$B$30/Calculator!$F$14,1)),2)))),2))</f>
        <v>12.2</v>
      </c>
      <c r="H59" s="78" t="n">
        <f aca="false">IF(OR(Calculator!$E$15&lt;&gt;"YES",Calculator!$B$30&lt;Calculator!$G$15),"—",ROUND(MAX((50*POWER(80,POWER(COS(PI()*MOD(Calculator!$B$30/Calculator!$F$15,1)),2)))/$C59,$C59/(50*POWER(80,POWER(COS(PI()*MOD(Calculator!$B$30/Calculator!$F$15,1)),2)))),2))</f>
        <v>3.54</v>
      </c>
      <c r="I59" s="78" t="n">
        <f aca="false">IF(OR(Calculator!$E$16&lt;&gt;"YES",Calculator!$B$30&lt;Calculator!$G$16),"—",ROUND(MAX((50*POWER(80,POWER(COS(PI()*MOD(Calculator!$B$30/Calculator!$F$16,1)),2)))/$C59,$C59/(50*POWER(80,POWER(COS(PI()*MOD(Calculator!$B$30/Calculator!$F$16,1)),2)))),2))</f>
        <v>2.42</v>
      </c>
      <c r="J59" s="78" t="n">
        <f aca="false">IF(OR(Calculator!$E$17&lt;&gt;"YES",Calculator!$B$30&lt;Calculator!$G$17),"—",ROUND(MAX((50*POWER(80,POWER(COS(PI()*MOD(Calculator!$B$30/Calculator!$F$17,1)),2)))/$C59,$C59/(50*POWER(80,POWER(COS(PI()*MOD(Calculator!$B$30/Calculator!$F$17,1)),2)))),2))</f>
        <v>6.79</v>
      </c>
      <c r="K59" s="78" t="n">
        <f aca="false">IF(OR(Calculator!$E$18&lt;&gt;"YES",Calculator!$B$30&lt;Calculator!$G$18),"—",ROUND(MAX((50*POWER(80,POWER(COS(PI()*MOD(Calculator!$B$30/Calculator!$F$18,1)),2)))/$C59,$C59/(50*POWER(80,POWER(COS(PI()*MOD(Calculator!$B$30/Calculator!$F$18,1)),2)))),2))</f>
        <v>1.03</v>
      </c>
      <c r="L59" s="78" t="n">
        <f aca="false">IF(OR(Calculator!$E$19&lt;&gt;"YES",Calculator!$B$30&lt;Calculator!$G$19),"—",ROUND(MAX((50*POWER(80,POWER(COS(PI()*MOD(Calculator!$B$30/Calculator!$F$19,1)),2)))/$C59,$C59/(50*POWER(80,POWER(COS(PI()*MOD(Calculator!$B$30/Calculator!$F$19,1)),2)))),2))</f>
        <v>1.72</v>
      </c>
      <c r="M59" s="78" t="n">
        <f aca="false">IF(OR(Calculator!$E$20&lt;&gt;"YES",Calculator!$B$30&lt;Calculator!$G$20),"—",ROUND(MAX((50*POWER(80,POWER(COS(PI()*MOD(Calculator!$B$30/Calculator!$F$20,1)),2)))/$C59,$C59/(50*POWER(80,POWER(COS(PI()*MOD(Calculator!$B$30/Calculator!$F$20,1)),2)))),2))</f>
        <v>10.66</v>
      </c>
      <c r="N59" s="78" t="str">
        <f aca="false">IF(OR(Calculator!$E$21&lt;&gt;"YES",Calculator!$B$30&lt;Calculator!$G$21),"—",ROUND(MAX((50*POWER(80,POWER(COS(PI()*MOD(Calculator!$B$30/Calculator!$F$21,1)),2)))/$C59,$C59/(50*POWER(80,POWER(COS(PI()*MOD(Calculator!$B$30/Calculator!$F$21,1)),2)))),2))</f>
        <v>—</v>
      </c>
      <c r="O59" s="100" t="n">
        <f aca="false">IFERROR(ROUND((IF(ISNUMBER(D59),D59,0)+IF(ISNUMBER(E59),E59,0)+IF(ISNUMBER(F59),F59,0)+IF(ISNUMBER(G59),G59,0)+IF(ISNUMBER(H59),H59,0)+IF(ISNUMBER(I59),I59,0)+IF(ISNUMBER(J59),J59,0)+IF(ISNUMBER(K59),K59,0)+IF(ISNUMBER(L59),L59,0)+IF(ISNUMBER(M59),M59,0)+IF(ISNUMBER(N59),N59,0))/(IF(ISNUMBER(D59),1,0)+IF(ISNUMBER(E59),1,0)+IF(ISNUMBER(F59),1,0)+IF(ISNUMBER(G59),1,0)+IF(ISNUMBER(H59),1,0)+IF(ISNUMBER(I59),1,0)+IF(ISNUMBER(J59),1,0)+IF(ISNUMBER(K59),1,0)+IF(ISNUMBER(L59),1,0)+IF(ISNUMBER(M59),1,0)+IF(ISNUMBER(N59),1,0)),2),"")</f>
        <v>5.48</v>
      </c>
      <c r="P59" s="78" t="str">
        <f aca="false">IF(OR(Calculator!$E$11&lt;&gt;"YES",Calculator!$B$31&lt;Calculator!$G$11),"—",ROUND(MAX((50*POWER(80,POWER(COS(PI()*MOD(Calculator!$B$31/Calculator!$F$11,1)),2)))/$C59,$C59/(50*POWER(80,POWER(COS(PI()*MOD(Calculator!$B$31/Calculator!$F$11,1)),2)))),2))</f>
        <v>—</v>
      </c>
      <c r="Q59" s="78" t="str">
        <f aca="false">IF(OR(Calculator!$E$12&lt;&gt;"YES",Calculator!$B$31&lt;Calculator!$G$12),"—",ROUND(MAX((50*POWER(80,POWER(COS(PI()*MOD(Calculator!$B$31/Calculator!$F$12,1)),2)))/$C59,$C59/(50*POWER(80,POWER(COS(PI()*MOD(Calculator!$B$31/Calculator!$F$12,1)),2)))),2))</f>
        <v>—</v>
      </c>
      <c r="R59" s="78" t="str">
        <f aca="false">IF(OR(Calculator!$E$13&lt;&gt;"YES",Calculator!$B$31&lt;Calculator!$G$13),"—",ROUND(MAX((50*POWER(80,POWER(COS(PI()*MOD(Calculator!$B$31/Calculator!$F$13,1)),2)))/$C59,$C59/(50*POWER(80,POWER(COS(PI()*MOD(Calculator!$B$31/Calculator!$F$13,1)),2)))),2))</f>
        <v>—</v>
      </c>
      <c r="S59" s="78" t="n">
        <f aca="false">IF(OR(Calculator!$E$14&lt;&gt;"YES",Calculator!$B$31&lt;Calculator!$G$14),"—",ROUND(MAX((50*POWER(80,POWER(COS(PI()*MOD(Calculator!$B$31/Calculator!$F$14,1)),2)))/$C59,$C59/(50*POWER(80,POWER(COS(PI()*MOD(Calculator!$B$31/Calculator!$F$14,1)),2)))),2))</f>
        <v>12.49</v>
      </c>
      <c r="T59" s="78" t="n">
        <f aca="false">IF(OR(Calculator!$E$15&lt;&gt;"YES",Calculator!$B$31&lt;Calculator!$G$15),"—",ROUND(MAX((50*POWER(80,POWER(COS(PI()*MOD(Calculator!$B$31/Calculator!$F$15,1)),2)))/$C59,$C59/(50*POWER(80,POWER(COS(PI()*MOD(Calculator!$B$31/Calculator!$F$15,1)),2)))),2))</f>
        <v>7.6</v>
      </c>
      <c r="U59" s="78" t="n">
        <f aca="false">IF(OR(Calculator!$E$16&lt;&gt;"YES",Calculator!$B$31&lt;Calculator!$G$16),"—",ROUND(MAX((50*POWER(80,POWER(COS(PI()*MOD(Calculator!$B$31/Calculator!$F$16,1)),2)))/$C59,$C59/(50*POWER(80,POWER(COS(PI()*MOD(Calculator!$B$31/Calculator!$F$16,1)),2)))),2))</f>
        <v>2.89</v>
      </c>
      <c r="V59" s="78" t="n">
        <f aca="false">IF(OR(Calculator!$E$17&lt;&gt;"YES",Calculator!$B$31&lt;Calculator!$G$17),"—",ROUND(MAX((50*POWER(80,POWER(COS(PI()*MOD(Calculator!$B$31/Calculator!$F$17,1)),2)))/$C59,$C59/(50*POWER(80,POWER(COS(PI()*MOD(Calculator!$B$31/Calculator!$F$17,1)),2)))),2))</f>
        <v>1.2</v>
      </c>
      <c r="W59" s="78" t="n">
        <f aca="false">IF(OR(Calculator!$E$18&lt;&gt;"YES",Calculator!$B$31&lt;Calculator!$G$18),"—",ROUND(MAX((50*POWER(80,POWER(COS(PI()*MOD(Calculator!$B$31/Calculator!$F$18,1)),2)))/$C59,$C59/(50*POWER(80,POWER(COS(PI()*MOD(Calculator!$B$31/Calculator!$F$18,1)),2)))),2))</f>
        <v>1.36</v>
      </c>
      <c r="X59" s="78" t="n">
        <f aca="false">IF(OR(Calculator!$E$19&lt;&gt;"YES",Calculator!$B$31&lt;Calculator!$G$19),"—",ROUND(MAX((50*POWER(80,POWER(COS(PI()*MOD(Calculator!$B$31/Calculator!$F$19,1)),2)))/$C59,$C59/(50*POWER(80,POWER(COS(PI()*MOD(Calculator!$B$31/Calculator!$F$19,1)),2)))),2))</f>
        <v>5.02</v>
      </c>
      <c r="Y59" s="78" t="n">
        <f aca="false">IF(OR(Calculator!$E$20&lt;&gt;"YES",Calculator!$B$31&lt;Calculator!$G$20),"—",ROUND(MAX((50*POWER(80,POWER(COS(PI()*MOD(Calculator!$B$31/Calculator!$F$20,1)),2)))/$C59,$C59/(50*POWER(80,POWER(COS(PI()*MOD(Calculator!$B$31/Calculator!$F$20,1)),2)))),2))</f>
        <v>16.56</v>
      </c>
      <c r="Z59" s="78" t="str">
        <f aca="false">IF(OR(Calculator!$E$21&lt;&gt;"YES",Calculator!$B$31&lt;Calculator!$G$21),"—",ROUND(MAX((50*POWER(80,POWER(COS(PI()*MOD(Calculator!$B$31/Calculator!$F$21,1)),2)))/$C59,$C59/(50*POWER(80,POWER(COS(PI()*MOD(Calculator!$B$31/Calculator!$F$21,1)),2)))),2))</f>
        <v>—</v>
      </c>
      <c r="AA59" s="100" t="n">
        <f aca="false">IFERROR(ROUND((IF(ISNUMBER(P59),P59,0)+IF(ISNUMBER(Q59),Q59,0)+IF(ISNUMBER(R59),R59,0)+IF(ISNUMBER(S59),S59,0)+IF(ISNUMBER(T59),T59,0)+IF(ISNUMBER(U59),U59,0)+IF(ISNUMBER(V59),V59,0)+IF(ISNUMBER(W59),W59,0)+IF(ISNUMBER(X59),X59,0)+IF(ISNUMBER(Y59),Y59,0)+IF(ISNUMBER(Z59),Z59,0))/(IF(ISNUMBER(P59),1,0)+IF(ISNUMBER(Q59),1,0)+IF(ISNUMBER(R59),1,0)+IF(ISNUMBER(S59),1,0)+IF(ISNUMBER(T59),1,0)+IF(ISNUMBER(U59),1,0)+IF(ISNUMBER(V59),1,0)+IF(ISNUMBER(W59),1,0)+IF(ISNUMBER(X59),1,0)+IF(ISNUMBER(Y59),1,0)+IF(ISNUMBER(Z59),1,0)),2),"")</f>
        <v>6.73</v>
      </c>
      <c r="AB59" s="78" t="str">
        <f aca="false">IF(OR(Calculator!$E$11&lt;&gt;"YES",Calculator!$B$32&lt;Calculator!$G$11),"—",ROUND(MAX((50*POWER(80,POWER(COS(PI()*MOD(Calculator!$B$32/Calculator!$F$11,1)),2)))/$C59,$C59/(50*POWER(80,POWER(COS(PI()*MOD(Calculator!$B$32/Calculator!$F$11,1)),2)))),2))</f>
        <v>—</v>
      </c>
      <c r="AC59" s="78" t="str">
        <f aca="false">IF(OR(Calculator!$E$12&lt;&gt;"YES",Calculator!$B$32&lt;Calculator!$G$12),"—",ROUND(MAX((50*POWER(80,POWER(COS(PI()*MOD(Calculator!$B$32/Calculator!$F$12,1)),2)))/$C59,$C59/(50*POWER(80,POWER(COS(PI()*MOD(Calculator!$B$32/Calculator!$F$12,1)),2)))),2))</f>
        <v>—</v>
      </c>
      <c r="AD59" s="78" t="str">
        <f aca="false">IF(OR(Calculator!$E$13&lt;&gt;"YES",Calculator!$B$32&lt;Calculator!$G$13),"—",ROUND(MAX((50*POWER(80,POWER(COS(PI()*MOD(Calculator!$B$32/Calculator!$F$13,1)),2)))/$C59,$C59/(50*POWER(80,POWER(COS(PI()*MOD(Calculator!$B$32/Calculator!$F$13,1)),2)))),2))</f>
        <v>—</v>
      </c>
      <c r="AE59" s="78" t="n">
        <f aca="false">IF(OR(Calculator!$E$14&lt;&gt;"YES",Calculator!$B$32&lt;Calculator!$G$14),"—",ROUND(MAX((50*POWER(80,POWER(COS(PI()*MOD(Calculator!$B$32/Calculator!$F$14,1)),2)))/$C59,$C59/(50*POWER(80,POWER(COS(PI()*MOD(Calculator!$B$32/Calculator!$F$14,1)),2)))),2))</f>
        <v>7.89</v>
      </c>
      <c r="AF59" s="78" t="n">
        <f aca="false">IF(OR(Calculator!$E$15&lt;&gt;"YES",Calculator!$B$32&lt;Calculator!$G$15),"—",ROUND(MAX((50*POWER(80,POWER(COS(PI()*MOD(Calculator!$B$32/Calculator!$F$15,1)),2)))/$C59,$C59/(50*POWER(80,POWER(COS(PI()*MOD(Calculator!$B$32/Calculator!$F$15,1)),2)))),2))</f>
        <v>5.1</v>
      </c>
      <c r="AG59" s="78" t="n">
        <f aca="false">IF(OR(Calculator!$E$16&lt;&gt;"YES",Calculator!$B$32&lt;Calculator!$G$16),"—",ROUND(MAX((50*POWER(80,POWER(COS(PI()*MOD(Calculator!$B$32/Calculator!$F$16,1)),2)))/$C59,$C59/(50*POWER(80,POWER(COS(PI()*MOD(Calculator!$B$32/Calculator!$F$16,1)),2)))),2))</f>
        <v>17.21</v>
      </c>
      <c r="AH59" s="78" t="n">
        <f aca="false">IF(OR(Calculator!$E$17&lt;&gt;"YES",Calculator!$B$32&lt;Calculator!$G$17),"—",ROUND(MAX((50*POWER(80,POWER(COS(PI()*MOD(Calculator!$B$32/Calculator!$F$17,1)),2)))/$C59,$C59/(50*POWER(80,POWER(COS(PI()*MOD(Calculator!$B$32/Calculator!$F$17,1)),2)))),2))</f>
        <v>1.71</v>
      </c>
      <c r="AI59" s="78" t="n">
        <f aca="false">IF(OR(Calculator!$E$18&lt;&gt;"YES",Calculator!$B$32&lt;Calculator!$G$18),"—",ROUND(MAX((50*POWER(80,POWER(COS(PI()*MOD(Calculator!$B$32/Calculator!$F$18,1)),2)))/$C59,$C59/(50*POWER(80,POWER(COS(PI()*MOD(Calculator!$B$32/Calculator!$F$18,1)),2)))),2))</f>
        <v>1.85</v>
      </c>
      <c r="AJ59" s="78" t="n">
        <f aca="false">IF(OR(Calculator!$E$19&lt;&gt;"YES",Calculator!$B$32&lt;Calculator!$G$19),"—",ROUND(MAX((50*POWER(80,POWER(COS(PI()*MOD(Calculator!$B$32/Calculator!$F$19,1)),2)))/$C59,$C59/(50*POWER(80,POWER(COS(PI()*MOD(Calculator!$B$32/Calculator!$F$19,1)),2)))),2))</f>
        <v>1.95</v>
      </c>
      <c r="AK59" s="78" t="n">
        <f aca="false">IF(OR(Calculator!$E$20&lt;&gt;"YES",Calculator!$B$32&lt;Calculator!$G$20),"—",ROUND(MAX((50*POWER(80,POWER(COS(PI()*MOD(Calculator!$B$32/Calculator!$F$20,1)),2)))/$C59,$C59/(50*POWER(80,POWER(COS(PI()*MOD(Calculator!$B$32/Calculator!$F$20,1)),2)))),2))</f>
        <v>13.54</v>
      </c>
      <c r="AL59" s="78" t="str">
        <f aca="false">IF(OR(Calculator!$E$21&lt;&gt;"YES",Calculator!$B$32&lt;Calculator!$G$21),"—",ROUND(MAX((50*POWER(80,POWER(COS(PI()*MOD(Calculator!$B$32/Calculator!$F$21,1)),2)))/$C59,$C59/(50*POWER(80,POWER(COS(PI()*MOD(Calculator!$B$32/Calculator!$F$21,1)),2)))),2))</f>
        <v>—</v>
      </c>
      <c r="AM59" s="101" t="n">
        <f aca="false">IFERROR(ROUND((IF(ISNUMBER(AB59),AB59,0)+IF(ISNUMBER(AC59),AC59,0)+IF(ISNUMBER(AD59),AD59,0)+IF(ISNUMBER(AE59),AE59,0)+IF(ISNUMBER(AF59),AF59,0)+IF(ISNUMBER(AG59),AG59,0)+IF(ISNUMBER(AH59),AH59,0)+IF(ISNUMBER(AI59),AI59,0)+IF(ISNUMBER(AJ59),AJ59,0)+IF(ISNUMBER(AK59),AK59,0)+IF(ISNUMBER(AL59),AL59,0))/(IF(ISNUMBER(AB59),1,0)+IF(ISNUMBER(AC59),1,0)+IF(ISNUMBER(AD59),1,0)+IF(ISNUMBER(AE59),1,0)+IF(ISNUMBER(AF59),1,0)+IF(ISNUMBER(AG59),1,0)+IF(ISNUMBER(AH59),1,0)+IF(ISNUMBER(AI59),1,0)+IF(ISNUMBER(AJ59),1,0)+IF(ISNUMBER(AK59),1,0)+IF(ISNUMBER(AL59),1,0)),2),"")</f>
        <v>7.04</v>
      </c>
      <c r="AN59" s="102" t="str">
        <f aca="false">IF(OR(Calculator!$E$11&lt;&gt;"YES",Calculator!$B$33&lt;Calculator!$G$11),"—",ROUND(MAX((50*POWER(80,POWER(COS(PI()*MOD(Calculator!$B$33/Calculator!$F$11,1)),2)))/$C59,$C59/(50*POWER(80,POWER(COS(PI()*MOD(Calculator!$B$33/Calculator!$F$11,1)),2)))),2))</f>
        <v>—</v>
      </c>
      <c r="AO59" s="102" t="str">
        <f aca="false">IF(OR(Calculator!$E$12&lt;&gt;"YES",Calculator!$B$33&lt;Calculator!$G$12),"—",ROUND(MAX((50*POWER(80,POWER(COS(PI()*MOD(Calculator!$B$33/Calculator!$F$12,1)),2)))/$C59,$C59/(50*POWER(80,POWER(COS(PI()*MOD(Calculator!$B$33/Calculator!$F$12,1)),2)))),2))</f>
        <v>—</v>
      </c>
      <c r="AP59" s="102" t="str">
        <f aca="false">IF(OR(Calculator!$E$13&lt;&gt;"YES",Calculator!$B$33&lt;Calculator!$G$13),"—",ROUND(MAX((50*POWER(80,POWER(COS(PI()*MOD(Calculator!$B$33/Calculator!$F$13,1)),2)))/$C59,$C59/(50*POWER(80,POWER(COS(PI()*MOD(Calculator!$B$33/Calculator!$F$13,1)),2)))),2))</f>
        <v>—</v>
      </c>
      <c r="AQ59" s="102" t="n">
        <f aca="false">IF(OR(Calculator!$E$14&lt;&gt;"YES",Calculator!$B$33&lt;Calculator!$G$14),"—",ROUND(MAX((50*POWER(80,POWER(COS(PI()*MOD(Calculator!$B$33/Calculator!$F$14,1)),2)))/$C59,$C59/(50*POWER(80,POWER(COS(PI()*MOD(Calculator!$B$33/Calculator!$F$14,1)),2)))),2))</f>
        <v>2.02</v>
      </c>
      <c r="AR59" s="102" t="n">
        <f aca="false">IF(OR(Calculator!$E$15&lt;&gt;"YES",Calculator!$B$33&lt;Calculator!$G$15),"—",ROUND(MAX((50*POWER(80,POWER(COS(PI()*MOD(Calculator!$B$33/Calculator!$F$15,1)),2)))/$C59,$C59/(50*POWER(80,POWER(COS(PI()*MOD(Calculator!$B$33/Calculator!$F$15,1)),2)))),2))</f>
        <v>4.6</v>
      </c>
      <c r="AS59" s="102" t="n">
        <f aca="false">IF(OR(Calculator!$E$16&lt;&gt;"YES",Calculator!$B$33&lt;Calculator!$G$16),"—",ROUND(MAX((50*POWER(80,POWER(COS(PI()*MOD(Calculator!$B$33/Calculator!$F$16,1)),2)))/$C59,$C59/(50*POWER(80,POWER(COS(PI()*MOD(Calculator!$B$33/Calculator!$F$16,1)),2)))),2))</f>
        <v>1.68</v>
      </c>
      <c r="AT59" s="102" t="n">
        <f aca="false">IF(OR(Calculator!$E$17&lt;&gt;"YES",Calculator!$B$33&lt;Calculator!$G$17),"—",ROUND(MAX((50*POWER(80,POWER(COS(PI()*MOD(Calculator!$B$33/Calculator!$F$17,1)),2)))/$C59,$C59/(50*POWER(80,POWER(COS(PI()*MOD(Calculator!$B$33/Calculator!$F$17,1)),2)))),2))</f>
        <v>5.34</v>
      </c>
      <c r="AU59" s="102" t="n">
        <f aca="false">IF(OR(Calculator!$E$18&lt;&gt;"YES",Calculator!$B$33&lt;Calculator!$G$18),"—",ROUND(MAX((50*POWER(80,POWER(COS(PI()*MOD(Calculator!$B$33/Calculator!$F$18,1)),2)))/$C59,$C59/(50*POWER(80,POWER(COS(PI()*MOD(Calculator!$B$33/Calculator!$F$18,1)),2)))),2))</f>
        <v>7.22</v>
      </c>
      <c r="AV59" s="102" t="n">
        <f aca="false">IF(OR(Calculator!$E$19&lt;&gt;"YES",Calculator!$B$33&lt;Calculator!$G$19),"—",ROUND(MAX((50*POWER(80,POWER(COS(PI()*MOD(Calculator!$B$33/Calculator!$F$19,1)),2)))/$C59,$C59/(50*POWER(80,POWER(COS(PI()*MOD(Calculator!$B$33/Calculator!$F$19,1)),2)))),2))</f>
        <v>1.14</v>
      </c>
      <c r="AW59" s="102" t="n">
        <f aca="false">IF(OR(Calculator!$E$20&lt;&gt;"YES",Calculator!$B$33&lt;Calculator!$G$20),"—",ROUND(MAX((50*POWER(80,POWER(COS(PI()*MOD(Calculator!$B$33/Calculator!$F$20,1)),2)))/$C59,$C59/(50*POWER(80,POWER(COS(PI()*MOD(Calculator!$B$33/Calculator!$F$20,1)),2)))),2))</f>
        <v>11.02</v>
      </c>
      <c r="AX59" s="102" t="str">
        <f aca="false">IF(OR(Calculator!$E$21&lt;&gt;"YES",Calculator!$B$33&lt;Calculator!$G$21),"—",ROUND(MAX((50*POWER(80,POWER(COS(PI()*MOD(Calculator!$B$33/Calculator!$F$21,1)),2)))/$C59,$C59/(50*POWER(80,POWER(COS(PI()*MOD(Calculator!$B$33/Calculator!$F$21,1)),2)))),2))</f>
        <v>—</v>
      </c>
      <c r="AY59" s="101" t="n">
        <f aca="false">IFERROR(ROUND((IF(ISNUMBER(AN59),AN59,0)+IF(ISNUMBER(AO59),AO59,0)+IF(ISNUMBER(AP59),AP59,0)+IF(ISNUMBER(AQ59),AQ59,0)+IF(ISNUMBER(AR59),AR59,0)+IF(ISNUMBER(AS59),AS59,0)+IF(ISNUMBER(AT59),AT59,0)+IF(ISNUMBER(AU59),AU59,0)+IF(ISNUMBER(AV59),AV59,0)+IF(ISNUMBER(AW59),AW59,0)+IF(ISNUMBER(AX59),AX59,0))/(IF(ISNUMBER(AN59),1,0)+IF(ISNUMBER(AO59),1,0)+IF(ISNUMBER(AP59),1,0)+IF(ISNUMBER(AQ59),1,0)+IF(ISNUMBER(AR59),1,0)+IF(ISNUMBER(AS59),1,0)+IF(ISNUMBER(AT59),1,0)+IF(ISNUMBER(AU59),1,0)+IF(ISNUMBER(AV59),1,0)+IF(ISNUMBER(AW59),1,0)+IF(ISNUMBER(AX59),1,0)),2),"")</f>
        <v>4.72</v>
      </c>
      <c r="AZ59" s="102" t="str">
        <f aca="false">IF(OR(Calculator!$E$11&lt;&gt;"YES",Calculator!$B$34&lt;Calculator!$G$11),"—",ROUND(MAX((50*POWER(80,POWER(COS(PI()*MOD(Calculator!$B$34/Calculator!$F$11,1)),2)))/$C59,$C59/(50*POWER(80,POWER(COS(PI()*MOD(Calculator!$B$34/Calculator!$F$11,1)),2)))),2))</f>
        <v>—</v>
      </c>
      <c r="BA59" s="102" t="str">
        <f aca="false">IF(OR(Calculator!$E$12&lt;&gt;"YES",Calculator!$B$34&lt;Calculator!$G$12),"—",ROUND(MAX((50*POWER(80,POWER(COS(PI()*MOD(Calculator!$B$34/Calculator!$F$12,1)),2)))/$C59,$C59/(50*POWER(80,POWER(COS(PI()*MOD(Calculator!$B$34/Calculator!$F$12,1)),2)))),2))</f>
        <v>—</v>
      </c>
      <c r="BB59" s="102" t="str">
        <f aca="false">IF(OR(Calculator!$E$13&lt;&gt;"YES",Calculator!$B$34&lt;Calculator!$G$13),"—",ROUND(MAX((50*POWER(80,POWER(COS(PI()*MOD(Calculator!$B$34/Calculator!$F$13,1)),2)))/$C59,$C59/(50*POWER(80,POWER(COS(PI()*MOD(Calculator!$B$34/Calculator!$F$13,1)),2)))),2))</f>
        <v>—</v>
      </c>
      <c r="BC59" s="102" t="n">
        <f aca="false">IF(OR(Calculator!$E$14&lt;&gt;"YES",Calculator!$B$34&lt;Calculator!$G$14),"—",ROUND(MAX((50*POWER(80,POWER(COS(PI()*MOD(Calculator!$B$34/Calculator!$F$14,1)),2)))/$C59,$C59/(50*POWER(80,POWER(COS(PI()*MOD(Calculator!$B$34/Calculator!$F$14,1)),2)))),2))</f>
        <v>2.05</v>
      </c>
      <c r="BD59" s="102" t="n">
        <f aca="false">IF(OR(Calculator!$E$15&lt;&gt;"YES",Calculator!$B$34&lt;Calculator!$G$15),"—",ROUND(MAX((50*POWER(80,POWER(COS(PI()*MOD(Calculator!$B$34/Calculator!$F$15,1)),2)))/$C59,$C59/(50*POWER(80,POWER(COS(PI()*MOD(Calculator!$B$34/Calculator!$F$15,1)),2)))),2))</f>
        <v>5.94</v>
      </c>
      <c r="BE59" s="102" t="n">
        <f aca="false">IF(OR(Calculator!$E$16&lt;&gt;"YES",Calculator!$B$34&lt;Calculator!$G$16),"—",ROUND(MAX((50*POWER(80,POWER(COS(PI()*MOD(Calculator!$B$34/Calculator!$F$16,1)),2)))/$C59,$C59/(50*POWER(80,POWER(COS(PI()*MOD(Calculator!$B$34/Calculator!$F$16,1)),2)))),2))</f>
        <v>2</v>
      </c>
      <c r="BF59" s="102" t="n">
        <f aca="false">IF(OR(Calculator!$E$17&lt;&gt;"YES",Calculator!$B$34&lt;Calculator!$G$17),"—",ROUND(MAX((50*POWER(80,POWER(COS(PI()*MOD(Calculator!$B$34/Calculator!$F$17,1)),2)))/$C59,$C59/(50*POWER(80,POWER(COS(PI()*MOD(Calculator!$B$34/Calculator!$F$17,1)),2)))),2))</f>
        <v>1.03</v>
      </c>
      <c r="BG59" s="102" t="n">
        <f aca="false">IF(OR(Calculator!$E$18&lt;&gt;"YES",Calculator!$B$34&lt;Calculator!$G$18),"—",ROUND(MAX((50*POWER(80,POWER(COS(PI()*MOD(Calculator!$B$34/Calculator!$F$18,1)),2)))/$C59,$C59/(50*POWER(80,POWER(COS(PI()*MOD(Calculator!$B$34/Calculator!$F$18,1)),2)))),2))</f>
        <v>9.77</v>
      </c>
      <c r="BH59" s="102" t="n">
        <f aca="false">IF(OR(Calculator!$E$19&lt;&gt;"YES",Calculator!$B$34&lt;Calculator!$G$19),"—",ROUND(MAX((50*POWER(80,POWER(COS(PI()*MOD(Calculator!$B$34/Calculator!$F$19,1)),2)))/$C59,$C59/(50*POWER(80,POWER(COS(PI()*MOD(Calculator!$B$34/Calculator!$F$19,1)),2)))),2))</f>
        <v>10.86</v>
      </c>
      <c r="BI59" s="102" t="n">
        <f aca="false">IF(OR(Calculator!$E$20&lt;&gt;"YES",Calculator!$B$34&lt;Calculator!$G$20),"—",ROUND(MAX((50*POWER(80,POWER(COS(PI()*MOD(Calculator!$B$34/Calculator!$F$20,1)),2)))/$C59,$C59/(50*POWER(80,POWER(COS(PI()*MOD(Calculator!$B$34/Calculator!$F$20,1)),2)))),2))</f>
        <v>6.48</v>
      </c>
      <c r="BJ59" s="102" t="str">
        <f aca="false">IF(OR(Calculator!$E$21&lt;&gt;"YES",Calculator!$B$34&lt;Calculator!$G$21),"—",ROUND(MAX((50*POWER(80,POWER(COS(PI()*MOD(Calculator!$B$34/Calculator!$F$21,1)),2)))/$C59,$C59/(50*POWER(80,POWER(COS(PI()*MOD(Calculator!$B$34/Calculator!$F$21,1)),2)))),2))</f>
        <v>—</v>
      </c>
      <c r="BK59" s="101" t="n">
        <f aca="false">IFERROR(ROUND((IF(ISNUMBER(AZ59),AZ59,0)+IF(ISNUMBER(BA59),BA59,0)+IF(ISNUMBER(BB59),BB59,0)+IF(ISNUMBER(BC59),BC59,0)+IF(ISNUMBER(BD59),BD59,0)+IF(ISNUMBER(BE59),BE59,0)+IF(ISNUMBER(BF59),BF59,0)+IF(ISNUMBER(BG59),BG59,0)+IF(ISNUMBER(BH59),BH59,0)+IF(ISNUMBER(BI59),BI59,0)+IF(ISNUMBER(BJ59),BJ59,0))/(IF(ISNUMBER(AZ59),1,0)+IF(ISNUMBER(BA59),1,0)+IF(ISNUMBER(BB59),1,0)+IF(ISNUMBER(BC59),1,0)+IF(ISNUMBER(BD59),1,0)+IF(ISNUMBER(BE59),1,0)+IF(ISNUMBER(BF59),1,0)+IF(ISNUMBER(BG59),1,0)+IF(ISNUMBER(BH59),1,0)+IF(ISNUMBER(BI59),1,0)+IF(ISNUMBER(BJ59),1,0)),2),"")</f>
        <v>5.45</v>
      </c>
    </row>
    <row r="60" customFormat="false" ht="15" hidden="false" customHeight="false" outlineLevel="0" collapsed="false">
      <c r="A60" s="103" t="s">
        <v>111</v>
      </c>
      <c r="B60" s="103" t="s">
        <v>86</v>
      </c>
      <c r="C60" s="104" t="n">
        <v>1400</v>
      </c>
      <c r="D60" s="105" t="str">
        <f aca="false">IF(OR(Calculator!$E$11&lt;&gt;"YES",Calculator!$B$30&lt;Calculator!$G$11),"—",ROUND(MAX((50*POWER(80,POWER(COS(PI()*MOD(Calculator!$B$30/Calculator!$F$11,1)),2)))/$C60,$C60/(50*POWER(80,POWER(COS(PI()*MOD(Calculator!$B$30/Calculator!$F$11,1)),2)))),2))</f>
        <v>—</v>
      </c>
      <c r="E60" s="105" t="str">
        <f aca="false">IF(OR(Calculator!$E$12&lt;&gt;"YES",Calculator!$B$30&lt;Calculator!$G$12),"—",ROUND(MAX((50*POWER(80,POWER(COS(PI()*MOD(Calculator!$B$30/Calculator!$F$12,1)),2)))/$C60,$C60/(50*POWER(80,POWER(COS(PI()*MOD(Calculator!$B$30/Calculator!$F$12,1)),2)))),2))</f>
        <v>—</v>
      </c>
      <c r="F60" s="105" t="str">
        <f aca="false">IF(OR(Calculator!$E$13&lt;&gt;"YES",Calculator!$B$30&lt;Calculator!$G$13),"—",ROUND(MAX((50*POWER(80,POWER(COS(PI()*MOD(Calculator!$B$30/Calculator!$F$13,1)),2)))/$C60,$C60/(50*POWER(80,POWER(COS(PI()*MOD(Calculator!$B$30/Calculator!$F$13,1)),2)))),2))</f>
        <v>—</v>
      </c>
      <c r="G60" s="105" t="n">
        <f aca="false">IF(OR(Calculator!$E$14&lt;&gt;"YES",Calculator!$B$30&lt;Calculator!$G$14),"—",ROUND(MAX((50*POWER(80,POWER(COS(PI()*MOD(Calculator!$B$30/Calculator!$F$14,1)),2)))/$C60,$C60/(50*POWER(80,POWER(COS(PI()*MOD(Calculator!$B$30/Calculator!$F$14,1)),2)))),2))</f>
        <v>12.65</v>
      </c>
      <c r="H60" s="105" t="n">
        <f aca="false">IF(OR(Calculator!$E$15&lt;&gt;"YES",Calculator!$B$30&lt;Calculator!$G$15),"—",ROUND(MAX((50*POWER(80,POWER(COS(PI()*MOD(Calculator!$B$30/Calculator!$F$15,1)),2)))/$C60,$C60/(50*POWER(80,POWER(COS(PI()*MOD(Calculator!$B$30/Calculator!$F$15,1)),2)))),2))</f>
        <v>3.67</v>
      </c>
      <c r="I60" s="105" t="n">
        <f aca="false">IF(OR(Calculator!$E$16&lt;&gt;"YES",Calculator!$B$30&lt;Calculator!$G$16),"—",ROUND(MAX((50*POWER(80,POWER(COS(PI()*MOD(Calculator!$B$30/Calculator!$F$16,1)),2)))/$C60,$C60/(50*POWER(80,POWER(COS(PI()*MOD(Calculator!$B$30/Calculator!$F$16,1)),2)))),2))</f>
        <v>2.51</v>
      </c>
      <c r="J60" s="105" t="n">
        <f aca="false">IF(OR(Calculator!$E$17&lt;&gt;"YES",Calculator!$B$30&lt;Calculator!$G$17),"—",ROUND(MAX((50*POWER(80,POWER(COS(PI()*MOD(Calculator!$B$30/Calculator!$F$17,1)),2)))/$C60,$C60/(50*POWER(80,POWER(COS(PI()*MOD(Calculator!$B$30/Calculator!$F$17,1)),2)))),2))</f>
        <v>7.04</v>
      </c>
      <c r="K60" s="105" t="n">
        <f aca="false">IF(OR(Calculator!$E$18&lt;&gt;"YES",Calculator!$B$30&lt;Calculator!$G$18),"—",ROUND(MAX((50*POWER(80,POWER(COS(PI()*MOD(Calculator!$B$30/Calculator!$F$18,1)),2)))/$C60,$C60/(50*POWER(80,POWER(COS(PI()*MOD(Calculator!$B$30/Calculator!$F$18,1)),2)))),2))</f>
        <v>1</v>
      </c>
      <c r="L60" s="105" t="n">
        <f aca="false">IF(OR(Calculator!$E$19&lt;&gt;"YES",Calculator!$B$30&lt;Calculator!$G$19),"—",ROUND(MAX((50*POWER(80,POWER(COS(PI()*MOD(Calculator!$B$30/Calculator!$F$19,1)),2)))/$C60,$C60/(50*POWER(80,POWER(COS(PI()*MOD(Calculator!$B$30/Calculator!$F$19,1)),2)))),2))</f>
        <v>1.78</v>
      </c>
      <c r="M60" s="105" t="n">
        <f aca="false">IF(OR(Calculator!$E$20&lt;&gt;"YES",Calculator!$B$30&lt;Calculator!$G$20),"—",ROUND(MAX((50*POWER(80,POWER(COS(PI()*MOD(Calculator!$B$30/Calculator!$F$20,1)),2)))/$C60,$C60/(50*POWER(80,POWER(COS(PI()*MOD(Calculator!$B$30/Calculator!$F$20,1)),2)))),2))</f>
        <v>11.06</v>
      </c>
      <c r="N60" s="105" t="str">
        <f aca="false">IF(OR(Calculator!$E$21&lt;&gt;"YES",Calculator!$B$30&lt;Calculator!$G$21),"—",ROUND(MAX((50*POWER(80,POWER(COS(PI()*MOD(Calculator!$B$30/Calculator!$F$21,1)),2)))/$C60,$C60/(50*POWER(80,POWER(COS(PI()*MOD(Calculator!$B$30/Calculator!$F$21,1)),2)))),2))</f>
        <v>—</v>
      </c>
      <c r="O60" s="100" t="n">
        <f aca="false">IFERROR(ROUND((IF(ISNUMBER(D60),D60,0)+IF(ISNUMBER(E60),E60,0)+IF(ISNUMBER(F60),F60,0)+IF(ISNUMBER(G60),G60,0)+IF(ISNUMBER(H60),H60,0)+IF(ISNUMBER(I60),I60,0)+IF(ISNUMBER(J60),J60,0)+IF(ISNUMBER(K60),K60,0)+IF(ISNUMBER(L60),L60,0)+IF(ISNUMBER(M60),M60,0)+IF(ISNUMBER(N60),N60,0))/(IF(ISNUMBER(D60),1,0)+IF(ISNUMBER(E60),1,0)+IF(ISNUMBER(F60),1,0)+IF(ISNUMBER(G60),1,0)+IF(ISNUMBER(H60),1,0)+IF(ISNUMBER(I60),1,0)+IF(ISNUMBER(J60),1,0)+IF(ISNUMBER(K60),1,0)+IF(ISNUMBER(L60),1,0)+IF(ISNUMBER(M60),1,0)+IF(ISNUMBER(N60),1,0)),2),"")</f>
        <v>5.67</v>
      </c>
      <c r="P60" s="105" t="str">
        <f aca="false">IF(OR(Calculator!$E$11&lt;&gt;"YES",Calculator!$B$31&lt;Calculator!$G$11),"—",ROUND(MAX((50*POWER(80,POWER(COS(PI()*MOD(Calculator!$B$31/Calculator!$F$11,1)),2)))/$C60,$C60/(50*POWER(80,POWER(COS(PI()*MOD(Calculator!$B$31/Calculator!$F$11,1)),2)))),2))</f>
        <v>—</v>
      </c>
      <c r="Q60" s="105" t="str">
        <f aca="false">IF(OR(Calculator!$E$12&lt;&gt;"YES",Calculator!$B$31&lt;Calculator!$G$12),"—",ROUND(MAX((50*POWER(80,POWER(COS(PI()*MOD(Calculator!$B$31/Calculator!$F$12,1)),2)))/$C60,$C60/(50*POWER(80,POWER(COS(PI()*MOD(Calculator!$B$31/Calculator!$F$12,1)),2)))),2))</f>
        <v>—</v>
      </c>
      <c r="R60" s="105" t="str">
        <f aca="false">IF(OR(Calculator!$E$13&lt;&gt;"YES",Calculator!$B$31&lt;Calculator!$G$13),"—",ROUND(MAX((50*POWER(80,POWER(COS(PI()*MOD(Calculator!$B$31/Calculator!$F$13,1)),2)))/$C60,$C60/(50*POWER(80,POWER(COS(PI()*MOD(Calculator!$B$31/Calculator!$F$13,1)),2)))),2))</f>
        <v>—</v>
      </c>
      <c r="S60" s="105" t="n">
        <f aca="false">IF(OR(Calculator!$E$14&lt;&gt;"YES",Calculator!$B$31&lt;Calculator!$G$14),"—",ROUND(MAX((50*POWER(80,POWER(COS(PI()*MOD(Calculator!$B$31/Calculator!$F$14,1)),2)))/$C60,$C60/(50*POWER(80,POWER(COS(PI()*MOD(Calculator!$B$31/Calculator!$F$14,1)),2)))),2))</f>
        <v>12.95</v>
      </c>
      <c r="T60" s="105" t="n">
        <f aca="false">IF(OR(Calculator!$E$15&lt;&gt;"YES",Calculator!$B$31&lt;Calculator!$G$15),"—",ROUND(MAX((50*POWER(80,POWER(COS(PI()*MOD(Calculator!$B$31/Calculator!$F$15,1)),2)))/$C60,$C60/(50*POWER(80,POWER(COS(PI()*MOD(Calculator!$B$31/Calculator!$F$15,1)),2)))),2))</f>
        <v>7.88</v>
      </c>
      <c r="U60" s="105" t="n">
        <f aca="false">IF(OR(Calculator!$E$16&lt;&gt;"YES",Calculator!$B$31&lt;Calculator!$G$16),"—",ROUND(MAX((50*POWER(80,POWER(COS(PI()*MOD(Calculator!$B$31/Calculator!$F$16,1)),2)))/$C60,$C60/(50*POWER(80,POWER(COS(PI()*MOD(Calculator!$B$31/Calculator!$F$16,1)),2)))),2))</f>
        <v>3</v>
      </c>
      <c r="V60" s="105" t="n">
        <f aca="false">IF(OR(Calculator!$E$17&lt;&gt;"YES",Calculator!$B$31&lt;Calculator!$G$17),"—",ROUND(MAX((50*POWER(80,POWER(COS(PI()*MOD(Calculator!$B$31/Calculator!$F$17,1)),2)))/$C60,$C60/(50*POWER(80,POWER(COS(PI()*MOD(Calculator!$B$31/Calculator!$F$17,1)),2)))),2))</f>
        <v>1.16</v>
      </c>
      <c r="W60" s="105" t="n">
        <f aca="false">IF(OR(Calculator!$E$18&lt;&gt;"YES",Calculator!$B$31&lt;Calculator!$G$18),"—",ROUND(MAX((50*POWER(80,POWER(COS(PI()*MOD(Calculator!$B$31/Calculator!$F$18,1)),2)))/$C60,$C60/(50*POWER(80,POWER(COS(PI()*MOD(Calculator!$B$31/Calculator!$F$18,1)),2)))),2))</f>
        <v>1.32</v>
      </c>
      <c r="X60" s="105" t="n">
        <f aca="false">IF(OR(Calculator!$E$19&lt;&gt;"YES",Calculator!$B$31&lt;Calculator!$G$19),"—",ROUND(MAX((50*POWER(80,POWER(COS(PI()*MOD(Calculator!$B$31/Calculator!$F$19,1)),2)))/$C60,$C60/(50*POWER(80,POWER(COS(PI()*MOD(Calculator!$B$31/Calculator!$F$19,1)),2)))),2))</f>
        <v>5.2</v>
      </c>
      <c r="Y60" s="105" t="n">
        <f aca="false">IF(OR(Calculator!$E$20&lt;&gt;"YES",Calculator!$B$31&lt;Calculator!$G$20),"—",ROUND(MAX((50*POWER(80,POWER(COS(PI()*MOD(Calculator!$B$31/Calculator!$F$20,1)),2)))/$C60,$C60/(50*POWER(80,POWER(COS(PI()*MOD(Calculator!$B$31/Calculator!$F$20,1)),2)))),2))</f>
        <v>17.18</v>
      </c>
      <c r="Z60" s="105" t="str">
        <f aca="false">IF(OR(Calculator!$E$21&lt;&gt;"YES",Calculator!$B$31&lt;Calculator!$G$21),"—",ROUND(MAX((50*POWER(80,POWER(COS(PI()*MOD(Calculator!$B$31/Calculator!$F$21,1)),2)))/$C60,$C60/(50*POWER(80,POWER(COS(PI()*MOD(Calculator!$B$31/Calculator!$F$21,1)),2)))),2))</f>
        <v>—</v>
      </c>
      <c r="AA60" s="100" t="n">
        <f aca="false">IFERROR(ROUND((IF(ISNUMBER(P60),P60,0)+IF(ISNUMBER(Q60),Q60,0)+IF(ISNUMBER(R60),R60,0)+IF(ISNUMBER(S60),S60,0)+IF(ISNUMBER(T60),T60,0)+IF(ISNUMBER(U60),U60,0)+IF(ISNUMBER(V60),V60,0)+IF(ISNUMBER(W60),W60,0)+IF(ISNUMBER(X60),X60,0)+IF(ISNUMBER(Y60),Y60,0)+IF(ISNUMBER(Z60),Z60,0))/(IF(ISNUMBER(P60),1,0)+IF(ISNUMBER(Q60),1,0)+IF(ISNUMBER(R60),1,0)+IF(ISNUMBER(S60),1,0)+IF(ISNUMBER(T60),1,0)+IF(ISNUMBER(U60),1,0)+IF(ISNUMBER(V60),1,0)+IF(ISNUMBER(W60),1,0)+IF(ISNUMBER(X60),1,0)+IF(ISNUMBER(Y60),1,0)+IF(ISNUMBER(Z60),1,0)),2),"")</f>
        <v>6.96</v>
      </c>
      <c r="AB60" s="105" t="str">
        <f aca="false">IF(OR(Calculator!$E$11&lt;&gt;"YES",Calculator!$B$32&lt;Calculator!$G$11),"—",ROUND(MAX((50*POWER(80,POWER(COS(PI()*MOD(Calculator!$B$32/Calculator!$F$11,1)),2)))/$C60,$C60/(50*POWER(80,POWER(COS(PI()*MOD(Calculator!$B$32/Calculator!$F$11,1)),2)))),2))</f>
        <v>—</v>
      </c>
      <c r="AC60" s="105" t="str">
        <f aca="false">IF(OR(Calculator!$E$12&lt;&gt;"YES",Calculator!$B$32&lt;Calculator!$G$12),"—",ROUND(MAX((50*POWER(80,POWER(COS(PI()*MOD(Calculator!$B$32/Calculator!$F$12,1)),2)))/$C60,$C60/(50*POWER(80,POWER(COS(PI()*MOD(Calculator!$B$32/Calculator!$F$12,1)),2)))),2))</f>
        <v>—</v>
      </c>
      <c r="AD60" s="105" t="str">
        <f aca="false">IF(OR(Calculator!$E$13&lt;&gt;"YES",Calculator!$B$32&lt;Calculator!$G$13),"—",ROUND(MAX((50*POWER(80,POWER(COS(PI()*MOD(Calculator!$B$32/Calculator!$F$13,1)),2)))/$C60,$C60/(50*POWER(80,POWER(COS(PI()*MOD(Calculator!$B$32/Calculator!$F$13,1)),2)))),2))</f>
        <v>—</v>
      </c>
      <c r="AE60" s="105" t="n">
        <f aca="false">IF(OR(Calculator!$E$14&lt;&gt;"YES",Calculator!$B$32&lt;Calculator!$G$14),"—",ROUND(MAX((50*POWER(80,POWER(COS(PI()*MOD(Calculator!$B$32/Calculator!$F$14,1)),2)))/$C60,$C60/(50*POWER(80,POWER(COS(PI()*MOD(Calculator!$B$32/Calculator!$F$14,1)),2)))),2))</f>
        <v>8.18</v>
      </c>
      <c r="AF60" s="105" t="n">
        <f aca="false">IF(OR(Calculator!$E$15&lt;&gt;"YES",Calculator!$B$32&lt;Calculator!$G$15),"—",ROUND(MAX((50*POWER(80,POWER(COS(PI()*MOD(Calculator!$B$32/Calculator!$F$15,1)),2)))/$C60,$C60/(50*POWER(80,POWER(COS(PI()*MOD(Calculator!$B$32/Calculator!$F$15,1)),2)))),2))</f>
        <v>5.29</v>
      </c>
      <c r="AG60" s="105" t="n">
        <f aca="false">IF(OR(Calculator!$E$16&lt;&gt;"YES",Calculator!$B$32&lt;Calculator!$G$16),"—",ROUND(MAX((50*POWER(80,POWER(COS(PI()*MOD(Calculator!$B$32/Calculator!$F$16,1)),2)))/$C60,$C60/(50*POWER(80,POWER(COS(PI()*MOD(Calculator!$B$32/Calculator!$F$16,1)),2)))),2))</f>
        <v>17.85</v>
      </c>
      <c r="AH60" s="105" t="n">
        <f aca="false">IF(OR(Calculator!$E$17&lt;&gt;"YES",Calculator!$B$32&lt;Calculator!$G$17),"—",ROUND(MAX((50*POWER(80,POWER(COS(PI()*MOD(Calculator!$B$32/Calculator!$F$17,1)),2)))/$C60,$C60/(50*POWER(80,POWER(COS(PI()*MOD(Calculator!$B$32/Calculator!$F$17,1)),2)))),2))</f>
        <v>1.64</v>
      </c>
      <c r="AI60" s="105" t="n">
        <f aca="false">IF(OR(Calculator!$E$18&lt;&gt;"YES",Calculator!$B$32&lt;Calculator!$G$18),"—",ROUND(MAX((50*POWER(80,POWER(COS(PI()*MOD(Calculator!$B$32/Calculator!$F$18,1)),2)))/$C60,$C60/(50*POWER(80,POWER(COS(PI()*MOD(Calculator!$B$32/Calculator!$F$18,1)),2)))),2))</f>
        <v>1.78</v>
      </c>
      <c r="AJ60" s="105" t="n">
        <f aca="false">IF(OR(Calculator!$E$19&lt;&gt;"YES",Calculator!$B$32&lt;Calculator!$G$19),"—",ROUND(MAX((50*POWER(80,POWER(COS(PI()*MOD(Calculator!$B$32/Calculator!$F$19,1)),2)))/$C60,$C60/(50*POWER(80,POWER(COS(PI()*MOD(Calculator!$B$32/Calculator!$F$19,1)),2)))),2))</f>
        <v>1.88</v>
      </c>
      <c r="AK60" s="105" t="n">
        <f aca="false">IF(OR(Calculator!$E$20&lt;&gt;"YES",Calculator!$B$32&lt;Calculator!$G$20),"—",ROUND(MAX((50*POWER(80,POWER(COS(PI()*MOD(Calculator!$B$32/Calculator!$F$20,1)),2)))/$C60,$C60/(50*POWER(80,POWER(COS(PI()*MOD(Calculator!$B$32/Calculator!$F$20,1)),2)))),2))</f>
        <v>14.04</v>
      </c>
      <c r="AL60" s="105" t="str">
        <f aca="false">IF(OR(Calculator!$E$21&lt;&gt;"YES",Calculator!$B$32&lt;Calculator!$G$21),"—",ROUND(MAX((50*POWER(80,POWER(COS(PI()*MOD(Calculator!$B$32/Calculator!$F$21,1)),2)))/$C60,$C60/(50*POWER(80,POWER(COS(PI()*MOD(Calculator!$B$32/Calculator!$F$21,1)),2)))),2))</f>
        <v>—</v>
      </c>
      <c r="AM60" s="101" t="n">
        <f aca="false">IFERROR(ROUND((IF(ISNUMBER(AB60),AB60,0)+IF(ISNUMBER(AC60),AC60,0)+IF(ISNUMBER(AD60),AD60,0)+IF(ISNUMBER(AE60),AE60,0)+IF(ISNUMBER(AF60),AF60,0)+IF(ISNUMBER(AG60),AG60,0)+IF(ISNUMBER(AH60),AH60,0)+IF(ISNUMBER(AI60),AI60,0)+IF(ISNUMBER(AJ60),AJ60,0)+IF(ISNUMBER(AK60),AK60,0)+IF(ISNUMBER(AL60),AL60,0))/(IF(ISNUMBER(AB60),1,0)+IF(ISNUMBER(AC60),1,0)+IF(ISNUMBER(AD60),1,0)+IF(ISNUMBER(AE60),1,0)+IF(ISNUMBER(AF60),1,0)+IF(ISNUMBER(AG60),1,0)+IF(ISNUMBER(AH60),1,0)+IF(ISNUMBER(AI60),1,0)+IF(ISNUMBER(AJ60),1,0)+IF(ISNUMBER(AK60),1,0)+IF(ISNUMBER(AL60),1,0)),2),"")</f>
        <v>7.24</v>
      </c>
      <c r="AN60" s="106" t="str">
        <f aca="false">IF(OR(Calculator!$E$11&lt;&gt;"YES",Calculator!$B$33&lt;Calculator!$G$11),"—",ROUND(MAX((50*POWER(80,POWER(COS(PI()*MOD(Calculator!$B$33/Calculator!$F$11,1)),2)))/$C60,$C60/(50*POWER(80,POWER(COS(PI()*MOD(Calculator!$B$33/Calculator!$F$11,1)),2)))),2))</f>
        <v>—</v>
      </c>
      <c r="AO60" s="106" t="str">
        <f aca="false">IF(OR(Calculator!$E$12&lt;&gt;"YES",Calculator!$B$33&lt;Calculator!$G$12),"—",ROUND(MAX((50*POWER(80,POWER(COS(PI()*MOD(Calculator!$B$33/Calculator!$F$12,1)),2)))/$C60,$C60/(50*POWER(80,POWER(COS(PI()*MOD(Calculator!$B$33/Calculator!$F$12,1)),2)))),2))</f>
        <v>—</v>
      </c>
      <c r="AP60" s="106" t="str">
        <f aca="false">IF(OR(Calculator!$E$13&lt;&gt;"YES",Calculator!$B$33&lt;Calculator!$G$13),"—",ROUND(MAX((50*POWER(80,POWER(COS(PI()*MOD(Calculator!$B$33/Calculator!$F$13,1)),2)))/$C60,$C60/(50*POWER(80,POWER(COS(PI()*MOD(Calculator!$B$33/Calculator!$F$13,1)),2)))),2))</f>
        <v>—</v>
      </c>
      <c r="AQ60" s="106" t="n">
        <f aca="false">IF(OR(Calculator!$E$14&lt;&gt;"YES",Calculator!$B$33&lt;Calculator!$G$14),"—",ROUND(MAX((50*POWER(80,POWER(COS(PI()*MOD(Calculator!$B$33/Calculator!$F$14,1)),2)))/$C60,$C60/(50*POWER(80,POWER(COS(PI()*MOD(Calculator!$B$33/Calculator!$F$14,1)),2)))),2))</f>
        <v>1.95</v>
      </c>
      <c r="AR60" s="106" t="n">
        <f aca="false">IF(OR(Calculator!$E$15&lt;&gt;"YES",Calculator!$B$33&lt;Calculator!$G$15),"—",ROUND(MAX((50*POWER(80,POWER(COS(PI()*MOD(Calculator!$B$33/Calculator!$F$15,1)),2)))/$C60,$C60/(50*POWER(80,POWER(COS(PI()*MOD(Calculator!$B$33/Calculator!$F$15,1)),2)))),2))</f>
        <v>4.77</v>
      </c>
      <c r="AS60" s="106" t="n">
        <f aca="false">IF(OR(Calculator!$E$16&lt;&gt;"YES",Calculator!$B$33&lt;Calculator!$G$16),"—",ROUND(MAX((50*POWER(80,POWER(COS(PI()*MOD(Calculator!$B$33/Calculator!$F$16,1)),2)))/$C60,$C60/(50*POWER(80,POWER(COS(PI()*MOD(Calculator!$B$33/Calculator!$F$16,1)),2)))),2))</f>
        <v>1.74</v>
      </c>
      <c r="AT60" s="106" t="n">
        <f aca="false">IF(OR(Calculator!$E$17&lt;&gt;"YES",Calculator!$B$33&lt;Calculator!$G$17),"—",ROUND(MAX((50*POWER(80,POWER(COS(PI()*MOD(Calculator!$B$33/Calculator!$F$17,1)),2)))/$C60,$C60/(50*POWER(80,POWER(COS(PI()*MOD(Calculator!$B$33/Calculator!$F$17,1)),2)))),2))</f>
        <v>5.53</v>
      </c>
      <c r="AU60" s="106" t="n">
        <f aca="false">IF(OR(Calculator!$E$18&lt;&gt;"YES",Calculator!$B$33&lt;Calculator!$G$18),"—",ROUND(MAX((50*POWER(80,POWER(COS(PI()*MOD(Calculator!$B$33/Calculator!$F$18,1)),2)))/$C60,$C60/(50*POWER(80,POWER(COS(PI()*MOD(Calculator!$B$33/Calculator!$F$18,1)),2)))),2))</f>
        <v>7.49</v>
      </c>
      <c r="AV60" s="106" t="n">
        <f aca="false">IF(OR(Calculator!$E$19&lt;&gt;"YES",Calculator!$B$33&lt;Calculator!$G$19),"—",ROUND(MAX((50*POWER(80,POWER(COS(PI()*MOD(Calculator!$B$33/Calculator!$F$19,1)),2)))/$C60,$C60/(50*POWER(80,POWER(COS(PI()*MOD(Calculator!$B$33/Calculator!$F$19,1)),2)))),2))</f>
        <v>1.1</v>
      </c>
      <c r="AW60" s="106" t="n">
        <f aca="false">IF(OR(Calculator!$E$20&lt;&gt;"YES",Calculator!$B$33&lt;Calculator!$G$20),"—",ROUND(MAX((50*POWER(80,POWER(COS(PI()*MOD(Calculator!$B$33/Calculator!$F$20,1)),2)))/$C60,$C60/(50*POWER(80,POWER(COS(PI()*MOD(Calculator!$B$33/Calculator!$F$20,1)),2)))),2))</f>
        <v>11.42</v>
      </c>
      <c r="AX60" s="106" t="str">
        <f aca="false">IF(OR(Calculator!$E$21&lt;&gt;"YES",Calculator!$B$33&lt;Calculator!$G$21),"—",ROUND(MAX((50*POWER(80,POWER(COS(PI()*MOD(Calculator!$B$33/Calculator!$F$21,1)),2)))/$C60,$C60/(50*POWER(80,POWER(COS(PI()*MOD(Calculator!$B$33/Calculator!$F$21,1)),2)))),2))</f>
        <v>—</v>
      </c>
      <c r="AY60" s="101" t="n">
        <f aca="false">IFERROR(ROUND((IF(ISNUMBER(AN60),AN60,0)+IF(ISNUMBER(AO60),AO60,0)+IF(ISNUMBER(AP60),AP60,0)+IF(ISNUMBER(AQ60),AQ60,0)+IF(ISNUMBER(AR60),AR60,0)+IF(ISNUMBER(AS60),AS60,0)+IF(ISNUMBER(AT60),AT60,0)+IF(ISNUMBER(AU60),AU60,0)+IF(ISNUMBER(AV60),AV60,0)+IF(ISNUMBER(AW60),AW60,0)+IF(ISNUMBER(AX60),AX60,0))/(IF(ISNUMBER(AN60),1,0)+IF(ISNUMBER(AO60),1,0)+IF(ISNUMBER(AP60),1,0)+IF(ISNUMBER(AQ60),1,0)+IF(ISNUMBER(AR60),1,0)+IF(ISNUMBER(AS60),1,0)+IF(ISNUMBER(AT60),1,0)+IF(ISNUMBER(AU60),1,0)+IF(ISNUMBER(AV60),1,0)+IF(ISNUMBER(AW60),1,0)+IF(ISNUMBER(AX60),1,0)),2),"")</f>
        <v>4.86</v>
      </c>
      <c r="AZ60" s="106" t="str">
        <f aca="false">IF(OR(Calculator!$E$11&lt;&gt;"YES",Calculator!$B$34&lt;Calculator!$G$11),"—",ROUND(MAX((50*POWER(80,POWER(COS(PI()*MOD(Calculator!$B$34/Calculator!$F$11,1)),2)))/$C60,$C60/(50*POWER(80,POWER(COS(PI()*MOD(Calculator!$B$34/Calculator!$F$11,1)),2)))),2))</f>
        <v>—</v>
      </c>
      <c r="BA60" s="106" t="str">
        <f aca="false">IF(OR(Calculator!$E$12&lt;&gt;"YES",Calculator!$B$34&lt;Calculator!$G$12),"—",ROUND(MAX((50*POWER(80,POWER(COS(PI()*MOD(Calculator!$B$34/Calculator!$F$12,1)),2)))/$C60,$C60/(50*POWER(80,POWER(COS(PI()*MOD(Calculator!$B$34/Calculator!$F$12,1)),2)))),2))</f>
        <v>—</v>
      </c>
      <c r="BB60" s="106" t="str">
        <f aca="false">IF(OR(Calculator!$E$13&lt;&gt;"YES",Calculator!$B$34&lt;Calculator!$G$13),"—",ROUND(MAX((50*POWER(80,POWER(COS(PI()*MOD(Calculator!$B$34/Calculator!$F$13,1)),2)))/$C60,$C60/(50*POWER(80,POWER(COS(PI()*MOD(Calculator!$B$34/Calculator!$F$13,1)),2)))),2))</f>
        <v>—</v>
      </c>
      <c r="BC60" s="106" t="n">
        <f aca="false">IF(OR(Calculator!$E$14&lt;&gt;"YES",Calculator!$B$34&lt;Calculator!$G$14),"—",ROUND(MAX((50*POWER(80,POWER(COS(PI()*MOD(Calculator!$B$34/Calculator!$F$14,1)),2)))/$C60,$C60/(50*POWER(80,POWER(COS(PI()*MOD(Calculator!$B$34/Calculator!$F$14,1)),2)))),2))</f>
        <v>1.98</v>
      </c>
      <c r="BD60" s="106" t="n">
        <f aca="false">IF(OR(Calculator!$E$15&lt;&gt;"YES",Calculator!$B$34&lt;Calculator!$G$15),"—",ROUND(MAX((50*POWER(80,POWER(COS(PI()*MOD(Calculator!$B$34/Calculator!$F$15,1)),2)))/$C60,$C60/(50*POWER(80,POWER(COS(PI()*MOD(Calculator!$B$34/Calculator!$F$15,1)),2)))),2))</f>
        <v>6.16</v>
      </c>
      <c r="BE60" s="106" t="n">
        <f aca="false">IF(OR(Calculator!$E$16&lt;&gt;"YES",Calculator!$B$34&lt;Calculator!$G$16),"—",ROUND(MAX((50*POWER(80,POWER(COS(PI()*MOD(Calculator!$B$34/Calculator!$F$16,1)),2)))/$C60,$C60/(50*POWER(80,POWER(COS(PI()*MOD(Calculator!$B$34/Calculator!$F$16,1)),2)))),2))</f>
        <v>2.08</v>
      </c>
      <c r="BF60" s="106" t="n">
        <f aca="false">IF(OR(Calculator!$E$17&lt;&gt;"YES",Calculator!$B$34&lt;Calculator!$G$17),"—",ROUND(MAX((50*POWER(80,POWER(COS(PI()*MOD(Calculator!$B$34/Calculator!$F$17,1)),2)))/$C60,$C60/(50*POWER(80,POWER(COS(PI()*MOD(Calculator!$B$34/Calculator!$F$17,1)),2)))),2))</f>
        <v>1.07</v>
      </c>
      <c r="BG60" s="106" t="n">
        <f aca="false">IF(OR(Calculator!$E$18&lt;&gt;"YES",Calculator!$B$34&lt;Calculator!$G$18),"—",ROUND(MAX((50*POWER(80,POWER(COS(PI()*MOD(Calculator!$B$34/Calculator!$F$18,1)),2)))/$C60,$C60/(50*POWER(80,POWER(COS(PI()*MOD(Calculator!$B$34/Calculator!$F$18,1)),2)))),2))</f>
        <v>10.13</v>
      </c>
      <c r="BH60" s="106" t="n">
        <f aca="false">IF(OR(Calculator!$E$19&lt;&gt;"YES",Calculator!$B$34&lt;Calculator!$G$19),"—",ROUND(MAX((50*POWER(80,POWER(COS(PI()*MOD(Calculator!$B$34/Calculator!$F$19,1)),2)))/$C60,$C60/(50*POWER(80,POWER(COS(PI()*MOD(Calculator!$B$34/Calculator!$F$19,1)),2)))),2))</f>
        <v>11.26</v>
      </c>
      <c r="BI60" s="106" t="n">
        <f aca="false">IF(OR(Calculator!$E$20&lt;&gt;"YES",Calculator!$B$34&lt;Calculator!$G$20),"—",ROUND(MAX((50*POWER(80,POWER(COS(PI()*MOD(Calculator!$B$34/Calculator!$F$20,1)),2)))/$C60,$C60/(50*POWER(80,POWER(COS(PI()*MOD(Calculator!$B$34/Calculator!$F$20,1)),2)))),2))</f>
        <v>6.72</v>
      </c>
      <c r="BJ60" s="106" t="str">
        <f aca="false">IF(OR(Calculator!$E$21&lt;&gt;"YES",Calculator!$B$34&lt;Calculator!$G$21),"—",ROUND(MAX((50*POWER(80,POWER(COS(PI()*MOD(Calculator!$B$34/Calculator!$F$21,1)),2)))/$C60,$C60/(50*POWER(80,POWER(COS(PI()*MOD(Calculator!$B$34/Calculator!$F$21,1)),2)))),2))</f>
        <v>—</v>
      </c>
      <c r="BK60" s="101" t="n">
        <f aca="false">IFERROR(ROUND((IF(ISNUMBER(AZ60),AZ60,0)+IF(ISNUMBER(BA60),BA60,0)+IF(ISNUMBER(BB60),BB60,0)+IF(ISNUMBER(BC60),BC60,0)+IF(ISNUMBER(BD60),BD60,0)+IF(ISNUMBER(BE60),BE60,0)+IF(ISNUMBER(BF60),BF60,0)+IF(ISNUMBER(BG60),BG60,0)+IF(ISNUMBER(BH60),BH60,0)+IF(ISNUMBER(BI60),BI60,0)+IF(ISNUMBER(BJ60),BJ60,0))/(IF(ISNUMBER(AZ60),1,0)+IF(ISNUMBER(BA60),1,0)+IF(ISNUMBER(BB60),1,0)+IF(ISNUMBER(BC60),1,0)+IF(ISNUMBER(BD60),1,0)+IF(ISNUMBER(BE60),1,0)+IF(ISNUMBER(BF60),1,0)+IF(ISNUMBER(BG60),1,0)+IF(ISNUMBER(BH60),1,0)+IF(ISNUMBER(BI60),1,0)+IF(ISNUMBER(BJ60),1,0)),2),"")</f>
        <v>5.63</v>
      </c>
    </row>
    <row r="61" customFormat="false" ht="15" hidden="false" customHeight="false" outlineLevel="0" collapsed="false">
      <c r="A61" s="74" t="s">
        <v>112</v>
      </c>
      <c r="B61" s="74" t="s">
        <v>86</v>
      </c>
      <c r="C61" s="77" t="n">
        <v>1450</v>
      </c>
      <c r="D61" s="78" t="str">
        <f aca="false">IF(OR(Calculator!$E$11&lt;&gt;"YES",Calculator!$B$30&lt;Calculator!$G$11),"—",ROUND(MAX((50*POWER(80,POWER(COS(PI()*MOD(Calculator!$B$30/Calculator!$F$11,1)),2)))/$C61,$C61/(50*POWER(80,POWER(COS(PI()*MOD(Calculator!$B$30/Calculator!$F$11,1)),2)))),2))</f>
        <v>—</v>
      </c>
      <c r="E61" s="78" t="str">
        <f aca="false">IF(OR(Calculator!$E$12&lt;&gt;"YES",Calculator!$B$30&lt;Calculator!$G$12),"—",ROUND(MAX((50*POWER(80,POWER(COS(PI()*MOD(Calculator!$B$30/Calculator!$F$12,1)),2)))/$C61,$C61/(50*POWER(80,POWER(COS(PI()*MOD(Calculator!$B$30/Calculator!$F$12,1)),2)))),2))</f>
        <v>—</v>
      </c>
      <c r="F61" s="78" t="str">
        <f aca="false">IF(OR(Calculator!$E$13&lt;&gt;"YES",Calculator!$B$30&lt;Calculator!$G$13),"—",ROUND(MAX((50*POWER(80,POWER(COS(PI()*MOD(Calculator!$B$30/Calculator!$F$13,1)),2)))/$C61,$C61/(50*POWER(80,POWER(COS(PI()*MOD(Calculator!$B$30/Calculator!$F$13,1)),2)))),2))</f>
        <v>—</v>
      </c>
      <c r="G61" s="78" t="n">
        <f aca="false">IF(OR(Calculator!$E$14&lt;&gt;"YES",Calculator!$B$30&lt;Calculator!$G$14),"—",ROUND(MAX((50*POWER(80,POWER(COS(PI()*MOD(Calculator!$B$30/Calculator!$F$14,1)),2)))/$C61,$C61/(50*POWER(80,POWER(COS(PI()*MOD(Calculator!$B$30/Calculator!$F$14,1)),2)))),2))</f>
        <v>13.1</v>
      </c>
      <c r="H61" s="78" t="n">
        <f aca="false">IF(OR(Calculator!$E$15&lt;&gt;"YES",Calculator!$B$30&lt;Calculator!$G$15),"—",ROUND(MAX((50*POWER(80,POWER(COS(PI()*MOD(Calculator!$B$30/Calculator!$F$15,1)),2)))/$C61,$C61/(50*POWER(80,POWER(COS(PI()*MOD(Calculator!$B$30/Calculator!$F$15,1)),2)))),2))</f>
        <v>3.8</v>
      </c>
      <c r="I61" s="78" t="n">
        <f aca="false">IF(OR(Calculator!$E$16&lt;&gt;"YES",Calculator!$B$30&lt;Calculator!$G$16),"—",ROUND(MAX((50*POWER(80,POWER(COS(PI()*MOD(Calculator!$B$30/Calculator!$F$16,1)),2)))/$C61,$C61/(50*POWER(80,POWER(COS(PI()*MOD(Calculator!$B$30/Calculator!$F$16,1)),2)))),2))</f>
        <v>2.6</v>
      </c>
      <c r="J61" s="78" t="n">
        <f aca="false">IF(OR(Calculator!$E$17&lt;&gt;"YES",Calculator!$B$30&lt;Calculator!$G$17),"—",ROUND(MAX((50*POWER(80,POWER(COS(PI()*MOD(Calculator!$B$30/Calculator!$F$17,1)),2)))/$C61,$C61/(50*POWER(80,POWER(COS(PI()*MOD(Calculator!$B$30/Calculator!$F$17,1)),2)))),2))</f>
        <v>7.29</v>
      </c>
      <c r="K61" s="78" t="n">
        <f aca="false">IF(OR(Calculator!$E$18&lt;&gt;"YES",Calculator!$B$30&lt;Calculator!$G$18),"—",ROUND(MAX((50*POWER(80,POWER(COS(PI()*MOD(Calculator!$B$30/Calculator!$F$18,1)),2)))/$C61,$C61/(50*POWER(80,POWER(COS(PI()*MOD(Calculator!$B$30/Calculator!$F$18,1)),2)))),2))</f>
        <v>1.04</v>
      </c>
      <c r="L61" s="78" t="n">
        <f aca="false">IF(OR(Calculator!$E$19&lt;&gt;"YES",Calculator!$B$30&lt;Calculator!$G$19),"—",ROUND(MAX((50*POWER(80,POWER(COS(PI()*MOD(Calculator!$B$30/Calculator!$F$19,1)),2)))/$C61,$C61/(50*POWER(80,POWER(COS(PI()*MOD(Calculator!$B$30/Calculator!$F$19,1)),2)))),2))</f>
        <v>1.85</v>
      </c>
      <c r="M61" s="78" t="n">
        <f aca="false">IF(OR(Calculator!$E$20&lt;&gt;"YES",Calculator!$B$30&lt;Calculator!$G$20),"—",ROUND(MAX((50*POWER(80,POWER(COS(PI()*MOD(Calculator!$B$30/Calculator!$F$20,1)),2)))/$C61,$C61/(50*POWER(80,POWER(COS(PI()*MOD(Calculator!$B$30/Calculator!$F$20,1)),2)))),2))</f>
        <v>11.45</v>
      </c>
      <c r="N61" s="78" t="str">
        <f aca="false">IF(OR(Calculator!$E$21&lt;&gt;"YES",Calculator!$B$30&lt;Calculator!$G$21),"—",ROUND(MAX((50*POWER(80,POWER(COS(PI()*MOD(Calculator!$B$30/Calculator!$F$21,1)),2)))/$C61,$C61/(50*POWER(80,POWER(COS(PI()*MOD(Calculator!$B$30/Calculator!$F$21,1)),2)))),2))</f>
        <v>—</v>
      </c>
      <c r="O61" s="100" t="n">
        <f aca="false">IFERROR(ROUND((IF(ISNUMBER(D61),D61,0)+IF(ISNUMBER(E61),E61,0)+IF(ISNUMBER(F61),F61,0)+IF(ISNUMBER(G61),G61,0)+IF(ISNUMBER(H61),H61,0)+IF(ISNUMBER(I61),I61,0)+IF(ISNUMBER(J61),J61,0)+IF(ISNUMBER(K61),K61,0)+IF(ISNUMBER(L61),L61,0)+IF(ISNUMBER(M61),M61,0)+IF(ISNUMBER(N61),N61,0))/(IF(ISNUMBER(D61),1,0)+IF(ISNUMBER(E61),1,0)+IF(ISNUMBER(F61),1,0)+IF(ISNUMBER(G61),1,0)+IF(ISNUMBER(H61),1,0)+IF(ISNUMBER(I61),1,0)+IF(ISNUMBER(J61),1,0)+IF(ISNUMBER(K61),1,0)+IF(ISNUMBER(L61),1,0)+IF(ISNUMBER(M61),1,0)+IF(ISNUMBER(N61),1,0)),2),"")</f>
        <v>5.88</v>
      </c>
      <c r="P61" s="78" t="str">
        <f aca="false">IF(OR(Calculator!$E$11&lt;&gt;"YES",Calculator!$B$31&lt;Calculator!$G$11),"—",ROUND(MAX((50*POWER(80,POWER(COS(PI()*MOD(Calculator!$B$31/Calculator!$F$11,1)),2)))/$C61,$C61/(50*POWER(80,POWER(COS(PI()*MOD(Calculator!$B$31/Calculator!$F$11,1)),2)))),2))</f>
        <v>—</v>
      </c>
      <c r="Q61" s="78" t="str">
        <f aca="false">IF(OR(Calculator!$E$12&lt;&gt;"YES",Calculator!$B$31&lt;Calculator!$G$12),"—",ROUND(MAX((50*POWER(80,POWER(COS(PI()*MOD(Calculator!$B$31/Calculator!$F$12,1)),2)))/$C61,$C61/(50*POWER(80,POWER(COS(PI()*MOD(Calculator!$B$31/Calculator!$F$12,1)),2)))),2))</f>
        <v>—</v>
      </c>
      <c r="R61" s="78" t="str">
        <f aca="false">IF(OR(Calculator!$E$13&lt;&gt;"YES",Calculator!$B$31&lt;Calculator!$G$13),"—",ROUND(MAX((50*POWER(80,POWER(COS(PI()*MOD(Calculator!$B$31/Calculator!$F$13,1)),2)))/$C61,$C61/(50*POWER(80,POWER(COS(PI()*MOD(Calculator!$B$31/Calculator!$F$13,1)),2)))),2))</f>
        <v>—</v>
      </c>
      <c r="S61" s="78" t="n">
        <f aca="false">IF(OR(Calculator!$E$14&lt;&gt;"YES",Calculator!$B$31&lt;Calculator!$G$14),"—",ROUND(MAX((50*POWER(80,POWER(COS(PI()*MOD(Calculator!$B$31/Calculator!$F$14,1)),2)))/$C61,$C61/(50*POWER(80,POWER(COS(PI()*MOD(Calculator!$B$31/Calculator!$F$14,1)),2)))),2))</f>
        <v>13.41</v>
      </c>
      <c r="T61" s="78" t="n">
        <f aca="false">IF(OR(Calculator!$E$15&lt;&gt;"YES",Calculator!$B$31&lt;Calculator!$G$15),"—",ROUND(MAX((50*POWER(80,POWER(COS(PI()*MOD(Calculator!$B$31/Calculator!$F$15,1)),2)))/$C61,$C61/(50*POWER(80,POWER(COS(PI()*MOD(Calculator!$B$31/Calculator!$F$15,1)),2)))),2))</f>
        <v>8.16</v>
      </c>
      <c r="U61" s="78" t="n">
        <f aca="false">IF(OR(Calculator!$E$16&lt;&gt;"YES",Calculator!$B$31&lt;Calculator!$G$16),"—",ROUND(MAX((50*POWER(80,POWER(COS(PI()*MOD(Calculator!$B$31/Calculator!$F$16,1)),2)))/$C61,$C61/(50*POWER(80,POWER(COS(PI()*MOD(Calculator!$B$31/Calculator!$F$16,1)),2)))),2))</f>
        <v>3.11</v>
      </c>
      <c r="V61" s="78" t="n">
        <f aca="false">IF(OR(Calculator!$E$17&lt;&gt;"YES",Calculator!$B$31&lt;Calculator!$G$17),"—",ROUND(MAX((50*POWER(80,POWER(COS(PI()*MOD(Calculator!$B$31/Calculator!$F$17,1)),2)))/$C61,$C61/(50*POWER(80,POWER(COS(PI()*MOD(Calculator!$B$31/Calculator!$F$17,1)),2)))),2))</f>
        <v>1.12</v>
      </c>
      <c r="W61" s="78" t="n">
        <f aca="false">IF(OR(Calculator!$E$18&lt;&gt;"YES",Calculator!$B$31&lt;Calculator!$G$18),"—",ROUND(MAX((50*POWER(80,POWER(COS(PI()*MOD(Calculator!$B$31/Calculator!$F$18,1)),2)))/$C61,$C61/(50*POWER(80,POWER(COS(PI()*MOD(Calculator!$B$31/Calculator!$F$18,1)),2)))),2))</f>
        <v>1.27</v>
      </c>
      <c r="X61" s="78" t="n">
        <f aca="false">IF(OR(Calculator!$E$19&lt;&gt;"YES",Calculator!$B$31&lt;Calculator!$G$19),"—",ROUND(MAX((50*POWER(80,POWER(COS(PI()*MOD(Calculator!$B$31/Calculator!$F$19,1)),2)))/$C61,$C61/(50*POWER(80,POWER(COS(PI()*MOD(Calculator!$B$31/Calculator!$F$19,1)),2)))),2))</f>
        <v>5.39</v>
      </c>
      <c r="Y61" s="78" t="n">
        <f aca="false">IF(OR(Calculator!$E$20&lt;&gt;"YES",Calculator!$B$31&lt;Calculator!$G$20),"—",ROUND(MAX((50*POWER(80,POWER(COS(PI()*MOD(Calculator!$B$31/Calculator!$F$20,1)),2)))/$C61,$C61/(50*POWER(80,POWER(COS(PI()*MOD(Calculator!$B$31/Calculator!$F$20,1)),2)))),2))</f>
        <v>17.79</v>
      </c>
      <c r="Z61" s="78" t="str">
        <f aca="false">IF(OR(Calculator!$E$21&lt;&gt;"YES",Calculator!$B$31&lt;Calculator!$G$21),"—",ROUND(MAX((50*POWER(80,POWER(COS(PI()*MOD(Calculator!$B$31/Calculator!$F$21,1)),2)))/$C61,$C61/(50*POWER(80,POWER(COS(PI()*MOD(Calculator!$B$31/Calculator!$F$21,1)),2)))),2))</f>
        <v>—</v>
      </c>
      <c r="AA61" s="100" t="n">
        <f aca="false">IFERROR(ROUND((IF(ISNUMBER(P61),P61,0)+IF(ISNUMBER(Q61),Q61,0)+IF(ISNUMBER(R61),R61,0)+IF(ISNUMBER(S61),S61,0)+IF(ISNUMBER(T61),T61,0)+IF(ISNUMBER(U61),U61,0)+IF(ISNUMBER(V61),V61,0)+IF(ISNUMBER(W61),W61,0)+IF(ISNUMBER(X61),X61,0)+IF(ISNUMBER(Y61),Y61,0)+IF(ISNUMBER(Z61),Z61,0))/(IF(ISNUMBER(P61),1,0)+IF(ISNUMBER(Q61),1,0)+IF(ISNUMBER(R61),1,0)+IF(ISNUMBER(S61),1,0)+IF(ISNUMBER(T61),1,0)+IF(ISNUMBER(U61),1,0)+IF(ISNUMBER(V61),1,0)+IF(ISNUMBER(W61),1,0)+IF(ISNUMBER(X61),1,0)+IF(ISNUMBER(Y61),1,0)+IF(ISNUMBER(Z61),1,0)),2),"")</f>
        <v>7.18</v>
      </c>
      <c r="AB61" s="78" t="str">
        <f aca="false">IF(OR(Calculator!$E$11&lt;&gt;"YES",Calculator!$B$32&lt;Calculator!$G$11),"—",ROUND(MAX((50*POWER(80,POWER(COS(PI()*MOD(Calculator!$B$32/Calculator!$F$11,1)),2)))/$C61,$C61/(50*POWER(80,POWER(COS(PI()*MOD(Calculator!$B$32/Calculator!$F$11,1)),2)))),2))</f>
        <v>—</v>
      </c>
      <c r="AC61" s="78" t="str">
        <f aca="false">IF(OR(Calculator!$E$12&lt;&gt;"YES",Calculator!$B$32&lt;Calculator!$G$12),"—",ROUND(MAX((50*POWER(80,POWER(COS(PI()*MOD(Calculator!$B$32/Calculator!$F$12,1)),2)))/$C61,$C61/(50*POWER(80,POWER(COS(PI()*MOD(Calculator!$B$32/Calculator!$F$12,1)),2)))),2))</f>
        <v>—</v>
      </c>
      <c r="AD61" s="78" t="str">
        <f aca="false">IF(OR(Calculator!$E$13&lt;&gt;"YES",Calculator!$B$32&lt;Calculator!$G$13),"—",ROUND(MAX((50*POWER(80,POWER(COS(PI()*MOD(Calculator!$B$32/Calculator!$F$13,1)),2)))/$C61,$C61/(50*POWER(80,POWER(COS(PI()*MOD(Calculator!$B$32/Calculator!$F$13,1)),2)))),2))</f>
        <v>—</v>
      </c>
      <c r="AE61" s="78" t="n">
        <f aca="false">IF(OR(Calculator!$E$14&lt;&gt;"YES",Calculator!$B$32&lt;Calculator!$G$14),"—",ROUND(MAX((50*POWER(80,POWER(COS(PI()*MOD(Calculator!$B$32/Calculator!$F$14,1)),2)))/$C61,$C61/(50*POWER(80,POWER(COS(PI()*MOD(Calculator!$B$32/Calculator!$F$14,1)),2)))),2))</f>
        <v>8.47</v>
      </c>
      <c r="AF61" s="78" t="n">
        <f aca="false">IF(OR(Calculator!$E$15&lt;&gt;"YES",Calculator!$B$32&lt;Calculator!$G$15),"—",ROUND(MAX((50*POWER(80,POWER(COS(PI()*MOD(Calculator!$B$32/Calculator!$F$15,1)),2)))/$C61,$C61/(50*POWER(80,POWER(COS(PI()*MOD(Calculator!$B$32/Calculator!$F$15,1)),2)))),2))</f>
        <v>5.48</v>
      </c>
      <c r="AG61" s="78" t="n">
        <f aca="false">IF(OR(Calculator!$E$16&lt;&gt;"YES",Calculator!$B$32&lt;Calculator!$G$16),"—",ROUND(MAX((50*POWER(80,POWER(COS(PI()*MOD(Calculator!$B$32/Calculator!$F$16,1)),2)))/$C61,$C61/(50*POWER(80,POWER(COS(PI()*MOD(Calculator!$B$32/Calculator!$F$16,1)),2)))),2))</f>
        <v>18.49</v>
      </c>
      <c r="AH61" s="78" t="n">
        <f aca="false">IF(OR(Calculator!$E$17&lt;&gt;"YES",Calculator!$B$32&lt;Calculator!$G$17),"—",ROUND(MAX((50*POWER(80,POWER(COS(PI()*MOD(Calculator!$B$32/Calculator!$F$17,1)),2)))/$C61,$C61/(50*POWER(80,POWER(COS(PI()*MOD(Calculator!$B$32/Calculator!$F$17,1)),2)))),2))</f>
        <v>1.59</v>
      </c>
      <c r="AI61" s="78" t="n">
        <f aca="false">IF(OR(Calculator!$E$18&lt;&gt;"YES",Calculator!$B$32&lt;Calculator!$G$18),"—",ROUND(MAX((50*POWER(80,POWER(COS(PI()*MOD(Calculator!$B$32/Calculator!$F$18,1)),2)))/$C61,$C61/(50*POWER(80,POWER(COS(PI()*MOD(Calculator!$B$32/Calculator!$F$18,1)),2)))),2))</f>
        <v>1.72</v>
      </c>
      <c r="AJ61" s="78" t="n">
        <f aca="false">IF(OR(Calculator!$E$19&lt;&gt;"YES",Calculator!$B$32&lt;Calculator!$G$19),"—",ROUND(MAX((50*POWER(80,POWER(COS(PI()*MOD(Calculator!$B$32/Calculator!$F$19,1)),2)))/$C61,$C61/(50*POWER(80,POWER(COS(PI()*MOD(Calculator!$B$32/Calculator!$F$19,1)),2)))),2))</f>
        <v>1.81</v>
      </c>
      <c r="AK61" s="78" t="n">
        <f aca="false">IF(OR(Calculator!$E$20&lt;&gt;"YES",Calculator!$B$32&lt;Calculator!$G$20),"—",ROUND(MAX((50*POWER(80,POWER(COS(PI()*MOD(Calculator!$B$32/Calculator!$F$20,1)),2)))/$C61,$C61/(50*POWER(80,POWER(COS(PI()*MOD(Calculator!$B$32/Calculator!$F$20,1)),2)))),2))</f>
        <v>14.54</v>
      </c>
      <c r="AL61" s="78" t="str">
        <f aca="false">IF(OR(Calculator!$E$21&lt;&gt;"YES",Calculator!$B$32&lt;Calculator!$G$21),"—",ROUND(MAX((50*POWER(80,POWER(COS(PI()*MOD(Calculator!$B$32/Calculator!$F$21,1)),2)))/$C61,$C61/(50*POWER(80,POWER(COS(PI()*MOD(Calculator!$B$32/Calculator!$F$21,1)),2)))),2))</f>
        <v>—</v>
      </c>
      <c r="AM61" s="101" t="n">
        <f aca="false">IFERROR(ROUND((IF(ISNUMBER(AB61),AB61,0)+IF(ISNUMBER(AC61),AC61,0)+IF(ISNUMBER(AD61),AD61,0)+IF(ISNUMBER(AE61),AE61,0)+IF(ISNUMBER(AF61),AF61,0)+IF(ISNUMBER(AG61),AG61,0)+IF(ISNUMBER(AH61),AH61,0)+IF(ISNUMBER(AI61),AI61,0)+IF(ISNUMBER(AJ61),AJ61,0)+IF(ISNUMBER(AK61),AK61,0)+IF(ISNUMBER(AL61),AL61,0))/(IF(ISNUMBER(AB61),1,0)+IF(ISNUMBER(AC61),1,0)+IF(ISNUMBER(AD61),1,0)+IF(ISNUMBER(AE61),1,0)+IF(ISNUMBER(AF61),1,0)+IF(ISNUMBER(AG61),1,0)+IF(ISNUMBER(AH61),1,0)+IF(ISNUMBER(AI61),1,0)+IF(ISNUMBER(AJ61),1,0)+IF(ISNUMBER(AK61),1,0)+IF(ISNUMBER(AL61),1,0)),2),"")</f>
        <v>7.44</v>
      </c>
      <c r="AN61" s="102" t="str">
        <f aca="false">IF(OR(Calculator!$E$11&lt;&gt;"YES",Calculator!$B$33&lt;Calculator!$G$11),"—",ROUND(MAX((50*POWER(80,POWER(COS(PI()*MOD(Calculator!$B$33/Calculator!$F$11,1)),2)))/$C61,$C61/(50*POWER(80,POWER(COS(PI()*MOD(Calculator!$B$33/Calculator!$F$11,1)),2)))),2))</f>
        <v>—</v>
      </c>
      <c r="AO61" s="102" t="str">
        <f aca="false">IF(OR(Calculator!$E$12&lt;&gt;"YES",Calculator!$B$33&lt;Calculator!$G$12),"—",ROUND(MAX((50*POWER(80,POWER(COS(PI()*MOD(Calculator!$B$33/Calculator!$F$12,1)),2)))/$C61,$C61/(50*POWER(80,POWER(COS(PI()*MOD(Calculator!$B$33/Calculator!$F$12,1)),2)))),2))</f>
        <v>—</v>
      </c>
      <c r="AP61" s="102" t="str">
        <f aca="false">IF(OR(Calculator!$E$13&lt;&gt;"YES",Calculator!$B$33&lt;Calculator!$G$13),"—",ROUND(MAX((50*POWER(80,POWER(COS(PI()*MOD(Calculator!$B$33/Calculator!$F$13,1)),2)))/$C61,$C61/(50*POWER(80,POWER(COS(PI()*MOD(Calculator!$B$33/Calculator!$F$13,1)),2)))),2))</f>
        <v>—</v>
      </c>
      <c r="AQ61" s="102" t="n">
        <f aca="false">IF(OR(Calculator!$E$14&lt;&gt;"YES",Calculator!$B$33&lt;Calculator!$G$14),"—",ROUND(MAX((50*POWER(80,POWER(COS(PI()*MOD(Calculator!$B$33/Calculator!$F$14,1)),2)))/$C61,$C61/(50*POWER(80,POWER(COS(PI()*MOD(Calculator!$B$33/Calculator!$F$14,1)),2)))),2))</f>
        <v>1.88</v>
      </c>
      <c r="AR61" s="102" t="n">
        <f aca="false">IF(OR(Calculator!$E$15&lt;&gt;"YES",Calculator!$B$33&lt;Calculator!$G$15),"—",ROUND(MAX((50*POWER(80,POWER(COS(PI()*MOD(Calculator!$B$33/Calculator!$F$15,1)),2)))/$C61,$C61/(50*POWER(80,POWER(COS(PI()*MOD(Calculator!$B$33/Calculator!$F$15,1)),2)))),2))</f>
        <v>4.94</v>
      </c>
      <c r="AS61" s="102" t="n">
        <f aca="false">IF(OR(Calculator!$E$16&lt;&gt;"YES",Calculator!$B$33&lt;Calculator!$G$16),"—",ROUND(MAX((50*POWER(80,POWER(COS(PI()*MOD(Calculator!$B$33/Calculator!$F$16,1)),2)))/$C61,$C61/(50*POWER(80,POWER(COS(PI()*MOD(Calculator!$B$33/Calculator!$F$16,1)),2)))),2))</f>
        <v>1.8</v>
      </c>
      <c r="AT61" s="102" t="n">
        <f aca="false">IF(OR(Calculator!$E$17&lt;&gt;"YES",Calculator!$B$33&lt;Calculator!$G$17),"—",ROUND(MAX((50*POWER(80,POWER(COS(PI()*MOD(Calculator!$B$33/Calculator!$F$17,1)),2)))/$C61,$C61/(50*POWER(80,POWER(COS(PI()*MOD(Calculator!$B$33/Calculator!$F$17,1)),2)))),2))</f>
        <v>5.73</v>
      </c>
      <c r="AU61" s="102" t="n">
        <f aca="false">IF(OR(Calculator!$E$18&lt;&gt;"YES",Calculator!$B$33&lt;Calculator!$G$18),"—",ROUND(MAX((50*POWER(80,POWER(COS(PI()*MOD(Calculator!$B$33/Calculator!$F$18,1)),2)))/$C61,$C61/(50*POWER(80,POWER(COS(PI()*MOD(Calculator!$B$33/Calculator!$F$18,1)),2)))),2))</f>
        <v>7.75</v>
      </c>
      <c r="AV61" s="102" t="n">
        <f aca="false">IF(OR(Calculator!$E$19&lt;&gt;"YES",Calculator!$B$33&lt;Calculator!$G$19),"—",ROUND(MAX((50*POWER(80,POWER(COS(PI()*MOD(Calculator!$B$33/Calculator!$F$19,1)),2)))/$C61,$C61/(50*POWER(80,POWER(COS(PI()*MOD(Calculator!$B$33/Calculator!$F$19,1)),2)))),2))</f>
        <v>1.06</v>
      </c>
      <c r="AW61" s="102" t="n">
        <f aca="false">IF(OR(Calculator!$E$20&lt;&gt;"YES",Calculator!$B$33&lt;Calculator!$G$20),"—",ROUND(MAX((50*POWER(80,POWER(COS(PI()*MOD(Calculator!$B$33/Calculator!$F$20,1)),2)))/$C61,$C61/(50*POWER(80,POWER(COS(PI()*MOD(Calculator!$B$33/Calculator!$F$20,1)),2)))),2))</f>
        <v>11.83</v>
      </c>
      <c r="AX61" s="102" t="str">
        <f aca="false">IF(OR(Calculator!$E$21&lt;&gt;"YES",Calculator!$B$33&lt;Calculator!$G$21),"—",ROUND(MAX((50*POWER(80,POWER(COS(PI()*MOD(Calculator!$B$33/Calculator!$F$21,1)),2)))/$C61,$C61/(50*POWER(80,POWER(COS(PI()*MOD(Calculator!$B$33/Calculator!$F$21,1)),2)))),2))</f>
        <v>—</v>
      </c>
      <c r="AY61" s="101" t="n">
        <f aca="false">IFERROR(ROUND((IF(ISNUMBER(AN61),AN61,0)+IF(ISNUMBER(AO61),AO61,0)+IF(ISNUMBER(AP61),AP61,0)+IF(ISNUMBER(AQ61),AQ61,0)+IF(ISNUMBER(AR61),AR61,0)+IF(ISNUMBER(AS61),AS61,0)+IF(ISNUMBER(AT61),AT61,0)+IF(ISNUMBER(AU61),AU61,0)+IF(ISNUMBER(AV61),AV61,0)+IF(ISNUMBER(AW61),AW61,0)+IF(ISNUMBER(AX61),AX61,0))/(IF(ISNUMBER(AN61),1,0)+IF(ISNUMBER(AO61),1,0)+IF(ISNUMBER(AP61),1,0)+IF(ISNUMBER(AQ61),1,0)+IF(ISNUMBER(AR61),1,0)+IF(ISNUMBER(AS61),1,0)+IF(ISNUMBER(AT61),1,0)+IF(ISNUMBER(AU61),1,0)+IF(ISNUMBER(AV61),1,0)+IF(ISNUMBER(AW61),1,0)+IF(ISNUMBER(AX61),1,0)),2),"")</f>
        <v>5</v>
      </c>
      <c r="AZ61" s="102" t="str">
        <f aca="false">IF(OR(Calculator!$E$11&lt;&gt;"YES",Calculator!$B$34&lt;Calculator!$G$11),"—",ROUND(MAX((50*POWER(80,POWER(COS(PI()*MOD(Calculator!$B$34/Calculator!$F$11,1)),2)))/$C61,$C61/(50*POWER(80,POWER(COS(PI()*MOD(Calculator!$B$34/Calculator!$F$11,1)),2)))),2))</f>
        <v>—</v>
      </c>
      <c r="BA61" s="102" t="str">
        <f aca="false">IF(OR(Calculator!$E$12&lt;&gt;"YES",Calculator!$B$34&lt;Calculator!$G$12),"—",ROUND(MAX((50*POWER(80,POWER(COS(PI()*MOD(Calculator!$B$34/Calculator!$F$12,1)),2)))/$C61,$C61/(50*POWER(80,POWER(COS(PI()*MOD(Calculator!$B$34/Calculator!$F$12,1)),2)))),2))</f>
        <v>—</v>
      </c>
      <c r="BB61" s="102" t="str">
        <f aca="false">IF(OR(Calculator!$E$13&lt;&gt;"YES",Calculator!$B$34&lt;Calculator!$G$13),"—",ROUND(MAX((50*POWER(80,POWER(COS(PI()*MOD(Calculator!$B$34/Calculator!$F$13,1)),2)))/$C61,$C61/(50*POWER(80,POWER(COS(PI()*MOD(Calculator!$B$34/Calculator!$F$13,1)),2)))),2))</f>
        <v>—</v>
      </c>
      <c r="BC61" s="102" t="n">
        <f aca="false">IF(OR(Calculator!$E$14&lt;&gt;"YES",Calculator!$B$34&lt;Calculator!$G$14),"—",ROUND(MAX((50*POWER(80,POWER(COS(PI()*MOD(Calculator!$B$34/Calculator!$F$14,1)),2)))/$C61,$C61/(50*POWER(80,POWER(COS(PI()*MOD(Calculator!$B$34/Calculator!$F$14,1)),2)))),2))</f>
        <v>1.91</v>
      </c>
      <c r="BD61" s="102" t="n">
        <f aca="false">IF(OR(Calculator!$E$15&lt;&gt;"YES",Calculator!$B$34&lt;Calculator!$G$15),"—",ROUND(MAX((50*POWER(80,POWER(COS(PI()*MOD(Calculator!$B$34/Calculator!$F$15,1)),2)))/$C61,$C61/(50*POWER(80,POWER(COS(PI()*MOD(Calculator!$B$34/Calculator!$F$15,1)),2)))),2))</f>
        <v>6.38</v>
      </c>
      <c r="BE61" s="102" t="n">
        <f aca="false">IF(OR(Calculator!$E$16&lt;&gt;"YES",Calculator!$B$34&lt;Calculator!$G$16),"—",ROUND(MAX((50*POWER(80,POWER(COS(PI()*MOD(Calculator!$B$34/Calculator!$F$16,1)),2)))/$C61,$C61/(50*POWER(80,POWER(COS(PI()*MOD(Calculator!$B$34/Calculator!$F$16,1)),2)))),2))</f>
        <v>2.15</v>
      </c>
      <c r="BF61" s="102" t="n">
        <f aca="false">IF(OR(Calculator!$E$17&lt;&gt;"YES",Calculator!$B$34&lt;Calculator!$G$17),"—",ROUND(MAX((50*POWER(80,POWER(COS(PI()*MOD(Calculator!$B$34/Calculator!$F$17,1)),2)))/$C61,$C61/(50*POWER(80,POWER(COS(PI()*MOD(Calculator!$B$34/Calculator!$F$17,1)),2)))),2))</f>
        <v>1.11</v>
      </c>
      <c r="BG61" s="102" t="n">
        <f aca="false">IF(OR(Calculator!$E$18&lt;&gt;"YES",Calculator!$B$34&lt;Calculator!$G$18),"—",ROUND(MAX((50*POWER(80,POWER(COS(PI()*MOD(Calculator!$B$34/Calculator!$F$18,1)),2)))/$C61,$C61/(50*POWER(80,POWER(COS(PI()*MOD(Calculator!$B$34/Calculator!$F$18,1)),2)))),2))</f>
        <v>10.49</v>
      </c>
      <c r="BH61" s="102" t="n">
        <f aca="false">IF(OR(Calculator!$E$19&lt;&gt;"YES",Calculator!$B$34&lt;Calculator!$G$19),"—",ROUND(MAX((50*POWER(80,POWER(COS(PI()*MOD(Calculator!$B$34/Calculator!$F$19,1)),2)))/$C61,$C61/(50*POWER(80,POWER(COS(PI()*MOD(Calculator!$B$34/Calculator!$F$19,1)),2)))),2))</f>
        <v>11.67</v>
      </c>
      <c r="BI61" s="102" t="n">
        <f aca="false">IF(OR(Calculator!$E$20&lt;&gt;"YES",Calculator!$B$34&lt;Calculator!$G$20),"—",ROUND(MAX((50*POWER(80,POWER(COS(PI()*MOD(Calculator!$B$34/Calculator!$F$20,1)),2)))/$C61,$C61/(50*POWER(80,POWER(COS(PI()*MOD(Calculator!$B$34/Calculator!$F$20,1)),2)))),2))</f>
        <v>6.96</v>
      </c>
      <c r="BJ61" s="102" t="str">
        <f aca="false">IF(OR(Calculator!$E$21&lt;&gt;"YES",Calculator!$B$34&lt;Calculator!$G$21),"—",ROUND(MAX((50*POWER(80,POWER(COS(PI()*MOD(Calculator!$B$34/Calculator!$F$21,1)),2)))/$C61,$C61/(50*POWER(80,POWER(COS(PI()*MOD(Calculator!$B$34/Calculator!$F$21,1)),2)))),2))</f>
        <v>—</v>
      </c>
      <c r="BK61" s="101" t="n">
        <f aca="false">IFERROR(ROUND((IF(ISNUMBER(AZ61),AZ61,0)+IF(ISNUMBER(BA61),BA61,0)+IF(ISNUMBER(BB61),BB61,0)+IF(ISNUMBER(BC61),BC61,0)+IF(ISNUMBER(BD61),BD61,0)+IF(ISNUMBER(BE61),BE61,0)+IF(ISNUMBER(BF61),BF61,0)+IF(ISNUMBER(BG61),BG61,0)+IF(ISNUMBER(BH61),BH61,0)+IF(ISNUMBER(BI61),BI61,0)+IF(ISNUMBER(BJ61),BJ61,0))/(IF(ISNUMBER(AZ61),1,0)+IF(ISNUMBER(BA61),1,0)+IF(ISNUMBER(BB61),1,0)+IF(ISNUMBER(BC61),1,0)+IF(ISNUMBER(BD61),1,0)+IF(ISNUMBER(BE61),1,0)+IF(ISNUMBER(BF61),1,0)+IF(ISNUMBER(BG61),1,0)+IF(ISNUMBER(BH61),1,0)+IF(ISNUMBER(BI61),1,0)+IF(ISNUMBER(BJ61),1,0)),2),"")</f>
        <v>5.81</v>
      </c>
    </row>
    <row r="62" customFormat="false" ht="15" hidden="false" customHeight="false" outlineLevel="0" collapsed="false">
      <c r="A62" s="103" t="s">
        <v>113</v>
      </c>
      <c r="B62" s="103" t="s">
        <v>86</v>
      </c>
      <c r="C62" s="104" t="n">
        <v>1500</v>
      </c>
      <c r="D62" s="105" t="str">
        <f aca="false">IF(OR(Calculator!$E$11&lt;&gt;"YES",Calculator!$B$30&lt;Calculator!$G$11),"—",ROUND(MAX((50*POWER(80,POWER(COS(PI()*MOD(Calculator!$B$30/Calculator!$F$11,1)),2)))/$C62,$C62/(50*POWER(80,POWER(COS(PI()*MOD(Calculator!$B$30/Calculator!$F$11,1)),2)))),2))</f>
        <v>—</v>
      </c>
      <c r="E62" s="105" t="str">
        <f aca="false">IF(OR(Calculator!$E$12&lt;&gt;"YES",Calculator!$B$30&lt;Calculator!$G$12),"—",ROUND(MAX((50*POWER(80,POWER(COS(PI()*MOD(Calculator!$B$30/Calculator!$F$12,1)),2)))/$C62,$C62/(50*POWER(80,POWER(COS(PI()*MOD(Calculator!$B$30/Calculator!$F$12,1)),2)))),2))</f>
        <v>—</v>
      </c>
      <c r="F62" s="105" t="str">
        <f aca="false">IF(OR(Calculator!$E$13&lt;&gt;"YES",Calculator!$B$30&lt;Calculator!$G$13),"—",ROUND(MAX((50*POWER(80,POWER(COS(PI()*MOD(Calculator!$B$30/Calculator!$F$13,1)),2)))/$C62,$C62/(50*POWER(80,POWER(COS(PI()*MOD(Calculator!$B$30/Calculator!$F$13,1)),2)))),2))</f>
        <v>—</v>
      </c>
      <c r="G62" s="105" t="n">
        <f aca="false">IF(OR(Calculator!$E$14&lt;&gt;"YES",Calculator!$B$30&lt;Calculator!$G$14),"—",ROUND(MAX((50*POWER(80,POWER(COS(PI()*MOD(Calculator!$B$30/Calculator!$F$14,1)),2)))/$C62,$C62/(50*POWER(80,POWER(COS(PI()*MOD(Calculator!$B$30/Calculator!$F$14,1)),2)))),2))</f>
        <v>13.56</v>
      </c>
      <c r="H62" s="105" t="n">
        <f aca="false">IF(OR(Calculator!$E$15&lt;&gt;"YES",Calculator!$B$30&lt;Calculator!$G$15),"—",ROUND(MAX((50*POWER(80,POWER(COS(PI()*MOD(Calculator!$B$30/Calculator!$F$15,1)),2)))/$C62,$C62/(50*POWER(80,POWER(COS(PI()*MOD(Calculator!$B$30/Calculator!$F$15,1)),2)))),2))</f>
        <v>3.93</v>
      </c>
      <c r="I62" s="105" t="n">
        <f aca="false">IF(OR(Calculator!$E$16&lt;&gt;"YES",Calculator!$B$30&lt;Calculator!$G$16),"—",ROUND(MAX((50*POWER(80,POWER(COS(PI()*MOD(Calculator!$B$30/Calculator!$F$16,1)),2)))/$C62,$C62/(50*POWER(80,POWER(COS(PI()*MOD(Calculator!$B$30/Calculator!$F$16,1)),2)))),2))</f>
        <v>2.69</v>
      </c>
      <c r="J62" s="105" t="n">
        <f aca="false">IF(OR(Calculator!$E$17&lt;&gt;"YES",Calculator!$B$30&lt;Calculator!$G$17),"—",ROUND(MAX((50*POWER(80,POWER(COS(PI()*MOD(Calculator!$B$30/Calculator!$F$17,1)),2)))/$C62,$C62/(50*POWER(80,POWER(COS(PI()*MOD(Calculator!$B$30/Calculator!$F$17,1)),2)))),2))</f>
        <v>7.54</v>
      </c>
      <c r="K62" s="105" t="n">
        <f aca="false">IF(OR(Calculator!$E$18&lt;&gt;"YES",Calculator!$B$30&lt;Calculator!$G$18),"—",ROUND(MAX((50*POWER(80,POWER(COS(PI()*MOD(Calculator!$B$30/Calculator!$F$18,1)),2)))/$C62,$C62/(50*POWER(80,POWER(COS(PI()*MOD(Calculator!$B$30/Calculator!$F$18,1)),2)))),2))</f>
        <v>1.07</v>
      </c>
      <c r="L62" s="105" t="n">
        <f aca="false">IF(OR(Calculator!$E$19&lt;&gt;"YES",Calculator!$B$30&lt;Calculator!$G$19),"—",ROUND(MAX((50*POWER(80,POWER(COS(PI()*MOD(Calculator!$B$30/Calculator!$F$19,1)),2)))/$C62,$C62/(50*POWER(80,POWER(COS(PI()*MOD(Calculator!$B$30/Calculator!$F$19,1)),2)))),2))</f>
        <v>1.91</v>
      </c>
      <c r="M62" s="105" t="n">
        <f aca="false">IF(OR(Calculator!$E$20&lt;&gt;"YES",Calculator!$B$30&lt;Calculator!$G$20),"—",ROUND(MAX((50*POWER(80,POWER(COS(PI()*MOD(Calculator!$B$30/Calculator!$F$20,1)),2)))/$C62,$C62/(50*POWER(80,POWER(COS(PI()*MOD(Calculator!$B$30/Calculator!$F$20,1)),2)))),2))</f>
        <v>11.85</v>
      </c>
      <c r="N62" s="105" t="str">
        <f aca="false">IF(OR(Calculator!$E$21&lt;&gt;"YES",Calculator!$B$30&lt;Calculator!$G$21),"—",ROUND(MAX((50*POWER(80,POWER(COS(PI()*MOD(Calculator!$B$30/Calculator!$F$21,1)),2)))/$C62,$C62/(50*POWER(80,POWER(COS(PI()*MOD(Calculator!$B$30/Calculator!$F$21,1)),2)))),2))</f>
        <v>—</v>
      </c>
      <c r="O62" s="100" t="n">
        <f aca="false">IFERROR(ROUND((IF(ISNUMBER(D62),D62,0)+IF(ISNUMBER(E62),E62,0)+IF(ISNUMBER(F62),F62,0)+IF(ISNUMBER(G62),G62,0)+IF(ISNUMBER(H62),H62,0)+IF(ISNUMBER(I62),I62,0)+IF(ISNUMBER(J62),J62,0)+IF(ISNUMBER(K62),K62,0)+IF(ISNUMBER(L62),L62,0)+IF(ISNUMBER(M62),M62,0)+IF(ISNUMBER(N62),N62,0))/(IF(ISNUMBER(D62),1,0)+IF(ISNUMBER(E62),1,0)+IF(ISNUMBER(F62),1,0)+IF(ISNUMBER(G62),1,0)+IF(ISNUMBER(H62),1,0)+IF(ISNUMBER(I62),1,0)+IF(ISNUMBER(J62),1,0)+IF(ISNUMBER(K62),1,0)+IF(ISNUMBER(L62),1,0)+IF(ISNUMBER(M62),1,0)+IF(ISNUMBER(N62),1,0)),2),"")</f>
        <v>6.08</v>
      </c>
      <c r="P62" s="105" t="str">
        <f aca="false">IF(OR(Calculator!$E$11&lt;&gt;"YES",Calculator!$B$31&lt;Calculator!$G$11),"—",ROUND(MAX((50*POWER(80,POWER(COS(PI()*MOD(Calculator!$B$31/Calculator!$F$11,1)),2)))/$C62,$C62/(50*POWER(80,POWER(COS(PI()*MOD(Calculator!$B$31/Calculator!$F$11,1)),2)))),2))</f>
        <v>—</v>
      </c>
      <c r="Q62" s="105" t="str">
        <f aca="false">IF(OR(Calculator!$E$12&lt;&gt;"YES",Calculator!$B$31&lt;Calculator!$G$12),"—",ROUND(MAX((50*POWER(80,POWER(COS(PI()*MOD(Calculator!$B$31/Calculator!$F$12,1)),2)))/$C62,$C62/(50*POWER(80,POWER(COS(PI()*MOD(Calculator!$B$31/Calculator!$F$12,1)),2)))),2))</f>
        <v>—</v>
      </c>
      <c r="R62" s="105" t="str">
        <f aca="false">IF(OR(Calculator!$E$13&lt;&gt;"YES",Calculator!$B$31&lt;Calculator!$G$13),"—",ROUND(MAX((50*POWER(80,POWER(COS(PI()*MOD(Calculator!$B$31/Calculator!$F$13,1)),2)))/$C62,$C62/(50*POWER(80,POWER(COS(PI()*MOD(Calculator!$B$31/Calculator!$F$13,1)),2)))),2))</f>
        <v>—</v>
      </c>
      <c r="S62" s="105" t="n">
        <f aca="false">IF(OR(Calculator!$E$14&lt;&gt;"YES",Calculator!$B$31&lt;Calculator!$G$14),"—",ROUND(MAX((50*POWER(80,POWER(COS(PI()*MOD(Calculator!$B$31/Calculator!$F$14,1)),2)))/$C62,$C62/(50*POWER(80,POWER(COS(PI()*MOD(Calculator!$B$31/Calculator!$F$14,1)),2)))),2))</f>
        <v>13.88</v>
      </c>
      <c r="T62" s="105" t="n">
        <f aca="false">IF(OR(Calculator!$E$15&lt;&gt;"YES",Calculator!$B$31&lt;Calculator!$G$15),"—",ROUND(MAX((50*POWER(80,POWER(COS(PI()*MOD(Calculator!$B$31/Calculator!$F$15,1)),2)))/$C62,$C62/(50*POWER(80,POWER(COS(PI()*MOD(Calculator!$B$31/Calculator!$F$15,1)),2)))),2))</f>
        <v>8.44</v>
      </c>
      <c r="U62" s="105" t="n">
        <f aca="false">IF(OR(Calculator!$E$16&lt;&gt;"YES",Calculator!$B$31&lt;Calculator!$G$16),"—",ROUND(MAX((50*POWER(80,POWER(COS(PI()*MOD(Calculator!$B$31/Calculator!$F$16,1)),2)))/$C62,$C62/(50*POWER(80,POWER(COS(PI()*MOD(Calculator!$B$31/Calculator!$F$16,1)),2)))),2))</f>
        <v>3.22</v>
      </c>
      <c r="V62" s="105" t="n">
        <f aca="false">IF(OR(Calculator!$E$17&lt;&gt;"YES",Calculator!$B$31&lt;Calculator!$G$17),"—",ROUND(MAX((50*POWER(80,POWER(COS(PI()*MOD(Calculator!$B$31/Calculator!$F$17,1)),2)))/$C62,$C62/(50*POWER(80,POWER(COS(PI()*MOD(Calculator!$B$31/Calculator!$F$17,1)),2)))),2))</f>
        <v>1.08</v>
      </c>
      <c r="W62" s="105" t="n">
        <f aca="false">IF(OR(Calculator!$E$18&lt;&gt;"YES",Calculator!$B$31&lt;Calculator!$G$18),"—",ROUND(MAX((50*POWER(80,POWER(COS(PI()*MOD(Calculator!$B$31/Calculator!$F$18,1)),2)))/$C62,$C62/(50*POWER(80,POWER(COS(PI()*MOD(Calculator!$B$31/Calculator!$F$18,1)),2)))),2))</f>
        <v>1.23</v>
      </c>
      <c r="X62" s="105" t="n">
        <f aca="false">IF(OR(Calculator!$E$19&lt;&gt;"YES",Calculator!$B$31&lt;Calculator!$G$19),"—",ROUND(MAX((50*POWER(80,POWER(COS(PI()*MOD(Calculator!$B$31/Calculator!$F$19,1)),2)))/$C62,$C62/(50*POWER(80,POWER(COS(PI()*MOD(Calculator!$B$31/Calculator!$F$19,1)),2)))),2))</f>
        <v>5.57</v>
      </c>
      <c r="Y62" s="105" t="n">
        <f aca="false">IF(OR(Calculator!$E$20&lt;&gt;"YES",Calculator!$B$31&lt;Calculator!$G$20),"—",ROUND(MAX((50*POWER(80,POWER(COS(PI()*MOD(Calculator!$B$31/Calculator!$F$20,1)),2)))/$C62,$C62/(50*POWER(80,POWER(COS(PI()*MOD(Calculator!$B$31/Calculator!$F$20,1)),2)))),2))</f>
        <v>18.4</v>
      </c>
      <c r="Z62" s="105" t="str">
        <f aca="false">IF(OR(Calculator!$E$21&lt;&gt;"YES",Calculator!$B$31&lt;Calculator!$G$21),"—",ROUND(MAX((50*POWER(80,POWER(COS(PI()*MOD(Calculator!$B$31/Calculator!$F$21,1)),2)))/$C62,$C62/(50*POWER(80,POWER(COS(PI()*MOD(Calculator!$B$31/Calculator!$F$21,1)),2)))),2))</f>
        <v>—</v>
      </c>
      <c r="AA62" s="100" t="n">
        <f aca="false">IFERROR(ROUND((IF(ISNUMBER(P62),P62,0)+IF(ISNUMBER(Q62),Q62,0)+IF(ISNUMBER(R62),R62,0)+IF(ISNUMBER(S62),S62,0)+IF(ISNUMBER(T62),T62,0)+IF(ISNUMBER(U62),U62,0)+IF(ISNUMBER(V62),V62,0)+IF(ISNUMBER(W62),W62,0)+IF(ISNUMBER(X62),X62,0)+IF(ISNUMBER(Y62),Y62,0)+IF(ISNUMBER(Z62),Z62,0))/(IF(ISNUMBER(P62),1,0)+IF(ISNUMBER(Q62),1,0)+IF(ISNUMBER(R62),1,0)+IF(ISNUMBER(S62),1,0)+IF(ISNUMBER(T62),1,0)+IF(ISNUMBER(U62),1,0)+IF(ISNUMBER(V62),1,0)+IF(ISNUMBER(W62),1,0)+IF(ISNUMBER(X62),1,0)+IF(ISNUMBER(Y62),1,0)+IF(ISNUMBER(Z62),1,0)),2),"")</f>
        <v>7.4</v>
      </c>
      <c r="AB62" s="105" t="str">
        <f aca="false">IF(OR(Calculator!$E$11&lt;&gt;"YES",Calculator!$B$32&lt;Calculator!$G$11),"—",ROUND(MAX((50*POWER(80,POWER(COS(PI()*MOD(Calculator!$B$32/Calculator!$F$11,1)),2)))/$C62,$C62/(50*POWER(80,POWER(COS(PI()*MOD(Calculator!$B$32/Calculator!$F$11,1)),2)))),2))</f>
        <v>—</v>
      </c>
      <c r="AC62" s="105" t="str">
        <f aca="false">IF(OR(Calculator!$E$12&lt;&gt;"YES",Calculator!$B$32&lt;Calculator!$G$12),"—",ROUND(MAX((50*POWER(80,POWER(COS(PI()*MOD(Calculator!$B$32/Calculator!$F$12,1)),2)))/$C62,$C62/(50*POWER(80,POWER(COS(PI()*MOD(Calculator!$B$32/Calculator!$F$12,1)),2)))),2))</f>
        <v>—</v>
      </c>
      <c r="AD62" s="105" t="str">
        <f aca="false">IF(OR(Calculator!$E$13&lt;&gt;"YES",Calculator!$B$32&lt;Calculator!$G$13),"—",ROUND(MAX((50*POWER(80,POWER(COS(PI()*MOD(Calculator!$B$32/Calculator!$F$13,1)),2)))/$C62,$C62/(50*POWER(80,POWER(COS(PI()*MOD(Calculator!$B$32/Calculator!$F$13,1)),2)))),2))</f>
        <v>—</v>
      </c>
      <c r="AE62" s="105" t="n">
        <f aca="false">IF(OR(Calculator!$E$14&lt;&gt;"YES",Calculator!$B$32&lt;Calculator!$G$14),"—",ROUND(MAX((50*POWER(80,POWER(COS(PI()*MOD(Calculator!$B$32/Calculator!$F$14,1)),2)))/$C62,$C62/(50*POWER(80,POWER(COS(PI()*MOD(Calculator!$B$32/Calculator!$F$14,1)),2)))),2))</f>
        <v>8.76</v>
      </c>
      <c r="AF62" s="105" t="n">
        <f aca="false">IF(OR(Calculator!$E$15&lt;&gt;"YES",Calculator!$B$32&lt;Calculator!$G$15),"—",ROUND(MAX((50*POWER(80,POWER(COS(PI()*MOD(Calculator!$B$32/Calculator!$F$15,1)),2)))/$C62,$C62/(50*POWER(80,POWER(COS(PI()*MOD(Calculator!$B$32/Calculator!$F$15,1)),2)))),2))</f>
        <v>5.67</v>
      </c>
      <c r="AG62" s="105" t="n">
        <f aca="false">IF(OR(Calculator!$E$16&lt;&gt;"YES",Calculator!$B$32&lt;Calculator!$G$16),"—",ROUND(MAX((50*POWER(80,POWER(COS(PI()*MOD(Calculator!$B$32/Calculator!$F$16,1)),2)))/$C62,$C62/(50*POWER(80,POWER(COS(PI()*MOD(Calculator!$B$32/Calculator!$F$16,1)),2)))),2))</f>
        <v>19.13</v>
      </c>
      <c r="AH62" s="105" t="n">
        <f aca="false">IF(OR(Calculator!$E$17&lt;&gt;"YES",Calculator!$B$32&lt;Calculator!$G$17),"—",ROUND(MAX((50*POWER(80,POWER(COS(PI()*MOD(Calculator!$B$32/Calculator!$F$17,1)),2)))/$C62,$C62/(50*POWER(80,POWER(COS(PI()*MOD(Calculator!$B$32/Calculator!$F$17,1)),2)))),2))</f>
        <v>1.54</v>
      </c>
      <c r="AI62" s="105" t="n">
        <f aca="false">IF(OR(Calculator!$E$18&lt;&gt;"YES",Calculator!$B$32&lt;Calculator!$G$18),"—",ROUND(MAX((50*POWER(80,POWER(COS(PI()*MOD(Calculator!$B$32/Calculator!$F$18,1)),2)))/$C62,$C62/(50*POWER(80,POWER(COS(PI()*MOD(Calculator!$B$32/Calculator!$F$18,1)),2)))),2))</f>
        <v>1.66</v>
      </c>
      <c r="AJ62" s="105" t="n">
        <f aca="false">IF(OR(Calculator!$E$19&lt;&gt;"YES",Calculator!$B$32&lt;Calculator!$G$19),"—",ROUND(MAX((50*POWER(80,POWER(COS(PI()*MOD(Calculator!$B$32/Calculator!$F$19,1)),2)))/$C62,$C62/(50*POWER(80,POWER(COS(PI()*MOD(Calculator!$B$32/Calculator!$F$19,1)),2)))),2))</f>
        <v>1.75</v>
      </c>
      <c r="AK62" s="105" t="n">
        <f aca="false">IF(OR(Calculator!$E$20&lt;&gt;"YES",Calculator!$B$32&lt;Calculator!$G$20),"—",ROUND(MAX((50*POWER(80,POWER(COS(PI()*MOD(Calculator!$B$32/Calculator!$F$20,1)),2)))/$C62,$C62/(50*POWER(80,POWER(COS(PI()*MOD(Calculator!$B$32/Calculator!$F$20,1)),2)))),2))</f>
        <v>15.04</v>
      </c>
      <c r="AL62" s="105" t="str">
        <f aca="false">IF(OR(Calculator!$E$21&lt;&gt;"YES",Calculator!$B$32&lt;Calculator!$G$21),"—",ROUND(MAX((50*POWER(80,POWER(COS(PI()*MOD(Calculator!$B$32/Calculator!$F$21,1)),2)))/$C62,$C62/(50*POWER(80,POWER(COS(PI()*MOD(Calculator!$B$32/Calculator!$F$21,1)),2)))),2))</f>
        <v>—</v>
      </c>
      <c r="AM62" s="101" t="n">
        <f aca="false">IFERROR(ROUND((IF(ISNUMBER(AB62),AB62,0)+IF(ISNUMBER(AC62),AC62,0)+IF(ISNUMBER(AD62),AD62,0)+IF(ISNUMBER(AE62),AE62,0)+IF(ISNUMBER(AF62),AF62,0)+IF(ISNUMBER(AG62),AG62,0)+IF(ISNUMBER(AH62),AH62,0)+IF(ISNUMBER(AI62),AI62,0)+IF(ISNUMBER(AJ62),AJ62,0)+IF(ISNUMBER(AK62),AK62,0)+IF(ISNUMBER(AL62),AL62,0))/(IF(ISNUMBER(AB62),1,0)+IF(ISNUMBER(AC62),1,0)+IF(ISNUMBER(AD62),1,0)+IF(ISNUMBER(AE62),1,0)+IF(ISNUMBER(AF62),1,0)+IF(ISNUMBER(AG62),1,0)+IF(ISNUMBER(AH62),1,0)+IF(ISNUMBER(AI62),1,0)+IF(ISNUMBER(AJ62),1,0)+IF(ISNUMBER(AK62),1,0)+IF(ISNUMBER(AL62),1,0)),2),"")</f>
        <v>7.65</v>
      </c>
      <c r="AN62" s="106" t="str">
        <f aca="false">IF(OR(Calculator!$E$11&lt;&gt;"YES",Calculator!$B$33&lt;Calculator!$G$11),"—",ROUND(MAX((50*POWER(80,POWER(COS(PI()*MOD(Calculator!$B$33/Calculator!$F$11,1)),2)))/$C62,$C62/(50*POWER(80,POWER(COS(PI()*MOD(Calculator!$B$33/Calculator!$F$11,1)),2)))),2))</f>
        <v>—</v>
      </c>
      <c r="AO62" s="106" t="str">
        <f aca="false">IF(OR(Calculator!$E$12&lt;&gt;"YES",Calculator!$B$33&lt;Calculator!$G$12),"—",ROUND(MAX((50*POWER(80,POWER(COS(PI()*MOD(Calculator!$B$33/Calculator!$F$12,1)),2)))/$C62,$C62/(50*POWER(80,POWER(COS(PI()*MOD(Calculator!$B$33/Calculator!$F$12,1)),2)))),2))</f>
        <v>—</v>
      </c>
      <c r="AP62" s="106" t="str">
        <f aca="false">IF(OR(Calculator!$E$13&lt;&gt;"YES",Calculator!$B$33&lt;Calculator!$G$13),"—",ROUND(MAX((50*POWER(80,POWER(COS(PI()*MOD(Calculator!$B$33/Calculator!$F$13,1)),2)))/$C62,$C62/(50*POWER(80,POWER(COS(PI()*MOD(Calculator!$B$33/Calculator!$F$13,1)),2)))),2))</f>
        <v>—</v>
      </c>
      <c r="AQ62" s="106" t="n">
        <f aca="false">IF(OR(Calculator!$E$14&lt;&gt;"YES",Calculator!$B$33&lt;Calculator!$G$14),"—",ROUND(MAX((50*POWER(80,POWER(COS(PI()*MOD(Calculator!$B$33/Calculator!$F$14,1)),2)))/$C62,$C62/(50*POWER(80,POWER(COS(PI()*MOD(Calculator!$B$33/Calculator!$F$14,1)),2)))),2))</f>
        <v>1.82</v>
      </c>
      <c r="AR62" s="106" t="n">
        <f aca="false">IF(OR(Calculator!$E$15&lt;&gt;"YES",Calculator!$B$33&lt;Calculator!$G$15),"—",ROUND(MAX((50*POWER(80,POWER(COS(PI()*MOD(Calculator!$B$33/Calculator!$F$15,1)),2)))/$C62,$C62/(50*POWER(80,POWER(COS(PI()*MOD(Calculator!$B$33/Calculator!$F$15,1)),2)))),2))</f>
        <v>5.11</v>
      </c>
      <c r="AS62" s="106" t="n">
        <f aca="false">IF(OR(Calculator!$E$16&lt;&gt;"YES",Calculator!$B$33&lt;Calculator!$G$16),"—",ROUND(MAX((50*POWER(80,POWER(COS(PI()*MOD(Calculator!$B$33/Calculator!$F$16,1)),2)))/$C62,$C62/(50*POWER(80,POWER(COS(PI()*MOD(Calculator!$B$33/Calculator!$F$16,1)),2)))),2))</f>
        <v>1.87</v>
      </c>
      <c r="AT62" s="106" t="n">
        <f aca="false">IF(OR(Calculator!$E$17&lt;&gt;"YES",Calculator!$B$33&lt;Calculator!$G$17),"—",ROUND(MAX((50*POWER(80,POWER(COS(PI()*MOD(Calculator!$B$33/Calculator!$F$17,1)),2)))/$C62,$C62/(50*POWER(80,POWER(COS(PI()*MOD(Calculator!$B$33/Calculator!$F$17,1)),2)))),2))</f>
        <v>5.93</v>
      </c>
      <c r="AU62" s="106" t="n">
        <f aca="false">IF(OR(Calculator!$E$18&lt;&gt;"YES",Calculator!$B$33&lt;Calculator!$G$18),"—",ROUND(MAX((50*POWER(80,POWER(COS(PI()*MOD(Calculator!$B$33/Calculator!$F$18,1)),2)))/$C62,$C62/(50*POWER(80,POWER(COS(PI()*MOD(Calculator!$B$33/Calculator!$F$18,1)),2)))),2))</f>
        <v>8.02</v>
      </c>
      <c r="AV62" s="106" t="n">
        <f aca="false">IF(OR(Calculator!$E$19&lt;&gt;"YES",Calculator!$B$33&lt;Calculator!$G$19),"—",ROUND(MAX((50*POWER(80,POWER(COS(PI()*MOD(Calculator!$B$33/Calculator!$F$19,1)),2)))/$C62,$C62/(50*POWER(80,POWER(COS(PI()*MOD(Calculator!$B$33/Calculator!$F$19,1)),2)))),2))</f>
        <v>1.02</v>
      </c>
      <c r="AW62" s="106" t="n">
        <f aca="false">IF(OR(Calculator!$E$20&lt;&gt;"YES",Calculator!$B$33&lt;Calculator!$G$20),"—",ROUND(MAX((50*POWER(80,POWER(COS(PI()*MOD(Calculator!$B$33/Calculator!$F$20,1)),2)))/$C62,$C62/(50*POWER(80,POWER(COS(PI()*MOD(Calculator!$B$33/Calculator!$F$20,1)),2)))),2))</f>
        <v>12.24</v>
      </c>
      <c r="AX62" s="106" t="str">
        <f aca="false">IF(OR(Calculator!$E$21&lt;&gt;"YES",Calculator!$B$33&lt;Calculator!$G$21),"—",ROUND(MAX((50*POWER(80,POWER(COS(PI()*MOD(Calculator!$B$33/Calculator!$F$21,1)),2)))/$C62,$C62/(50*POWER(80,POWER(COS(PI()*MOD(Calculator!$B$33/Calculator!$F$21,1)),2)))),2))</f>
        <v>—</v>
      </c>
      <c r="AY62" s="101" t="n">
        <f aca="false">IFERROR(ROUND((IF(ISNUMBER(AN62),AN62,0)+IF(ISNUMBER(AO62),AO62,0)+IF(ISNUMBER(AP62),AP62,0)+IF(ISNUMBER(AQ62),AQ62,0)+IF(ISNUMBER(AR62),AR62,0)+IF(ISNUMBER(AS62),AS62,0)+IF(ISNUMBER(AT62),AT62,0)+IF(ISNUMBER(AU62),AU62,0)+IF(ISNUMBER(AV62),AV62,0)+IF(ISNUMBER(AW62),AW62,0)+IF(ISNUMBER(AX62),AX62,0))/(IF(ISNUMBER(AN62),1,0)+IF(ISNUMBER(AO62),1,0)+IF(ISNUMBER(AP62),1,0)+IF(ISNUMBER(AQ62),1,0)+IF(ISNUMBER(AR62),1,0)+IF(ISNUMBER(AS62),1,0)+IF(ISNUMBER(AT62),1,0)+IF(ISNUMBER(AU62),1,0)+IF(ISNUMBER(AV62),1,0)+IF(ISNUMBER(AW62),1,0)+IF(ISNUMBER(AX62),1,0)),2),"")</f>
        <v>5.14</v>
      </c>
      <c r="AZ62" s="106" t="str">
        <f aca="false">IF(OR(Calculator!$E$11&lt;&gt;"YES",Calculator!$B$34&lt;Calculator!$G$11),"—",ROUND(MAX((50*POWER(80,POWER(COS(PI()*MOD(Calculator!$B$34/Calculator!$F$11,1)),2)))/$C62,$C62/(50*POWER(80,POWER(COS(PI()*MOD(Calculator!$B$34/Calculator!$F$11,1)),2)))),2))</f>
        <v>—</v>
      </c>
      <c r="BA62" s="106" t="str">
        <f aca="false">IF(OR(Calculator!$E$12&lt;&gt;"YES",Calculator!$B$34&lt;Calculator!$G$12),"—",ROUND(MAX((50*POWER(80,POWER(COS(PI()*MOD(Calculator!$B$34/Calculator!$F$12,1)),2)))/$C62,$C62/(50*POWER(80,POWER(COS(PI()*MOD(Calculator!$B$34/Calculator!$F$12,1)),2)))),2))</f>
        <v>—</v>
      </c>
      <c r="BB62" s="106" t="str">
        <f aca="false">IF(OR(Calculator!$E$13&lt;&gt;"YES",Calculator!$B$34&lt;Calculator!$G$13),"—",ROUND(MAX((50*POWER(80,POWER(COS(PI()*MOD(Calculator!$B$34/Calculator!$F$13,1)),2)))/$C62,$C62/(50*POWER(80,POWER(COS(PI()*MOD(Calculator!$B$34/Calculator!$F$13,1)),2)))),2))</f>
        <v>—</v>
      </c>
      <c r="BC62" s="106" t="n">
        <f aca="false">IF(OR(Calculator!$E$14&lt;&gt;"YES",Calculator!$B$34&lt;Calculator!$G$14),"—",ROUND(MAX((50*POWER(80,POWER(COS(PI()*MOD(Calculator!$B$34/Calculator!$F$14,1)),2)))/$C62,$C62/(50*POWER(80,POWER(COS(PI()*MOD(Calculator!$B$34/Calculator!$F$14,1)),2)))),2))</f>
        <v>1.85</v>
      </c>
      <c r="BD62" s="106" t="n">
        <f aca="false">IF(OR(Calculator!$E$15&lt;&gt;"YES",Calculator!$B$34&lt;Calculator!$G$15),"—",ROUND(MAX((50*POWER(80,POWER(COS(PI()*MOD(Calculator!$B$34/Calculator!$F$15,1)),2)))/$C62,$C62/(50*POWER(80,POWER(COS(PI()*MOD(Calculator!$B$34/Calculator!$F$15,1)),2)))),2))</f>
        <v>6.6</v>
      </c>
      <c r="BE62" s="106" t="n">
        <f aca="false">IF(OR(Calculator!$E$16&lt;&gt;"YES",Calculator!$B$34&lt;Calculator!$G$16),"—",ROUND(MAX((50*POWER(80,POWER(COS(PI()*MOD(Calculator!$B$34/Calculator!$F$16,1)),2)))/$C62,$C62/(50*POWER(80,POWER(COS(PI()*MOD(Calculator!$B$34/Calculator!$F$16,1)),2)))),2))</f>
        <v>2.22</v>
      </c>
      <c r="BF62" s="106" t="n">
        <f aca="false">IF(OR(Calculator!$E$17&lt;&gt;"YES",Calculator!$B$34&lt;Calculator!$G$17),"—",ROUND(MAX((50*POWER(80,POWER(COS(PI()*MOD(Calculator!$B$34/Calculator!$F$17,1)),2)))/$C62,$C62/(50*POWER(80,POWER(COS(PI()*MOD(Calculator!$B$34/Calculator!$F$17,1)),2)))),2))</f>
        <v>1.15</v>
      </c>
      <c r="BG62" s="106" t="n">
        <f aca="false">IF(OR(Calculator!$E$18&lt;&gt;"YES",Calculator!$B$34&lt;Calculator!$G$18),"—",ROUND(MAX((50*POWER(80,POWER(COS(PI()*MOD(Calculator!$B$34/Calculator!$F$18,1)),2)))/$C62,$C62/(50*POWER(80,POWER(COS(PI()*MOD(Calculator!$B$34/Calculator!$F$18,1)),2)))),2))</f>
        <v>10.85</v>
      </c>
      <c r="BH62" s="106" t="n">
        <f aca="false">IF(OR(Calculator!$E$19&lt;&gt;"YES",Calculator!$B$34&lt;Calculator!$G$19),"—",ROUND(MAX((50*POWER(80,POWER(COS(PI()*MOD(Calculator!$B$34/Calculator!$F$19,1)),2)))/$C62,$C62/(50*POWER(80,POWER(COS(PI()*MOD(Calculator!$B$34/Calculator!$F$19,1)),2)))),2))</f>
        <v>12.07</v>
      </c>
      <c r="BI62" s="106" t="n">
        <f aca="false">IF(OR(Calculator!$E$20&lt;&gt;"YES",Calculator!$B$34&lt;Calculator!$G$20),"—",ROUND(MAX((50*POWER(80,POWER(COS(PI()*MOD(Calculator!$B$34/Calculator!$F$20,1)),2)))/$C62,$C62/(50*POWER(80,POWER(COS(PI()*MOD(Calculator!$B$34/Calculator!$F$20,1)),2)))),2))</f>
        <v>7.2</v>
      </c>
      <c r="BJ62" s="106" t="str">
        <f aca="false">IF(OR(Calculator!$E$21&lt;&gt;"YES",Calculator!$B$34&lt;Calculator!$G$21),"—",ROUND(MAX((50*POWER(80,POWER(COS(PI()*MOD(Calculator!$B$34/Calculator!$F$21,1)),2)))/$C62,$C62/(50*POWER(80,POWER(COS(PI()*MOD(Calculator!$B$34/Calculator!$F$21,1)),2)))),2))</f>
        <v>—</v>
      </c>
      <c r="BK62" s="101" t="n">
        <f aca="false">IFERROR(ROUND((IF(ISNUMBER(AZ62),AZ62,0)+IF(ISNUMBER(BA62),BA62,0)+IF(ISNUMBER(BB62),BB62,0)+IF(ISNUMBER(BC62),BC62,0)+IF(ISNUMBER(BD62),BD62,0)+IF(ISNUMBER(BE62),BE62,0)+IF(ISNUMBER(BF62),BF62,0)+IF(ISNUMBER(BG62),BG62,0)+IF(ISNUMBER(BH62),BH62,0)+IF(ISNUMBER(BI62),BI62,0)+IF(ISNUMBER(BJ62),BJ62,0))/(IF(ISNUMBER(AZ62),1,0)+IF(ISNUMBER(BA62),1,0)+IF(ISNUMBER(BB62),1,0)+IF(ISNUMBER(BC62),1,0)+IF(ISNUMBER(BD62),1,0)+IF(ISNUMBER(BE62),1,0)+IF(ISNUMBER(BF62),1,0)+IF(ISNUMBER(BG62),1,0)+IF(ISNUMBER(BH62),1,0)+IF(ISNUMBER(BI62),1,0)+IF(ISNUMBER(BJ62),1,0)),2),"")</f>
        <v>5.99</v>
      </c>
    </row>
    <row r="63" customFormat="false" ht="15" hidden="false" customHeight="false" outlineLevel="0" collapsed="false">
      <c r="A63" s="74" t="s">
        <v>114</v>
      </c>
      <c r="B63" s="74" t="s">
        <v>86</v>
      </c>
      <c r="C63" s="77" t="n">
        <v>1550</v>
      </c>
      <c r="D63" s="78" t="str">
        <f aca="false">IF(OR(Calculator!$E$11&lt;&gt;"YES",Calculator!$B$30&lt;Calculator!$G$11),"—",ROUND(MAX((50*POWER(80,POWER(COS(PI()*MOD(Calculator!$B$30/Calculator!$F$11,1)),2)))/$C63,$C63/(50*POWER(80,POWER(COS(PI()*MOD(Calculator!$B$30/Calculator!$F$11,1)),2)))),2))</f>
        <v>—</v>
      </c>
      <c r="E63" s="78" t="str">
        <f aca="false">IF(OR(Calculator!$E$12&lt;&gt;"YES",Calculator!$B$30&lt;Calculator!$G$12),"—",ROUND(MAX((50*POWER(80,POWER(COS(PI()*MOD(Calculator!$B$30/Calculator!$F$12,1)),2)))/$C63,$C63/(50*POWER(80,POWER(COS(PI()*MOD(Calculator!$B$30/Calculator!$F$12,1)),2)))),2))</f>
        <v>—</v>
      </c>
      <c r="F63" s="78" t="str">
        <f aca="false">IF(OR(Calculator!$E$13&lt;&gt;"YES",Calculator!$B$30&lt;Calculator!$G$13),"—",ROUND(MAX((50*POWER(80,POWER(COS(PI()*MOD(Calculator!$B$30/Calculator!$F$13,1)),2)))/$C63,$C63/(50*POWER(80,POWER(COS(PI()*MOD(Calculator!$B$30/Calculator!$F$13,1)),2)))),2))</f>
        <v>—</v>
      </c>
      <c r="G63" s="78" t="n">
        <f aca="false">IF(OR(Calculator!$E$14&lt;&gt;"YES",Calculator!$B$30&lt;Calculator!$G$14),"—",ROUND(MAX((50*POWER(80,POWER(COS(PI()*MOD(Calculator!$B$30/Calculator!$F$14,1)),2)))/$C63,$C63/(50*POWER(80,POWER(COS(PI()*MOD(Calculator!$B$30/Calculator!$F$14,1)),2)))),2))</f>
        <v>14.01</v>
      </c>
      <c r="H63" s="78" t="n">
        <f aca="false">IF(OR(Calculator!$E$15&lt;&gt;"YES",Calculator!$B$30&lt;Calculator!$G$15),"—",ROUND(MAX((50*POWER(80,POWER(COS(PI()*MOD(Calculator!$B$30/Calculator!$F$15,1)),2)))/$C63,$C63/(50*POWER(80,POWER(COS(PI()*MOD(Calculator!$B$30/Calculator!$F$15,1)),2)))),2))</f>
        <v>4.06</v>
      </c>
      <c r="I63" s="78" t="n">
        <f aca="false">IF(OR(Calculator!$E$16&lt;&gt;"YES",Calculator!$B$30&lt;Calculator!$G$16),"—",ROUND(MAX((50*POWER(80,POWER(COS(PI()*MOD(Calculator!$B$30/Calculator!$F$16,1)),2)))/$C63,$C63/(50*POWER(80,POWER(COS(PI()*MOD(Calculator!$B$30/Calculator!$F$16,1)),2)))),2))</f>
        <v>2.78</v>
      </c>
      <c r="J63" s="78" t="n">
        <f aca="false">IF(OR(Calculator!$E$17&lt;&gt;"YES",Calculator!$B$30&lt;Calculator!$G$17),"—",ROUND(MAX((50*POWER(80,POWER(COS(PI()*MOD(Calculator!$B$30/Calculator!$F$17,1)),2)))/$C63,$C63/(50*POWER(80,POWER(COS(PI()*MOD(Calculator!$B$30/Calculator!$F$17,1)),2)))),2))</f>
        <v>7.79</v>
      </c>
      <c r="K63" s="78" t="n">
        <f aca="false">IF(OR(Calculator!$E$18&lt;&gt;"YES",Calculator!$B$30&lt;Calculator!$G$18),"—",ROUND(MAX((50*POWER(80,POWER(COS(PI()*MOD(Calculator!$B$30/Calculator!$F$18,1)),2)))/$C63,$C63/(50*POWER(80,POWER(COS(PI()*MOD(Calculator!$B$30/Calculator!$F$18,1)),2)))),2))</f>
        <v>1.11</v>
      </c>
      <c r="L63" s="78" t="n">
        <f aca="false">IF(OR(Calculator!$E$19&lt;&gt;"YES",Calculator!$B$30&lt;Calculator!$G$19),"—",ROUND(MAX((50*POWER(80,POWER(COS(PI()*MOD(Calculator!$B$30/Calculator!$F$19,1)),2)))/$C63,$C63/(50*POWER(80,POWER(COS(PI()*MOD(Calculator!$B$30/Calculator!$F$19,1)),2)))),2))</f>
        <v>1.97</v>
      </c>
      <c r="M63" s="78" t="n">
        <f aca="false">IF(OR(Calculator!$E$20&lt;&gt;"YES",Calculator!$B$30&lt;Calculator!$G$20),"—",ROUND(MAX((50*POWER(80,POWER(COS(PI()*MOD(Calculator!$B$30/Calculator!$F$20,1)),2)))/$C63,$C63/(50*POWER(80,POWER(COS(PI()*MOD(Calculator!$B$30/Calculator!$F$20,1)),2)))),2))</f>
        <v>12.24</v>
      </c>
      <c r="N63" s="78" t="str">
        <f aca="false">IF(OR(Calculator!$E$21&lt;&gt;"YES",Calculator!$B$30&lt;Calculator!$G$21),"—",ROUND(MAX((50*POWER(80,POWER(COS(PI()*MOD(Calculator!$B$30/Calculator!$F$21,1)),2)))/$C63,$C63/(50*POWER(80,POWER(COS(PI()*MOD(Calculator!$B$30/Calculator!$F$21,1)),2)))),2))</f>
        <v>—</v>
      </c>
      <c r="O63" s="100" t="n">
        <f aca="false">IFERROR(ROUND((IF(ISNUMBER(D63),D63,0)+IF(ISNUMBER(E63),E63,0)+IF(ISNUMBER(F63),F63,0)+IF(ISNUMBER(G63),G63,0)+IF(ISNUMBER(H63),H63,0)+IF(ISNUMBER(I63),I63,0)+IF(ISNUMBER(J63),J63,0)+IF(ISNUMBER(K63),K63,0)+IF(ISNUMBER(L63),L63,0)+IF(ISNUMBER(M63),M63,0)+IF(ISNUMBER(N63),N63,0))/(IF(ISNUMBER(D63),1,0)+IF(ISNUMBER(E63),1,0)+IF(ISNUMBER(F63),1,0)+IF(ISNUMBER(G63),1,0)+IF(ISNUMBER(H63),1,0)+IF(ISNUMBER(I63),1,0)+IF(ISNUMBER(J63),1,0)+IF(ISNUMBER(K63),1,0)+IF(ISNUMBER(L63),1,0)+IF(ISNUMBER(M63),1,0)+IF(ISNUMBER(N63),1,0)),2),"")</f>
        <v>6.28</v>
      </c>
      <c r="P63" s="78" t="str">
        <f aca="false">IF(OR(Calculator!$E$11&lt;&gt;"YES",Calculator!$B$31&lt;Calculator!$G$11),"—",ROUND(MAX((50*POWER(80,POWER(COS(PI()*MOD(Calculator!$B$31/Calculator!$F$11,1)),2)))/$C63,$C63/(50*POWER(80,POWER(COS(PI()*MOD(Calculator!$B$31/Calculator!$F$11,1)),2)))),2))</f>
        <v>—</v>
      </c>
      <c r="Q63" s="78" t="str">
        <f aca="false">IF(OR(Calculator!$E$12&lt;&gt;"YES",Calculator!$B$31&lt;Calculator!$G$12),"—",ROUND(MAX((50*POWER(80,POWER(COS(PI()*MOD(Calculator!$B$31/Calculator!$F$12,1)),2)))/$C63,$C63/(50*POWER(80,POWER(COS(PI()*MOD(Calculator!$B$31/Calculator!$F$12,1)),2)))),2))</f>
        <v>—</v>
      </c>
      <c r="R63" s="78" t="str">
        <f aca="false">IF(OR(Calculator!$E$13&lt;&gt;"YES",Calculator!$B$31&lt;Calculator!$G$13),"—",ROUND(MAX((50*POWER(80,POWER(COS(PI()*MOD(Calculator!$B$31/Calculator!$F$13,1)),2)))/$C63,$C63/(50*POWER(80,POWER(COS(PI()*MOD(Calculator!$B$31/Calculator!$F$13,1)),2)))),2))</f>
        <v>—</v>
      </c>
      <c r="S63" s="78" t="n">
        <f aca="false">IF(OR(Calculator!$E$14&lt;&gt;"YES",Calculator!$B$31&lt;Calculator!$G$14),"—",ROUND(MAX((50*POWER(80,POWER(COS(PI()*MOD(Calculator!$B$31/Calculator!$F$14,1)),2)))/$C63,$C63/(50*POWER(80,POWER(COS(PI()*MOD(Calculator!$B$31/Calculator!$F$14,1)),2)))),2))</f>
        <v>14.34</v>
      </c>
      <c r="T63" s="78" t="n">
        <f aca="false">IF(OR(Calculator!$E$15&lt;&gt;"YES",Calculator!$B$31&lt;Calculator!$G$15),"—",ROUND(MAX((50*POWER(80,POWER(COS(PI()*MOD(Calculator!$B$31/Calculator!$F$15,1)),2)))/$C63,$C63/(50*POWER(80,POWER(COS(PI()*MOD(Calculator!$B$31/Calculator!$F$15,1)),2)))),2))</f>
        <v>8.73</v>
      </c>
      <c r="U63" s="78" t="n">
        <f aca="false">IF(OR(Calculator!$E$16&lt;&gt;"YES",Calculator!$B$31&lt;Calculator!$G$16),"—",ROUND(MAX((50*POWER(80,POWER(COS(PI()*MOD(Calculator!$B$31/Calculator!$F$16,1)),2)))/$C63,$C63/(50*POWER(80,POWER(COS(PI()*MOD(Calculator!$B$31/Calculator!$F$16,1)),2)))),2))</f>
        <v>3.32</v>
      </c>
      <c r="V63" s="78" t="n">
        <f aca="false">IF(OR(Calculator!$E$17&lt;&gt;"YES",Calculator!$B$31&lt;Calculator!$G$17),"—",ROUND(MAX((50*POWER(80,POWER(COS(PI()*MOD(Calculator!$B$31/Calculator!$F$17,1)),2)))/$C63,$C63/(50*POWER(80,POWER(COS(PI()*MOD(Calculator!$B$31/Calculator!$F$17,1)),2)))),2))</f>
        <v>1.04</v>
      </c>
      <c r="W63" s="78" t="n">
        <f aca="false">IF(OR(Calculator!$E$18&lt;&gt;"YES",Calculator!$B$31&lt;Calculator!$G$18),"—",ROUND(MAX((50*POWER(80,POWER(COS(PI()*MOD(Calculator!$B$31/Calculator!$F$18,1)),2)))/$C63,$C63/(50*POWER(80,POWER(COS(PI()*MOD(Calculator!$B$31/Calculator!$F$18,1)),2)))),2))</f>
        <v>1.19</v>
      </c>
      <c r="X63" s="78" t="n">
        <f aca="false">IF(OR(Calculator!$E$19&lt;&gt;"YES",Calculator!$B$31&lt;Calculator!$G$19),"—",ROUND(MAX((50*POWER(80,POWER(COS(PI()*MOD(Calculator!$B$31/Calculator!$F$19,1)),2)))/$C63,$C63/(50*POWER(80,POWER(COS(PI()*MOD(Calculator!$B$31/Calculator!$F$19,1)),2)))),2))</f>
        <v>5.76</v>
      </c>
      <c r="Y63" s="78" t="n">
        <f aca="false">IF(OR(Calculator!$E$20&lt;&gt;"YES",Calculator!$B$31&lt;Calculator!$G$20),"—",ROUND(MAX((50*POWER(80,POWER(COS(PI()*MOD(Calculator!$B$31/Calculator!$F$20,1)),2)))/$C63,$C63/(50*POWER(80,POWER(COS(PI()*MOD(Calculator!$B$31/Calculator!$F$20,1)),2)))),2))</f>
        <v>19.02</v>
      </c>
      <c r="Z63" s="78" t="str">
        <f aca="false">IF(OR(Calculator!$E$21&lt;&gt;"YES",Calculator!$B$31&lt;Calculator!$G$21),"—",ROUND(MAX((50*POWER(80,POWER(COS(PI()*MOD(Calculator!$B$31/Calculator!$F$21,1)),2)))/$C63,$C63/(50*POWER(80,POWER(COS(PI()*MOD(Calculator!$B$31/Calculator!$F$21,1)),2)))),2))</f>
        <v>—</v>
      </c>
      <c r="AA63" s="100" t="n">
        <f aca="false">IFERROR(ROUND((IF(ISNUMBER(P63),P63,0)+IF(ISNUMBER(Q63),Q63,0)+IF(ISNUMBER(R63),R63,0)+IF(ISNUMBER(S63),S63,0)+IF(ISNUMBER(T63),T63,0)+IF(ISNUMBER(U63),U63,0)+IF(ISNUMBER(V63),V63,0)+IF(ISNUMBER(W63),W63,0)+IF(ISNUMBER(X63),X63,0)+IF(ISNUMBER(Y63),Y63,0)+IF(ISNUMBER(Z63),Z63,0))/(IF(ISNUMBER(P63),1,0)+IF(ISNUMBER(Q63),1,0)+IF(ISNUMBER(R63),1,0)+IF(ISNUMBER(S63),1,0)+IF(ISNUMBER(T63),1,0)+IF(ISNUMBER(U63),1,0)+IF(ISNUMBER(V63),1,0)+IF(ISNUMBER(W63),1,0)+IF(ISNUMBER(X63),1,0)+IF(ISNUMBER(Y63),1,0)+IF(ISNUMBER(Z63),1,0)),2),"")</f>
        <v>7.63</v>
      </c>
      <c r="AB63" s="78" t="str">
        <f aca="false">IF(OR(Calculator!$E$11&lt;&gt;"YES",Calculator!$B$32&lt;Calculator!$G$11),"—",ROUND(MAX((50*POWER(80,POWER(COS(PI()*MOD(Calculator!$B$32/Calculator!$F$11,1)),2)))/$C63,$C63/(50*POWER(80,POWER(COS(PI()*MOD(Calculator!$B$32/Calculator!$F$11,1)),2)))),2))</f>
        <v>—</v>
      </c>
      <c r="AC63" s="78" t="str">
        <f aca="false">IF(OR(Calculator!$E$12&lt;&gt;"YES",Calculator!$B$32&lt;Calculator!$G$12),"—",ROUND(MAX((50*POWER(80,POWER(COS(PI()*MOD(Calculator!$B$32/Calculator!$F$12,1)),2)))/$C63,$C63/(50*POWER(80,POWER(COS(PI()*MOD(Calculator!$B$32/Calculator!$F$12,1)),2)))),2))</f>
        <v>—</v>
      </c>
      <c r="AD63" s="78" t="str">
        <f aca="false">IF(OR(Calculator!$E$13&lt;&gt;"YES",Calculator!$B$32&lt;Calculator!$G$13),"—",ROUND(MAX((50*POWER(80,POWER(COS(PI()*MOD(Calculator!$B$32/Calculator!$F$13,1)),2)))/$C63,$C63/(50*POWER(80,POWER(COS(PI()*MOD(Calculator!$B$32/Calculator!$F$13,1)),2)))),2))</f>
        <v>—</v>
      </c>
      <c r="AE63" s="78" t="n">
        <f aca="false">IF(OR(Calculator!$E$14&lt;&gt;"YES",Calculator!$B$32&lt;Calculator!$G$14),"—",ROUND(MAX((50*POWER(80,POWER(COS(PI()*MOD(Calculator!$B$32/Calculator!$F$14,1)),2)))/$C63,$C63/(50*POWER(80,POWER(COS(PI()*MOD(Calculator!$B$32/Calculator!$F$14,1)),2)))),2))</f>
        <v>9.06</v>
      </c>
      <c r="AF63" s="78" t="n">
        <f aca="false">IF(OR(Calculator!$E$15&lt;&gt;"YES",Calculator!$B$32&lt;Calculator!$G$15),"—",ROUND(MAX((50*POWER(80,POWER(COS(PI()*MOD(Calculator!$B$32/Calculator!$F$15,1)),2)))/$C63,$C63/(50*POWER(80,POWER(COS(PI()*MOD(Calculator!$B$32/Calculator!$F$15,1)),2)))),2))</f>
        <v>5.86</v>
      </c>
      <c r="AG63" s="78" t="n">
        <f aca="false">IF(OR(Calculator!$E$16&lt;&gt;"YES",Calculator!$B$32&lt;Calculator!$G$16),"—",ROUND(MAX((50*POWER(80,POWER(COS(PI()*MOD(Calculator!$B$32/Calculator!$F$16,1)),2)))/$C63,$C63/(50*POWER(80,POWER(COS(PI()*MOD(Calculator!$B$32/Calculator!$F$16,1)),2)))),2))</f>
        <v>19.76</v>
      </c>
      <c r="AH63" s="78" t="n">
        <f aca="false">IF(OR(Calculator!$E$17&lt;&gt;"YES",Calculator!$B$32&lt;Calculator!$G$17),"—",ROUND(MAX((50*POWER(80,POWER(COS(PI()*MOD(Calculator!$B$32/Calculator!$F$17,1)),2)))/$C63,$C63/(50*POWER(80,POWER(COS(PI()*MOD(Calculator!$B$32/Calculator!$F$17,1)),2)))),2))</f>
        <v>1.49</v>
      </c>
      <c r="AI63" s="78" t="n">
        <f aca="false">IF(OR(Calculator!$E$18&lt;&gt;"YES",Calculator!$B$32&lt;Calculator!$G$18),"—",ROUND(MAX((50*POWER(80,POWER(COS(PI()*MOD(Calculator!$B$32/Calculator!$F$18,1)),2)))/$C63,$C63/(50*POWER(80,POWER(COS(PI()*MOD(Calculator!$B$32/Calculator!$F$18,1)),2)))),2))</f>
        <v>1.61</v>
      </c>
      <c r="AJ63" s="78" t="n">
        <f aca="false">IF(OR(Calculator!$E$19&lt;&gt;"YES",Calculator!$B$32&lt;Calculator!$G$19),"—",ROUND(MAX((50*POWER(80,POWER(COS(PI()*MOD(Calculator!$B$32/Calculator!$F$19,1)),2)))/$C63,$C63/(50*POWER(80,POWER(COS(PI()*MOD(Calculator!$B$32/Calculator!$F$19,1)),2)))),2))</f>
        <v>1.7</v>
      </c>
      <c r="AK63" s="78" t="n">
        <f aca="false">IF(OR(Calculator!$E$20&lt;&gt;"YES",Calculator!$B$32&lt;Calculator!$G$20),"—",ROUND(MAX((50*POWER(80,POWER(COS(PI()*MOD(Calculator!$B$32/Calculator!$F$20,1)),2)))/$C63,$C63/(50*POWER(80,POWER(COS(PI()*MOD(Calculator!$B$32/Calculator!$F$20,1)),2)))),2))</f>
        <v>15.54</v>
      </c>
      <c r="AL63" s="78" t="str">
        <f aca="false">IF(OR(Calculator!$E$21&lt;&gt;"YES",Calculator!$B$32&lt;Calculator!$G$21),"—",ROUND(MAX((50*POWER(80,POWER(COS(PI()*MOD(Calculator!$B$32/Calculator!$F$21,1)),2)))/$C63,$C63/(50*POWER(80,POWER(COS(PI()*MOD(Calculator!$B$32/Calculator!$F$21,1)),2)))),2))</f>
        <v>—</v>
      </c>
      <c r="AM63" s="101" t="n">
        <f aca="false">IFERROR(ROUND((IF(ISNUMBER(AB63),AB63,0)+IF(ISNUMBER(AC63),AC63,0)+IF(ISNUMBER(AD63),AD63,0)+IF(ISNUMBER(AE63),AE63,0)+IF(ISNUMBER(AF63),AF63,0)+IF(ISNUMBER(AG63),AG63,0)+IF(ISNUMBER(AH63),AH63,0)+IF(ISNUMBER(AI63),AI63,0)+IF(ISNUMBER(AJ63),AJ63,0)+IF(ISNUMBER(AK63),AK63,0)+IF(ISNUMBER(AL63),AL63,0))/(IF(ISNUMBER(AB63),1,0)+IF(ISNUMBER(AC63),1,0)+IF(ISNUMBER(AD63),1,0)+IF(ISNUMBER(AE63),1,0)+IF(ISNUMBER(AF63),1,0)+IF(ISNUMBER(AG63),1,0)+IF(ISNUMBER(AH63),1,0)+IF(ISNUMBER(AI63),1,0)+IF(ISNUMBER(AJ63),1,0)+IF(ISNUMBER(AK63),1,0)+IF(ISNUMBER(AL63),1,0)),2),"")</f>
        <v>7.86</v>
      </c>
      <c r="AN63" s="102" t="str">
        <f aca="false">IF(OR(Calculator!$E$11&lt;&gt;"YES",Calculator!$B$33&lt;Calculator!$G$11),"—",ROUND(MAX((50*POWER(80,POWER(COS(PI()*MOD(Calculator!$B$33/Calculator!$F$11,1)),2)))/$C63,$C63/(50*POWER(80,POWER(COS(PI()*MOD(Calculator!$B$33/Calculator!$F$11,1)),2)))),2))</f>
        <v>—</v>
      </c>
      <c r="AO63" s="102" t="str">
        <f aca="false">IF(OR(Calculator!$E$12&lt;&gt;"YES",Calculator!$B$33&lt;Calculator!$G$12),"—",ROUND(MAX((50*POWER(80,POWER(COS(PI()*MOD(Calculator!$B$33/Calculator!$F$12,1)),2)))/$C63,$C63/(50*POWER(80,POWER(COS(PI()*MOD(Calculator!$B$33/Calculator!$F$12,1)),2)))),2))</f>
        <v>—</v>
      </c>
      <c r="AP63" s="102" t="str">
        <f aca="false">IF(OR(Calculator!$E$13&lt;&gt;"YES",Calculator!$B$33&lt;Calculator!$G$13),"—",ROUND(MAX((50*POWER(80,POWER(COS(PI()*MOD(Calculator!$B$33/Calculator!$F$13,1)),2)))/$C63,$C63/(50*POWER(80,POWER(COS(PI()*MOD(Calculator!$B$33/Calculator!$F$13,1)),2)))),2))</f>
        <v>—</v>
      </c>
      <c r="AQ63" s="102" t="n">
        <f aca="false">IF(OR(Calculator!$E$14&lt;&gt;"YES",Calculator!$B$33&lt;Calculator!$G$14),"—",ROUND(MAX((50*POWER(80,POWER(COS(PI()*MOD(Calculator!$B$33/Calculator!$F$14,1)),2)))/$C63,$C63/(50*POWER(80,POWER(COS(PI()*MOD(Calculator!$B$33/Calculator!$F$14,1)),2)))),2))</f>
        <v>1.76</v>
      </c>
      <c r="AR63" s="102" t="n">
        <f aca="false">IF(OR(Calculator!$E$15&lt;&gt;"YES",Calculator!$B$33&lt;Calculator!$G$15),"—",ROUND(MAX((50*POWER(80,POWER(COS(PI()*MOD(Calculator!$B$33/Calculator!$F$15,1)),2)))/$C63,$C63/(50*POWER(80,POWER(COS(PI()*MOD(Calculator!$B$33/Calculator!$F$15,1)),2)))),2))</f>
        <v>5.28</v>
      </c>
      <c r="AS63" s="102" t="n">
        <f aca="false">IF(OR(Calculator!$E$16&lt;&gt;"YES",Calculator!$B$33&lt;Calculator!$G$16),"—",ROUND(MAX((50*POWER(80,POWER(COS(PI()*MOD(Calculator!$B$33/Calculator!$F$16,1)),2)))/$C63,$C63/(50*POWER(80,POWER(COS(PI()*MOD(Calculator!$B$33/Calculator!$F$16,1)),2)))),2))</f>
        <v>1.93</v>
      </c>
      <c r="AT63" s="102" t="n">
        <f aca="false">IF(OR(Calculator!$E$17&lt;&gt;"YES",Calculator!$B$33&lt;Calculator!$G$17),"—",ROUND(MAX((50*POWER(80,POWER(COS(PI()*MOD(Calculator!$B$33/Calculator!$F$17,1)),2)))/$C63,$C63/(50*POWER(80,POWER(COS(PI()*MOD(Calculator!$B$33/Calculator!$F$17,1)),2)))),2))</f>
        <v>6.13</v>
      </c>
      <c r="AU63" s="102" t="n">
        <f aca="false">IF(OR(Calculator!$E$18&lt;&gt;"YES",Calculator!$B$33&lt;Calculator!$G$18),"—",ROUND(MAX((50*POWER(80,POWER(COS(PI()*MOD(Calculator!$B$33/Calculator!$F$18,1)),2)))/$C63,$C63/(50*POWER(80,POWER(COS(PI()*MOD(Calculator!$B$33/Calculator!$F$18,1)),2)))),2))</f>
        <v>8.29</v>
      </c>
      <c r="AV63" s="102" t="n">
        <f aca="false">IF(OR(Calculator!$E$19&lt;&gt;"YES",Calculator!$B$33&lt;Calculator!$G$19),"—",ROUND(MAX((50*POWER(80,POWER(COS(PI()*MOD(Calculator!$B$33/Calculator!$F$19,1)),2)))/$C63,$C63/(50*POWER(80,POWER(COS(PI()*MOD(Calculator!$B$33/Calculator!$F$19,1)),2)))),2))</f>
        <v>1.01</v>
      </c>
      <c r="AW63" s="102" t="n">
        <f aca="false">IF(OR(Calculator!$E$20&lt;&gt;"YES",Calculator!$B$33&lt;Calculator!$G$20),"—",ROUND(MAX((50*POWER(80,POWER(COS(PI()*MOD(Calculator!$B$33/Calculator!$F$20,1)),2)))/$C63,$C63/(50*POWER(80,POWER(COS(PI()*MOD(Calculator!$B$33/Calculator!$F$20,1)),2)))),2))</f>
        <v>12.65</v>
      </c>
      <c r="AX63" s="102" t="str">
        <f aca="false">IF(OR(Calculator!$E$21&lt;&gt;"YES",Calculator!$B$33&lt;Calculator!$G$21),"—",ROUND(MAX((50*POWER(80,POWER(COS(PI()*MOD(Calculator!$B$33/Calculator!$F$21,1)),2)))/$C63,$C63/(50*POWER(80,POWER(COS(PI()*MOD(Calculator!$B$33/Calculator!$F$21,1)),2)))),2))</f>
        <v>—</v>
      </c>
      <c r="AY63" s="101" t="n">
        <f aca="false">IFERROR(ROUND((IF(ISNUMBER(AN63),AN63,0)+IF(ISNUMBER(AO63),AO63,0)+IF(ISNUMBER(AP63),AP63,0)+IF(ISNUMBER(AQ63),AQ63,0)+IF(ISNUMBER(AR63),AR63,0)+IF(ISNUMBER(AS63),AS63,0)+IF(ISNUMBER(AT63),AT63,0)+IF(ISNUMBER(AU63),AU63,0)+IF(ISNUMBER(AV63),AV63,0)+IF(ISNUMBER(AW63),AW63,0)+IF(ISNUMBER(AX63),AX63,0))/(IF(ISNUMBER(AN63),1,0)+IF(ISNUMBER(AO63),1,0)+IF(ISNUMBER(AP63),1,0)+IF(ISNUMBER(AQ63),1,0)+IF(ISNUMBER(AR63),1,0)+IF(ISNUMBER(AS63),1,0)+IF(ISNUMBER(AT63),1,0)+IF(ISNUMBER(AU63),1,0)+IF(ISNUMBER(AV63),1,0)+IF(ISNUMBER(AW63),1,0)+IF(ISNUMBER(AX63),1,0)),2),"")</f>
        <v>5.29</v>
      </c>
      <c r="AZ63" s="102" t="str">
        <f aca="false">IF(OR(Calculator!$E$11&lt;&gt;"YES",Calculator!$B$34&lt;Calculator!$G$11),"—",ROUND(MAX((50*POWER(80,POWER(COS(PI()*MOD(Calculator!$B$34/Calculator!$F$11,1)),2)))/$C63,$C63/(50*POWER(80,POWER(COS(PI()*MOD(Calculator!$B$34/Calculator!$F$11,1)),2)))),2))</f>
        <v>—</v>
      </c>
      <c r="BA63" s="102" t="str">
        <f aca="false">IF(OR(Calculator!$E$12&lt;&gt;"YES",Calculator!$B$34&lt;Calculator!$G$12),"—",ROUND(MAX((50*POWER(80,POWER(COS(PI()*MOD(Calculator!$B$34/Calculator!$F$12,1)),2)))/$C63,$C63/(50*POWER(80,POWER(COS(PI()*MOD(Calculator!$B$34/Calculator!$F$12,1)),2)))),2))</f>
        <v>—</v>
      </c>
      <c r="BB63" s="102" t="str">
        <f aca="false">IF(OR(Calculator!$E$13&lt;&gt;"YES",Calculator!$B$34&lt;Calculator!$G$13),"—",ROUND(MAX((50*POWER(80,POWER(COS(PI()*MOD(Calculator!$B$34/Calculator!$F$13,1)),2)))/$C63,$C63/(50*POWER(80,POWER(COS(PI()*MOD(Calculator!$B$34/Calculator!$F$13,1)),2)))),2))</f>
        <v>—</v>
      </c>
      <c r="BC63" s="102" t="n">
        <f aca="false">IF(OR(Calculator!$E$14&lt;&gt;"YES",Calculator!$B$34&lt;Calculator!$G$14),"—",ROUND(MAX((50*POWER(80,POWER(COS(PI()*MOD(Calculator!$B$34/Calculator!$F$14,1)),2)))/$C63,$C63/(50*POWER(80,POWER(COS(PI()*MOD(Calculator!$B$34/Calculator!$F$14,1)),2)))),2))</f>
        <v>1.79</v>
      </c>
      <c r="BD63" s="102" t="n">
        <f aca="false">IF(OR(Calculator!$E$15&lt;&gt;"YES",Calculator!$B$34&lt;Calculator!$G$15),"—",ROUND(MAX((50*POWER(80,POWER(COS(PI()*MOD(Calculator!$B$34/Calculator!$F$15,1)),2)))/$C63,$C63/(50*POWER(80,POWER(COS(PI()*MOD(Calculator!$B$34/Calculator!$F$15,1)),2)))),2))</f>
        <v>6.82</v>
      </c>
      <c r="BE63" s="102" t="n">
        <f aca="false">IF(OR(Calculator!$E$16&lt;&gt;"YES",Calculator!$B$34&lt;Calculator!$G$16),"—",ROUND(MAX((50*POWER(80,POWER(COS(PI()*MOD(Calculator!$B$34/Calculator!$F$16,1)),2)))/$C63,$C63/(50*POWER(80,POWER(COS(PI()*MOD(Calculator!$B$34/Calculator!$F$16,1)),2)))),2))</f>
        <v>2.3</v>
      </c>
      <c r="BF63" s="102" t="n">
        <f aca="false">IF(OR(Calculator!$E$17&lt;&gt;"YES",Calculator!$B$34&lt;Calculator!$G$17),"—",ROUND(MAX((50*POWER(80,POWER(COS(PI()*MOD(Calculator!$B$34/Calculator!$F$17,1)),2)))/$C63,$C63/(50*POWER(80,POWER(COS(PI()*MOD(Calculator!$B$34/Calculator!$F$17,1)),2)))),2))</f>
        <v>1.19</v>
      </c>
      <c r="BG63" s="102" t="n">
        <f aca="false">IF(OR(Calculator!$E$18&lt;&gt;"YES",Calculator!$B$34&lt;Calculator!$G$18),"—",ROUND(MAX((50*POWER(80,POWER(COS(PI()*MOD(Calculator!$B$34/Calculator!$F$18,1)),2)))/$C63,$C63/(50*POWER(80,POWER(COS(PI()*MOD(Calculator!$B$34/Calculator!$F$18,1)),2)))),2))</f>
        <v>11.21</v>
      </c>
      <c r="BH63" s="102" t="n">
        <f aca="false">IF(OR(Calculator!$E$19&lt;&gt;"YES",Calculator!$B$34&lt;Calculator!$G$19),"—",ROUND(MAX((50*POWER(80,POWER(COS(PI()*MOD(Calculator!$B$34/Calculator!$F$19,1)),2)))/$C63,$C63/(50*POWER(80,POWER(COS(PI()*MOD(Calculator!$B$34/Calculator!$F$19,1)),2)))),2))</f>
        <v>12.47</v>
      </c>
      <c r="BI63" s="102" t="n">
        <f aca="false">IF(OR(Calculator!$E$20&lt;&gt;"YES",Calculator!$B$34&lt;Calculator!$G$20),"—",ROUND(MAX((50*POWER(80,POWER(COS(PI()*MOD(Calculator!$B$34/Calculator!$F$20,1)),2)))/$C63,$C63/(50*POWER(80,POWER(COS(PI()*MOD(Calculator!$B$34/Calculator!$F$20,1)),2)))),2))</f>
        <v>7.44</v>
      </c>
      <c r="BJ63" s="102" t="str">
        <f aca="false">IF(OR(Calculator!$E$21&lt;&gt;"YES",Calculator!$B$34&lt;Calculator!$G$21),"—",ROUND(MAX((50*POWER(80,POWER(COS(PI()*MOD(Calculator!$B$34/Calculator!$F$21,1)),2)))/$C63,$C63/(50*POWER(80,POWER(COS(PI()*MOD(Calculator!$B$34/Calculator!$F$21,1)),2)))),2))</f>
        <v>—</v>
      </c>
      <c r="BK63" s="101" t="n">
        <f aca="false">IFERROR(ROUND((IF(ISNUMBER(AZ63),AZ63,0)+IF(ISNUMBER(BA63),BA63,0)+IF(ISNUMBER(BB63),BB63,0)+IF(ISNUMBER(BC63),BC63,0)+IF(ISNUMBER(BD63),BD63,0)+IF(ISNUMBER(BE63),BE63,0)+IF(ISNUMBER(BF63),BF63,0)+IF(ISNUMBER(BG63),BG63,0)+IF(ISNUMBER(BH63),BH63,0)+IF(ISNUMBER(BI63),BI63,0)+IF(ISNUMBER(BJ63),BJ63,0))/(IF(ISNUMBER(AZ63),1,0)+IF(ISNUMBER(BA63),1,0)+IF(ISNUMBER(BB63),1,0)+IF(ISNUMBER(BC63),1,0)+IF(ISNUMBER(BD63),1,0)+IF(ISNUMBER(BE63),1,0)+IF(ISNUMBER(BF63),1,0)+IF(ISNUMBER(BG63),1,0)+IF(ISNUMBER(BH63),1,0)+IF(ISNUMBER(BI63),1,0)+IF(ISNUMBER(BJ63),1,0)),2),"")</f>
        <v>6.17</v>
      </c>
    </row>
    <row r="64" customFormat="false" ht="15" hidden="false" customHeight="false" outlineLevel="0" collapsed="false">
      <c r="A64" s="103" t="s">
        <v>115</v>
      </c>
      <c r="B64" s="103" t="s">
        <v>86</v>
      </c>
      <c r="C64" s="104" t="n">
        <v>1600</v>
      </c>
      <c r="D64" s="105" t="str">
        <f aca="false">IF(OR(Calculator!$E$11&lt;&gt;"YES",Calculator!$B$30&lt;Calculator!$G$11),"—",ROUND(MAX((50*POWER(80,POWER(COS(PI()*MOD(Calculator!$B$30/Calculator!$F$11,1)),2)))/$C64,$C64/(50*POWER(80,POWER(COS(PI()*MOD(Calculator!$B$30/Calculator!$F$11,1)),2)))),2))</f>
        <v>—</v>
      </c>
      <c r="E64" s="105" t="str">
        <f aca="false">IF(OR(Calculator!$E$12&lt;&gt;"YES",Calculator!$B$30&lt;Calculator!$G$12),"—",ROUND(MAX((50*POWER(80,POWER(COS(PI()*MOD(Calculator!$B$30/Calculator!$F$12,1)),2)))/$C64,$C64/(50*POWER(80,POWER(COS(PI()*MOD(Calculator!$B$30/Calculator!$F$12,1)),2)))),2))</f>
        <v>—</v>
      </c>
      <c r="F64" s="105" t="str">
        <f aca="false">IF(OR(Calculator!$E$13&lt;&gt;"YES",Calculator!$B$30&lt;Calculator!$G$13),"—",ROUND(MAX((50*POWER(80,POWER(COS(PI()*MOD(Calculator!$B$30/Calculator!$F$13,1)),2)))/$C64,$C64/(50*POWER(80,POWER(COS(PI()*MOD(Calculator!$B$30/Calculator!$F$13,1)),2)))),2))</f>
        <v>—</v>
      </c>
      <c r="G64" s="105" t="n">
        <f aca="false">IF(OR(Calculator!$E$14&lt;&gt;"YES",Calculator!$B$30&lt;Calculator!$G$14),"—",ROUND(MAX((50*POWER(80,POWER(COS(PI()*MOD(Calculator!$B$30/Calculator!$F$14,1)),2)))/$C64,$C64/(50*POWER(80,POWER(COS(PI()*MOD(Calculator!$B$30/Calculator!$F$14,1)),2)))),2))</f>
        <v>14.46</v>
      </c>
      <c r="H64" s="105" t="n">
        <f aca="false">IF(OR(Calculator!$E$15&lt;&gt;"YES",Calculator!$B$30&lt;Calculator!$G$15),"—",ROUND(MAX((50*POWER(80,POWER(COS(PI()*MOD(Calculator!$B$30/Calculator!$F$15,1)),2)))/$C64,$C64/(50*POWER(80,POWER(COS(PI()*MOD(Calculator!$B$30/Calculator!$F$15,1)),2)))),2))</f>
        <v>4.19</v>
      </c>
      <c r="I64" s="105" t="n">
        <f aca="false">IF(OR(Calculator!$E$16&lt;&gt;"YES",Calculator!$B$30&lt;Calculator!$G$16),"—",ROUND(MAX((50*POWER(80,POWER(COS(PI()*MOD(Calculator!$B$30/Calculator!$F$16,1)),2)))/$C64,$C64/(50*POWER(80,POWER(COS(PI()*MOD(Calculator!$B$30/Calculator!$F$16,1)),2)))),2))</f>
        <v>2.87</v>
      </c>
      <c r="J64" s="105" t="n">
        <f aca="false">IF(OR(Calculator!$E$17&lt;&gt;"YES",Calculator!$B$30&lt;Calculator!$G$17),"—",ROUND(MAX((50*POWER(80,POWER(COS(PI()*MOD(Calculator!$B$30/Calculator!$F$17,1)),2)))/$C64,$C64/(50*POWER(80,POWER(COS(PI()*MOD(Calculator!$B$30/Calculator!$F$17,1)),2)))),2))</f>
        <v>8.04</v>
      </c>
      <c r="K64" s="105" t="n">
        <f aca="false">IF(OR(Calculator!$E$18&lt;&gt;"YES",Calculator!$B$30&lt;Calculator!$G$18),"—",ROUND(MAX((50*POWER(80,POWER(COS(PI()*MOD(Calculator!$B$30/Calculator!$F$18,1)),2)))/$C64,$C64/(50*POWER(80,POWER(COS(PI()*MOD(Calculator!$B$30/Calculator!$F$18,1)),2)))),2))</f>
        <v>1.15</v>
      </c>
      <c r="L64" s="105" t="n">
        <f aca="false">IF(OR(Calculator!$E$19&lt;&gt;"YES",Calculator!$B$30&lt;Calculator!$G$19),"—",ROUND(MAX((50*POWER(80,POWER(COS(PI()*MOD(Calculator!$B$30/Calculator!$F$19,1)),2)))/$C64,$C64/(50*POWER(80,POWER(COS(PI()*MOD(Calculator!$B$30/Calculator!$F$19,1)),2)))),2))</f>
        <v>2.04</v>
      </c>
      <c r="M64" s="105" t="n">
        <f aca="false">IF(OR(Calculator!$E$20&lt;&gt;"YES",Calculator!$B$30&lt;Calculator!$G$20),"—",ROUND(MAX((50*POWER(80,POWER(COS(PI()*MOD(Calculator!$B$30/Calculator!$F$20,1)),2)))/$C64,$C64/(50*POWER(80,POWER(COS(PI()*MOD(Calculator!$B$30/Calculator!$F$20,1)),2)))),2))</f>
        <v>12.64</v>
      </c>
      <c r="N64" s="105" t="str">
        <f aca="false">IF(OR(Calculator!$E$21&lt;&gt;"YES",Calculator!$B$30&lt;Calculator!$G$21),"—",ROUND(MAX((50*POWER(80,POWER(COS(PI()*MOD(Calculator!$B$30/Calculator!$F$21,1)),2)))/$C64,$C64/(50*POWER(80,POWER(COS(PI()*MOD(Calculator!$B$30/Calculator!$F$21,1)),2)))),2))</f>
        <v>—</v>
      </c>
      <c r="O64" s="100" t="n">
        <f aca="false">IFERROR(ROUND((IF(ISNUMBER(D64),D64,0)+IF(ISNUMBER(E64),E64,0)+IF(ISNUMBER(F64),F64,0)+IF(ISNUMBER(G64),G64,0)+IF(ISNUMBER(H64),H64,0)+IF(ISNUMBER(I64),I64,0)+IF(ISNUMBER(J64),J64,0)+IF(ISNUMBER(K64),K64,0)+IF(ISNUMBER(L64),L64,0)+IF(ISNUMBER(M64),M64,0)+IF(ISNUMBER(N64),N64,0))/(IF(ISNUMBER(D64),1,0)+IF(ISNUMBER(E64),1,0)+IF(ISNUMBER(F64),1,0)+IF(ISNUMBER(G64),1,0)+IF(ISNUMBER(H64),1,0)+IF(ISNUMBER(I64),1,0)+IF(ISNUMBER(J64),1,0)+IF(ISNUMBER(K64),1,0)+IF(ISNUMBER(L64),1,0)+IF(ISNUMBER(M64),1,0)+IF(ISNUMBER(N64),1,0)),2),"")</f>
        <v>6.48</v>
      </c>
      <c r="P64" s="105" t="str">
        <f aca="false">IF(OR(Calculator!$E$11&lt;&gt;"YES",Calculator!$B$31&lt;Calculator!$G$11),"—",ROUND(MAX((50*POWER(80,POWER(COS(PI()*MOD(Calculator!$B$31/Calculator!$F$11,1)),2)))/$C64,$C64/(50*POWER(80,POWER(COS(PI()*MOD(Calculator!$B$31/Calculator!$F$11,1)),2)))),2))</f>
        <v>—</v>
      </c>
      <c r="Q64" s="105" t="str">
        <f aca="false">IF(OR(Calculator!$E$12&lt;&gt;"YES",Calculator!$B$31&lt;Calculator!$G$12),"—",ROUND(MAX((50*POWER(80,POWER(COS(PI()*MOD(Calculator!$B$31/Calculator!$F$12,1)),2)))/$C64,$C64/(50*POWER(80,POWER(COS(PI()*MOD(Calculator!$B$31/Calculator!$F$12,1)),2)))),2))</f>
        <v>—</v>
      </c>
      <c r="R64" s="105" t="str">
        <f aca="false">IF(OR(Calculator!$E$13&lt;&gt;"YES",Calculator!$B$31&lt;Calculator!$G$13),"—",ROUND(MAX((50*POWER(80,POWER(COS(PI()*MOD(Calculator!$B$31/Calculator!$F$13,1)),2)))/$C64,$C64/(50*POWER(80,POWER(COS(PI()*MOD(Calculator!$B$31/Calculator!$F$13,1)),2)))),2))</f>
        <v>—</v>
      </c>
      <c r="S64" s="105" t="n">
        <f aca="false">IF(OR(Calculator!$E$14&lt;&gt;"YES",Calculator!$B$31&lt;Calculator!$G$14),"—",ROUND(MAX((50*POWER(80,POWER(COS(PI()*MOD(Calculator!$B$31/Calculator!$F$14,1)),2)))/$C64,$C64/(50*POWER(80,POWER(COS(PI()*MOD(Calculator!$B$31/Calculator!$F$14,1)),2)))),2))</f>
        <v>14.8</v>
      </c>
      <c r="T64" s="105" t="n">
        <f aca="false">IF(OR(Calculator!$E$15&lt;&gt;"YES",Calculator!$B$31&lt;Calculator!$G$15),"—",ROUND(MAX((50*POWER(80,POWER(COS(PI()*MOD(Calculator!$B$31/Calculator!$F$15,1)),2)))/$C64,$C64/(50*POWER(80,POWER(COS(PI()*MOD(Calculator!$B$31/Calculator!$F$15,1)),2)))),2))</f>
        <v>9.01</v>
      </c>
      <c r="U64" s="105" t="n">
        <f aca="false">IF(OR(Calculator!$E$16&lt;&gt;"YES",Calculator!$B$31&lt;Calculator!$G$16),"—",ROUND(MAX((50*POWER(80,POWER(COS(PI()*MOD(Calculator!$B$31/Calculator!$F$16,1)),2)))/$C64,$C64/(50*POWER(80,POWER(COS(PI()*MOD(Calculator!$B$31/Calculator!$F$16,1)),2)))),2))</f>
        <v>3.43</v>
      </c>
      <c r="V64" s="105" t="n">
        <f aca="false">IF(OR(Calculator!$E$17&lt;&gt;"YES",Calculator!$B$31&lt;Calculator!$G$17),"—",ROUND(MAX((50*POWER(80,POWER(COS(PI()*MOD(Calculator!$B$31/Calculator!$F$17,1)),2)))/$C64,$C64/(50*POWER(80,POWER(COS(PI()*MOD(Calculator!$B$31/Calculator!$F$17,1)),2)))),2))</f>
        <v>1.01</v>
      </c>
      <c r="W64" s="105" t="n">
        <f aca="false">IF(OR(Calculator!$E$18&lt;&gt;"YES",Calculator!$B$31&lt;Calculator!$G$18),"—",ROUND(MAX((50*POWER(80,POWER(COS(PI()*MOD(Calculator!$B$31/Calculator!$F$18,1)),2)))/$C64,$C64/(50*POWER(80,POWER(COS(PI()*MOD(Calculator!$B$31/Calculator!$F$18,1)),2)))),2))</f>
        <v>1.15</v>
      </c>
      <c r="X64" s="105" t="n">
        <f aca="false">IF(OR(Calculator!$E$19&lt;&gt;"YES",Calculator!$B$31&lt;Calculator!$G$19),"—",ROUND(MAX((50*POWER(80,POWER(COS(PI()*MOD(Calculator!$B$31/Calculator!$F$19,1)),2)))/$C64,$C64/(50*POWER(80,POWER(COS(PI()*MOD(Calculator!$B$31/Calculator!$F$19,1)),2)))),2))</f>
        <v>5.95</v>
      </c>
      <c r="Y64" s="105" t="n">
        <f aca="false">IF(OR(Calculator!$E$20&lt;&gt;"YES",Calculator!$B$31&lt;Calculator!$G$20),"—",ROUND(MAX((50*POWER(80,POWER(COS(PI()*MOD(Calculator!$B$31/Calculator!$F$20,1)),2)))/$C64,$C64/(50*POWER(80,POWER(COS(PI()*MOD(Calculator!$B$31/Calculator!$F$20,1)),2)))),2))</f>
        <v>19.63</v>
      </c>
      <c r="Z64" s="105" t="str">
        <f aca="false">IF(OR(Calculator!$E$21&lt;&gt;"YES",Calculator!$B$31&lt;Calculator!$G$21),"—",ROUND(MAX((50*POWER(80,POWER(COS(PI()*MOD(Calculator!$B$31/Calculator!$F$21,1)),2)))/$C64,$C64/(50*POWER(80,POWER(COS(PI()*MOD(Calculator!$B$31/Calculator!$F$21,1)),2)))),2))</f>
        <v>—</v>
      </c>
      <c r="AA64" s="100" t="n">
        <f aca="false">IFERROR(ROUND((IF(ISNUMBER(P64),P64,0)+IF(ISNUMBER(Q64),Q64,0)+IF(ISNUMBER(R64),R64,0)+IF(ISNUMBER(S64),S64,0)+IF(ISNUMBER(T64),T64,0)+IF(ISNUMBER(U64),U64,0)+IF(ISNUMBER(V64),V64,0)+IF(ISNUMBER(W64),W64,0)+IF(ISNUMBER(X64),X64,0)+IF(ISNUMBER(Y64),Y64,0)+IF(ISNUMBER(Z64),Z64,0))/(IF(ISNUMBER(P64),1,0)+IF(ISNUMBER(Q64),1,0)+IF(ISNUMBER(R64),1,0)+IF(ISNUMBER(S64),1,0)+IF(ISNUMBER(T64),1,0)+IF(ISNUMBER(U64),1,0)+IF(ISNUMBER(V64),1,0)+IF(ISNUMBER(W64),1,0)+IF(ISNUMBER(X64),1,0)+IF(ISNUMBER(Y64),1,0)+IF(ISNUMBER(Z64),1,0)),2),"")</f>
        <v>7.85</v>
      </c>
      <c r="AB64" s="105" t="str">
        <f aca="false">IF(OR(Calculator!$E$11&lt;&gt;"YES",Calculator!$B$32&lt;Calculator!$G$11),"—",ROUND(MAX((50*POWER(80,POWER(COS(PI()*MOD(Calculator!$B$32/Calculator!$F$11,1)),2)))/$C64,$C64/(50*POWER(80,POWER(COS(PI()*MOD(Calculator!$B$32/Calculator!$F$11,1)),2)))),2))</f>
        <v>—</v>
      </c>
      <c r="AC64" s="105" t="str">
        <f aca="false">IF(OR(Calculator!$E$12&lt;&gt;"YES",Calculator!$B$32&lt;Calculator!$G$12),"—",ROUND(MAX((50*POWER(80,POWER(COS(PI()*MOD(Calculator!$B$32/Calculator!$F$12,1)),2)))/$C64,$C64/(50*POWER(80,POWER(COS(PI()*MOD(Calculator!$B$32/Calculator!$F$12,1)),2)))),2))</f>
        <v>—</v>
      </c>
      <c r="AD64" s="105" t="str">
        <f aca="false">IF(OR(Calculator!$E$13&lt;&gt;"YES",Calculator!$B$32&lt;Calculator!$G$13),"—",ROUND(MAX((50*POWER(80,POWER(COS(PI()*MOD(Calculator!$B$32/Calculator!$F$13,1)),2)))/$C64,$C64/(50*POWER(80,POWER(COS(PI()*MOD(Calculator!$B$32/Calculator!$F$13,1)),2)))),2))</f>
        <v>—</v>
      </c>
      <c r="AE64" s="105" t="n">
        <f aca="false">IF(OR(Calculator!$E$14&lt;&gt;"YES",Calculator!$B$32&lt;Calculator!$G$14),"—",ROUND(MAX((50*POWER(80,POWER(COS(PI()*MOD(Calculator!$B$32/Calculator!$F$14,1)),2)))/$C64,$C64/(50*POWER(80,POWER(COS(PI()*MOD(Calculator!$B$32/Calculator!$F$14,1)),2)))),2))</f>
        <v>9.35</v>
      </c>
      <c r="AF64" s="105" t="n">
        <f aca="false">IF(OR(Calculator!$E$15&lt;&gt;"YES",Calculator!$B$32&lt;Calculator!$G$15),"—",ROUND(MAX((50*POWER(80,POWER(COS(PI()*MOD(Calculator!$B$32/Calculator!$F$15,1)),2)))/$C64,$C64/(50*POWER(80,POWER(COS(PI()*MOD(Calculator!$B$32/Calculator!$F$15,1)),2)))),2))</f>
        <v>6.04</v>
      </c>
      <c r="AG64" s="105" t="n">
        <f aca="false">IF(OR(Calculator!$E$16&lt;&gt;"YES",Calculator!$B$32&lt;Calculator!$G$16),"—",ROUND(MAX((50*POWER(80,POWER(COS(PI()*MOD(Calculator!$B$32/Calculator!$F$16,1)),2)))/$C64,$C64/(50*POWER(80,POWER(COS(PI()*MOD(Calculator!$B$32/Calculator!$F$16,1)),2)))),2))</f>
        <v>20.4</v>
      </c>
      <c r="AH64" s="105" t="n">
        <f aca="false">IF(OR(Calculator!$E$17&lt;&gt;"YES",Calculator!$B$32&lt;Calculator!$G$17),"—",ROUND(MAX((50*POWER(80,POWER(COS(PI()*MOD(Calculator!$B$32/Calculator!$F$17,1)),2)))/$C64,$C64/(50*POWER(80,POWER(COS(PI()*MOD(Calculator!$B$32/Calculator!$F$17,1)),2)))),2))</f>
        <v>1.44</v>
      </c>
      <c r="AI64" s="105" t="n">
        <f aca="false">IF(OR(Calculator!$E$18&lt;&gt;"YES",Calculator!$B$32&lt;Calculator!$G$18),"—",ROUND(MAX((50*POWER(80,POWER(COS(PI()*MOD(Calculator!$B$32/Calculator!$F$18,1)),2)))/$C64,$C64/(50*POWER(80,POWER(COS(PI()*MOD(Calculator!$B$32/Calculator!$F$18,1)),2)))),2))</f>
        <v>1.56</v>
      </c>
      <c r="AJ64" s="105" t="n">
        <f aca="false">IF(OR(Calculator!$E$19&lt;&gt;"YES",Calculator!$B$32&lt;Calculator!$G$19),"—",ROUND(MAX((50*POWER(80,POWER(COS(PI()*MOD(Calculator!$B$32/Calculator!$F$19,1)),2)))/$C64,$C64/(50*POWER(80,POWER(COS(PI()*MOD(Calculator!$B$32/Calculator!$F$19,1)),2)))),2))</f>
        <v>1.64</v>
      </c>
      <c r="AK64" s="105" t="n">
        <f aca="false">IF(OR(Calculator!$E$20&lt;&gt;"YES",Calculator!$B$32&lt;Calculator!$G$20),"—",ROUND(MAX((50*POWER(80,POWER(COS(PI()*MOD(Calculator!$B$32/Calculator!$F$20,1)),2)))/$C64,$C64/(50*POWER(80,POWER(COS(PI()*MOD(Calculator!$B$32/Calculator!$F$20,1)),2)))),2))</f>
        <v>16.05</v>
      </c>
      <c r="AL64" s="105" t="str">
        <f aca="false">IF(OR(Calculator!$E$21&lt;&gt;"YES",Calculator!$B$32&lt;Calculator!$G$21),"—",ROUND(MAX((50*POWER(80,POWER(COS(PI()*MOD(Calculator!$B$32/Calculator!$F$21,1)),2)))/$C64,$C64/(50*POWER(80,POWER(COS(PI()*MOD(Calculator!$B$32/Calculator!$F$21,1)),2)))),2))</f>
        <v>—</v>
      </c>
      <c r="AM64" s="101" t="n">
        <f aca="false">IFERROR(ROUND((IF(ISNUMBER(AB64),AB64,0)+IF(ISNUMBER(AC64),AC64,0)+IF(ISNUMBER(AD64),AD64,0)+IF(ISNUMBER(AE64),AE64,0)+IF(ISNUMBER(AF64),AF64,0)+IF(ISNUMBER(AG64),AG64,0)+IF(ISNUMBER(AH64),AH64,0)+IF(ISNUMBER(AI64),AI64,0)+IF(ISNUMBER(AJ64),AJ64,0)+IF(ISNUMBER(AK64),AK64,0)+IF(ISNUMBER(AL64),AL64,0))/(IF(ISNUMBER(AB64),1,0)+IF(ISNUMBER(AC64),1,0)+IF(ISNUMBER(AD64),1,0)+IF(ISNUMBER(AE64),1,0)+IF(ISNUMBER(AF64),1,0)+IF(ISNUMBER(AG64),1,0)+IF(ISNUMBER(AH64),1,0)+IF(ISNUMBER(AI64),1,0)+IF(ISNUMBER(AJ64),1,0)+IF(ISNUMBER(AK64),1,0)+IF(ISNUMBER(AL64),1,0)),2),"")</f>
        <v>8.07</v>
      </c>
      <c r="AN64" s="106" t="str">
        <f aca="false">IF(OR(Calculator!$E$11&lt;&gt;"YES",Calculator!$B$33&lt;Calculator!$G$11),"—",ROUND(MAX((50*POWER(80,POWER(COS(PI()*MOD(Calculator!$B$33/Calculator!$F$11,1)),2)))/$C64,$C64/(50*POWER(80,POWER(COS(PI()*MOD(Calculator!$B$33/Calculator!$F$11,1)),2)))),2))</f>
        <v>—</v>
      </c>
      <c r="AO64" s="106" t="str">
        <f aca="false">IF(OR(Calculator!$E$12&lt;&gt;"YES",Calculator!$B$33&lt;Calculator!$G$12),"—",ROUND(MAX((50*POWER(80,POWER(COS(PI()*MOD(Calculator!$B$33/Calculator!$F$12,1)),2)))/$C64,$C64/(50*POWER(80,POWER(COS(PI()*MOD(Calculator!$B$33/Calculator!$F$12,1)),2)))),2))</f>
        <v>—</v>
      </c>
      <c r="AP64" s="106" t="str">
        <f aca="false">IF(OR(Calculator!$E$13&lt;&gt;"YES",Calculator!$B$33&lt;Calculator!$G$13),"—",ROUND(MAX((50*POWER(80,POWER(COS(PI()*MOD(Calculator!$B$33/Calculator!$F$13,1)),2)))/$C64,$C64/(50*POWER(80,POWER(COS(PI()*MOD(Calculator!$B$33/Calculator!$F$13,1)),2)))),2))</f>
        <v>—</v>
      </c>
      <c r="AQ64" s="106" t="n">
        <f aca="false">IF(OR(Calculator!$E$14&lt;&gt;"YES",Calculator!$B$33&lt;Calculator!$G$14),"—",ROUND(MAX((50*POWER(80,POWER(COS(PI()*MOD(Calculator!$B$33/Calculator!$F$14,1)),2)))/$C64,$C64/(50*POWER(80,POWER(COS(PI()*MOD(Calculator!$B$33/Calculator!$F$14,1)),2)))),2))</f>
        <v>1.7</v>
      </c>
      <c r="AR64" s="106" t="n">
        <f aca="false">IF(OR(Calculator!$E$15&lt;&gt;"YES",Calculator!$B$33&lt;Calculator!$G$15),"—",ROUND(MAX((50*POWER(80,POWER(COS(PI()*MOD(Calculator!$B$33/Calculator!$F$15,1)),2)))/$C64,$C64/(50*POWER(80,POWER(COS(PI()*MOD(Calculator!$B$33/Calculator!$F$15,1)),2)))),2))</f>
        <v>5.45</v>
      </c>
      <c r="AS64" s="106" t="n">
        <f aca="false">IF(OR(Calculator!$E$16&lt;&gt;"YES",Calculator!$B$33&lt;Calculator!$G$16),"—",ROUND(MAX((50*POWER(80,POWER(COS(PI()*MOD(Calculator!$B$33/Calculator!$F$16,1)),2)))/$C64,$C64/(50*POWER(80,POWER(COS(PI()*MOD(Calculator!$B$33/Calculator!$F$16,1)),2)))),2))</f>
        <v>1.99</v>
      </c>
      <c r="AT64" s="106" t="n">
        <f aca="false">IF(OR(Calculator!$E$17&lt;&gt;"YES",Calculator!$B$33&lt;Calculator!$G$17),"—",ROUND(MAX((50*POWER(80,POWER(COS(PI()*MOD(Calculator!$B$33/Calculator!$F$17,1)),2)))/$C64,$C64/(50*POWER(80,POWER(COS(PI()*MOD(Calculator!$B$33/Calculator!$F$17,1)),2)))),2))</f>
        <v>6.32</v>
      </c>
      <c r="AU64" s="106" t="n">
        <f aca="false">IF(OR(Calculator!$E$18&lt;&gt;"YES",Calculator!$B$33&lt;Calculator!$G$18),"—",ROUND(MAX((50*POWER(80,POWER(COS(PI()*MOD(Calculator!$B$33/Calculator!$F$18,1)),2)))/$C64,$C64/(50*POWER(80,POWER(COS(PI()*MOD(Calculator!$B$33/Calculator!$F$18,1)),2)))),2))</f>
        <v>8.55</v>
      </c>
      <c r="AV64" s="106" t="n">
        <f aca="false">IF(OR(Calculator!$E$19&lt;&gt;"YES",Calculator!$B$33&lt;Calculator!$G$19),"—",ROUND(MAX((50*POWER(80,POWER(COS(PI()*MOD(Calculator!$B$33/Calculator!$F$19,1)),2)))/$C64,$C64/(50*POWER(80,POWER(COS(PI()*MOD(Calculator!$B$33/Calculator!$F$19,1)),2)))),2))</f>
        <v>1.04</v>
      </c>
      <c r="AW64" s="106" t="n">
        <f aca="false">IF(OR(Calculator!$E$20&lt;&gt;"YES",Calculator!$B$33&lt;Calculator!$G$20),"—",ROUND(MAX((50*POWER(80,POWER(COS(PI()*MOD(Calculator!$B$33/Calculator!$F$20,1)),2)))/$C64,$C64/(50*POWER(80,POWER(COS(PI()*MOD(Calculator!$B$33/Calculator!$F$20,1)),2)))),2))</f>
        <v>13.06</v>
      </c>
      <c r="AX64" s="106" t="str">
        <f aca="false">IF(OR(Calculator!$E$21&lt;&gt;"YES",Calculator!$B$33&lt;Calculator!$G$21),"—",ROUND(MAX((50*POWER(80,POWER(COS(PI()*MOD(Calculator!$B$33/Calculator!$F$21,1)),2)))/$C64,$C64/(50*POWER(80,POWER(COS(PI()*MOD(Calculator!$B$33/Calculator!$F$21,1)),2)))),2))</f>
        <v>—</v>
      </c>
      <c r="AY64" s="101" t="n">
        <f aca="false">IFERROR(ROUND((IF(ISNUMBER(AN64),AN64,0)+IF(ISNUMBER(AO64),AO64,0)+IF(ISNUMBER(AP64),AP64,0)+IF(ISNUMBER(AQ64),AQ64,0)+IF(ISNUMBER(AR64),AR64,0)+IF(ISNUMBER(AS64),AS64,0)+IF(ISNUMBER(AT64),AT64,0)+IF(ISNUMBER(AU64),AU64,0)+IF(ISNUMBER(AV64),AV64,0)+IF(ISNUMBER(AW64),AW64,0)+IF(ISNUMBER(AX64),AX64,0))/(IF(ISNUMBER(AN64),1,0)+IF(ISNUMBER(AO64),1,0)+IF(ISNUMBER(AP64),1,0)+IF(ISNUMBER(AQ64),1,0)+IF(ISNUMBER(AR64),1,0)+IF(ISNUMBER(AS64),1,0)+IF(ISNUMBER(AT64),1,0)+IF(ISNUMBER(AU64),1,0)+IF(ISNUMBER(AV64),1,0)+IF(ISNUMBER(AW64),1,0)+IF(ISNUMBER(AX64),1,0)),2),"")</f>
        <v>5.44</v>
      </c>
      <c r="AZ64" s="106" t="str">
        <f aca="false">IF(OR(Calculator!$E$11&lt;&gt;"YES",Calculator!$B$34&lt;Calculator!$G$11),"—",ROUND(MAX((50*POWER(80,POWER(COS(PI()*MOD(Calculator!$B$34/Calculator!$F$11,1)),2)))/$C64,$C64/(50*POWER(80,POWER(COS(PI()*MOD(Calculator!$B$34/Calculator!$F$11,1)),2)))),2))</f>
        <v>—</v>
      </c>
      <c r="BA64" s="106" t="str">
        <f aca="false">IF(OR(Calculator!$E$12&lt;&gt;"YES",Calculator!$B$34&lt;Calculator!$G$12),"—",ROUND(MAX((50*POWER(80,POWER(COS(PI()*MOD(Calculator!$B$34/Calculator!$F$12,1)),2)))/$C64,$C64/(50*POWER(80,POWER(COS(PI()*MOD(Calculator!$B$34/Calculator!$F$12,1)),2)))),2))</f>
        <v>—</v>
      </c>
      <c r="BB64" s="106" t="str">
        <f aca="false">IF(OR(Calculator!$E$13&lt;&gt;"YES",Calculator!$B$34&lt;Calculator!$G$13),"—",ROUND(MAX((50*POWER(80,POWER(COS(PI()*MOD(Calculator!$B$34/Calculator!$F$13,1)),2)))/$C64,$C64/(50*POWER(80,POWER(COS(PI()*MOD(Calculator!$B$34/Calculator!$F$13,1)),2)))),2))</f>
        <v>—</v>
      </c>
      <c r="BC64" s="106" t="n">
        <f aca="false">IF(OR(Calculator!$E$14&lt;&gt;"YES",Calculator!$B$34&lt;Calculator!$G$14),"—",ROUND(MAX((50*POWER(80,POWER(COS(PI()*MOD(Calculator!$B$34/Calculator!$F$14,1)),2)))/$C64,$C64/(50*POWER(80,POWER(COS(PI()*MOD(Calculator!$B$34/Calculator!$F$14,1)),2)))),2))</f>
        <v>1.73</v>
      </c>
      <c r="BD64" s="106" t="n">
        <f aca="false">IF(OR(Calculator!$E$15&lt;&gt;"YES",Calculator!$B$34&lt;Calculator!$G$15),"—",ROUND(MAX((50*POWER(80,POWER(COS(PI()*MOD(Calculator!$B$34/Calculator!$F$15,1)),2)))/$C64,$C64/(50*POWER(80,POWER(COS(PI()*MOD(Calculator!$B$34/Calculator!$F$15,1)),2)))),2))</f>
        <v>7.04</v>
      </c>
      <c r="BE64" s="106" t="n">
        <f aca="false">IF(OR(Calculator!$E$16&lt;&gt;"YES",Calculator!$B$34&lt;Calculator!$G$16),"—",ROUND(MAX((50*POWER(80,POWER(COS(PI()*MOD(Calculator!$B$34/Calculator!$F$16,1)),2)))/$C64,$C64/(50*POWER(80,POWER(COS(PI()*MOD(Calculator!$B$34/Calculator!$F$16,1)),2)))),2))</f>
        <v>2.37</v>
      </c>
      <c r="BF64" s="106" t="n">
        <f aca="false">IF(OR(Calculator!$E$17&lt;&gt;"YES",Calculator!$B$34&lt;Calculator!$G$17),"—",ROUND(MAX((50*POWER(80,POWER(COS(PI()*MOD(Calculator!$B$34/Calculator!$F$17,1)),2)))/$C64,$C64/(50*POWER(80,POWER(COS(PI()*MOD(Calculator!$B$34/Calculator!$F$17,1)),2)))),2))</f>
        <v>1.22</v>
      </c>
      <c r="BG64" s="106" t="n">
        <f aca="false">IF(OR(Calculator!$E$18&lt;&gt;"YES",Calculator!$B$34&lt;Calculator!$G$18),"—",ROUND(MAX((50*POWER(80,POWER(COS(PI()*MOD(Calculator!$B$34/Calculator!$F$18,1)),2)))/$C64,$C64/(50*POWER(80,POWER(COS(PI()*MOD(Calculator!$B$34/Calculator!$F$18,1)),2)))),2))</f>
        <v>11.57</v>
      </c>
      <c r="BH64" s="106" t="n">
        <f aca="false">IF(OR(Calculator!$E$19&lt;&gt;"YES",Calculator!$B$34&lt;Calculator!$G$19),"—",ROUND(MAX((50*POWER(80,POWER(COS(PI()*MOD(Calculator!$B$34/Calculator!$F$19,1)),2)))/$C64,$C64/(50*POWER(80,POWER(COS(PI()*MOD(Calculator!$B$34/Calculator!$F$19,1)),2)))),2))</f>
        <v>12.87</v>
      </c>
      <c r="BI64" s="106" t="n">
        <f aca="false">IF(OR(Calculator!$E$20&lt;&gt;"YES",Calculator!$B$34&lt;Calculator!$G$20),"—",ROUND(MAX((50*POWER(80,POWER(COS(PI()*MOD(Calculator!$B$34/Calculator!$F$20,1)),2)))/$C64,$C64/(50*POWER(80,POWER(COS(PI()*MOD(Calculator!$B$34/Calculator!$F$20,1)),2)))),2))</f>
        <v>7.68</v>
      </c>
      <c r="BJ64" s="106" t="str">
        <f aca="false">IF(OR(Calculator!$E$21&lt;&gt;"YES",Calculator!$B$34&lt;Calculator!$G$21),"—",ROUND(MAX((50*POWER(80,POWER(COS(PI()*MOD(Calculator!$B$34/Calculator!$F$21,1)),2)))/$C64,$C64/(50*POWER(80,POWER(COS(PI()*MOD(Calculator!$B$34/Calculator!$F$21,1)),2)))),2))</f>
        <v>—</v>
      </c>
      <c r="BK64" s="101" t="n">
        <f aca="false">IFERROR(ROUND((IF(ISNUMBER(AZ64),AZ64,0)+IF(ISNUMBER(BA64),BA64,0)+IF(ISNUMBER(BB64),BB64,0)+IF(ISNUMBER(BC64),BC64,0)+IF(ISNUMBER(BD64),BD64,0)+IF(ISNUMBER(BE64),BE64,0)+IF(ISNUMBER(BF64),BF64,0)+IF(ISNUMBER(BG64),BG64,0)+IF(ISNUMBER(BH64),BH64,0)+IF(ISNUMBER(BI64),BI64,0)+IF(ISNUMBER(BJ64),BJ64,0))/(IF(ISNUMBER(AZ64),1,0)+IF(ISNUMBER(BA64),1,0)+IF(ISNUMBER(BB64),1,0)+IF(ISNUMBER(BC64),1,0)+IF(ISNUMBER(BD64),1,0)+IF(ISNUMBER(BE64),1,0)+IF(ISNUMBER(BF64),1,0)+IF(ISNUMBER(BG64),1,0)+IF(ISNUMBER(BH64),1,0)+IF(ISNUMBER(BI64),1,0)+IF(ISNUMBER(BJ64),1,0)),2),"")</f>
        <v>6.35</v>
      </c>
    </row>
    <row r="65" customFormat="false" ht="15" hidden="false" customHeight="false" outlineLevel="0" collapsed="false">
      <c r="A65" s="74" t="s">
        <v>116</v>
      </c>
      <c r="B65" s="74" t="s">
        <v>86</v>
      </c>
      <c r="C65" s="77" t="n">
        <v>1650</v>
      </c>
      <c r="D65" s="78" t="str">
        <f aca="false">IF(OR(Calculator!$E$11&lt;&gt;"YES",Calculator!$B$30&lt;Calculator!$G$11),"—",ROUND(MAX((50*POWER(80,POWER(COS(PI()*MOD(Calculator!$B$30/Calculator!$F$11,1)),2)))/$C65,$C65/(50*POWER(80,POWER(COS(PI()*MOD(Calculator!$B$30/Calculator!$F$11,1)),2)))),2))</f>
        <v>—</v>
      </c>
      <c r="E65" s="78" t="str">
        <f aca="false">IF(OR(Calculator!$E$12&lt;&gt;"YES",Calculator!$B$30&lt;Calculator!$G$12),"—",ROUND(MAX((50*POWER(80,POWER(COS(PI()*MOD(Calculator!$B$30/Calculator!$F$12,1)),2)))/$C65,$C65/(50*POWER(80,POWER(COS(PI()*MOD(Calculator!$B$30/Calculator!$F$12,1)),2)))),2))</f>
        <v>—</v>
      </c>
      <c r="F65" s="78" t="str">
        <f aca="false">IF(OR(Calculator!$E$13&lt;&gt;"YES",Calculator!$B$30&lt;Calculator!$G$13),"—",ROUND(MAX((50*POWER(80,POWER(COS(PI()*MOD(Calculator!$B$30/Calculator!$F$13,1)),2)))/$C65,$C65/(50*POWER(80,POWER(COS(PI()*MOD(Calculator!$B$30/Calculator!$F$13,1)),2)))),2))</f>
        <v>—</v>
      </c>
      <c r="G65" s="78" t="n">
        <f aca="false">IF(OR(Calculator!$E$14&lt;&gt;"YES",Calculator!$B$30&lt;Calculator!$G$14),"—",ROUND(MAX((50*POWER(80,POWER(COS(PI()*MOD(Calculator!$B$30/Calculator!$F$14,1)),2)))/$C65,$C65/(50*POWER(80,POWER(COS(PI()*MOD(Calculator!$B$30/Calculator!$F$14,1)),2)))),2))</f>
        <v>14.91</v>
      </c>
      <c r="H65" s="78" t="n">
        <f aca="false">IF(OR(Calculator!$E$15&lt;&gt;"YES",Calculator!$B$30&lt;Calculator!$G$15),"—",ROUND(MAX((50*POWER(80,POWER(COS(PI()*MOD(Calculator!$B$30/Calculator!$F$15,1)),2)))/$C65,$C65/(50*POWER(80,POWER(COS(PI()*MOD(Calculator!$B$30/Calculator!$F$15,1)),2)))),2))</f>
        <v>4.32</v>
      </c>
      <c r="I65" s="78" t="n">
        <f aca="false">IF(OR(Calculator!$E$16&lt;&gt;"YES",Calculator!$B$30&lt;Calculator!$G$16),"—",ROUND(MAX((50*POWER(80,POWER(COS(PI()*MOD(Calculator!$B$30/Calculator!$F$16,1)),2)))/$C65,$C65/(50*POWER(80,POWER(COS(PI()*MOD(Calculator!$B$30/Calculator!$F$16,1)),2)))),2))</f>
        <v>2.95</v>
      </c>
      <c r="J65" s="78" t="n">
        <f aca="false">IF(OR(Calculator!$E$17&lt;&gt;"YES",Calculator!$B$30&lt;Calculator!$G$17),"—",ROUND(MAX((50*POWER(80,POWER(COS(PI()*MOD(Calculator!$B$30/Calculator!$F$17,1)),2)))/$C65,$C65/(50*POWER(80,POWER(COS(PI()*MOD(Calculator!$B$30/Calculator!$F$17,1)),2)))),2))</f>
        <v>8.29</v>
      </c>
      <c r="K65" s="78" t="n">
        <f aca="false">IF(OR(Calculator!$E$18&lt;&gt;"YES",Calculator!$B$30&lt;Calculator!$G$18),"—",ROUND(MAX((50*POWER(80,POWER(COS(PI()*MOD(Calculator!$B$30/Calculator!$F$18,1)),2)))/$C65,$C65/(50*POWER(80,POWER(COS(PI()*MOD(Calculator!$B$30/Calculator!$F$18,1)),2)))),2))</f>
        <v>1.18</v>
      </c>
      <c r="L65" s="78" t="n">
        <f aca="false">IF(OR(Calculator!$E$19&lt;&gt;"YES",Calculator!$B$30&lt;Calculator!$G$19),"—",ROUND(MAX((50*POWER(80,POWER(COS(PI()*MOD(Calculator!$B$30/Calculator!$F$19,1)),2)))/$C65,$C65/(50*POWER(80,POWER(COS(PI()*MOD(Calculator!$B$30/Calculator!$F$19,1)),2)))),2))</f>
        <v>2.1</v>
      </c>
      <c r="M65" s="78" t="n">
        <f aca="false">IF(OR(Calculator!$E$20&lt;&gt;"YES",Calculator!$B$30&lt;Calculator!$G$20),"—",ROUND(MAX((50*POWER(80,POWER(COS(PI()*MOD(Calculator!$B$30/Calculator!$F$20,1)),2)))/$C65,$C65/(50*POWER(80,POWER(COS(PI()*MOD(Calculator!$B$30/Calculator!$F$20,1)),2)))),2))</f>
        <v>13.03</v>
      </c>
      <c r="N65" s="78" t="str">
        <f aca="false">IF(OR(Calculator!$E$21&lt;&gt;"YES",Calculator!$B$30&lt;Calculator!$G$21),"—",ROUND(MAX((50*POWER(80,POWER(COS(PI()*MOD(Calculator!$B$30/Calculator!$F$21,1)),2)))/$C65,$C65/(50*POWER(80,POWER(COS(PI()*MOD(Calculator!$B$30/Calculator!$F$21,1)),2)))),2))</f>
        <v>—</v>
      </c>
      <c r="O65" s="100" t="n">
        <f aca="false">IFERROR(ROUND((IF(ISNUMBER(D65),D65,0)+IF(ISNUMBER(E65),E65,0)+IF(ISNUMBER(F65),F65,0)+IF(ISNUMBER(G65),G65,0)+IF(ISNUMBER(H65),H65,0)+IF(ISNUMBER(I65),I65,0)+IF(ISNUMBER(J65),J65,0)+IF(ISNUMBER(K65),K65,0)+IF(ISNUMBER(L65),L65,0)+IF(ISNUMBER(M65),M65,0)+IF(ISNUMBER(N65),N65,0))/(IF(ISNUMBER(D65),1,0)+IF(ISNUMBER(E65),1,0)+IF(ISNUMBER(F65),1,0)+IF(ISNUMBER(G65),1,0)+IF(ISNUMBER(H65),1,0)+IF(ISNUMBER(I65),1,0)+IF(ISNUMBER(J65),1,0)+IF(ISNUMBER(K65),1,0)+IF(ISNUMBER(L65),1,0)+IF(ISNUMBER(M65),1,0)+IF(ISNUMBER(N65),1,0)),2),"")</f>
        <v>6.68</v>
      </c>
      <c r="P65" s="78" t="str">
        <f aca="false">IF(OR(Calculator!$E$11&lt;&gt;"YES",Calculator!$B$31&lt;Calculator!$G$11),"—",ROUND(MAX((50*POWER(80,POWER(COS(PI()*MOD(Calculator!$B$31/Calculator!$F$11,1)),2)))/$C65,$C65/(50*POWER(80,POWER(COS(PI()*MOD(Calculator!$B$31/Calculator!$F$11,1)),2)))),2))</f>
        <v>—</v>
      </c>
      <c r="Q65" s="78" t="str">
        <f aca="false">IF(OR(Calculator!$E$12&lt;&gt;"YES",Calculator!$B$31&lt;Calculator!$G$12),"—",ROUND(MAX((50*POWER(80,POWER(COS(PI()*MOD(Calculator!$B$31/Calculator!$F$12,1)),2)))/$C65,$C65/(50*POWER(80,POWER(COS(PI()*MOD(Calculator!$B$31/Calculator!$F$12,1)),2)))),2))</f>
        <v>—</v>
      </c>
      <c r="R65" s="78" t="str">
        <f aca="false">IF(OR(Calculator!$E$13&lt;&gt;"YES",Calculator!$B$31&lt;Calculator!$G$13),"—",ROUND(MAX((50*POWER(80,POWER(COS(PI()*MOD(Calculator!$B$31/Calculator!$F$13,1)),2)))/$C65,$C65/(50*POWER(80,POWER(COS(PI()*MOD(Calculator!$B$31/Calculator!$F$13,1)),2)))),2))</f>
        <v>—</v>
      </c>
      <c r="S65" s="78" t="n">
        <f aca="false">IF(OR(Calculator!$E$14&lt;&gt;"YES",Calculator!$B$31&lt;Calculator!$G$14),"—",ROUND(MAX((50*POWER(80,POWER(COS(PI()*MOD(Calculator!$B$31/Calculator!$F$14,1)),2)))/$C65,$C65/(50*POWER(80,POWER(COS(PI()*MOD(Calculator!$B$31/Calculator!$F$14,1)),2)))),2))</f>
        <v>15.26</v>
      </c>
      <c r="T65" s="78" t="n">
        <f aca="false">IF(OR(Calculator!$E$15&lt;&gt;"YES",Calculator!$B$31&lt;Calculator!$G$15),"—",ROUND(MAX((50*POWER(80,POWER(COS(PI()*MOD(Calculator!$B$31/Calculator!$F$15,1)),2)))/$C65,$C65/(50*POWER(80,POWER(COS(PI()*MOD(Calculator!$B$31/Calculator!$F$15,1)),2)))),2))</f>
        <v>9.29</v>
      </c>
      <c r="U65" s="78" t="n">
        <f aca="false">IF(OR(Calculator!$E$16&lt;&gt;"YES",Calculator!$B$31&lt;Calculator!$G$16),"—",ROUND(MAX((50*POWER(80,POWER(COS(PI()*MOD(Calculator!$B$31/Calculator!$F$16,1)),2)))/$C65,$C65/(50*POWER(80,POWER(COS(PI()*MOD(Calculator!$B$31/Calculator!$F$16,1)),2)))),2))</f>
        <v>3.54</v>
      </c>
      <c r="V65" s="78" t="n">
        <f aca="false">IF(OR(Calculator!$E$17&lt;&gt;"YES",Calculator!$B$31&lt;Calculator!$G$17),"—",ROUND(MAX((50*POWER(80,POWER(COS(PI()*MOD(Calculator!$B$31/Calculator!$F$17,1)),2)))/$C65,$C65/(50*POWER(80,POWER(COS(PI()*MOD(Calculator!$B$31/Calculator!$F$17,1)),2)))),2))</f>
        <v>1.02</v>
      </c>
      <c r="W65" s="78" t="n">
        <f aca="false">IF(OR(Calculator!$E$18&lt;&gt;"YES",Calculator!$B$31&lt;Calculator!$G$18),"—",ROUND(MAX((50*POWER(80,POWER(COS(PI()*MOD(Calculator!$B$31/Calculator!$F$18,1)),2)))/$C65,$C65/(50*POWER(80,POWER(COS(PI()*MOD(Calculator!$B$31/Calculator!$F$18,1)),2)))),2))</f>
        <v>1.12</v>
      </c>
      <c r="X65" s="78" t="n">
        <f aca="false">IF(OR(Calculator!$E$19&lt;&gt;"YES",Calculator!$B$31&lt;Calculator!$G$19),"—",ROUND(MAX((50*POWER(80,POWER(COS(PI()*MOD(Calculator!$B$31/Calculator!$F$19,1)),2)))/$C65,$C65/(50*POWER(80,POWER(COS(PI()*MOD(Calculator!$B$31/Calculator!$F$19,1)),2)))),2))</f>
        <v>6.13</v>
      </c>
      <c r="Y65" s="78" t="n">
        <f aca="false">IF(OR(Calculator!$E$20&lt;&gt;"YES",Calculator!$B$31&lt;Calculator!$G$20),"—",ROUND(MAX((50*POWER(80,POWER(COS(PI()*MOD(Calculator!$B$31/Calculator!$F$20,1)),2)))/$C65,$C65/(50*POWER(80,POWER(COS(PI()*MOD(Calculator!$B$31/Calculator!$F$20,1)),2)))),2))</f>
        <v>20.24</v>
      </c>
      <c r="Z65" s="78" t="str">
        <f aca="false">IF(OR(Calculator!$E$21&lt;&gt;"YES",Calculator!$B$31&lt;Calculator!$G$21),"—",ROUND(MAX((50*POWER(80,POWER(COS(PI()*MOD(Calculator!$B$31/Calculator!$F$21,1)),2)))/$C65,$C65/(50*POWER(80,POWER(COS(PI()*MOD(Calculator!$B$31/Calculator!$F$21,1)),2)))),2))</f>
        <v>—</v>
      </c>
      <c r="AA65" s="100" t="n">
        <f aca="false">IFERROR(ROUND((IF(ISNUMBER(P65),P65,0)+IF(ISNUMBER(Q65),Q65,0)+IF(ISNUMBER(R65),R65,0)+IF(ISNUMBER(S65),S65,0)+IF(ISNUMBER(T65),T65,0)+IF(ISNUMBER(U65),U65,0)+IF(ISNUMBER(V65),V65,0)+IF(ISNUMBER(W65),W65,0)+IF(ISNUMBER(X65),X65,0)+IF(ISNUMBER(Y65),Y65,0)+IF(ISNUMBER(Z65),Z65,0))/(IF(ISNUMBER(P65),1,0)+IF(ISNUMBER(Q65),1,0)+IF(ISNUMBER(R65),1,0)+IF(ISNUMBER(S65),1,0)+IF(ISNUMBER(T65),1,0)+IF(ISNUMBER(U65),1,0)+IF(ISNUMBER(V65),1,0)+IF(ISNUMBER(W65),1,0)+IF(ISNUMBER(X65),1,0)+IF(ISNUMBER(Y65),1,0)+IF(ISNUMBER(Z65),1,0)),2),"")</f>
        <v>8.09</v>
      </c>
      <c r="AB65" s="78" t="str">
        <f aca="false">IF(OR(Calculator!$E$11&lt;&gt;"YES",Calculator!$B$32&lt;Calculator!$G$11),"—",ROUND(MAX((50*POWER(80,POWER(COS(PI()*MOD(Calculator!$B$32/Calculator!$F$11,1)),2)))/$C65,$C65/(50*POWER(80,POWER(COS(PI()*MOD(Calculator!$B$32/Calculator!$F$11,1)),2)))),2))</f>
        <v>—</v>
      </c>
      <c r="AC65" s="78" t="str">
        <f aca="false">IF(OR(Calculator!$E$12&lt;&gt;"YES",Calculator!$B$32&lt;Calculator!$G$12),"—",ROUND(MAX((50*POWER(80,POWER(COS(PI()*MOD(Calculator!$B$32/Calculator!$F$12,1)),2)))/$C65,$C65/(50*POWER(80,POWER(COS(PI()*MOD(Calculator!$B$32/Calculator!$F$12,1)),2)))),2))</f>
        <v>—</v>
      </c>
      <c r="AD65" s="78" t="str">
        <f aca="false">IF(OR(Calculator!$E$13&lt;&gt;"YES",Calculator!$B$32&lt;Calculator!$G$13),"—",ROUND(MAX((50*POWER(80,POWER(COS(PI()*MOD(Calculator!$B$32/Calculator!$F$13,1)),2)))/$C65,$C65/(50*POWER(80,POWER(COS(PI()*MOD(Calculator!$B$32/Calculator!$F$13,1)),2)))),2))</f>
        <v>—</v>
      </c>
      <c r="AE65" s="78" t="n">
        <f aca="false">IF(OR(Calculator!$E$14&lt;&gt;"YES",Calculator!$B$32&lt;Calculator!$G$14),"—",ROUND(MAX((50*POWER(80,POWER(COS(PI()*MOD(Calculator!$B$32/Calculator!$F$14,1)),2)))/$C65,$C65/(50*POWER(80,POWER(COS(PI()*MOD(Calculator!$B$32/Calculator!$F$14,1)),2)))),2))</f>
        <v>9.64</v>
      </c>
      <c r="AF65" s="78" t="n">
        <f aca="false">IF(OR(Calculator!$E$15&lt;&gt;"YES",Calculator!$B$32&lt;Calculator!$G$15),"—",ROUND(MAX((50*POWER(80,POWER(COS(PI()*MOD(Calculator!$B$32/Calculator!$F$15,1)),2)))/$C65,$C65/(50*POWER(80,POWER(COS(PI()*MOD(Calculator!$B$32/Calculator!$F$15,1)),2)))),2))</f>
        <v>6.23</v>
      </c>
      <c r="AG65" s="78" t="n">
        <f aca="false">IF(OR(Calculator!$E$16&lt;&gt;"YES",Calculator!$B$32&lt;Calculator!$G$16),"—",ROUND(MAX((50*POWER(80,POWER(COS(PI()*MOD(Calculator!$B$32/Calculator!$F$16,1)),2)))/$C65,$C65/(50*POWER(80,POWER(COS(PI()*MOD(Calculator!$B$32/Calculator!$F$16,1)),2)))),2))</f>
        <v>21.04</v>
      </c>
      <c r="AH65" s="78" t="n">
        <f aca="false">IF(OR(Calculator!$E$17&lt;&gt;"YES",Calculator!$B$32&lt;Calculator!$G$17),"—",ROUND(MAX((50*POWER(80,POWER(COS(PI()*MOD(Calculator!$B$32/Calculator!$F$17,1)),2)))/$C65,$C65/(50*POWER(80,POWER(COS(PI()*MOD(Calculator!$B$32/Calculator!$F$17,1)),2)))),2))</f>
        <v>1.4</v>
      </c>
      <c r="AI65" s="78" t="n">
        <f aca="false">IF(OR(Calculator!$E$18&lt;&gt;"YES",Calculator!$B$32&lt;Calculator!$G$18),"—",ROUND(MAX((50*POWER(80,POWER(COS(PI()*MOD(Calculator!$B$32/Calculator!$F$18,1)),2)))/$C65,$C65/(50*POWER(80,POWER(COS(PI()*MOD(Calculator!$B$32/Calculator!$F$18,1)),2)))),2))</f>
        <v>1.51</v>
      </c>
      <c r="AJ65" s="78" t="n">
        <f aca="false">IF(OR(Calculator!$E$19&lt;&gt;"YES",Calculator!$B$32&lt;Calculator!$G$19),"—",ROUND(MAX((50*POWER(80,POWER(COS(PI()*MOD(Calculator!$B$32/Calculator!$F$19,1)),2)))/$C65,$C65/(50*POWER(80,POWER(COS(PI()*MOD(Calculator!$B$32/Calculator!$F$19,1)),2)))),2))</f>
        <v>1.59</v>
      </c>
      <c r="AK65" s="78" t="n">
        <f aca="false">IF(OR(Calculator!$E$20&lt;&gt;"YES",Calculator!$B$32&lt;Calculator!$G$20),"—",ROUND(MAX((50*POWER(80,POWER(COS(PI()*MOD(Calculator!$B$32/Calculator!$F$20,1)),2)))/$C65,$C65/(50*POWER(80,POWER(COS(PI()*MOD(Calculator!$B$32/Calculator!$F$20,1)),2)))),2))</f>
        <v>16.55</v>
      </c>
      <c r="AL65" s="78" t="str">
        <f aca="false">IF(OR(Calculator!$E$21&lt;&gt;"YES",Calculator!$B$32&lt;Calculator!$G$21),"—",ROUND(MAX((50*POWER(80,POWER(COS(PI()*MOD(Calculator!$B$32/Calculator!$F$21,1)),2)))/$C65,$C65/(50*POWER(80,POWER(COS(PI()*MOD(Calculator!$B$32/Calculator!$F$21,1)),2)))),2))</f>
        <v>—</v>
      </c>
      <c r="AM65" s="101" t="n">
        <f aca="false">IFERROR(ROUND((IF(ISNUMBER(AB65),AB65,0)+IF(ISNUMBER(AC65),AC65,0)+IF(ISNUMBER(AD65),AD65,0)+IF(ISNUMBER(AE65),AE65,0)+IF(ISNUMBER(AF65),AF65,0)+IF(ISNUMBER(AG65),AG65,0)+IF(ISNUMBER(AH65),AH65,0)+IF(ISNUMBER(AI65),AI65,0)+IF(ISNUMBER(AJ65),AJ65,0)+IF(ISNUMBER(AK65),AK65,0)+IF(ISNUMBER(AL65),AL65,0))/(IF(ISNUMBER(AB65),1,0)+IF(ISNUMBER(AC65),1,0)+IF(ISNUMBER(AD65),1,0)+IF(ISNUMBER(AE65),1,0)+IF(ISNUMBER(AF65),1,0)+IF(ISNUMBER(AG65),1,0)+IF(ISNUMBER(AH65),1,0)+IF(ISNUMBER(AI65),1,0)+IF(ISNUMBER(AJ65),1,0)+IF(ISNUMBER(AK65),1,0)+IF(ISNUMBER(AL65),1,0)),2),"")</f>
        <v>8.28</v>
      </c>
      <c r="AN65" s="102" t="str">
        <f aca="false">IF(OR(Calculator!$E$11&lt;&gt;"YES",Calculator!$B$33&lt;Calculator!$G$11),"—",ROUND(MAX((50*POWER(80,POWER(COS(PI()*MOD(Calculator!$B$33/Calculator!$F$11,1)),2)))/$C65,$C65/(50*POWER(80,POWER(COS(PI()*MOD(Calculator!$B$33/Calculator!$F$11,1)),2)))),2))</f>
        <v>—</v>
      </c>
      <c r="AO65" s="102" t="str">
        <f aca="false">IF(OR(Calculator!$E$12&lt;&gt;"YES",Calculator!$B$33&lt;Calculator!$G$12),"—",ROUND(MAX((50*POWER(80,POWER(COS(PI()*MOD(Calculator!$B$33/Calculator!$F$12,1)),2)))/$C65,$C65/(50*POWER(80,POWER(COS(PI()*MOD(Calculator!$B$33/Calculator!$F$12,1)),2)))),2))</f>
        <v>—</v>
      </c>
      <c r="AP65" s="102" t="str">
        <f aca="false">IF(OR(Calculator!$E$13&lt;&gt;"YES",Calculator!$B$33&lt;Calculator!$G$13),"—",ROUND(MAX((50*POWER(80,POWER(COS(PI()*MOD(Calculator!$B$33/Calculator!$F$13,1)),2)))/$C65,$C65/(50*POWER(80,POWER(COS(PI()*MOD(Calculator!$B$33/Calculator!$F$13,1)),2)))),2))</f>
        <v>—</v>
      </c>
      <c r="AQ65" s="102" t="n">
        <f aca="false">IF(OR(Calculator!$E$14&lt;&gt;"YES",Calculator!$B$33&lt;Calculator!$G$14),"—",ROUND(MAX((50*POWER(80,POWER(COS(PI()*MOD(Calculator!$B$33/Calculator!$F$14,1)),2)))/$C65,$C65/(50*POWER(80,POWER(COS(PI()*MOD(Calculator!$B$33/Calculator!$F$14,1)),2)))),2))</f>
        <v>1.65</v>
      </c>
      <c r="AR65" s="102" t="n">
        <f aca="false">IF(OR(Calculator!$E$15&lt;&gt;"YES",Calculator!$B$33&lt;Calculator!$G$15),"—",ROUND(MAX((50*POWER(80,POWER(COS(PI()*MOD(Calculator!$B$33/Calculator!$F$15,1)),2)))/$C65,$C65/(50*POWER(80,POWER(COS(PI()*MOD(Calculator!$B$33/Calculator!$F$15,1)),2)))),2))</f>
        <v>5.62</v>
      </c>
      <c r="AS65" s="102" t="n">
        <f aca="false">IF(OR(Calculator!$E$16&lt;&gt;"YES",Calculator!$B$33&lt;Calculator!$G$16),"—",ROUND(MAX((50*POWER(80,POWER(COS(PI()*MOD(Calculator!$B$33/Calculator!$F$16,1)),2)))/$C65,$C65/(50*POWER(80,POWER(COS(PI()*MOD(Calculator!$B$33/Calculator!$F$16,1)),2)))),2))</f>
        <v>2.05</v>
      </c>
      <c r="AT65" s="102" t="n">
        <f aca="false">IF(OR(Calculator!$E$17&lt;&gt;"YES",Calculator!$B$33&lt;Calculator!$G$17),"—",ROUND(MAX((50*POWER(80,POWER(COS(PI()*MOD(Calculator!$B$33/Calculator!$F$17,1)),2)))/$C65,$C65/(50*POWER(80,POWER(COS(PI()*MOD(Calculator!$B$33/Calculator!$F$17,1)),2)))),2))</f>
        <v>6.52</v>
      </c>
      <c r="AU65" s="102" t="n">
        <f aca="false">IF(OR(Calculator!$E$18&lt;&gt;"YES",Calculator!$B$33&lt;Calculator!$G$18),"—",ROUND(MAX((50*POWER(80,POWER(COS(PI()*MOD(Calculator!$B$33/Calculator!$F$18,1)),2)))/$C65,$C65/(50*POWER(80,POWER(COS(PI()*MOD(Calculator!$B$33/Calculator!$F$18,1)),2)))),2))</f>
        <v>8.82</v>
      </c>
      <c r="AV65" s="102" t="n">
        <f aca="false">IF(OR(Calculator!$E$19&lt;&gt;"YES",Calculator!$B$33&lt;Calculator!$G$19),"—",ROUND(MAX((50*POWER(80,POWER(COS(PI()*MOD(Calculator!$B$33/Calculator!$F$19,1)),2)))/$C65,$C65/(50*POWER(80,POWER(COS(PI()*MOD(Calculator!$B$33/Calculator!$F$19,1)),2)))),2))</f>
        <v>1.07</v>
      </c>
      <c r="AW65" s="102" t="n">
        <f aca="false">IF(OR(Calculator!$E$20&lt;&gt;"YES",Calculator!$B$33&lt;Calculator!$G$20),"—",ROUND(MAX((50*POWER(80,POWER(COS(PI()*MOD(Calculator!$B$33/Calculator!$F$20,1)),2)))/$C65,$C65/(50*POWER(80,POWER(COS(PI()*MOD(Calculator!$B$33/Calculator!$F$20,1)),2)))),2))</f>
        <v>13.46</v>
      </c>
      <c r="AX65" s="102" t="str">
        <f aca="false">IF(OR(Calculator!$E$21&lt;&gt;"YES",Calculator!$B$33&lt;Calculator!$G$21),"—",ROUND(MAX((50*POWER(80,POWER(COS(PI()*MOD(Calculator!$B$33/Calculator!$F$21,1)),2)))/$C65,$C65/(50*POWER(80,POWER(COS(PI()*MOD(Calculator!$B$33/Calculator!$F$21,1)),2)))),2))</f>
        <v>—</v>
      </c>
      <c r="AY65" s="101" t="n">
        <f aca="false">IFERROR(ROUND((IF(ISNUMBER(AN65),AN65,0)+IF(ISNUMBER(AO65),AO65,0)+IF(ISNUMBER(AP65),AP65,0)+IF(ISNUMBER(AQ65),AQ65,0)+IF(ISNUMBER(AR65),AR65,0)+IF(ISNUMBER(AS65),AS65,0)+IF(ISNUMBER(AT65),AT65,0)+IF(ISNUMBER(AU65),AU65,0)+IF(ISNUMBER(AV65),AV65,0)+IF(ISNUMBER(AW65),AW65,0)+IF(ISNUMBER(AX65),AX65,0))/(IF(ISNUMBER(AN65),1,0)+IF(ISNUMBER(AO65),1,0)+IF(ISNUMBER(AP65),1,0)+IF(ISNUMBER(AQ65),1,0)+IF(ISNUMBER(AR65),1,0)+IF(ISNUMBER(AS65),1,0)+IF(ISNUMBER(AT65),1,0)+IF(ISNUMBER(AU65),1,0)+IF(ISNUMBER(AV65),1,0)+IF(ISNUMBER(AW65),1,0)+IF(ISNUMBER(AX65),1,0)),2),"")</f>
        <v>5.6</v>
      </c>
      <c r="AZ65" s="102" t="str">
        <f aca="false">IF(OR(Calculator!$E$11&lt;&gt;"YES",Calculator!$B$34&lt;Calculator!$G$11),"—",ROUND(MAX((50*POWER(80,POWER(COS(PI()*MOD(Calculator!$B$34/Calculator!$F$11,1)),2)))/$C65,$C65/(50*POWER(80,POWER(COS(PI()*MOD(Calculator!$B$34/Calculator!$F$11,1)),2)))),2))</f>
        <v>—</v>
      </c>
      <c r="BA65" s="102" t="str">
        <f aca="false">IF(OR(Calculator!$E$12&lt;&gt;"YES",Calculator!$B$34&lt;Calculator!$G$12),"—",ROUND(MAX((50*POWER(80,POWER(COS(PI()*MOD(Calculator!$B$34/Calculator!$F$12,1)),2)))/$C65,$C65/(50*POWER(80,POWER(COS(PI()*MOD(Calculator!$B$34/Calculator!$F$12,1)),2)))),2))</f>
        <v>—</v>
      </c>
      <c r="BB65" s="102" t="str">
        <f aca="false">IF(OR(Calculator!$E$13&lt;&gt;"YES",Calculator!$B$34&lt;Calculator!$G$13),"—",ROUND(MAX((50*POWER(80,POWER(COS(PI()*MOD(Calculator!$B$34/Calculator!$F$13,1)),2)))/$C65,$C65/(50*POWER(80,POWER(COS(PI()*MOD(Calculator!$B$34/Calculator!$F$13,1)),2)))),2))</f>
        <v>—</v>
      </c>
      <c r="BC65" s="102" t="n">
        <f aca="false">IF(OR(Calculator!$E$14&lt;&gt;"YES",Calculator!$B$34&lt;Calculator!$G$14),"—",ROUND(MAX((50*POWER(80,POWER(COS(PI()*MOD(Calculator!$B$34/Calculator!$F$14,1)),2)))/$C65,$C65/(50*POWER(80,POWER(COS(PI()*MOD(Calculator!$B$34/Calculator!$F$14,1)),2)))),2))</f>
        <v>1.68</v>
      </c>
      <c r="BD65" s="102" t="n">
        <f aca="false">IF(OR(Calculator!$E$15&lt;&gt;"YES",Calculator!$B$34&lt;Calculator!$G$15),"—",ROUND(MAX((50*POWER(80,POWER(COS(PI()*MOD(Calculator!$B$34/Calculator!$F$15,1)),2)))/$C65,$C65/(50*POWER(80,POWER(COS(PI()*MOD(Calculator!$B$34/Calculator!$F$15,1)),2)))),2))</f>
        <v>7.26</v>
      </c>
      <c r="BE65" s="102" t="n">
        <f aca="false">IF(OR(Calculator!$E$16&lt;&gt;"YES",Calculator!$B$34&lt;Calculator!$G$16),"—",ROUND(MAX((50*POWER(80,POWER(COS(PI()*MOD(Calculator!$B$34/Calculator!$F$16,1)),2)))/$C65,$C65/(50*POWER(80,POWER(COS(PI()*MOD(Calculator!$B$34/Calculator!$F$16,1)),2)))),2))</f>
        <v>2.45</v>
      </c>
      <c r="BF65" s="102" t="n">
        <f aca="false">IF(OR(Calculator!$E$17&lt;&gt;"YES",Calculator!$B$34&lt;Calculator!$G$17),"—",ROUND(MAX((50*POWER(80,POWER(COS(PI()*MOD(Calculator!$B$34/Calculator!$F$17,1)),2)))/$C65,$C65/(50*POWER(80,POWER(COS(PI()*MOD(Calculator!$B$34/Calculator!$F$17,1)),2)))),2))</f>
        <v>1.26</v>
      </c>
      <c r="BG65" s="102" t="n">
        <f aca="false">IF(OR(Calculator!$E$18&lt;&gt;"YES",Calculator!$B$34&lt;Calculator!$G$18),"—",ROUND(MAX((50*POWER(80,POWER(COS(PI()*MOD(Calculator!$B$34/Calculator!$F$18,1)),2)))/$C65,$C65/(50*POWER(80,POWER(COS(PI()*MOD(Calculator!$B$34/Calculator!$F$18,1)),2)))),2))</f>
        <v>11.94</v>
      </c>
      <c r="BH65" s="102" t="n">
        <f aca="false">IF(OR(Calculator!$E$19&lt;&gt;"YES",Calculator!$B$34&lt;Calculator!$G$19),"—",ROUND(MAX((50*POWER(80,POWER(COS(PI()*MOD(Calculator!$B$34/Calculator!$F$19,1)),2)))/$C65,$C65/(50*POWER(80,POWER(COS(PI()*MOD(Calculator!$B$34/Calculator!$F$19,1)),2)))),2))</f>
        <v>13.28</v>
      </c>
      <c r="BI65" s="102" t="n">
        <f aca="false">IF(OR(Calculator!$E$20&lt;&gt;"YES",Calculator!$B$34&lt;Calculator!$G$20),"—",ROUND(MAX((50*POWER(80,POWER(COS(PI()*MOD(Calculator!$B$34/Calculator!$F$20,1)),2)))/$C65,$C65/(50*POWER(80,POWER(COS(PI()*MOD(Calculator!$B$34/Calculator!$F$20,1)),2)))),2))</f>
        <v>7.92</v>
      </c>
      <c r="BJ65" s="102" t="str">
        <f aca="false">IF(OR(Calculator!$E$21&lt;&gt;"YES",Calculator!$B$34&lt;Calculator!$G$21),"—",ROUND(MAX((50*POWER(80,POWER(COS(PI()*MOD(Calculator!$B$34/Calculator!$F$21,1)),2)))/$C65,$C65/(50*POWER(80,POWER(COS(PI()*MOD(Calculator!$B$34/Calculator!$F$21,1)),2)))),2))</f>
        <v>—</v>
      </c>
      <c r="BK65" s="101" t="n">
        <f aca="false">IFERROR(ROUND((IF(ISNUMBER(AZ65),AZ65,0)+IF(ISNUMBER(BA65),BA65,0)+IF(ISNUMBER(BB65),BB65,0)+IF(ISNUMBER(BC65),BC65,0)+IF(ISNUMBER(BD65),BD65,0)+IF(ISNUMBER(BE65),BE65,0)+IF(ISNUMBER(BF65),BF65,0)+IF(ISNUMBER(BG65),BG65,0)+IF(ISNUMBER(BH65),BH65,0)+IF(ISNUMBER(BI65),BI65,0)+IF(ISNUMBER(BJ65),BJ65,0))/(IF(ISNUMBER(AZ65),1,0)+IF(ISNUMBER(BA65),1,0)+IF(ISNUMBER(BB65),1,0)+IF(ISNUMBER(BC65),1,0)+IF(ISNUMBER(BD65),1,0)+IF(ISNUMBER(BE65),1,0)+IF(ISNUMBER(BF65),1,0)+IF(ISNUMBER(BG65),1,0)+IF(ISNUMBER(BH65),1,0)+IF(ISNUMBER(BI65),1,0)+IF(ISNUMBER(BJ65),1,0)),2),"")</f>
        <v>6.54</v>
      </c>
    </row>
    <row r="66" customFormat="false" ht="15" hidden="false" customHeight="false" outlineLevel="0" collapsed="false">
      <c r="A66" s="103" t="s">
        <v>117</v>
      </c>
      <c r="B66" s="103" t="s">
        <v>86</v>
      </c>
      <c r="C66" s="104" t="n">
        <v>1700</v>
      </c>
      <c r="D66" s="105" t="str">
        <f aca="false">IF(OR(Calculator!$E$11&lt;&gt;"YES",Calculator!$B$30&lt;Calculator!$G$11),"—",ROUND(MAX((50*POWER(80,POWER(COS(PI()*MOD(Calculator!$B$30/Calculator!$F$11,1)),2)))/$C66,$C66/(50*POWER(80,POWER(COS(PI()*MOD(Calculator!$B$30/Calculator!$F$11,1)),2)))),2))</f>
        <v>—</v>
      </c>
      <c r="E66" s="105" t="str">
        <f aca="false">IF(OR(Calculator!$E$12&lt;&gt;"YES",Calculator!$B$30&lt;Calculator!$G$12),"—",ROUND(MAX((50*POWER(80,POWER(COS(PI()*MOD(Calculator!$B$30/Calculator!$F$12,1)),2)))/$C66,$C66/(50*POWER(80,POWER(COS(PI()*MOD(Calculator!$B$30/Calculator!$F$12,1)),2)))),2))</f>
        <v>—</v>
      </c>
      <c r="F66" s="105" t="str">
        <f aca="false">IF(OR(Calculator!$E$13&lt;&gt;"YES",Calculator!$B$30&lt;Calculator!$G$13),"—",ROUND(MAX((50*POWER(80,POWER(COS(PI()*MOD(Calculator!$B$30/Calculator!$F$13,1)),2)))/$C66,$C66/(50*POWER(80,POWER(COS(PI()*MOD(Calculator!$B$30/Calculator!$F$13,1)),2)))),2))</f>
        <v>—</v>
      </c>
      <c r="G66" s="105" t="n">
        <f aca="false">IF(OR(Calculator!$E$14&lt;&gt;"YES",Calculator!$B$30&lt;Calculator!$G$14),"—",ROUND(MAX((50*POWER(80,POWER(COS(PI()*MOD(Calculator!$B$30/Calculator!$F$14,1)),2)))/$C66,$C66/(50*POWER(80,POWER(COS(PI()*MOD(Calculator!$B$30/Calculator!$F$14,1)),2)))),2))</f>
        <v>15.36</v>
      </c>
      <c r="H66" s="105" t="n">
        <f aca="false">IF(OR(Calculator!$E$15&lt;&gt;"YES",Calculator!$B$30&lt;Calculator!$G$15),"—",ROUND(MAX((50*POWER(80,POWER(COS(PI()*MOD(Calculator!$B$30/Calculator!$F$15,1)),2)))/$C66,$C66/(50*POWER(80,POWER(COS(PI()*MOD(Calculator!$B$30/Calculator!$F$15,1)),2)))),2))</f>
        <v>4.46</v>
      </c>
      <c r="I66" s="105" t="n">
        <f aca="false">IF(OR(Calculator!$E$16&lt;&gt;"YES",Calculator!$B$30&lt;Calculator!$G$16),"—",ROUND(MAX((50*POWER(80,POWER(COS(PI()*MOD(Calculator!$B$30/Calculator!$F$16,1)),2)))/$C66,$C66/(50*POWER(80,POWER(COS(PI()*MOD(Calculator!$B$30/Calculator!$F$16,1)),2)))),2))</f>
        <v>3.04</v>
      </c>
      <c r="J66" s="105" t="n">
        <f aca="false">IF(OR(Calculator!$E$17&lt;&gt;"YES",Calculator!$B$30&lt;Calculator!$G$17),"—",ROUND(MAX((50*POWER(80,POWER(COS(PI()*MOD(Calculator!$B$30/Calculator!$F$17,1)),2)))/$C66,$C66/(50*POWER(80,POWER(COS(PI()*MOD(Calculator!$B$30/Calculator!$F$17,1)),2)))),2))</f>
        <v>8.55</v>
      </c>
      <c r="K66" s="105" t="n">
        <f aca="false">IF(OR(Calculator!$E$18&lt;&gt;"YES",Calculator!$B$30&lt;Calculator!$G$18),"—",ROUND(MAX((50*POWER(80,POWER(COS(PI()*MOD(Calculator!$B$30/Calculator!$F$18,1)),2)))/$C66,$C66/(50*POWER(80,POWER(COS(PI()*MOD(Calculator!$B$30/Calculator!$F$18,1)),2)))),2))</f>
        <v>1.22</v>
      </c>
      <c r="L66" s="105" t="n">
        <f aca="false">IF(OR(Calculator!$E$19&lt;&gt;"YES",Calculator!$B$30&lt;Calculator!$G$19),"—",ROUND(MAX((50*POWER(80,POWER(COS(PI()*MOD(Calculator!$B$30/Calculator!$F$19,1)),2)))/$C66,$C66/(50*POWER(80,POWER(COS(PI()*MOD(Calculator!$B$30/Calculator!$F$19,1)),2)))),2))</f>
        <v>2.16</v>
      </c>
      <c r="M66" s="105" t="n">
        <f aca="false">IF(OR(Calculator!$E$20&lt;&gt;"YES",Calculator!$B$30&lt;Calculator!$G$20),"—",ROUND(MAX((50*POWER(80,POWER(COS(PI()*MOD(Calculator!$B$30/Calculator!$F$20,1)),2)))/$C66,$C66/(50*POWER(80,POWER(COS(PI()*MOD(Calculator!$B$30/Calculator!$F$20,1)),2)))),2))</f>
        <v>13.43</v>
      </c>
      <c r="N66" s="105" t="str">
        <f aca="false">IF(OR(Calculator!$E$21&lt;&gt;"YES",Calculator!$B$30&lt;Calculator!$G$21),"—",ROUND(MAX((50*POWER(80,POWER(COS(PI()*MOD(Calculator!$B$30/Calculator!$F$21,1)),2)))/$C66,$C66/(50*POWER(80,POWER(COS(PI()*MOD(Calculator!$B$30/Calculator!$F$21,1)),2)))),2))</f>
        <v>—</v>
      </c>
      <c r="O66" s="100" t="n">
        <f aca="false">IFERROR(ROUND((IF(ISNUMBER(D66),D66,0)+IF(ISNUMBER(E66),E66,0)+IF(ISNUMBER(F66),F66,0)+IF(ISNUMBER(G66),G66,0)+IF(ISNUMBER(H66),H66,0)+IF(ISNUMBER(I66),I66,0)+IF(ISNUMBER(J66),J66,0)+IF(ISNUMBER(K66),K66,0)+IF(ISNUMBER(L66),L66,0)+IF(ISNUMBER(M66),M66,0)+IF(ISNUMBER(N66),N66,0))/(IF(ISNUMBER(D66),1,0)+IF(ISNUMBER(E66),1,0)+IF(ISNUMBER(F66),1,0)+IF(ISNUMBER(G66),1,0)+IF(ISNUMBER(H66),1,0)+IF(ISNUMBER(I66),1,0)+IF(ISNUMBER(J66),1,0)+IF(ISNUMBER(K66),1,0)+IF(ISNUMBER(L66),1,0)+IF(ISNUMBER(M66),1,0)+IF(ISNUMBER(N66),1,0)),2),"")</f>
        <v>6.89</v>
      </c>
      <c r="P66" s="105" t="str">
        <f aca="false">IF(OR(Calculator!$E$11&lt;&gt;"YES",Calculator!$B$31&lt;Calculator!$G$11),"—",ROUND(MAX((50*POWER(80,POWER(COS(PI()*MOD(Calculator!$B$31/Calculator!$F$11,1)),2)))/$C66,$C66/(50*POWER(80,POWER(COS(PI()*MOD(Calculator!$B$31/Calculator!$F$11,1)),2)))),2))</f>
        <v>—</v>
      </c>
      <c r="Q66" s="105" t="str">
        <f aca="false">IF(OR(Calculator!$E$12&lt;&gt;"YES",Calculator!$B$31&lt;Calculator!$G$12),"—",ROUND(MAX((50*POWER(80,POWER(COS(PI()*MOD(Calculator!$B$31/Calculator!$F$12,1)),2)))/$C66,$C66/(50*POWER(80,POWER(COS(PI()*MOD(Calculator!$B$31/Calculator!$F$12,1)),2)))),2))</f>
        <v>—</v>
      </c>
      <c r="R66" s="105" t="str">
        <f aca="false">IF(OR(Calculator!$E$13&lt;&gt;"YES",Calculator!$B$31&lt;Calculator!$G$13),"—",ROUND(MAX((50*POWER(80,POWER(COS(PI()*MOD(Calculator!$B$31/Calculator!$F$13,1)),2)))/$C66,$C66/(50*POWER(80,POWER(COS(PI()*MOD(Calculator!$B$31/Calculator!$F$13,1)),2)))),2))</f>
        <v>—</v>
      </c>
      <c r="S66" s="105" t="n">
        <f aca="false">IF(OR(Calculator!$E$14&lt;&gt;"YES",Calculator!$B$31&lt;Calculator!$G$14),"—",ROUND(MAX((50*POWER(80,POWER(COS(PI()*MOD(Calculator!$B$31/Calculator!$F$14,1)),2)))/$C66,$C66/(50*POWER(80,POWER(COS(PI()*MOD(Calculator!$B$31/Calculator!$F$14,1)),2)))),2))</f>
        <v>15.73</v>
      </c>
      <c r="T66" s="105" t="n">
        <f aca="false">IF(OR(Calculator!$E$15&lt;&gt;"YES",Calculator!$B$31&lt;Calculator!$G$15),"—",ROUND(MAX((50*POWER(80,POWER(COS(PI()*MOD(Calculator!$B$31/Calculator!$F$15,1)),2)))/$C66,$C66/(50*POWER(80,POWER(COS(PI()*MOD(Calculator!$B$31/Calculator!$F$15,1)),2)))),2))</f>
        <v>9.57</v>
      </c>
      <c r="U66" s="105" t="n">
        <f aca="false">IF(OR(Calculator!$E$16&lt;&gt;"YES",Calculator!$B$31&lt;Calculator!$G$16),"—",ROUND(MAX((50*POWER(80,POWER(COS(PI()*MOD(Calculator!$B$31/Calculator!$F$16,1)),2)))/$C66,$C66/(50*POWER(80,POWER(COS(PI()*MOD(Calculator!$B$31/Calculator!$F$16,1)),2)))),2))</f>
        <v>3.64</v>
      </c>
      <c r="V66" s="105" t="n">
        <f aca="false">IF(OR(Calculator!$E$17&lt;&gt;"YES",Calculator!$B$31&lt;Calculator!$G$17),"—",ROUND(MAX((50*POWER(80,POWER(COS(PI()*MOD(Calculator!$B$31/Calculator!$F$17,1)),2)))/$C66,$C66/(50*POWER(80,POWER(COS(PI()*MOD(Calculator!$B$31/Calculator!$F$17,1)),2)))),2))</f>
        <v>1.05</v>
      </c>
      <c r="W66" s="105" t="n">
        <f aca="false">IF(OR(Calculator!$E$18&lt;&gt;"YES",Calculator!$B$31&lt;Calculator!$G$18),"—",ROUND(MAX((50*POWER(80,POWER(COS(PI()*MOD(Calculator!$B$31/Calculator!$F$18,1)),2)))/$C66,$C66/(50*POWER(80,POWER(COS(PI()*MOD(Calculator!$B$31/Calculator!$F$18,1)),2)))),2))</f>
        <v>1.08</v>
      </c>
      <c r="X66" s="105" t="n">
        <f aca="false">IF(OR(Calculator!$E$19&lt;&gt;"YES",Calculator!$B$31&lt;Calculator!$G$19),"—",ROUND(MAX((50*POWER(80,POWER(COS(PI()*MOD(Calculator!$B$31/Calculator!$F$19,1)),2)))/$C66,$C66/(50*POWER(80,POWER(COS(PI()*MOD(Calculator!$B$31/Calculator!$F$19,1)),2)))),2))</f>
        <v>6.32</v>
      </c>
      <c r="Y66" s="105" t="n">
        <f aca="false">IF(OR(Calculator!$E$20&lt;&gt;"YES",Calculator!$B$31&lt;Calculator!$G$20),"—",ROUND(MAX((50*POWER(80,POWER(COS(PI()*MOD(Calculator!$B$31/Calculator!$F$20,1)),2)))/$C66,$C66/(50*POWER(80,POWER(COS(PI()*MOD(Calculator!$B$31/Calculator!$F$20,1)),2)))),2))</f>
        <v>20.86</v>
      </c>
      <c r="Z66" s="105" t="str">
        <f aca="false">IF(OR(Calculator!$E$21&lt;&gt;"YES",Calculator!$B$31&lt;Calculator!$G$21),"—",ROUND(MAX((50*POWER(80,POWER(COS(PI()*MOD(Calculator!$B$31/Calculator!$F$21,1)),2)))/$C66,$C66/(50*POWER(80,POWER(COS(PI()*MOD(Calculator!$B$31/Calculator!$F$21,1)),2)))),2))</f>
        <v>—</v>
      </c>
      <c r="AA66" s="100" t="n">
        <f aca="false">IFERROR(ROUND((IF(ISNUMBER(P66),P66,0)+IF(ISNUMBER(Q66),Q66,0)+IF(ISNUMBER(R66),R66,0)+IF(ISNUMBER(S66),S66,0)+IF(ISNUMBER(T66),T66,0)+IF(ISNUMBER(U66),U66,0)+IF(ISNUMBER(V66),V66,0)+IF(ISNUMBER(W66),W66,0)+IF(ISNUMBER(X66),X66,0)+IF(ISNUMBER(Y66),Y66,0)+IF(ISNUMBER(Z66),Z66,0))/(IF(ISNUMBER(P66),1,0)+IF(ISNUMBER(Q66),1,0)+IF(ISNUMBER(R66),1,0)+IF(ISNUMBER(S66),1,0)+IF(ISNUMBER(T66),1,0)+IF(ISNUMBER(U66),1,0)+IF(ISNUMBER(V66),1,0)+IF(ISNUMBER(W66),1,0)+IF(ISNUMBER(X66),1,0)+IF(ISNUMBER(Y66),1,0)+IF(ISNUMBER(Z66),1,0)),2),"")</f>
        <v>8.32</v>
      </c>
      <c r="AB66" s="105" t="str">
        <f aca="false">IF(OR(Calculator!$E$11&lt;&gt;"YES",Calculator!$B$32&lt;Calculator!$G$11),"—",ROUND(MAX((50*POWER(80,POWER(COS(PI()*MOD(Calculator!$B$32/Calculator!$F$11,1)),2)))/$C66,$C66/(50*POWER(80,POWER(COS(PI()*MOD(Calculator!$B$32/Calculator!$F$11,1)),2)))),2))</f>
        <v>—</v>
      </c>
      <c r="AC66" s="105" t="str">
        <f aca="false">IF(OR(Calculator!$E$12&lt;&gt;"YES",Calculator!$B$32&lt;Calculator!$G$12),"—",ROUND(MAX((50*POWER(80,POWER(COS(PI()*MOD(Calculator!$B$32/Calculator!$F$12,1)),2)))/$C66,$C66/(50*POWER(80,POWER(COS(PI()*MOD(Calculator!$B$32/Calculator!$F$12,1)),2)))),2))</f>
        <v>—</v>
      </c>
      <c r="AD66" s="105" t="str">
        <f aca="false">IF(OR(Calculator!$E$13&lt;&gt;"YES",Calculator!$B$32&lt;Calculator!$G$13),"—",ROUND(MAX((50*POWER(80,POWER(COS(PI()*MOD(Calculator!$B$32/Calculator!$F$13,1)),2)))/$C66,$C66/(50*POWER(80,POWER(COS(PI()*MOD(Calculator!$B$32/Calculator!$F$13,1)),2)))),2))</f>
        <v>—</v>
      </c>
      <c r="AE66" s="105" t="n">
        <f aca="false">IF(OR(Calculator!$E$14&lt;&gt;"YES",Calculator!$B$32&lt;Calculator!$G$14),"—",ROUND(MAX((50*POWER(80,POWER(COS(PI()*MOD(Calculator!$B$32/Calculator!$F$14,1)),2)))/$C66,$C66/(50*POWER(80,POWER(COS(PI()*MOD(Calculator!$B$32/Calculator!$F$14,1)),2)))),2))</f>
        <v>9.93</v>
      </c>
      <c r="AF66" s="105" t="n">
        <f aca="false">IF(OR(Calculator!$E$15&lt;&gt;"YES",Calculator!$B$32&lt;Calculator!$G$15),"—",ROUND(MAX((50*POWER(80,POWER(COS(PI()*MOD(Calculator!$B$32/Calculator!$F$15,1)),2)))/$C66,$C66/(50*POWER(80,POWER(COS(PI()*MOD(Calculator!$B$32/Calculator!$F$15,1)),2)))),2))</f>
        <v>6.42</v>
      </c>
      <c r="AG66" s="105" t="n">
        <f aca="false">IF(OR(Calculator!$E$16&lt;&gt;"YES",Calculator!$B$32&lt;Calculator!$G$16),"—",ROUND(MAX((50*POWER(80,POWER(COS(PI()*MOD(Calculator!$B$32/Calculator!$F$16,1)),2)))/$C66,$C66/(50*POWER(80,POWER(COS(PI()*MOD(Calculator!$B$32/Calculator!$F$16,1)),2)))),2))</f>
        <v>21.68</v>
      </c>
      <c r="AH66" s="105" t="n">
        <f aca="false">IF(OR(Calculator!$E$17&lt;&gt;"YES",Calculator!$B$32&lt;Calculator!$G$17),"—",ROUND(MAX((50*POWER(80,POWER(COS(PI()*MOD(Calculator!$B$32/Calculator!$F$17,1)),2)))/$C66,$C66/(50*POWER(80,POWER(COS(PI()*MOD(Calculator!$B$32/Calculator!$F$17,1)),2)))),2))</f>
        <v>1.35</v>
      </c>
      <c r="AI66" s="105" t="n">
        <f aca="false">IF(OR(Calculator!$E$18&lt;&gt;"YES",Calculator!$B$32&lt;Calculator!$G$18),"—",ROUND(MAX((50*POWER(80,POWER(COS(PI()*MOD(Calculator!$B$32/Calculator!$F$18,1)),2)))/$C66,$C66/(50*POWER(80,POWER(COS(PI()*MOD(Calculator!$B$32/Calculator!$F$18,1)),2)))),2))</f>
        <v>1.47</v>
      </c>
      <c r="AJ66" s="105" t="n">
        <f aca="false">IF(OR(Calculator!$E$19&lt;&gt;"YES",Calculator!$B$32&lt;Calculator!$G$19),"—",ROUND(MAX((50*POWER(80,POWER(COS(PI()*MOD(Calculator!$B$32/Calculator!$F$19,1)),2)))/$C66,$C66/(50*POWER(80,POWER(COS(PI()*MOD(Calculator!$B$32/Calculator!$F$19,1)),2)))),2))</f>
        <v>1.55</v>
      </c>
      <c r="AK66" s="105" t="n">
        <f aca="false">IF(OR(Calculator!$E$20&lt;&gt;"YES",Calculator!$B$32&lt;Calculator!$G$20),"—",ROUND(MAX((50*POWER(80,POWER(COS(PI()*MOD(Calculator!$B$32/Calculator!$F$20,1)),2)))/$C66,$C66/(50*POWER(80,POWER(COS(PI()*MOD(Calculator!$B$32/Calculator!$F$20,1)),2)))),2))</f>
        <v>17.05</v>
      </c>
      <c r="AL66" s="105" t="str">
        <f aca="false">IF(OR(Calculator!$E$21&lt;&gt;"YES",Calculator!$B$32&lt;Calculator!$G$21),"—",ROUND(MAX((50*POWER(80,POWER(COS(PI()*MOD(Calculator!$B$32/Calculator!$F$21,1)),2)))/$C66,$C66/(50*POWER(80,POWER(COS(PI()*MOD(Calculator!$B$32/Calculator!$F$21,1)),2)))),2))</f>
        <v>—</v>
      </c>
      <c r="AM66" s="101" t="n">
        <f aca="false">IFERROR(ROUND((IF(ISNUMBER(AB66),AB66,0)+IF(ISNUMBER(AC66),AC66,0)+IF(ISNUMBER(AD66),AD66,0)+IF(ISNUMBER(AE66),AE66,0)+IF(ISNUMBER(AF66),AF66,0)+IF(ISNUMBER(AG66),AG66,0)+IF(ISNUMBER(AH66),AH66,0)+IF(ISNUMBER(AI66),AI66,0)+IF(ISNUMBER(AJ66),AJ66,0)+IF(ISNUMBER(AK66),AK66,0)+IF(ISNUMBER(AL66),AL66,0))/(IF(ISNUMBER(AB66),1,0)+IF(ISNUMBER(AC66),1,0)+IF(ISNUMBER(AD66),1,0)+IF(ISNUMBER(AE66),1,0)+IF(ISNUMBER(AF66),1,0)+IF(ISNUMBER(AG66),1,0)+IF(ISNUMBER(AH66),1,0)+IF(ISNUMBER(AI66),1,0)+IF(ISNUMBER(AJ66),1,0)+IF(ISNUMBER(AK66),1,0)+IF(ISNUMBER(AL66),1,0)),2),"")</f>
        <v>8.49</v>
      </c>
      <c r="AN66" s="106" t="str">
        <f aca="false">IF(OR(Calculator!$E$11&lt;&gt;"YES",Calculator!$B$33&lt;Calculator!$G$11),"—",ROUND(MAX((50*POWER(80,POWER(COS(PI()*MOD(Calculator!$B$33/Calculator!$F$11,1)),2)))/$C66,$C66/(50*POWER(80,POWER(COS(PI()*MOD(Calculator!$B$33/Calculator!$F$11,1)),2)))),2))</f>
        <v>—</v>
      </c>
      <c r="AO66" s="106" t="str">
        <f aca="false">IF(OR(Calculator!$E$12&lt;&gt;"YES",Calculator!$B$33&lt;Calculator!$G$12),"—",ROUND(MAX((50*POWER(80,POWER(COS(PI()*MOD(Calculator!$B$33/Calculator!$F$12,1)),2)))/$C66,$C66/(50*POWER(80,POWER(COS(PI()*MOD(Calculator!$B$33/Calculator!$F$12,1)),2)))),2))</f>
        <v>—</v>
      </c>
      <c r="AP66" s="106" t="str">
        <f aca="false">IF(OR(Calculator!$E$13&lt;&gt;"YES",Calculator!$B$33&lt;Calculator!$G$13),"—",ROUND(MAX((50*POWER(80,POWER(COS(PI()*MOD(Calculator!$B$33/Calculator!$F$13,1)),2)))/$C66,$C66/(50*POWER(80,POWER(COS(PI()*MOD(Calculator!$B$33/Calculator!$F$13,1)),2)))),2))</f>
        <v>—</v>
      </c>
      <c r="AQ66" s="106" t="n">
        <f aca="false">IF(OR(Calculator!$E$14&lt;&gt;"YES",Calculator!$B$33&lt;Calculator!$G$14),"—",ROUND(MAX((50*POWER(80,POWER(COS(PI()*MOD(Calculator!$B$33/Calculator!$F$14,1)),2)))/$C66,$C66/(50*POWER(80,POWER(COS(PI()*MOD(Calculator!$B$33/Calculator!$F$14,1)),2)))),2))</f>
        <v>1.6</v>
      </c>
      <c r="AR66" s="106" t="n">
        <f aca="false">IF(OR(Calculator!$E$15&lt;&gt;"YES",Calculator!$B$33&lt;Calculator!$G$15),"—",ROUND(MAX((50*POWER(80,POWER(COS(PI()*MOD(Calculator!$B$33/Calculator!$F$15,1)),2)))/$C66,$C66/(50*POWER(80,POWER(COS(PI()*MOD(Calculator!$B$33/Calculator!$F$15,1)),2)))),2))</f>
        <v>5.79</v>
      </c>
      <c r="AS66" s="106" t="n">
        <f aca="false">IF(OR(Calculator!$E$16&lt;&gt;"YES",Calculator!$B$33&lt;Calculator!$G$16),"—",ROUND(MAX((50*POWER(80,POWER(COS(PI()*MOD(Calculator!$B$33/Calculator!$F$16,1)),2)))/$C66,$C66/(50*POWER(80,POWER(COS(PI()*MOD(Calculator!$B$33/Calculator!$F$16,1)),2)))),2))</f>
        <v>2.12</v>
      </c>
      <c r="AT66" s="106" t="n">
        <f aca="false">IF(OR(Calculator!$E$17&lt;&gt;"YES",Calculator!$B$33&lt;Calculator!$G$17),"—",ROUND(MAX((50*POWER(80,POWER(COS(PI()*MOD(Calculator!$B$33/Calculator!$F$17,1)),2)))/$C66,$C66/(50*POWER(80,POWER(COS(PI()*MOD(Calculator!$B$33/Calculator!$F$17,1)),2)))),2))</f>
        <v>6.72</v>
      </c>
      <c r="AU66" s="106" t="n">
        <f aca="false">IF(OR(Calculator!$E$18&lt;&gt;"YES",Calculator!$B$33&lt;Calculator!$G$18),"—",ROUND(MAX((50*POWER(80,POWER(COS(PI()*MOD(Calculator!$B$33/Calculator!$F$18,1)),2)))/$C66,$C66/(50*POWER(80,POWER(COS(PI()*MOD(Calculator!$B$33/Calculator!$F$18,1)),2)))),2))</f>
        <v>9.09</v>
      </c>
      <c r="AV66" s="106" t="n">
        <f aca="false">IF(OR(Calculator!$E$19&lt;&gt;"YES",Calculator!$B$33&lt;Calculator!$G$19),"—",ROUND(MAX((50*POWER(80,POWER(COS(PI()*MOD(Calculator!$B$33/Calculator!$F$19,1)),2)))/$C66,$C66/(50*POWER(80,POWER(COS(PI()*MOD(Calculator!$B$33/Calculator!$F$19,1)),2)))),2))</f>
        <v>1.11</v>
      </c>
      <c r="AW66" s="106" t="n">
        <f aca="false">IF(OR(Calculator!$E$20&lt;&gt;"YES",Calculator!$B$33&lt;Calculator!$G$20),"—",ROUND(MAX((50*POWER(80,POWER(COS(PI()*MOD(Calculator!$B$33/Calculator!$F$20,1)),2)))/$C66,$C66/(50*POWER(80,POWER(COS(PI()*MOD(Calculator!$B$33/Calculator!$F$20,1)),2)))),2))</f>
        <v>13.87</v>
      </c>
      <c r="AX66" s="106" t="str">
        <f aca="false">IF(OR(Calculator!$E$21&lt;&gt;"YES",Calculator!$B$33&lt;Calculator!$G$21),"—",ROUND(MAX((50*POWER(80,POWER(COS(PI()*MOD(Calculator!$B$33/Calculator!$F$21,1)),2)))/$C66,$C66/(50*POWER(80,POWER(COS(PI()*MOD(Calculator!$B$33/Calculator!$F$21,1)),2)))),2))</f>
        <v>—</v>
      </c>
      <c r="AY66" s="101" t="n">
        <f aca="false">IFERROR(ROUND((IF(ISNUMBER(AN66),AN66,0)+IF(ISNUMBER(AO66),AO66,0)+IF(ISNUMBER(AP66),AP66,0)+IF(ISNUMBER(AQ66),AQ66,0)+IF(ISNUMBER(AR66),AR66,0)+IF(ISNUMBER(AS66),AS66,0)+IF(ISNUMBER(AT66),AT66,0)+IF(ISNUMBER(AU66),AU66,0)+IF(ISNUMBER(AV66),AV66,0)+IF(ISNUMBER(AW66),AW66,0)+IF(ISNUMBER(AX66),AX66,0))/(IF(ISNUMBER(AN66),1,0)+IF(ISNUMBER(AO66),1,0)+IF(ISNUMBER(AP66),1,0)+IF(ISNUMBER(AQ66),1,0)+IF(ISNUMBER(AR66),1,0)+IF(ISNUMBER(AS66),1,0)+IF(ISNUMBER(AT66),1,0)+IF(ISNUMBER(AU66),1,0)+IF(ISNUMBER(AV66),1,0)+IF(ISNUMBER(AW66),1,0)+IF(ISNUMBER(AX66),1,0)),2),"")</f>
        <v>5.76</v>
      </c>
      <c r="AZ66" s="106" t="str">
        <f aca="false">IF(OR(Calculator!$E$11&lt;&gt;"YES",Calculator!$B$34&lt;Calculator!$G$11),"—",ROUND(MAX((50*POWER(80,POWER(COS(PI()*MOD(Calculator!$B$34/Calculator!$F$11,1)),2)))/$C66,$C66/(50*POWER(80,POWER(COS(PI()*MOD(Calculator!$B$34/Calculator!$F$11,1)),2)))),2))</f>
        <v>—</v>
      </c>
      <c r="BA66" s="106" t="str">
        <f aca="false">IF(OR(Calculator!$E$12&lt;&gt;"YES",Calculator!$B$34&lt;Calculator!$G$12),"—",ROUND(MAX((50*POWER(80,POWER(COS(PI()*MOD(Calculator!$B$34/Calculator!$F$12,1)),2)))/$C66,$C66/(50*POWER(80,POWER(COS(PI()*MOD(Calculator!$B$34/Calculator!$F$12,1)),2)))),2))</f>
        <v>—</v>
      </c>
      <c r="BB66" s="106" t="str">
        <f aca="false">IF(OR(Calculator!$E$13&lt;&gt;"YES",Calculator!$B$34&lt;Calculator!$G$13),"—",ROUND(MAX((50*POWER(80,POWER(COS(PI()*MOD(Calculator!$B$34/Calculator!$F$13,1)),2)))/$C66,$C66/(50*POWER(80,POWER(COS(PI()*MOD(Calculator!$B$34/Calculator!$F$13,1)),2)))),2))</f>
        <v>—</v>
      </c>
      <c r="BC66" s="106" t="n">
        <f aca="false">IF(OR(Calculator!$E$14&lt;&gt;"YES",Calculator!$B$34&lt;Calculator!$G$14),"—",ROUND(MAX((50*POWER(80,POWER(COS(PI()*MOD(Calculator!$B$34/Calculator!$F$14,1)),2)))/$C66,$C66/(50*POWER(80,POWER(COS(PI()*MOD(Calculator!$B$34/Calculator!$F$14,1)),2)))),2))</f>
        <v>1.63</v>
      </c>
      <c r="BD66" s="106" t="n">
        <f aca="false">IF(OR(Calculator!$E$15&lt;&gt;"YES",Calculator!$B$34&lt;Calculator!$G$15),"—",ROUND(MAX((50*POWER(80,POWER(COS(PI()*MOD(Calculator!$B$34/Calculator!$F$15,1)),2)))/$C66,$C66/(50*POWER(80,POWER(COS(PI()*MOD(Calculator!$B$34/Calculator!$F$15,1)),2)))),2))</f>
        <v>7.48</v>
      </c>
      <c r="BE66" s="106" t="n">
        <f aca="false">IF(OR(Calculator!$E$16&lt;&gt;"YES",Calculator!$B$34&lt;Calculator!$G$16),"—",ROUND(MAX((50*POWER(80,POWER(COS(PI()*MOD(Calculator!$B$34/Calculator!$F$16,1)),2)))/$C66,$C66/(50*POWER(80,POWER(COS(PI()*MOD(Calculator!$B$34/Calculator!$F$16,1)),2)))),2))</f>
        <v>2.52</v>
      </c>
      <c r="BF66" s="106" t="n">
        <f aca="false">IF(OR(Calculator!$E$17&lt;&gt;"YES",Calculator!$B$34&lt;Calculator!$G$17),"—",ROUND(MAX((50*POWER(80,POWER(COS(PI()*MOD(Calculator!$B$34/Calculator!$F$17,1)),2)))/$C66,$C66/(50*POWER(80,POWER(COS(PI()*MOD(Calculator!$B$34/Calculator!$F$17,1)),2)))),2))</f>
        <v>1.3</v>
      </c>
      <c r="BG66" s="106" t="n">
        <f aca="false">IF(OR(Calculator!$E$18&lt;&gt;"YES",Calculator!$B$34&lt;Calculator!$G$18),"—",ROUND(MAX((50*POWER(80,POWER(COS(PI()*MOD(Calculator!$B$34/Calculator!$F$18,1)),2)))/$C66,$C66/(50*POWER(80,POWER(COS(PI()*MOD(Calculator!$B$34/Calculator!$F$18,1)),2)))),2))</f>
        <v>12.3</v>
      </c>
      <c r="BH66" s="106" t="n">
        <f aca="false">IF(OR(Calculator!$E$19&lt;&gt;"YES",Calculator!$B$34&lt;Calculator!$G$19),"—",ROUND(MAX((50*POWER(80,POWER(COS(PI()*MOD(Calculator!$B$34/Calculator!$F$19,1)),2)))/$C66,$C66/(50*POWER(80,POWER(COS(PI()*MOD(Calculator!$B$34/Calculator!$F$19,1)),2)))),2))</f>
        <v>13.68</v>
      </c>
      <c r="BI66" s="106" t="n">
        <f aca="false">IF(OR(Calculator!$E$20&lt;&gt;"YES",Calculator!$B$34&lt;Calculator!$G$20),"—",ROUND(MAX((50*POWER(80,POWER(COS(PI()*MOD(Calculator!$B$34/Calculator!$F$20,1)),2)))/$C66,$C66/(50*POWER(80,POWER(COS(PI()*MOD(Calculator!$B$34/Calculator!$F$20,1)),2)))),2))</f>
        <v>8.16</v>
      </c>
      <c r="BJ66" s="106" t="str">
        <f aca="false">IF(OR(Calculator!$E$21&lt;&gt;"YES",Calculator!$B$34&lt;Calculator!$G$21),"—",ROUND(MAX((50*POWER(80,POWER(COS(PI()*MOD(Calculator!$B$34/Calculator!$F$21,1)),2)))/$C66,$C66/(50*POWER(80,POWER(COS(PI()*MOD(Calculator!$B$34/Calculator!$F$21,1)),2)))),2))</f>
        <v>—</v>
      </c>
      <c r="BK66" s="101" t="n">
        <f aca="false">IFERROR(ROUND((IF(ISNUMBER(AZ66),AZ66,0)+IF(ISNUMBER(BA66),BA66,0)+IF(ISNUMBER(BB66),BB66,0)+IF(ISNUMBER(BC66),BC66,0)+IF(ISNUMBER(BD66),BD66,0)+IF(ISNUMBER(BE66),BE66,0)+IF(ISNUMBER(BF66),BF66,0)+IF(ISNUMBER(BG66),BG66,0)+IF(ISNUMBER(BH66),BH66,0)+IF(ISNUMBER(BI66),BI66,0)+IF(ISNUMBER(BJ66),BJ66,0))/(IF(ISNUMBER(AZ66),1,0)+IF(ISNUMBER(BA66),1,0)+IF(ISNUMBER(BB66),1,0)+IF(ISNUMBER(BC66),1,0)+IF(ISNUMBER(BD66),1,0)+IF(ISNUMBER(BE66),1,0)+IF(ISNUMBER(BF66),1,0)+IF(ISNUMBER(BG66),1,0)+IF(ISNUMBER(BH66),1,0)+IF(ISNUMBER(BI66),1,0)+IF(ISNUMBER(BJ66),1,0)),2),"")</f>
        <v>6.72</v>
      </c>
    </row>
    <row r="67" customFormat="false" ht="15" hidden="false" customHeight="false" outlineLevel="0" collapsed="false">
      <c r="A67" s="74" t="s">
        <v>118</v>
      </c>
      <c r="B67" s="74" t="s">
        <v>86</v>
      </c>
      <c r="C67" s="77" t="n">
        <v>1750</v>
      </c>
      <c r="D67" s="78" t="str">
        <f aca="false">IF(OR(Calculator!$E$11&lt;&gt;"YES",Calculator!$B$30&lt;Calculator!$G$11),"—",ROUND(MAX((50*POWER(80,POWER(COS(PI()*MOD(Calculator!$B$30/Calculator!$F$11,1)),2)))/$C67,$C67/(50*POWER(80,POWER(COS(PI()*MOD(Calculator!$B$30/Calculator!$F$11,1)),2)))),2))</f>
        <v>—</v>
      </c>
      <c r="E67" s="78" t="str">
        <f aca="false">IF(OR(Calculator!$E$12&lt;&gt;"YES",Calculator!$B$30&lt;Calculator!$G$12),"—",ROUND(MAX((50*POWER(80,POWER(COS(PI()*MOD(Calculator!$B$30/Calculator!$F$12,1)),2)))/$C67,$C67/(50*POWER(80,POWER(COS(PI()*MOD(Calculator!$B$30/Calculator!$F$12,1)),2)))),2))</f>
        <v>—</v>
      </c>
      <c r="F67" s="78" t="str">
        <f aca="false">IF(OR(Calculator!$E$13&lt;&gt;"YES",Calculator!$B$30&lt;Calculator!$G$13),"—",ROUND(MAX((50*POWER(80,POWER(COS(PI()*MOD(Calculator!$B$30/Calculator!$F$13,1)),2)))/$C67,$C67/(50*POWER(80,POWER(COS(PI()*MOD(Calculator!$B$30/Calculator!$F$13,1)),2)))),2))</f>
        <v>—</v>
      </c>
      <c r="G67" s="78" t="n">
        <f aca="false">IF(OR(Calculator!$E$14&lt;&gt;"YES",Calculator!$B$30&lt;Calculator!$G$14),"—",ROUND(MAX((50*POWER(80,POWER(COS(PI()*MOD(Calculator!$B$30/Calculator!$F$14,1)),2)))/$C67,$C67/(50*POWER(80,POWER(COS(PI()*MOD(Calculator!$B$30/Calculator!$F$14,1)),2)))),2))</f>
        <v>15.81</v>
      </c>
      <c r="H67" s="78" t="n">
        <f aca="false">IF(OR(Calculator!$E$15&lt;&gt;"YES",Calculator!$B$30&lt;Calculator!$G$15),"—",ROUND(MAX((50*POWER(80,POWER(COS(PI()*MOD(Calculator!$B$30/Calculator!$F$15,1)),2)))/$C67,$C67/(50*POWER(80,POWER(COS(PI()*MOD(Calculator!$B$30/Calculator!$F$15,1)),2)))),2))</f>
        <v>4.59</v>
      </c>
      <c r="I67" s="78" t="n">
        <f aca="false">IF(OR(Calculator!$E$16&lt;&gt;"YES",Calculator!$B$30&lt;Calculator!$G$16),"—",ROUND(MAX((50*POWER(80,POWER(COS(PI()*MOD(Calculator!$B$30/Calculator!$F$16,1)),2)))/$C67,$C67/(50*POWER(80,POWER(COS(PI()*MOD(Calculator!$B$30/Calculator!$F$16,1)),2)))),2))</f>
        <v>3.13</v>
      </c>
      <c r="J67" s="78" t="n">
        <f aca="false">IF(OR(Calculator!$E$17&lt;&gt;"YES",Calculator!$B$30&lt;Calculator!$G$17),"—",ROUND(MAX((50*POWER(80,POWER(COS(PI()*MOD(Calculator!$B$30/Calculator!$F$17,1)),2)))/$C67,$C67/(50*POWER(80,POWER(COS(PI()*MOD(Calculator!$B$30/Calculator!$F$17,1)),2)))),2))</f>
        <v>8.8</v>
      </c>
      <c r="K67" s="78" t="n">
        <f aca="false">IF(OR(Calculator!$E$18&lt;&gt;"YES",Calculator!$B$30&lt;Calculator!$G$18),"—",ROUND(MAX((50*POWER(80,POWER(COS(PI()*MOD(Calculator!$B$30/Calculator!$F$18,1)),2)))/$C67,$C67/(50*POWER(80,POWER(COS(PI()*MOD(Calculator!$B$30/Calculator!$F$18,1)),2)))),2))</f>
        <v>1.25</v>
      </c>
      <c r="L67" s="78" t="n">
        <f aca="false">IF(OR(Calculator!$E$19&lt;&gt;"YES",Calculator!$B$30&lt;Calculator!$G$19),"—",ROUND(MAX((50*POWER(80,POWER(COS(PI()*MOD(Calculator!$B$30/Calculator!$F$19,1)),2)))/$C67,$C67/(50*POWER(80,POWER(COS(PI()*MOD(Calculator!$B$30/Calculator!$F$19,1)),2)))),2))</f>
        <v>2.23</v>
      </c>
      <c r="M67" s="78" t="n">
        <f aca="false">IF(OR(Calculator!$E$20&lt;&gt;"YES",Calculator!$B$30&lt;Calculator!$G$20),"—",ROUND(MAX((50*POWER(80,POWER(COS(PI()*MOD(Calculator!$B$30/Calculator!$F$20,1)),2)))/$C67,$C67/(50*POWER(80,POWER(COS(PI()*MOD(Calculator!$B$30/Calculator!$F$20,1)),2)))),2))</f>
        <v>13.82</v>
      </c>
      <c r="N67" s="78" t="str">
        <f aca="false">IF(OR(Calculator!$E$21&lt;&gt;"YES",Calculator!$B$30&lt;Calculator!$G$21),"—",ROUND(MAX((50*POWER(80,POWER(COS(PI()*MOD(Calculator!$B$30/Calculator!$F$21,1)),2)))/$C67,$C67/(50*POWER(80,POWER(COS(PI()*MOD(Calculator!$B$30/Calculator!$F$21,1)),2)))),2))</f>
        <v>—</v>
      </c>
      <c r="O67" s="100" t="n">
        <f aca="false">IFERROR(ROUND((IF(ISNUMBER(D67),D67,0)+IF(ISNUMBER(E67),E67,0)+IF(ISNUMBER(F67),F67,0)+IF(ISNUMBER(G67),G67,0)+IF(ISNUMBER(H67),H67,0)+IF(ISNUMBER(I67),I67,0)+IF(ISNUMBER(J67),J67,0)+IF(ISNUMBER(K67),K67,0)+IF(ISNUMBER(L67),L67,0)+IF(ISNUMBER(M67),M67,0)+IF(ISNUMBER(N67),N67,0))/(IF(ISNUMBER(D67),1,0)+IF(ISNUMBER(E67),1,0)+IF(ISNUMBER(F67),1,0)+IF(ISNUMBER(G67),1,0)+IF(ISNUMBER(H67),1,0)+IF(ISNUMBER(I67),1,0)+IF(ISNUMBER(J67),1,0)+IF(ISNUMBER(K67),1,0)+IF(ISNUMBER(L67),1,0)+IF(ISNUMBER(M67),1,0)+IF(ISNUMBER(N67),1,0)),2),"")</f>
        <v>7.09</v>
      </c>
      <c r="P67" s="78" t="str">
        <f aca="false">IF(OR(Calculator!$E$11&lt;&gt;"YES",Calculator!$B$31&lt;Calculator!$G$11),"—",ROUND(MAX((50*POWER(80,POWER(COS(PI()*MOD(Calculator!$B$31/Calculator!$F$11,1)),2)))/$C67,$C67/(50*POWER(80,POWER(COS(PI()*MOD(Calculator!$B$31/Calculator!$F$11,1)),2)))),2))</f>
        <v>—</v>
      </c>
      <c r="Q67" s="78" t="str">
        <f aca="false">IF(OR(Calculator!$E$12&lt;&gt;"YES",Calculator!$B$31&lt;Calculator!$G$12),"—",ROUND(MAX((50*POWER(80,POWER(COS(PI()*MOD(Calculator!$B$31/Calculator!$F$12,1)),2)))/$C67,$C67/(50*POWER(80,POWER(COS(PI()*MOD(Calculator!$B$31/Calculator!$F$12,1)),2)))),2))</f>
        <v>—</v>
      </c>
      <c r="R67" s="78" t="str">
        <f aca="false">IF(OR(Calculator!$E$13&lt;&gt;"YES",Calculator!$B$31&lt;Calculator!$G$13),"—",ROUND(MAX((50*POWER(80,POWER(COS(PI()*MOD(Calculator!$B$31/Calculator!$F$13,1)),2)))/$C67,$C67/(50*POWER(80,POWER(COS(PI()*MOD(Calculator!$B$31/Calculator!$F$13,1)),2)))),2))</f>
        <v>—</v>
      </c>
      <c r="S67" s="78" t="n">
        <f aca="false">IF(OR(Calculator!$E$14&lt;&gt;"YES",Calculator!$B$31&lt;Calculator!$G$14),"—",ROUND(MAX((50*POWER(80,POWER(COS(PI()*MOD(Calculator!$B$31/Calculator!$F$14,1)),2)))/$C67,$C67/(50*POWER(80,POWER(COS(PI()*MOD(Calculator!$B$31/Calculator!$F$14,1)),2)))),2))</f>
        <v>16.19</v>
      </c>
      <c r="T67" s="78" t="n">
        <f aca="false">IF(OR(Calculator!$E$15&lt;&gt;"YES",Calculator!$B$31&lt;Calculator!$G$15),"—",ROUND(MAX((50*POWER(80,POWER(COS(PI()*MOD(Calculator!$B$31/Calculator!$F$15,1)),2)))/$C67,$C67/(50*POWER(80,POWER(COS(PI()*MOD(Calculator!$B$31/Calculator!$F$15,1)),2)))),2))</f>
        <v>9.85</v>
      </c>
      <c r="U67" s="78" t="n">
        <f aca="false">IF(OR(Calculator!$E$16&lt;&gt;"YES",Calculator!$B$31&lt;Calculator!$G$16),"—",ROUND(MAX((50*POWER(80,POWER(COS(PI()*MOD(Calculator!$B$31/Calculator!$F$16,1)),2)))/$C67,$C67/(50*POWER(80,POWER(COS(PI()*MOD(Calculator!$B$31/Calculator!$F$16,1)),2)))),2))</f>
        <v>3.75</v>
      </c>
      <c r="V67" s="78" t="n">
        <f aca="false">IF(OR(Calculator!$E$17&lt;&gt;"YES",Calculator!$B$31&lt;Calculator!$G$17),"—",ROUND(MAX((50*POWER(80,POWER(COS(PI()*MOD(Calculator!$B$31/Calculator!$F$17,1)),2)))/$C67,$C67/(50*POWER(80,POWER(COS(PI()*MOD(Calculator!$B$31/Calculator!$F$17,1)),2)))),2))</f>
        <v>1.08</v>
      </c>
      <c r="W67" s="78" t="n">
        <f aca="false">IF(OR(Calculator!$E$18&lt;&gt;"YES",Calculator!$B$31&lt;Calculator!$G$18),"—",ROUND(MAX((50*POWER(80,POWER(COS(PI()*MOD(Calculator!$B$31/Calculator!$F$18,1)),2)))/$C67,$C67/(50*POWER(80,POWER(COS(PI()*MOD(Calculator!$B$31/Calculator!$F$18,1)),2)))),2))</f>
        <v>1.05</v>
      </c>
      <c r="X67" s="78" t="n">
        <f aca="false">IF(OR(Calculator!$E$19&lt;&gt;"YES",Calculator!$B$31&lt;Calculator!$G$19),"—",ROUND(MAX((50*POWER(80,POWER(COS(PI()*MOD(Calculator!$B$31/Calculator!$F$19,1)),2)))/$C67,$C67/(50*POWER(80,POWER(COS(PI()*MOD(Calculator!$B$31/Calculator!$F$19,1)),2)))),2))</f>
        <v>6.5</v>
      </c>
      <c r="Y67" s="78" t="n">
        <f aca="false">IF(OR(Calculator!$E$20&lt;&gt;"YES",Calculator!$B$31&lt;Calculator!$G$20),"—",ROUND(MAX((50*POWER(80,POWER(COS(PI()*MOD(Calculator!$B$31/Calculator!$F$20,1)),2)))/$C67,$C67/(50*POWER(80,POWER(COS(PI()*MOD(Calculator!$B$31/Calculator!$F$20,1)),2)))),2))</f>
        <v>21.47</v>
      </c>
      <c r="Z67" s="78" t="str">
        <f aca="false">IF(OR(Calculator!$E$21&lt;&gt;"YES",Calculator!$B$31&lt;Calculator!$G$21),"—",ROUND(MAX((50*POWER(80,POWER(COS(PI()*MOD(Calculator!$B$31/Calculator!$F$21,1)),2)))/$C67,$C67/(50*POWER(80,POWER(COS(PI()*MOD(Calculator!$B$31/Calculator!$F$21,1)),2)))),2))</f>
        <v>—</v>
      </c>
      <c r="AA67" s="100" t="n">
        <f aca="false">IFERROR(ROUND((IF(ISNUMBER(P67),P67,0)+IF(ISNUMBER(Q67),Q67,0)+IF(ISNUMBER(R67),R67,0)+IF(ISNUMBER(S67),S67,0)+IF(ISNUMBER(T67),T67,0)+IF(ISNUMBER(U67),U67,0)+IF(ISNUMBER(V67),V67,0)+IF(ISNUMBER(W67),W67,0)+IF(ISNUMBER(X67),X67,0)+IF(ISNUMBER(Y67),Y67,0)+IF(ISNUMBER(Z67),Z67,0))/(IF(ISNUMBER(P67),1,0)+IF(ISNUMBER(Q67),1,0)+IF(ISNUMBER(R67),1,0)+IF(ISNUMBER(S67),1,0)+IF(ISNUMBER(T67),1,0)+IF(ISNUMBER(U67),1,0)+IF(ISNUMBER(V67),1,0)+IF(ISNUMBER(W67),1,0)+IF(ISNUMBER(X67),1,0)+IF(ISNUMBER(Y67),1,0)+IF(ISNUMBER(Z67),1,0)),2),"")</f>
        <v>8.56</v>
      </c>
      <c r="AB67" s="78" t="str">
        <f aca="false">IF(OR(Calculator!$E$11&lt;&gt;"YES",Calculator!$B$32&lt;Calculator!$G$11),"—",ROUND(MAX((50*POWER(80,POWER(COS(PI()*MOD(Calculator!$B$32/Calculator!$F$11,1)),2)))/$C67,$C67/(50*POWER(80,POWER(COS(PI()*MOD(Calculator!$B$32/Calculator!$F$11,1)),2)))),2))</f>
        <v>—</v>
      </c>
      <c r="AC67" s="78" t="str">
        <f aca="false">IF(OR(Calculator!$E$12&lt;&gt;"YES",Calculator!$B$32&lt;Calculator!$G$12),"—",ROUND(MAX((50*POWER(80,POWER(COS(PI()*MOD(Calculator!$B$32/Calculator!$F$12,1)),2)))/$C67,$C67/(50*POWER(80,POWER(COS(PI()*MOD(Calculator!$B$32/Calculator!$F$12,1)),2)))),2))</f>
        <v>—</v>
      </c>
      <c r="AD67" s="78" t="str">
        <f aca="false">IF(OR(Calculator!$E$13&lt;&gt;"YES",Calculator!$B$32&lt;Calculator!$G$13),"—",ROUND(MAX((50*POWER(80,POWER(COS(PI()*MOD(Calculator!$B$32/Calculator!$F$13,1)),2)))/$C67,$C67/(50*POWER(80,POWER(COS(PI()*MOD(Calculator!$B$32/Calculator!$F$13,1)),2)))),2))</f>
        <v>—</v>
      </c>
      <c r="AE67" s="78" t="n">
        <f aca="false">IF(OR(Calculator!$E$14&lt;&gt;"YES",Calculator!$B$32&lt;Calculator!$G$14),"—",ROUND(MAX((50*POWER(80,POWER(COS(PI()*MOD(Calculator!$B$32/Calculator!$F$14,1)),2)))/$C67,$C67/(50*POWER(80,POWER(COS(PI()*MOD(Calculator!$B$32/Calculator!$F$14,1)),2)))),2))</f>
        <v>10.22</v>
      </c>
      <c r="AF67" s="78" t="n">
        <f aca="false">IF(OR(Calculator!$E$15&lt;&gt;"YES",Calculator!$B$32&lt;Calculator!$G$15),"—",ROUND(MAX((50*POWER(80,POWER(COS(PI()*MOD(Calculator!$B$32/Calculator!$F$15,1)),2)))/$C67,$C67/(50*POWER(80,POWER(COS(PI()*MOD(Calculator!$B$32/Calculator!$F$15,1)),2)))),2))</f>
        <v>6.61</v>
      </c>
      <c r="AG67" s="78" t="n">
        <f aca="false">IF(OR(Calculator!$E$16&lt;&gt;"YES",Calculator!$B$32&lt;Calculator!$G$16),"—",ROUND(MAX((50*POWER(80,POWER(COS(PI()*MOD(Calculator!$B$32/Calculator!$F$16,1)),2)))/$C67,$C67/(50*POWER(80,POWER(COS(PI()*MOD(Calculator!$B$32/Calculator!$F$16,1)),2)))),2))</f>
        <v>22.32</v>
      </c>
      <c r="AH67" s="78" t="n">
        <f aca="false">IF(OR(Calculator!$E$17&lt;&gt;"YES",Calculator!$B$32&lt;Calculator!$G$17),"—",ROUND(MAX((50*POWER(80,POWER(COS(PI()*MOD(Calculator!$B$32/Calculator!$F$17,1)),2)))/$C67,$C67/(50*POWER(80,POWER(COS(PI()*MOD(Calculator!$B$32/Calculator!$F$17,1)),2)))),2))</f>
        <v>1.32</v>
      </c>
      <c r="AI67" s="78" t="n">
        <f aca="false">IF(OR(Calculator!$E$18&lt;&gt;"YES",Calculator!$B$32&lt;Calculator!$G$18),"—",ROUND(MAX((50*POWER(80,POWER(COS(PI()*MOD(Calculator!$B$32/Calculator!$F$18,1)),2)))/$C67,$C67/(50*POWER(80,POWER(COS(PI()*MOD(Calculator!$B$32/Calculator!$F$18,1)),2)))),2))</f>
        <v>1.43</v>
      </c>
      <c r="AJ67" s="78" t="n">
        <f aca="false">IF(OR(Calculator!$E$19&lt;&gt;"YES",Calculator!$B$32&lt;Calculator!$G$19),"—",ROUND(MAX((50*POWER(80,POWER(COS(PI()*MOD(Calculator!$B$32/Calculator!$F$19,1)),2)))/$C67,$C67/(50*POWER(80,POWER(COS(PI()*MOD(Calculator!$B$32/Calculator!$F$19,1)),2)))),2))</f>
        <v>1.5</v>
      </c>
      <c r="AK67" s="78" t="n">
        <f aca="false">IF(OR(Calculator!$E$20&lt;&gt;"YES",Calculator!$B$32&lt;Calculator!$G$20),"—",ROUND(MAX((50*POWER(80,POWER(COS(PI()*MOD(Calculator!$B$32/Calculator!$F$20,1)),2)))/$C67,$C67/(50*POWER(80,POWER(COS(PI()*MOD(Calculator!$B$32/Calculator!$F$20,1)),2)))),2))</f>
        <v>17.55</v>
      </c>
      <c r="AL67" s="78" t="str">
        <f aca="false">IF(OR(Calculator!$E$21&lt;&gt;"YES",Calculator!$B$32&lt;Calculator!$G$21),"—",ROUND(MAX((50*POWER(80,POWER(COS(PI()*MOD(Calculator!$B$32/Calculator!$F$21,1)),2)))/$C67,$C67/(50*POWER(80,POWER(COS(PI()*MOD(Calculator!$B$32/Calculator!$F$21,1)),2)))),2))</f>
        <v>—</v>
      </c>
      <c r="AM67" s="101" t="n">
        <f aca="false">IFERROR(ROUND((IF(ISNUMBER(AB67),AB67,0)+IF(ISNUMBER(AC67),AC67,0)+IF(ISNUMBER(AD67),AD67,0)+IF(ISNUMBER(AE67),AE67,0)+IF(ISNUMBER(AF67),AF67,0)+IF(ISNUMBER(AG67),AG67,0)+IF(ISNUMBER(AH67),AH67,0)+IF(ISNUMBER(AI67),AI67,0)+IF(ISNUMBER(AJ67),AJ67,0)+IF(ISNUMBER(AK67),AK67,0)+IF(ISNUMBER(AL67),AL67,0))/(IF(ISNUMBER(AB67),1,0)+IF(ISNUMBER(AC67),1,0)+IF(ISNUMBER(AD67),1,0)+IF(ISNUMBER(AE67),1,0)+IF(ISNUMBER(AF67),1,0)+IF(ISNUMBER(AG67),1,0)+IF(ISNUMBER(AH67),1,0)+IF(ISNUMBER(AI67),1,0)+IF(ISNUMBER(AJ67),1,0)+IF(ISNUMBER(AK67),1,0)+IF(ISNUMBER(AL67),1,0)),2),"")</f>
        <v>8.71</v>
      </c>
      <c r="AN67" s="102" t="str">
        <f aca="false">IF(OR(Calculator!$E$11&lt;&gt;"YES",Calculator!$B$33&lt;Calculator!$G$11),"—",ROUND(MAX((50*POWER(80,POWER(COS(PI()*MOD(Calculator!$B$33/Calculator!$F$11,1)),2)))/$C67,$C67/(50*POWER(80,POWER(COS(PI()*MOD(Calculator!$B$33/Calculator!$F$11,1)),2)))),2))</f>
        <v>—</v>
      </c>
      <c r="AO67" s="102" t="str">
        <f aca="false">IF(OR(Calculator!$E$12&lt;&gt;"YES",Calculator!$B$33&lt;Calculator!$G$12),"—",ROUND(MAX((50*POWER(80,POWER(COS(PI()*MOD(Calculator!$B$33/Calculator!$F$12,1)),2)))/$C67,$C67/(50*POWER(80,POWER(COS(PI()*MOD(Calculator!$B$33/Calculator!$F$12,1)),2)))),2))</f>
        <v>—</v>
      </c>
      <c r="AP67" s="102" t="str">
        <f aca="false">IF(OR(Calculator!$E$13&lt;&gt;"YES",Calculator!$B$33&lt;Calculator!$G$13),"—",ROUND(MAX((50*POWER(80,POWER(COS(PI()*MOD(Calculator!$B$33/Calculator!$F$13,1)),2)))/$C67,$C67/(50*POWER(80,POWER(COS(PI()*MOD(Calculator!$B$33/Calculator!$F$13,1)),2)))),2))</f>
        <v>—</v>
      </c>
      <c r="AQ67" s="102" t="n">
        <f aca="false">IF(OR(Calculator!$E$14&lt;&gt;"YES",Calculator!$B$33&lt;Calculator!$G$14),"—",ROUND(MAX((50*POWER(80,POWER(COS(PI()*MOD(Calculator!$B$33/Calculator!$F$14,1)),2)))/$C67,$C67/(50*POWER(80,POWER(COS(PI()*MOD(Calculator!$B$33/Calculator!$F$14,1)),2)))),2))</f>
        <v>1.56</v>
      </c>
      <c r="AR67" s="102" t="n">
        <f aca="false">IF(OR(Calculator!$E$15&lt;&gt;"YES",Calculator!$B$33&lt;Calculator!$G$15),"—",ROUND(MAX((50*POWER(80,POWER(COS(PI()*MOD(Calculator!$B$33/Calculator!$F$15,1)),2)))/$C67,$C67/(50*POWER(80,POWER(COS(PI()*MOD(Calculator!$B$33/Calculator!$F$15,1)),2)))),2))</f>
        <v>5.96</v>
      </c>
      <c r="AS67" s="102" t="n">
        <f aca="false">IF(OR(Calculator!$E$16&lt;&gt;"YES",Calculator!$B$33&lt;Calculator!$G$16),"—",ROUND(MAX((50*POWER(80,POWER(COS(PI()*MOD(Calculator!$B$33/Calculator!$F$16,1)),2)))/$C67,$C67/(50*POWER(80,POWER(COS(PI()*MOD(Calculator!$B$33/Calculator!$F$16,1)),2)))),2))</f>
        <v>2.18</v>
      </c>
      <c r="AT67" s="102" t="n">
        <f aca="false">IF(OR(Calculator!$E$17&lt;&gt;"YES",Calculator!$B$33&lt;Calculator!$G$17),"—",ROUND(MAX((50*POWER(80,POWER(COS(PI()*MOD(Calculator!$B$33/Calculator!$F$17,1)),2)))/$C67,$C67/(50*POWER(80,POWER(COS(PI()*MOD(Calculator!$B$33/Calculator!$F$17,1)),2)))),2))</f>
        <v>6.92</v>
      </c>
      <c r="AU67" s="102" t="n">
        <f aca="false">IF(OR(Calculator!$E$18&lt;&gt;"YES",Calculator!$B$33&lt;Calculator!$G$18),"—",ROUND(MAX((50*POWER(80,POWER(COS(PI()*MOD(Calculator!$B$33/Calculator!$F$18,1)),2)))/$C67,$C67/(50*POWER(80,POWER(COS(PI()*MOD(Calculator!$B$33/Calculator!$F$18,1)),2)))),2))</f>
        <v>9.36</v>
      </c>
      <c r="AV67" s="102" t="n">
        <f aca="false">IF(OR(Calculator!$E$19&lt;&gt;"YES",Calculator!$B$33&lt;Calculator!$G$19),"—",ROUND(MAX((50*POWER(80,POWER(COS(PI()*MOD(Calculator!$B$33/Calculator!$F$19,1)),2)))/$C67,$C67/(50*POWER(80,POWER(COS(PI()*MOD(Calculator!$B$33/Calculator!$F$19,1)),2)))),2))</f>
        <v>1.14</v>
      </c>
      <c r="AW67" s="102" t="n">
        <f aca="false">IF(OR(Calculator!$E$20&lt;&gt;"YES",Calculator!$B$33&lt;Calculator!$G$20),"—",ROUND(MAX((50*POWER(80,POWER(COS(PI()*MOD(Calculator!$B$33/Calculator!$F$20,1)),2)))/$C67,$C67/(50*POWER(80,POWER(COS(PI()*MOD(Calculator!$B$33/Calculator!$F$20,1)),2)))),2))</f>
        <v>14.28</v>
      </c>
      <c r="AX67" s="102" t="str">
        <f aca="false">IF(OR(Calculator!$E$21&lt;&gt;"YES",Calculator!$B$33&lt;Calculator!$G$21),"—",ROUND(MAX((50*POWER(80,POWER(COS(PI()*MOD(Calculator!$B$33/Calculator!$F$21,1)),2)))/$C67,$C67/(50*POWER(80,POWER(COS(PI()*MOD(Calculator!$B$33/Calculator!$F$21,1)),2)))),2))</f>
        <v>—</v>
      </c>
      <c r="AY67" s="101" t="n">
        <f aca="false">IFERROR(ROUND((IF(ISNUMBER(AN67),AN67,0)+IF(ISNUMBER(AO67),AO67,0)+IF(ISNUMBER(AP67),AP67,0)+IF(ISNUMBER(AQ67),AQ67,0)+IF(ISNUMBER(AR67),AR67,0)+IF(ISNUMBER(AS67),AS67,0)+IF(ISNUMBER(AT67),AT67,0)+IF(ISNUMBER(AU67),AU67,0)+IF(ISNUMBER(AV67),AV67,0)+IF(ISNUMBER(AW67),AW67,0)+IF(ISNUMBER(AX67),AX67,0))/(IF(ISNUMBER(AN67),1,0)+IF(ISNUMBER(AO67),1,0)+IF(ISNUMBER(AP67),1,0)+IF(ISNUMBER(AQ67),1,0)+IF(ISNUMBER(AR67),1,0)+IF(ISNUMBER(AS67),1,0)+IF(ISNUMBER(AT67),1,0)+IF(ISNUMBER(AU67),1,0)+IF(ISNUMBER(AV67),1,0)+IF(ISNUMBER(AW67),1,0)+IF(ISNUMBER(AX67),1,0)),2),"")</f>
        <v>5.91</v>
      </c>
      <c r="AZ67" s="102" t="str">
        <f aca="false">IF(OR(Calculator!$E$11&lt;&gt;"YES",Calculator!$B$34&lt;Calculator!$G$11),"—",ROUND(MAX((50*POWER(80,POWER(COS(PI()*MOD(Calculator!$B$34/Calculator!$F$11,1)),2)))/$C67,$C67/(50*POWER(80,POWER(COS(PI()*MOD(Calculator!$B$34/Calculator!$F$11,1)),2)))),2))</f>
        <v>—</v>
      </c>
      <c r="BA67" s="102" t="str">
        <f aca="false">IF(OR(Calculator!$E$12&lt;&gt;"YES",Calculator!$B$34&lt;Calculator!$G$12),"—",ROUND(MAX((50*POWER(80,POWER(COS(PI()*MOD(Calculator!$B$34/Calculator!$F$12,1)),2)))/$C67,$C67/(50*POWER(80,POWER(COS(PI()*MOD(Calculator!$B$34/Calculator!$F$12,1)),2)))),2))</f>
        <v>—</v>
      </c>
      <c r="BB67" s="102" t="str">
        <f aca="false">IF(OR(Calculator!$E$13&lt;&gt;"YES",Calculator!$B$34&lt;Calculator!$G$13),"—",ROUND(MAX((50*POWER(80,POWER(COS(PI()*MOD(Calculator!$B$34/Calculator!$F$13,1)),2)))/$C67,$C67/(50*POWER(80,POWER(COS(PI()*MOD(Calculator!$B$34/Calculator!$F$13,1)),2)))),2))</f>
        <v>—</v>
      </c>
      <c r="BC67" s="102" t="n">
        <f aca="false">IF(OR(Calculator!$E$14&lt;&gt;"YES",Calculator!$B$34&lt;Calculator!$G$14),"—",ROUND(MAX((50*POWER(80,POWER(COS(PI()*MOD(Calculator!$B$34/Calculator!$F$14,1)),2)))/$C67,$C67/(50*POWER(80,POWER(COS(PI()*MOD(Calculator!$B$34/Calculator!$F$14,1)),2)))),2))</f>
        <v>1.59</v>
      </c>
      <c r="BD67" s="102" t="n">
        <f aca="false">IF(OR(Calculator!$E$15&lt;&gt;"YES",Calculator!$B$34&lt;Calculator!$G$15),"—",ROUND(MAX((50*POWER(80,POWER(COS(PI()*MOD(Calculator!$B$34/Calculator!$F$15,1)),2)))/$C67,$C67/(50*POWER(80,POWER(COS(PI()*MOD(Calculator!$B$34/Calculator!$F$15,1)),2)))),2))</f>
        <v>7.7</v>
      </c>
      <c r="BE67" s="102" t="n">
        <f aca="false">IF(OR(Calculator!$E$16&lt;&gt;"YES",Calculator!$B$34&lt;Calculator!$G$16),"—",ROUND(MAX((50*POWER(80,POWER(COS(PI()*MOD(Calculator!$B$34/Calculator!$F$16,1)),2)))/$C67,$C67/(50*POWER(80,POWER(COS(PI()*MOD(Calculator!$B$34/Calculator!$F$16,1)),2)))),2))</f>
        <v>2.6</v>
      </c>
      <c r="BF67" s="102" t="n">
        <f aca="false">IF(OR(Calculator!$E$17&lt;&gt;"YES",Calculator!$B$34&lt;Calculator!$G$17),"—",ROUND(MAX((50*POWER(80,POWER(COS(PI()*MOD(Calculator!$B$34/Calculator!$F$17,1)),2)))/$C67,$C67/(50*POWER(80,POWER(COS(PI()*MOD(Calculator!$B$34/Calculator!$F$17,1)),2)))),2))</f>
        <v>1.34</v>
      </c>
      <c r="BG67" s="102" t="n">
        <f aca="false">IF(OR(Calculator!$E$18&lt;&gt;"YES",Calculator!$B$34&lt;Calculator!$G$18),"—",ROUND(MAX((50*POWER(80,POWER(COS(PI()*MOD(Calculator!$B$34/Calculator!$F$18,1)),2)))/$C67,$C67/(50*POWER(80,POWER(COS(PI()*MOD(Calculator!$B$34/Calculator!$F$18,1)),2)))),2))</f>
        <v>12.66</v>
      </c>
      <c r="BH67" s="102" t="n">
        <f aca="false">IF(OR(Calculator!$E$19&lt;&gt;"YES",Calculator!$B$34&lt;Calculator!$G$19),"—",ROUND(MAX((50*POWER(80,POWER(COS(PI()*MOD(Calculator!$B$34/Calculator!$F$19,1)),2)))/$C67,$C67/(50*POWER(80,POWER(COS(PI()*MOD(Calculator!$B$34/Calculator!$F$19,1)),2)))),2))</f>
        <v>14.08</v>
      </c>
      <c r="BI67" s="102" t="n">
        <f aca="false">IF(OR(Calculator!$E$20&lt;&gt;"YES",Calculator!$B$34&lt;Calculator!$G$20),"—",ROUND(MAX((50*POWER(80,POWER(COS(PI()*MOD(Calculator!$B$34/Calculator!$F$20,1)),2)))/$C67,$C67/(50*POWER(80,POWER(COS(PI()*MOD(Calculator!$B$34/Calculator!$F$20,1)),2)))),2))</f>
        <v>8.4</v>
      </c>
      <c r="BJ67" s="102" t="str">
        <f aca="false">IF(OR(Calculator!$E$21&lt;&gt;"YES",Calculator!$B$34&lt;Calculator!$G$21),"—",ROUND(MAX((50*POWER(80,POWER(COS(PI()*MOD(Calculator!$B$34/Calculator!$F$21,1)),2)))/$C67,$C67/(50*POWER(80,POWER(COS(PI()*MOD(Calculator!$B$34/Calculator!$F$21,1)),2)))),2))</f>
        <v>—</v>
      </c>
      <c r="BK67" s="101" t="n">
        <f aca="false">IFERROR(ROUND((IF(ISNUMBER(AZ67),AZ67,0)+IF(ISNUMBER(BA67),BA67,0)+IF(ISNUMBER(BB67),BB67,0)+IF(ISNUMBER(BC67),BC67,0)+IF(ISNUMBER(BD67),BD67,0)+IF(ISNUMBER(BE67),BE67,0)+IF(ISNUMBER(BF67),BF67,0)+IF(ISNUMBER(BG67),BG67,0)+IF(ISNUMBER(BH67),BH67,0)+IF(ISNUMBER(BI67),BI67,0)+IF(ISNUMBER(BJ67),BJ67,0))/(IF(ISNUMBER(AZ67),1,0)+IF(ISNUMBER(BA67),1,0)+IF(ISNUMBER(BB67),1,0)+IF(ISNUMBER(BC67),1,0)+IF(ISNUMBER(BD67),1,0)+IF(ISNUMBER(BE67),1,0)+IF(ISNUMBER(BF67),1,0)+IF(ISNUMBER(BG67),1,0)+IF(ISNUMBER(BH67),1,0)+IF(ISNUMBER(BI67),1,0)+IF(ISNUMBER(BJ67),1,0)),2),"")</f>
        <v>6.91</v>
      </c>
    </row>
    <row r="68" customFormat="false" ht="15" hidden="false" customHeight="false" outlineLevel="0" collapsed="false">
      <c r="A68" s="93" t="s">
        <v>119</v>
      </c>
      <c r="B68" s="94" t="s">
        <v>87</v>
      </c>
      <c r="C68" s="95" t="n">
        <v>1800</v>
      </c>
      <c r="D68" s="96" t="str">
        <f aca="false">IF(OR(Calculator!$E$11&lt;&gt;"YES",Calculator!$B$30&lt;Calculator!$G$11),"—",ROUND(MAX((50*POWER(80,POWER(COS(PI()*MOD(Calculator!$B$30/Calculator!$F$11,1)),2)))/$C68,$C68/(50*POWER(80,POWER(COS(PI()*MOD(Calculator!$B$30/Calculator!$F$11,1)),2)))),2))</f>
        <v>—</v>
      </c>
      <c r="E68" s="96" t="str">
        <f aca="false">IF(OR(Calculator!$E$12&lt;&gt;"YES",Calculator!$B$30&lt;Calculator!$G$12),"—",ROUND(MAX((50*POWER(80,POWER(COS(PI()*MOD(Calculator!$B$30/Calculator!$F$12,1)),2)))/$C68,$C68/(50*POWER(80,POWER(COS(PI()*MOD(Calculator!$B$30/Calculator!$F$12,1)),2)))),2))</f>
        <v>—</v>
      </c>
      <c r="F68" s="96" t="str">
        <f aca="false">IF(OR(Calculator!$E$13&lt;&gt;"YES",Calculator!$B$30&lt;Calculator!$G$13),"—",ROUND(MAX((50*POWER(80,POWER(COS(PI()*MOD(Calculator!$B$30/Calculator!$F$13,1)),2)))/$C68,$C68/(50*POWER(80,POWER(COS(PI()*MOD(Calculator!$B$30/Calculator!$F$13,1)),2)))),2))</f>
        <v>—</v>
      </c>
      <c r="G68" s="96" t="n">
        <f aca="false">IF(OR(Calculator!$E$14&lt;&gt;"YES",Calculator!$B$30&lt;Calculator!$G$14),"—",ROUND(MAX((50*POWER(80,POWER(COS(PI()*MOD(Calculator!$B$30/Calculator!$F$14,1)),2)))/$C68,$C68/(50*POWER(80,POWER(COS(PI()*MOD(Calculator!$B$30/Calculator!$F$14,1)),2)))),2))</f>
        <v>16.27</v>
      </c>
      <c r="H68" s="96" t="n">
        <f aca="false">IF(OR(Calculator!$E$15&lt;&gt;"YES",Calculator!$B$30&lt;Calculator!$G$15),"—",ROUND(MAX((50*POWER(80,POWER(COS(PI()*MOD(Calculator!$B$30/Calculator!$F$15,1)),2)))/$C68,$C68/(50*POWER(80,POWER(COS(PI()*MOD(Calculator!$B$30/Calculator!$F$15,1)),2)))),2))</f>
        <v>4.72</v>
      </c>
      <c r="I68" s="96" t="n">
        <f aca="false">IF(OR(Calculator!$E$16&lt;&gt;"YES",Calculator!$B$30&lt;Calculator!$G$16),"—",ROUND(MAX((50*POWER(80,POWER(COS(PI()*MOD(Calculator!$B$30/Calculator!$F$16,1)),2)))/$C68,$C68/(50*POWER(80,POWER(COS(PI()*MOD(Calculator!$B$30/Calculator!$F$16,1)),2)))),2))</f>
        <v>3.22</v>
      </c>
      <c r="J68" s="96" t="n">
        <f aca="false">IF(OR(Calculator!$E$17&lt;&gt;"YES",Calculator!$B$30&lt;Calculator!$G$17),"—",ROUND(MAX((50*POWER(80,POWER(COS(PI()*MOD(Calculator!$B$30/Calculator!$F$17,1)),2)))/$C68,$C68/(50*POWER(80,POWER(COS(PI()*MOD(Calculator!$B$30/Calculator!$F$17,1)),2)))),2))</f>
        <v>9.05</v>
      </c>
      <c r="K68" s="96" t="n">
        <f aca="false">IF(OR(Calculator!$E$18&lt;&gt;"YES",Calculator!$B$30&lt;Calculator!$G$18),"—",ROUND(MAX((50*POWER(80,POWER(COS(PI()*MOD(Calculator!$B$30/Calculator!$F$18,1)),2)))/$C68,$C68/(50*POWER(80,POWER(COS(PI()*MOD(Calculator!$B$30/Calculator!$F$18,1)),2)))),2))</f>
        <v>1.29</v>
      </c>
      <c r="L68" s="96" t="n">
        <f aca="false">IF(OR(Calculator!$E$19&lt;&gt;"YES",Calculator!$B$30&lt;Calculator!$G$19),"—",ROUND(MAX((50*POWER(80,POWER(COS(PI()*MOD(Calculator!$B$30/Calculator!$F$19,1)),2)))/$C68,$C68/(50*POWER(80,POWER(COS(PI()*MOD(Calculator!$B$30/Calculator!$F$19,1)),2)))),2))</f>
        <v>2.29</v>
      </c>
      <c r="M68" s="96" t="n">
        <f aca="false">IF(OR(Calculator!$E$20&lt;&gt;"YES",Calculator!$B$30&lt;Calculator!$G$20),"—",ROUND(MAX((50*POWER(80,POWER(COS(PI()*MOD(Calculator!$B$30/Calculator!$F$20,1)),2)))/$C68,$C68/(50*POWER(80,POWER(COS(PI()*MOD(Calculator!$B$30/Calculator!$F$20,1)),2)))),2))</f>
        <v>14.22</v>
      </c>
      <c r="N68" s="96" t="str">
        <f aca="false">IF(OR(Calculator!$E$21&lt;&gt;"YES",Calculator!$B$30&lt;Calculator!$G$21),"—",ROUND(MAX((50*POWER(80,POWER(COS(PI()*MOD(Calculator!$B$30/Calculator!$F$21,1)),2)))/$C68,$C68/(50*POWER(80,POWER(COS(PI()*MOD(Calculator!$B$30/Calculator!$F$21,1)),2)))),2))</f>
        <v>—</v>
      </c>
      <c r="O68" s="97" t="n">
        <f aca="false">IFERROR(ROUND((IF(ISNUMBER(D68),D68,0)+IF(ISNUMBER(E68),E68,0)+IF(ISNUMBER(F68),F68,0)+IF(ISNUMBER(G68),G68,0)+IF(ISNUMBER(H68),H68,0)+IF(ISNUMBER(I68),I68,0)+IF(ISNUMBER(J68),J68,0)+IF(ISNUMBER(K68),K68,0)+IF(ISNUMBER(L68),L68,0)+IF(ISNUMBER(M68),M68,0)+IF(ISNUMBER(N68),N68,0))/(IF(ISNUMBER(D68),1,0)+IF(ISNUMBER(E68),1,0)+IF(ISNUMBER(F68),1,0)+IF(ISNUMBER(G68),1,0)+IF(ISNUMBER(H68),1,0)+IF(ISNUMBER(I68),1,0)+IF(ISNUMBER(J68),1,0)+IF(ISNUMBER(K68),1,0)+IF(ISNUMBER(L68),1,0)+IF(ISNUMBER(M68),1,0)+IF(ISNUMBER(N68),1,0)),2),"")</f>
        <v>7.29</v>
      </c>
      <c r="P68" s="96" t="str">
        <f aca="false">IF(OR(Calculator!$E$11&lt;&gt;"YES",Calculator!$B$31&lt;Calculator!$G$11),"—",ROUND(MAX((50*POWER(80,POWER(COS(PI()*MOD(Calculator!$B$31/Calculator!$F$11,1)),2)))/$C68,$C68/(50*POWER(80,POWER(COS(PI()*MOD(Calculator!$B$31/Calculator!$F$11,1)),2)))),2))</f>
        <v>—</v>
      </c>
      <c r="Q68" s="96" t="str">
        <f aca="false">IF(OR(Calculator!$E$12&lt;&gt;"YES",Calculator!$B$31&lt;Calculator!$G$12),"—",ROUND(MAX((50*POWER(80,POWER(COS(PI()*MOD(Calculator!$B$31/Calculator!$F$12,1)),2)))/$C68,$C68/(50*POWER(80,POWER(COS(PI()*MOD(Calculator!$B$31/Calculator!$F$12,1)),2)))),2))</f>
        <v>—</v>
      </c>
      <c r="R68" s="96" t="str">
        <f aca="false">IF(OR(Calculator!$E$13&lt;&gt;"YES",Calculator!$B$31&lt;Calculator!$G$13),"—",ROUND(MAX((50*POWER(80,POWER(COS(PI()*MOD(Calculator!$B$31/Calculator!$F$13,1)),2)))/$C68,$C68/(50*POWER(80,POWER(COS(PI()*MOD(Calculator!$B$31/Calculator!$F$13,1)),2)))),2))</f>
        <v>—</v>
      </c>
      <c r="S68" s="96" t="n">
        <f aca="false">IF(OR(Calculator!$E$14&lt;&gt;"YES",Calculator!$B$31&lt;Calculator!$G$14),"—",ROUND(MAX((50*POWER(80,POWER(COS(PI()*MOD(Calculator!$B$31/Calculator!$F$14,1)),2)))/$C68,$C68/(50*POWER(80,POWER(COS(PI()*MOD(Calculator!$B$31/Calculator!$F$14,1)),2)))),2))</f>
        <v>16.65</v>
      </c>
      <c r="T68" s="96" t="n">
        <f aca="false">IF(OR(Calculator!$E$15&lt;&gt;"YES",Calculator!$B$31&lt;Calculator!$G$15),"—",ROUND(MAX((50*POWER(80,POWER(COS(PI()*MOD(Calculator!$B$31/Calculator!$F$15,1)),2)))/$C68,$C68/(50*POWER(80,POWER(COS(PI()*MOD(Calculator!$B$31/Calculator!$F$15,1)),2)))),2))</f>
        <v>10.13</v>
      </c>
      <c r="U68" s="96" t="n">
        <f aca="false">IF(OR(Calculator!$E$16&lt;&gt;"YES",Calculator!$B$31&lt;Calculator!$G$16),"—",ROUND(MAX((50*POWER(80,POWER(COS(PI()*MOD(Calculator!$B$31/Calculator!$F$16,1)),2)))/$C68,$C68/(50*POWER(80,POWER(COS(PI()*MOD(Calculator!$B$31/Calculator!$F$16,1)),2)))),2))</f>
        <v>3.86</v>
      </c>
      <c r="V68" s="96" t="n">
        <f aca="false">IF(OR(Calculator!$E$17&lt;&gt;"YES",Calculator!$B$31&lt;Calculator!$G$17),"—",ROUND(MAX((50*POWER(80,POWER(COS(PI()*MOD(Calculator!$B$31/Calculator!$F$17,1)),2)))/$C68,$C68/(50*POWER(80,POWER(COS(PI()*MOD(Calculator!$B$31/Calculator!$F$17,1)),2)))),2))</f>
        <v>1.11</v>
      </c>
      <c r="W68" s="96" t="n">
        <f aca="false">IF(OR(Calculator!$E$18&lt;&gt;"YES",Calculator!$B$31&lt;Calculator!$G$18),"—",ROUND(MAX((50*POWER(80,POWER(COS(PI()*MOD(Calculator!$B$31/Calculator!$F$18,1)),2)))/$C68,$C68/(50*POWER(80,POWER(COS(PI()*MOD(Calculator!$B$31/Calculator!$F$18,1)),2)))),2))</f>
        <v>1.02</v>
      </c>
      <c r="X68" s="96" t="n">
        <f aca="false">IF(OR(Calculator!$E$19&lt;&gt;"YES",Calculator!$B$31&lt;Calculator!$G$19),"—",ROUND(MAX((50*POWER(80,POWER(COS(PI()*MOD(Calculator!$B$31/Calculator!$F$19,1)),2)))/$C68,$C68/(50*POWER(80,POWER(COS(PI()*MOD(Calculator!$B$31/Calculator!$F$19,1)),2)))),2))</f>
        <v>6.69</v>
      </c>
      <c r="Y68" s="96" t="n">
        <f aca="false">IF(OR(Calculator!$E$20&lt;&gt;"YES",Calculator!$B$31&lt;Calculator!$G$20),"—",ROUND(MAX((50*POWER(80,POWER(COS(PI()*MOD(Calculator!$B$31/Calculator!$F$20,1)),2)))/$C68,$C68/(50*POWER(80,POWER(COS(PI()*MOD(Calculator!$B$31/Calculator!$F$20,1)),2)))),2))</f>
        <v>22.08</v>
      </c>
      <c r="Z68" s="96" t="str">
        <f aca="false">IF(OR(Calculator!$E$21&lt;&gt;"YES",Calculator!$B$31&lt;Calculator!$G$21),"—",ROUND(MAX((50*POWER(80,POWER(COS(PI()*MOD(Calculator!$B$31/Calculator!$F$21,1)),2)))/$C68,$C68/(50*POWER(80,POWER(COS(PI()*MOD(Calculator!$B$31/Calculator!$F$21,1)),2)))),2))</f>
        <v>—</v>
      </c>
      <c r="AA68" s="97" t="n">
        <f aca="false">IFERROR(ROUND((IF(ISNUMBER(P68),P68,0)+IF(ISNUMBER(Q68),Q68,0)+IF(ISNUMBER(R68),R68,0)+IF(ISNUMBER(S68),S68,0)+IF(ISNUMBER(T68),T68,0)+IF(ISNUMBER(U68),U68,0)+IF(ISNUMBER(V68),V68,0)+IF(ISNUMBER(W68),W68,0)+IF(ISNUMBER(X68),X68,0)+IF(ISNUMBER(Y68),Y68,0)+IF(ISNUMBER(Z68),Z68,0))/(IF(ISNUMBER(P68),1,0)+IF(ISNUMBER(Q68),1,0)+IF(ISNUMBER(R68),1,0)+IF(ISNUMBER(S68),1,0)+IF(ISNUMBER(T68),1,0)+IF(ISNUMBER(U68),1,0)+IF(ISNUMBER(V68),1,0)+IF(ISNUMBER(W68),1,0)+IF(ISNUMBER(X68),1,0)+IF(ISNUMBER(Y68),1,0)+IF(ISNUMBER(Z68),1,0)),2),"")</f>
        <v>8.79</v>
      </c>
      <c r="AB68" s="96" t="str">
        <f aca="false">IF(OR(Calculator!$E$11&lt;&gt;"YES",Calculator!$B$32&lt;Calculator!$G$11),"—",ROUND(MAX((50*POWER(80,POWER(COS(PI()*MOD(Calculator!$B$32/Calculator!$F$11,1)),2)))/$C68,$C68/(50*POWER(80,POWER(COS(PI()*MOD(Calculator!$B$32/Calculator!$F$11,1)),2)))),2))</f>
        <v>—</v>
      </c>
      <c r="AC68" s="96" t="str">
        <f aca="false">IF(OR(Calculator!$E$12&lt;&gt;"YES",Calculator!$B$32&lt;Calculator!$G$12),"—",ROUND(MAX((50*POWER(80,POWER(COS(PI()*MOD(Calculator!$B$32/Calculator!$F$12,1)),2)))/$C68,$C68/(50*POWER(80,POWER(COS(PI()*MOD(Calculator!$B$32/Calculator!$F$12,1)),2)))),2))</f>
        <v>—</v>
      </c>
      <c r="AD68" s="96" t="str">
        <f aca="false">IF(OR(Calculator!$E$13&lt;&gt;"YES",Calculator!$B$32&lt;Calculator!$G$13),"—",ROUND(MAX((50*POWER(80,POWER(COS(PI()*MOD(Calculator!$B$32/Calculator!$F$13,1)),2)))/$C68,$C68/(50*POWER(80,POWER(COS(PI()*MOD(Calculator!$B$32/Calculator!$F$13,1)),2)))),2))</f>
        <v>—</v>
      </c>
      <c r="AE68" s="96" t="n">
        <f aca="false">IF(OR(Calculator!$E$14&lt;&gt;"YES",Calculator!$B$32&lt;Calculator!$G$14),"—",ROUND(MAX((50*POWER(80,POWER(COS(PI()*MOD(Calculator!$B$32/Calculator!$F$14,1)),2)))/$C68,$C68/(50*POWER(80,POWER(COS(PI()*MOD(Calculator!$B$32/Calculator!$F$14,1)),2)))),2))</f>
        <v>10.52</v>
      </c>
      <c r="AF68" s="96" t="n">
        <f aca="false">IF(OR(Calculator!$E$15&lt;&gt;"YES",Calculator!$B$32&lt;Calculator!$G$15),"—",ROUND(MAX((50*POWER(80,POWER(COS(PI()*MOD(Calculator!$B$32/Calculator!$F$15,1)),2)))/$C68,$C68/(50*POWER(80,POWER(COS(PI()*MOD(Calculator!$B$32/Calculator!$F$15,1)),2)))),2))</f>
        <v>6.8</v>
      </c>
      <c r="AG68" s="96" t="n">
        <f aca="false">IF(OR(Calculator!$E$16&lt;&gt;"YES",Calculator!$B$32&lt;Calculator!$G$16),"—",ROUND(MAX((50*POWER(80,POWER(COS(PI()*MOD(Calculator!$B$32/Calculator!$F$16,1)),2)))/$C68,$C68/(50*POWER(80,POWER(COS(PI()*MOD(Calculator!$B$32/Calculator!$F$16,1)),2)))),2))</f>
        <v>22.95</v>
      </c>
      <c r="AH68" s="96" t="n">
        <f aca="false">IF(OR(Calculator!$E$17&lt;&gt;"YES",Calculator!$B$32&lt;Calculator!$G$17),"—",ROUND(MAX((50*POWER(80,POWER(COS(PI()*MOD(Calculator!$B$32/Calculator!$F$17,1)),2)))/$C68,$C68/(50*POWER(80,POWER(COS(PI()*MOD(Calculator!$B$32/Calculator!$F$17,1)),2)))),2))</f>
        <v>1.28</v>
      </c>
      <c r="AI68" s="96" t="n">
        <f aca="false">IF(OR(Calculator!$E$18&lt;&gt;"YES",Calculator!$B$32&lt;Calculator!$G$18),"—",ROUND(MAX((50*POWER(80,POWER(COS(PI()*MOD(Calculator!$B$32/Calculator!$F$18,1)),2)))/$C68,$C68/(50*POWER(80,POWER(COS(PI()*MOD(Calculator!$B$32/Calculator!$F$18,1)),2)))),2))</f>
        <v>1.39</v>
      </c>
      <c r="AJ68" s="96" t="n">
        <f aca="false">IF(OR(Calculator!$E$19&lt;&gt;"YES",Calculator!$B$32&lt;Calculator!$G$19),"—",ROUND(MAX((50*POWER(80,POWER(COS(PI()*MOD(Calculator!$B$32/Calculator!$F$19,1)),2)))/$C68,$C68/(50*POWER(80,POWER(COS(PI()*MOD(Calculator!$B$32/Calculator!$F$19,1)),2)))),2))</f>
        <v>1.46</v>
      </c>
      <c r="AK68" s="96" t="n">
        <f aca="false">IF(OR(Calculator!$E$20&lt;&gt;"YES",Calculator!$B$32&lt;Calculator!$G$20),"—",ROUND(MAX((50*POWER(80,POWER(COS(PI()*MOD(Calculator!$B$32/Calculator!$F$20,1)),2)))/$C68,$C68/(50*POWER(80,POWER(COS(PI()*MOD(Calculator!$B$32/Calculator!$F$20,1)),2)))),2))</f>
        <v>18.05</v>
      </c>
      <c r="AL68" s="96" t="str">
        <f aca="false">IF(OR(Calculator!$E$21&lt;&gt;"YES",Calculator!$B$32&lt;Calculator!$G$21),"—",ROUND(MAX((50*POWER(80,POWER(COS(PI()*MOD(Calculator!$B$32/Calculator!$F$21,1)),2)))/$C68,$C68/(50*POWER(80,POWER(COS(PI()*MOD(Calculator!$B$32/Calculator!$F$21,1)),2)))),2))</f>
        <v>—</v>
      </c>
      <c r="AM68" s="98" t="n">
        <f aca="false">IFERROR(ROUND((IF(ISNUMBER(AB68),AB68,0)+IF(ISNUMBER(AC68),AC68,0)+IF(ISNUMBER(AD68),AD68,0)+IF(ISNUMBER(AE68),AE68,0)+IF(ISNUMBER(AF68),AF68,0)+IF(ISNUMBER(AG68),AG68,0)+IF(ISNUMBER(AH68),AH68,0)+IF(ISNUMBER(AI68),AI68,0)+IF(ISNUMBER(AJ68),AJ68,0)+IF(ISNUMBER(AK68),AK68,0)+IF(ISNUMBER(AL68),AL68,0))/(IF(ISNUMBER(AB68),1,0)+IF(ISNUMBER(AC68),1,0)+IF(ISNUMBER(AD68),1,0)+IF(ISNUMBER(AE68),1,0)+IF(ISNUMBER(AF68),1,0)+IF(ISNUMBER(AG68),1,0)+IF(ISNUMBER(AH68),1,0)+IF(ISNUMBER(AI68),1,0)+IF(ISNUMBER(AJ68),1,0)+IF(ISNUMBER(AK68),1,0)+IF(ISNUMBER(AL68),1,0)),2),"")</f>
        <v>8.92</v>
      </c>
      <c r="AN68" s="99" t="str">
        <f aca="false">IF(OR(Calculator!$E$11&lt;&gt;"YES",Calculator!$B$33&lt;Calculator!$G$11),"—",ROUND(MAX((50*POWER(80,POWER(COS(PI()*MOD(Calculator!$B$33/Calculator!$F$11,1)),2)))/$C68,$C68/(50*POWER(80,POWER(COS(PI()*MOD(Calculator!$B$33/Calculator!$F$11,1)),2)))),2))</f>
        <v>—</v>
      </c>
      <c r="AO68" s="99" t="str">
        <f aca="false">IF(OR(Calculator!$E$12&lt;&gt;"YES",Calculator!$B$33&lt;Calculator!$G$12),"—",ROUND(MAX((50*POWER(80,POWER(COS(PI()*MOD(Calculator!$B$33/Calculator!$F$12,1)),2)))/$C68,$C68/(50*POWER(80,POWER(COS(PI()*MOD(Calculator!$B$33/Calculator!$F$12,1)),2)))),2))</f>
        <v>—</v>
      </c>
      <c r="AP68" s="99" t="str">
        <f aca="false">IF(OR(Calculator!$E$13&lt;&gt;"YES",Calculator!$B$33&lt;Calculator!$G$13),"—",ROUND(MAX((50*POWER(80,POWER(COS(PI()*MOD(Calculator!$B$33/Calculator!$F$13,1)),2)))/$C68,$C68/(50*POWER(80,POWER(COS(PI()*MOD(Calculator!$B$33/Calculator!$F$13,1)),2)))),2))</f>
        <v>—</v>
      </c>
      <c r="AQ68" s="99" t="n">
        <f aca="false">IF(OR(Calculator!$E$14&lt;&gt;"YES",Calculator!$B$33&lt;Calculator!$G$14),"—",ROUND(MAX((50*POWER(80,POWER(COS(PI()*MOD(Calculator!$B$33/Calculator!$F$14,1)),2)))/$C68,$C68/(50*POWER(80,POWER(COS(PI()*MOD(Calculator!$B$33/Calculator!$F$14,1)),2)))),2))</f>
        <v>1.51</v>
      </c>
      <c r="AR68" s="99" t="n">
        <f aca="false">IF(OR(Calculator!$E$15&lt;&gt;"YES",Calculator!$B$33&lt;Calculator!$G$15),"—",ROUND(MAX((50*POWER(80,POWER(COS(PI()*MOD(Calculator!$B$33/Calculator!$F$15,1)),2)))/$C68,$C68/(50*POWER(80,POWER(COS(PI()*MOD(Calculator!$B$33/Calculator!$F$15,1)),2)))),2))</f>
        <v>6.13</v>
      </c>
      <c r="AS68" s="99" t="n">
        <f aca="false">IF(OR(Calculator!$E$16&lt;&gt;"YES",Calculator!$B$33&lt;Calculator!$G$16),"—",ROUND(MAX((50*POWER(80,POWER(COS(PI()*MOD(Calculator!$B$33/Calculator!$F$16,1)),2)))/$C68,$C68/(50*POWER(80,POWER(COS(PI()*MOD(Calculator!$B$33/Calculator!$F$16,1)),2)))),2))</f>
        <v>2.24</v>
      </c>
      <c r="AT68" s="99" t="n">
        <f aca="false">IF(OR(Calculator!$E$17&lt;&gt;"YES",Calculator!$B$33&lt;Calculator!$G$17),"—",ROUND(MAX((50*POWER(80,POWER(COS(PI()*MOD(Calculator!$B$33/Calculator!$F$17,1)),2)))/$C68,$C68/(50*POWER(80,POWER(COS(PI()*MOD(Calculator!$B$33/Calculator!$F$17,1)),2)))),2))</f>
        <v>7.11</v>
      </c>
      <c r="AU68" s="99" t="n">
        <f aca="false">IF(OR(Calculator!$E$18&lt;&gt;"YES",Calculator!$B$33&lt;Calculator!$G$18),"—",ROUND(MAX((50*POWER(80,POWER(COS(PI()*MOD(Calculator!$B$33/Calculator!$F$18,1)),2)))/$C68,$C68/(50*POWER(80,POWER(COS(PI()*MOD(Calculator!$B$33/Calculator!$F$18,1)),2)))),2))</f>
        <v>9.62</v>
      </c>
      <c r="AV68" s="99" t="n">
        <f aca="false">IF(OR(Calculator!$E$19&lt;&gt;"YES",Calculator!$B$33&lt;Calculator!$G$19),"—",ROUND(MAX((50*POWER(80,POWER(COS(PI()*MOD(Calculator!$B$33/Calculator!$F$19,1)),2)))/$C68,$C68/(50*POWER(80,POWER(COS(PI()*MOD(Calculator!$B$33/Calculator!$F$19,1)),2)))),2))</f>
        <v>1.17</v>
      </c>
      <c r="AW68" s="99" t="n">
        <f aca="false">IF(OR(Calculator!$E$20&lt;&gt;"YES",Calculator!$B$33&lt;Calculator!$G$20),"—",ROUND(MAX((50*POWER(80,POWER(COS(PI()*MOD(Calculator!$B$33/Calculator!$F$20,1)),2)))/$C68,$C68/(50*POWER(80,POWER(COS(PI()*MOD(Calculator!$B$33/Calculator!$F$20,1)),2)))),2))</f>
        <v>14.69</v>
      </c>
      <c r="AX68" s="99" t="str">
        <f aca="false">IF(OR(Calculator!$E$21&lt;&gt;"YES",Calculator!$B$33&lt;Calculator!$G$21),"—",ROUND(MAX((50*POWER(80,POWER(COS(PI()*MOD(Calculator!$B$33/Calculator!$F$21,1)),2)))/$C68,$C68/(50*POWER(80,POWER(COS(PI()*MOD(Calculator!$B$33/Calculator!$F$21,1)),2)))),2))</f>
        <v>—</v>
      </c>
      <c r="AY68" s="98" t="n">
        <f aca="false">IFERROR(ROUND((IF(ISNUMBER(AN68),AN68,0)+IF(ISNUMBER(AO68),AO68,0)+IF(ISNUMBER(AP68),AP68,0)+IF(ISNUMBER(AQ68),AQ68,0)+IF(ISNUMBER(AR68),AR68,0)+IF(ISNUMBER(AS68),AS68,0)+IF(ISNUMBER(AT68),AT68,0)+IF(ISNUMBER(AU68),AU68,0)+IF(ISNUMBER(AV68),AV68,0)+IF(ISNUMBER(AW68),AW68,0)+IF(ISNUMBER(AX68),AX68,0))/(IF(ISNUMBER(AN68),1,0)+IF(ISNUMBER(AO68),1,0)+IF(ISNUMBER(AP68),1,0)+IF(ISNUMBER(AQ68),1,0)+IF(ISNUMBER(AR68),1,0)+IF(ISNUMBER(AS68),1,0)+IF(ISNUMBER(AT68),1,0)+IF(ISNUMBER(AU68),1,0)+IF(ISNUMBER(AV68),1,0)+IF(ISNUMBER(AW68),1,0)+IF(ISNUMBER(AX68),1,0)),2),"")</f>
        <v>6.07</v>
      </c>
      <c r="AZ68" s="99" t="str">
        <f aca="false">IF(OR(Calculator!$E$11&lt;&gt;"YES",Calculator!$B$34&lt;Calculator!$G$11),"—",ROUND(MAX((50*POWER(80,POWER(COS(PI()*MOD(Calculator!$B$34/Calculator!$F$11,1)),2)))/$C68,$C68/(50*POWER(80,POWER(COS(PI()*MOD(Calculator!$B$34/Calculator!$F$11,1)),2)))),2))</f>
        <v>—</v>
      </c>
      <c r="BA68" s="99" t="str">
        <f aca="false">IF(OR(Calculator!$E$12&lt;&gt;"YES",Calculator!$B$34&lt;Calculator!$G$12),"—",ROUND(MAX((50*POWER(80,POWER(COS(PI()*MOD(Calculator!$B$34/Calculator!$F$12,1)),2)))/$C68,$C68/(50*POWER(80,POWER(COS(PI()*MOD(Calculator!$B$34/Calculator!$F$12,1)),2)))),2))</f>
        <v>—</v>
      </c>
      <c r="BB68" s="99" t="str">
        <f aca="false">IF(OR(Calculator!$E$13&lt;&gt;"YES",Calculator!$B$34&lt;Calculator!$G$13),"—",ROUND(MAX((50*POWER(80,POWER(COS(PI()*MOD(Calculator!$B$34/Calculator!$F$13,1)),2)))/$C68,$C68/(50*POWER(80,POWER(COS(PI()*MOD(Calculator!$B$34/Calculator!$F$13,1)),2)))),2))</f>
        <v>—</v>
      </c>
      <c r="BC68" s="99" t="n">
        <f aca="false">IF(OR(Calculator!$E$14&lt;&gt;"YES",Calculator!$B$34&lt;Calculator!$G$14),"—",ROUND(MAX((50*POWER(80,POWER(COS(PI()*MOD(Calculator!$B$34/Calculator!$F$14,1)),2)))/$C68,$C68/(50*POWER(80,POWER(COS(PI()*MOD(Calculator!$B$34/Calculator!$F$14,1)),2)))),2))</f>
        <v>1.54</v>
      </c>
      <c r="BD68" s="99" t="n">
        <f aca="false">IF(OR(Calculator!$E$15&lt;&gt;"YES",Calculator!$B$34&lt;Calculator!$G$15),"—",ROUND(MAX((50*POWER(80,POWER(COS(PI()*MOD(Calculator!$B$34/Calculator!$F$15,1)),2)))/$C68,$C68/(50*POWER(80,POWER(COS(PI()*MOD(Calculator!$B$34/Calculator!$F$15,1)),2)))),2))</f>
        <v>7.92</v>
      </c>
      <c r="BE68" s="99" t="n">
        <f aca="false">IF(OR(Calculator!$E$16&lt;&gt;"YES",Calculator!$B$34&lt;Calculator!$G$16),"—",ROUND(MAX((50*POWER(80,POWER(COS(PI()*MOD(Calculator!$B$34/Calculator!$F$16,1)),2)))/$C68,$C68/(50*POWER(80,POWER(COS(PI()*MOD(Calculator!$B$34/Calculator!$F$16,1)),2)))),2))</f>
        <v>2.67</v>
      </c>
      <c r="BF68" s="99" t="n">
        <f aca="false">IF(OR(Calculator!$E$17&lt;&gt;"YES",Calculator!$B$34&lt;Calculator!$G$17),"—",ROUND(MAX((50*POWER(80,POWER(COS(PI()*MOD(Calculator!$B$34/Calculator!$F$17,1)),2)))/$C68,$C68/(50*POWER(80,POWER(COS(PI()*MOD(Calculator!$B$34/Calculator!$F$17,1)),2)))),2))</f>
        <v>1.38</v>
      </c>
      <c r="BG68" s="99" t="n">
        <f aca="false">IF(OR(Calculator!$E$18&lt;&gt;"YES",Calculator!$B$34&lt;Calculator!$G$18),"—",ROUND(MAX((50*POWER(80,POWER(COS(PI()*MOD(Calculator!$B$34/Calculator!$F$18,1)),2)))/$C68,$C68/(50*POWER(80,POWER(COS(PI()*MOD(Calculator!$B$34/Calculator!$F$18,1)),2)))),2))</f>
        <v>13.02</v>
      </c>
      <c r="BH68" s="99" t="n">
        <f aca="false">IF(OR(Calculator!$E$19&lt;&gt;"YES",Calculator!$B$34&lt;Calculator!$G$19),"—",ROUND(MAX((50*POWER(80,POWER(COS(PI()*MOD(Calculator!$B$34/Calculator!$F$19,1)),2)))/$C68,$C68/(50*POWER(80,POWER(COS(PI()*MOD(Calculator!$B$34/Calculator!$F$19,1)),2)))),2))</f>
        <v>14.48</v>
      </c>
      <c r="BI68" s="99" t="n">
        <f aca="false">IF(OR(Calculator!$E$20&lt;&gt;"YES",Calculator!$B$34&lt;Calculator!$G$20),"—",ROUND(MAX((50*POWER(80,POWER(COS(PI()*MOD(Calculator!$B$34/Calculator!$F$20,1)),2)))/$C68,$C68/(50*POWER(80,POWER(COS(PI()*MOD(Calculator!$B$34/Calculator!$F$20,1)),2)))),2))</f>
        <v>8.64</v>
      </c>
      <c r="BJ68" s="99" t="str">
        <f aca="false">IF(OR(Calculator!$E$21&lt;&gt;"YES",Calculator!$B$34&lt;Calculator!$G$21),"—",ROUND(MAX((50*POWER(80,POWER(COS(PI()*MOD(Calculator!$B$34/Calculator!$F$21,1)),2)))/$C68,$C68/(50*POWER(80,POWER(COS(PI()*MOD(Calculator!$B$34/Calculator!$F$21,1)),2)))),2))</f>
        <v>—</v>
      </c>
      <c r="BK68" s="98" t="n">
        <f aca="false">IFERROR(ROUND((IF(ISNUMBER(AZ68),AZ68,0)+IF(ISNUMBER(BA68),BA68,0)+IF(ISNUMBER(BB68),BB68,0)+IF(ISNUMBER(BC68),BC68,0)+IF(ISNUMBER(BD68),BD68,0)+IF(ISNUMBER(BE68),BE68,0)+IF(ISNUMBER(BF68),BF68,0)+IF(ISNUMBER(BG68),BG68,0)+IF(ISNUMBER(BH68),BH68,0)+IF(ISNUMBER(BI68),BI68,0)+IF(ISNUMBER(BJ68),BJ68,0))/(IF(ISNUMBER(AZ68),1,0)+IF(ISNUMBER(BA68),1,0)+IF(ISNUMBER(BB68),1,0)+IF(ISNUMBER(BC68),1,0)+IF(ISNUMBER(BD68),1,0)+IF(ISNUMBER(BE68),1,0)+IF(ISNUMBER(BF68),1,0)+IF(ISNUMBER(BG68),1,0)+IF(ISNUMBER(BH68),1,0)+IF(ISNUMBER(BI68),1,0)+IF(ISNUMBER(BJ68),1,0)),2),"")</f>
        <v>7.09</v>
      </c>
    </row>
    <row r="69" customFormat="false" ht="15" hidden="false" customHeight="false" outlineLevel="0" collapsed="false">
      <c r="A69" s="74" t="s">
        <v>120</v>
      </c>
      <c r="B69" s="74" t="s">
        <v>86</v>
      </c>
      <c r="C69" s="77" t="n">
        <v>1850</v>
      </c>
      <c r="D69" s="78" t="str">
        <f aca="false">IF(OR(Calculator!$E$11&lt;&gt;"YES",Calculator!$B$30&lt;Calculator!$G$11),"—",ROUND(MAX((50*POWER(80,POWER(COS(PI()*MOD(Calculator!$B$30/Calculator!$F$11,1)),2)))/$C69,$C69/(50*POWER(80,POWER(COS(PI()*MOD(Calculator!$B$30/Calculator!$F$11,1)),2)))),2))</f>
        <v>—</v>
      </c>
      <c r="E69" s="78" t="str">
        <f aca="false">IF(OR(Calculator!$E$12&lt;&gt;"YES",Calculator!$B$30&lt;Calculator!$G$12),"—",ROUND(MAX((50*POWER(80,POWER(COS(PI()*MOD(Calculator!$B$30/Calculator!$F$12,1)),2)))/$C69,$C69/(50*POWER(80,POWER(COS(PI()*MOD(Calculator!$B$30/Calculator!$F$12,1)),2)))),2))</f>
        <v>—</v>
      </c>
      <c r="F69" s="78" t="str">
        <f aca="false">IF(OR(Calculator!$E$13&lt;&gt;"YES",Calculator!$B$30&lt;Calculator!$G$13),"—",ROUND(MAX((50*POWER(80,POWER(COS(PI()*MOD(Calculator!$B$30/Calculator!$F$13,1)),2)))/$C69,$C69/(50*POWER(80,POWER(COS(PI()*MOD(Calculator!$B$30/Calculator!$F$13,1)),2)))),2))</f>
        <v>—</v>
      </c>
      <c r="G69" s="78" t="n">
        <f aca="false">IF(OR(Calculator!$E$14&lt;&gt;"YES",Calculator!$B$30&lt;Calculator!$G$14),"—",ROUND(MAX((50*POWER(80,POWER(COS(PI()*MOD(Calculator!$B$30/Calculator!$F$14,1)),2)))/$C69,$C69/(50*POWER(80,POWER(COS(PI()*MOD(Calculator!$B$30/Calculator!$F$14,1)),2)))),2))</f>
        <v>16.72</v>
      </c>
      <c r="H69" s="78" t="n">
        <f aca="false">IF(OR(Calculator!$E$15&lt;&gt;"YES",Calculator!$B$30&lt;Calculator!$G$15),"—",ROUND(MAX((50*POWER(80,POWER(COS(PI()*MOD(Calculator!$B$30/Calculator!$F$15,1)),2)))/$C69,$C69/(50*POWER(80,POWER(COS(PI()*MOD(Calculator!$B$30/Calculator!$F$15,1)),2)))),2))</f>
        <v>4.85</v>
      </c>
      <c r="I69" s="78" t="n">
        <f aca="false">IF(OR(Calculator!$E$16&lt;&gt;"YES",Calculator!$B$30&lt;Calculator!$G$16),"—",ROUND(MAX((50*POWER(80,POWER(COS(PI()*MOD(Calculator!$B$30/Calculator!$F$16,1)),2)))/$C69,$C69/(50*POWER(80,POWER(COS(PI()*MOD(Calculator!$B$30/Calculator!$F$16,1)),2)))),2))</f>
        <v>3.31</v>
      </c>
      <c r="J69" s="78" t="n">
        <f aca="false">IF(OR(Calculator!$E$17&lt;&gt;"YES",Calculator!$B$30&lt;Calculator!$G$17),"—",ROUND(MAX((50*POWER(80,POWER(COS(PI()*MOD(Calculator!$B$30/Calculator!$F$17,1)),2)))/$C69,$C69/(50*POWER(80,POWER(COS(PI()*MOD(Calculator!$B$30/Calculator!$F$17,1)),2)))),2))</f>
        <v>9.3</v>
      </c>
      <c r="K69" s="78" t="n">
        <f aca="false">IF(OR(Calculator!$E$18&lt;&gt;"YES",Calculator!$B$30&lt;Calculator!$G$18),"—",ROUND(MAX((50*POWER(80,POWER(COS(PI()*MOD(Calculator!$B$30/Calculator!$F$18,1)),2)))/$C69,$C69/(50*POWER(80,POWER(COS(PI()*MOD(Calculator!$B$30/Calculator!$F$18,1)),2)))),2))</f>
        <v>1.33</v>
      </c>
      <c r="L69" s="78" t="n">
        <f aca="false">IF(OR(Calculator!$E$19&lt;&gt;"YES",Calculator!$B$30&lt;Calculator!$G$19),"—",ROUND(MAX((50*POWER(80,POWER(COS(PI()*MOD(Calculator!$B$30/Calculator!$F$19,1)),2)))/$C69,$C69/(50*POWER(80,POWER(COS(PI()*MOD(Calculator!$B$30/Calculator!$F$19,1)),2)))),2))</f>
        <v>2.36</v>
      </c>
      <c r="M69" s="78" t="n">
        <f aca="false">IF(OR(Calculator!$E$20&lt;&gt;"YES",Calculator!$B$30&lt;Calculator!$G$20),"—",ROUND(MAX((50*POWER(80,POWER(COS(PI()*MOD(Calculator!$B$30/Calculator!$F$20,1)),2)))/$C69,$C69/(50*POWER(80,POWER(COS(PI()*MOD(Calculator!$B$30/Calculator!$F$20,1)),2)))),2))</f>
        <v>14.61</v>
      </c>
      <c r="N69" s="78" t="str">
        <f aca="false">IF(OR(Calculator!$E$21&lt;&gt;"YES",Calculator!$B$30&lt;Calculator!$G$21),"—",ROUND(MAX((50*POWER(80,POWER(COS(PI()*MOD(Calculator!$B$30/Calculator!$F$21,1)),2)))/$C69,$C69/(50*POWER(80,POWER(COS(PI()*MOD(Calculator!$B$30/Calculator!$F$21,1)),2)))),2))</f>
        <v>—</v>
      </c>
      <c r="O69" s="100" t="n">
        <f aca="false">IFERROR(ROUND((IF(ISNUMBER(D69),D69,0)+IF(ISNUMBER(E69),E69,0)+IF(ISNUMBER(F69),F69,0)+IF(ISNUMBER(G69),G69,0)+IF(ISNUMBER(H69),H69,0)+IF(ISNUMBER(I69),I69,0)+IF(ISNUMBER(J69),J69,0)+IF(ISNUMBER(K69),K69,0)+IF(ISNUMBER(L69),L69,0)+IF(ISNUMBER(M69),M69,0)+IF(ISNUMBER(N69),N69,0))/(IF(ISNUMBER(D69),1,0)+IF(ISNUMBER(E69),1,0)+IF(ISNUMBER(F69),1,0)+IF(ISNUMBER(G69),1,0)+IF(ISNUMBER(H69),1,0)+IF(ISNUMBER(I69),1,0)+IF(ISNUMBER(J69),1,0)+IF(ISNUMBER(K69),1,0)+IF(ISNUMBER(L69),1,0)+IF(ISNUMBER(M69),1,0)+IF(ISNUMBER(N69),1,0)),2),"")</f>
        <v>7.5</v>
      </c>
      <c r="P69" s="78" t="str">
        <f aca="false">IF(OR(Calculator!$E$11&lt;&gt;"YES",Calculator!$B$31&lt;Calculator!$G$11),"—",ROUND(MAX((50*POWER(80,POWER(COS(PI()*MOD(Calculator!$B$31/Calculator!$F$11,1)),2)))/$C69,$C69/(50*POWER(80,POWER(COS(PI()*MOD(Calculator!$B$31/Calculator!$F$11,1)),2)))),2))</f>
        <v>—</v>
      </c>
      <c r="Q69" s="78" t="str">
        <f aca="false">IF(OR(Calculator!$E$12&lt;&gt;"YES",Calculator!$B$31&lt;Calculator!$G$12),"—",ROUND(MAX((50*POWER(80,POWER(COS(PI()*MOD(Calculator!$B$31/Calculator!$F$12,1)),2)))/$C69,$C69/(50*POWER(80,POWER(COS(PI()*MOD(Calculator!$B$31/Calculator!$F$12,1)),2)))),2))</f>
        <v>—</v>
      </c>
      <c r="R69" s="78" t="str">
        <f aca="false">IF(OR(Calculator!$E$13&lt;&gt;"YES",Calculator!$B$31&lt;Calculator!$G$13),"—",ROUND(MAX((50*POWER(80,POWER(COS(PI()*MOD(Calculator!$B$31/Calculator!$F$13,1)),2)))/$C69,$C69/(50*POWER(80,POWER(COS(PI()*MOD(Calculator!$B$31/Calculator!$F$13,1)),2)))),2))</f>
        <v>—</v>
      </c>
      <c r="S69" s="78" t="n">
        <f aca="false">IF(OR(Calculator!$E$14&lt;&gt;"YES",Calculator!$B$31&lt;Calculator!$G$14),"—",ROUND(MAX((50*POWER(80,POWER(COS(PI()*MOD(Calculator!$B$31/Calculator!$F$14,1)),2)))/$C69,$C69/(50*POWER(80,POWER(COS(PI()*MOD(Calculator!$B$31/Calculator!$F$14,1)),2)))),2))</f>
        <v>17.11</v>
      </c>
      <c r="T69" s="78" t="n">
        <f aca="false">IF(OR(Calculator!$E$15&lt;&gt;"YES",Calculator!$B$31&lt;Calculator!$G$15),"—",ROUND(MAX((50*POWER(80,POWER(COS(PI()*MOD(Calculator!$B$31/Calculator!$F$15,1)),2)))/$C69,$C69/(50*POWER(80,POWER(COS(PI()*MOD(Calculator!$B$31/Calculator!$F$15,1)),2)))),2))</f>
        <v>10.41</v>
      </c>
      <c r="U69" s="78" t="n">
        <f aca="false">IF(OR(Calculator!$E$16&lt;&gt;"YES",Calculator!$B$31&lt;Calculator!$G$16),"—",ROUND(MAX((50*POWER(80,POWER(COS(PI()*MOD(Calculator!$B$31/Calculator!$F$16,1)),2)))/$C69,$C69/(50*POWER(80,POWER(COS(PI()*MOD(Calculator!$B$31/Calculator!$F$16,1)),2)))),2))</f>
        <v>3.97</v>
      </c>
      <c r="V69" s="78" t="n">
        <f aca="false">IF(OR(Calculator!$E$17&lt;&gt;"YES",Calculator!$B$31&lt;Calculator!$G$17),"—",ROUND(MAX((50*POWER(80,POWER(COS(PI()*MOD(Calculator!$B$31/Calculator!$F$17,1)),2)))/$C69,$C69/(50*POWER(80,POWER(COS(PI()*MOD(Calculator!$B$31/Calculator!$F$17,1)),2)))),2))</f>
        <v>1.14</v>
      </c>
      <c r="W69" s="78" t="n">
        <f aca="false">IF(OR(Calculator!$E$18&lt;&gt;"YES",Calculator!$B$31&lt;Calculator!$G$18),"—",ROUND(MAX((50*POWER(80,POWER(COS(PI()*MOD(Calculator!$B$31/Calculator!$F$18,1)),2)))/$C69,$C69/(50*POWER(80,POWER(COS(PI()*MOD(Calculator!$B$31/Calculator!$F$18,1)),2)))),2))</f>
        <v>1</v>
      </c>
      <c r="X69" s="78" t="n">
        <f aca="false">IF(OR(Calculator!$E$19&lt;&gt;"YES",Calculator!$B$31&lt;Calculator!$G$19),"—",ROUND(MAX((50*POWER(80,POWER(COS(PI()*MOD(Calculator!$B$31/Calculator!$F$19,1)),2)))/$C69,$C69/(50*POWER(80,POWER(COS(PI()*MOD(Calculator!$B$31/Calculator!$F$19,1)),2)))),2))</f>
        <v>6.88</v>
      </c>
      <c r="Y69" s="78" t="n">
        <f aca="false">IF(OR(Calculator!$E$20&lt;&gt;"YES",Calculator!$B$31&lt;Calculator!$G$20),"—",ROUND(MAX((50*POWER(80,POWER(COS(PI()*MOD(Calculator!$B$31/Calculator!$F$20,1)),2)))/$C69,$C69/(50*POWER(80,POWER(COS(PI()*MOD(Calculator!$B$31/Calculator!$F$20,1)),2)))),2))</f>
        <v>22.7</v>
      </c>
      <c r="Z69" s="78" t="str">
        <f aca="false">IF(OR(Calculator!$E$21&lt;&gt;"YES",Calculator!$B$31&lt;Calculator!$G$21),"—",ROUND(MAX((50*POWER(80,POWER(COS(PI()*MOD(Calculator!$B$31/Calculator!$F$21,1)),2)))/$C69,$C69/(50*POWER(80,POWER(COS(PI()*MOD(Calculator!$B$31/Calculator!$F$21,1)),2)))),2))</f>
        <v>—</v>
      </c>
      <c r="AA69" s="100" t="n">
        <f aca="false">IFERROR(ROUND((IF(ISNUMBER(P69),P69,0)+IF(ISNUMBER(Q69),Q69,0)+IF(ISNUMBER(R69),R69,0)+IF(ISNUMBER(S69),S69,0)+IF(ISNUMBER(T69),T69,0)+IF(ISNUMBER(U69),U69,0)+IF(ISNUMBER(V69),V69,0)+IF(ISNUMBER(W69),W69,0)+IF(ISNUMBER(X69),X69,0)+IF(ISNUMBER(Y69),Y69,0)+IF(ISNUMBER(Z69),Z69,0))/(IF(ISNUMBER(P69),1,0)+IF(ISNUMBER(Q69),1,0)+IF(ISNUMBER(R69),1,0)+IF(ISNUMBER(S69),1,0)+IF(ISNUMBER(T69),1,0)+IF(ISNUMBER(U69),1,0)+IF(ISNUMBER(V69),1,0)+IF(ISNUMBER(W69),1,0)+IF(ISNUMBER(X69),1,0)+IF(ISNUMBER(Y69),1,0)+IF(ISNUMBER(Z69),1,0)),2),"")</f>
        <v>9.03</v>
      </c>
      <c r="AB69" s="78" t="str">
        <f aca="false">IF(OR(Calculator!$E$11&lt;&gt;"YES",Calculator!$B$32&lt;Calculator!$G$11),"—",ROUND(MAX((50*POWER(80,POWER(COS(PI()*MOD(Calculator!$B$32/Calculator!$F$11,1)),2)))/$C69,$C69/(50*POWER(80,POWER(COS(PI()*MOD(Calculator!$B$32/Calculator!$F$11,1)),2)))),2))</f>
        <v>—</v>
      </c>
      <c r="AC69" s="78" t="str">
        <f aca="false">IF(OR(Calculator!$E$12&lt;&gt;"YES",Calculator!$B$32&lt;Calculator!$G$12),"—",ROUND(MAX((50*POWER(80,POWER(COS(PI()*MOD(Calculator!$B$32/Calculator!$F$12,1)),2)))/$C69,$C69/(50*POWER(80,POWER(COS(PI()*MOD(Calculator!$B$32/Calculator!$F$12,1)),2)))),2))</f>
        <v>—</v>
      </c>
      <c r="AD69" s="78" t="str">
        <f aca="false">IF(OR(Calculator!$E$13&lt;&gt;"YES",Calculator!$B$32&lt;Calculator!$G$13),"—",ROUND(MAX((50*POWER(80,POWER(COS(PI()*MOD(Calculator!$B$32/Calculator!$F$13,1)),2)))/$C69,$C69/(50*POWER(80,POWER(COS(PI()*MOD(Calculator!$B$32/Calculator!$F$13,1)),2)))),2))</f>
        <v>—</v>
      </c>
      <c r="AE69" s="78" t="n">
        <f aca="false">IF(OR(Calculator!$E$14&lt;&gt;"YES",Calculator!$B$32&lt;Calculator!$G$14),"—",ROUND(MAX((50*POWER(80,POWER(COS(PI()*MOD(Calculator!$B$32/Calculator!$F$14,1)),2)))/$C69,$C69/(50*POWER(80,POWER(COS(PI()*MOD(Calculator!$B$32/Calculator!$F$14,1)),2)))),2))</f>
        <v>10.81</v>
      </c>
      <c r="AF69" s="78" t="n">
        <f aca="false">IF(OR(Calculator!$E$15&lt;&gt;"YES",Calculator!$B$32&lt;Calculator!$G$15),"—",ROUND(MAX((50*POWER(80,POWER(COS(PI()*MOD(Calculator!$B$32/Calculator!$F$15,1)),2)))/$C69,$C69/(50*POWER(80,POWER(COS(PI()*MOD(Calculator!$B$32/Calculator!$F$15,1)),2)))),2))</f>
        <v>6.99</v>
      </c>
      <c r="AG69" s="78" t="n">
        <f aca="false">IF(OR(Calculator!$E$16&lt;&gt;"YES",Calculator!$B$32&lt;Calculator!$G$16),"—",ROUND(MAX((50*POWER(80,POWER(COS(PI()*MOD(Calculator!$B$32/Calculator!$F$16,1)),2)))/$C69,$C69/(50*POWER(80,POWER(COS(PI()*MOD(Calculator!$B$32/Calculator!$F$16,1)),2)))),2))</f>
        <v>23.59</v>
      </c>
      <c r="AH69" s="78" t="n">
        <f aca="false">IF(OR(Calculator!$E$17&lt;&gt;"YES",Calculator!$B$32&lt;Calculator!$G$17),"—",ROUND(MAX((50*POWER(80,POWER(COS(PI()*MOD(Calculator!$B$32/Calculator!$F$17,1)),2)))/$C69,$C69/(50*POWER(80,POWER(COS(PI()*MOD(Calculator!$B$32/Calculator!$F$17,1)),2)))),2))</f>
        <v>1.24</v>
      </c>
      <c r="AI69" s="78" t="n">
        <f aca="false">IF(OR(Calculator!$E$18&lt;&gt;"YES",Calculator!$B$32&lt;Calculator!$G$18),"—",ROUND(MAX((50*POWER(80,POWER(COS(PI()*MOD(Calculator!$B$32/Calculator!$F$18,1)),2)))/$C69,$C69/(50*POWER(80,POWER(COS(PI()*MOD(Calculator!$B$32/Calculator!$F$18,1)),2)))),2))</f>
        <v>1.35</v>
      </c>
      <c r="AJ69" s="78" t="n">
        <f aca="false">IF(OR(Calculator!$E$19&lt;&gt;"YES",Calculator!$B$32&lt;Calculator!$G$19),"—",ROUND(MAX((50*POWER(80,POWER(COS(PI()*MOD(Calculator!$B$32/Calculator!$F$19,1)),2)))/$C69,$C69/(50*POWER(80,POWER(COS(PI()*MOD(Calculator!$B$32/Calculator!$F$19,1)),2)))),2))</f>
        <v>1.42</v>
      </c>
      <c r="AK69" s="78" t="n">
        <f aca="false">IF(OR(Calculator!$E$20&lt;&gt;"YES",Calculator!$B$32&lt;Calculator!$G$20),"—",ROUND(MAX((50*POWER(80,POWER(COS(PI()*MOD(Calculator!$B$32/Calculator!$F$20,1)),2)))/$C69,$C69/(50*POWER(80,POWER(COS(PI()*MOD(Calculator!$B$32/Calculator!$F$20,1)),2)))),2))</f>
        <v>18.55</v>
      </c>
      <c r="AL69" s="78" t="str">
        <f aca="false">IF(OR(Calculator!$E$21&lt;&gt;"YES",Calculator!$B$32&lt;Calculator!$G$21),"—",ROUND(MAX((50*POWER(80,POWER(COS(PI()*MOD(Calculator!$B$32/Calculator!$F$21,1)),2)))/$C69,$C69/(50*POWER(80,POWER(COS(PI()*MOD(Calculator!$B$32/Calculator!$F$21,1)),2)))),2))</f>
        <v>—</v>
      </c>
      <c r="AM69" s="101" t="n">
        <f aca="false">IFERROR(ROUND((IF(ISNUMBER(AB69),AB69,0)+IF(ISNUMBER(AC69),AC69,0)+IF(ISNUMBER(AD69),AD69,0)+IF(ISNUMBER(AE69),AE69,0)+IF(ISNUMBER(AF69),AF69,0)+IF(ISNUMBER(AG69),AG69,0)+IF(ISNUMBER(AH69),AH69,0)+IF(ISNUMBER(AI69),AI69,0)+IF(ISNUMBER(AJ69),AJ69,0)+IF(ISNUMBER(AK69),AK69,0)+IF(ISNUMBER(AL69),AL69,0))/(IF(ISNUMBER(AB69),1,0)+IF(ISNUMBER(AC69),1,0)+IF(ISNUMBER(AD69),1,0)+IF(ISNUMBER(AE69),1,0)+IF(ISNUMBER(AF69),1,0)+IF(ISNUMBER(AG69),1,0)+IF(ISNUMBER(AH69),1,0)+IF(ISNUMBER(AI69),1,0)+IF(ISNUMBER(AJ69),1,0)+IF(ISNUMBER(AK69),1,0)+IF(ISNUMBER(AL69),1,0)),2),"")</f>
        <v>9.14</v>
      </c>
      <c r="AN69" s="102" t="str">
        <f aca="false">IF(OR(Calculator!$E$11&lt;&gt;"YES",Calculator!$B$33&lt;Calculator!$G$11),"—",ROUND(MAX((50*POWER(80,POWER(COS(PI()*MOD(Calculator!$B$33/Calculator!$F$11,1)),2)))/$C69,$C69/(50*POWER(80,POWER(COS(PI()*MOD(Calculator!$B$33/Calculator!$F$11,1)),2)))),2))</f>
        <v>—</v>
      </c>
      <c r="AO69" s="102" t="str">
        <f aca="false">IF(OR(Calculator!$E$12&lt;&gt;"YES",Calculator!$B$33&lt;Calculator!$G$12),"—",ROUND(MAX((50*POWER(80,POWER(COS(PI()*MOD(Calculator!$B$33/Calculator!$F$12,1)),2)))/$C69,$C69/(50*POWER(80,POWER(COS(PI()*MOD(Calculator!$B$33/Calculator!$F$12,1)),2)))),2))</f>
        <v>—</v>
      </c>
      <c r="AP69" s="102" t="str">
        <f aca="false">IF(OR(Calculator!$E$13&lt;&gt;"YES",Calculator!$B$33&lt;Calculator!$G$13),"—",ROUND(MAX((50*POWER(80,POWER(COS(PI()*MOD(Calculator!$B$33/Calculator!$F$13,1)),2)))/$C69,$C69/(50*POWER(80,POWER(COS(PI()*MOD(Calculator!$B$33/Calculator!$F$13,1)),2)))),2))</f>
        <v>—</v>
      </c>
      <c r="AQ69" s="102" t="n">
        <f aca="false">IF(OR(Calculator!$E$14&lt;&gt;"YES",Calculator!$B$33&lt;Calculator!$G$14),"—",ROUND(MAX((50*POWER(80,POWER(COS(PI()*MOD(Calculator!$B$33/Calculator!$F$14,1)),2)))/$C69,$C69/(50*POWER(80,POWER(COS(PI()*MOD(Calculator!$B$33/Calculator!$F$14,1)),2)))),2))</f>
        <v>1.47</v>
      </c>
      <c r="AR69" s="102" t="n">
        <f aca="false">IF(OR(Calculator!$E$15&lt;&gt;"YES",Calculator!$B$33&lt;Calculator!$G$15),"—",ROUND(MAX((50*POWER(80,POWER(COS(PI()*MOD(Calculator!$B$33/Calculator!$F$15,1)),2)))/$C69,$C69/(50*POWER(80,POWER(COS(PI()*MOD(Calculator!$B$33/Calculator!$F$15,1)),2)))),2))</f>
        <v>6.3</v>
      </c>
      <c r="AS69" s="102" t="n">
        <f aca="false">IF(OR(Calculator!$E$16&lt;&gt;"YES",Calculator!$B$33&lt;Calculator!$G$16),"—",ROUND(MAX((50*POWER(80,POWER(COS(PI()*MOD(Calculator!$B$33/Calculator!$F$16,1)),2)))/$C69,$C69/(50*POWER(80,POWER(COS(PI()*MOD(Calculator!$B$33/Calculator!$F$16,1)),2)))),2))</f>
        <v>2.3</v>
      </c>
      <c r="AT69" s="102" t="n">
        <f aca="false">IF(OR(Calculator!$E$17&lt;&gt;"YES",Calculator!$B$33&lt;Calculator!$G$17),"—",ROUND(MAX((50*POWER(80,POWER(COS(PI()*MOD(Calculator!$B$33/Calculator!$F$17,1)),2)))/$C69,$C69/(50*POWER(80,POWER(COS(PI()*MOD(Calculator!$B$33/Calculator!$F$17,1)),2)))),2))</f>
        <v>7.31</v>
      </c>
      <c r="AU69" s="102" t="n">
        <f aca="false">IF(OR(Calculator!$E$18&lt;&gt;"YES",Calculator!$B$33&lt;Calculator!$G$18),"—",ROUND(MAX((50*POWER(80,POWER(COS(PI()*MOD(Calculator!$B$33/Calculator!$F$18,1)),2)))/$C69,$C69/(50*POWER(80,POWER(COS(PI()*MOD(Calculator!$B$33/Calculator!$F$18,1)),2)))),2))</f>
        <v>9.89</v>
      </c>
      <c r="AV69" s="102" t="n">
        <f aca="false">IF(OR(Calculator!$E$19&lt;&gt;"YES",Calculator!$B$33&lt;Calculator!$G$19),"—",ROUND(MAX((50*POWER(80,POWER(COS(PI()*MOD(Calculator!$B$33/Calculator!$F$19,1)),2)))/$C69,$C69/(50*POWER(80,POWER(COS(PI()*MOD(Calculator!$B$33/Calculator!$F$19,1)),2)))),2))</f>
        <v>1.2</v>
      </c>
      <c r="AW69" s="102" t="n">
        <f aca="false">IF(OR(Calculator!$E$20&lt;&gt;"YES",Calculator!$B$33&lt;Calculator!$G$20),"—",ROUND(MAX((50*POWER(80,POWER(COS(PI()*MOD(Calculator!$B$33/Calculator!$F$20,1)),2)))/$C69,$C69/(50*POWER(80,POWER(COS(PI()*MOD(Calculator!$B$33/Calculator!$F$20,1)),2)))),2))</f>
        <v>15.1</v>
      </c>
      <c r="AX69" s="102" t="str">
        <f aca="false">IF(OR(Calculator!$E$21&lt;&gt;"YES",Calculator!$B$33&lt;Calculator!$G$21),"—",ROUND(MAX((50*POWER(80,POWER(COS(PI()*MOD(Calculator!$B$33/Calculator!$F$21,1)),2)))/$C69,$C69/(50*POWER(80,POWER(COS(PI()*MOD(Calculator!$B$33/Calculator!$F$21,1)),2)))),2))</f>
        <v>—</v>
      </c>
      <c r="AY69" s="101" t="n">
        <f aca="false">IFERROR(ROUND((IF(ISNUMBER(AN69),AN69,0)+IF(ISNUMBER(AO69),AO69,0)+IF(ISNUMBER(AP69),AP69,0)+IF(ISNUMBER(AQ69),AQ69,0)+IF(ISNUMBER(AR69),AR69,0)+IF(ISNUMBER(AS69),AS69,0)+IF(ISNUMBER(AT69),AT69,0)+IF(ISNUMBER(AU69),AU69,0)+IF(ISNUMBER(AV69),AV69,0)+IF(ISNUMBER(AW69),AW69,0)+IF(ISNUMBER(AX69),AX69,0))/(IF(ISNUMBER(AN69),1,0)+IF(ISNUMBER(AO69),1,0)+IF(ISNUMBER(AP69),1,0)+IF(ISNUMBER(AQ69),1,0)+IF(ISNUMBER(AR69),1,0)+IF(ISNUMBER(AS69),1,0)+IF(ISNUMBER(AT69),1,0)+IF(ISNUMBER(AU69),1,0)+IF(ISNUMBER(AV69),1,0)+IF(ISNUMBER(AW69),1,0)+IF(ISNUMBER(AX69),1,0)),2),"")</f>
        <v>6.22</v>
      </c>
      <c r="AZ69" s="102" t="str">
        <f aca="false">IF(OR(Calculator!$E$11&lt;&gt;"YES",Calculator!$B$34&lt;Calculator!$G$11),"—",ROUND(MAX((50*POWER(80,POWER(COS(PI()*MOD(Calculator!$B$34/Calculator!$F$11,1)),2)))/$C69,$C69/(50*POWER(80,POWER(COS(PI()*MOD(Calculator!$B$34/Calculator!$F$11,1)),2)))),2))</f>
        <v>—</v>
      </c>
      <c r="BA69" s="102" t="str">
        <f aca="false">IF(OR(Calculator!$E$12&lt;&gt;"YES",Calculator!$B$34&lt;Calculator!$G$12),"—",ROUND(MAX((50*POWER(80,POWER(COS(PI()*MOD(Calculator!$B$34/Calculator!$F$12,1)),2)))/$C69,$C69/(50*POWER(80,POWER(COS(PI()*MOD(Calculator!$B$34/Calculator!$F$12,1)),2)))),2))</f>
        <v>—</v>
      </c>
      <c r="BB69" s="102" t="str">
        <f aca="false">IF(OR(Calculator!$E$13&lt;&gt;"YES",Calculator!$B$34&lt;Calculator!$G$13),"—",ROUND(MAX((50*POWER(80,POWER(COS(PI()*MOD(Calculator!$B$34/Calculator!$F$13,1)),2)))/$C69,$C69/(50*POWER(80,POWER(COS(PI()*MOD(Calculator!$B$34/Calculator!$F$13,1)),2)))),2))</f>
        <v>—</v>
      </c>
      <c r="BC69" s="102" t="n">
        <f aca="false">IF(OR(Calculator!$E$14&lt;&gt;"YES",Calculator!$B$34&lt;Calculator!$G$14),"—",ROUND(MAX((50*POWER(80,POWER(COS(PI()*MOD(Calculator!$B$34/Calculator!$F$14,1)),2)))/$C69,$C69/(50*POWER(80,POWER(COS(PI()*MOD(Calculator!$B$34/Calculator!$F$14,1)),2)))),2))</f>
        <v>1.5</v>
      </c>
      <c r="BD69" s="102" t="n">
        <f aca="false">IF(OR(Calculator!$E$15&lt;&gt;"YES",Calculator!$B$34&lt;Calculator!$G$15),"—",ROUND(MAX((50*POWER(80,POWER(COS(PI()*MOD(Calculator!$B$34/Calculator!$F$15,1)),2)))/$C69,$C69/(50*POWER(80,POWER(COS(PI()*MOD(Calculator!$B$34/Calculator!$F$15,1)),2)))),2))</f>
        <v>8.14</v>
      </c>
      <c r="BE69" s="102" t="n">
        <f aca="false">IF(OR(Calculator!$E$16&lt;&gt;"YES",Calculator!$B$34&lt;Calculator!$G$16),"—",ROUND(MAX((50*POWER(80,POWER(COS(PI()*MOD(Calculator!$B$34/Calculator!$F$16,1)),2)))/$C69,$C69/(50*POWER(80,POWER(COS(PI()*MOD(Calculator!$B$34/Calculator!$F$16,1)),2)))),2))</f>
        <v>2.74</v>
      </c>
      <c r="BF69" s="102" t="n">
        <f aca="false">IF(OR(Calculator!$E$17&lt;&gt;"YES",Calculator!$B$34&lt;Calculator!$G$17),"—",ROUND(MAX((50*POWER(80,POWER(COS(PI()*MOD(Calculator!$B$34/Calculator!$F$17,1)),2)))/$C69,$C69/(50*POWER(80,POWER(COS(PI()*MOD(Calculator!$B$34/Calculator!$F$17,1)),2)))),2))</f>
        <v>1.41</v>
      </c>
      <c r="BG69" s="102" t="n">
        <f aca="false">IF(OR(Calculator!$E$18&lt;&gt;"YES",Calculator!$B$34&lt;Calculator!$G$18),"—",ROUND(MAX((50*POWER(80,POWER(COS(PI()*MOD(Calculator!$B$34/Calculator!$F$18,1)),2)))/$C69,$C69/(50*POWER(80,POWER(COS(PI()*MOD(Calculator!$B$34/Calculator!$F$18,1)),2)))),2))</f>
        <v>13.38</v>
      </c>
      <c r="BH69" s="102" t="n">
        <f aca="false">IF(OR(Calculator!$E$19&lt;&gt;"YES",Calculator!$B$34&lt;Calculator!$G$19),"—",ROUND(MAX((50*POWER(80,POWER(COS(PI()*MOD(Calculator!$B$34/Calculator!$F$19,1)),2)))/$C69,$C69/(50*POWER(80,POWER(COS(PI()*MOD(Calculator!$B$34/Calculator!$F$19,1)),2)))),2))</f>
        <v>14.88</v>
      </c>
      <c r="BI69" s="102" t="n">
        <f aca="false">IF(OR(Calculator!$E$20&lt;&gt;"YES",Calculator!$B$34&lt;Calculator!$G$20),"—",ROUND(MAX((50*POWER(80,POWER(COS(PI()*MOD(Calculator!$B$34/Calculator!$F$20,1)),2)))/$C69,$C69/(50*POWER(80,POWER(COS(PI()*MOD(Calculator!$B$34/Calculator!$F$20,1)),2)))),2))</f>
        <v>8.88</v>
      </c>
      <c r="BJ69" s="102" t="str">
        <f aca="false">IF(OR(Calculator!$E$21&lt;&gt;"YES",Calculator!$B$34&lt;Calculator!$G$21),"—",ROUND(MAX((50*POWER(80,POWER(COS(PI()*MOD(Calculator!$B$34/Calculator!$F$21,1)),2)))/$C69,$C69/(50*POWER(80,POWER(COS(PI()*MOD(Calculator!$B$34/Calculator!$F$21,1)),2)))),2))</f>
        <v>—</v>
      </c>
      <c r="BK69" s="101" t="n">
        <f aca="false">IFERROR(ROUND((IF(ISNUMBER(AZ69),AZ69,0)+IF(ISNUMBER(BA69),BA69,0)+IF(ISNUMBER(BB69),BB69,0)+IF(ISNUMBER(BC69),BC69,0)+IF(ISNUMBER(BD69),BD69,0)+IF(ISNUMBER(BE69),BE69,0)+IF(ISNUMBER(BF69),BF69,0)+IF(ISNUMBER(BG69),BG69,0)+IF(ISNUMBER(BH69),BH69,0)+IF(ISNUMBER(BI69),BI69,0)+IF(ISNUMBER(BJ69),BJ69,0))/(IF(ISNUMBER(AZ69),1,0)+IF(ISNUMBER(BA69),1,0)+IF(ISNUMBER(BB69),1,0)+IF(ISNUMBER(BC69),1,0)+IF(ISNUMBER(BD69),1,0)+IF(ISNUMBER(BE69),1,0)+IF(ISNUMBER(BF69),1,0)+IF(ISNUMBER(BG69),1,0)+IF(ISNUMBER(BH69),1,0)+IF(ISNUMBER(BI69),1,0)+IF(ISNUMBER(BJ69),1,0)),2),"")</f>
        <v>7.28</v>
      </c>
    </row>
    <row r="70" customFormat="false" ht="15" hidden="false" customHeight="false" outlineLevel="0" collapsed="false">
      <c r="A70" s="103" t="s">
        <v>121</v>
      </c>
      <c r="B70" s="103" t="s">
        <v>86</v>
      </c>
      <c r="C70" s="104" t="n">
        <v>1900</v>
      </c>
      <c r="D70" s="105" t="str">
        <f aca="false">IF(OR(Calculator!$E$11&lt;&gt;"YES",Calculator!$B$30&lt;Calculator!$G$11),"—",ROUND(MAX((50*POWER(80,POWER(COS(PI()*MOD(Calculator!$B$30/Calculator!$F$11,1)),2)))/$C70,$C70/(50*POWER(80,POWER(COS(PI()*MOD(Calculator!$B$30/Calculator!$F$11,1)),2)))),2))</f>
        <v>—</v>
      </c>
      <c r="E70" s="105" t="str">
        <f aca="false">IF(OR(Calculator!$E$12&lt;&gt;"YES",Calculator!$B$30&lt;Calculator!$G$12),"—",ROUND(MAX((50*POWER(80,POWER(COS(PI()*MOD(Calculator!$B$30/Calculator!$F$12,1)),2)))/$C70,$C70/(50*POWER(80,POWER(COS(PI()*MOD(Calculator!$B$30/Calculator!$F$12,1)),2)))),2))</f>
        <v>—</v>
      </c>
      <c r="F70" s="105" t="str">
        <f aca="false">IF(OR(Calculator!$E$13&lt;&gt;"YES",Calculator!$B$30&lt;Calculator!$G$13),"—",ROUND(MAX((50*POWER(80,POWER(COS(PI()*MOD(Calculator!$B$30/Calculator!$F$13,1)),2)))/$C70,$C70/(50*POWER(80,POWER(COS(PI()*MOD(Calculator!$B$30/Calculator!$F$13,1)),2)))),2))</f>
        <v>—</v>
      </c>
      <c r="G70" s="105" t="n">
        <f aca="false">IF(OR(Calculator!$E$14&lt;&gt;"YES",Calculator!$B$30&lt;Calculator!$G$14),"—",ROUND(MAX((50*POWER(80,POWER(COS(PI()*MOD(Calculator!$B$30/Calculator!$F$14,1)),2)))/$C70,$C70/(50*POWER(80,POWER(COS(PI()*MOD(Calculator!$B$30/Calculator!$F$14,1)),2)))),2))</f>
        <v>17.17</v>
      </c>
      <c r="H70" s="105" t="n">
        <f aca="false">IF(OR(Calculator!$E$15&lt;&gt;"YES",Calculator!$B$30&lt;Calculator!$G$15),"—",ROUND(MAX((50*POWER(80,POWER(COS(PI()*MOD(Calculator!$B$30/Calculator!$F$15,1)),2)))/$C70,$C70/(50*POWER(80,POWER(COS(PI()*MOD(Calculator!$B$30/Calculator!$F$15,1)),2)))),2))</f>
        <v>4.98</v>
      </c>
      <c r="I70" s="105" t="n">
        <f aca="false">IF(OR(Calculator!$E$16&lt;&gt;"YES",Calculator!$B$30&lt;Calculator!$G$16),"—",ROUND(MAX((50*POWER(80,POWER(COS(PI()*MOD(Calculator!$B$30/Calculator!$F$16,1)),2)))/$C70,$C70/(50*POWER(80,POWER(COS(PI()*MOD(Calculator!$B$30/Calculator!$F$16,1)),2)))),2))</f>
        <v>3.4</v>
      </c>
      <c r="J70" s="105" t="n">
        <f aca="false">IF(OR(Calculator!$E$17&lt;&gt;"YES",Calculator!$B$30&lt;Calculator!$G$17),"—",ROUND(MAX((50*POWER(80,POWER(COS(PI()*MOD(Calculator!$B$30/Calculator!$F$17,1)),2)))/$C70,$C70/(50*POWER(80,POWER(COS(PI()*MOD(Calculator!$B$30/Calculator!$F$17,1)),2)))),2))</f>
        <v>9.55</v>
      </c>
      <c r="K70" s="105" t="n">
        <f aca="false">IF(OR(Calculator!$E$18&lt;&gt;"YES",Calculator!$B$30&lt;Calculator!$G$18),"—",ROUND(MAX((50*POWER(80,POWER(COS(PI()*MOD(Calculator!$B$30/Calculator!$F$18,1)),2)))/$C70,$C70/(50*POWER(80,POWER(COS(PI()*MOD(Calculator!$B$30/Calculator!$F$18,1)),2)))),2))</f>
        <v>1.36</v>
      </c>
      <c r="L70" s="105" t="n">
        <f aca="false">IF(OR(Calculator!$E$19&lt;&gt;"YES",Calculator!$B$30&lt;Calculator!$G$19),"—",ROUND(MAX((50*POWER(80,POWER(COS(PI()*MOD(Calculator!$B$30/Calculator!$F$19,1)),2)))/$C70,$C70/(50*POWER(80,POWER(COS(PI()*MOD(Calculator!$B$30/Calculator!$F$19,1)),2)))),2))</f>
        <v>2.42</v>
      </c>
      <c r="M70" s="105" t="n">
        <f aca="false">IF(OR(Calculator!$E$20&lt;&gt;"YES",Calculator!$B$30&lt;Calculator!$G$20),"—",ROUND(MAX((50*POWER(80,POWER(COS(PI()*MOD(Calculator!$B$30/Calculator!$F$20,1)),2)))/$C70,$C70/(50*POWER(80,POWER(COS(PI()*MOD(Calculator!$B$30/Calculator!$F$20,1)),2)))),2))</f>
        <v>15.01</v>
      </c>
      <c r="N70" s="105" t="str">
        <f aca="false">IF(OR(Calculator!$E$21&lt;&gt;"YES",Calculator!$B$30&lt;Calculator!$G$21),"—",ROUND(MAX((50*POWER(80,POWER(COS(PI()*MOD(Calculator!$B$30/Calculator!$F$21,1)),2)))/$C70,$C70/(50*POWER(80,POWER(COS(PI()*MOD(Calculator!$B$30/Calculator!$F$21,1)),2)))),2))</f>
        <v>—</v>
      </c>
      <c r="O70" s="100" t="n">
        <f aca="false">IFERROR(ROUND((IF(ISNUMBER(D70),D70,0)+IF(ISNUMBER(E70),E70,0)+IF(ISNUMBER(F70),F70,0)+IF(ISNUMBER(G70),G70,0)+IF(ISNUMBER(H70),H70,0)+IF(ISNUMBER(I70),I70,0)+IF(ISNUMBER(J70),J70,0)+IF(ISNUMBER(K70),K70,0)+IF(ISNUMBER(L70),L70,0)+IF(ISNUMBER(M70),M70,0)+IF(ISNUMBER(N70),N70,0))/(IF(ISNUMBER(D70),1,0)+IF(ISNUMBER(E70),1,0)+IF(ISNUMBER(F70),1,0)+IF(ISNUMBER(G70),1,0)+IF(ISNUMBER(H70),1,0)+IF(ISNUMBER(I70),1,0)+IF(ISNUMBER(J70),1,0)+IF(ISNUMBER(K70),1,0)+IF(ISNUMBER(L70),1,0)+IF(ISNUMBER(M70),1,0)+IF(ISNUMBER(N70),1,0)),2),"")</f>
        <v>7.7</v>
      </c>
      <c r="P70" s="105" t="str">
        <f aca="false">IF(OR(Calculator!$E$11&lt;&gt;"YES",Calculator!$B$31&lt;Calculator!$G$11),"—",ROUND(MAX((50*POWER(80,POWER(COS(PI()*MOD(Calculator!$B$31/Calculator!$F$11,1)),2)))/$C70,$C70/(50*POWER(80,POWER(COS(PI()*MOD(Calculator!$B$31/Calculator!$F$11,1)),2)))),2))</f>
        <v>—</v>
      </c>
      <c r="Q70" s="105" t="str">
        <f aca="false">IF(OR(Calculator!$E$12&lt;&gt;"YES",Calculator!$B$31&lt;Calculator!$G$12),"—",ROUND(MAX((50*POWER(80,POWER(COS(PI()*MOD(Calculator!$B$31/Calculator!$F$12,1)),2)))/$C70,$C70/(50*POWER(80,POWER(COS(PI()*MOD(Calculator!$B$31/Calculator!$F$12,1)),2)))),2))</f>
        <v>—</v>
      </c>
      <c r="R70" s="105" t="str">
        <f aca="false">IF(OR(Calculator!$E$13&lt;&gt;"YES",Calculator!$B$31&lt;Calculator!$G$13),"—",ROUND(MAX((50*POWER(80,POWER(COS(PI()*MOD(Calculator!$B$31/Calculator!$F$13,1)),2)))/$C70,$C70/(50*POWER(80,POWER(COS(PI()*MOD(Calculator!$B$31/Calculator!$F$13,1)),2)))),2))</f>
        <v>—</v>
      </c>
      <c r="S70" s="105" t="n">
        <f aca="false">IF(OR(Calculator!$E$14&lt;&gt;"YES",Calculator!$B$31&lt;Calculator!$G$14),"—",ROUND(MAX((50*POWER(80,POWER(COS(PI()*MOD(Calculator!$B$31/Calculator!$F$14,1)),2)))/$C70,$C70/(50*POWER(80,POWER(COS(PI()*MOD(Calculator!$B$31/Calculator!$F$14,1)),2)))),2))</f>
        <v>17.58</v>
      </c>
      <c r="T70" s="105" t="n">
        <f aca="false">IF(OR(Calculator!$E$15&lt;&gt;"YES",Calculator!$B$31&lt;Calculator!$G$15),"—",ROUND(MAX((50*POWER(80,POWER(COS(PI()*MOD(Calculator!$B$31/Calculator!$F$15,1)),2)))/$C70,$C70/(50*POWER(80,POWER(COS(PI()*MOD(Calculator!$B$31/Calculator!$F$15,1)),2)))),2))</f>
        <v>10.7</v>
      </c>
      <c r="U70" s="105" t="n">
        <f aca="false">IF(OR(Calculator!$E$16&lt;&gt;"YES",Calculator!$B$31&lt;Calculator!$G$16),"—",ROUND(MAX((50*POWER(80,POWER(COS(PI()*MOD(Calculator!$B$31/Calculator!$F$16,1)),2)))/$C70,$C70/(50*POWER(80,POWER(COS(PI()*MOD(Calculator!$B$31/Calculator!$F$16,1)),2)))),2))</f>
        <v>4.07</v>
      </c>
      <c r="V70" s="105" t="n">
        <f aca="false">IF(OR(Calculator!$E$17&lt;&gt;"YES",Calculator!$B$31&lt;Calculator!$G$17),"—",ROUND(MAX((50*POWER(80,POWER(COS(PI()*MOD(Calculator!$B$31/Calculator!$F$17,1)),2)))/$C70,$C70/(50*POWER(80,POWER(COS(PI()*MOD(Calculator!$B$31/Calculator!$F$17,1)),2)))),2))</f>
        <v>1.17</v>
      </c>
      <c r="W70" s="105" t="n">
        <f aca="false">IF(OR(Calculator!$E$18&lt;&gt;"YES",Calculator!$B$31&lt;Calculator!$G$18),"—",ROUND(MAX((50*POWER(80,POWER(COS(PI()*MOD(Calculator!$B$31/Calculator!$F$18,1)),2)))/$C70,$C70/(50*POWER(80,POWER(COS(PI()*MOD(Calculator!$B$31/Calculator!$F$18,1)),2)))),2))</f>
        <v>1.03</v>
      </c>
      <c r="X70" s="105" t="n">
        <f aca="false">IF(OR(Calculator!$E$19&lt;&gt;"YES",Calculator!$B$31&lt;Calculator!$G$19),"—",ROUND(MAX((50*POWER(80,POWER(COS(PI()*MOD(Calculator!$B$31/Calculator!$F$19,1)),2)))/$C70,$C70/(50*POWER(80,POWER(COS(PI()*MOD(Calculator!$B$31/Calculator!$F$19,1)),2)))),2))</f>
        <v>7.06</v>
      </c>
      <c r="Y70" s="105" t="n">
        <f aca="false">IF(OR(Calculator!$E$20&lt;&gt;"YES",Calculator!$B$31&lt;Calculator!$G$20),"—",ROUND(MAX((50*POWER(80,POWER(COS(PI()*MOD(Calculator!$B$31/Calculator!$F$20,1)),2)))/$C70,$C70/(50*POWER(80,POWER(COS(PI()*MOD(Calculator!$B$31/Calculator!$F$20,1)),2)))),2))</f>
        <v>23.31</v>
      </c>
      <c r="Z70" s="105" t="str">
        <f aca="false">IF(OR(Calculator!$E$21&lt;&gt;"YES",Calculator!$B$31&lt;Calculator!$G$21),"—",ROUND(MAX((50*POWER(80,POWER(COS(PI()*MOD(Calculator!$B$31/Calculator!$F$21,1)),2)))/$C70,$C70/(50*POWER(80,POWER(COS(PI()*MOD(Calculator!$B$31/Calculator!$F$21,1)),2)))),2))</f>
        <v>—</v>
      </c>
      <c r="AA70" s="100" t="n">
        <f aca="false">IFERROR(ROUND((IF(ISNUMBER(P70),P70,0)+IF(ISNUMBER(Q70),Q70,0)+IF(ISNUMBER(R70),R70,0)+IF(ISNUMBER(S70),S70,0)+IF(ISNUMBER(T70),T70,0)+IF(ISNUMBER(U70),U70,0)+IF(ISNUMBER(V70),V70,0)+IF(ISNUMBER(W70),W70,0)+IF(ISNUMBER(X70),X70,0)+IF(ISNUMBER(Y70),Y70,0)+IF(ISNUMBER(Z70),Z70,0))/(IF(ISNUMBER(P70),1,0)+IF(ISNUMBER(Q70),1,0)+IF(ISNUMBER(R70),1,0)+IF(ISNUMBER(S70),1,0)+IF(ISNUMBER(T70),1,0)+IF(ISNUMBER(U70),1,0)+IF(ISNUMBER(V70),1,0)+IF(ISNUMBER(W70),1,0)+IF(ISNUMBER(X70),1,0)+IF(ISNUMBER(Y70),1,0)+IF(ISNUMBER(Z70),1,0)),2),"")</f>
        <v>9.27</v>
      </c>
      <c r="AB70" s="105" t="str">
        <f aca="false">IF(OR(Calculator!$E$11&lt;&gt;"YES",Calculator!$B$32&lt;Calculator!$G$11),"—",ROUND(MAX((50*POWER(80,POWER(COS(PI()*MOD(Calculator!$B$32/Calculator!$F$11,1)),2)))/$C70,$C70/(50*POWER(80,POWER(COS(PI()*MOD(Calculator!$B$32/Calculator!$F$11,1)),2)))),2))</f>
        <v>—</v>
      </c>
      <c r="AC70" s="105" t="str">
        <f aca="false">IF(OR(Calculator!$E$12&lt;&gt;"YES",Calculator!$B$32&lt;Calculator!$G$12),"—",ROUND(MAX((50*POWER(80,POWER(COS(PI()*MOD(Calculator!$B$32/Calculator!$F$12,1)),2)))/$C70,$C70/(50*POWER(80,POWER(COS(PI()*MOD(Calculator!$B$32/Calculator!$F$12,1)),2)))),2))</f>
        <v>—</v>
      </c>
      <c r="AD70" s="105" t="str">
        <f aca="false">IF(OR(Calculator!$E$13&lt;&gt;"YES",Calculator!$B$32&lt;Calculator!$G$13),"—",ROUND(MAX((50*POWER(80,POWER(COS(PI()*MOD(Calculator!$B$32/Calculator!$F$13,1)),2)))/$C70,$C70/(50*POWER(80,POWER(COS(PI()*MOD(Calculator!$B$32/Calculator!$F$13,1)),2)))),2))</f>
        <v>—</v>
      </c>
      <c r="AE70" s="105" t="n">
        <f aca="false">IF(OR(Calculator!$E$14&lt;&gt;"YES",Calculator!$B$32&lt;Calculator!$G$14),"—",ROUND(MAX((50*POWER(80,POWER(COS(PI()*MOD(Calculator!$B$32/Calculator!$F$14,1)),2)))/$C70,$C70/(50*POWER(80,POWER(COS(PI()*MOD(Calculator!$B$32/Calculator!$F$14,1)),2)))),2))</f>
        <v>11.1</v>
      </c>
      <c r="AF70" s="105" t="n">
        <f aca="false">IF(OR(Calculator!$E$15&lt;&gt;"YES",Calculator!$B$32&lt;Calculator!$G$15),"—",ROUND(MAX((50*POWER(80,POWER(COS(PI()*MOD(Calculator!$B$32/Calculator!$F$15,1)),2)))/$C70,$C70/(50*POWER(80,POWER(COS(PI()*MOD(Calculator!$B$32/Calculator!$F$15,1)),2)))),2))</f>
        <v>7.18</v>
      </c>
      <c r="AG70" s="105" t="n">
        <f aca="false">IF(OR(Calculator!$E$16&lt;&gt;"YES",Calculator!$B$32&lt;Calculator!$G$16),"—",ROUND(MAX((50*POWER(80,POWER(COS(PI()*MOD(Calculator!$B$32/Calculator!$F$16,1)),2)))/$C70,$C70/(50*POWER(80,POWER(COS(PI()*MOD(Calculator!$B$32/Calculator!$F$16,1)),2)))),2))</f>
        <v>24.23</v>
      </c>
      <c r="AH70" s="105" t="n">
        <f aca="false">IF(OR(Calculator!$E$17&lt;&gt;"YES",Calculator!$B$32&lt;Calculator!$G$17),"—",ROUND(MAX((50*POWER(80,POWER(COS(PI()*MOD(Calculator!$B$32/Calculator!$F$17,1)),2)))/$C70,$C70/(50*POWER(80,POWER(COS(PI()*MOD(Calculator!$B$32/Calculator!$F$17,1)),2)))),2))</f>
        <v>1.21</v>
      </c>
      <c r="AI70" s="105" t="n">
        <f aca="false">IF(OR(Calculator!$E$18&lt;&gt;"YES",Calculator!$B$32&lt;Calculator!$G$18),"—",ROUND(MAX((50*POWER(80,POWER(COS(PI()*MOD(Calculator!$B$32/Calculator!$F$18,1)),2)))/$C70,$C70/(50*POWER(80,POWER(COS(PI()*MOD(Calculator!$B$32/Calculator!$F$18,1)),2)))),2))</f>
        <v>1.31</v>
      </c>
      <c r="AJ70" s="105" t="n">
        <f aca="false">IF(OR(Calculator!$E$19&lt;&gt;"YES",Calculator!$B$32&lt;Calculator!$G$19),"—",ROUND(MAX((50*POWER(80,POWER(COS(PI()*MOD(Calculator!$B$32/Calculator!$F$19,1)),2)))/$C70,$C70/(50*POWER(80,POWER(COS(PI()*MOD(Calculator!$B$32/Calculator!$F$19,1)),2)))),2))</f>
        <v>1.38</v>
      </c>
      <c r="AK70" s="105" t="n">
        <f aca="false">IF(OR(Calculator!$E$20&lt;&gt;"YES",Calculator!$B$32&lt;Calculator!$G$20),"—",ROUND(MAX((50*POWER(80,POWER(COS(PI()*MOD(Calculator!$B$32/Calculator!$F$20,1)),2)))/$C70,$C70/(50*POWER(80,POWER(COS(PI()*MOD(Calculator!$B$32/Calculator!$F$20,1)),2)))),2))</f>
        <v>19.05</v>
      </c>
      <c r="AL70" s="105" t="str">
        <f aca="false">IF(OR(Calculator!$E$21&lt;&gt;"YES",Calculator!$B$32&lt;Calculator!$G$21),"—",ROUND(MAX((50*POWER(80,POWER(COS(PI()*MOD(Calculator!$B$32/Calculator!$F$21,1)),2)))/$C70,$C70/(50*POWER(80,POWER(COS(PI()*MOD(Calculator!$B$32/Calculator!$F$21,1)),2)))),2))</f>
        <v>—</v>
      </c>
      <c r="AM70" s="101" t="n">
        <f aca="false">IFERROR(ROUND((IF(ISNUMBER(AB70),AB70,0)+IF(ISNUMBER(AC70),AC70,0)+IF(ISNUMBER(AD70),AD70,0)+IF(ISNUMBER(AE70),AE70,0)+IF(ISNUMBER(AF70),AF70,0)+IF(ISNUMBER(AG70),AG70,0)+IF(ISNUMBER(AH70),AH70,0)+IF(ISNUMBER(AI70),AI70,0)+IF(ISNUMBER(AJ70),AJ70,0)+IF(ISNUMBER(AK70),AK70,0)+IF(ISNUMBER(AL70),AL70,0))/(IF(ISNUMBER(AB70),1,0)+IF(ISNUMBER(AC70),1,0)+IF(ISNUMBER(AD70),1,0)+IF(ISNUMBER(AE70),1,0)+IF(ISNUMBER(AF70),1,0)+IF(ISNUMBER(AG70),1,0)+IF(ISNUMBER(AH70),1,0)+IF(ISNUMBER(AI70),1,0)+IF(ISNUMBER(AJ70),1,0)+IF(ISNUMBER(AK70),1,0)+IF(ISNUMBER(AL70),1,0)),2),"")</f>
        <v>9.35</v>
      </c>
      <c r="AN70" s="106" t="str">
        <f aca="false">IF(OR(Calculator!$E$11&lt;&gt;"YES",Calculator!$B$33&lt;Calculator!$G$11),"—",ROUND(MAX((50*POWER(80,POWER(COS(PI()*MOD(Calculator!$B$33/Calculator!$F$11,1)),2)))/$C70,$C70/(50*POWER(80,POWER(COS(PI()*MOD(Calculator!$B$33/Calculator!$F$11,1)),2)))),2))</f>
        <v>—</v>
      </c>
      <c r="AO70" s="106" t="str">
        <f aca="false">IF(OR(Calculator!$E$12&lt;&gt;"YES",Calculator!$B$33&lt;Calculator!$G$12),"—",ROUND(MAX((50*POWER(80,POWER(COS(PI()*MOD(Calculator!$B$33/Calculator!$F$12,1)),2)))/$C70,$C70/(50*POWER(80,POWER(COS(PI()*MOD(Calculator!$B$33/Calculator!$F$12,1)),2)))),2))</f>
        <v>—</v>
      </c>
      <c r="AP70" s="106" t="str">
        <f aca="false">IF(OR(Calculator!$E$13&lt;&gt;"YES",Calculator!$B$33&lt;Calculator!$G$13),"—",ROUND(MAX((50*POWER(80,POWER(COS(PI()*MOD(Calculator!$B$33/Calculator!$F$13,1)),2)))/$C70,$C70/(50*POWER(80,POWER(COS(PI()*MOD(Calculator!$B$33/Calculator!$F$13,1)),2)))),2))</f>
        <v>—</v>
      </c>
      <c r="AQ70" s="106" t="n">
        <f aca="false">IF(OR(Calculator!$E$14&lt;&gt;"YES",Calculator!$B$33&lt;Calculator!$G$14),"—",ROUND(MAX((50*POWER(80,POWER(COS(PI()*MOD(Calculator!$B$33/Calculator!$F$14,1)),2)))/$C70,$C70/(50*POWER(80,POWER(COS(PI()*MOD(Calculator!$B$33/Calculator!$F$14,1)),2)))),2))</f>
        <v>1.44</v>
      </c>
      <c r="AR70" s="106" t="n">
        <f aca="false">IF(OR(Calculator!$E$15&lt;&gt;"YES",Calculator!$B$33&lt;Calculator!$G$15),"—",ROUND(MAX((50*POWER(80,POWER(COS(PI()*MOD(Calculator!$B$33/Calculator!$F$15,1)),2)))/$C70,$C70/(50*POWER(80,POWER(COS(PI()*MOD(Calculator!$B$33/Calculator!$F$15,1)),2)))),2))</f>
        <v>6.47</v>
      </c>
      <c r="AS70" s="106" t="n">
        <f aca="false">IF(OR(Calculator!$E$16&lt;&gt;"YES",Calculator!$B$33&lt;Calculator!$G$16),"—",ROUND(MAX((50*POWER(80,POWER(COS(PI()*MOD(Calculator!$B$33/Calculator!$F$16,1)),2)))/$C70,$C70/(50*POWER(80,POWER(COS(PI()*MOD(Calculator!$B$33/Calculator!$F$16,1)),2)))),2))</f>
        <v>2.36</v>
      </c>
      <c r="AT70" s="106" t="n">
        <f aca="false">IF(OR(Calculator!$E$17&lt;&gt;"YES",Calculator!$B$33&lt;Calculator!$G$17),"—",ROUND(MAX((50*POWER(80,POWER(COS(PI()*MOD(Calculator!$B$33/Calculator!$F$17,1)),2)))/$C70,$C70/(50*POWER(80,POWER(COS(PI()*MOD(Calculator!$B$33/Calculator!$F$17,1)),2)))),2))</f>
        <v>7.51</v>
      </c>
      <c r="AU70" s="106" t="n">
        <f aca="false">IF(OR(Calculator!$E$18&lt;&gt;"YES",Calculator!$B$33&lt;Calculator!$G$18),"—",ROUND(MAX((50*POWER(80,POWER(COS(PI()*MOD(Calculator!$B$33/Calculator!$F$18,1)),2)))/$C70,$C70/(50*POWER(80,POWER(COS(PI()*MOD(Calculator!$B$33/Calculator!$F$18,1)),2)))),2))</f>
        <v>10.16</v>
      </c>
      <c r="AV70" s="106" t="n">
        <f aca="false">IF(OR(Calculator!$E$19&lt;&gt;"YES",Calculator!$B$33&lt;Calculator!$G$19),"—",ROUND(MAX((50*POWER(80,POWER(COS(PI()*MOD(Calculator!$B$33/Calculator!$F$19,1)),2)))/$C70,$C70/(50*POWER(80,POWER(COS(PI()*MOD(Calculator!$B$33/Calculator!$F$19,1)),2)))),2))</f>
        <v>1.24</v>
      </c>
      <c r="AW70" s="106" t="n">
        <f aca="false">IF(OR(Calculator!$E$20&lt;&gt;"YES",Calculator!$B$33&lt;Calculator!$G$20),"—",ROUND(MAX((50*POWER(80,POWER(COS(PI()*MOD(Calculator!$B$33/Calculator!$F$20,1)),2)))/$C70,$C70/(50*POWER(80,POWER(COS(PI()*MOD(Calculator!$B$33/Calculator!$F$20,1)),2)))),2))</f>
        <v>15.5</v>
      </c>
      <c r="AX70" s="106" t="str">
        <f aca="false">IF(OR(Calculator!$E$21&lt;&gt;"YES",Calculator!$B$33&lt;Calculator!$G$21),"—",ROUND(MAX((50*POWER(80,POWER(COS(PI()*MOD(Calculator!$B$33/Calculator!$F$21,1)),2)))/$C70,$C70/(50*POWER(80,POWER(COS(PI()*MOD(Calculator!$B$33/Calculator!$F$21,1)),2)))),2))</f>
        <v>—</v>
      </c>
      <c r="AY70" s="101" t="n">
        <f aca="false">IFERROR(ROUND((IF(ISNUMBER(AN70),AN70,0)+IF(ISNUMBER(AO70),AO70,0)+IF(ISNUMBER(AP70),AP70,0)+IF(ISNUMBER(AQ70),AQ70,0)+IF(ISNUMBER(AR70),AR70,0)+IF(ISNUMBER(AS70),AS70,0)+IF(ISNUMBER(AT70),AT70,0)+IF(ISNUMBER(AU70),AU70,0)+IF(ISNUMBER(AV70),AV70,0)+IF(ISNUMBER(AW70),AW70,0)+IF(ISNUMBER(AX70),AX70,0))/(IF(ISNUMBER(AN70),1,0)+IF(ISNUMBER(AO70),1,0)+IF(ISNUMBER(AP70),1,0)+IF(ISNUMBER(AQ70),1,0)+IF(ISNUMBER(AR70),1,0)+IF(ISNUMBER(AS70),1,0)+IF(ISNUMBER(AT70),1,0)+IF(ISNUMBER(AU70),1,0)+IF(ISNUMBER(AV70),1,0)+IF(ISNUMBER(AW70),1,0)+IF(ISNUMBER(AX70),1,0)),2),"")</f>
        <v>6.38</v>
      </c>
      <c r="AZ70" s="106" t="str">
        <f aca="false">IF(OR(Calculator!$E$11&lt;&gt;"YES",Calculator!$B$34&lt;Calculator!$G$11),"—",ROUND(MAX((50*POWER(80,POWER(COS(PI()*MOD(Calculator!$B$34/Calculator!$F$11,1)),2)))/$C70,$C70/(50*POWER(80,POWER(COS(PI()*MOD(Calculator!$B$34/Calculator!$F$11,1)),2)))),2))</f>
        <v>—</v>
      </c>
      <c r="BA70" s="106" t="str">
        <f aca="false">IF(OR(Calculator!$E$12&lt;&gt;"YES",Calculator!$B$34&lt;Calculator!$G$12),"—",ROUND(MAX((50*POWER(80,POWER(COS(PI()*MOD(Calculator!$B$34/Calculator!$F$12,1)),2)))/$C70,$C70/(50*POWER(80,POWER(COS(PI()*MOD(Calculator!$B$34/Calculator!$F$12,1)),2)))),2))</f>
        <v>—</v>
      </c>
      <c r="BB70" s="106" t="str">
        <f aca="false">IF(OR(Calculator!$E$13&lt;&gt;"YES",Calculator!$B$34&lt;Calculator!$G$13),"—",ROUND(MAX((50*POWER(80,POWER(COS(PI()*MOD(Calculator!$B$34/Calculator!$F$13,1)),2)))/$C70,$C70/(50*POWER(80,POWER(COS(PI()*MOD(Calculator!$B$34/Calculator!$F$13,1)),2)))),2))</f>
        <v>—</v>
      </c>
      <c r="BC70" s="106" t="n">
        <f aca="false">IF(OR(Calculator!$E$14&lt;&gt;"YES",Calculator!$B$34&lt;Calculator!$G$14),"—",ROUND(MAX((50*POWER(80,POWER(COS(PI()*MOD(Calculator!$B$34/Calculator!$F$14,1)),2)))/$C70,$C70/(50*POWER(80,POWER(COS(PI()*MOD(Calculator!$B$34/Calculator!$F$14,1)),2)))),2))</f>
        <v>1.46</v>
      </c>
      <c r="BD70" s="106" t="n">
        <f aca="false">IF(OR(Calculator!$E$15&lt;&gt;"YES",Calculator!$B$34&lt;Calculator!$G$15),"—",ROUND(MAX((50*POWER(80,POWER(COS(PI()*MOD(Calculator!$B$34/Calculator!$F$15,1)),2)))/$C70,$C70/(50*POWER(80,POWER(COS(PI()*MOD(Calculator!$B$34/Calculator!$F$15,1)),2)))),2))</f>
        <v>8.36</v>
      </c>
      <c r="BE70" s="106" t="n">
        <f aca="false">IF(OR(Calculator!$E$16&lt;&gt;"YES",Calculator!$B$34&lt;Calculator!$G$16),"—",ROUND(MAX((50*POWER(80,POWER(COS(PI()*MOD(Calculator!$B$34/Calculator!$F$16,1)),2)))/$C70,$C70/(50*POWER(80,POWER(COS(PI()*MOD(Calculator!$B$34/Calculator!$F$16,1)),2)))),2))</f>
        <v>2.82</v>
      </c>
      <c r="BF70" s="106" t="n">
        <f aca="false">IF(OR(Calculator!$E$17&lt;&gt;"YES",Calculator!$B$34&lt;Calculator!$G$17),"—",ROUND(MAX((50*POWER(80,POWER(COS(PI()*MOD(Calculator!$B$34/Calculator!$F$17,1)),2)))/$C70,$C70/(50*POWER(80,POWER(COS(PI()*MOD(Calculator!$B$34/Calculator!$F$17,1)),2)))),2))</f>
        <v>1.45</v>
      </c>
      <c r="BG70" s="106" t="n">
        <f aca="false">IF(OR(Calculator!$E$18&lt;&gt;"YES",Calculator!$B$34&lt;Calculator!$G$18),"—",ROUND(MAX((50*POWER(80,POWER(COS(PI()*MOD(Calculator!$B$34/Calculator!$F$18,1)),2)))/$C70,$C70/(50*POWER(80,POWER(COS(PI()*MOD(Calculator!$B$34/Calculator!$F$18,1)),2)))),2))</f>
        <v>13.74</v>
      </c>
      <c r="BH70" s="106" t="n">
        <f aca="false">IF(OR(Calculator!$E$19&lt;&gt;"YES",Calculator!$B$34&lt;Calculator!$G$19),"—",ROUND(MAX((50*POWER(80,POWER(COS(PI()*MOD(Calculator!$B$34/Calculator!$F$19,1)),2)))/$C70,$C70/(50*POWER(80,POWER(COS(PI()*MOD(Calculator!$B$34/Calculator!$F$19,1)),2)))),2))</f>
        <v>15.29</v>
      </c>
      <c r="BI70" s="106" t="n">
        <f aca="false">IF(OR(Calculator!$E$20&lt;&gt;"YES",Calculator!$B$34&lt;Calculator!$G$20),"—",ROUND(MAX((50*POWER(80,POWER(COS(PI()*MOD(Calculator!$B$34/Calculator!$F$20,1)),2)))/$C70,$C70/(50*POWER(80,POWER(COS(PI()*MOD(Calculator!$B$34/Calculator!$F$20,1)),2)))),2))</f>
        <v>9.12</v>
      </c>
      <c r="BJ70" s="106" t="str">
        <f aca="false">IF(OR(Calculator!$E$21&lt;&gt;"YES",Calculator!$B$34&lt;Calculator!$G$21),"—",ROUND(MAX((50*POWER(80,POWER(COS(PI()*MOD(Calculator!$B$34/Calculator!$F$21,1)),2)))/$C70,$C70/(50*POWER(80,POWER(COS(PI()*MOD(Calculator!$B$34/Calculator!$F$21,1)),2)))),2))</f>
        <v>—</v>
      </c>
      <c r="BK70" s="101" t="n">
        <f aca="false">IFERROR(ROUND((IF(ISNUMBER(AZ70),AZ70,0)+IF(ISNUMBER(BA70),BA70,0)+IF(ISNUMBER(BB70),BB70,0)+IF(ISNUMBER(BC70),BC70,0)+IF(ISNUMBER(BD70),BD70,0)+IF(ISNUMBER(BE70),BE70,0)+IF(ISNUMBER(BF70),BF70,0)+IF(ISNUMBER(BG70),BG70,0)+IF(ISNUMBER(BH70),BH70,0)+IF(ISNUMBER(BI70),BI70,0)+IF(ISNUMBER(BJ70),BJ70,0))/(IF(ISNUMBER(AZ70),1,0)+IF(ISNUMBER(BA70),1,0)+IF(ISNUMBER(BB70),1,0)+IF(ISNUMBER(BC70),1,0)+IF(ISNUMBER(BD70),1,0)+IF(ISNUMBER(BE70),1,0)+IF(ISNUMBER(BF70),1,0)+IF(ISNUMBER(BG70),1,0)+IF(ISNUMBER(BH70),1,0)+IF(ISNUMBER(BI70),1,0)+IF(ISNUMBER(BJ70),1,0)),2),"")</f>
        <v>7.46</v>
      </c>
    </row>
    <row r="71" customFormat="false" ht="15" hidden="false" customHeight="false" outlineLevel="0" collapsed="false">
      <c r="A71" s="74" t="s">
        <v>122</v>
      </c>
      <c r="B71" s="74" t="s">
        <v>86</v>
      </c>
      <c r="C71" s="77" t="n">
        <v>1950</v>
      </c>
      <c r="D71" s="78" t="str">
        <f aca="false">IF(OR(Calculator!$E$11&lt;&gt;"YES",Calculator!$B$30&lt;Calculator!$G$11),"—",ROUND(MAX((50*POWER(80,POWER(COS(PI()*MOD(Calculator!$B$30/Calculator!$F$11,1)),2)))/$C71,$C71/(50*POWER(80,POWER(COS(PI()*MOD(Calculator!$B$30/Calculator!$F$11,1)),2)))),2))</f>
        <v>—</v>
      </c>
      <c r="E71" s="78" t="str">
        <f aca="false">IF(OR(Calculator!$E$12&lt;&gt;"YES",Calculator!$B$30&lt;Calculator!$G$12),"—",ROUND(MAX((50*POWER(80,POWER(COS(PI()*MOD(Calculator!$B$30/Calculator!$F$12,1)),2)))/$C71,$C71/(50*POWER(80,POWER(COS(PI()*MOD(Calculator!$B$30/Calculator!$F$12,1)),2)))),2))</f>
        <v>—</v>
      </c>
      <c r="F71" s="78" t="str">
        <f aca="false">IF(OR(Calculator!$E$13&lt;&gt;"YES",Calculator!$B$30&lt;Calculator!$G$13),"—",ROUND(MAX((50*POWER(80,POWER(COS(PI()*MOD(Calculator!$B$30/Calculator!$F$13,1)),2)))/$C71,$C71/(50*POWER(80,POWER(COS(PI()*MOD(Calculator!$B$30/Calculator!$F$13,1)),2)))),2))</f>
        <v>—</v>
      </c>
      <c r="G71" s="78" t="n">
        <f aca="false">IF(OR(Calculator!$E$14&lt;&gt;"YES",Calculator!$B$30&lt;Calculator!$G$14),"—",ROUND(MAX((50*POWER(80,POWER(COS(PI()*MOD(Calculator!$B$30/Calculator!$F$14,1)),2)))/$C71,$C71/(50*POWER(80,POWER(COS(PI()*MOD(Calculator!$B$30/Calculator!$F$14,1)),2)))),2))</f>
        <v>17.62</v>
      </c>
      <c r="H71" s="78" t="n">
        <f aca="false">IF(OR(Calculator!$E$15&lt;&gt;"YES",Calculator!$B$30&lt;Calculator!$G$15),"—",ROUND(MAX((50*POWER(80,POWER(COS(PI()*MOD(Calculator!$B$30/Calculator!$F$15,1)),2)))/$C71,$C71/(50*POWER(80,POWER(COS(PI()*MOD(Calculator!$B$30/Calculator!$F$15,1)),2)))),2))</f>
        <v>5.11</v>
      </c>
      <c r="I71" s="78" t="n">
        <f aca="false">IF(OR(Calculator!$E$16&lt;&gt;"YES",Calculator!$B$30&lt;Calculator!$G$16),"—",ROUND(MAX((50*POWER(80,POWER(COS(PI()*MOD(Calculator!$B$30/Calculator!$F$16,1)),2)))/$C71,$C71/(50*POWER(80,POWER(COS(PI()*MOD(Calculator!$B$30/Calculator!$F$16,1)),2)))),2))</f>
        <v>3.49</v>
      </c>
      <c r="J71" s="78" t="n">
        <f aca="false">IF(OR(Calculator!$E$17&lt;&gt;"YES",Calculator!$B$30&lt;Calculator!$G$17),"—",ROUND(MAX((50*POWER(80,POWER(COS(PI()*MOD(Calculator!$B$30/Calculator!$F$17,1)),2)))/$C71,$C71/(50*POWER(80,POWER(COS(PI()*MOD(Calculator!$B$30/Calculator!$F$17,1)),2)))),2))</f>
        <v>9.8</v>
      </c>
      <c r="K71" s="78" t="n">
        <f aca="false">IF(OR(Calculator!$E$18&lt;&gt;"YES",Calculator!$B$30&lt;Calculator!$G$18),"—",ROUND(MAX((50*POWER(80,POWER(COS(PI()*MOD(Calculator!$B$30/Calculator!$F$18,1)),2)))/$C71,$C71/(50*POWER(80,POWER(COS(PI()*MOD(Calculator!$B$30/Calculator!$F$18,1)),2)))),2))</f>
        <v>1.4</v>
      </c>
      <c r="L71" s="78" t="n">
        <f aca="false">IF(OR(Calculator!$E$19&lt;&gt;"YES",Calculator!$B$30&lt;Calculator!$G$19),"—",ROUND(MAX((50*POWER(80,POWER(COS(PI()*MOD(Calculator!$B$30/Calculator!$F$19,1)),2)))/$C71,$C71/(50*POWER(80,POWER(COS(PI()*MOD(Calculator!$B$30/Calculator!$F$19,1)),2)))),2))</f>
        <v>2.48</v>
      </c>
      <c r="M71" s="78" t="n">
        <f aca="false">IF(OR(Calculator!$E$20&lt;&gt;"YES",Calculator!$B$30&lt;Calculator!$G$20),"—",ROUND(MAX((50*POWER(80,POWER(COS(PI()*MOD(Calculator!$B$30/Calculator!$F$20,1)),2)))/$C71,$C71/(50*POWER(80,POWER(COS(PI()*MOD(Calculator!$B$30/Calculator!$F$20,1)),2)))),2))</f>
        <v>15.4</v>
      </c>
      <c r="N71" s="78" t="str">
        <f aca="false">IF(OR(Calculator!$E$21&lt;&gt;"YES",Calculator!$B$30&lt;Calculator!$G$21),"—",ROUND(MAX((50*POWER(80,POWER(COS(PI()*MOD(Calculator!$B$30/Calculator!$F$21,1)),2)))/$C71,$C71/(50*POWER(80,POWER(COS(PI()*MOD(Calculator!$B$30/Calculator!$F$21,1)),2)))),2))</f>
        <v>—</v>
      </c>
      <c r="O71" s="100" t="n">
        <f aca="false">IFERROR(ROUND((IF(ISNUMBER(D71),D71,0)+IF(ISNUMBER(E71),E71,0)+IF(ISNUMBER(F71),F71,0)+IF(ISNUMBER(G71),G71,0)+IF(ISNUMBER(H71),H71,0)+IF(ISNUMBER(I71),I71,0)+IF(ISNUMBER(J71),J71,0)+IF(ISNUMBER(K71),K71,0)+IF(ISNUMBER(L71),L71,0)+IF(ISNUMBER(M71),M71,0)+IF(ISNUMBER(N71),N71,0))/(IF(ISNUMBER(D71),1,0)+IF(ISNUMBER(E71),1,0)+IF(ISNUMBER(F71),1,0)+IF(ISNUMBER(G71),1,0)+IF(ISNUMBER(H71),1,0)+IF(ISNUMBER(I71),1,0)+IF(ISNUMBER(J71),1,0)+IF(ISNUMBER(K71),1,0)+IF(ISNUMBER(L71),1,0)+IF(ISNUMBER(M71),1,0)+IF(ISNUMBER(N71),1,0)),2),"")</f>
        <v>7.9</v>
      </c>
      <c r="P71" s="78" t="str">
        <f aca="false">IF(OR(Calculator!$E$11&lt;&gt;"YES",Calculator!$B$31&lt;Calculator!$G$11),"—",ROUND(MAX((50*POWER(80,POWER(COS(PI()*MOD(Calculator!$B$31/Calculator!$F$11,1)),2)))/$C71,$C71/(50*POWER(80,POWER(COS(PI()*MOD(Calculator!$B$31/Calculator!$F$11,1)),2)))),2))</f>
        <v>—</v>
      </c>
      <c r="Q71" s="78" t="str">
        <f aca="false">IF(OR(Calculator!$E$12&lt;&gt;"YES",Calculator!$B$31&lt;Calculator!$G$12),"—",ROUND(MAX((50*POWER(80,POWER(COS(PI()*MOD(Calculator!$B$31/Calculator!$F$12,1)),2)))/$C71,$C71/(50*POWER(80,POWER(COS(PI()*MOD(Calculator!$B$31/Calculator!$F$12,1)),2)))),2))</f>
        <v>—</v>
      </c>
      <c r="R71" s="78" t="str">
        <f aca="false">IF(OR(Calculator!$E$13&lt;&gt;"YES",Calculator!$B$31&lt;Calculator!$G$13),"—",ROUND(MAX((50*POWER(80,POWER(COS(PI()*MOD(Calculator!$B$31/Calculator!$F$13,1)),2)))/$C71,$C71/(50*POWER(80,POWER(COS(PI()*MOD(Calculator!$B$31/Calculator!$F$13,1)),2)))),2))</f>
        <v>—</v>
      </c>
      <c r="S71" s="78" t="n">
        <f aca="false">IF(OR(Calculator!$E$14&lt;&gt;"YES",Calculator!$B$31&lt;Calculator!$G$14),"—",ROUND(MAX((50*POWER(80,POWER(COS(PI()*MOD(Calculator!$B$31/Calculator!$F$14,1)),2)))/$C71,$C71/(50*POWER(80,POWER(COS(PI()*MOD(Calculator!$B$31/Calculator!$F$14,1)),2)))),2))</f>
        <v>18.04</v>
      </c>
      <c r="T71" s="78" t="n">
        <f aca="false">IF(OR(Calculator!$E$15&lt;&gt;"YES",Calculator!$B$31&lt;Calculator!$G$15),"—",ROUND(MAX((50*POWER(80,POWER(COS(PI()*MOD(Calculator!$B$31/Calculator!$F$15,1)),2)))/$C71,$C71/(50*POWER(80,POWER(COS(PI()*MOD(Calculator!$B$31/Calculator!$F$15,1)),2)))),2))</f>
        <v>10.98</v>
      </c>
      <c r="U71" s="78" t="n">
        <f aca="false">IF(OR(Calculator!$E$16&lt;&gt;"YES",Calculator!$B$31&lt;Calculator!$G$16),"—",ROUND(MAX((50*POWER(80,POWER(COS(PI()*MOD(Calculator!$B$31/Calculator!$F$16,1)),2)))/$C71,$C71/(50*POWER(80,POWER(COS(PI()*MOD(Calculator!$B$31/Calculator!$F$16,1)),2)))),2))</f>
        <v>4.18</v>
      </c>
      <c r="V71" s="78" t="n">
        <f aca="false">IF(OR(Calculator!$E$17&lt;&gt;"YES",Calculator!$B$31&lt;Calculator!$G$17),"—",ROUND(MAX((50*POWER(80,POWER(COS(PI()*MOD(Calculator!$B$31/Calculator!$F$17,1)),2)))/$C71,$C71/(50*POWER(80,POWER(COS(PI()*MOD(Calculator!$B$31/Calculator!$F$17,1)),2)))),2))</f>
        <v>1.2</v>
      </c>
      <c r="W71" s="78" t="n">
        <f aca="false">IF(OR(Calculator!$E$18&lt;&gt;"YES",Calculator!$B$31&lt;Calculator!$G$18),"—",ROUND(MAX((50*POWER(80,POWER(COS(PI()*MOD(Calculator!$B$31/Calculator!$F$18,1)),2)))/$C71,$C71/(50*POWER(80,POWER(COS(PI()*MOD(Calculator!$B$31/Calculator!$F$18,1)),2)))),2))</f>
        <v>1.06</v>
      </c>
      <c r="X71" s="78" t="n">
        <f aca="false">IF(OR(Calculator!$E$19&lt;&gt;"YES",Calculator!$B$31&lt;Calculator!$G$19),"—",ROUND(MAX((50*POWER(80,POWER(COS(PI()*MOD(Calculator!$B$31/Calculator!$F$19,1)),2)))/$C71,$C71/(50*POWER(80,POWER(COS(PI()*MOD(Calculator!$B$31/Calculator!$F$19,1)),2)))),2))</f>
        <v>7.25</v>
      </c>
      <c r="Y71" s="78" t="n">
        <f aca="false">IF(OR(Calculator!$E$20&lt;&gt;"YES",Calculator!$B$31&lt;Calculator!$G$20),"—",ROUND(MAX((50*POWER(80,POWER(COS(PI()*MOD(Calculator!$B$31/Calculator!$F$20,1)),2)))/$C71,$C71/(50*POWER(80,POWER(COS(PI()*MOD(Calculator!$B$31/Calculator!$F$20,1)),2)))),2))</f>
        <v>23.92</v>
      </c>
      <c r="Z71" s="78" t="str">
        <f aca="false">IF(OR(Calculator!$E$21&lt;&gt;"YES",Calculator!$B$31&lt;Calculator!$G$21),"—",ROUND(MAX((50*POWER(80,POWER(COS(PI()*MOD(Calculator!$B$31/Calculator!$F$21,1)),2)))/$C71,$C71/(50*POWER(80,POWER(COS(PI()*MOD(Calculator!$B$31/Calculator!$F$21,1)),2)))),2))</f>
        <v>—</v>
      </c>
      <c r="AA71" s="100" t="n">
        <f aca="false">IFERROR(ROUND((IF(ISNUMBER(P71),P71,0)+IF(ISNUMBER(Q71),Q71,0)+IF(ISNUMBER(R71),R71,0)+IF(ISNUMBER(S71),S71,0)+IF(ISNUMBER(T71),T71,0)+IF(ISNUMBER(U71),U71,0)+IF(ISNUMBER(V71),V71,0)+IF(ISNUMBER(W71),W71,0)+IF(ISNUMBER(X71),X71,0)+IF(ISNUMBER(Y71),Y71,0)+IF(ISNUMBER(Z71),Z71,0))/(IF(ISNUMBER(P71),1,0)+IF(ISNUMBER(Q71),1,0)+IF(ISNUMBER(R71),1,0)+IF(ISNUMBER(S71),1,0)+IF(ISNUMBER(T71),1,0)+IF(ISNUMBER(U71),1,0)+IF(ISNUMBER(V71),1,0)+IF(ISNUMBER(W71),1,0)+IF(ISNUMBER(X71),1,0)+IF(ISNUMBER(Y71),1,0)+IF(ISNUMBER(Z71),1,0)),2),"")</f>
        <v>9.52</v>
      </c>
      <c r="AB71" s="78" t="str">
        <f aca="false">IF(OR(Calculator!$E$11&lt;&gt;"YES",Calculator!$B$32&lt;Calculator!$G$11),"—",ROUND(MAX((50*POWER(80,POWER(COS(PI()*MOD(Calculator!$B$32/Calculator!$F$11,1)),2)))/$C71,$C71/(50*POWER(80,POWER(COS(PI()*MOD(Calculator!$B$32/Calculator!$F$11,1)),2)))),2))</f>
        <v>—</v>
      </c>
      <c r="AC71" s="78" t="str">
        <f aca="false">IF(OR(Calculator!$E$12&lt;&gt;"YES",Calculator!$B$32&lt;Calculator!$G$12),"—",ROUND(MAX((50*POWER(80,POWER(COS(PI()*MOD(Calculator!$B$32/Calculator!$F$12,1)),2)))/$C71,$C71/(50*POWER(80,POWER(COS(PI()*MOD(Calculator!$B$32/Calculator!$F$12,1)),2)))),2))</f>
        <v>—</v>
      </c>
      <c r="AD71" s="78" t="str">
        <f aca="false">IF(OR(Calculator!$E$13&lt;&gt;"YES",Calculator!$B$32&lt;Calculator!$G$13),"—",ROUND(MAX((50*POWER(80,POWER(COS(PI()*MOD(Calculator!$B$32/Calculator!$F$13,1)),2)))/$C71,$C71/(50*POWER(80,POWER(COS(PI()*MOD(Calculator!$B$32/Calculator!$F$13,1)),2)))),2))</f>
        <v>—</v>
      </c>
      <c r="AE71" s="78" t="n">
        <f aca="false">IF(OR(Calculator!$E$14&lt;&gt;"YES",Calculator!$B$32&lt;Calculator!$G$14),"—",ROUND(MAX((50*POWER(80,POWER(COS(PI()*MOD(Calculator!$B$32/Calculator!$F$14,1)),2)))/$C71,$C71/(50*POWER(80,POWER(COS(PI()*MOD(Calculator!$B$32/Calculator!$F$14,1)),2)))),2))</f>
        <v>11.39</v>
      </c>
      <c r="AF71" s="78" t="n">
        <f aca="false">IF(OR(Calculator!$E$15&lt;&gt;"YES",Calculator!$B$32&lt;Calculator!$G$15),"—",ROUND(MAX((50*POWER(80,POWER(COS(PI()*MOD(Calculator!$B$32/Calculator!$F$15,1)),2)))/$C71,$C71/(50*POWER(80,POWER(COS(PI()*MOD(Calculator!$B$32/Calculator!$F$15,1)),2)))),2))</f>
        <v>7.37</v>
      </c>
      <c r="AG71" s="78" t="n">
        <f aca="false">IF(OR(Calculator!$E$16&lt;&gt;"YES",Calculator!$B$32&lt;Calculator!$G$16),"—",ROUND(MAX((50*POWER(80,POWER(COS(PI()*MOD(Calculator!$B$32/Calculator!$F$16,1)),2)))/$C71,$C71/(50*POWER(80,POWER(COS(PI()*MOD(Calculator!$B$32/Calculator!$F$16,1)),2)))),2))</f>
        <v>24.87</v>
      </c>
      <c r="AH71" s="78" t="n">
        <f aca="false">IF(OR(Calculator!$E$17&lt;&gt;"YES",Calculator!$B$32&lt;Calculator!$G$17),"—",ROUND(MAX((50*POWER(80,POWER(COS(PI()*MOD(Calculator!$B$32/Calculator!$F$17,1)),2)))/$C71,$C71/(50*POWER(80,POWER(COS(PI()*MOD(Calculator!$B$32/Calculator!$F$17,1)),2)))),2))</f>
        <v>1.18</v>
      </c>
      <c r="AI71" s="78" t="n">
        <f aca="false">IF(OR(Calculator!$E$18&lt;&gt;"YES",Calculator!$B$32&lt;Calculator!$G$18),"—",ROUND(MAX((50*POWER(80,POWER(COS(PI()*MOD(Calculator!$B$32/Calculator!$F$18,1)),2)))/$C71,$C71/(50*POWER(80,POWER(COS(PI()*MOD(Calculator!$B$32/Calculator!$F$18,1)),2)))),2))</f>
        <v>1.28</v>
      </c>
      <c r="AJ71" s="78" t="n">
        <f aca="false">IF(OR(Calculator!$E$19&lt;&gt;"YES",Calculator!$B$32&lt;Calculator!$G$19),"—",ROUND(MAX((50*POWER(80,POWER(COS(PI()*MOD(Calculator!$B$32/Calculator!$F$19,1)),2)))/$C71,$C71/(50*POWER(80,POWER(COS(PI()*MOD(Calculator!$B$32/Calculator!$F$19,1)),2)))),2))</f>
        <v>1.35</v>
      </c>
      <c r="AK71" s="78" t="n">
        <f aca="false">IF(OR(Calculator!$E$20&lt;&gt;"YES",Calculator!$B$32&lt;Calculator!$G$20),"—",ROUND(MAX((50*POWER(80,POWER(COS(PI()*MOD(Calculator!$B$32/Calculator!$F$20,1)),2)))/$C71,$C71/(50*POWER(80,POWER(COS(PI()*MOD(Calculator!$B$32/Calculator!$F$20,1)),2)))),2))</f>
        <v>19.56</v>
      </c>
      <c r="AL71" s="78" t="str">
        <f aca="false">IF(OR(Calculator!$E$21&lt;&gt;"YES",Calculator!$B$32&lt;Calculator!$G$21),"—",ROUND(MAX((50*POWER(80,POWER(COS(PI()*MOD(Calculator!$B$32/Calculator!$F$21,1)),2)))/$C71,$C71/(50*POWER(80,POWER(COS(PI()*MOD(Calculator!$B$32/Calculator!$F$21,1)),2)))),2))</f>
        <v>—</v>
      </c>
      <c r="AM71" s="101" t="n">
        <f aca="false">IFERROR(ROUND((IF(ISNUMBER(AB71),AB71,0)+IF(ISNUMBER(AC71),AC71,0)+IF(ISNUMBER(AD71),AD71,0)+IF(ISNUMBER(AE71),AE71,0)+IF(ISNUMBER(AF71),AF71,0)+IF(ISNUMBER(AG71),AG71,0)+IF(ISNUMBER(AH71),AH71,0)+IF(ISNUMBER(AI71),AI71,0)+IF(ISNUMBER(AJ71),AJ71,0)+IF(ISNUMBER(AK71),AK71,0)+IF(ISNUMBER(AL71),AL71,0))/(IF(ISNUMBER(AB71),1,0)+IF(ISNUMBER(AC71),1,0)+IF(ISNUMBER(AD71),1,0)+IF(ISNUMBER(AE71),1,0)+IF(ISNUMBER(AF71),1,0)+IF(ISNUMBER(AG71),1,0)+IF(ISNUMBER(AH71),1,0)+IF(ISNUMBER(AI71),1,0)+IF(ISNUMBER(AJ71),1,0)+IF(ISNUMBER(AK71),1,0)+IF(ISNUMBER(AL71),1,0)),2),"")</f>
        <v>9.57</v>
      </c>
      <c r="AN71" s="102" t="str">
        <f aca="false">IF(OR(Calculator!$E$11&lt;&gt;"YES",Calculator!$B$33&lt;Calculator!$G$11),"—",ROUND(MAX((50*POWER(80,POWER(COS(PI()*MOD(Calculator!$B$33/Calculator!$F$11,1)),2)))/$C71,$C71/(50*POWER(80,POWER(COS(PI()*MOD(Calculator!$B$33/Calculator!$F$11,1)),2)))),2))</f>
        <v>—</v>
      </c>
      <c r="AO71" s="102" t="str">
        <f aca="false">IF(OR(Calculator!$E$12&lt;&gt;"YES",Calculator!$B$33&lt;Calculator!$G$12),"—",ROUND(MAX((50*POWER(80,POWER(COS(PI()*MOD(Calculator!$B$33/Calculator!$F$12,1)),2)))/$C71,$C71/(50*POWER(80,POWER(COS(PI()*MOD(Calculator!$B$33/Calculator!$F$12,1)),2)))),2))</f>
        <v>—</v>
      </c>
      <c r="AP71" s="102" t="str">
        <f aca="false">IF(OR(Calculator!$E$13&lt;&gt;"YES",Calculator!$B$33&lt;Calculator!$G$13),"—",ROUND(MAX((50*POWER(80,POWER(COS(PI()*MOD(Calculator!$B$33/Calculator!$F$13,1)),2)))/$C71,$C71/(50*POWER(80,POWER(COS(PI()*MOD(Calculator!$B$33/Calculator!$F$13,1)),2)))),2))</f>
        <v>—</v>
      </c>
      <c r="AQ71" s="102" t="n">
        <f aca="false">IF(OR(Calculator!$E$14&lt;&gt;"YES",Calculator!$B$33&lt;Calculator!$G$14),"—",ROUND(MAX((50*POWER(80,POWER(COS(PI()*MOD(Calculator!$B$33/Calculator!$F$14,1)),2)))/$C71,$C71/(50*POWER(80,POWER(COS(PI()*MOD(Calculator!$B$33/Calculator!$F$14,1)),2)))),2))</f>
        <v>1.4</v>
      </c>
      <c r="AR71" s="102" t="n">
        <f aca="false">IF(OR(Calculator!$E$15&lt;&gt;"YES",Calculator!$B$33&lt;Calculator!$G$15),"—",ROUND(MAX((50*POWER(80,POWER(COS(PI()*MOD(Calculator!$B$33/Calculator!$F$15,1)),2)))/$C71,$C71/(50*POWER(80,POWER(COS(PI()*MOD(Calculator!$B$33/Calculator!$F$15,1)),2)))),2))</f>
        <v>6.64</v>
      </c>
      <c r="AS71" s="102" t="n">
        <f aca="false">IF(OR(Calculator!$E$16&lt;&gt;"YES",Calculator!$B$33&lt;Calculator!$G$16),"—",ROUND(MAX((50*POWER(80,POWER(COS(PI()*MOD(Calculator!$B$33/Calculator!$F$16,1)),2)))/$C71,$C71/(50*POWER(80,POWER(COS(PI()*MOD(Calculator!$B$33/Calculator!$F$16,1)),2)))),2))</f>
        <v>2.43</v>
      </c>
      <c r="AT71" s="102" t="n">
        <f aca="false">IF(OR(Calculator!$E$17&lt;&gt;"YES",Calculator!$B$33&lt;Calculator!$G$17),"—",ROUND(MAX((50*POWER(80,POWER(COS(PI()*MOD(Calculator!$B$33/Calculator!$F$17,1)),2)))/$C71,$C71/(50*POWER(80,POWER(COS(PI()*MOD(Calculator!$B$33/Calculator!$F$17,1)),2)))),2))</f>
        <v>7.71</v>
      </c>
      <c r="AU71" s="102" t="n">
        <f aca="false">IF(OR(Calculator!$E$18&lt;&gt;"YES",Calculator!$B$33&lt;Calculator!$G$18),"—",ROUND(MAX((50*POWER(80,POWER(COS(PI()*MOD(Calculator!$B$33/Calculator!$F$18,1)),2)))/$C71,$C71/(50*POWER(80,POWER(COS(PI()*MOD(Calculator!$B$33/Calculator!$F$18,1)),2)))),2))</f>
        <v>10.43</v>
      </c>
      <c r="AV71" s="102" t="n">
        <f aca="false">IF(OR(Calculator!$E$19&lt;&gt;"YES",Calculator!$B$33&lt;Calculator!$G$19),"—",ROUND(MAX((50*POWER(80,POWER(COS(PI()*MOD(Calculator!$B$33/Calculator!$F$19,1)),2)))/$C71,$C71/(50*POWER(80,POWER(COS(PI()*MOD(Calculator!$B$33/Calculator!$F$19,1)),2)))),2))</f>
        <v>1.27</v>
      </c>
      <c r="AW71" s="102" t="n">
        <f aca="false">IF(OR(Calculator!$E$20&lt;&gt;"YES",Calculator!$B$33&lt;Calculator!$G$20),"—",ROUND(MAX((50*POWER(80,POWER(COS(PI()*MOD(Calculator!$B$33/Calculator!$F$20,1)),2)))/$C71,$C71/(50*POWER(80,POWER(COS(PI()*MOD(Calculator!$B$33/Calculator!$F$20,1)),2)))),2))</f>
        <v>15.91</v>
      </c>
      <c r="AX71" s="102" t="str">
        <f aca="false">IF(OR(Calculator!$E$21&lt;&gt;"YES",Calculator!$B$33&lt;Calculator!$G$21),"—",ROUND(MAX((50*POWER(80,POWER(COS(PI()*MOD(Calculator!$B$33/Calculator!$F$21,1)),2)))/$C71,$C71/(50*POWER(80,POWER(COS(PI()*MOD(Calculator!$B$33/Calculator!$F$21,1)),2)))),2))</f>
        <v>—</v>
      </c>
      <c r="AY71" s="101" t="n">
        <f aca="false">IFERROR(ROUND((IF(ISNUMBER(AN71),AN71,0)+IF(ISNUMBER(AO71),AO71,0)+IF(ISNUMBER(AP71),AP71,0)+IF(ISNUMBER(AQ71),AQ71,0)+IF(ISNUMBER(AR71),AR71,0)+IF(ISNUMBER(AS71),AS71,0)+IF(ISNUMBER(AT71),AT71,0)+IF(ISNUMBER(AU71),AU71,0)+IF(ISNUMBER(AV71),AV71,0)+IF(ISNUMBER(AW71),AW71,0)+IF(ISNUMBER(AX71),AX71,0))/(IF(ISNUMBER(AN71),1,0)+IF(ISNUMBER(AO71),1,0)+IF(ISNUMBER(AP71),1,0)+IF(ISNUMBER(AQ71),1,0)+IF(ISNUMBER(AR71),1,0)+IF(ISNUMBER(AS71),1,0)+IF(ISNUMBER(AT71),1,0)+IF(ISNUMBER(AU71),1,0)+IF(ISNUMBER(AV71),1,0)+IF(ISNUMBER(AW71),1,0)+IF(ISNUMBER(AX71),1,0)),2),"")</f>
        <v>6.54</v>
      </c>
      <c r="AZ71" s="102" t="str">
        <f aca="false">IF(OR(Calculator!$E$11&lt;&gt;"YES",Calculator!$B$34&lt;Calculator!$G$11),"—",ROUND(MAX((50*POWER(80,POWER(COS(PI()*MOD(Calculator!$B$34/Calculator!$F$11,1)),2)))/$C71,$C71/(50*POWER(80,POWER(COS(PI()*MOD(Calculator!$B$34/Calculator!$F$11,1)),2)))),2))</f>
        <v>—</v>
      </c>
      <c r="BA71" s="102" t="str">
        <f aca="false">IF(OR(Calculator!$E$12&lt;&gt;"YES",Calculator!$B$34&lt;Calculator!$G$12),"—",ROUND(MAX((50*POWER(80,POWER(COS(PI()*MOD(Calculator!$B$34/Calculator!$F$12,1)),2)))/$C71,$C71/(50*POWER(80,POWER(COS(PI()*MOD(Calculator!$B$34/Calculator!$F$12,1)),2)))),2))</f>
        <v>—</v>
      </c>
      <c r="BB71" s="102" t="str">
        <f aca="false">IF(OR(Calculator!$E$13&lt;&gt;"YES",Calculator!$B$34&lt;Calculator!$G$13),"—",ROUND(MAX((50*POWER(80,POWER(COS(PI()*MOD(Calculator!$B$34/Calculator!$F$13,1)),2)))/$C71,$C71/(50*POWER(80,POWER(COS(PI()*MOD(Calculator!$B$34/Calculator!$F$13,1)),2)))),2))</f>
        <v>—</v>
      </c>
      <c r="BC71" s="102" t="n">
        <f aca="false">IF(OR(Calculator!$E$14&lt;&gt;"YES",Calculator!$B$34&lt;Calculator!$G$14),"—",ROUND(MAX((50*POWER(80,POWER(COS(PI()*MOD(Calculator!$B$34/Calculator!$F$14,1)),2)))/$C71,$C71/(50*POWER(80,POWER(COS(PI()*MOD(Calculator!$B$34/Calculator!$F$14,1)),2)))),2))</f>
        <v>1.42</v>
      </c>
      <c r="BD71" s="102" t="n">
        <f aca="false">IF(OR(Calculator!$E$15&lt;&gt;"YES",Calculator!$B$34&lt;Calculator!$G$15),"—",ROUND(MAX((50*POWER(80,POWER(COS(PI()*MOD(Calculator!$B$34/Calculator!$F$15,1)),2)))/$C71,$C71/(50*POWER(80,POWER(COS(PI()*MOD(Calculator!$B$34/Calculator!$F$15,1)),2)))),2))</f>
        <v>8.58</v>
      </c>
      <c r="BE71" s="102" t="n">
        <f aca="false">IF(OR(Calculator!$E$16&lt;&gt;"YES",Calculator!$B$34&lt;Calculator!$G$16),"—",ROUND(MAX((50*POWER(80,POWER(COS(PI()*MOD(Calculator!$B$34/Calculator!$F$16,1)),2)))/$C71,$C71/(50*POWER(80,POWER(COS(PI()*MOD(Calculator!$B$34/Calculator!$F$16,1)),2)))),2))</f>
        <v>2.89</v>
      </c>
      <c r="BF71" s="102" t="n">
        <f aca="false">IF(OR(Calculator!$E$17&lt;&gt;"YES",Calculator!$B$34&lt;Calculator!$G$17),"—",ROUND(MAX((50*POWER(80,POWER(COS(PI()*MOD(Calculator!$B$34/Calculator!$F$17,1)),2)))/$C71,$C71/(50*POWER(80,POWER(COS(PI()*MOD(Calculator!$B$34/Calculator!$F$17,1)),2)))),2))</f>
        <v>1.49</v>
      </c>
      <c r="BG71" s="102" t="n">
        <f aca="false">IF(OR(Calculator!$E$18&lt;&gt;"YES",Calculator!$B$34&lt;Calculator!$G$18),"—",ROUND(MAX((50*POWER(80,POWER(COS(PI()*MOD(Calculator!$B$34/Calculator!$F$18,1)),2)))/$C71,$C71/(50*POWER(80,POWER(COS(PI()*MOD(Calculator!$B$34/Calculator!$F$18,1)),2)))),2))</f>
        <v>14.11</v>
      </c>
      <c r="BH71" s="102" t="n">
        <f aca="false">IF(OR(Calculator!$E$19&lt;&gt;"YES",Calculator!$B$34&lt;Calculator!$G$19),"—",ROUND(MAX((50*POWER(80,POWER(COS(PI()*MOD(Calculator!$B$34/Calculator!$F$19,1)),2)))/$C71,$C71/(50*POWER(80,POWER(COS(PI()*MOD(Calculator!$B$34/Calculator!$F$19,1)),2)))),2))</f>
        <v>15.69</v>
      </c>
      <c r="BI71" s="102" t="n">
        <f aca="false">IF(OR(Calculator!$E$20&lt;&gt;"YES",Calculator!$B$34&lt;Calculator!$G$20),"—",ROUND(MAX((50*POWER(80,POWER(COS(PI()*MOD(Calculator!$B$34/Calculator!$F$20,1)),2)))/$C71,$C71/(50*POWER(80,POWER(COS(PI()*MOD(Calculator!$B$34/Calculator!$F$20,1)),2)))),2))</f>
        <v>9.36</v>
      </c>
      <c r="BJ71" s="102" t="str">
        <f aca="false">IF(OR(Calculator!$E$21&lt;&gt;"YES",Calculator!$B$34&lt;Calculator!$G$21),"—",ROUND(MAX((50*POWER(80,POWER(COS(PI()*MOD(Calculator!$B$34/Calculator!$F$21,1)),2)))/$C71,$C71/(50*POWER(80,POWER(COS(PI()*MOD(Calculator!$B$34/Calculator!$F$21,1)),2)))),2))</f>
        <v>—</v>
      </c>
      <c r="BK71" s="101" t="n">
        <f aca="false">IFERROR(ROUND((IF(ISNUMBER(AZ71),AZ71,0)+IF(ISNUMBER(BA71),BA71,0)+IF(ISNUMBER(BB71),BB71,0)+IF(ISNUMBER(BC71),BC71,0)+IF(ISNUMBER(BD71),BD71,0)+IF(ISNUMBER(BE71),BE71,0)+IF(ISNUMBER(BF71),BF71,0)+IF(ISNUMBER(BG71),BG71,0)+IF(ISNUMBER(BH71),BH71,0)+IF(ISNUMBER(BI71),BI71,0)+IF(ISNUMBER(BJ71),BJ71,0))/(IF(ISNUMBER(AZ71),1,0)+IF(ISNUMBER(BA71),1,0)+IF(ISNUMBER(BB71),1,0)+IF(ISNUMBER(BC71),1,0)+IF(ISNUMBER(BD71),1,0)+IF(ISNUMBER(BE71),1,0)+IF(ISNUMBER(BF71),1,0)+IF(ISNUMBER(BG71),1,0)+IF(ISNUMBER(BH71),1,0)+IF(ISNUMBER(BI71),1,0)+IF(ISNUMBER(BJ71),1,0)),2),"")</f>
        <v>7.65</v>
      </c>
    </row>
    <row r="72" customFormat="false" ht="15" hidden="false" customHeight="false" outlineLevel="0" collapsed="false">
      <c r="A72" s="103" t="s">
        <v>123</v>
      </c>
      <c r="B72" s="103" t="s">
        <v>86</v>
      </c>
      <c r="C72" s="104" t="n">
        <v>2000</v>
      </c>
      <c r="D72" s="105" t="str">
        <f aca="false">IF(OR(Calculator!$E$11&lt;&gt;"YES",Calculator!$B$30&lt;Calculator!$G$11),"—",ROUND(MAX((50*POWER(80,POWER(COS(PI()*MOD(Calculator!$B$30/Calculator!$F$11,1)),2)))/$C72,$C72/(50*POWER(80,POWER(COS(PI()*MOD(Calculator!$B$30/Calculator!$F$11,1)),2)))),2))</f>
        <v>—</v>
      </c>
      <c r="E72" s="105" t="str">
        <f aca="false">IF(OR(Calculator!$E$12&lt;&gt;"YES",Calculator!$B$30&lt;Calculator!$G$12),"—",ROUND(MAX((50*POWER(80,POWER(COS(PI()*MOD(Calculator!$B$30/Calculator!$F$12,1)),2)))/$C72,$C72/(50*POWER(80,POWER(COS(PI()*MOD(Calculator!$B$30/Calculator!$F$12,1)),2)))),2))</f>
        <v>—</v>
      </c>
      <c r="F72" s="105" t="str">
        <f aca="false">IF(OR(Calculator!$E$13&lt;&gt;"YES",Calculator!$B$30&lt;Calculator!$G$13),"—",ROUND(MAX((50*POWER(80,POWER(COS(PI()*MOD(Calculator!$B$30/Calculator!$F$13,1)),2)))/$C72,$C72/(50*POWER(80,POWER(COS(PI()*MOD(Calculator!$B$30/Calculator!$F$13,1)),2)))),2))</f>
        <v>—</v>
      </c>
      <c r="G72" s="105" t="n">
        <f aca="false">IF(OR(Calculator!$E$14&lt;&gt;"YES",Calculator!$B$30&lt;Calculator!$G$14),"—",ROUND(MAX((50*POWER(80,POWER(COS(PI()*MOD(Calculator!$B$30/Calculator!$F$14,1)),2)))/$C72,$C72/(50*POWER(80,POWER(COS(PI()*MOD(Calculator!$B$30/Calculator!$F$14,1)),2)))),2))</f>
        <v>18.07</v>
      </c>
      <c r="H72" s="105" t="n">
        <f aca="false">IF(OR(Calculator!$E$15&lt;&gt;"YES",Calculator!$B$30&lt;Calculator!$G$15),"—",ROUND(MAX((50*POWER(80,POWER(COS(PI()*MOD(Calculator!$B$30/Calculator!$F$15,1)),2)))/$C72,$C72/(50*POWER(80,POWER(COS(PI()*MOD(Calculator!$B$30/Calculator!$F$15,1)),2)))),2))</f>
        <v>5.24</v>
      </c>
      <c r="I72" s="105" t="n">
        <f aca="false">IF(OR(Calculator!$E$16&lt;&gt;"YES",Calculator!$B$30&lt;Calculator!$G$16),"—",ROUND(MAX((50*POWER(80,POWER(COS(PI()*MOD(Calculator!$B$30/Calculator!$F$16,1)),2)))/$C72,$C72/(50*POWER(80,POWER(COS(PI()*MOD(Calculator!$B$30/Calculator!$F$16,1)),2)))),2))</f>
        <v>3.58</v>
      </c>
      <c r="J72" s="105" t="n">
        <f aca="false">IF(OR(Calculator!$E$17&lt;&gt;"YES",Calculator!$B$30&lt;Calculator!$G$17),"—",ROUND(MAX((50*POWER(80,POWER(COS(PI()*MOD(Calculator!$B$30/Calculator!$F$17,1)),2)))/$C72,$C72/(50*POWER(80,POWER(COS(PI()*MOD(Calculator!$B$30/Calculator!$F$17,1)),2)))),2))</f>
        <v>10.05</v>
      </c>
      <c r="K72" s="105" t="n">
        <f aca="false">IF(OR(Calculator!$E$18&lt;&gt;"YES",Calculator!$B$30&lt;Calculator!$G$18),"—",ROUND(MAX((50*POWER(80,POWER(COS(PI()*MOD(Calculator!$B$30/Calculator!$F$18,1)),2)))/$C72,$C72/(50*POWER(80,POWER(COS(PI()*MOD(Calculator!$B$30/Calculator!$F$18,1)),2)))),2))</f>
        <v>1.43</v>
      </c>
      <c r="L72" s="105" t="n">
        <f aca="false">IF(OR(Calculator!$E$19&lt;&gt;"YES",Calculator!$B$30&lt;Calculator!$G$19),"—",ROUND(MAX((50*POWER(80,POWER(COS(PI()*MOD(Calculator!$B$30/Calculator!$F$19,1)),2)))/$C72,$C72/(50*POWER(80,POWER(COS(PI()*MOD(Calculator!$B$30/Calculator!$F$19,1)),2)))),2))</f>
        <v>2.55</v>
      </c>
      <c r="M72" s="105" t="n">
        <f aca="false">IF(OR(Calculator!$E$20&lt;&gt;"YES",Calculator!$B$30&lt;Calculator!$G$20),"—",ROUND(MAX((50*POWER(80,POWER(COS(PI()*MOD(Calculator!$B$30/Calculator!$F$20,1)),2)))/$C72,$C72/(50*POWER(80,POWER(COS(PI()*MOD(Calculator!$B$30/Calculator!$F$20,1)),2)))),2))</f>
        <v>15.8</v>
      </c>
      <c r="N72" s="105" t="str">
        <f aca="false">IF(OR(Calculator!$E$21&lt;&gt;"YES",Calculator!$B$30&lt;Calculator!$G$21),"—",ROUND(MAX((50*POWER(80,POWER(COS(PI()*MOD(Calculator!$B$30/Calculator!$F$21,1)),2)))/$C72,$C72/(50*POWER(80,POWER(COS(PI()*MOD(Calculator!$B$30/Calculator!$F$21,1)),2)))),2))</f>
        <v>—</v>
      </c>
      <c r="O72" s="100" t="n">
        <f aca="false">IFERROR(ROUND((IF(ISNUMBER(D72),D72,0)+IF(ISNUMBER(E72),E72,0)+IF(ISNUMBER(F72),F72,0)+IF(ISNUMBER(G72),G72,0)+IF(ISNUMBER(H72),H72,0)+IF(ISNUMBER(I72),I72,0)+IF(ISNUMBER(J72),J72,0)+IF(ISNUMBER(K72),K72,0)+IF(ISNUMBER(L72),L72,0)+IF(ISNUMBER(M72),M72,0)+IF(ISNUMBER(N72),N72,0))/(IF(ISNUMBER(D72),1,0)+IF(ISNUMBER(E72),1,0)+IF(ISNUMBER(F72),1,0)+IF(ISNUMBER(G72),1,0)+IF(ISNUMBER(H72),1,0)+IF(ISNUMBER(I72),1,0)+IF(ISNUMBER(J72),1,0)+IF(ISNUMBER(K72),1,0)+IF(ISNUMBER(L72),1,0)+IF(ISNUMBER(M72),1,0)+IF(ISNUMBER(N72),1,0)),2),"")</f>
        <v>8.1</v>
      </c>
      <c r="P72" s="105" t="str">
        <f aca="false">IF(OR(Calculator!$E$11&lt;&gt;"YES",Calculator!$B$31&lt;Calculator!$G$11),"—",ROUND(MAX((50*POWER(80,POWER(COS(PI()*MOD(Calculator!$B$31/Calculator!$F$11,1)),2)))/$C72,$C72/(50*POWER(80,POWER(COS(PI()*MOD(Calculator!$B$31/Calculator!$F$11,1)),2)))),2))</f>
        <v>—</v>
      </c>
      <c r="Q72" s="105" t="str">
        <f aca="false">IF(OR(Calculator!$E$12&lt;&gt;"YES",Calculator!$B$31&lt;Calculator!$G$12),"—",ROUND(MAX((50*POWER(80,POWER(COS(PI()*MOD(Calculator!$B$31/Calculator!$F$12,1)),2)))/$C72,$C72/(50*POWER(80,POWER(COS(PI()*MOD(Calculator!$B$31/Calculator!$F$12,1)),2)))),2))</f>
        <v>—</v>
      </c>
      <c r="R72" s="105" t="str">
        <f aca="false">IF(OR(Calculator!$E$13&lt;&gt;"YES",Calculator!$B$31&lt;Calculator!$G$13),"—",ROUND(MAX((50*POWER(80,POWER(COS(PI()*MOD(Calculator!$B$31/Calculator!$F$13,1)),2)))/$C72,$C72/(50*POWER(80,POWER(COS(PI()*MOD(Calculator!$B$31/Calculator!$F$13,1)),2)))),2))</f>
        <v>—</v>
      </c>
      <c r="S72" s="105" t="n">
        <f aca="false">IF(OR(Calculator!$E$14&lt;&gt;"YES",Calculator!$B$31&lt;Calculator!$G$14),"—",ROUND(MAX((50*POWER(80,POWER(COS(PI()*MOD(Calculator!$B$31/Calculator!$F$14,1)),2)))/$C72,$C72/(50*POWER(80,POWER(COS(PI()*MOD(Calculator!$B$31/Calculator!$F$14,1)),2)))),2))</f>
        <v>18.5</v>
      </c>
      <c r="T72" s="105" t="n">
        <f aca="false">IF(OR(Calculator!$E$15&lt;&gt;"YES",Calculator!$B$31&lt;Calculator!$G$15),"—",ROUND(MAX((50*POWER(80,POWER(COS(PI()*MOD(Calculator!$B$31/Calculator!$F$15,1)),2)))/$C72,$C72/(50*POWER(80,POWER(COS(PI()*MOD(Calculator!$B$31/Calculator!$F$15,1)),2)))),2))</f>
        <v>11.26</v>
      </c>
      <c r="U72" s="105" t="n">
        <f aca="false">IF(OR(Calculator!$E$16&lt;&gt;"YES",Calculator!$B$31&lt;Calculator!$G$16),"—",ROUND(MAX((50*POWER(80,POWER(COS(PI()*MOD(Calculator!$B$31/Calculator!$F$16,1)),2)))/$C72,$C72/(50*POWER(80,POWER(COS(PI()*MOD(Calculator!$B$31/Calculator!$F$16,1)),2)))),2))</f>
        <v>4.29</v>
      </c>
      <c r="V72" s="105" t="n">
        <f aca="false">IF(OR(Calculator!$E$17&lt;&gt;"YES",Calculator!$B$31&lt;Calculator!$G$17),"—",ROUND(MAX((50*POWER(80,POWER(COS(PI()*MOD(Calculator!$B$31/Calculator!$F$17,1)),2)))/$C72,$C72/(50*POWER(80,POWER(COS(PI()*MOD(Calculator!$B$31/Calculator!$F$17,1)),2)))),2))</f>
        <v>1.24</v>
      </c>
      <c r="W72" s="105" t="n">
        <f aca="false">IF(OR(Calculator!$E$18&lt;&gt;"YES",Calculator!$B$31&lt;Calculator!$G$18),"—",ROUND(MAX((50*POWER(80,POWER(COS(PI()*MOD(Calculator!$B$31/Calculator!$F$18,1)),2)))/$C72,$C72/(50*POWER(80,POWER(COS(PI()*MOD(Calculator!$B$31/Calculator!$F$18,1)),2)))),2))</f>
        <v>1.09</v>
      </c>
      <c r="X72" s="105" t="n">
        <f aca="false">IF(OR(Calculator!$E$19&lt;&gt;"YES",Calculator!$B$31&lt;Calculator!$G$19),"—",ROUND(MAX((50*POWER(80,POWER(COS(PI()*MOD(Calculator!$B$31/Calculator!$F$19,1)),2)))/$C72,$C72/(50*POWER(80,POWER(COS(PI()*MOD(Calculator!$B$31/Calculator!$F$19,1)),2)))),2))</f>
        <v>7.43</v>
      </c>
      <c r="Y72" s="105" t="n">
        <f aca="false">IF(OR(Calculator!$E$20&lt;&gt;"YES",Calculator!$B$31&lt;Calculator!$G$20),"—",ROUND(MAX((50*POWER(80,POWER(COS(PI()*MOD(Calculator!$B$31/Calculator!$F$20,1)),2)))/$C72,$C72/(50*POWER(80,POWER(COS(PI()*MOD(Calculator!$B$31/Calculator!$F$20,1)),2)))),2))</f>
        <v>24.54</v>
      </c>
      <c r="Z72" s="105" t="str">
        <f aca="false">IF(OR(Calculator!$E$21&lt;&gt;"YES",Calculator!$B$31&lt;Calculator!$G$21),"—",ROUND(MAX((50*POWER(80,POWER(COS(PI()*MOD(Calculator!$B$31/Calculator!$F$21,1)),2)))/$C72,$C72/(50*POWER(80,POWER(COS(PI()*MOD(Calculator!$B$31/Calculator!$F$21,1)),2)))),2))</f>
        <v>—</v>
      </c>
      <c r="AA72" s="100" t="n">
        <f aca="false">IFERROR(ROUND((IF(ISNUMBER(P72),P72,0)+IF(ISNUMBER(Q72),Q72,0)+IF(ISNUMBER(R72),R72,0)+IF(ISNUMBER(S72),S72,0)+IF(ISNUMBER(T72),T72,0)+IF(ISNUMBER(U72),U72,0)+IF(ISNUMBER(V72),V72,0)+IF(ISNUMBER(W72),W72,0)+IF(ISNUMBER(X72),X72,0)+IF(ISNUMBER(Y72),Y72,0)+IF(ISNUMBER(Z72),Z72,0))/(IF(ISNUMBER(P72),1,0)+IF(ISNUMBER(Q72),1,0)+IF(ISNUMBER(R72),1,0)+IF(ISNUMBER(S72),1,0)+IF(ISNUMBER(T72),1,0)+IF(ISNUMBER(U72),1,0)+IF(ISNUMBER(V72),1,0)+IF(ISNUMBER(W72),1,0)+IF(ISNUMBER(X72),1,0)+IF(ISNUMBER(Y72),1,0)+IF(ISNUMBER(Z72),1,0)),2),"")</f>
        <v>9.76</v>
      </c>
      <c r="AB72" s="105" t="str">
        <f aca="false">IF(OR(Calculator!$E$11&lt;&gt;"YES",Calculator!$B$32&lt;Calculator!$G$11),"—",ROUND(MAX((50*POWER(80,POWER(COS(PI()*MOD(Calculator!$B$32/Calculator!$F$11,1)),2)))/$C72,$C72/(50*POWER(80,POWER(COS(PI()*MOD(Calculator!$B$32/Calculator!$F$11,1)),2)))),2))</f>
        <v>—</v>
      </c>
      <c r="AC72" s="105" t="str">
        <f aca="false">IF(OR(Calculator!$E$12&lt;&gt;"YES",Calculator!$B$32&lt;Calculator!$G$12),"—",ROUND(MAX((50*POWER(80,POWER(COS(PI()*MOD(Calculator!$B$32/Calculator!$F$12,1)),2)))/$C72,$C72/(50*POWER(80,POWER(COS(PI()*MOD(Calculator!$B$32/Calculator!$F$12,1)),2)))),2))</f>
        <v>—</v>
      </c>
      <c r="AD72" s="105" t="str">
        <f aca="false">IF(OR(Calculator!$E$13&lt;&gt;"YES",Calculator!$B$32&lt;Calculator!$G$13),"—",ROUND(MAX((50*POWER(80,POWER(COS(PI()*MOD(Calculator!$B$32/Calculator!$F$13,1)),2)))/$C72,$C72/(50*POWER(80,POWER(COS(PI()*MOD(Calculator!$B$32/Calculator!$F$13,1)),2)))),2))</f>
        <v>—</v>
      </c>
      <c r="AE72" s="105" t="n">
        <f aca="false">IF(OR(Calculator!$E$14&lt;&gt;"YES",Calculator!$B$32&lt;Calculator!$G$14),"—",ROUND(MAX((50*POWER(80,POWER(COS(PI()*MOD(Calculator!$B$32/Calculator!$F$14,1)),2)))/$C72,$C72/(50*POWER(80,POWER(COS(PI()*MOD(Calculator!$B$32/Calculator!$F$14,1)),2)))),2))</f>
        <v>11.69</v>
      </c>
      <c r="AF72" s="105" t="n">
        <f aca="false">IF(OR(Calculator!$E$15&lt;&gt;"YES",Calculator!$B$32&lt;Calculator!$G$15),"—",ROUND(MAX((50*POWER(80,POWER(COS(PI()*MOD(Calculator!$B$32/Calculator!$F$15,1)),2)))/$C72,$C72/(50*POWER(80,POWER(COS(PI()*MOD(Calculator!$B$32/Calculator!$F$15,1)),2)))),2))</f>
        <v>7.56</v>
      </c>
      <c r="AG72" s="105" t="n">
        <f aca="false">IF(OR(Calculator!$E$16&lt;&gt;"YES",Calculator!$B$32&lt;Calculator!$G$16),"—",ROUND(MAX((50*POWER(80,POWER(COS(PI()*MOD(Calculator!$B$32/Calculator!$F$16,1)),2)))/$C72,$C72/(50*POWER(80,POWER(COS(PI()*MOD(Calculator!$B$32/Calculator!$F$16,1)),2)))),2))</f>
        <v>25.5</v>
      </c>
      <c r="AH72" s="105" t="n">
        <f aca="false">IF(OR(Calculator!$E$17&lt;&gt;"YES",Calculator!$B$32&lt;Calculator!$G$17),"—",ROUND(MAX((50*POWER(80,POWER(COS(PI()*MOD(Calculator!$B$32/Calculator!$F$17,1)),2)))/$C72,$C72/(50*POWER(80,POWER(COS(PI()*MOD(Calculator!$B$32/Calculator!$F$17,1)),2)))),2))</f>
        <v>1.15</v>
      </c>
      <c r="AI72" s="105" t="n">
        <f aca="false">IF(OR(Calculator!$E$18&lt;&gt;"YES",Calculator!$B$32&lt;Calculator!$G$18),"—",ROUND(MAX((50*POWER(80,POWER(COS(PI()*MOD(Calculator!$B$32/Calculator!$F$18,1)),2)))/$C72,$C72/(50*POWER(80,POWER(COS(PI()*MOD(Calculator!$B$32/Calculator!$F$18,1)),2)))),2))</f>
        <v>1.25</v>
      </c>
      <c r="AJ72" s="105" t="n">
        <f aca="false">IF(OR(Calculator!$E$19&lt;&gt;"YES",Calculator!$B$32&lt;Calculator!$G$19),"—",ROUND(MAX((50*POWER(80,POWER(COS(PI()*MOD(Calculator!$B$32/Calculator!$F$19,1)),2)))/$C72,$C72/(50*POWER(80,POWER(COS(PI()*MOD(Calculator!$B$32/Calculator!$F$19,1)),2)))),2))</f>
        <v>1.31</v>
      </c>
      <c r="AK72" s="105" t="n">
        <f aca="false">IF(OR(Calculator!$E$20&lt;&gt;"YES",Calculator!$B$32&lt;Calculator!$G$20),"—",ROUND(MAX((50*POWER(80,POWER(COS(PI()*MOD(Calculator!$B$32/Calculator!$F$20,1)),2)))/$C72,$C72/(50*POWER(80,POWER(COS(PI()*MOD(Calculator!$B$32/Calculator!$F$20,1)),2)))),2))</f>
        <v>20.06</v>
      </c>
      <c r="AL72" s="105" t="str">
        <f aca="false">IF(OR(Calculator!$E$21&lt;&gt;"YES",Calculator!$B$32&lt;Calculator!$G$21),"—",ROUND(MAX((50*POWER(80,POWER(COS(PI()*MOD(Calculator!$B$32/Calculator!$F$21,1)),2)))/$C72,$C72/(50*POWER(80,POWER(COS(PI()*MOD(Calculator!$B$32/Calculator!$F$21,1)),2)))),2))</f>
        <v>—</v>
      </c>
      <c r="AM72" s="101" t="n">
        <f aca="false">IFERROR(ROUND((IF(ISNUMBER(AB72),AB72,0)+IF(ISNUMBER(AC72),AC72,0)+IF(ISNUMBER(AD72),AD72,0)+IF(ISNUMBER(AE72),AE72,0)+IF(ISNUMBER(AF72),AF72,0)+IF(ISNUMBER(AG72),AG72,0)+IF(ISNUMBER(AH72),AH72,0)+IF(ISNUMBER(AI72),AI72,0)+IF(ISNUMBER(AJ72),AJ72,0)+IF(ISNUMBER(AK72),AK72,0)+IF(ISNUMBER(AL72),AL72,0))/(IF(ISNUMBER(AB72),1,0)+IF(ISNUMBER(AC72),1,0)+IF(ISNUMBER(AD72),1,0)+IF(ISNUMBER(AE72),1,0)+IF(ISNUMBER(AF72),1,0)+IF(ISNUMBER(AG72),1,0)+IF(ISNUMBER(AH72),1,0)+IF(ISNUMBER(AI72),1,0)+IF(ISNUMBER(AJ72),1,0)+IF(ISNUMBER(AK72),1,0)+IF(ISNUMBER(AL72),1,0)),2),"")</f>
        <v>9.79</v>
      </c>
      <c r="AN72" s="106" t="str">
        <f aca="false">IF(OR(Calculator!$E$11&lt;&gt;"YES",Calculator!$B$33&lt;Calculator!$G$11),"—",ROUND(MAX((50*POWER(80,POWER(COS(PI()*MOD(Calculator!$B$33/Calculator!$F$11,1)),2)))/$C72,$C72/(50*POWER(80,POWER(COS(PI()*MOD(Calculator!$B$33/Calculator!$F$11,1)),2)))),2))</f>
        <v>—</v>
      </c>
      <c r="AO72" s="106" t="str">
        <f aca="false">IF(OR(Calculator!$E$12&lt;&gt;"YES",Calculator!$B$33&lt;Calculator!$G$12),"—",ROUND(MAX((50*POWER(80,POWER(COS(PI()*MOD(Calculator!$B$33/Calculator!$F$12,1)),2)))/$C72,$C72/(50*POWER(80,POWER(COS(PI()*MOD(Calculator!$B$33/Calculator!$F$12,1)),2)))),2))</f>
        <v>—</v>
      </c>
      <c r="AP72" s="106" t="str">
        <f aca="false">IF(OR(Calculator!$E$13&lt;&gt;"YES",Calculator!$B$33&lt;Calculator!$G$13),"—",ROUND(MAX((50*POWER(80,POWER(COS(PI()*MOD(Calculator!$B$33/Calculator!$F$13,1)),2)))/$C72,$C72/(50*POWER(80,POWER(COS(PI()*MOD(Calculator!$B$33/Calculator!$F$13,1)),2)))),2))</f>
        <v>—</v>
      </c>
      <c r="AQ72" s="106" t="n">
        <f aca="false">IF(OR(Calculator!$E$14&lt;&gt;"YES",Calculator!$B$33&lt;Calculator!$G$14),"—",ROUND(MAX((50*POWER(80,POWER(COS(PI()*MOD(Calculator!$B$33/Calculator!$F$14,1)),2)))/$C72,$C72/(50*POWER(80,POWER(COS(PI()*MOD(Calculator!$B$33/Calculator!$F$14,1)),2)))),2))</f>
        <v>1.36</v>
      </c>
      <c r="AR72" s="106" t="n">
        <f aca="false">IF(OR(Calculator!$E$15&lt;&gt;"YES",Calculator!$B$33&lt;Calculator!$G$15),"—",ROUND(MAX((50*POWER(80,POWER(COS(PI()*MOD(Calculator!$B$33/Calculator!$F$15,1)),2)))/$C72,$C72/(50*POWER(80,POWER(COS(PI()*MOD(Calculator!$B$33/Calculator!$F$15,1)),2)))),2))</f>
        <v>6.81</v>
      </c>
      <c r="AS72" s="106" t="n">
        <f aca="false">IF(OR(Calculator!$E$16&lt;&gt;"YES",Calculator!$B$33&lt;Calculator!$G$16),"—",ROUND(MAX((50*POWER(80,POWER(COS(PI()*MOD(Calculator!$B$33/Calculator!$F$16,1)),2)))/$C72,$C72/(50*POWER(80,POWER(COS(PI()*MOD(Calculator!$B$33/Calculator!$F$16,1)),2)))),2))</f>
        <v>2.49</v>
      </c>
      <c r="AT72" s="106" t="n">
        <f aca="false">IF(OR(Calculator!$E$17&lt;&gt;"YES",Calculator!$B$33&lt;Calculator!$G$17),"—",ROUND(MAX((50*POWER(80,POWER(COS(PI()*MOD(Calculator!$B$33/Calculator!$F$17,1)),2)))/$C72,$C72/(50*POWER(80,POWER(COS(PI()*MOD(Calculator!$B$33/Calculator!$F$17,1)),2)))),2))</f>
        <v>7.9</v>
      </c>
      <c r="AU72" s="106" t="n">
        <f aca="false">IF(OR(Calculator!$E$18&lt;&gt;"YES",Calculator!$B$33&lt;Calculator!$G$18),"—",ROUND(MAX((50*POWER(80,POWER(COS(PI()*MOD(Calculator!$B$33/Calculator!$F$18,1)),2)))/$C72,$C72/(50*POWER(80,POWER(COS(PI()*MOD(Calculator!$B$33/Calculator!$F$18,1)),2)))),2))</f>
        <v>10.69</v>
      </c>
      <c r="AV72" s="106" t="n">
        <f aca="false">IF(OR(Calculator!$E$19&lt;&gt;"YES",Calculator!$B$33&lt;Calculator!$G$19),"—",ROUND(MAX((50*POWER(80,POWER(COS(PI()*MOD(Calculator!$B$33/Calculator!$F$19,1)),2)))/$C72,$C72/(50*POWER(80,POWER(COS(PI()*MOD(Calculator!$B$33/Calculator!$F$19,1)),2)))),2))</f>
        <v>1.3</v>
      </c>
      <c r="AW72" s="106" t="n">
        <f aca="false">IF(OR(Calculator!$E$20&lt;&gt;"YES",Calculator!$B$33&lt;Calculator!$G$20),"—",ROUND(MAX((50*POWER(80,POWER(COS(PI()*MOD(Calculator!$B$33/Calculator!$F$20,1)),2)))/$C72,$C72/(50*POWER(80,POWER(COS(PI()*MOD(Calculator!$B$33/Calculator!$F$20,1)),2)))),2))</f>
        <v>16.32</v>
      </c>
      <c r="AX72" s="106" t="str">
        <f aca="false">IF(OR(Calculator!$E$21&lt;&gt;"YES",Calculator!$B$33&lt;Calculator!$G$21),"—",ROUND(MAX((50*POWER(80,POWER(COS(PI()*MOD(Calculator!$B$33/Calculator!$F$21,1)),2)))/$C72,$C72/(50*POWER(80,POWER(COS(PI()*MOD(Calculator!$B$33/Calculator!$F$21,1)),2)))),2))</f>
        <v>—</v>
      </c>
      <c r="AY72" s="101" t="n">
        <f aca="false">IFERROR(ROUND((IF(ISNUMBER(AN72),AN72,0)+IF(ISNUMBER(AO72),AO72,0)+IF(ISNUMBER(AP72),AP72,0)+IF(ISNUMBER(AQ72),AQ72,0)+IF(ISNUMBER(AR72),AR72,0)+IF(ISNUMBER(AS72),AS72,0)+IF(ISNUMBER(AT72),AT72,0)+IF(ISNUMBER(AU72),AU72,0)+IF(ISNUMBER(AV72),AV72,0)+IF(ISNUMBER(AW72),AW72,0)+IF(ISNUMBER(AX72),AX72,0))/(IF(ISNUMBER(AN72),1,0)+IF(ISNUMBER(AO72),1,0)+IF(ISNUMBER(AP72),1,0)+IF(ISNUMBER(AQ72),1,0)+IF(ISNUMBER(AR72),1,0)+IF(ISNUMBER(AS72),1,0)+IF(ISNUMBER(AT72),1,0)+IF(ISNUMBER(AU72),1,0)+IF(ISNUMBER(AV72),1,0)+IF(ISNUMBER(AW72),1,0)+IF(ISNUMBER(AX72),1,0)),2),"")</f>
        <v>6.7</v>
      </c>
      <c r="AZ72" s="106" t="str">
        <f aca="false">IF(OR(Calculator!$E$11&lt;&gt;"YES",Calculator!$B$34&lt;Calculator!$G$11),"—",ROUND(MAX((50*POWER(80,POWER(COS(PI()*MOD(Calculator!$B$34/Calculator!$F$11,1)),2)))/$C72,$C72/(50*POWER(80,POWER(COS(PI()*MOD(Calculator!$B$34/Calculator!$F$11,1)),2)))),2))</f>
        <v>—</v>
      </c>
      <c r="BA72" s="106" t="str">
        <f aca="false">IF(OR(Calculator!$E$12&lt;&gt;"YES",Calculator!$B$34&lt;Calculator!$G$12),"—",ROUND(MAX((50*POWER(80,POWER(COS(PI()*MOD(Calculator!$B$34/Calculator!$F$12,1)),2)))/$C72,$C72/(50*POWER(80,POWER(COS(PI()*MOD(Calculator!$B$34/Calculator!$F$12,1)),2)))),2))</f>
        <v>—</v>
      </c>
      <c r="BB72" s="106" t="str">
        <f aca="false">IF(OR(Calculator!$E$13&lt;&gt;"YES",Calculator!$B$34&lt;Calculator!$G$13),"—",ROUND(MAX((50*POWER(80,POWER(COS(PI()*MOD(Calculator!$B$34/Calculator!$F$13,1)),2)))/$C72,$C72/(50*POWER(80,POWER(COS(PI()*MOD(Calculator!$B$34/Calculator!$F$13,1)),2)))),2))</f>
        <v>—</v>
      </c>
      <c r="BC72" s="106" t="n">
        <f aca="false">IF(OR(Calculator!$E$14&lt;&gt;"YES",Calculator!$B$34&lt;Calculator!$G$14),"—",ROUND(MAX((50*POWER(80,POWER(COS(PI()*MOD(Calculator!$B$34/Calculator!$F$14,1)),2)))/$C72,$C72/(50*POWER(80,POWER(COS(PI()*MOD(Calculator!$B$34/Calculator!$F$14,1)),2)))),2))</f>
        <v>1.39</v>
      </c>
      <c r="BD72" s="106" t="n">
        <f aca="false">IF(OR(Calculator!$E$15&lt;&gt;"YES",Calculator!$B$34&lt;Calculator!$G$15),"—",ROUND(MAX((50*POWER(80,POWER(COS(PI()*MOD(Calculator!$B$34/Calculator!$F$15,1)),2)))/$C72,$C72/(50*POWER(80,POWER(COS(PI()*MOD(Calculator!$B$34/Calculator!$F$15,1)),2)))),2))</f>
        <v>8.8</v>
      </c>
      <c r="BE72" s="106" t="n">
        <f aca="false">IF(OR(Calculator!$E$16&lt;&gt;"YES",Calculator!$B$34&lt;Calculator!$G$16),"—",ROUND(MAX((50*POWER(80,POWER(COS(PI()*MOD(Calculator!$B$34/Calculator!$F$16,1)),2)))/$C72,$C72/(50*POWER(80,POWER(COS(PI()*MOD(Calculator!$B$34/Calculator!$F$16,1)),2)))),2))</f>
        <v>2.97</v>
      </c>
      <c r="BF72" s="106" t="n">
        <f aca="false">IF(OR(Calculator!$E$17&lt;&gt;"YES",Calculator!$B$34&lt;Calculator!$G$17),"—",ROUND(MAX((50*POWER(80,POWER(COS(PI()*MOD(Calculator!$B$34/Calculator!$F$17,1)),2)))/$C72,$C72/(50*POWER(80,POWER(COS(PI()*MOD(Calculator!$B$34/Calculator!$F$17,1)),2)))),2))</f>
        <v>1.53</v>
      </c>
      <c r="BG72" s="106" t="n">
        <f aca="false">IF(OR(Calculator!$E$18&lt;&gt;"YES",Calculator!$B$34&lt;Calculator!$G$18),"—",ROUND(MAX((50*POWER(80,POWER(COS(PI()*MOD(Calculator!$B$34/Calculator!$F$18,1)),2)))/$C72,$C72/(50*POWER(80,POWER(COS(PI()*MOD(Calculator!$B$34/Calculator!$F$18,1)),2)))),2))</f>
        <v>14.47</v>
      </c>
      <c r="BH72" s="106" t="n">
        <f aca="false">IF(OR(Calculator!$E$19&lt;&gt;"YES",Calculator!$B$34&lt;Calculator!$G$19),"—",ROUND(MAX((50*POWER(80,POWER(COS(PI()*MOD(Calculator!$B$34/Calculator!$F$19,1)),2)))/$C72,$C72/(50*POWER(80,POWER(COS(PI()*MOD(Calculator!$B$34/Calculator!$F$19,1)),2)))),2))</f>
        <v>16.09</v>
      </c>
      <c r="BI72" s="106" t="n">
        <f aca="false">IF(OR(Calculator!$E$20&lt;&gt;"YES",Calculator!$B$34&lt;Calculator!$G$20),"—",ROUND(MAX((50*POWER(80,POWER(COS(PI()*MOD(Calculator!$B$34/Calculator!$F$20,1)),2)))/$C72,$C72/(50*POWER(80,POWER(COS(PI()*MOD(Calculator!$B$34/Calculator!$F$20,1)),2)))),2))</f>
        <v>9.6</v>
      </c>
      <c r="BJ72" s="106" t="str">
        <f aca="false">IF(OR(Calculator!$E$21&lt;&gt;"YES",Calculator!$B$34&lt;Calculator!$G$21),"—",ROUND(MAX((50*POWER(80,POWER(COS(PI()*MOD(Calculator!$B$34/Calculator!$F$21,1)),2)))/$C72,$C72/(50*POWER(80,POWER(COS(PI()*MOD(Calculator!$B$34/Calculator!$F$21,1)),2)))),2))</f>
        <v>—</v>
      </c>
      <c r="BK72" s="101" t="n">
        <f aca="false">IFERROR(ROUND((IF(ISNUMBER(AZ72),AZ72,0)+IF(ISNUMBER(BA72),BA72,0)+IF(ISNUMBER(BB72),BB72,0)+IF(ISNUMBER(BC72),BC72,0)+IF(ISNUMBER(BD72),BD72,0)+IF(ISNUMBER(BE72),BE72,0)+IF(ISNUMBER(BF72),BF72,0)+IF(ISNUMBER(BG72),BG72,0)+IF(ISNUMBER(BH72),BH72,0)+IF(ISNUMBER(BI72),BI72,0)+IF(ISNUMBER(BJ72),BJ72,0))/(IF(ISNUMBER(AZ72),1,0)+IF(ISNUMBER(BA72),1,0)+IF(ISNUMBER(BB72),1,0)+IF(ISNUMBER(BC72),1,0)+IF(ISNUMBER(BD72),1,0)+IF(ISNUMBER(BE72),1,0)+IF(ISNUMBER(BF72),1,0)+IF(ISNUMBER(BG72),1,0)+IF(ISNUMBER(BH72),1,0)+IF(ISNUMBER(BI72),1,0)+IF(ISNUMBER(BJ72),1,0)),2),"")</f>
        <v>7.84</v>
      </c>
    </row>
    <row r="73" customFormat="false" ht="15" hidden="false" customHeight="false" outlineLevel="0" collapsed="false">
      <c r="A73" s="74" t="s">
        <v>124</v>
      </c>
      <c r="B73" s="74" t="s">
        <v>86</v>
      </c>
      <c r="C73" s="77" t="n">
        <v>2050</v>
      </c>
      <c r="D73" s="78" t="str">
        <f aca="false">IF(OR(Calculator!$E$11&lt;&gt;"YES",Calculator!$B$30&lt;Calculator!$G$11),"—",ROUND(MAX((50*POWER(80,POWER(COS(PI()*MOD(Calculator!$B$30/Calculator!$F$11,1)),2)))/$C73,$C73/(50*POWER(80,POWER(COS(PI()*MOD(Calculator!$B$30/Calculator!$F$11,1)),2)))),2))</f>
        <v>—</v>
      </c>
      <c r="E73" s="78" t="str">
        <f aca="false">IF(OR(Calculator!$E$12&lt;&gt;"YES",Calculator!$B$30&lt;Calculator!$G$12),"—",ROUND(MAX((50*POWER(80,POWER(COS(PI()*MOD(Calculator!$B$30/Calculator!$F$12,1)),2)))/$C73,$C73/(50*POWER(80,POWER(COS(PI()*MOD(Calculator!$B$30/Calculator!$F$12,1)),2)))),2))</f>
        <v>—</v>
      </c>
      <c r="F73" s="78" t="str">
        <f aca="false">IF(OR(Calculator!$E$13&lt;&gt;"YES",Calculator!$B$30&lt;Calculator!$G$13),"—",ROUND(MAX((50*POWER(80,POWER(COS(PI()*MOD(Calculator!$B$30/Calculator!$F$13,1)),2)))/$C73,$C73/(50*POWER(80,POWER(COS(PI()*MOD(Calculator!$B$30/Calculator!$F$13,1)),2)))),2))</f>
        <v>—</v>
      </c>
      <c r="G73" s="78" t="n">
        <f aca="false">IF(OR(Calculator!$E$14&lt;&gt;"YES",Calculator!$B$30&lt;Calculator!$G$14),"—",ROUND(MAX((50*POWER(80,POWER(COS(PI()*MOD(Calculator!$B$30/Calculator!$F$14,1)),2)))/$C73,$C73/(50*POWER(80,POWER(COS(PI()*MOD(Calculator!$B$30/Calculator!$F$14,1)),2)))),2))</f>
        <v>18.53</v>
      </c>
      <c r="H73" s="78" t="n">
        <f aca="false">IF(OR(Calculator!$E$15&lt;&gt;"YES",Calculator!$B$30&lt;Calculator!$G$15),"—",ROUND(MAX((50*POWER(80,POWER(COS(PI()*MOD(Calculator!$B$30/Calculator!$F$15,1)),2)))/$C73,$C73/(50*POWER(80,POWER(COS(PI()*MOD(Calculator!$B$30/Calculator!$F$15,1)),2)))),2))</f>
        <v>5.37</v>
      </c>
      <c r="I73" s="78" t="n">
        <f aca="false">IF(OR(Calculator!$E$16&lt;&gt;"YES",Calculator!$B$30&lt;Calculator!$G$16),"—",ROUND(MAX((50*POWER(80,POWER(COS(PI()*MOD(Calculator!$B$30/Calculator!$F$16,1)),2)))/$C73,$C73/(50*POWER(80,POWER(COS(PI()*MOD(Calculator!$B$30/Calculator!$F$16,1)),2)))),2))</f>
        <v>3.67</v>
      </c>
      <c r="J73" s="78" t="n">
        <f aca="false">IF(OR(Calculator!$E$17&lt;&gt;"YES",Calculator!$B$30&lt;Calculator!$G$17),"—",ROUND(MAX((50*POWER(80,POWER(COS(PI()*MOD(Calculator!$B$30/Calculator!$F$17,1)),2)))/$C73,$C73/(50*POWER(80,POWER(COS(PI()*MOD(Calculator!$B$30/Calculator!$F$17,1)),2)))),2))</f>
        <v>10.31</v>
      </c>
      <c r="K73" s="78" t="n">
        <f aca="false">IF(OR(Calculator!$E$18&lt;&gt;"YES",Calculator!$B$30&lt;Calculator!$G$18),"—",ROUND(MAX((50*POWER(80,POWER(COS(PI()*MOD(Calculator!$B$30/Calculator!$F$18,1)),2)))/$C73,$C73/(50*POWER(80,POWER(COS(PI()*MOD(Calculator!$B$30/Calculator!$F$18,1)),2)))),2))</f>
        <v>1.47</v>
      </c>
      <c r="L73" s="78" t="n">
        <f aca="false">IF(OR(Calculator!$E$19&lt;&gt;"YES",Calculator!$B$30&lt;Calculator!$G$19),"—",ROUND(MAX((50*POWER(80,POWER(COS(PI()*MOD(Calculator!$B$30/Calculator!$F$19,1)),2)))/$C73,$C73/(50*POWER(80,POWER(COS(PI()*MOD(Calculator!$B$30/Calculator!$F$19,1)),2)))),2))</f>
        <v>2.61</v>
      </c>
      <c r="M73" s="78" t="n">
        <f aca="false">IF(OR(Calculator!$E$20&lt;&gt;"YES",Calculator!$B$30&lt;Calculator!$G$20),"—",ROUND(MAX((50*POWER(80,POWER(COS(PI()*MOD(Calculator!$B$30/Calculator!$F$20,1)),2)))/$C73,$C73/(50*POWER(80,POWER(COS(PI()*MOD(Calculator!$B$30/Calculator!$F$20,1)),2)))),2))</f>
        <v>16.19</v>
      </c>
      <c r="N73" s="78" t="str">
        <f aca="false">IF(OR(Calculator!$E$21&lt;&gt;"YES",Calculator!$B$30&lt;Calculator!$G$21),"—",ROUND(MAX((50*POWER(80,POWER(COS(PI()*MOD(Calculator!$B$30/Calculator!$F$21,1)),2)))/$C73,$C73/(50*POWER(80,POWER(COS(PI()*MOD(Calculator!$B$30/Calculator!$F$21,1)),2)))),2))</f>
        <v>—</v>
      </c>
      <c r="O73" s="100" t="n">
        <f aca="false">IFERROR(ROUND((IF(ISNUMBER(D73),D73,0)+IF(ISNUMBER(E73),E73,0)+IF(ISNUMBER(F73),F73,0)+IF(ISNUMBER(G73),G73,0)+IF(ISNUMBER(H73),H73,0)+IF(ISNUMBER(I73),I73,0)+IF(ISNUMBER(J73),J73,0)+IF(ISNUMBER(K73),K73,0)+IF(ISNUMBER(L73),L73,0)+IF(ISNUMBER(M73),M73,0)+IF(ISNUMBER(N73),N73,0))/(IF(ISNUMBER(D73),1,0)+IF(ISNUMBER(E73),1,0)+IF(ISNUMBER(F73),1,0)+IF(ISNUMBER(G73),1,0)+IF(ISNUMBER(H73),1,0)+IF(ISNUMBER(I73),1,0)+IF(ISNUMBER(J73),1,0)+IF(ISNUMBER(K73),1,0)+IF(ISNUMBER(L73),1,0)+IF(ISNUMBER(M73),1,0)+IF(ISNUMBER(N73),1,0)),2),"")</f>
        <v>8.31</v>
      </c>
      <c r="P73" s="78" t="str">
        <f aca="false">IF(OR(Calculator!$E$11&lt;&gt;"YES",Calculator!$B$31&lt;Calculator!$G$11),"—",ROUND(MAX((50*POWER(80,POWER(COS(PI()*MOD(Calculator!$B$31/Calculator!$F$11,1)),2)))/$C73,$C73/(50*POWER(80,POWER(COS(PI()*MOD(Calculator!$B$31/Calculator!$F$11,1)),2)))),2))</f>
        <v>—</v>
      </c>
      <c r="Q73" s="78" t="str">
        <f aca="false">IF(OR(Calculator!$E$12&lt;&gt;"YES",Calculator!$B$31&lt;Calculator!$G$12),"—",ROUND(MAX((50*POWER(80,POWER(COS(PI()*MOD(Calculator!$B$31/Calculator!$F$12,1)),2)))/$C73,$C73/(50*POWER(80,POWER(COS(PI()*MOD(Calculator!$B$31/Calculator!$F$12,1)),2)))),2))</f>
        <v>—</v>
      </c>
      <c r="R73" s="78" t="str">
        <f aca="false">IF(OR(Calculator!$E$13&lt;&gt;"YES",Calculator!$B$31&lt;Calculator!$G$13),"—",ROUND(MAX((50*POWER(80,POWER(COS(PI()*MOD(Calculator!$B$31/Calculator!$F$13,1)),2)))/$C73,$C73/(50*POWER(80,POWER(COS(PI()*MOD(Calculator!$B$31/Calculator!$F$13,1)),2)))),2))</f>
        <v>—</v>
      </c>
      <c r="S73" s="78" t="n">
        <f aca="false">IF(OR(Calculator!$E$14&lt;&gt;"YES",Calculator!$B$31&lt;Calculator!$G$14),"—",ROUND(MAX((50*POWER(80,POWER(COS(PI()*MOD(Calculator!$B$31/Calculator!$F$14,1)),2)))/$C73,$C73/(50*POWER(80,POWER(COS(PI()*MOD(Calculator!$B$31/Calculator!$F$14,1)),2)))),2))</f>
        <v>18.97</v>
      </c>
      <c r="T73" s="78" t="n">
        <f aca="false">IF(OR(Calculator!$E$15&lt;&gt;"YES",Calculator!$B$31&lt;Calculator!$G$15),"—",ROUND(MAX((50*POWER(80,POWER(COS(PI()*MOD(Calculator!$B$31/Calculator!$F$15,1)),2)))/$C73,$C73/(50*POWER(80,POWER(COS(PI()*MOD(Calculator!$B$31/Calculator!$F$15,1)),2)))),2))</f>
        <v>11.54</v>
      </c>
      <c r="U73" s="78" t="n">
        <f aca="false">IF(OR(Calculator!$E$16&lt;&gt;"YES",Calculator!$B$31&lt;Calculator!$G$16),"—",ROUND(MAX((50*POWER(80,POWER(COS(PI()*MOD(Calculator!$B$31/Calculator!$F$16,1)),2)))/$C73,$C73/(50*POWER(80,POWER(COS(PI()*MOD(Calculator!$B$31/Calculator!$F$16,1)),2)))),2))</f>
        <v>4.39</v>
      </c>
      <c r="V73" s="78" t="n">
        <f aca="false">IF(OR(Calculator!$E$17&lt;&gt;"YES",Calculator!$B$31&lt;Calculator!$G$17),"—",ROUND(MAX((50*POWER(80,POWER(COS(PI()*MOD(Calculator!$B$31/Calculator!$F$17,1)),2)))/$C73,$C73/(50*POWER(80,POWER(COS(PI()*MOD(Calculator!$B$31/Calculator!$F$17,1)),2)))),2))</f>
        <v>1.27</v>
      </c>
      <c r="W73" s="78" t="n">
        <f aca="false">IF(OR(Calculator!$E$18&lt;&gt;"YES",Calculator!$B$31&lt;Calculator!$G$18),"—",ROUND(MAX((50*POWER(80,POWER(COS(PI()*MOD(Calculator!$B$31/Calculator!$F$18,1)),2)))/$C73,$C73/(50*POWER(80,POWER(COS(PI()*MOD(Calculator!$B$31/Calculator!$F$18,1)),2)))),2))</f>
        <v>1.11</v>
      </c>
      <c r="X73" s="78" t="n">
        <f aca="false">IF(OR(Calculator!$E$19&lt;&gt;"YES",Calculator!$B$31&lt;Calculator!$G$19),"—",ROUND(MAX((50*POWER(80,POWER(COS(PI()*MOD(Calculator!$B$31/Calculator!$F$19,1)),2)))/$C73,$C73/(50*POWER(80,POWER(COS(PI()*MOD(Calculator!$B$31/Calculator!$F$19,1)),2)))),2))</f>
        <v>7.62</v>
      </c>
      <c r="Y73" s="78" t="n">
        <f aca="false">IF(OR(Calculator!$E$20&lt;&gt;"YES",Calculator!$B$31&lt;Calculator!$G$20),"—",ROUND(MAX((50*POWER(80,POWER(COS(PI()*MOD(Calculator!$B$31/Calculator!$F$20,1)),2)))/$C73,$C73/(50*POWER(80,POWER(COS(PI()*MOD(Calculator!$B$31/Calculator!$F$20,1)),2)))),2))</f>
        <v>25.15</v>
      </c>
      <c r="Z73" s="78" t="str">
        <f aca="false">IF(OR(Calculator!$E$21&lt;&gt;"YES",Calculator!$B$31&lt;Calculator!$G$21),"—",ROUND(MAX((50*POWER(80,POWER(COS(PI()*MOD(Calculator!$B$31/Calculator!$F$21,1)),2)))/$C73,$C73/(50*POWER(80,POWER(COS(PI()*MOD(Calculator!$B$31/Calculator!$F$21,1)),2)))),2))</f>
        <v>—</v>
      </c>
      <c r="AA73" s="100" t="n">
        <f aca="false">IFERROR(ROUND((IF(ISNUMBER(P73),P73,0)+IF(ISNUMBER(Q73),Q73,0)+IF(ISNUMBER(R73),R73,0)+IF(ISNUMBER(S73),S73,0)+IF(ISNUMBER(T73),T73,0)+IF(ISNUMBER(U73),U73,0)+IF(ISNUMBER(V73),V73,0)+IF(ISNUMBER(W73),W73,0)+IF(ISNUMBER(X73),X73,0)+IF(ISNUMBER(Y73),Y73,0)+IF(ISNUMBER(Z73),Z73,0))/(IF(ISNUMBER(P73),1,0)+IF(ISNUMBER(Q73),1,0)+IF(ISNUMBER(R73),1,0)+IF(ISNUMBER(S73),1,0)+IF(ISNUMBER(T73),1,0)+IF(ISNUMBER(U73),1,0)+IF(ISNUMBER(V73),1,0)+IF(ISNUMBER(W73),1,0)+IF(ISNUMBER(X73),1,0)+IF(ISNUMBER(Y73),1,0)+IF(ISNUMBER(Z73),1,0)),2),"")</f>
        <v>10.01</v>
      </c>
      <c r="AB73" s="78" t="str">
        <f aca="false">IF(OR(Calculator!$E$11&lt;&gt;"YES",Calculator!$B$32&lt;Calculator!$G$11),"—",ROUND(MAX((50*POWER(80,POWER(COS(PI()*MOD(Calculator!$B$32/Calculator!$F$11,1)),2)))/$C73,$C73/(50*POWER(80,POWER(COS(PI()*MOD(Calculator!$B$32/Calculator!$F$11,1)),2)))),2))</f>
        <v>—</v>
      </c>
      <c r="AC73" s="78" t="str">
        <f aca="false">IF(OR(Calculator!$E$12&lt;&gt;"YES",Calculator!$B$32&lt;Calculator!$G$12),"—",ROUND(MAX((50*POWER(80,POWER(COS(PI()*MOD(Calculator!$B$32/Calculator!$F$12,1)),2)))/$C73,$C73/(50*POWER(80,POWER(COS(PI()*MOD(Calculator!$B$32/Calculator!$F$12,1)),2)))),2))</f>
        <v>—</v>
      </c>
      <c r="AD73" s="78" t="str">
        <f aca="false">IF(OR(Calculator!$E$13&lt;&gt;"YES",Calculator!$B$32&lt;Calculator!$G$13),"—",ROUND(MAX((50*POWER(80,POWER(COS(PI()*MOD(Calculator!$B$32/Calculator!$F$13,1)),2)))/$C73,$C73/(50*POWER(80,POWER(COS(PI()*MOD(Calculator!$B$32/Calculator!$F$13,1)),2)))),2))</f>
        <v>—</v>
      </c>
      <c r="AE73" s="78" t="n">
        <f aca="false">IF(OR(Calculator!$E$14&lt;&gt;"YES",Calculator!$B$32&lt;Calculator!$G$14),"—",ROUND(MAX((50*POWER(80,POWER(COS(PI()*MOD(Calculator!$B$32/Calculator!$F$14,1)),2)))/$C73,$C73/(50*POWER(80,POWER(COS(PI()*MOD(Calculator!$B$32/Calculator!$F$14,1)),2)))),2))</f>
        <v>11.98</v>
      </c>
      <c r="AF73" s="78" t="n">
        <f aca="false">IF(OR(Calculator!$E$15&lt;&gt;"YES",Calculator!$B$32&lt;Calculator!$G$15),"—",ROUND(MAX((50*POWER(80,POWER(COS(PI()*MOD(Calculator!$B$32/Calculator!$F$15,1)),2)))/$C73,$C73/(50*POWER(80,POWER(COS(PI()*MOD(Calculator!$B$32/Calculator!$F$15,1)),2)))),2))</f>
        <v>7.74</v>
      </c>
      <c r="AG73" s="78" t="n">
        <f aca="false">IF(OR(Calculator!$E$16&lt;&gt;"YES",Calculator!$B$32&lt;Calculator!$G$16),"—",ROUND(MAX((50*POWER(80,POWER(COS(PI()*MOD(Calculator!$B$32/Calculator!$F$16,1)),2)))/$C73,$C73/(50*POWER(80,POWER(COS(PI()*MOD(Calculator!$B$32/Calculator!$F$16,1)),2)))),2))</f>
        <v>26.14</v>
      </c>
      <c r="AH73" s="78" t="n">
        <f aca="false">IF(OR(Calculator!$E$17&lt;&gt;"YES",Calculator!$B$32&lt;Calculator!$G$17),"—",ROUND(MAX((50*POWER(80,POWER(COS(PI()*MOD(Calculator!$B$32/Calculator!$F$17,1)),2)))/$C73,$C73/(50*POWER(80,POWER(COS(PI()*MOD(Calculator!$B$32/Calculator!$F$17,1)),2)))),2))</f>
        <v>1.12</v>
      </c>
      <c r="AI73" s="78" t="n">
        <f aca="false">IF(OR(Calculator!$E$18&lt;&gt;"YES",Calculator!$B$32&lt;Calculator!$G$18),"—",ROUND(MAX((50*POWER(80,POWER(COS(PI()*MOD(Calculator!$B$32/Calculator!$F$18,1)),2)))/$C73,$C73/(50*POWER(80,POWER(COS(PI()*MOD(Calculator!$B$32/Calculator!$F$18,1)),2)))),2))</f>
        <v>1.22</v>
      </c>
      <c r="AJ73" s="78" t="n">
        <f aca="false">IF(OR(Calculator!$E$19&lt;&gt;"YES",Calculator!$B$32&lt;Calculator!$G$19),"—",ROUND(MAX((50*POWER(80,POWER(COS(PI()*MOD(Calculator!$B$32/Calculator!$F$19,1)),2)))/$C73,$C73/(50*POWER(80,POWER(COS(PI()*MOD(Calculator!$B$32/Calculator!$F$19,1)),2)))),2))</f>
        <v>1.28</v>
      </c>
      <c r="AK73" s="78" t="n">
        <f aca="false">IF(OR(Calculator!$E$20&lt;&gt;"YES",Calculator!$B$32&lt;Calculator!$G$20),"—",ROUND(MAX((50*POWER(80,POWER(COS(PI()*MOD(Calculator!$B$32/Calculator!$F$20,1)),2)))/$C73,$C73/(50*POWER(80,POWER(COS(PI()*MOD(Calculator!$B$32/Calculator!$F$20,1)),2)))),2))</f>
        <v>20.56</v>
      </c>
      <c r="AL73" s="78" t="str">
        <f aca="false">IF(OR(Calculator!$E$21&lt;&gt;"YES",Calculator!$B$32&lt;Calculator!$G$21),"—",ROUND(MAX((50*POWER(80,POWER(COS(PI()*MOD(Calculator!$B$32/Calculator!$F$21,1)),2)))/$C73,$C73/(50*POWER(80,POWER(COS(PI()*MOD(Calculator!$B$32/Calculator!$F$21,1)),2)))),2))</f>
        <v>—</v>
      </c>
      <c r="AM73" s="101" t="n">
        <f aca="false">IFERROR(ROUND((IF(ISNUMBER(AB73),AB73,0)+IF(ISNUMBER(AC73),AC73,0)+IF(ISNUMBER(AD73),AD73,0)+IF(ISNUMBER(AE73),AE73,0)+IF(ISNUMBER(AF73),AF73,0)+IF(ISNUMBER(AG73),AG73,0)+IF(ISNUMBER(AH73),AH73,0)+IF(ISNUMBER(AI73),AI73,0)+IF(ISNUMBER(AJ73),AJ73,0)+IF(ISNUMBER(AK73),AK73,0)+IF(ISNUMBER(AL73),AL73,0))/(IF(ISNUMBER(AB73),1,0)+IF(ISNUMBER(AC73),1,0)+IF(ISNUMBER(AD73),1,0)+IF(ISNUMBER(AE73),1,0)+IF(ISNUMBER(AF73),1,0)+IF(ISNUMBER(AG73),1,0)+IF(ISNUMBER(AH73),1,0)+IF(ISNUMBER(AI73),1,0)+IF(ISNUMBER(AJ73),1,0)+IF(ISNUMBER(AK73),1,0)+IF(ISNUMBER(AL73),1,0)),2),"")</f>
        <v>10.01</v>
      </c>
      <c r="AN73" s="102" t="str">
        <f aca="false">IF(OR(Calculator!$E$11&lt;&gt;"YES",Calculator!$B$33&lt;Calculator!$G$11),"—",ROUND(MAX((50*POWER(80,POWER(COS(PI()*MOD(Calculator!$B$33/Calculator!$F$11,1)),2)))/$C73,$C73/(50*POWER(80,POWER(COS(PI()*MOD(Calculator!$B$33/Calculator!$F$11,1)),2)))),2))</f>
        <v>—</v>
      </c>
      <c r="AO73" s="102" t="str">
        <f aca="false">IF(OR(Calculator!$E$12&lt;&gt;"YES",Calculator!$B$33&lt;Calculator!$G$12),"—",ROUND(MAX((50*POWER(80,POWER(COS(PI()*MOD(Calculator!$B$33/Calculator!$F$12,1)),2)))/$C73,$C73/(50*POWER(80,POWER(COS(PI()*MOD(Calculator!$B$33/Calculator!$F$12,1)),2)))),2))</f>
        <v>—</v>
      </c>
      <c r="AP73" s="102" t="str">
        <f aca="false">IF(OR(Calculator!$E$13&lt;&gt;"YES",Calculator!$B$33&lt;Calculator!$G$13),"—",ROUND(MAX((50*POWER(80,POWER(COS(PI()*MOD(Calculator!$B$33/Calculator!$F$13,1)),2)))/$C73,$C73/(50*POWER(80,POWER(COS(PI()*MOD(Calculator!$B$33/Calculator!$F$13,1)),2)))),2))</f>
        <v>—</v>
      </c>
      <c r="AQ73" s="102" t="n">
        <f aca="false">IF(OR(Calculator!$E$14&lt;&gt;"YES",Calculator!$B$33&lt;Calculator!$G$14),"—",ROUND(MAX((50*POWER(80,POWER(COS(PI()*MOD(Calculator!$B$33/Calculator!$F$14,1)),2)))/$C73,$C73/(50*POWER(80,POWER(COS(PI()*MOD(Calculator!$B$33/Calculator!$F$14,1)),2)))),2))</f>
        <v>1.33</v>
      </c>
      <c r="AR73" s="102" t="n">
        <f aca="false">IF(OR(Calculator!$E$15&lt;&gt;"YES",Calculator!$B$33&lt;Calculator!$G$15),"—",ROUND(MAX((50*POWER(80,POWER(COS(PI()*MOD(Calculator!$B$33/Calculator!$F$15,1)),2)))/$C73,$C73/(50*POWER(80,POWER(COS(PI()*MOD(Calculator!$B$33/Calculator!$F$15,1)),2)))),2))</f>
        <v>6.98</v>
      </c>
      <c r="AS73" s="102" t="n">
        <f aca="false">IF(OR(Calculator!$E$16&lt;&gt;"YES",Calculator!$B$33&lt;Calculator!$G$16),"—",ROUND(MAX((50*POWER(80,POWER(COS(PI()*MOD(Calculator!$B$33/Calculator!$F$16,1)),2)))/$C73,$C73/(50*POWER(80,POWER(COS(PI()*MOD(Calculator!$B$33/Calculator!$F$16,1)),2)))),2))</f>
        <v>2.55</v>
      </c>
      <c r="AT73" s="102" t="n">
        <f aca="false">IF(OR(Calculator!$E$17&lt;&gt;"YES",Calculator!$B$33&lt;Calculator!$G$17),"—",ROUND(MAX((50*POWER(80,POWER(COS(PI()*MOD(Calculator!$B$33/Calculator!$F$17,1)),2)))/$C73,$C73/(50*POWER(80,POWER(COS(PI()*MOD(Calculator!$B$33/Calculator!$F$17,1)),2)))),2))</f>
        <v>8.1</v>
      </c>
      <c r="AU73" s="102" t="n">
        <f aca="false">IF(OR(Calculator!$E$18&lt;&gt;"YES",Calculator!$B$33&lt;Calculator!$G$18),"—",ROUND(MAX((50*POWER(80,POWER(COS(PI()*MOD(Calculator!$B$33/Calculator!$F$18,1)),2)))/$C73,$C73/(50*POWER(80,POWER(COS(PI()*MOD(Calculator!$B$33/Calculator!$F$18,1)),2)))),2))</f>
        <v>10.96</v>
      </c>
      <c r="AV73" s="102" t="n">
        <f aca="false">IF(OR(Calculator!$E$19&lt;&gt;"YES",Calculator!$B$33&lt;Calculator!$G$19),"—",ROUND(MAX((50*POWER(80,POWER(COS(PI()*MOD(Calculator!$B$33/Calculator!$F$19,1)),2)))/$C73,$C73/(50*POWER(80,POWER(COS(PI()*MOD(Calculator!$B$33/Calculator!$F$19,1)),2)))),2))</f>
        <v>1.33</v>
      </c>
      <c r="AW73" s="102" t="n">
        <f aca="false">IF(OR(Calculator!$E$20&lt;&gt;"YES",Calculator!$B$33&lt;Calculator!$G$20),"—",ROUND(MAX((50*POWER(80,POWER(COS(PI()*MOD(Calculator!$B$33/Calculator!$F$20,1)),2)))/$C73,$C73/(50*POWER(80,POWER(COS(PI()*MOD(Calculator!$B$33/Calculator!$F$20,1)),2)))),2))</f>
        <v>16.73</v>
      </c>
      <c r="AX73" s="102" t="str">
        <f aca="false">IF(OR(Calculator!$E$21&lt;&gt;"YES",Calculator!$B$33&lt;Calculator!$G$21),"—",ROUND(MAX((50*POWER(80,POWER(COS(PI()*MOD(Calculator!$B$33/Calculator!$F$21,1)),2)))/$C73,$C73/(50*POWER(80,POWER(COS(PI()*MOD(Calculator!$B$33/Calculator!$F$21,1)),2)))),2))</f>
        <v>—</v>
      </c>
      <c r="AY73" s="101" t="n">
        <f aca="false">IFERROR(ROUND((IF(ISNUMBER(AN73),AN73,0)+IF(ISNUMBER(AO73),AO73,0)+IF(ISNUMBER(AP73),AP73,0)+IF(ISNUMBER(AQ73),AQ73,0)+IF(ISNUMBER(AR73),AR73,0)+IF(ISNUMBER(AS73),AS73,0)+IF(ISNUMBER(AT73),AT73,0)+IF(ISNUMBER(AU73),AU73,0)+IF(ISNUMBER(AV73),AV73,0)+IF(ISNUMBER(AW73),AW73,0)+IF(ISNUMBER(AX73),AX73,0))/(IF(ISNUMBER(AN73),1,0)+IF(ISNUMBER(AO73),1,0)+IF(ISNUMBER(AP73),1,0)+IF(ISNUMBER(AQ73),1,0)+IF(ISNUMBER(AR73),1,0)+IF(ISNUMBER(AS73),1,0)+IF(ISNUMBER(AT73),1,0)+IF(ISNUMBER(AU73),1,0)+IF(ISNUMBER(AV73),1,0)+IF(ISNUMBER(AW73),1,0)+IF(ISNUMBER(AX73),1,0)),2),"")</f>
        <v>6.85</v>
      </c>
      <c r="AZ73" s="102" t="str">
        <f aca="false">IF(OR(Calculator!$E$11&lt;&gt;"YES",Calculator!$B$34&lt;Calculator!$G$11),"—",ROUND(MAX((50*POWER(80,POWER(COS(PI()*MOD(Calculator!$B$34/Calculator!$F$11,1)),2)))/$C73,$C73/(50*POWER(80,POWER(COS(PI()*MOD(Calculator!$B$34/Calculator!$F$11,1)),2)))),2))</f>
        <v>—</v>
      </c>
      <c r="BA73" s="102" t="str">
        <f aca="false">IF(OR(Calculator!$E$12&lt;&gt;"YES",Calculator!$B$34&lt;Calculator!$G$12),"—",ROUND(MAX((50*POWER(80,POWER(COS(PI()*MOD(Calculator!$B$34/Calculator!$F$12,1)),2)))/$C73,$C73/(50*POWER(80,POWER(COS(PI()*MOD(Calculator!$B$34/Calculator!$F$12,1)),2)))),2))</f>
        <v>—</v>
      </c>
      <c r="BB73" s="102" t="str">
        <f aca="false">IF(OR(Calculator!$E$13&lt;&gt;"YES",Calculator!$B$34&lt;Calculator!$G$13),"—",ROUND(MAX((50*POWER(80,POWER(COS(PI()*MOD(Calculator!$B$34/Calculator!$F$13,1)),2)))/$C73,$C73/(50*POWER(80,POWER(COS(PI()*MOD(Calculator!$B$34/Calculator!$F$13,1)),2)))),2))</f>
        <v>—</v>
      </c>
      <c r="BC73" s="102" t="n">
        <f aca="false">IF(OR(Calculator!$E$14&lt;&gt;"YES",Calculator!$B$34&lt;Calculator!$G$14),"—",ROUND(MAX((50*POWER(80,POWER(COS(PI()*MOD(Calculator!$B$34/Calculator!$F$14,1)),2)))/$C73,$C73/(50*POWER(80,POWER(COS(PI()*MOD(Calculator!$B$34/Calculator!$F$14,1)),2)))),2))</f>
        <v>1.35</v>
      </c>
      <c r="BD73" s="102" t="n">
        <f aca="false">IF(OR(Calculator!$E$15&lt;&gt;"YES",Calculator!$B$34&lt;Calculator!$G$15),"—",ROUND(MAX((50*POWER(80,POWER(COS(PI()*MOD(Calculator!$B$34/Calculator!$F$15,1)),2)))/$C73,$C73/(50*POWER(80,POWER(COS(PI()*MOD(Calculator!$B$34/Calculator!$F$15,1)),2)))),2))</f>
        <v>9.02</v>
      </c>
      <c r="BE73" s="102" t="n">
        <f aca="false">IF(OR(Calculator!$E$16&lt;&gt;"YES",Calculator!$B$34&lt;Calculator!$G$16),"—",ROUND(MAX((50*POWER(80,POWER(COS(PI()*MOD(Calculator!$B$34/Calculator!$F$16,1)),2)))/$C73,$C73/(50*POWER(80,POWER(COS(PI()*MOD(Calculator!$B$34/Calculator!$F$16,1)),2)))),2))</f>
        <v>3.04</v>
      </c>
      <c r="BF73" s="102" t="n">
        <f aca="false">IF(OR(Calculator!$E$17&lt;&gt;"YES",Calculator!$B$34&lt;Calculator!$G$17),"—",ROUND(MAX((50*POWER(80,POWER(COS(PI()*MOD(Calculator!$B$34/Calculator!$F$17,1)),2)))/$C73,$C73/(50*POWER(80,POWER(COS(PI()*MOD(Calculator!$B$34/Calculator!$F$17,1)),2)))),2))</f>
        <v>1.57</v>
      </c>
      <c r="BG73" s="102" t="n">
        <f aca="false">IF(OR(Calculator!$E$18&lt;&gt;"YES",Calculator!$B$34&lt;Calculator!$G$18),"—",ROUND(MAX((50*POWER(80,POWER(COS(PI()*MOD(Calculator!$B$34/Calculator!$F$18,1)),2)))/$C73,$C73/(50*POWER(80,POWER(COS(PI()*MOD(Calculator!$B$34/Calculator!$F$18,1)),2)))),2))</f>
        <v>14.83</v>
      </c>
      <c r="BH73" s="102" t="n">
        <f aca="false">IF(OR(Calculator!$E$19&lt;&gt;"YES",Calculator!$B$34&lt;Calculator!$G$19),"—",ROUND(MAX((50*POWER(80,POWER(COS(PI()*MOD(Calculator!$B$34/Calculator!$F$19,1)),2)))/$C73,$C73/(50*POWER(80,POWER(COS(PI()*MOD(Calculator!$B$34/Calculator!$F$19,1)),2)))),2))</f>
        <v>16.49</v>
      </c>
      <c r="BI73" s="102" t="n">
        <f aca="false">IF(OR(Calculator!$E$20&lt;&gt;"YES",Calculator!$B$34&lt;Calculator!$G$20),"—",ROUND(MAX((50*POWER(80,POWER(COS(PI()*MOD(Calculator!$B$34/Calculator!$F$20,1)),2)))/$C73,$C73/(50*POWER(80,POWER(COS(PI()*MOD(Calculator!$B$34/Calculator!$F$20,1)),2)))),2))</f>
        <v>9.84</v>
      </c>
      <c r="BJ73" s="102" t="str">
        <f aca="false">IF(OR(Calculator!$E$21&lt;&gt;"YES",Calculator!$B$34&lt;Calculator!$G$21),"—",ROUND(MAX((50*POWER(80,POWER(COS(PI()*MOD(Calculator!$B$34/Calculator!$F$21,1)),2)))/$C73,$C73/(50*POWER(80,POWER(COS(PI()*MOD(Calculator!$B$34/Calculator!$F$21,1)),2)))),2))</f>
        <v>—</v>
      </c>
      <c r="BK73" s="101" t="n">
        <f aca="false">IFERROR(ROUND((IF(ISNUMBER(AZ73),AZ73,0)+IF(ISNUMBER(BA73),BA73,0)+IF(ISNUMBER(BB73),BB73,0)+IF(ISNUMBER(BC73),BC73,0)+IF(ISNUMBER(BD73),BD73,0)+IF(ISNUMBER(BE73),BE73,0)+IF(ISNUMBER(BF73),BF73,0)+IF(ISNUMBER(BG73),BG73,0)+IF(ISNUMBER(BH73),BH73,0)+IF(ISNUMBER(BI73),BI73,0)+IF(ISNUMBER(BJ73),BJ73,0))/(IF(ISNUMBER(AZ73),1,0)+IF(ISNUMBER(BA73),1,0)+IF(ISNUMBER(BB73),1,0)+IF(ISNUMBER(BC73),1,0)+IF(ISNUMBER(BD73),1,0)+IF(ISNUMBER(BE73),1,0)+IF(ISNUMBER(BF73),1,0)+IF(ISNUMBER(BG73),1,0)+IF(ISNUMBER(BH73),1,0)+IF(ISNUMBER(BI73),1,0)+IF(ISNUMBER(BJ73),1,0)),2),"")</f>
        <v>8.02</v>
      </c>
    </row>
    <row r="74" customFormat="false" ht="15" hidden="false" customHeight="false" outlineLevel="0" collapsed="false">
      <c r="A74" s="103" t="s">
        <v>125</v>
      </c>
      <c r="B74" s="103" t="s">
        <v>86</v>
      </c>
      <c r="C74" s="104" t="n">
        <v>2100</v>
      </c>
      <c r="D74" s="105" t="str">
        <f aca="false">IF(OR(Calculator!$E$11&lt;&gt;"YES",Calculator!$B$30&lt;Calculator!$G$11),"—",ROUND(MAX((50*POWER(80,POWER(COS(PI()*MOD(Calculator!$B$30/Calculator!$F$11,1)),2)))/$C74,$C74/(50*POWER(80,POWER(COS(PI()*MOD(Calculator!$B$30/Calculator!$F$11,1)),2)))),2))</f>
        <v>—</v>
      </c>
      <c r="E74" s="105" t="str">
        <f aca="false">IF(OR(Calculator!$E$12&lt;&gt;"YES",Calculator!$B$30&lt;Calculator!$G$12),"—",ROUND(MAX((50*POWER(80,POWER(COS(PI()*MOD(Calculator!$B$30/Calculator!$F$12,1)),2)))/$C74,$C74/(50*POWER(80,POWER(COS(PI()*MOD(Calculator!$B$30/Calculator!$F$12,1)),2)))),2))</f>
        <v>—</v>
      </c>
      <c r="F74" s="105" t="str">
        <f aca="false">IF(OR(Calculator!$E$13&lt;&gt;"YES",Calculator!$B$30&lt;Calculator!$G$13),"—",ROUND(MAX((50*POWER(80,POWER(COS(PI()*MOD(Calculator!$B$30/Calculator!$F$13,1)),2)))/$C74,$C74/(50*POWER(80,POWER(COS(PI()*MOD(Calculator!$B$30/Calculator!$F$13,1)),2)))),2))</f>
        <v>—</v>
      </c>
      <c r="G74" s="105" t="n">
        <f aca="false">IF(OR(Calculator!$E$14&lt;&gt;"YES",Calculator!$B$30&lt;Calculator!$G$14),"—",ROUND(MAX((50*POWER(80,POWER(COS(PI()*MOD(Calculator!$B$30/Calculator!$F$14,1)),2)))/$C74,$C74/(50*POWER(80,POWER(COS(PI()*MOD(Calculator!$B$30/Calculator!$F$14,1)),2)))),2))</f>
        <v>18.98</v>
      </c>
      <c r="H74" s="105" t="n">
        <f aca="false">IF(OR(Calculator!$E$15&lt;&gt;"YES",Calculator!$B$30&lt;Calculator!$G$15),"—",ROUND(MAX((50*POWER(80,POWER(COS(PI()*MOD(Calculator!$B$30/Calculator!$F$15,1)),2)))/$C74,$C74/(50*POWER(80,POWER(COS(PI()*MOD(Calculator!$B$30/Calculator!$F$15,1)),2)))),2))</f>
        <v>5.5</v>
      </c>
      <c r="I74" s="105" t="n">
        <f aca="false">IF(OR(Calculator!$E$16&lt;&gt;"YES",Calculator!$B$30&lt;Calculator!$G$16),"—",ROUND(MAX((50*POWER(80,POWER(COS(PI()*MOD(Calculator!$B$30/Calculator!$F$16,1)),2)))/$C74,$C74/(50*POWER(80,POWER(COS(PI()*MOD(Calculator!$B$30/Calculator!$F$16,1)),2)))),2))</f>
        <v>3.76</v>
      </c>
      <c r="J74" s="105" t="n">
        <f aca="false">IF(OR(Calculator!$E$17&lt;&gt;"YES",Calculator!$B$30&lt;Calculator!$G$17),"—",ROUND(MAX((50*POWER(80,POWER(COS(PI()*MOD(Calculator!$B$30/Calculator!$F$17,1)),2)))/$C74,$C74/(50*POWER(80,POWER(COS(PI()*MOD(Calculator!$B$30/Calculator!$F$17,1)),2)))),2))</f>
        <v>10.56</v>
      </c>
      <c r="K74" s="105" t="n">
        <f aca="false">IF(OR(Calculator!$E$18&lt;&gt;"YES",Calculator!$B$30&lt;Calculator!$G$18),"—",ROUND(MAX((50*POWER(80,POWER(COS(PI()*MOD(Calculator!$B$30/Calculator!$F$18,1)),2)))/$C74,$C74/(50*POWER(80,POWER(COS(PI()*MOD(Calculator!$B$30/Calculator!$F$18,1)),2)))),2))</f>
        <v>1.5</v>
      </c>
      <c r="L74" s="105" t="n">
        <f aca="false">IF(OR(Calculator!$E$19&lt;&gt;"YES",Calculator!$B$30&lt;Calculator!$G$19),"—",ROUND(MAX((50*POWER(80,POWER(COS(PI()*MOD(Calculator!$B$30/Calculator!$F$19,1)),2)))/$C74,$C74/(50*POWER(80,POWER(COS(PI()*MOD(Calculator!$B$30/Calculator!$F$19,1)),2)))),2))</f>
        <v>2.67</v>
      </c>
      <c r="M74" s="105" t="n">
        <f aca="false">IF(OR(Calculator!$E$20&lt;&gt;"YES",Calculator!$B$30&lt;Calculator!$G$20),"—",ROUND(MAX((50*POWER(80,POWER(COS(PI()*MOD(Calculator!$B$30/Calculator!$F$20,1)),2)))/$C74,$C74/(50*POWER(80,POWER(COS(PI()*MOD(Calculator!$B$30/Calculator!$F$20,1)),2)))),2))</f>
        <v>16.59</v>
      </c>
      <c r="N74" s="105" t="str">
        <f aca="false">IF(OR(Calculator!$E$21&lt;&gt;"YES",Calculator!$B$30&lt;Calculator!$G$21),"—",ROUND(MAX((50*POWER(80,POWER(COS(PI()*MOD(Calculator!$B$30/Calculator!$F$21,1)),2)))/$C74,$C74/(50*POWER(80,POWER(COS(PI()*MOD(Calculator!$B$30/Calculator!$F$21,1)),2)))),2))</f>
        <v>—</v>
      </c>
      <c r="O74" s="100" t="n">
        <f aca="false">IFERROR(ROUND((IF(ISNUMBER(D74),D74,0)+IF(ISNUMBER(E74),E74,0)+IF(ISNUMBER(F74),F74,0)+IF(ISNUMBER(G74),G74,0)+IF(ISNUMBER(H74),H74,0)+IF(ISNUMBER(I74),I74,0)+IF(ISNUMBER(J74),J74,0)+IF(ISNUMBER(K74),K74,0)+IF(ISNUMBER(L74),L74,0)+IF(ISNUMBER(M74),M74,0)+IF(ISNUMBER(N74),N74,0))/(IF(ISNUMBER(D74),1,0)+IF(ISNUMBER(E74),1,0)+IF(ISNUMBER(F74),1,0)+IF(ISNUMBER(G74),1,0)+IF(ISNUMBER(H74),1,0)+IF(ISNUMBER(I74),1,0)+IF(ISNUMBER(J74),1,0)+IF(ISNUMBER(K74),1,0)+IF(ISNUMBER(L74),1,0)+IF(ISNUMBER(M74),1,0)+IF(ISNUMBER(N74),1,0)),2),"")</f>
        <v>8.51</v>
      </c>
      <c r="P74" s="105" t="str">
        <f aca="false">IF(OR(Calculator!$E$11&lt;&gt;"YES",Calculator!$B$31&lt;Calculator!$G$11),"—",ROUND(MAX((50*POWER(80,POWER(COS(PI()*MOD(Calculator!$B$31/Calculator!$F$11,1)),2)))/$C74,$C74/(50*POWER(80,POWER(COS(PI()*MOD(Calculator!$B$31/Calculator!$F$11,1)),2)))),2))</f>
        <v>—</v>
      </c>
      <c r="Q74" s="105" t="str">
        <f aca="false">IF(OR(Calculator!$E$12&lt;&gt;"YES",Calculator!$B$31&lt;Calculator!$G$12),"—",ROUND(MAX((50*POWER(80,POWER(COS(PI()*MOD(Calculator!$B$31/Calculator!$F$12,1)),2)))/$C74,$C74/(50*POWER(80,POWER(COS(PI()*MOD(Calculator!$B$31/Calculator!$F$12,1)),2)))),2))</f>
        <v>—</v>
      </c>
      <c r="R74" s="105" t="str">
        <f aca="false">IF(OR(Calculator!$E$13&lt;&gt;"YES",Calculator!$B$31&lt;Calculator!$G$13),"—",ROUND(MAX((50*POWER(80,POWER(COS(PI()*MOD(Calculator!$B$31/Calculator!$F$13,1)),2)))/$C74,$C74/(50*POWER(80,POWER(COS(PI()*MOD(Calculator!$B$31/Calculator!$F$13,1)),2)))),2))</f>
        <v>—</v>
      </c>
      <c r="S74" s="105" t="n">
        <f aca="false">IF(OR(Calculator!$E$14&lt;&gt;"YES",Calculator!$B$31&lt;Calculator!$G$14),"—",ROUND(MAX((50*POWER(80,POWER(COS(PI()*MOD(Calculator!$B$31/Calculator!$F$14,1)),2)))/$C74,$C74/(50*POWER(80,POWER(COS(PI()*MOD(Calculator!$B$31/Calculator!$F$14,1)),2)))),2))</f>
        <v>19.43</v>
      </c>
      <c r="T74" s="105" t="n">
        <f aca="false">IF(OR(Calculator!$E$15&lt;&gt;"YES",Calculator!$B$31&lt;Calculator!$G$15),"—",ROUND(MAX((50*POWER(80,POWER(COS(PI()*MOD(Calculator!$B$31/Calculator!$F$15,1)),2)))/$C74,$C74/(50*POWER(80,POWER(COS(PI()*MOD(Calculator!$B$31/Calculator!$F$15,1)),2)))),2))</f>
        <v>11.82</v>
      </c>
      <c r="U74" s="105" t="n">
        <f aca="false">IF(OR(Calculator!$E$16&lt;&gt;"YES",Calculator!$B$31&lt;Calculator!$G$16),"—",ROUND(MAX((50*POWER(80,POWER(COS(PI()*MOD(Calculator!$B$31/Calculator!$F$16,1)),2)))/$C74,$C74/(50*POWER(80,POWER(COS(PI()*MOD(Calculator!$B$31/Calculator!$F$16,1)),2)))),2))</f>
        <v>4.5</v>
      </c>
      <c r="V74" s="105" t="n">
        <f aca="false">IF(OR(Calculator!$E$17&lt;&gt;"YES",Calculator!$B$31&lt;Calculator!$G$17),"—",ROUND(MAX((50*POWER(80,POWER(COS(PI()*MOD(Calculator!$B$31/Calculator!$F$17,1)),2)))/$C74,$C74/(50*POWER(80,POWER(COS(PI()*MOD(Calculator!$B$31/Calculator!$F$17,1)),2)))),2))</f>
        <v>1.3</v>
      </c>
      <c r="W74" s="105" t="n">
        <f aca="false">IF(OR(Calculator!$E$18&lt;&gt;"YES",Calculator!$B$31&lt;Calculator!$G$18),"—",ROUND(MAX((50*POWER(80,POWER(COS(PI()*MOD(Calculator!$B$31/Calculator!$F$18,1)),2)))/$C74,$C74/(50*POWER(80,POWER(COS(PI()*MOD(Calculator!$B$31/Calculator!$F$18,1)),2)))),2))</f>
        <v>1.14</v>
      </c>
      <c r="X74" s="105" t="n">
        <f aca="false">IF(OR(Calculator!$E$19&lt;&gt;"YES",Calculator!$B$31&lt;Calculator!$G$19),"—",ROUND(MAX((50*POWER(80,POWER(COS(PI()*MOD(Calculator!$B$31/Calculator!$F$19,1)),2)))/$C74,$C74/(50*POWER(80,POWER(COS(PI()*MOD(Calculator!$B$31/Calculator!$F$19,1)),2)))),2))</f>
        <v>7.8</v>
      </c>
      <c r="Y74" s="105" t="n">
        <f aca="false">IF(OR(Calculator!$E$20&lt;&gt;"YES",Calculator!$B$31&lt;Calculator!$G$20),"—",ROUND(MAX((50*POWER(80,POWER(COS(PI()*MOD(Calculator!$B$31/Calculator!$F$20,1)),2)))/$C74,$C74/(50*POWER(80,POWER(COS(PI()*MOD(Calculator!$B$31/Calculator!$F$20,1)),2)))),2))</f>
        <v>25.77</v>
      </c>
      <c r="Z74" s="105" t="str">
        <f aca="false">IF(OR(Calculator!$E$21&lt;&gt;"YES",Calculator!$B$31&lt;Calculator!$G$21),"—",ROUND(MAX((50*POWER(80,POWER(COS(PI()*MOD(Calculator!$B$31/Calculator!$F$21,1)),2)))/$C74,$C74/(50*POWER(80,POWER(COS(PI()*MOD(Calculator!$B$31/Calculator!$F$21,1)),2)))),2))</f>
        <v>—</v>
      </c>
      <c r="AA74" s="100" t="n">
        <f aca="false">IFERROR(ROUND((IF(ISNUMBER(P74),P74,0)+IF(ISNUMBER(Q74),Q74,0)+IF(ISNUMBER(R74),R74,0)+IF(ISNUMBER(S74),S74,0)+IF(ISNUMBER(T74),T74,0)+IF(ISNUMBER(U74),U74,0)+IF(ISNUMBER(V74),V74,0)+IF(ISNUMBER(W74),W74,0)+IF(ISNUMBER(X74),X74,0)+IF(ISNUMBER(Y74),Y74,0)+IF(ISNUMBER(Z74),Z74,0))/(IF(ISNUMBER(P74),1,0)+IF(ISNUMBER(Q74),1,0)+IF(ISNUMBER(R74),1,0)+IF(ISNUMBER(S74),1,0)+IF(ISNUMBER(T74),1,0)+IF(ISNUMBER(U74),1,0)+IF(ISNUMBER(V74),1,0)+IF(ISNUMBER(W74),1,0)+IF(ISNUMBER(X74),1,0)+IF(ISNUMBER(Y74),1,0)+IF(ISNUMBER(Z74),1,0)),2),"")</f>
        <v>10.25</v>
      </c>
      <c r="AB74" s="105" t="str">
        <f aca="false">IF(OR(Calculator!$E$11&lt;&gt;"YES",Calculator!$B$32&lt;Calculator!$G$11),"—",ROUND(MAX((50*POWER(80,POWER(COS(PI()*MOD(Calculator!$B$32/Calculator!$F$11,1)),2)))/$C74,$C74/(50*POWER(80,POWER(COS(PI()*MOD(Calculator!$B$32/Calculator!$F$11,1)),2)))),2))</f>
        <v>—</v>
      </c>
      <c r="AC74" s="105" t="str">
        <f aca="false">IF(OR(Calculator!$E$12&lt;&gt;"YES",Calculator!$B$32&lt;Calculator!$G$12),"—",ROUND(MAX((50*POWER(80,POWER(COS(PI()*MOD(Calculator!$B$32/Calculator!$F$12,1)),2)))/$C74,$C74/(50*POWER(80,POWER(COS(PI()*MOD(Calculator!$B$32/Calculator!$F$12,1)),2)))),2))</f>
        <v>—</v>
      </c>
      <c r="AD74" s="105" t="str">
        <f aca="false">IF(OR(Calculator!$E$13&lt;&gt;"YES",Calculator!$B$32&lt;Calculator!$G$13),"—",ROUND(MAX((50*POWER(80,POWER(COS(PI()*MOD(Calculator!$B$32/Calculator!$F$13,1)),2)))/$C74,$C74/(50*POWER(80,POWER(COS(PI()*MOD(Calculator!$B$32/Calculator!$F$13,1)),2)))),2))</f>
        <v>—</v>
      </c>
      <c r="AE74" s="105" t="n">
        <f aca="false">IF(OR(Calculator!$E$14&lt;&gt;"YES",Calculator!$B$32&lt;Calculator!$G$14),"—",ROUND(MAX((50*POWER(80,POWER(COS(PI()*MOD(Calculator!$B$32/Calculator!$F$14,1)),2)))/$C74,$C74/(50*POWER(80,POWER(COS(PI()*MOD(Calculator!$B$32/Calculator!$F$14,1)),2)))),2))</f>
        <v>12.27</v>
      </c>
      <c r="AF74" s="105" t="n">
        <f aca="false">IF(OR(Calculator!$E$15&lt;&gt;"YES",Calculator!$B$32&lt;Calculator!$G$15),"—",ROUND(MAX((50*POWER(80,POWER(COS(PI()*MOD(Calculator!$B$32/Calculator!$F$15,1)),2)))/$C74,$C74/(50*POWER(80,POWER(COS(PI()*MOD(Calculator!$B$32/Calculator!$F$15,1)),2)))),2))</f>
        <v>7.93</v>
      </c>
      <c r="AG74" s="105" t="n">
        <f aca="false">IF(OR(Calculator!$E$16&lt;&gt;"YES",Calculator!$B$32&lt;Calculator!$G$16),"—",ROUND(MAX((50*POWER(80,POWER(COS(PI()*MOD(Calculator!$B$32/Calculator!$F$16,1)),2)))/$C74,$C74/(50*POWER(80,POWER(COS(PI()*MOD(Calculator!$B$32/Calculator!$F$16,1)),2)))),2))</f>
        <v>26.78</v>
      </c>
      <c r="AH74" s="105" t="n">
        <f aca="false">IF(OR(Calculator!$E$17&lt;&gt;"YES",Calculator!$B$32&lt;Calculator!$G$17),"—",ROUND(MAX((50*POWER(80,POWER(COS(PI()*MOD(Calculator!$B$32/Calculator!$F$17,1)),2)))/$C74,$C74/(50*POWER(80,POWER(COS(PI()*MOD(Calculator!$B$32/Calculator!$F$17,1)),2)))),2))</f>
        <v>1.1</v>
      </c>
      <c r="AI74" s="105" t="n">
        <f aca="false">IF(OR(Calculator!$E$18&lt;&gt;"YES",Calculator!$B$32&lt;Calculator!$G$18),"—",ROUND(MAX((50*POWER(80,POWER(COS(PI()*MOD(Calculator!$B$32/Calculator!$F$18,1)),2)))/$C74,$C74/(50*POWER(80,POWER(COS(PI()*MOD(Calculator!$B$32/Calculator!$F$18,1)),2)))),2))</f>
        <v>1.19</v>
      </c>
      <c r="AJ74" s="105" t="n">
        <f aca="false">IF(OR(Calculator!$E$19&lt;&gt;"YES",Calculator!$B$32&lt;Calculator!$G$19),"—",ROUND(MAX((50*POWER(80,POWER(COS(PI()*MOD(Calculator!$B$32/Calculator!$F$19,1)),2)))/$C74,$C74/(50*POWER(80,POWER(COS(PI()*MOD(Calculator!$B$32/Calculator!$F$19,1)),2)))),2))</f>
        <v>1.25</v>
      </c>
      <c r="AK74" s="105" t="n">
        <f aca="false">IF(OR(Calculator!$E$20&lt;&gt;"YES",Calculator!$B$32&lt;Calculator!$G$20),"—",ROUND(MAX((50*POWER(80,POWER(COS(PI()*MOD(Calculator!$B$32/Calculator!$F$20,1)),2)))/$C74,$C74/(50*POWER(80,POWER(COS(PI()*MOD(Calculator!$B$32/Calculator!$F$20,1)),2)))),2))</f>
        <v>21.06</v>
      </c>
      <c r="AL74" s="105" t="str">
        <f aca="false">IF(OR(Calculator!$E$21&lt;&gt;"YES",Calculator!$B$32&lt;Calculator!$G$21),"—",ROUND(MAX((50*POWER(80,POWER(COS(PI()*MOD(Calculator!$B$32/Calculator!$F$21,1)),2)))/$C74,$C74/(50*POWER(80,POWER(COS(PI()*MOD(Calculator!$B$32/Calculator!$F$21,1)),2)))),2))</f>
        <v>—</v>
      </c>
      <c r="AM74" s="101" t="n">
        <f aca="false">IFERROR(ROUND((IF(ISNUMBER(AB74),AB74,0)+IF(ISNUMBER(AC74),AC74,0)+IF(ISNUMBER(AD74),AD74,0)+IF(ISNUMBER(AE74),AE74,0)+IF(ISNUMBER(AF74),AF74,0)+IF(ISNUMBER(AG74),AG74,0)+IF(ISNUMBER(AH74),AH74,0)+IF(ISNUMBER(AI74),AI74,0)+IF(ISNUMBER(AJ74),AJ74,0)+IF(ISNUMBER(AK74),AK74,0)+IF(ISNUMBER(AL74),AL74,0))/(IF(ISNUMBER(AB74),1,0)+IF(ISNUMBER(AC74),1,0)+IF(ISNUMBER(AD74),1,0)+IF(ISNUMBER(AE74),1,0)+IF(ISNUMBER(AF74),1,0)+IF(ISNUMBER(AG74),1,0)+IF(ISNUMBER(AH74),1,0)+IF(ISNUMBER(AI74),1,0)+IF(ISNUMBER(AJ74),1,0)+IF(ISNUMBER(AK74),1,0)+IF(ISNUMBER(AL74),1,0)),2),"")</f>
        <v>10.23</v>
      </c>
      <c r="AN74" s="106" t="str">
        <f aca="false">IF(OR(Calculator!$E$11&lt;&gt;"YES",Calculator!$B$33&lt;Calculator!$G$11),"—",ROUND(MAX((50*POWER(80,POWER(COS(PI()*MOD(Calculator!$B$33/Calculator!$F$11,1)),2)))/$C74,$C74/(50*POWER(80,POWER(COS(PI()*MOD(Calculator!$B$33/Calculator!$F$11,1)),2)))),2))</f>
        <v>—</v>
      </c>
      <c r="AO74" s="106" t="str">
        <f aca="false">IF(OR(Calculator!$E$12&lt;&gt;"YES",Calculator!$B$33&lt;Calculator!$G$12),"—",ROUND(MAX((50*POWER(80,POWER(COS(PI()*MOD(Calculator!$B$33/Calculator!$F$12,1)),2)))/$C74,$C74/(50*POWER(80,POWER(COS(PI()*MOD(Calculator!$B$33/Calculator!$F$12,1)),2)))),2))</f>
        <v>—</v>
      </c>
      <c r="AP74" s="106" t="str">
        <f aca="false">IF(OR(Calculator!$E$13&lt;&gt;"YES",Calculator!$B$33&lt;Calculator!$G$13),"—",ROUND(MAX((50*POWER(80,POWER(COS(PI()*MOD(Calculator!$B$33/Calculator!$F$13,1)),2)))/$C74,$C74/(50*POWER(80,POWER(COS(PI()*MOD(Calculator!$B$33/Calculator!$F$13,1)),2)))),2))</f>
        <v>—</v>
      </c>
      <c r="AQ74" s="106" t="n">
        <f aca="false">IF(OR(Calculator!$E$14&lt;&gt;"YES",Calculator!$B$33&lt;Calculator!$G$14),"—",ROUND(MAX((50*POWER(80,POWER(COS(PI()*MOD(Calculator!$B$33/Calculator!$F$14,1)),2)))/$C74,$C74/(50*POWER(80,POWER(COS(PI()*MOD(Calculator!$B$33/Calculator!$F$14,1)),2)))),2))</f>
        <v>1.3</v>
      </c>
      <c r="AR74" s="106" t="n">
        <f aca="false">IF(OR(Calculator!$E$15&lt;&gt;"YES",Calculator!$B$33&lt;Calculator!$G$15),"—",ROUND(MAX((50*POWER(80,POWER(COS(PI()*MOD(Calculator!$B$33/Calculator!$F$15,1)),2)))/$C74,$C74/(50*POWER(80,POWER(COS(PI()*MOD(Calculator!$B$33/Calculator!$F$15,1)),2)))),2))</f>
        <v>7.15</v>
      </c>
      <c r="AS74" s="106" t="n">
        <f aca="false">IF(OR(Calculator!$E$16&lt;&gt;"YES",Calculator!$B$33&lt;Calculator!$G$16),"—",ROUND(MAX((50*POWER(80,POWER(COS(PI()*MOD(Calculator!$B$33/Calculator!$F$16,1)),2)))/$C74,$C74/(50*POWER(80,POWER(COS(PI()*MOD(Calculator!$B$33/Calculator!$F$16,1)),2)))),2))</f>
        <v>2.61</v>
      </c>
      <c r="AT74" s="106" t="n">
        <f aca="false">IF(OR(Calculator!$E$17&lt;&gt;"YES",Calculator!$B$33&lt;Calculator!$G$17),"—",ROUND(MAX((50*POWER(80,POWER(COS(PI()*MOD(Calculator!$B$33/Calculator!$F$17,1)),2)))/$C74,$C74/(50*POWER(80,POWER(COS(PI()*MOD(Calculator!$B$33/Calculator!$F$17,1)),2)))),2))</f>
        <v>8.3</v>
      </c>
      <c r="AU74" s="106" t="n">
        <f aca="false">IF(OR(Calculator!$E$18&lt;&gt;"YES",Calculator!$B$33&lt;Calculator!$G$18),"—",ROUND(MAX((50*POWER(80,POWER(COS(PI()*MOD(Calculator!$B$33/Calculator!$F$18,1)),2)))/$C74,$C74/(50*POWER(80,POWER(COS(PI()*MOD(Calculator!$B$33/Calculator!$F$18,1)),2)))),2))</f>
        <v>11.23</v>
      </c>
      <c r="AV74" s="106" t="n">
        <f aca="false">IF(OR(Calculator!$E$19&lt;&gt;"YES",Calculator!$B$33&lt;Calculator!$G$19),"—",ROUND(MAX((50*POWER(80,POWER(COS(PI()*MOD(Calculator!$B$33/Calculator!$F$19,1)),2)))/$C74,$C74/(50*POWER(80,POWER(COS(PI()*MOD(Calculator!$B$33/Calculator!$F$19,1)),2)))),2))</f>
        <v>1.37</v>
      </c>
      <c r="AW74" s="106" t="n">
        <f aca="false">IF(OR(Calculator!$E$20&lt;&gt;"YES",Calculator!$B$33&lt;Calculator!$G$20),"—",ROUND(MAX((50*POWER(80,POWER(COS(PI()*MOD(Calculator!$B$33/Calculator!$F$20,1)),2)))/$C74,$C74/(50*POWER(80,POWER(COS(PI()*MOD(Calculator!$B$33/Calculator!$F$20,1)),2)))),2))</f>
        <v>17.14</v>
      </c>
      <c r="AX74" s="106" t="str">
        <f aca="false">IF(OR(Calculator!$E$21&lt;&gt;"YES",Calculator!$B$33&lt;Calculator!$G$21),"—",ROUND(MAX((50*POWER(80,POWER(COS(PI()*MOD(Calculator!$B$33/Calculator!$F$21,1)),2)))/$C74,$C74/(50*POWER(80,POWER(COS(PI()*MOD(Calculator!$B$33/Calculator!$F$21,1)),2)))),2))</f>
        <v>—</v>
      </c>
      <c r="AY74" s="101" t="n">
        <f aca="false">IFERROR(ROUND((IF(ISNUMBER(AN74),AN74,0)+IF(ISNUMBER(AO74),AO74,0)+IF(ISNUMBER(AP74),AP74,0)+IF(ISNUMBER(AQ74),AQ74,0)+IF(ISNUMBER(AR74),AR74,0)+IF(ISNUMBER(AS74),AS74,0)+IF(ISNUMBER(AT74),AT74,0)+IF(ISNUMBER(AU74),AU74,0)+IF(ISNUMBER(AV74),AV74,0)+IF(ISNUMBER(AW74),AW74,0)+IF(ISNUMBER(AX74),AX74,0))/(IF(ISNUMBER(AN74),1,0)+IF(ISNUMBER(AO74),1,0)+IF(ISNUMBER(AP74),1,0)+IF(ISNUMBER(AQ74),1,0)+IF(ISNUMBER(AR74),1,0)+IF(ISNUMBER(AS74),1,0)+IF(ISNUMBER(AT74),1,0)+IF(ISNUMBER(AU74),1,0)+IF(ISNUMBER(AV74),1,0)+IF(ISNUMBER(AW74),1,0)+IF(ISNUMBER(AX74),1,0)),2),"")</f>
        <v>7.01</v>
      </c>
      <c r="AZ74" s="106" t="str">
        <f aca="false">IF(OR(Calculator!$E$11&lt;&gt;"YES",Calculator!$B$34&lt;Calculator!$G$11),"—",ROUND(MAX((50*POWER(80,POWER(COS(PI()*MOD(Calculator!$B$34/Calculator!$F$11,1)),2)))/$C74,$C74/(50*POWER(80,POWER(COS(PI()*MOD(Calculator!$B$34/Calculator!$F$11,1)),2)))),2))</f>
        <v>—</v>
      </c>
      <c r="BA74" s="106" t="str">
        <f aca="false">IF(OR(Calculator!$E$12&lt;&gt;"YES",Calculator!$B$34&lt;Calculator!$G$12),"—",ROUND(MAX((50*POWER(80,POWER(COS(PI()*MOD(Calculator!$B$34/Calculator!$F$12,1)),2)))/$C74,$C74/(50*POWER(80,POWER(COS(PI()*MOD(Calculator!$B$34/Calculator!$F$12,1)),2)))),2))</f>
        <v>—</v>
      </c>
      <c r="BB74" s="106" t="str">
        <f aca="false">IF(OR(Calculator!$E$13&lt;&gt;"YES",Calculator!$B$34&lt;Calculator!$G$13),"—",ROUND(MAX((50*POWER(80,POWER(COS(PI()*MOD(Calculator!$B$34/Calculator!$F$13,1)),2)))/$C74,$C74/(50*POWER(80,POWER(COS(PI()*MOD(Calculator!$B$34/Calculator!$F$13,1)),2)))),2))</f>
        <v>—</v>
      </c>
      <c r="BC74" s="106" t="n">
        <f aca="false">IF(OR(Calculator!$E$14&lt;&gt;"YES",Calculator!$B$34&lt;Calculator!$G$14),"—",ROUND(MAX((50*POWER(80,POWER(COS(PI()*MOD(Calculator!$B$34/Calculator!$F$14,1)),2)))/$C74,$C74/(50*POWER(80,POWER(COS(PI()*MOD(Calculator!$B$34/Calculator!$F$14,1)),2)))),2))</f>
        <v>1.32</v>
      </c>
      <c r="BD74" s="106" t="n">
        <f aca="false">IF(OR(Calculator!$E$15&lt;&gt;"YES",Calculator!$B$34&lt;Calculator!$G$15),"—",ROUND(MAX((50*POWER(80,POWER(COS(PI()*MOD(Calculator!$B$34/Calculator!$F$15,1)),2)))/$C74,$C74/(50*POWER(80,POWER(COS(PI()*MOD(Calculator!$B$34/Calculator!$F$15,1)),2)))),2))</f>
        <v>9.24</v>
      </c>
      <c r="BE74" s="106" t="n">
        <f aca="false">IF(OR(Calculator!$E$16&lt;&gt;"YES",Calculator!$B$34&lt;Calculator!$G$16),"—",ROUND(MAX((50*POWER(80,POWER(COS(PI()*MOD(Calculator!$B$34/Calculator!$F$16,1)),2)))/$C74,$C74/(50*POWER(80,POWER(COS(PI()*MOD(Calculator!$B$34/Calculator!$F$16,1)),2)))),2))</f>
        <v>3.11</v>
      </c>
      <c r="BF74" s="106" t="n">
        <f aca="false">IF(OR(Calculator!$E$17&lt;&gt;"YES",Calculator!$B$34&lt;Calculator!$G$17),"—",ROUND(MAX((50*POWER(80,POWER(COS(PI()*MOD(Calculator!$B$34/Calculator!$F$17,1)),2)))/$C74,$C74/(50*POWER(80,POWER(COS(PI()*MOD(Calculator!$B$34/Calculator!$F$17,1)),2)))),2))</f>
        <v>1.61</v>
      </c>
      <c r="BG74" s="106" t="n">
        <f aca="false">IF(OR(Calculator!$E$18&lt;&gt;"YES",Calculator!$B$34&lt;Calculator!$G$18),"—",ROUND(MAX((50*POWER(80,POWER(COS(PI()*MOD(Calculator!$B$34/Calculator!$F$18,1)),2)))/$C74,$C74/(50*POWER(80,POWER(COS(PI()*MOD(Calculator!$B$34/Calculator!$F$18,1)),2)))),2))</f>
        <v>15.19</v>
      </c>
      <c r="BH74" s="106" t="n">
        <f aca="false">IF(OR(Calculator!$E$19&lt;&gt;"YES",Calculator!$B$34&lt;Calculator!$G$19),"—",ROUND(MAX((50*POWER(80,POWER(COS(PI()*MOD(Calculator!$B$34/Calculator!$F$19,1)),2)))/$C74,$C74/(50*POWER(80,POWER(COS(PI()*MOD(Calculator!$B$34/Calculator!$F$19,1)),2)))),2))</f>
        <v>16.9</v>
      </c>
      <c r="BI74" s="106" t="n">
        <f aca="false">IF(OR(Calculator!$E$20&lt;&gt;"YES",Calculator!$B$34&lt;Calculator!$G$20),"—",ROUND(MAX((50*POWER(80,POWER(COS(PI()*MOD(Calculator!$B$34/Calculator!$F$20,1)),2)))/$C74,$C74/(50*POWER(80,POWER(COS(PI()*MOD(Calculator!$B$34/Calculator!$F$20,1)),2)))),2))</f>
        <v>10.08</v>
      </c>
      <c r="BJ74" s="106" t="str">
        <f aca="false">IF(OR(Calculator!$E$21&lt;&gt;"YES",Calculator!$B$34&lt;Calculator!$G$21),"—",ROUND(MAX((50*POWER(80,POWER(COS(PI()*MOD(Calculator!$B$34/Calculator!$F$21,1)),2)))/$C74,$C74/(50*POWER(80,POWER(COS(PI()*MOD(Calculator!$B$34/Calculator!$F$21,1)),2)))),2))</f>
        <v>—</v>
      </c>
      <c r="BK74" s="101" t="n">
        <f aca="false">IFERROR(ROUND((IF(ISNUMBER(AZ74),AZ74,0)+IF(ISNUMBER(BA74),BA74,0)+IF(ISNUMBER(BB74),BB74,0)+IF(ISNUMBER(BC74),BC74,0)+IF(ISNUMBER(BD74),BD74,0)+IF(ISNUMBER(BE74),BE74,0)+IF(ISNUMBER(BF74),BF74,0)+IF(ISNUMBER(BG74),BG74,0)+IF(ISNUMBER(BH74),BH74,0)+IF(ISNUMBER(BI74),BI74,0)+IF(ISNUMBER(BJ74),BJ74,0))/(IF(ISNUMBER(AZ74),1,0)+IF(ISNUMBER(BA74),1,0)+IF(ISNUMBER(BB74),1,0)+IF(ISNUMBER(BC74),1,0)+IF(ISNUMBER(BD74),1,0)+IF(ISNUMBER(BE74),1,0)+IF(ISNUMBER(BF74),1,0)+IF(ISNUMBER(BG74),1,0)+IF(ISNUMBER(BH74),1,0)+IF(ISNUMBER(BI74),1,0)+IF(ISNUMBER(BJ74),1,0)),2),"")</f>
        <v>8.21</v>
      </c>
    </row>
    <row r="75" customFormat="false" ht="15" hidden="false" customHeight="false" outlineLevel="0" collapsed="false">
      <c r="A75" s="74" t="s">
        <v>126</v>
      </c>
      <c r="B75" s="74" t="s">
        <v>86</v>
      </c>
      <c r="C75" s="77" t="n">
        <v>2150</v>
      </c>
      <c r="D75" s="78" t="str">
        <f aca="false">IF(OR(Calculator!$E$11&lt;&gt;"YES",Calculator!$B$30&lt;Calculator!$G$11),"—",ROUND(MAX((50*POWER(80,POWER(COS(PI()*MOD(Calculator!$B$30/Calculator!$F$11,1)),2)))/$C75,$C75/(50*POWER(80,POWER(COS(PI()*MOD(Calculator!$B$30/Calculator!$F$11,1)),2)))),2))</f>
        <v>—</v>
      </c>
      <c r="E75" s="78" t="str">
        <f aca="false">IF(OR(Calculator!$E$12&lt;&gt;"YES",Calculator!$B$30&lt;Calculator!$G$12),"—",ROUND(MAX((50*POWER(80,POWER(COS(PI()*MOD(Calculator!$B$30/Calculator!$F$12,1)),2)))/$C75,$C75/(50*POWER(80,POWER(COS(PI()*MOD(Calculator!$B$30/Calculator!$F$12,1)),2)))),2))</f>
        <v>—</v>
      </c>
      <c r="F75" s="78" t="str">
        <f aca="false">IF(OR(Calculator!$E$13&lt;&gt;"YES",Calculator!$B$30&lt;Calculator!$G$13),"—",ROUND(MAX((50*POWER(80,POWER(COS(PI()*MOD(Calculator!$B$30/Calculator!$F$13,1)),2)))/$C75,$C75/(50*POWER(80,POWER(COS(PI()*MOD(Calculator!$B$30/Calculator!$F$13,1)),2)))),2))</f>
        <v>—</v>
      </c>
      <c r="G75" s="78" t="n">
        <f aca="false">IF(OR(Calculator!$E$14&lt;&gt;"YES",Calculator!$B$30&lt;Calculator!$G$14),"—",ROUND(MAX((50*POWER(80,POWER(COS(PI()*MOD(Calculator!$B$30/Calculator!$F$14,1)),2)))/$C75,$C75/(50*POWER(80,POWER(COS(PI()*MOD(Calculator!$B$30/Calculator!$F$14,1)),2)))),2))</f>
        <v>19.43</v>
      </c>
      <c r="H75" s="78" t="n">
        <f aca="false">IF(OR(Calculator!$E$15&lt;&gt;"YES",Calculator!$B$30&lt;Calculator!$G$15),"—",ROUND(MAX((50*POWER(80,POWER(COS(PI()*MOD(Calculator!$B$30/Calculator!$F$15,1)),2)))/$C75,$C75/(50*POWER(80,POWER(COS(PI()*MOD(Calculator!$B$30/Calculator!$F$15,1)),2)))),2))</f>
        <v>5.63</v>
      </c>
      <c r="I75" s="78" t="n">
        <f aca="false">IF(OR(Calculator!$E$16&lt;&gt;"YES",Calculator!$B$30&lt;Calculator!$G$16),"—",ROUND(MAX((50*POWER(80,POWER(COS(PI()*MOD(Calculator!$B$30/Calculator!$F$16,1)),2)))/$C75,$C75/(50*POWER(80,POWER(COS(PI()*MOD(Calculator!$B$30/Calculator!$F$16,1)),2)))),2))</f>
        <v>3.85</v>
      </c>
      <c r="J75" s="78" t="n">
        <f aca="false">IF(OR(Calculator!$E$17&lt;&gt;"YES",Calculator!$B$30&lt;Calculator!$G$17),"—",ROUND(MAX((50*POWER(80,POWER(COS(PI()*MOD(Calculator!$B$30/Calculator!$F$17,1)),2)))/$C75,$C75/(50*POWER(80,POWER(COS(PI()*MOD(Calculator!$B$30/Calculator!$F$17,1)),2)))),2))</f>
        <v>10.81</v>
      </c>
      <c r="K75" s="78" t="n">
        <f aca="false">IF(OR(Calculator!$E$18&lt;&gt;"YES",Calculator!$B$30&lt;Calculator!$G$18),"—",ROUND(MAX((50*POWER(80,POWER(COS(PI()*MOD(Calculator!$B$30/Calculator!$F$18,1)),2)))/$C75,$C75/(50*POWER(80,POWER(COS(PI()*MOD(Calculator!$B$30/Calculator!$F$18,1)),2)))),2))</f>
        <v>1.54</v>
      </c>
      <c r="L75" s="78" t="n">
        <f aca="false">IF(OR(Calculator!$E$19&lt;&gt;"YES",Calculator!$B$30&lt;Calculator!$G$19),"—",ROUND(MAX((50*POWER(80,POWER(COS(PI()*MOD(Calculator!$B$30/Calculator!$F$19,1)),2)))/$C75,$C75/(50*POWER(80,POWER(COS(PI()*MOD(Calculator!$B$30/Calculator!$F$19,1)),2)))),2))</f>
        <v>2.74</v>
      </c>
      <c r="M75" s="78" t="n">
        <f aca="false">IF(OR(Calculator!$E$20&lt;&gt;"YES",Calculator!$B$30&lt;Calculator!$G$20),"—",ROUND(MAX((50*POWER(80,POWER(COS(PI()*MOD(Calculator!$B$30/Calculator!$F$20,1)),2)))/$C75,$C75/(50*POWER(80,POWER(COS(PI()*MOD(Calculator!$B$30/Calculator!$F$20,1)),2)))),2))</f>
        <v>16.98</v>
      </c>
      <c r="N75" s="78" t="str">
        <f aca="false">IF(OR(Calculator!$E$21&lt;&gt;"YES",Calculator!$B$30&lt;Calculator!$G$21),"—",ROUND(MAX((50*POWER(80,POWER(COS(PI()*MOD(Calculator!$B$30/Calculator!$F$21,1)),2)))/$C75,$C75/(50*POWER(80,POWER(COS(PI()*MOD(Calculator!$B$30/Calculator!$F$21,1)),2)))),2))</f>
        <v>—</v>
      </c>
      <c r="O75" s="100" t="n">
        <f aca="false">IFERROR(ROUND((IF(ISNUMBER(D75),D75,0)+IF(ISNUMBER(E75),E75,0)+IF(ISNUMBER(F75),F75,0)+IF(ISNUMBER(G75),G75,0)+IF(ISNUMBER(H75),H75,0)+IF(ISNUMBER(I75),I75,0)+IF(ISNUMBER(J75),J75,0)+IF(ISNUMBER(K75),K75,0)+IF(ISNUMBER(L75),L75,0)+IF(ISNUMBER(M75),M75,0)+IF(ISNUMBER(N75),N75,0))/(IF(ISNUMBER(D75),1,0)+IF(ISNUMBER(E75),1,0)+IF(ISNUMBER(F75),1,0)+IF(ISNUMBER(G75),1,0)+IF(ISNUMBER(H75),1,0)+IF(ISNUMBER(I75),1,0)+IF(ISNUMBER(J75),1,0)+IF(ISNUMBER(K75),1,0)+IF(ISNUMBER(L75),1,0)+IF(ISNUMBER(M75),1,0)+IF(ISNUMBER(N75),1,0)),2),"")</f>
        <v>8.71</v>
      </c>
      <c r="P75" s="78" t="str">
        <f aca="false">IF(OR(Calculator!$E$11&lt;&gt;"YES",Calculator!$B$31&lt;Calculator!$G$11),"—",ROUND(MAX((50*POWER(80,POWER(COS(PI()*MOD(Calculator!$B$31/Calculator!$F$11,1)),2)))/$C75,$C75/(50*POWER(80,POWER(COS(PI()*MOD(Calculator!$B$31/Calculator!$F$11,1)),2)))),2))</f>
        <v>—</v>
      </c>
      <c r="Q75" s="78" t="str">
        <f aca="false">IF(OR(Calculator!$E$12&lt;&gt;"YES",Calculator!$B$31&lt;Calculator!$G$12),"—",ROUND(MAX((50*POWER(80,POWER(COS(PI()*MOD(Calculator!$B$31/Calculator!$F$12,1)),2)))/$C75,$C75/(50*POWER(80,POWER(COS(PI()*MOD(Calculator!$B$31/Calculator!$F$12,1)),2)))),2))</f>
        <v>—</v>
      </c>
      <c r="R75" s="78" t="str">
        <f aca="false">IF(OR(Calculator!$E$13&lt;&gt;"YES",Calculator!$B$31&lt;Calculator!$G$13),"—",ROUND(MAX((50*POWER(80,POWER(COS(PI()*MOD(Calculator!$B$31/Calculator!$F$13,1)),2)))/$C75,$C75/(50*POWER(80,POWER(COS(PI()*MOD(Calculator!$B$31/Calculator!$F$13,1)),2)))),2))</f>
        <v>—</v>
      </c>
      <c r="S75" s="78" t="n">
        <f aca="false">IF(OR(Calculator!$E$14&lt;&gt;"YES",Calculator!$B$31&lt;Calculator!$G$14),"—",ROUND(MAX((50*POWER(80,POWER(COS(PI()*MOD(Calculator!$B$31/Calculator!$F$14,1)),2)))/$C75,$C75/(50*POWER(80,POWER(COS(PI()*MOD(Calculator!$B$31/Calculator!$F$14,1)),2)))),2))</f>
        <v>19.89</v>
      </c>
      <c r="T75" s="78" t="n">
        <f aca="false">IF(OR(Calculator!$E$15&lt;&gt;"YES",Calculator!$B$31&lt;Calculator!$G$15),"—",ROUND(MAX((50*POWER(80,POWER(COS(PI()*MOD(Calculator!$B$31/Calculator!$F$15,1)),2)))/$C75,$C75/(50*POWER(80,POWER(COS(PI()*MOD(Calculator!$B$31/Calculator!$F$15,1)),2)))),2))</f>
        <v>12.1</v>
      </c>
      <c r="U75" s="78" t="n">
        <f aca="false">IF(OR(Calculator!$E$16&lt;&gt;"YES",Calculator!$B$31&lt;Calculator!$G$16),"—",ROUND(MAX((50*POWER(80,POWER(COS(PI()*MOD(Calculator!$B$31/Calculator!$F$16,1)),2)))/$C75,$C75/(50*POWER(80,POWER(COS(PI()*MOD(Calculator!$B$31/Calculator!$F$16,1)),2)))),2))</f>
        <v>4.61</v>
      </c>
      <c r="V75" s="78" t="n">
        <f aca="false">IF(OR(Calculator!$E$17&lt;&gt;"YES",Calculator!$B$31&lt;Calculator!$G$17),"—",ROUND(MAX((50*POWER(80,POWER(COS(PI()*MOD(Calculator!$B$31/Calculator!$F$17,1)),2)))/$C75,$C75/(50*POWER(80,POWER(COS(PI()*MOD(Calculator!$B$31/Calculator!$F$17,1)),2)))),2))</f>
        <v>1.33</v>
      </c>
      <c r="W75" s="78" t="n">
        <f aca="false">IF(OR(Calculator!$E$18&lt;&gt;"YES",Calculator!$B$31&lt;Calculator!$G$18),"—",ROUND(MAX((50*POWER(80,POWER(COS(PI()*MOD(Calculator!$B$31/Calculator!$F$18,1)),2)))/$C75,$C75/(50*POWER(80,POWER(COS(PI()*MOD(Calculator!$B$31/Calculator!$F$18,1)),2)))),2))</f>
        <v>1.17</v>
      </c>
      <c r="X75" s="78" t="n">
        <f aca="false">IF(OR(Calculator!$E$19&lt;&gt;"YES",Calculator!$B$31&lt;Calculator!$G$19),"—",ROUND(MAX((50*POWER(80,POWER(COS(PI()*MOD(Calculator!$B$31/Calculator!$F$19,1)),2)))/$C75,$C75/(50*POWER(80,POWER(COS(PI()*MOD(Calculator!$B$31/Calculator!$F$19,1)),2)))),2))</f>
        <v>7.99</v>
      </c>
      <c r="Y75" s="78" t="n">
        <f aca="false">IF(OR(Calculator!$E$20&lt;&gt;"YES",Calculator!$B$31&lt;Calculator!$G$20),"—",ROUND(MAX((50*POWER(80,POWER(COS(PI()*MOD(Calculator!$B$31/Calculator!$F$20,1)),2)))/$C75,$C75/(50*POWER(80,POWER(COS(PI()*MOD(Calculator!$B$31/Calculator!$F$20,1)),2)))),2))</f>
        <v>26.38</v>
      </c>
      <c r="Z75" s="78" t="str">
        <f aca="false">IF(OR(Calculator!$E$21&lt;&gt;"YES",Calculator!$B$31&lt;Calculator!$G$21),"—",ROUND(MAX((50*POWER(80,POWER(COS(PI()*MOD(Calculator!$B$31/Calculator!$F$21,1)),2)))/$C75,$C75/(50*POWER(80,POWER(COS(PI()*MOD(Calculator!$B$31/Calculator!$F$21,1)),2)))),2))</f>
        <v>—</v>
      </c>
      <c r="AA75" s="100" t="n">
        <f aca="false">IFERROR(ROUND((IF(ISNUMBER(P75),P75,0)+IF(ISNUMBER(Q75),Q75,0)+IF(ISNUMBER(R75),R75,0)+IF(ISNUMBER(S75),S75,0)+IF(ISNUMBER(T75),T75,0)+IF(ISNUMBER(U75),U75,0)+IF(ISNUMBER(V75),V75,0)+IF(ISNUMBER(W75),W75,0)+IF(ISNUMBER(X75),X75,0)+IF(ISNUMBER(Y75),Y75,0)+IF(ISNUMBER(Z75),Z75,0))/(IF(ISNUMBER(P75),1,0)+IF(ISNUMBER(Q75),1,0)+IF(ISNUMBER(R75),1,0)+IF(ISNUMBER(S75),1,0)+IF(ISNUMBER(T75),1,0)+IF(ISNUMBER(U75),1,0)+IF(ISNUMBER(V75),1,0)+IF(ISNUMBER(W75),1,0)+IF(ISNUMBER(X75),1,0)+IF(ISNUMBER(Y75),1,0)+IF(ISNUMBER(Z75),1,0)),2),"")</f>
        <v>10.5</v>
      </c>
      <c r="AB75" s="78" t="str">
        <f aca="false">IF(OR(Calculator!$E$11&lt;&gt;"YES",Calculator!$B$32&lt;Calculator!$G$11),"—",ROUND(MAX((50*POWER(80,POWER(COS(PI()*MOD(Calculator!$B$32/Calculator!$F$11,1)),2)))/$C75,$C75/(50*POWER(80,POWER(COS(PI()*MOD(Calculator!$B$32/Calculator!$F$11,1)),2)))),2))</f>
        <v>—</v>
      </c>
      <c r="AC75" s="78" t="str">
        <f aca="false">IF(OR(Calculator!$E$12&lt;&gt;"YES",Calculator!$B$32&lt;Calculator!$G$12),"—",ROUND(MAX((50*POWER(80,POWER(COS(PI()*MOD(Calculator!$B$32/Calculator!$F$12,1)),2)))/$C75,$C75/(50*POWER(80,POWER(COS(PI()*MOD(Calculator!$B$32/Calculator!$F$12,1)),2)))),2))</f>
        <v>—</v>
      </c>
      <c r="AD75" s="78" t="str">
        <f aca="false">IF(OR(Calculator!$E$13&lt;&gt;"YES",Calculator!$B$32&lt;Calculator!$G$13),"—",ROUND(MAX((50*POWER(80,POWER(COS(PI()*MOD(Calculator!$B$32/Calculator!$F$13,1)),2)))/$C75,$C75/(50*POWER(80,POWER(COS(PI()*MOD(Calculator!$B$32/Calculator!$F$13,1)),2)))),2))</f>
        <v>—</v>
      </c>
      <c r="AE75" s="78" t="n">
        <f aca="false">IF(OR(Calculator!$E$14&lt;&gt;"YES",Calculator!$B$32&lt;Calculator!$G$14),"—",ROUND(MAX((50*POWER(80,POWER(COS(PI()*MOD(Calculator!$B$32/Calculator!$F$14,1)),2)))/$C75,$C75/(50*POWER(80,POWER(COS(PI()*MOD(Calculator!$B$32/Calculator!$F$14,1)),2)))),2))</f>
        <v>12.56</v>
      </c>
      <c r="AF75" s="78" t="n">
        <f aca="false">IF(OR(Calculator!$E$15&lt;&gt;"YES",Calculator!$B$32&lt;Calculator!$G$15),"—",ROUND(MAX((50*POWER(80,POWER(COS(PI()*MOD(Calculator!$B$32/Calculator!$F$15,1)),2)))/$C75,$C75/(50*POWER(80,POWER(COS(PI()*MOD(Calculator!$B$32/Calculator!$F$15,1)),2)))),2))</f>
        <v>8.12</v>
      </c>
      <c r="AG75" s="78" t="n">
        <f aca="false">IF(OR(Calculator!$E$16&lt;&gt;"YES",Calculator!$B$32&lt;Calculator!$G$16),"—",ROUND(MAX((50*POWER(80,POWER(COS(PI()*MOD(Calculator!$B$32/Calculator!$F$16,1)),2)))/$C75,$C75/(50*POWER(80,POWER(COS(PI()*MOD(Calculator!$B$32/Calculator!$F$16,1)),2)))),2))</f>
        <v>27.42</v>
      </c>
      <c r="AH75" s="78" t="n">
        <f aca="false">IF(OR(Calculator!$E$17&lt;&gt;"YES",Calculator!$B$32&lt;Calculator!$G$17),"—",ROUND(MAX((50*POWER(80,POWER(COS(PI()*MOD(Calculator!$B$32/Calculator!$F$17,1)),2)))/$C75,$C75/(50*POWER(80,POWER(COS(PI()*MOD(Calculator!$B$32/Calculator!$F$17,1)),2)))),2))</f>
        <v>1.07</v>
      </c>
      <c r="AI75" s="78" t="n">
        <f aca="false">IF(OR(Calculator!$E$18&lt;&gt;"YES",Calculator!$B$32&lt;Calculator!$G$18),"—",ROUND(MAX((50*POWER(80,POWER(COS(PI()*MOD(Calculator!$B$32/Calculator!$F$18,1)),2)))/$C75,$C75/(50*POWER(80,POWER(COS(PI()*MOD(Calculator!$B$32/Calculator!$F$18,1)),2)))),2))</f>
        <v>1.16</v>
      </c>
      <c r="AJ75" s="78" t="n">
        <f aca="false">IF(OR(Calculator!$E$19&lt;&gt;"YES",Calculator!$B$32&lt;Calculator!$G$19),"—",ROUND(MAX((50*POWER(80,POWER(COS(PI()*MOD(Calculator!$B$32/Calculator!$F$19,1)),2)))/$C75,$C75/(50*POWER(80,POWER(COS(PI()*MOD(Calculator!$B$32/Calculator!$F$19,1)),2)))),2))</f>
        <v>1.22</v>
      </c>
      <c r="AK75" s="78" t="n">
        <f aca="false">IF(OR(Calculator!$E$20&lt;&gt;"YES",Calculator!$B$32&lt;Calculator!$G$20),"—",ROUND(MAX((50*POWER(80,POWER(COS(PI()*MOD(Calculator!$B$32/Calculator!$F$20,1)),2)))/$C75,$C75/(50*POWER(80,POWER(COS(PI()*MOD(Calculator!$B$32/Calculator!$F$20,1)),2)))),2))</f>
        <v>21.56</v>
      </c>
      <c r="AL75" s="78" t="str">
        <f aca="false">IF(OR(Calculator!$E$21&lt;&gt;"YES",Calculator!$B$32&lt;Calculator!$G$21),"—",ROUND(MAX((50*POWER(80,POWER(COS(PI()*MOD(Calculator!$B$32/Calculator!$F$21,1)),2)))/$C75,$C75/(50*POWER(80,POWER(COS(PI()*MOD(Calculator!$B$32/Calculator!$F$21,1)),2)))),2))</f>
        <v>—</v>
      </c>
      <c r="AM75" s="101" t="n">
        <f aca="false">IFERROR(ROUND((IF(ISNUMBER(AB75),AB75,0)+IF(ISNUMBER(AC75),AC75,0)+IF(ISNUMBER(AD75),AD75,0)+IF(ISNUMBER(AE75),AE75,0)+IF(ISNUMBER(AF75),AF75,0)+IF(ISNUMBER(AG75),AG75,0)+IF(ISNUMBER(AH75),AH75,0)+IF(ISNUMBER(AI75),AI75,0)+IF(ISNUMBER(AJ75),AJ75,0)+IF(ISNUMBER(AK75),AK75,0)+IF(ISNUMBER(AL75),AL75,0))/(IF(ISNUMBER(AB75),1,0)+IF(ISNUMBER(AC75),1,0)+IF(ISNUMBER(AD75),1,0)+IF(ISNUMBER(AE75),1,0)+IF(ISNUMBER(AF75),1,0)+IF(ISNUMBER(AG75),1,0)+IF(ISNUMBER(AH75),1,0)+IF(ISNUMBER(AI75),1,0)+IF(ISNUMBER(AJ75),1,0)+IF(ISNUMBER(AK75),1,0)+IF(ISNUMBER(AL75),1,0)),2),"")</f>
        <v>10.44</v>
      </c>
      <c r="AN75" s="102" t="str">
        <f aca="false">IF(OR(Calculator!$E$11&lt;&gt;"YES",Calculator!$B$33&lt;Calculator!$G$11),"—",ROUND(MAX((50*POWER(80,POWER(COS(PI()*MOD(Calculator!$B$33/Calculator!$F$11,1)),2)))/$C75,$C75/(50*POWER(80,POWER(COS(PI()*MOD(Calculator!$B$33/Calculator!$F$11,1)),2)))),2))</f>
        <v>—</v>
      </c>
      <c r="AO75" s="102" t="str">
        <f aca="false">IF(OR(Calculator!$E$12&lt;&gt;"YES",Calculator!$B$33&lt;Calculator!$G$12),"—",ROUND(MAX((50*POWER(80,POWER(COS(PI()*MOD(Calculator!$B$33/Calculator!$F$12,1)),2)))/$C75,$C75/(50*POWER(80,POWER(COS(PI()*MOD(Calculator!$B$33/Calculator!$F$12,1)),2)))),2))</f>
        <v>—</v>
      </c>
      <c r="AP75" s="102" t="str">
        <f aca="false">IF(OR(Calculator!$E$13&lt;&gt;"YES",Calculator!$B$33&lt;Calculator!$G$13),"—",ROUND(MAX((50*POWER(80,POWER(COS(PI()*MOD(Calculator!$B$33/Calculator!$F$13,1)),2)))/$C75,$C75/(50*POWER(80,POWER(COS(PI()*MOD(Calculator!$B$33/Calculator!$F$13,1)),2)))),2))</f>
        <v>—</v>
      </c>
      <c r="AQ75" s="102" t="n">
        <f aca="false">IF(OR(Calculator!$E$14&lt;&gt;"YES",Calculator!$B$33&lt;Calculator!$G$14),"—",ROUND(MAX((50*POWER(80,POWER(COS(PI()*MOD(Calculator!$B$33/Calculator!$F$14,1)),2)))/$C75,$C75/(50*POWER(80,POWER(COS(PI()*MOD(Calculator!$B$33/Calculator!$F$14,1)),2)))),2))</f>
        <v>1.27</v>
      </c>
      <c r="AR75" s="102" t="n">
        <f aca="false">IF(OR(Calculator!$E$15&lt;&gt;"YES",Calculator!$B$33&lt;Calculator!$G$15),"—",ROUND(MAX((50*POWER(80,POWER(COS(PI()*MOD(Calculator!$B$33/Calculator!$F$15,1)),2)))/$C75,$C75/(50*POWER(80,POWER(COS(PI()*MOD(Calculator!$B$33/Calculator!$F$15,1)),2)))),2))</f>
        <v>7.32</v>
      </c>
      <c r="AS75" s="102" t="n">
        <f aca="false">IF(OR(Calculator!$E$16&lt;&gt;"YES",Calculator!$B$33&lt;Calculator!$G$16),"—",ROUND(MAX((50*POWER(80,POWER(COS(PI()*MOD(Calculator!$B$33/Calculator!$F$16,1)),2)))/$C75,$C75/(50*POWER(80,POWER(COS(PI()*MOD(Calculator!$B$33/Calculator!$F$16,1)),2)))),2))</f>
        <v>2.68</v>
      </c>
      <c r="AT75" s="102" t="n">
        <f aca="false">IF(OR(Calculator!$E$17&lt;&gt;"YES",Calculator!$B$33&lt;Calculator!$G$17),"—",ROUND(MAX((50*POWER(80,POWER(COS(PI()*MOD(Calculator!$B$33/Calculator!$F$17,1)),2)))/$C75,$C75/(50*POWER(80,POWER(COS(PI()*MOD(Calculator!$B$33/Calculator!$F$17,1)),2)))),2))</f>
        <v>8.5</v>
      </c>
      <c r="AU75" s="102" t="n">
        <f aca="false">IF(OR(Calculator!$E$18&lt;&gt;"YES",Calculator!$B$33&lt;Calculator!$G$18),"—",ROUND(MAX((50*POWER(80,POWER(COS(PI()*MOD(Calculator!$B$33/Calculator!$F$18,1)),2)))/$C75,$C75/(50*POWER(80,POWER(COS(PI()*MOD(Calculator!$B$33/Calculator!$F$18,1)),2)))),2))</f>
        <v>11.5</v>
      </c>
      <c r="AV75" s="102" t="n">
        <f aca="false">IF(OR(Calculator!$E$19&lt;&gt;"YES",Calculator!$B$33&lt;Calculator!$G$19),"—",ROUND(MAX((50*POWER(80,POWER(COS(PI()*MOD(Calculator!$B$33/Calculator!$F$19,1)),2)))/$C75,$C75/(50*POWER(80,POWER(COS(PI()*MOD(Calculator!$B$33/Calculator!$F$19,1)),2)))),2))</f>
        <v>1.4</v>
      </c>
      <c r="AW75" s="102" t="n">
        <f aca="false">IF(OR(Calculator!$E$20&lt;&gt;"YES",Calculator!$B$33&lt;Calculator!$G$20),"—",ROUND(MAX((50*POWER(80,POWER(COS(PI()*MOD(Calculator!$B$33/Calculator!$F$20,1)),2)))/$C75,$C75/(50*POWER(80,POWER(COS(PI()*MOD(Calculator!$B$33/Calculator!$F$20,1)),2)))),2))</f>
        <v>17.54</v>
      </c>
      <c r="AX75" s="102" t="str">
        <f aca="false">IF(OR(Calculator!$E$21&lt;&gt;"YES",Calculator!$B$33&lt;Calculator!$G$21),"—",ROUND(MAX((50*POWER(80,POWER(COS(PI()*MOD(Calculator!$B$33/Calculator!$F$21,1)),2)))/$C75,$C75/(50*POWER(80,POWER(COS(PI()*MOD(Calculator!$B$33/Calculator!$F$21,1)),2)))),2))</f>
        <v>—</v>
      </c>
      <c r="AY75" s="101" t="n">
        <f aca="false">IFERROR(ROUND((IF(ISNUMBER(AN75),AN75,0)+IF(ISNUMBER(AO75),AO75,0)+IF(ISNUMBER(AP75),AP75,0)+IF(ISNUMBER(AQ75),AQ75,0)+IF(ISNUMBER(AR75),AR75,0)+IF(ISNUMBER(AS75),AS75,0)+IF(ISNUMBER(AT75),AT75,0)+IF(ISNUMBER(AU75),AU75,0)+IF(ISNUMBER(AV75),AV75,0)+IF(ISNUMBER(AW75),AW75,0)+IF(ISNUMBER(AX75),AX75,0))/(IF(ISNUMBER(AN75),1,0)+IF(ISNUMBER(AO75),1,0)+IF(ISNUMBER(AP75),1,0)+IF(ISNUMBER(AQ75),1,0)+IF(ISNUMBER(AR75),1,0)+IF(ISNUMBER(AS75),1,0)+IF(ISNUMBER(AT75),1,0)+IF(ISNUMBER(AU75),1,0)+IF(ISNUMBER(AV75),1,0)+IF(ISNUMBER(AW75),1,0)+IF(ISNUMBER(AX75),1,0)),2),"")</f>
        <v>7.17</v>
      </c>
      <c r="AZ75" s="102" t="str">
        <f aca="false">IF(OR(Calculator!$E$11&lt;&gt;"YES",Calculator!$B$34&lt;Calculator!$G$11),"—",ROUND(MAX((50*POWER(80,POWER(COS(PI()*MOD(Calculator!$B$34/Calculator!$F$11,1)),2)))/$C75,$C75/(50*POWER(80,POWER(COS(PI()*MOD(Calculator!$B$34/Calculator!$F$11,1)),2)))),2))</f>
        <v>—</v>
      </c>
      <c r="BA75" s="102" t="str">
        <f aca="false">IF(OR(Calculator!$E$12&lt;&gt;"YES",Calculator!$B$34&lt;Calculator!$G$12),"—",ROUND(MAX((50*POWER(80,POWER(COS(PI()*MOD(Calculator!$B$34/Calculator!$F$12,1)),2)))/$C75,$C75/(50*POWER(80,POWER(COS(PI()*MOD(Calculator!$B$34/Calculator!$F$12,1)),2)))),2))</f>
        <v>—</v>
      </c>
      <c r="BB75" s="102" t="str">
        <f aca="false">IF(OR(Calculator!$E$13&lt;&gt;"YES",Calculator!$B$34&lt;Calculator!$G$13),"—",ROUND(MAX((50*POWER(80,POWER(COS(PI()*MOD(Calculator!$B$34/Calculator!$F$13,1)),2)))/$C75,$C75/(50*POWER(80,POWER(COS(PI()*MOD(Calculator!$B$34/Calculator!$F$13,1)),2)))),2))</f>
        <v>—</v>
      </c>
      <c r="BC75" s="102" t="n">
        <f aca="false">IF(OR(Calculator!$E$14&lt;&gt;"YES",Calculator!$B$34&lt;Calculator!$G$14),"—",ROUND(MAX((50*POWER(80,POWER(COS(PI()*MOD(Calculator!$B$34/Calculator!$F$14,1)),2)))/$C75,$C75/(50*POWER(80,POWER(COS(PI()*MOD(Calculator!$B$34/Calculator!$F$14,1)),2)))),2))</f>
        <v>1.29</v>
      </c>
      <c r="BD75" s="102" t="n">
        <f aca="false">IF(OR(Calculator!$E$15&lt;&gt;"YES",Calculator!$B$34&lt;Calculator!$G$15),"—",ROUND(MAX((50*POWER(80,POWER(COS(PI()*MOD(Calculator!$B$34/Calculator!$F$15,1)),2)))/$C75,$C75/(50*POWER(80,POWER(COS(PI()*MOD(Calculator!$B$34/Calculator!$F$15,1)),2)))),2))</f>
        <v>9.46</v>
      </c>
      <c r="BE75" s="102" t="n">
        <f aca="false">IF(OR(Calculator!$E$16&lt;&gt;"YES",Calculator!$B$34&lt;Calculator!$G$16),"—",ROUND(MAX((50*POWER(80,POWER(COS(PI()*MOD(Calculator!$B$34/Calculator!$F$16,1)),2)))/$C75,$C75/(50*POWER(80,POWER(COS(PI()*MOD(Calculator!$B$34/Calculator!$F$16,1)),2)))),2))</f>
        <v>3.19</v>
      </c>
      <c r="BF75" s="102" t="n">
        <f aca="false">IF(OR(Calculator!$E$17&lt;&gt;"YES",Calculator!$B$34&lt;Calculator!$G$17),"—",ROUND(MAX((50*POWER(80,POWER(COS(PI()*MOD(Calculator!$B$34/Calculator!$F$17,1)),2)))/$C75,$C75/(50*POWER(80,POWER(COS(PI()*MOD(Calculator!$B$34/Calculator!$F$17,1)),2)))),2))</f>
        <v>1.64</v>
      </c>
      <c r="BG75" s="102" t="n">
        <f aca="false">IF(OR(Calculator!$E$18&lt;&gt;"YES",Calculator!$B$34&lt;Calculator!$G$18),"—",ROUND(MAX((50*POWER(80,POWER(COS(PI()*MOD(Calculator!$B$34/Calculator!$F$18,1)),2)))/$C75,$C75/(50*POWER(80,POWER(COS(PI()*MOD(Calculator!$B$34/Calculator!$F$18,1)),2)))),2))</f>
        <v>15.55</v>
      </c>
      <c r="BH75" s="102" t="n">
        <f aca="false">IF(OR(Calculator!$E$19&lt;&gt;"YES",Calculator!$B$34&lt;Calculator!$G$19),"—",ROUND(MAX((50*POWER(80,POWER(COS(PI()*MOD(Calculator!$B$34/Calculator!$F$19,1)),2)))/$C75,$C75/(50*POWER(80,POWER(COS(PI()*MOD(Calculator!$B$34/Calculator!$F$19,1)),2)))),2))</f>
        <v>17.3</v>
      </c>
      <c r="BI75" s="102" t="n">
        <f aca="false">IF(OR(Calculator!$E$20&lt;&gt;"YES",Calculator!$B$34&lt;Calculator!$G$20),"—",ROUND(MAX((50*POWER(80,POWER(COS(PI()*MOD(Calculator!$B$34/Calculator!$F$20,1)),2)))/$C75,$C75/(50*POWER(80,POWER(COS(PI()*MOD(Calculator!$B$34/Calculator!$F$20,1)),2)))),2))</f>
        <v>10.32</v>
      </c>
      <c r="BJ75" s="102" t="str">
        <f aca="false">IF(OR(Calculator!$E$21&lt;&gt;"YES",Calculator!$B$34&lt;Calculator!$G$21),"—",ROUND(MAX((50*POWER(80,POWER(COS(PI()*MOD(Calculator!$B$34/Calculator!$F$21,1)),2)))/$C75,$C75/(50*POWER(80,POWER(COS(PI()*MOD(Calculator!$B$34/Calculator!$F$21,1)),2)))),2))</f>
        <v>—</v>
      </c>
      <c r="BK75" s="101" t="n">
        <f aca="false">IFERROR(ROUND((IF(ISNUMBER(AZ75),AZ75,0)+IF(ISNUMBER(BA75),BA75,0)+IF(ISNUMBER(BB75),BB75,0)+IF(ISNUMBER(BC75),BC75,0)+IF(ISNUMBER(BD75),BD75,0)+IF(ISNUMBER(BE75),BE75,0)+IF(ISNUMBER(BF75),BF75,0)+IF(ISNUMBER(BG75),BG75,0)+IF(ISNUMBER(BH75),BH75,0)+IF(ISNUMBER(BI75),BI75,0)+IF(ISNUMBER(BJ75),BJ75,0))/(IF(ISNUMBER(AZ75),1,0)+IF(ISNUMBER(BA75),1,0)+IF(ISNUMBER(BB75),1,0)+IF(ISNUMBER(BC75),1,0)+IF(ISNUMBER(BD75),1,0)+IF(ISNUMBER(BE75),1,0)+IF(ISNUMBER(BF75),1,0)+IF(ISNUMBER(BG75),1,0)+IF(ISNUMBER(BH75),1,0)+IF(ISNUMBER(BI75),1,0)+IF(ISNUMBER(BJ75),1,0)),2),"")</f>
        <v>8.39</v>
      </c>
    </row>
    <row r="76" customFormat="false" ht="15" hidden="false" customHeight="false" outlineLevel="0" collapsed="false">
      <c r="A76" s="103" t="s">
        <v>127</v>
      </c>
      <c r="B76" s="103" t="s">
        <v>86</v>
      </c>
      <c r="C76" s="104" t="n">
        <v>2200</v>
      </c>
      <c r="D76" s="105" t="str">
        <f aca="false">IF(OR(Calculator!$E$11&lt;&gt;"YES",Calculator!$B$30&lt;Calculator!$G$11),"—",ROUND(MAX((50*POWER(80,POWER(COS(PI()*MOD(Calculator!$B$30/Calculator!$F$11,1)),2)))/$C76,$C76/(50*POWER(80,POWER(COS(PI()*MOD(Calculator!$B$30/Calculator!$F$11,1)),2)))),2))</f>
        <v>—</v>
      </c>
      <c r="E76" s="105" t="str">
        <f aca="false">IF(OR(Calculator!$E$12&lt;&gt;"YES",Calculator!$B$30&lt;Calculator!$G$12),"—",ROUND(MAX((50*POWER(80,POWER(COS(PI()*MOD(Calculator!$B$30/Calculator!$F$12,1)),2)))/$C76,$C76/(50*POWER(80,POWER(COS(PI()*MOD(Calculator!$B$30/Calculator!$F$12,1)),2)))),2))</f>
        <v>—</v>
      </c>
      <c r="F76" s="105" t="str">
        <f aca="false">IF(OR(Calculator!$E$13&lt;&gt;"YES",Calculator!$B$30&lt;Calculator!$G$13),"—",ROUND(MAX((50*POWER(80,POWER(COS(PI()*MOD(Calculator!$B$30/Calculator!$F$13,1)),2)))/$C76,$C76/(50*POWER(80,POWER(COS(PI()*MOD(Calculator!$B$30/Calculator!$F$13,1)),2)))),2))</f>
        <v>—</v>
      </c>
      <c r="G76" s="105" t="n">
        <f aca="false">IF(OR(Calculator!$E$14&lt;&gt;"YES",Calculator!$B$30&lt;Calculator!$G$14),"—",ROUND(MAX((50*POWER(80,POWER(COS(PI()*MOD(Calculator!$B$30/Calculator!$F$14,1)),2)))/$C76,$C76/(50*POWER(80,POWER(COS(PI()*MOD(Calculator!$B$30/Calculator!$F$14,1)),2)))),2))</f>
        <v>19.88</v>
      </c>
      <c r="H76" s="105" t="n">
        <f aca="false">IF(OR(Calculator!$E$15&lt;&gt;"YES",Calculator!$B$30&lt;Calculator!$G$15),"—",ROUND(MAX((50*POWER(80,POWER(COS(PI()*MOD(Calculator!$B$30/Calculator!$F$15,1)),2)))/$C76,$C76/(50*POWER(80,POWER(COS(PI()*MOD(Calculator!$B$30/Calculator!$F$15,1)),2)))),2))</f>
        <v>5.77</v>
      </c>
      <c r="I76" s="105" t="n">
        <f aca="false">IF(OR(Calculator!$E$16&lt;&gt;"YES",Calculator!$B$30&lt;Calculator!$G$16),"—",ROUND(MAX((50*POWER(80,POWER(COS(PI()*MOD(Calculator!$B$30/Calculator!$F$16,1)),2)))/$C76,$C76/(50*POWER(80,POWER(COS(PI()*MOD(Calculator!$B$30/Calculator!$F$16,1)),2)))),2))</f>
        <v>3.94</v>
      </c>
      <c r="J76" s="105" t="n">
        <f aca="false">IF(OR(Calculator!$E$17&lt;&gt;"YES",Calculator!$B$30&lt;Calculator!$G$17),"—",ROUND(MAX((50*POWER(80,POWER(COS(PI()*MOD(Calculator!$B$30/Calculator!$F$17,1)),2)))/$C76,$C76/(50*POWER(80,POWER(COS(PI()*MOD(Calculator!$B$30/Calculator!$F$17,1)),2)))),2))</f>
        <v>11.06</v>
      </c>
      <c r="K76" s="105" t="n">
        <f aca="false">IF(OR(Calculator!$E$18&lt;&gt;"YES",Calculator!$B$30&lt;Calculator!$G$18),"—",ROUND(MAX((50*POWER(80,POWER(COS(PI()*MOD(Calculator!$B$30/Calculator!$F$18,1)),2)))/$C76,$C76/(50*POWER(80,POWER(COS(PI()*MOD(Calculator!$B$30/Calculator!$F$18,1)),2)))),2))</f>
        <v>1.58</v>
      </c>
      <c r="L76" s="105" t="n">
        <f aca="false">IF(OR(Calculator!$E$19&lt;&gt;"YES",Calculator!$B$30&lt;Calculator!$G$19),"—",ROUND(MAX((50*POWER(80,POWER(COS(PI()*MOD(Calculator!$B$30/Calculator!$F$19,1)),2)))/$C76,$C76/(50*POWER(80,POWER(COS(PI()*MOD(Calculator!$B$30/Calculator!$F$19,1)),2)))),2))</f>
        <v>2.8</v>
      </c>
      <c r="M76" s="105" t="n">
        <f aca="false">IF(OR(Calculator!$E$20&lt;&gt;"YES",Calculator!$B$30&lt;Calculator!$G$20),"—",ROUND(MAX((50*POWER(80,POWER(COS(PI()*MOD(Calculator!$B$30/Calculator!$F$20,1)),2)))/$C76,$C76/(50*POWER(80,POWER(COS(PI()*MOD(Calculator!$B$30/Calculator!$F$20,1)),2)))),2))</f>
        <v>17.38</v>
      </c>
      <c r="N76" s="105" t="str">
        <f aca="false">IF(OR(Calculator!$E$21&lt;&gt;"YES",Calculator!$B$30&lt;Calculator!$G$21),"—",ROUND(MAX((50*POWER(80,POWER(COS(PI()*MOD(Calculator!$B$30/Calculator!$F$21,1)),2)))/$C76,$C76/(50*POWER(80,POWER(COS(PI()*MOD(Calculator!$B$30/Calculator!$F$21,1)),2)))),2))</f>
        <v>—</v>
      </c>
      <c r="O76" s="100" t="n">
        <f aca="false">IFERROR(ROUND((IF(ISNUMBER(D76),D76,0)+IF(ISNUMBER(E76),E76,0)+IF(ISNUMBER(F76),F76,0)+IF(ISNUMBER(G76),G76,0)+IF(ISNUMBER(H76),H76,0)+IF(ISNUMBER(I76),I76,0)+IF(ISNUMBER(J76),J76,0)+IF(ISNUMBER(K76),K76,0)+IF(ISNUMBER(L76),L76,0)+IF(ISNUMBER(M76),M76,0)+IF(ISNUMBER(N76),N76,0))/(IF(ISNUMBER(D76),1,0)+IF(ISNUMBER(E76),1,0)+IF(ISNUMBER(F76),1,0)+IF(ISNUMBER(G76),1,0)+IF(ISNUMBER(H76),1,0)+IF(ISNUMBER(I76),1,0)+IF(ISNUMBER(J76),1,0)+IF(ISNUMBER(K76),1,0)+IF(ISNUMBER(L76),1,0)+IF(ISNUMBER(M76),1,0)+IF(ISNUMBER(N76),1,0)),2),"")</f>
        <v>8.92</v>
      </c>
      <c r="P76" s="105" t="str">
        <f aca="false">IF(OR(Calculator!$E$11&lt;&gt;"YES",Calculator!$B$31&lt;Calculator!$G$11),"—",ROUND(MAX((50*POWER(80,POWER(COS(PI()*MOD(Calculator!$B$31/Calculator!$F$11,1)),2)))/$C76,$C76/(50*POWER(80,POWER(COS(PI()*MOD(Calculator!$B$31/Calculator!$F$11,1)),2)))),2))</f>
        <v>—</v>
      </c>
      <c r="Q76" s="105" t="str">
        <f aca="false">IF(OR(Calculator!$E$12&lt;&gt;"YES",Calculator!$B$31&lt;Calculator!$G$12),"—",ROUND(MAX((50*POWER(80,POWER(COS(PI()*MOD(Calculator!$B$31/Calculator!$F$12,1)),2)))/$C76,$C76/(50*POWER(80,POWER(COS(PI()*MOD(Calculator!$B$31/Calculator!$F$12,1)),2)))),2))</f>
        <v>—</v>
      </c>
      <c r="R76" s="105" t="str">
        <f aca="false">IF(OR(Calculator!$E$13&lt;&gt;"YES",Calculator!$B$31&lt;Calculator!$G$13),"—",ROUND(MAX((50*POWER(80,POWER(COS(PI()*MOD(Calculator!$B$31/Calculator!$F$13,1)),2)))/$C76,$C76/(50*POWER(80,POWER(COS(PI()*MOD(Calculator!$B$31/Calculator!$F$13,1)),2)))),2))</f>
        <v>—</v>
      </c>
      <c r="S76" s="105" t="n">
        <f aca="false">IF(OR(Calculator!$E$14&lt;&gt;"YES",Calculator!$B$31&lt;Calculator!$G$14),"—",ROUND(MAX((50*POWER(80,POWER(COS(PI()*MOD(Calculator!$B$31/Calculator!$F$14,1)),2)))/$C76,$C76/(50*POWER(80,POWER(COS(PI()*MOD(Calculator!$B$31/Calculator!$F$14,1)),2)))),2))</f>
        <v>20.35</v>
      </c>
      <c r="T76" s="105" t="n">
        <f aca="false">IF(OR(Calculator!$E$15&lt;&gt;"YES",Calculator!$B$31&lt;Calculator!$G$15),"—",ROUND(MAX((50*POWER(80,POWER(COS(PI()*MOD(Calculator!$B$31/Calculator!$F$15,1)),2)))/$C76,$C76/(50*POWER(80,POWER(COS(PI()*MOD(Calculator!$B$31/Calculator!$F$15,1)),2)))),2))</f>
        <v>12.38</v>
      </c>
      <c r="U76" s="105" t="n">
        <f aca="false">IF(OR(Calculator!$E$16&lt;&gt;"YES",Calculator!$B$31&lt;Calculator!$G$16),"—",ROUND(MAX((50*POWER(80,POWER(COS(PI()*MOD(Calculator!$B$31/Calculator!$F$16,1)),2)))/$C76,$C76/(50*POWER(80,POWER(COS(PI()*MOD(Calculator!$B$31/Calculator!$F$16,1)),2)))),2))</f>
        <v>4.72</v>
      </c>
      <c r="V76" s="105" t="n">
        <f aca="false">IF(OR(Calculator!$E$17&lt;&gt;"YES",Calculator!$B$31&lt;Calculator!$G$17),"—",ROUND(MAX((50*POWER(80,POWER(COS(PI()*MOD(Calculator!$B$31/Calculator!$F$17,1)),2)))/$C76,$C76/(50*POWER(80,POWER(COS(PI()*MOD(Calculator!$B$31/Calculator!$F$17,1)),2)))),2))</f>
        <v>1.36</v>
      </c>
      <c r="W76" s="105" t="n">
        <f aca="false">IF(OR(Calculator!$E$18&lt;&gt;"YES",Calculator!$B$31&lt;Calculator!$G$18),"—",ROUND(MAX((50*POWER(80,POWER(COS(PI()*MOD(Calculator!$B$31/Calculator!$F$18,1)),2)))/$C76,$C76/(50*POWER(80,POWER(COS(PI()*MOD(Calculator!$B$31/Calculator!$F$18,1)),2)))),2))</f>
        <v>1.19</v>
      </c>
      <c r="X76" s="105" t="n">
        <f aca="false">IF(OR(Calculator!$E$19&lt;&gt;"YES",Calculator!$B$31&lt;Calculator!$G$19),"—",ROUND(MAX((50*POWER(80,POWER(COS(PI()*MOD(Calculator!$B$31/Calculator!$F$19,1)),2)))/$C76,$C76/(50*POWER(80,POWER(COS(PI()*MOD(Calculator!$B$31/Calculator!$F$19,1)),2)))),2))</f>
        <v>8.18</v>
      </c>
      <c r="Y76" s="105" t="n">
        <f aca="false">IF(OR(Calculator!$E$20&lt;&gt;"YES",Calculator!$B$31&lt;Calculator!$G$20),"—",ROUND(MAX((50*POWER(80,POWER(COS(PI()*MOD(Calculator!$B$31/Calculator!$F$20,1)),2)))/$C76,$C76/(50*POWER(80,POWER(COS(PI()*MOD(Calculator!$B$31/Calculator!$F$20,1)),2)))),2))</f>
        <v>26.99</v>
      </c>
      <c r="Z76" s="105" t="str">
        <f aca="false">IF(OR(Calculator!$E$21&lt;&gt;"YES",Calculator!$B$31&lt;Calculator!$G$21),"—",ROUND(MAX((50*POWER(80,POWER(COS(PI()*MOD(Calculator!$B$31/Calculator!$F$21,1)),2)))/$C76,$C76/(50*POWER(80,POWER(COS(PI()*MOD(Calculator!$B$31/Calculator!$F$21,1)),2)))),2))</f>
        <v>—</v>
      </c>
      <c r="AA76" s="100" t="n">
        <f aca="false">IFERROR(ROUND((IF(ISNUMBER(P76),P76,0)+IF(ISNUMBER(Q76),Q76,0)+IF(ISNUMBER(R76),R76,0)+IF(ISNUMBER(S76),S76,0)+IF(ISNUMBER(T76),T76,0)+IF(ISNUMBER(U76),U76,0)+IF(ISNUMBER(V76),V76,0)+IF(ISNUMBER(W76),W76,0)+IF(ISNUMBER(X76),X76,0)+IF(ISNUMBER(Y76),Y76,0)+IF(ISNUMBER(Z76),Z76,0))/(IF(ISNUMBER(P76),1,0)+IF(ISNUMBER(Q76),1,0)+IF(ISNUMBER(R76),1,0)+IF(ISNUMBER(S76),1,0)+IF(ISNUMBER(T76),1,0)+IF(ISNUMBER(U76),1,0)+IF(ISNUMBER(V76),1,0)+IF(ISNUMBER(W76),1,0)+IF(ISNUMBER(X76),1,0)+IF(ISNUMBER(Y76),1,0)+IF(ISNUMBER(Z76),1,0)),2),"")</f>
        <v>10.74</v>
      </c>
      <c r="AB76" s="105" t="str">
        <f aca="false">IF(OR(Calculator!$E$11&lt;&gt;"YES",Calculator!$B$32&lt;Calculator!$G$11),"—",ROUND(MAX((50*POWER(80,POWER(COS(PI()*MOD(Calculator!$B$32/Calculator!$F$11,1)),2)))/$C76,$C76/(50*POWER(80,POWER(COS(PI()*MOD(Calculator!$B$32/Calculator!$F$11,1)),2)))),2))</f>
        <v>—</v>
      </c>
      <c r="AC76" s="105" t="str">
        <f aca="false">IF(OR(Calculator!$E$12&lt;&gt;"YES",Calculator!$B$32&lt;Calculator!$G$12),"—",ROUND(MAX((50*POWER(80,POWER(COS(PI()*MOD(Calculator!$B$32/Calculator!$F$12,1)),2)))/$C76,$C76/(50*POWER(80,POWER(COS(PI()*MOD(Calculator!$B$32/Calculator!$F$12,1)),2)))),2))</f>
        <v>—</v>
      </c>
      <c r="AD76" s="105" t="str">
        <f aca="false">IF(OR(Calculator!$E$13&lt;&gt;"YES",Calculator!$B$32&lt;Calculator!$G$13),"—",ROUND(MAX((50*POWER(80,POWER(COS(PI()*MOD(Calculator!$B$32/Calculator!$F$13,1)),2)))/$C76,$C76/(50*POWER(80,POWER(COS(PI()*MOD(Calculator!$B$32/Calculator!$F$13,1)),2)))),2))</f>
        <v>—</v>
      </c>
      <c r="AE76" s="105" t="n">
        <f aca="false">IF(OR(Calculator!$E$14&lt;&gt;"YES",Calculator!$B$32&lt;Calculator!$G$14),"—",ROUND(MAX((50*POWER(80,POWER(COS(PI()*MOD(Calculator!$B$32/Calculator!$F$14,1)),2)))/$C76,$C76/(50*POWER(80,POWER(COS(PI()*MOD(Calculator!$B$32/Calculator!$F$14,1)),2)))),2))</f>
        <v>12.85</v>
      </c>
      <c r="AF76" s="105" t="n">
        <f aca="false">IF(OR(Calculator!$E$15&lt;&gt;"YES",Calculator!$B$32&lt;Calculator!$G$15),"—",ROUND(MAX((50*POWER(80,POWER(COS(PI()*MOD(Calculator!$B$32/Calculator!$F$15,1)),2)))/$C76,$C76/(50*POWER(80,POWER(COS(PI()*MOD(Calculator!$B$32/Calculator!$F$15,1)),2)))),2))</f>
        <v>8.31</v>
      </c>
      <c r="AG76" s="105" t="n">
        <f aca="false">IF(OR(Calculator!$E$16&lt;&gt;"YES",Calculator!$B$32&lt;Calculator!$G$16),"—",ROUND(MAX((50*POWER(80,POWER(COS(PI()*MOD(Calculator!$B$32/Calculator!$F$16,1)),2)))/$C76,$C76/(50*POWER(80,POWER(COS(PI()*MOD(Calculator!$B$32/Calculator!$F$16,1)),2)))),2))</f>
        <v>28.05</v>
      </c>
      <c r="AH76" s="105" t="n">
        <f aca="false">IF(OR(Calculator!$E$17&lt;&gt;"YES",Calculator!$B$32&lt;Calculator!$G$17),"—",ROUND(MAX((50*POWER(80,POWER(COS(PI()*MOD(Calculator!$B$32/Calculator!$F$17,1)),2)))/$C76,$C76/(50*POWER(80,POWER(COS(PI()*MOD(Calculator!$B$32/Calculator!$F$17,1)),2)))),2))</f>
        <v>1.05</v>
      </c>
      <c r="AI76" s="105" t="n">
        <f aca="false">IF(OR(Calculator!$E$18&lt;&gt;"YES",Calculator!$B$32&lt;Calculator!$G$18),"—",ROUND(MAX((50*POWER(80,POWER(COS(PI()*MOD(Calculator!$B$32/Calculator!$F$18,1)),2)))/$C76,$C76/(50*POWER(80,POWER(COS(PI()*MOD(Calculator!$B$32/Calculator!$F$18,1)),2)))),2))</f>
        <v>1.13</v>
      </c>
      <c r="AJ76" s="105" t="n">
        <f aca="false">IF(OR(Calculator!$E$19&lt;&gt;"YES",Calculator!$B$32&lt;Calculator!$G$19),"—",ROUND(MAX((50*POWER(80,POWER(COS(PI()*MOD(Calculator!$B$32/Calculator!$F$19,1)),2)))/$C76,$C76/(50*POWER(80,POWER(COS(PI()*MOD(Calculator!$B$32/Calculator!$F$19,1)),2)))),2))</f>
        <v>1.19</v>
      </c>
      <c r="AK76" s="105" t="n">
        <f aca="false">IF(OR(Calculator!$E$20&lt;&gt;"YES",Calculator!$B$32&lt;Calculator!$G$20),"—",ROUND(MAX((50*POWER(80,POWER(COS(PI()*MOD(Calculator!$B$32/Calculator!$F$20,1)),2)))/$C76,$C76/(50*POWER(80,POWER(COS(PI()*MOD(Calculator!$B$32/Calculator!$F$20,1)),2)))),2))</f>
        <v>22.06</v>
      </c>
      <c r="AL76" s="105" t="str">
        <f aca="false">IF(OR(Calculator!$E$21&lt;&gt;"YES",Calculator!$B$32&lt;Calculator!$G$21),"—",ROUND(MAX((50*POWER(80,POWER(COS(PI()*MOD(Calculator!$B$32/Calculator!$F$21,1)),2)))/$C76,$C76/(50*POWER(80,POWER(COS(PI()*MOD(Calculator!$B$32/Calculator!$F$21,1)),2)))),2))</f>
        <v>—</v>
      </c>
      <c r="AM76" s="101" t="n">
        <f aca="false">IFERROR(ROUND((IF(ISNUMBER(AB76),AB76,0)+IF(ISNUMBER(AC76),AC76,0)+IF(ISNUMBER(AD76),AD76,0)+IF(ISNUMBER(AE76),AE76,0)+IF(ISNUMBER(AF76),AF76,0)+IF(ISNUMBER(AG76),AG76,0)+IF(ISNUMBER(AH76),AH76,0)+IF(ISNUMBER(AI76),AI76,0)+IF(ISNUMBER(AJ76),AJ76,0)+IF(ISNUMBER(AK76),AK76,0)+IF(ISNUMBER(AL76),AL76,0))/(IF(ISNUMBER(AB76),1,0)+IF(ISNUMBER(AC76),1,0)+IF(ISNUMBER(AD76),1,0)+IF(ISNUMBER(AE76),1,0)+IF(ISNUMBER(AF76),1,0)+IF(ISNUMBER(AG76),1,0)+IF(ISNUMBER(AH76),1,0)+IF(ISNUMBER(AI76),1,0)+IF(ISNUMBER(AJ76),1,0)+IF(ISNUMBER(AK76),1,0)+IF(ISNUMBER(AL76),1,0)),2),"")</f>
        <v>10.66</v>
      </c>
      <c r="AN76" s="106" t="str">
        <f aca="false">IF(OR(Calculator!$E$11&lt;&gt;"YES",Calculator!$B$33&lt;Calculator!$G$11),"—",ROUND(MAX((50*POWER(80,POWER(COS(PI()*MOD(Calculator!$B$33/Calculator!$F$11,1)),2)))/$C76,$C76/(50*POWER(80,POWER(COS(PI()*MOD(Calculator!$B$33/Calculator!$F$11,1)),2)))),2))</f>
        <v>—</v>
      </c>
      <c r="AO76" s="106" t="str">
        <f aca="false">IF(OR(Calculator!$E$12&lt;&gt;"YES",Calculator!$B$33&lt;Calculator!$G$12),"—",ROUND(MAX((50*POWER(80,POWER(COS(PI()*MOD(Calculator!$B$33/Calculator!$F$12,1)),2)))/$C76,$C76/(50*POWER(80,POWER(COS(PI()*MOD(Calculator!$B$33/Calculator!$F$12,1)),2)))),2))</f>
        <v>—</v>
      </c>
      <c r="AP76" s="106" t="str">
        <f aca="false">IF(OR(Calculator!$E$13&lt;&gt;"YES",Calculator!$B$33&lt;Calculator!$G$13),"—",ROUND(MAX((50*POWER(80,POWER(COS(PI()*MOD(Calculator!$B$33/Calculator!$F$13,1)),2)))/$C76,$C76/(50*POWER(80,POWER(COS(PI()*MOD(Calculator!$B$33/Calculator!$F$13,1)),2)))),2))</f>
        <v>—</v>
      </c>
      <c r="AQ76" s="106" t="n">
        <f aca="false">IF(OR(Calculator!$E$14&lt;&gt;"YES",Calculator!$B$33&lt;Calculator!$G$14),"—",ROUND(MAX((50*POWER(80,POWER(COS(PI()*MOD(Calculator!$B$33/Calculator!$F$14,1)),2)))/$C76,$C76/(50*POWER(80,POWER(COS(PI()*MOD(Calculator!$B$33/Calculator!$F$14,1)),2)))),2))</f>
        <v>1.24</v>
      </c>
      <c r="AR76" s="106" t="n">
        <f aca="false">IF(OR(Calculator!$E$15&lt;&gt;"YES",Calculator!$B$33&lt;Calculator!$G$15),"—",ROUND(MAX((50*POWER(80,POWER(COS(PI()*MOD(Calculator!$B$33/Calculator!$F$15,1)),2)))/$C76,$C76/(50*POWER(80,POWER(COS(PI()*MOD(Calculator!$B$33/Calculator!$F$15,1)),2)))),2))</f>
        <v>7.49</v>
      </c>
      <c r="AS76" s="106" t="n">
        <f aca="false">IF(OR(Calculator!$E$16&lt;&gt;"YES",Calculator!$B$33&lt;Calculator!$G$16),"—",ROUND(MAX((50*POWER(80,POWER(COS(PI()*MOD(Calculator!$B$33/Calculator!$F$16,1)),2)))/$C76,$C76/(50*POWER(80,POWER(COS(PI()*MOD(Calculator!$B$33/Calculator!$F$16,1)),2)))),2))</f>
        <v>2.74</v>
      </c>
      <c r="AT76" s="106" t="n">
        <f aca="false">IF(OR(Calculator!$E$17&lt;&gt;"YES",Calculator!$B$33&lt;Calculator!$G$17),"—",ROUND(MAX((50*POWER(80,POWER(COS(PI()*MOD(Calculator!$B$33/Calculator!$F$17,1)),2)))/$C76,$C76/(50*POWER(80,POWER(COS(PI()*MOD(Calculator!$B$33/Calculator!$F$17,1)),2)))),2))</f>
        <v>8.69</v>
      </c>
      <c r="AU76" s="106" t="n">
        <f aca="false">IF(OR(Calculator!$E$18&lt;&gt;"YES",Calculator!$B$33&lt;Calculator!$G$18),"—",ROUND(MAX((50*POWER(80,POWER(COS(PI()*MOD(Calculator!$B$33/Calculator!$F$18,1)),2)))/$C76,$C76/(50*POWER(80,POWER(COS(PI()*MOD(Calculator!$B$33/Calculator!$F$18,1)),2)))),2))</f>
        <v>11.76</v>
      </c>
      <c r="AV76" s="106" t="n">
        <f aca="false">IF(OR(Calculator!$E$19&lt;&gt;"YES",Calculator!$B$33&lt;Calculator!$G$19),"—",ROUND(MAX((50*POWER(80,POWER(COS(PI()*MOD(Calculator!$B$33/Calculator!$F$19,1)),2)))/$C76,$C76/(50*POWER(80,POWER(COS(PI()*MOD(Calculator!$B$33/Calculator!$F$19,1)),2)))),2))</f>
        <v>1.43</v>
      </c>
      <c r="AW76" s="106" t="n">
        <f aca="false">IF(OR(Calculator!$E$20&lt;&gt;"YES",Calculator!$B$33&lt;Calculator!$G$20),"—",ROUND(MAX((50*POWER(80,POWER(COS(PI()*MOD(Calculator!$B$33/Calculator!$F$20,1)),2)))/$C76,$C76/(50*POWER(80,POWER(COS(PI()*MOD(Calculator!$B$33/Calculator!$F$20,1)),2)))),2))</f>
        <v>17.95</v>
      </c>
      <c r="AX76" s="106" t="str">
        <f aca="false">IF(OR(Calculator!$E$21&lt;&gt;"YES",Calculator!$B$33&lt;Calculator!$G$21),"—",ROUND(MAX((50*POWER(80,POWER(COS(PI()*MOD(Calculator!$B$33/Calculator!$F$21,1)),2)))/$C76,$C76/(50*POWER(80,POWER(COS(PI()*MOD(Calculator!$B$33/Calculator!$F$21,1)),2)))),2))</f>
        <v>—</v>
      </c>
      <c r="AY76" s="101" t="n">
        <f aca="false">IFERROR(ROUND((IF(ISNUMBER(AN76),AN76,0)+IF(ISNUMBER(AO76),AO76,0)+IF(ISNUMBER(AP76),AP76,0)+IF(ISNUMBER(AQ76),AQ76,0)+IF(ISNUMBER(AR76),AR76,0)+IF(ISNUMBER(AS76),AS76,0)+IF(ISNUMBER(AT76),AT76,0)+IF(ISNUMBER(AU76),AU76,0)+IF(ISNUMBER(AV76),AV76,0)+IF(ISNUMBER(AW76),AW76,0)+IF(ISNUMBER(AX76),AX76,0))/(IF(ISNUMBER(AN76),1,0)+IF(ISNUMBER(AO76),1,0)+IF(ISNUMBER(AP76),1,0)+IF(ISNUMBER(AQ76),1,0)+IF(ISNUMBER(AR76),1,0)+IF(ISNUMBER(AS76),1,0)+IF(ISNUMBER(AT76),1,0)+IF(ISNUMBER(AU76),1,0)+IF(ISNUMBER(AV76),1,0)+IF(ISNUMBER(AW76),1,0)+IF(ISNUMBER(AX76),1,0)),2),"")</f>
        <v>7.33</v>
      </c>
      <c r="AZ76" s="106" t="str">
        <f aca="false">IF(OR(Calculator!$E$11&lt;&gt;"YES",Calculator!$B$34&lt;Calculator!$G$11),"—",ROUND(MAX((50*POWER(80,POWER(COS(PI()*MOD(Calculator!$B$34/Calculator!$F$11,1)),2)))/$C76,$C76/(50*POWER(80,POWER(COS(PI()*MOD(Calculator!$B$34/Calculator!$F$11,1)),2)))),2))</f>
        <v>—</v>
      </c>
      <c r="BA76" s="106" t="str">
        <f aca="false">IF(OR(Calculator!$E$12&lt;&gt;"YES",Calculator!$B$34&lt;Calculator!$G$12),"—",ROUND(MAX((50*POWER(80,POWER(COS(PI()*MOD(Calculator!$B$34/Calculator!$F$12,1)),2)))/$C76,$C76/(50*POWER(80,POWER(COS(PI()*MOD(Calculator!$B$34/Calculator!$F$12,1)),2)))),2))</f>
        <v>—</v>
      </c>
      <c r="BB76" s="106" t="str">
        <f aca="false">IF(OR(Calculator!$E$13&lt;&gt;"YES",Calculator!$B$34&lt;Calculator!$G$13),"—",ROUND(MAX((50*POWER(80,POWER(COS(PI()*MOD(Calculator!$B$34/Calculator!$F$13,1)),2)))/$C76,$C76/(50*POWER(80,POWER(COS(PI()*MOD(Calculator!$B$34/Calculator!$F$13,1)),2)))),2))</f>
        <v>—</v>
      </c>
      <c r="BC76" s="106" t="n">
        <f aca="false">IF(OR(Calculator!$E$14&lt;&gt;"YES",Calculator!$B$34&lt;Calculator!$G$14),"—",ROUND(MAX((50*POWER(80,POWER(COS(PI()*MOD(Calculator!$B$34/Calculator!$F$14,1)),2)))/$C76,$C76/(50*POWER(80,POWER(COS(PI()*MOD(Calculator!$B$34/Calculator!$F$14,1)),2)))),2))</f>
        <v>1.26</v>
      </c>
      <c r="BD76" s="106" t="n">
        <f aca="false">IF(OR(Calculator!$E$15&lt;&gt;"YES",Calculator!$B$34&lt;Calculator!$G$15),"—",ROUND(MAX((50*POWER(80,POWER(COS(PI()*MOD(Calculator!$B$34/Calculator!$F$15,1)),2)))/$C76,$C76/(50*POWER(80,POWER(COS(PI()*MOD(Calculator!$B$34/Calculator!$F$15,1)),2)))),2))</f>
        <v>9.68</v>
      </c>
      <c r="BE76" s="106" t="n">
        <f aca="false">IF(OR(Calculator!$E$16&lt;&gt;"YES",Calculator!$B$34&lt;Calculator!$G$16),"—",ROUND(MAX((50*POWER(80,POWER(COS(PI()*MOD(Calculator!$B$34/Calculator!$F$16,1)),2)))/$C76,$C76/(50*POWER(80,POWER(COS(PI()*MOD(Calculator!$B$34/Calculator!$F$16,1)),2)))),2))</f>
        <v>3.26</v>
      </c>
      <c r="BF76" s="106" t="n">
        <f aca="false">IF(OR(Calculator!$E$17&lt;&gt;"YES",Calculator!$B$34&lt;Calculator!$G$17),"—",ROUND(MAX((50*POWER(80,POWER(COS(PI()*MOD(Calculator!$B$34/Calculator!$F$17,1)),2)))/$C76,$C76/(50*POWER(80,POWER(COS(PI()*MOD(Calculator!$B$34/Calculator!$F$17,1)),2)))),2))</f>
        <v>1.68</v>
      </c>
      <c r="BG76" s="106" t="n">
        <f aca="false">IF(OR(Calculator!$E$18&lt;&gt;"YES",Calculator!$B$34&lt;Calculator!$G$18),"—",ROUND(MAX((50*POWER(80,POWER(COS(PI()*MOD(Calculator!$B$34/Calculator!$F$18,1)),2)))/$C76,$C76/(50*POWER(80,POWER(COS(PI()*MOD(Calculator!$B$34/Calculator!$F$18,1)),2)))),2))</f>
        <v>15.91</v>
      </c>
      <c r="BH76" s="106" t="n">
        <f aca="false">IF(OR(Calculator!$E$19&lt;&gt;"YES",Calculator!$B$34&lt;Calculator!$G$19),"—",ROUND(MAX((50*POWER(80,POWER(COS(PI()*MOD(Calculator!$B$34/Calculator!$F$19,1)),2)))/$C76,$C76/(50*POWER(80,POWER(COS(PI()*MOD(Calculator!$B$34/Calculator!$F$19,1)),2)))),2))</f>
        <v>17.7</v>
      </c>
      <c r="BI76" s="106" t="n">
        <f aca="false">IF(OR(Calculator!$E$20&lt;&gt;"YES",Calculator!$B$34&lt;Calculator!$G$20),"—",ROUND(MAX((50*POWER(80,POWER(COS(PI()*MOD(Calculator!$B$34/Calculator!$F$20,1)),2)))/$C76,$C76/(50*POWER(80,POWER(COS(PI()*MOD(Calculator!$B$34/Calculator!$F$20,1)),2)))),2))</f>
        <v>10.56</v>
      </c>
      <c r="BJ76" s="106" t="str">
        <f aca="false">IF(OR(Calculator!$E$21&lt;&gt;"YES",Calculator!$B$34&lt;Calculator!$G$21),"—",ROUND(MAX((50*POWER(80,POWER(COS(PI()*MOD(Calculator!$B$34/Calculator!$F$21,1)),2)))/$C76,$C76/(50*POWER(80,POWER(COS(PI()*MOD(Calculator!$B$34/Calculator!$F$21,1)),2)))),2))</f>
        <v>—</v>
      </c>
      <c r="BK76" s="101" t="n">
        <f aca="false">IFERROR(ROUND((IF(ISNUMBER(AZ76),AZ76,0)+IF(ISNUMBER(BA76),BA76,0)+IF(ISNUMBER(BB76),BB76,0)+IF(ISNUMBER(BC76),BC76,0)+IF(ISNUMBER(BD76),BD76,0)+IF(ISNUMBER(BE76),BE76,0)+IF(ISNUMBER(BF76),BF76,0)+IF(ISNUMBER(BG76),BG76,0)+IF(ISNUMBER(BH76),BH76,0)+IF(ISNUMBER(BI76),BI76,0)+IF(ISNUMBER(BJ76),BJ76,0))/(IF(ISNUMBER(AZ76),1,0)+IF(ISNUMBER(BA76),1,0)+IF(ISNUMBER(BB76),1,0)+IF(ISNUMBER(BC76),1,0)+IF(ISNUMBER(BD76),1,0)+IF(ISNUMBER(BE76),1,0)+IF(ISNUMBER(BF76),1,0)+IF(ISNUMBER(BG76),1,0)+IF(ISNUMBER(BH76),1,0)+IF(ISNUMBER(BI76),1,0)+IF(ISNUMBER(BJ76),1,0)),2),"")</f>
        <v>8.58</v>
      </c>
    </row>
    <row r="77" customFormat="false" ht="15" hidden="false" customHeight="false" outlineLevel="0" collapsed="false">
      <c r="A77" s="74" t="s">
        <v>128</v>
      </c>
      <c r="B77" s="74" t="s">
        <v>86</v>
      </c>
      <c r="C77" s="77" t="n">
        <v>2250</v>
      </c>
      <c r="D77" s="78" t="str">
        <f aca="false">IF(OR(Calculator!$E$11&lt;&gt;"YES",Calculator!$B$30&lt;Calculator!$G$11),"—",ROUND(MAX((50*POWER(80,POWER(COS(PI()*MOD(Calculator!$B$30/Calculator!$F$11,1)),2)))/$C77,$C77/(50*POWER(80,POWER(COS(PI()*MOD(Calculator!$B$30/Calculator!$F$11,1)),2)))),2))</f>
        <v>—</v>
      </c>
      <c r="E77" s="78" t="str">
        <f aca="false">IF(OR(Calculator!$E$12&lt;&gt;"YES",Calculator!$B$30&lt;Calculator!$G$12),"—",ROUND(MAX((50*POWER(80,POWER(COS(PI()*MOD(Calculator!$B$30/Calculator!$F$12,1)),2)))/$C77,$C77/(50*POWER(80,POWER(COS(PI()*MOD(Calculator!$B$30/Calculator!$F$12,1)),2)))),2))</f>
        <v>—</v>
      </c>
      <c r="F77" s="78" t="str">
        <f aca="false">IF(OR(Calculator!$E$13&lt;&gt;"YES",Calculator!$B$30&lt;Calculator!$G$13),"—",ROUND(MAX((50*POWER(80,POWER(COS(PI()*MOD(Calculator!$B$30/Calculator!$F$13,1)),2)))/$C77,$C77/(50*POWER(80,POWER(COS(PI()*MOD(Calculator!$B$30/Calculator!$F$13,1)),2)))),2))</f>
        <v>—</v>
      </c>
      <c r="G77" s="78" t="n">
        <f aca="false">IF(OR(Calculator!$E$14&lt;&gt;"YES",Calculator!$B$30&lt;Calculator!$G$14),"—",ROUND(MAX((50*POWER(80,POWER(COS(PI()*MOD(Calculator!$B$30/Calculator!$F$14,1)),2)))/$C77,$C77/(50*POWER(80,POWER(COS(PI()*MOD(Calculator!$B$30/Calculator!$F$14,1)),2)))),2))</f>
        <v>20.33</v>
      </c>
      <c r="H77" s="78" t="n">
        <f aca="false">IF(OR(Calculator!$E$15&lt;&gt;"YES",Calculator!$B$30&lt;Calculator!$G$15),"—",ROUND(MAX((50*POWER(80,POWER(COS(PI()*MOD(Calculator!$B$30/Calculator!$F$15,1)),2)))/$C77,$C77/(50*POWER(80,POWER(COS(PI()*MOD(Calculator!$B$30/Calculator!$F$15,1)),2)))),2))</f>
        <v>5.9</v>
      </c>
      <c r="I77" s="78" t="n">
        <f aca="false">IF(OR(Calculator!$E$16&lt;&gt;"YES",Calculator!$B$30&lt;Calculator!$G$16),"—",ROUND(MAX((50*POWER(80,POWER(COS(PI()*MOD(Calculator!$B$30/Calculator!$F$16,1)),2)))/$C77,$C77/(50*POWER(80,POWER(COS(PI()*MOD(Calculator!$B$30/Calculator!$F$16,1)),2)))),2))</f>
        <v>4.03</v>
      </c>
      <c r="J77" s="78" t="n">
        <f aca="false">IF(OR(Calculator!$E$17&lt;&gt;"YES",Calculator!$B$30&lt;Calculator!$G$17),"—",ROUND(MAX((50*POWER(80,POWER(COS(PI()*MOD(Calculator!$B$30/Calculator!$F$17,1)),2)))/$C77,$C77/(50*POWER(80,POWER(COS(PI()*MOD(Calculator!$B$30/Calculator!$F$17,1)),2)))),2))</f>
        <v>11.31</v>
      </c>
      <c r="K77" s="78" t="n">
        <f aca="false">IF(OR(Calculator!$E$18&lt;&gt;"YES",Calculator!$B$30&lt;Calculator!$G$18),"—",ROUND(MAX((50*POWER(80,POWER(COS(PI()*MOD(Calculator!$B$30/Calculator!$F$18,1)),2)))/$C77,$C77/(50*POWER(80,POWER(COS(PI()*MOD(Calculator!$B$30/Calculator!$F$18,1)),2)))),2))</f>
        <v>1.61</v>
      </c>
      <c r="L77" s="78" t="n">
        <f aca="false">IF(OR(Calculator!$E$19&lt;&gt;"YES",Calculator!$B$30&lt;Calculator!$G$19),"—",ROUND(MAX((50*POWER(80,POWER(COS(PI()*MOD(Calculator!$B$30/Calculator!$F$19,1)),2)))/$C77,$C77/(50*POWER(80,POWER(COS(PI()*MOD(Calculator!$B$30/Calculator!$F$19,1)),2)))),2))</f>
        <v>2.86</v>
      </c>
      <c r="M77" s="78" t="n">
        <f aca="false">IF(OR(Calculator!$E$20&lt;&gt;"YES",Calculator!$B$30&lt;Calculator!$G$20),"—",ROUND(MAX((50*POWER(80,POWER(COS(PI()*MOD(Calculator!$B$30/Calculator!$F$20,1)),2)))/$C77,$C77/(50*POWER(80,POWER(COS(PI()*MOD(Calculator!$B$30/Calculator!$F$20,1)),2)))),2))</f>
        <v>17.77</v>
      </c>
      <c r="N77" s="78" t="str">
        <f aca="false">IF(OR(Calculator!$E$21&lt;&gt;"YES",Calculator!$B$30&lt;Calculator!$G$21),"—",ROUND(MAX((50*POWER(80,POWER(COS(PI()*MOD(Calculator!$B$30/Calculator!$F$21,1)),2)))/$C77,$C77/(50*POWER(80,POWER(COS(PI()*MOD(Calculator!$B$30/Calculator!$F$21,1)),2)))),2))</f>
        <v>—</v>
      </c>
      <c r="O77" s="100" t="n">
        <f aca="false">IFERROR(ROUND((IF(ISNUMBER(D77),D77,0)+IF(ISNUMBER(E77),E77,0)+IF(ISNUMBER(F77),F77,0)+IF(ISNUMBER(G77),G77,0)+IF(ISNUMBER(H77),H77,0)+IF(ISNUMBER(I77),I77,0)+IF(ISNUMBER(J77),J77,0)+IF(ISNUMBER(K77),K77,0)+IF(ISNUMBER(L77),L77,0)+IF(ISNUMBER(M77),M77,0)+IF(ISNUMBER(N77),N77,0))/(IF(ISNUMBER(D77),1,0)+IF(ISNUMBER(E77),1,0)+IF(ISNUMBER(F77),1,0)+IF(ISNUMBER(G77),1,0)+IF(ISNUMBER(H77),1,0)+IF(ISNUMBER(I77),1,0)+IF(ISNUMBER(J77),1,0)+IF(ISNUMBER(K77),1,0)+IF(ISNUMBER(L77),1,0)+IF(ISNUMBER(M77),1,0)+IF(ISNUMBER(N77),1,0)),2),"")</f>
        <v>9.12</v>
      </c>
      <c r="P77" s="78" t="str">
        <f aca="false">IF(OR(Calculator!$E$11&lt;&gt;"YES",Calculator!$B$31&lt;Calculator!$G$11),"—",ROUND(MAX((50*POWER(80,POWER(COS(PI()*MOD(Calculator!$B$31/Calculator!$F$11,1)),2)))/$C77,$C77/(50*POWER(80,POWER(COS(PI()*MOD(Calculator!$B$31/Calculator!$F$11,1)),2)))),2))</f>
        <v>—</v>
      </c>
      <c r="Q77" s="78" t="str">
        <f aca="false">IF(OR(Calculator!$E$12&lt;&gt;"YES",Calculator!$B$31&lt;Calculator!$G$12),"—",ROUND(MAX((50*POWER(80,POWER(COS(PI()*MOD(Calculator!$B$31/Calculator!$F$12,1)),2)))/$C77,$C77/(50*POWER(80,POWER(COS(PI()*MOD(Calculator!$B$31/Calculator!$F$12,1)),2)))),2))</f>
        <v>—</v>
      </c>
      <c r="R77" s="78" t="str">
        <f aca="false">IF(OR(Calculator!$E$13&lt;&gt;"YES",Calculator!$B$31&lt;Calculator!$G$13),"—",ROUND(MAX((50*POWER(80,POWER(COS(PI()*MOD(Calculator!$B$31/Calculator!$F$13,1)),2)))/$C77,$C77/(50*POWER(80,POWER(COS(PI()*MOD(Calculator!$B$31/Calculator!$F$13,1)),2)))),2))</f>
        <v>—</v>
      </c>
      <c r="S77" s="78" t="n">
        <f aca="false">IF(OR(Calculator!$E$14&lt;&gt;"YES",Calculator!$B$31&lt;Calculator!$G$14),"—",ROUND(MAX((50*POWER(80,POWER(COS(PI()*MOD(Calculator!$B$31/Calculator!$F$14,1)),2)))/$C77,$C77/(50*POWER(80,POWER(COS(PI()*MOD(Calculator!$B$31/Calculator!$F$14,1)),2)))),2))</f>
        <v>20.82</v>
      </c>
      <c r="T77" s="78" t="n">
        <f aca="false">IF(OR(Calculator!$E$15&lt;&gt;"YES",Calculator!$B$31&lt;Calculator!$G$15),"—",ROUND(MAX((50*POWER(80,POWER(COS(PI()*MOD(Calculator!$B$31/Calculator!$F$15,1)),2)))/$C77,$C77/(50*POWER(80,POWER(COS(PI()*MOD(Calculator!$B$31/Calculator!$F$15,1)),2)))),2))</f>
        <v>12.67</v>
      </c>
      <c r="U77" s="78" t="n">
        <f aca="false">IF(OR(Calculator!$E$16&lt;&gt;"YES",Calculator!$B$31&lt;Calculator!$G$16),"—",ROUND(MAX((50*POWER(80,POWER(COS(PI()*MOD(Calculator!$B$31/Calculator!$F$16,1)),2)))/$C77,$C77/(50*POWER(80,POWER(COS(PI()*MOD(Calculator!$B$31/Calculator!$F$16,1)),2)))),2))</f>
        <v>4.82</v>
      </c>
      <c r="V77" s="78" t="n">
        <f aca="false">IF(OR(Calculator!$E$17&lt;&gt;"YES",Calculator!$B$31&lt;Calculator!$G$17),"—",ROUND(MAX((50*POWER(80,POWER(COS(PI()*MOD(Calculator!$B$31/Calculator!$F$17,1)),2)))/$C77,$C77/(50*POWER(80,POWER(COS(PI()*MOD(Calculator!$B$31/Calculator!$F$17,1)),2)))),2))</f>
        <v>1.39</v>
      </c>
      <c r="W77" s="78" t="n">
        <f aca="false">IF(OR(Calculator!$E$18&lt;&gt;"YES",Calculator!$B$31&lt;Calculator!$G$18),"—",ROUND(MAX((50*POWER(80,POWER(COS(PI()*MOD(Calculator!$B$31/Calculator!$F$18,1)),2)))/$C77,$C77/(50*POWER(80,POWER(COS(PI()*MOD(Calculator!$B$31/Calculator!$F$18,1)),2)))),2))</f>
        <v>1.22</v>
      </c>
      <c r="X77" s="78" t="n">
        <f aca="false">IF(OR(Calculator!$E$19&lt;&gt;"YES",Calculator!$B$31&lt;Calculator!$G$19),"—",ROUND(MAX((50*POWER(80,POWER(COS(PI()*MOD(Calculator!$B$31/Calculator!$F$19,1)),2)))/$C77,$C77/(50*POWER(80,POWER(COS(PI()*MOD(Calculator!$B$31/Calculator!$F$19,1)),2)))),2))</f>
        <v>8.36</v>
      </c>
      <c r="Y77" s="78" t="n">
        <f aca="false">IF(OR(Calculator!$E$20&lt;&gt;"YES",Calculator!$B$31&lt;Calculator!$G$20),"—",ROUND(MAX((50*POWER(80,POWER(COS(PI()*MOD(Calculator!$B$31/Calculator!$F$20,1)),2)))/$C77,$C77/(50*POWER(80,POWER(COS(PI()*MOD(Calculator!$B$31/Calculator!$F$20,1)),2)))),2))</f>
        <v>27.61</v>
      </c>
      <c r="Z77" s="78" t="str">
        <f aca="false">IF(OR(Calculator!$E$21&lt;&gt;"YES",Calculator!$B$31&lt;Calculator!$G$21),"—",ROUND(MAX((50*POWER(80,POWER(COS(PI()*MOD(Calculator!$B$31/Calculator!$F$21,1)),2)))/$C77,$C77/(50*POWER(80,POWER(COS(PI()*MOD(Calculator!$B$31/Calculator!$F$21,1)),2)))),2))</f>
        <v>—</v>
      </c>
      <c r="AA77" s="100" t="n">
        <f aca="false">IFERROR(ROUND((IF(ISNUMBER(P77),P77,0)+IF(ISNUMBER(Q77),Q77,0)+IF(ISNUMBER(R77),R77,0)+IF(ISNUMBER(S77),S77,0)+IF(ISNUMBER(T77),T77,0)+IF(ISNUMBER(U77),U77,0)+IF(ISNUMBER(V77),V77,0)+IF(ISNUMBER(W77),W77,0)+IF(ISNUMBER(X77),X77,0)+IF(ISNUMBER(Y77),Y77,0)+IF(ISNUMBER(Z77),Z77,0))/(IF(ISNUMBER(P77),1,0)+IF(ISNUMBER(Q77),1,0)+IF(ISNUMBER(R77),1,0)+IF(ISNUMBER(S77),1,0)+IF(ISNUMBER(T77),1,0)+IF(ISNUMBER(U77),1,0)+IF(ISNUMBER(V77),1,0)+IF(ISNUMBER(W77),1,0)+IF(ISNUMBER(X77),1,0)+IF(ISNUMBER(Y77),1,0)+IF(ISNUMBER(Z77),1,0)),2),"")</f>
        <v>10.98</v>
      </c>
      <c r="AB77" s="78" t="str">
        <f aca="false">IF(OR(Calculator!$E$11&lt;&gt;"YES",Calculator!$B$32&lt;Calculator!$G$11),"—",ROUND(MAX((50*POWER(80,POWER(COS(PI()*MOD(Calculator!$B$32/Calculator!$F$11,1)),2)))/$C77,$C77/(50*POWER(80,POWER(COS(PI()*MOD(Calculator!$B$32/Calculator!$F$11,1)),2)))),2))</f>
        <v>—</v>
      </c>
      <c r="AC77" s="78" t="str">
        <f aca="false">IF(OR(Calculator!$E$12&lt;&gt;"YES",Calculator!$B$32&lt;Calculator!$G$12),"—",ROUND(MAX((50*POWER(80,POWER(COS(PI()*MOD(Calculator!$B$32/Calculator!$F$12,1)),2)))/$C77,$C77/(50*POWER(80,POWER(COS(PI()*MOD(Calculator!$B$32/Calculator!$F$12,1)),2)))),2))</f>
        <v>—</v>
      </c>
      <c r="AD77" s="78" t="str">
        <f aca="false">IF(OR(Calculator!$E$13&lt;&gt;"YES",Calculator!$B$32&lt;Calculator!$G$13),"—",ROUND(MAX((50*POWER(80,POWER(COS(PI()*MOD(Calculator!$B$32/Calculator!$F$13,1)),2)))/$C77,$C77/(50*POWER(80,POWER(COS(PI()*MOD(Calculator!$B$32/Calculator!$F$13,1)),2)))),2))</f>
        <v>—</v>
      </c>
      <c r="AE77" s="78" t="n">
        <f aca="false">IF(OR(Calculator!$E$14&lt;&gt;"YES",Calculator!$B$32&lt;Calculator!$G$14),"—",ROUND(MAX((50*POWER(80,POWER(COS(PI()*MOD(Calculator!$B$32/Calculator!$F$14,1)),2)))/$C77,$C77/(50*POWER(80,POWER(COS(PI()*MOD(Calculator!$B$32/Calculator!$F$14,1)),2)))),2))</f>
        <v>13.15</v>
      </c>
      <c r="AF77" s="78" t="n">
        <f aca="false">IF(OR(Calculator!$E$15&lt;&gt;"YES",Calculator!$B$32&lt;Calculator!$G$15),"—",ROUND(MAX((50*POWER(80,POWER(COS(PI()*MOD(Calculator!$B$32/Calculator!$F$15,1)),2)))/$C77,$C77/(50*POWER(80,POWER(COS(PI()*MOD(Calculator!$B$32/Calculator!$F$15,1)),2)))),2))</f>
        <v>8.5</v>
      </c>
      <c r="AG77" s="78" t="n">
        <f aca="false">IF(OR(Calculator!$E$16&lt;&gt;"YES",Calculator!$B$32&lt;Calculator!$G$16),"—",ROUND(MAX((50*POWER(80,POWER(COS(PI()*MOD(Calculator!$B$32/Calculator!$F$16,1)),2)))/$C77,$C77/(50*POWER(80,POWER(COS(PI()*MOD(Calculator!$B$32/Calculator!$F$16,1)),2)))),2))</f>
        <v>28.69</v>
      </c>
      <c r="AH77" s="78" t="n">
        <f aca="false">IF(OR(Calculator!$E$17&lt;&gt;"YES",Calculator!$B$32&lt;Calculator!$G$17),"—",ROUND(MAX((50*POWER(80,POWER(COS(PI()*MOD(Calculator!$B$32/Calculator!$F$17,1)),2)))/$C77,$C77/(50*POWER(80,POWER(COS(PI()*MOD(Calculator!$B$32/Calculator!$F$17,1)),2)))),2))</f>
        <v>1.02</v>
      </c>
      <c r="AI77" s="78" t="n">
        <f aca="false">IF(OR(Calculator!$E$18&lt;&gt;"YES",Calculator!$B$32&lt;Calculator!$G$18),"—",ROUND(MAX((50*POWER(80,POWER(COS(PI()*MOD(Calculator!$B$32/Calculator!$F$18,1)),2)))/$C77,$C77/(50*POWER(80,POWER(COS(PI()*MOD(Calculator!$B$32/Calculator!$F$18,1)),2)))),2))</f>
        <v>1.11</v>
      </c>
      <c r="AJ77" s="78" t="n">
        <f aca="false">IF(OR(Calculator!$E$19&lt;&gt;"YES",Calculator!$B$32&lt;Calculator!$G$19),"—",ROUND(MAX((50*POWER(80,POWER(COS(PI()*MOD(Calculator!$B$32/Calculator!$F$19,1)),2)))/$C77,$C77/(50*POWER(80,POWER(COS(PI()*MOD(Calculator!$B$32/Calculator!$F$19,1)),2)))),2))</f>
        <v>1.17</v>
      </c>
      <c r="AK77" s="78" t="n">
        <f aca="false">IF(OR(Calculator!$E$20&lt;&gt;"YES",Calculator!$B$32&lt;Calculator!$G$20),"—",ROUND(MAX((50*POWER(80,POWER(COS(PI()*MOD(Calculator!$B$32/Calculator!$F$20,1)),2)))/$C77,$C77/(50*POWER(80,POWER(COS(PI()*MOD(Calculator!$B$32/Calculator!$F$20,1)),2)))),2))</f>
        <v>22.56</v>
      </c>
      <c r="AL77" s="78" t="str">
        <f aca="false">IF(OR(Calculator!$E$21&lt;&gt;"YES",Calculator!$B$32&lt;Calculator!$G$21),"—",ROUND(MAX((50*POWER(80,POWER(COS(PI()*MOD(Calculator!$B$32/Calculator!$F$21,1)),2)))/$C77,$C77/(50*POWER(80,POWER(COS(PI()*MOD(Calculator!$B$32/Calculator!$F$21,1)),2)))),2))</f>
        <v>—</v>
      </c>
      <c r="AM77" s="101" t="n">
        <f aca="false">IFERROR(ROUND((IF(ISNUMBER(AB77),AB77,0)+IF(ISNUMBER(AC77),AC77,0)+IF(ISNUMBER(AD77),AD77,0)+IF(ISNUMBER(AE77),AE77,0)+IF(ISNUMBER(AF77),AF77,0)+IF(ISNUMBER(AG77),AG77,0)+IF(ISNUMBER(AH77),AH77,0)+IF(ISNUMBER(AI77),AI77,0)+IF(ISNUMBER(AJ77),AJ77,0)+IF(ISNUMBER(AK77),AK77,0)+IF(ISNUMBER(AL77),AL77,0))/(IF(ISNUMBER(AB77),1,0)+IF(ISNUMBER(AC77),1,0)+IF(ISNUMBER(AD77),1,0)+IF(ISNUMBER(AE77),1,0)+IF(ISNUMBER(AF77),1,0)+IF(ISNUMBER(AG77),1,0)+IF(ISNUMBER(AH77),1,0)+IF(ISNUMBER(AI77),1,0)+IF(ISNUMBER(AJ77),1,0)+IF(ISNUMBER(AK77),1,0)+IF(ISNUMBER(AL77),1,0)),2),"")</f>
        <v>10.89</v>
      </c>
      <c r="AN77" s="102" t="str">
        <f aca="false">IF(OR(Calculator!$E$11&lt;&gt;"YES",Calculator!$B$33&lt;Calculator!$G$11),"—",ROUND(MAX((50*POWER(80,POWER(COS(PI()*MOD(Calculator!$B$33/Calculator!$F$11,1)),2)))/$C77,$C77/(50*POWER(80,POWER(COS(PI()*MOD(Calculator!$B$33/Calculator!$F$11,1)),2)))),2))</f>
        <v>—</v>
      </c>
      <c r="AO77" s="102" t="str">
        <f aca="false">IF(OR(Calculator!$E$12&lt;&gt;"YES",Calculator!$B$33&lt;Calculator!$G$12),"—",ROUND(MAX((50*POWER(80,POWER(COS(PI()*MOD(Calculator!$B$33/Calculator!$F$12,1)),2)))/$C77,$C77/(50*POWER(80,POWER(COS(PI()*MOD(Calculator!$B$33/Calculator!$F$12,1)),2)))),2))</f>
        <v>—</v>
      </c>
      <c r="AP77" s="102" t="str">
        <f aca="false">IF(OR(Calculator!$E$13&lt;&gt;"YES",Calculator!$B$33&lt;Calculator!$G$13),"—",ROUND(MAX((50*POWER(80,POWER(COS(PI()*MOD(Calculator!$B$33/Calculator!$F$13,1)),2)))/$C77,$C77/(50*POWER(80,POWER(COS(PI()*MOD(Calculator!$B$33/Calculator!$F$13,1)),2)))),2))</f>
        <v>—</v>
      </c>
      <c r="AQ77" s="102" t="n">
        <f aca="false">IF(OR(Calculator!$E$14&lt;&gt;"YES",Calculator!$B$33&lt;Calculator!$G$14),"—",ROUND(MAX((50*POWER(80,POWER(COS(PI()*MOD(Calculator!$B$33/Calculator!$F$14,1)),2)))/$C77,$C77/(50*POWER(80,POWER(COS(PI()*MOD(Calculator!$B$33/Calculator!$F$14,1)),2)))),2))</f>
        <v>1.21</v>
      </c>
      <c r="AR77" s="102" t="n">
        <f aca="false">IF(OR(Calculator!$E$15&lt;&gt;"YES",Calculator!$B$33&lt;Calculator!$G$15),"—",ROUND(MAX((50*POWER(80,POWER(COS(PI()*MOD(Calculator!$B$33/Calculator!$F$15,1)),2)))/$C77,$C77/(50*POWER(80,POWER(COS(PI()*MOD(Calculator!$B$33/Calculator!$F$15,1)),2)))),2))</f>
        <v>7.66</v>
      </c>
      <c r="AS77" s="102" t="n">
        <f aca="false">IF(OR(Calculator!$E$16&lt;&gt;"YES",Calculator!$B$33&lt;Calculator!$G$16),"—",ROUND(MAX((50*POWER(80,POWER(COS(PI()*MOD(Calculator!$B$33/Calculator!$F$16,1)),2)))/$C77,$C77/(50*POWER(80,POWER(COS(PI()*MOD(Calculator!$B$33/Calculator!$F$16,1)),2)))),2))</f>
        <v>2.8</v>
      </c>
      <c r="AT77" s="102" t="n">
        <f aca="false">IF(OR(Calculator!$E$17&lt;&gt;"YES",Calculator!$B$33&lt;Calculator!$G$17),"—",ROUND(MAX((50*POWER(80,POWER(COS(PI()*MOD(Calculator!$B$33/Calculator!$F$17,1)),2)))/$C77,$C77/(50*POWER(80,POWER(COS(PI()*MOD(Calculator!$B$33/Calculator!$F$17,1)),2)))),2))</f>
        <v>8.89</v>
      </c>
      <c r="AU77" s="102" t="n">
        <f aca="false">IF(OR(Calculator!$E$18&lt;&gt;"YES",Calculator!$B$33&lt;Calculator!$G$18),"—",ROUND(MAX((50*POWER(80,POWER(COS(PI()*MOD(Calculator!$B$33/Calculator!$F$18,1)),2)))/$C77,$C77/(50*POWER(80,POWER(COS(PI()*MOD(Calculator!$B$33/Calculator!$F$18,1)),2)))),2))</f>
        <v>12.03</v>
      </c>
      <c r="AV77" s="102" t="n">
        <f aca="false">IF(OR(Calculator!$E$19&lt;&gt;"YES",Calculator!$B$33&lt;Calculator!$G$19),"—",ROUND(MAX((50*POWER(80,POWER(COS(PI()*MOD(Calculator!$B$33/Calculator!$F$19,1)),2)))/$C77,$C77/(50*POWER(80,POWER(COS(PI()*MOD(Calculator!$B$33/Calculator!$F$19,1)),2)))),2))</f>
        <v>1.47</v>
      </c>
      <c r="AW77" s="102" t="n">
        <f aca="false">IF(OR(Calculator!$E$20&lt;&gt;"YES",Calculator!$B$33&lt;Calculator!$G$20),"—",ROUND(MAX((50*POWER(80,POWER(COS(PI()*MOD(Calculator!$B$33/Calculator!$F$20,1)),2)))/$C77,$C77/(50*POWER(80,POWER(COS(PI()*MOD(Calculator!$B$33/Calculator!$F$20,1)),2)))),2))</f>
        <v>18.36</v>
      </c>
      <c r="AX77" s="102" t="str">
        <f aca="false">IF(OR(Calculator!$E$21&lt;&gt;"YES",Calculator!$B$33&lt;Calculator!$G$21),"—",ROUND(MAX((50*POWER(80,POWER(COS(PI()*MOD(Calculator!$B$33/Calculator!$F$21,1)),2)))/$C77,$C77/(50*POWER(80,POWER(COS(PI()*MOD(Calculator!$B$33/Calculator!$F$21,1)),2)))),2))</f>
        <v>—</v>
      </c>
      <c r="AY77" s="101" t="n">
        <f aca="false">IFERROR(ROUND((IF(ISNUMBER(AN77),AN77,0)+IF(ISNUMBER(AO77),AO77,0)+IF(ISNUMBER(AP77),AP77,0)+IF(ISNUMBER(AQ77),AQ77,0)+IF(ISNUMBER(AR77),AR77,0)+IF(ISNUMBER(AS77),AS77,0)+IF(ISNUMBER(AT77),AT77,0)+IF(ISNUMBER(AU77),AU77,0)+IF(ISNUMBER(AV77),AV77,0)+IF(ISNUMBER(AW77),AW77,0)+IF(ISNUMBER(AX77),AX77,0))/(IF(ISNUMBER(AN77),1,0)+IF(ISNUMBER(AO77),1,0)+IF(ISNUMBER(AP77),1,0)+IF(ISNUMBER(AQ77),1,0)+IF(ISNUMBER(AR77),1,0)+IF(ISNUMBER(AS77),1,0)+IF(ISNUMBER(AT77),1,0)+IF(ISNUMBER(AU77),1,0)+IF(ISNUMBER(AV77),1,0)+IF(ISNUMBER(AW77),1,0)+IF(ISNUMBER(AX77),1,0)),2),"")</f>
        <v>7.49</v>
      </c>
      <c r="AZ77" s="102" t="str">
        <f aca="false">IF(OR(Calculator!$E$11&lt;&gt;"YES",Calculator!$B$34&lt;Calculator!$G$11),"—",ROUND(MAX((50*POWER(80,POWER(COS(PI()*MOD(Calculator!$B$34/Calculator!$F$11,1)),2)))/$C77,$C77/(50*POWER(80,POWER(COS(PI()*MOD(Calculator!$B$34/Calculator!$F$11,1)),2)))),2))</f>
        <v>—</v>
      </c>
      <c r="BA77" s="102" t="str">
        <f aca="false">IF(OR(Calculator!$E$12&lt;&gt;"YES",Calculator!$B$34&lt;Calculator!$G$12),"—",ROUND(MAX((50*POWER(80,POWER(COS(PI()*MOD(Calculator!$B$34/Calculator!$F$12,1)),2)))/$C77,$C77/(50*POWER(80,POWER(COS(PI()*MOD(Calculator!$B$34/Calculator!$F$12,1)),2)))),2))</f>
        <v>—</v>
      </c>
      <c r="BB77" s="102" t="str">
        <f aca="false">IF(OR(Calculator!$E$13&lt;&gt;"YES",Calculator!$B$34&lt;Calculator!$G$13),"—",ROUND(MAX((50*POWER(80,POWER(COS(PI()*MOD(Calculator!$B$34/Calculator!$F$13,1)),2)))/$C77,$C77/(50*POWER(80,POWER(COS(PI()*MOD(Calculator!$B$34/Calculator!$F$13,1)),2)))),2))</f>
        <v>—</v>
      </c>
      <c r="BC77" s="102" t="n">
        <f aca="false">IF(OR(Calculator!$E$14&lt;&gt;"YES",Calculator!$B$34&lt;Calculator!$G$14),"—",ROUND(MAX((50*POWER(80,POWER(COS(PI()*MOD(Calculator!$B$34/Calculator!$F$14,1)),2)))/$C77,$C77/(50*POWER(80,POWER(COS(PI()*MOD(Calculator!$B$34/Calculator!$F$14,1)),2)))),2))</f>
        <v>1.23</v>
      </c>
      <c r="BD77" s="102" t="n">
        <f aca="false">IF(OR(Calculator!$E$15&lt;&gt;"YES",Calculator!$B$34&lt;Calculator!$G$15),"—",ROUND(MAX((50*POWER(80,POWER(COS(PI()*MOD(Calculator!$B$34/Calculator!$F$15,1)),2)))/$C77,$C77/(50*POWER(80,POWER(COS(PI()*MOD(Calculator!$B$34/Calculator!$F$15,1)),2)))),2))</f>
        <v>9.9</v>
      </c>
      <c r="BE77" s="102" t="n">
        <f aca="false">IF(OR(Calculator!$E$16&lt;&gt;"YES",Calculator!$B$34&lt;Calculator!$G$16),"—",ROUND(MAX((50*POWER(80,POWER(COS(PI()*MOD(Calculator!$B$34/Calculator!$F$16,1)),2)))/$C77,$C77/(50*POWER(80,POWER(COS(PI()*MOD(Calculator!$B$34/Calculator!$F$16,1)),2)))),2))</f>
        <v>3.34</v>
      </c>
      <c r="BF77" s="102" t="n">
        <f aca="false">IF(OR(Calculator!$E$17&lt;&gt;"YES",Calculator!$B$34&lt;Calculator!$G$17),"—",ROUND(MAX((50*POWER(80,POWER(COS(PI()*MOD(Calculator!$B$34/Calculator!$F$17,1)),2)))/$C77,$C77/(50*POWER(80,POWER(COS(PI()*MOD(Calculator!$B$34/Calculator!$F$17,1)),2)))),2))</f>
        <v>1.72</v>
      </c>
      <c r="BG77" s="102" t="n">
        <f aca="false">IF(OR(Calculator!$E$18&lt;&gt;"YES",Calculator!$B$34&lt;Calculator!$G$18),"—",ROUND(MAX((50*POWER(80,POWER(COS(PI()*MOD(Calculator!$B$34/Calculator!$F$18,1)),2)))/$C77,$C77/(50*POWER(80,POWER(COS(PI()*MOD(Calculator!$B$34/Calculator!$F$18,1)),2)))),2))</f>
        <v>16.28</v>
      </c>
      <c r="BH77" s="102" t="n">
        <f aca="false">IF(OR(Calculator!$E$19&lt;&gt;"YES",Calculator!$B$34&lt;Calculator!$G$19),"—",ROUND(MAX((50*POWER(80,POWER(COS(PI()*MOD(Calculator!$B$34/Calculator!$F$19,1)),2)))/$C77,$C77/(50*POWER(80,POWER(COS(PI()*MOD(Calculator!$B$34/Calculator!$F$19,1)),2)))),2))</f>
        <v>18.1</v>
      </c>
      <c r="BI77" s="102" t="n">
        <f aca="false">IF(OR(Calculator!$E$20&lt;&gt;"YES",Calculator!$B$34&lt;Calculator!$G$20),"—",ROUND(MAX((50*POWER(80,POWER(COS(PI()*MOD(Calculator!$B$34/Calculator!$F$20,1)),2)))/$C77,$C77/(50*POWER(80,POWER(COS(PI()*MOD(Calculator!$B$34/Calculator!$F$20,1)),2)))),2))</f>
        <v>10.8</v>
      </c>
      <c r="BJ77" s="102" t="str">
        <f aca="false">IF(OR(Calculator!$E$21&lt;&gt;"YES",Calculator!$B$34&lt;Calculator!$G$21),"—",ROUND(MAX((50*POWER(80,POWER(COS(PI()*MOD(Calculator!$B$34/Calculator!$F$21,1)),2)))/$C77,$C77/(50*POWER(80,POWER(COS(PI()*MOD(Calculator!$B$34/Calculator!$F$21,1)),2)))),2))</f>
        <v>—</v>
      </c>
      <c r="BK77" s="101" t="n">
        <f aca="false">IFERROR(ROUND((IF(ISNUMBER(AZ77),AZ77,0)+IF(ISNUMBER(BA77),BA77,0)+IF(ISNUMBER(BB77),BB77,0)+IF(ISNUMBER(BC77),BC77,0)+IF(ISNUMBER(BD77),BD77,0)+IF(ISNUMBER(BE77),BE77,0)+IF(ISNUMBER(BF77),BF77,0)+IF(ISNUMBER(BG77),BG77,0)+IF(ISNUMBER(BH77),BH77,0)+IF(ISNUMBER(BI77),BI77,0)+IF(ISNUMBER(BJ77),BJ77,0))/(IF(ISNUMBER(AZ77),1,0)+IF(ISNUMBER(BA77),1,0)+IF(ISNUMBER(BB77),1,0)+IF(ISNUMBER(BC77),1,0)+IF(ISNUMBER(BD77),1,0)+IF(ISNUMBER(BE77),1,0)+IF(ISNUMBER(BF77),1,0)+IF(ISNUMBER(BG77),1,0)+IF(ISNUMBER(BH77),1,0)+IF(ISNUMBER(BI77),1,0)+IF(ISNUMBER(BJ77),1,0)),2),"")</f>
        <v>8.77</v>
      </c>
    </row>
    <row r="78" customFormat="false" ht="15" hidden="false" customHeight="false" outlineLevel="0" collapsed="false">
      <c r="A78" s="103" t="s">
        <v>129</v>
      </c>
      <c r="B78" s="103" t="s">
        <v>86</v>
      </c>
      <c r="C78" s="104" t="n">
        <v>2300</v>
      </c>
      <c r="D78" s="105" t="str">
        <f aca="false">IF(OR(Calculator!$E$11&lt;&gt;"YES",Calculator!$B$30&lt;Calculator!$G$11),"—",ROUND(MAX((50*POWER(80,POWER(COS(PI()*MOD(Calculator!$B$30/Calculator!$F$11,1)),2)))/$C78,$C78/(50*POWER(80,POWER(COS(PI()*MOD(Calculator!$B$30/Calculator!$F$11,1)),2)))),2))</f>
        <v>—</v>
      </c>
      <c r="E78" s="105" t="str">
        <f aca="false">IF(OR(Calculator!$E$12&lt;&gt;"YES",Calculator!$B$30&lt;Calculator!$G$12),"—",ROUND(MAX((50*POWER(80,POWER(COS(PI()*MOD(Calculator!$B$30/Calculator!$F$12,1)),2)))/$C78,$C78/(50*POWER(80,POWER(COS(PI()*MOD(Calculator!$B$30/Calculator!$F$12,1)),2)))),2))</f>
        <v>—</v>
      </c>
      <c r="F78" s="105" t="str">
        <f aca="false">IF(OR(Calculator!$E$13&lt;&gt;"YES",Calculator!$B$30&lt;Calculator!$G$13),"—",ROUND(MAX((50*POWER(80,POWER(COS(PI()*MOD(Calculator!$B$30/Calculator!$F$13,1)),2)))/$C78,$C78/(50*POWER(80,POWER(COS(PI()*MOD(Calculator!$B$30/Calculator!$F$13,1)),2)))),2))</f>
        <v>—</v>
      </c>
      <c r="G78" s="105" t="n">
        <f aca="false">IF(OR(Calculator!$E$14&lt;&gt;"YES",Calculator!$B$30&lt;Calculator!$G$14),"—",ROUND(MAX((50*POWER(80,POWER(COS(PI()*MOD(Calculator!$B$30/Calculator!$F$14,1)),2)))/$C78,$C78/(50*POWER(80,POWER(COS(PI()*MOD(Calculator!$B$30/Calculator!$F$14,1)),2)))),2))</f>
        <v>20.79</v>
      </c>
      <c r="H78" s="105" t="n">
        <f aca="false">IF(OR(Calculator!$E$15&lt;&gt;"YES",Calculator!$B$30&lt;Calculator!$G$15),"—",ROUND(MAX((50*POWER(80,POWER(COS(PI()*MOD(Calculator!$B$30/Calculator!$F$15,1)),2)))/$C78,$C78/(50*POWER(80,POWER(COS(PI()*MOD(Calculator!$B$30/Calculator!$F$15,1)),2)))),2))</f>
        <v>6.03</v>
      </c>
      <c r="I78" s="105" t="n">
        <f aca="false">IF(OR(Calculator!$E$16&lt;&gt;"YES",Calculator!$B$30&lt;Calculator!$G$16),"—",ROUND(MAX((50*POWER(80,POWER(COS(PI()*MOD(Calculator!$B$30/Calculator!$F$16,1)),2)))/$C78,$C78/(50*POWER(80,POWER(COS(PI()*MOD(Calculator!$B$30/Calculator!$F$16,1)),2)))),2))</f>
        <v>4.12</v>
      </c>
      <c r="J78" s="105" t="n">
        <f aca="false">IF(OR(Calculator!$E$17&lt;&gt;"YES",Calculator!$B$30&lt;Calculator!$G$17),"—",ROUND(MAX((50*POWER(80,POWER(COS(PI()*MOD(Calculator!$B$30/Calculator!$F$17,1)),2)))/$C78,$C78/(50*POWER(80,POWER(COS(PI()*MOD(Calculator!$B$30/Calculator!$F$17,1)),2)))),2))</f>
        <v>11.56</v>
      </c>
      <c r="K78" s="105" t="n">
        <f aca="false">IF(OR(Calculator!$E$18&lt;&gt;"YES",Calculator!$B$30&lt;Calculator!$G$18),"—",ROUND(MAX((50*POWER(80,POWER(COS(PI()*MOD(Calculator!$B$30/Calculator!$F$18,1)),2)))/$C78,$C78/(50*POWER(80,POWER(COS(PI()*MOD(Calculator!$B$30/Calculator!$F$18,1)),2)))),2))</f>
        <v>1.65</v>
      </c>
      <c r="L78" s="105" t="n">
        <f aca="false">IF(OR(Calculator!$E$19&lt;&gt;"YES",Calculator!$B$30&lt;Calculator!$G$19),"—",ROUND(MAX((50*POWER(80,POWER(COS(PI()*MOD(Calculator!$B$30/Calculator!$F$19,1)),2)))/$C78,$C78/(50*POWER(80,POWER(COS(PI()*MOD(Calculator!$B$30/Calculator!$F$19,1)),2)))),2))</f>
        <v>2.93</v>
      </c>
      <c r="M78" s="105" t="n">
        <f aca="false">IF(OR(Calculator!$E$20&lt;&gt;"YES",Calculator!$B$30&lt;Calculator!$G$20),"—",ROUND(MAX((50*POWER(80,POWER(COS(PI()*MOD(Calculator!$B$30/Calculator!$F$20,1)),2)))/$C78,$C78/(50*POWER(80,POWER(COS(PI()*MOD(Calculator!$B$30/Calculator!$F$20,1)),2)))),2))</f>
        <v>18.17</v>
      </c>
      <c r="N78" s="105" t="str">
        <f aca="false">IF(OR(Calculator!$E$21&lt;&gt;"YES",Calculator!$B$30&lt;Calculator!$G$21),"—",ROUND(MAX((50*POWER(80,POWER(COS(PI()*MOD(Calculator!$B$30/Calculator!$F$21,1)),2)))/$C78,$C78/(50*POWER(80,POWER(COS(PI()*MOD(Calculator!$B$30/Calculator!$F$21,1)),2)))),2))</f>
        <v>—</v>
      </c>
      <c r="O78" s="100" t="n">
        <f aca="false">IFERROR(ROUND((IF(ISNUMBER(D78),D78,0)+IF(ISNUMBER(E78),E78,0)+IF(ISNUMBER(F78),F78,0)+IF(ISNUMBER(G78),G78,0)+IF(ISNUMBER(H78),H78,0)+IF(ISNUMBER(I78),I78,0)+IF(ISNUMBER(J78),J78,0)+IF(ISNUMBER(K78),K78,0)+IF(ISNUMBER(L78),L78,0)+IF(ISNUMBER(M78),M78,0)+IF(ISNUMBER(N78),N78,0))/(IF(ISNUMBER(D78),1,0)+IF(ISNUMBER(E78),1,0)+IF(ISNUMBER(F78),1,0)+IF(ISNUMBER(G78),1,0)+IF(ISNUMBER(H78),1,0)+IF(ISNUMBER(I78),1,0)+IF(ISNUMBER(J78),1,0)+IF(ISNUMBER(K78),1,0)+IF(ISNUMBER(L78),1,0)+IF(ISNUMBER(M78),1,0)+IF(ISNUMBER(N78),1,0)),2),"")</f>
        <v>9.32</v>
      </c>
      <c r="P78" s="105" t="str">
        <f aca="false">IF(OR(Calculator!$E$11&lt;&gt;"YES",Calculator!$B$31&lt;Calculator!$G$11),"—",ROUND(MAX((50*POWER(80,POWER(COS(PI()*MOD(Calculator!$B$31/Calculator!$F$11,1)),2)))/$C78,$C78/(50*POWER(80,POWER(COS(PI()*MOD(Calculator!$B$31/Calculator!$F$11,1)),2)))),2))</f>
        <v>—</v>
      </c>
      <c r="Q78" s="105" t="str">
        <f aca="false">IF(OR(Calculator!$E$12&lt;&gt;"YES",Calculator!$B$31&lt;Calculator!$G$12),"—",ROUND(MAX((50*POWER(80,POWER(COS(PI()*MOD(Calculator!$B$31/Calculator!$F$12,1)),2)))/$C78,$C78/(50*POWER(80,POWER(COS(PI()*MOD(Calculator!$B$31/Calculator!$F$12,1)),2)))),2))</f>
        <v>—</v>
      </c>
      <c r="R78" s="105" t="str">
        <f aca="false">IF(OR(Calculator!$E$13&lt;&gt;"YES",Calculator!$B$31&lt;Calculator!$G$13),"—",ROUND(MAX((50*POWER(80,POWER(COS(PI()*MOD(Calculator!$B$31/Calculator!$F$13,1)),2)))/$C78,$C78/(50*POWER(80,POWER(COS(PI()*MOD(Calculator!$B$31/Calculator!$F$13,1)),2)))),2))</f>
        <v>—</v>
      </c>
      <c r="S78" s="105" t="n">
        <f aca="false">IF(OR(Calculator!$E$14&lt;&gt;"YES",Calculator!$B$31&lt;Calculator!$G$14),"—",ROUND(MAX((50*POWER(80,POWER(COS(PI()*MOD(Calculator!$B$31/Calculator!$F$14,1)),2)))/$C78,$C78/(50*POWER(80,POWER(COS(PI()*MOD(Calculator!$B$31/Calculator!$F$14,1)),2)))),2))</f>
        <v>21.28</v>
      </c>
      <c r="T78" s="105" t="n">
        <f aca="false">IF(OR(Calculator!$E$15&lt;&gt;"YES",Calculator!$B$31&lt;Calculator!$G$15),"—",ROUND(MAX((50*POWER(80,POWER(COS(PI()*MOD(Calculator!$B$31/Calculator!$F$15,1)),2)))/$C78,$C78/(50*POWER(80,POWER(COS(PI()*MOD(Calculator!$B$31/Calculator!$F$15,1)),2)))),2))</f>
        <v>12.95</v>
      </c>
      <c r="U78" s="105" t="n">
        <f aca="false">IF(OR(Calculator!$E$16&lt;&gt;"YES",Calculator!$B$31&lt;Calculator!$G$16),"—",ROUND(MAX((50*POWER(80,POWER(COS(PI()*MOD(Calculator!$B$31/Calculator!$F$16,1)),2)))/$C78,$C78/(50*POWER(80,POWER(COS(PI()*MOD(Calculator!$B$31/Calculator!$F$16,1)),2)))),2))</f>
        <v>4.93</v>
      </c>
      <c r="V78" s="105" t="n">
        <f aca="false">IF(OR(Calculator!$E$17&lt;&gt;"YES",Calculator!$B$31&lt;Calculator!$G$17),"—",ROUND(MAX((50*POWER(80,POWER(COS(PI()*MOD(Calculator!$B$31/Calculator!$F$17,1)),2)))/$C78,$C78/(50*POWER(80,POWER(COS(PI()*MOD(Calculator!$B$31/Calculator!$F$17,1)),2)))),2))</f>
        <v>1.42</v>
      </c>
      <c r="W78" s="105" t="n">
        <f aca="false">IF(OR(Calculator!$E$18&lt;&gt;"YES",Calculator!$B$31&lt;Calculator!$G$18),"—",ROUND(MAX((50*POWER(80,POWER(COS(PI()*MOD(Calculator!$B$31/Calculator!$F$18,1)),2)))/$C78,$C78/(50*POWER(80,POWER(COS(PI()*MOD(Calculator!$B$31/Calculator!$F$18,1)),2)))),2))</f>
        <v>1.25</v>
      </c>
      <c r="X78" s="105" t="n">
        <f aca="false">IF(OR(Calculator!$E$19&lt;&gt;"YES",Calculator!$B$31&lt;Calculator!$G$19),"—",ROUND(MAX((50*POWER(80,POWER(COS(PI()*MOD(Calculator!$B$31/Calculator!$F$19,1)),2)))/$C78,$C78/(50*POWER(80,POWER(COS(PI()*MOD(Calculator!$B$31/Calculator!$F$19,1)),2)))),2))</f>
        <v>8.55</v>
      </c>
      <c r="Y78" s="105" t="n">
        <f aca="false">IF(OR(Calculator!$E$20&lt;&gt;"YES",Calculator!$B$31&lt;Calculator!$G$20),"—",ROUND(MAX((50*POWER(80,POWER(COS(PI()*MOD(Calculator!$B$31/Calculator!$F$20,1)),2)))/$C78,$C78/(50*POWER(80,POWER(COS(PI()*MOD(Calculator!$B$31/Calculator!$F$20,1)),2)))),2))</f>
        <v>28.22</v>
      </c>
      <c r="Z78" s="105" t="str">
        <f aca="false">IF(OR(Calculator!$E$21&lt;&gt;"YES",Calculator!$B$31&lt;Calculator!$G$21),"—",ROUND(MAX((50*POWER(80,POWER(COS(PI()*MOD(Calculator!$B$31/Calculator!$F$21,1)),2)))/$C78,$C78/(50*POWER(80,POWER(COS(PI()*MOD(Calculator!$B$31/Calculator!$F$21,1)),2)))),2))</f>
        <v>—</v>
      </c>
      <c r="AA78" s="100" t="n">
        <f aca="false">IFERROR(ROUND((IF(ISNUMBER(P78),P78,0)+IF(ISNUMBER(Q78),Q78,0)+IF(ISNUMBER(R78),R78,0)+IF(ISNUMBER(S78),S78,0)+IF(ISNUMBER(T78),T78,0)+IF(ISNUMBER(U78),U78,0)+IF(ISNUMBER(V78),V78,0)+IF(ISNUMBER(W78),W78,0)+IF(ISNUMBER(X78),X78,0)+IF(ISNUMBER(Y78),Y78,0)+IF(ISNUMBER(Z78),Z78,0))/(IF(ISNUMBER(P78),1,0)+IF(ISNUMBER(Q78),1,0)+IF(ISNUMBER(R78),1,0)+IF(ISNUMBER(S78),1,0)+IF(ISNUMBER(T78),1,0)+IF(ISNUMBER(U78),1,0)+IF(ISNUMBER(V78),1,0)+IF(ISNUMBER(W78),1,0)+IF(ISNUMBER(X78),1,0)+IF(ISNUMBER(Y78),1,0)+IF(ISNUMBER(Z78),1,0)),2),"")</f>
        <v>11.23</v>
      </c>
      <c r="AB78" s="105" t="str">
        <f aca="false">IF(OR(Calculator!$E$11&lt;&gt;"YES",Calculator!$B$32&lt;Calculator!$G$11),"—",ROUND(MAX((50*POWER(80,POWER(COS(PI()*MOD(Calculator!$B$32/Calculator!$F$11,1)),2)))/$C78,$C78/(50*POWER(80,POWER(COS(PI()*MOD(Calculator!$B$32/Calculator!$F$11,1)),2)))),2))</f>
        <v>—</v>
      </c>
      <c r="AC78" s="105" t="str">
        <f aca="false">IF(OR(Calculator!$E$12&lt;&gt;"YES",Calculator!$B$32&lt;Calculator!$G$12),"—",ROUND(MAX((50*POWER(80,POWER(COS(PI()*MOD(Calculator!$B$32/Calculator!$F$12,1)),2)))/$C78,$C78/(50*POWER(80,POWER(COS(PI()*MOD(Calculator!$B$32/Calculator!$F$12,1)),2)))),2))</f>
        <v>—</v>
      </c>
      <c r="AD78" s="105" t="str">
        <f aca="false">IF(OR(Calculator!$E$13&lt;&gt;"YES",Calculator!$B$32&lt;Calculator!$G$13),"—",ROUND(MAX((50*POWER(80,POWER(COS(PI()*MOD(Calculator!$B$32/Calculator!$F$13,1)),2)))/$C78,$C78/(50*POWER(80,POWER(COS(PI()*MOD(Calculator!$B$32/Calculator!$F$13,1)),2)))),2))</f>
        <v>—</v>
      </c>
      <c r="AE78" s="105" t="n">
        <f aca="false">IF(OR(Calculator!$E$14&lt;&gt;"YES",Calculator!$B$32&lt;Calculator!$G$14),"—",ROUND(MAX((50*POWER(80,POWER(COS(PI()*MOD(Calculator!$B$32/Calculator!$F$14,1)),2)))/$C78,$C78/(50*POWER(80,POWER(COS(PI()*MOD(Calculator!$B$32/Calculator!$F$14,1)),2)))),2))</f>
        <v>13.44</v>
      </c>
      <c r="AF78" s="105" t="n">
        <f aca="false">IF(OR(Calculator!$E$15&lt;&gt;"YES",Calculator!$B$32&lt;Calculator!$G$15),"—",ROUND(MAX((50*POWER(80,POWER(COS(PI()*MOD(Calculator!$B$32/Calculator!$F$15,1)),2)))/$C78,$C78/(50*POWER(80,POWER(COS(PI()*MOD(Calculator!$B$32/Calculator!$F$15,1)),2)))),2))</f>
        <v>8.69</v>
      </c>
      <c r="AG78" s="105" t="n">
        <f aca="false">IF(OR(Calculator!$E$16&lt;&gt;"YES",Calculator!$B$32&lt;Calculator!$G$16),"—",ROUND(MAX((50*POWER(80,POWER(COS(PI()*MOD(Calculator!$B$32/Calculator!$F$16,1)),2)))/$C78,$C78/(50*POWER(80,POWER(COS(PI()*MOD(Calculator!$B$32/Calculator!$F$16,1)),2)))),2))</f>
        <v>29.33</v>
      </c>
      <c r="AH78" s="105" t="n">
        <f aca="false">IF(OR(Calculator!$E$17&lt;&gt;"YES",Calculator!$B$32&lt;Calculator!$G$17),"—",ROUND(MAX((50*POWER(80,POWER(COS(PI()*MOD(Calculator!$B$32/Calculator!$F$17,1)),2)))/$C78,$C78/(50*POWER(80,POWER(COS(PI()*MOD(Calculator!$B$32/Calculator!$F$17,1)),2)))),2))</f>
        <v>1</v>
      </c>
      <c r="AI78" s="105" t="n">
        <f aca="false">IF(OR(Calculator!$E$18&lt;&gt;"YES",Calculator!$B$32&lt;Calculator!$G$18),"—",ROUND(MAX((50*POWER(80,POWER(COS(PI()*MOD(Calculator!$B$32/Calculator!$F$18,1)),2)))/$C78,$C78/(50*POWER(80,POWER(COS(PI()*MOD(Calculator!$B$32/Calculator!$F$18,1)),2)))),2))</f>
        <v>1.09</v>
      </c>
      <c r="AJ78" s="105" t="n">
        <f aca="false">IF(OR(Calculator!$E$19&lt;&gt;"YES",Calculator!$B$32&lt;Calculator!$G$19),"—",ROUND(MAX((50*POWER(80,POWER(COS(PI()*MOD(Calculator!$B$32/Calculator!$F$19,1)),2)))/$C78,$C78/(50*POWER(80,POWER(COS(PI()*MOD(Calculator!$B$32/Calculator!$F$19,1)),2)))),2))</f>
        <v>1.14</v>
      </c>
      <c r="AK78" s="105" t="n">
        <f aca="false">IF(OR(Calculator!$E$20&lt;&gt;"YES",Calculator!$B$32&lt;Calculator!$G$20),"—",ROUND(MAX((50*POWER(80,POWER(COS(PI()*MOD(Calculator!$B$32/Calculator!$F$20,1)),2)))/$C78,$C78/(50*POWER(80,POWER(COS(PI()*MOD(Calculator!$B$32/Calculator!$F$20,1)),2)))),2))</f>
        <v>23.07</v>
      </c>
      <c r="AL78" s="105" t="str">
        <f aca="false">IF(OR(Calculator!$E$21&lt;&gt;"YES",Calculator!$B$32&lt;Calculator!$G$21),"—",ROUND(MAX((50*POWER(80,POWER(COS(PI()*MOD(Calculator!$B$32/Calculator!$F$21,1)),2)))/$C78,$C78/(50*POWER(80,POWER(COS(PI()*MOD(Calculator!$B$32/Calculator!$F$21,1)),2)))),2))</f>
        <v>—</v>
      </c>
      <c r="AM78" s="101" t="n">
        <f aca="false">IFERROR(ROUND((IF(ISNUMBER(AB78),AB78,0)+IF(ISNUMBER(AC78),AC78,0)+IF(ISNUMBER(AD78),AD78,0)+IF(ISNUMBER(AE78),AE78,0)+IF(ISNUMBER(AF78),AF78,0)+IF(ISNUMBER(AG78),AG78,0)+IF(ISNUMBER(AH78),AH78,0)+IF(ISNUMBER(AI78),AI78,0)+IF(ISNUMBER(AJ78),AJ78,0)+IF(ISNUMBER(AK78),AK78,0)+IF(ISNUMBER(AL78),AL78,0))/(IF(ISNUMBER(AB78),1,0)+IF(ISNUMBER(AC78),1,0)+IF(ISNUMBER(AD78),1,0)+IF(ISNUMBER(AE78),1,0)+IF(ISNUMBER(AF78),1,0)+IF(ISNUMBER(AG78),1,0)+IF(ISNUMBER(AH78),1,0)+IF(ISNUMBER(AI78),1,0)+IF(ISNUMBER(AJ78),1,0)+IF(ISNUMBER(AK78),1,0)+IF(ISNUMBER(AL78),1,0)),2),"")</f>
        <v>11.11</v>
      </c>
      <c r="AN78" s="106" t="str">
        <f aca="false">IF(OR(Calculator!$E$11&lt;&gt;"YES",Calculator!$B$33&lt;Calculator!$G$11),"—",ROUND(MAX((50*POWER(80,POWER(COS(PI()*MOD(Calculator!$B$33/Calculator!$F$11,1)),2)))/$C78,$C78/(50*POWER(80,POWER(COS(PI()*MOD(Calculator!$B$33/Calculator!$F$11,1)),2)))),2))</f>
        <v>—</v>
      </c>
      <c r="AO78" s="106" t="str">
        <f aca="false">IF(OR(Calculator!$E$12&lt;&gt;"YES",Calculator!$B$33&lt;Calculator!$G$12),"—",ROUND(MAX((50*POWER(80,POWER(COS(PI()*MOD(Calculator!$B$33/Calculator!$F$12,1)),2)))/$C78,$C78/(50*POWER(80,POWER(COS(PI()*MOD(Calculator!$B$33/Calculator!$F$12,1)),2)))),2))</f>
        <v>—</v>
      </c>
      <c r="AP78" s="106" t="str">
        <f aca="false">IF(OR(Calculator!$E$13&lt;&gt;"YES",Calculator!$B$33&lt;Calculator!$G$13),"—",ROUND(MAX((50*POWER(80,POWER(COS(PI()*MOD(Calculator!$B$33/Calculator!$F$13,1)),2)))/$C78,$C78/(50*POWER(80,POWER(COS(PI()*MOD(Calculator!$B$33/Calculator!$F$13,1)),2)))),2))</f>
        <v>—</v>
      </c>
      <c r="AQ78" s="106" t="n">
        <f aca="false">IF(OR(Calculator!$E$14&lt;&gt;"YES",Calculator!$B$33&lt;Calculator!$G$14),"—",ROUND(MAX((50*POWER(80,POWER(COS(PI()*MOD(Calculator!$B$33/Calculator!$F$14,1)),2)))/$C78,$C78/(50*POWER(80,POWER(COS(PI()*MOD(Calculator!$B$33/Calculator!$F$14,1)),2)))),2))</f>
        <v>1.19</v>
      </c>
      <c r="AR78" s="106" t="n">
        <f aca="false">IF(OR(Calculator!$E$15&lt;&gt;"YES",Calculator!$B$33&lt;Calculator!$G$15),"—",ROUND(MAX((50*POWER(80,POWER(COS(PI()*MOD(Calculator!$B$33/Calculator!$F$15,1)),2)))/$C78,$C78/(50*POWER(80,POWER(COS(PI()*MOD(Calculator!$B$33/Calculator!$F$15,1)),2)))),2))</f>
        <v>7.83</v>
      </c>
      <c r="AS78" s="106" t="n">
        <f aca="false">IF(OR(Calculator!$E$16&lt;&gt;"YES",Calculator!$B$33&lt;Calculator!$G$16),"—",ROUND(MAX((50*POWER(80,POWER(COS(PI()*MOD(Calculator!$B$33/Calculator!$F$16,1)),2)))/$C78,$C78/(50*POWER(80,POWER(COS(PI()*MOD(Calculator!$B$33/Calculator!$F$16,1)),2)))),2))</f>
        <v>2.86</v>
      </c>
      <c r="AT78" s="106" t="n">
        <f aca="false">IF(OR(Calculator!$E$17&lt;&gt;"YES",Calculator!$B$33&lt;Calculator!$G$17),"—",ROUND(MAX((50*POWER(80,POWER(COS(PI()*MOD(Calculator!$B$33/Calculator!$F$17,1)),2)))/$C78,$C78/(50*POWER(80,POWER(COS(PI()*MOD(Calculator!$B$33/Calculator!$F$17,1)),2)))),2))</f>
        <v>9.09</v>
      </c>
      <c r="AU78" s="106" t="n">
        <f aca="false">IF(OR(Calculator!$E$18&lt;&gt;"YES",Calculator!$B$33&lt;Calculator!$G$18),"—",ROUND(MAX((50*POWER(80,POWER(COS(PI()*MOD(Calculator!$B$33/Calculator!$F$18,1)),2)))/$C78,$C78/(50*POWER(80,POWER(COS(PI()*MOD(Calculator!$B$33/Calculator!$F$18,1)),2)))),2))</f>
        <v>12.3</v>
      </c>
      <c r="AV78" s="106" t="n">
        <f aca="false">IF(OR(Calculator!$E$19&lt;&gt;"YES",Calculator!$B$33&lt;Calculator!$G$19),"—",ROUND(MAX((50*POWER(80,POWER(COS(PI()*MOD(Calculator!$B$33/Calculator!$F$19,1)),2)))/$C78,$C78/(50*POWER(80,POWER(COS(PI()*MOD(Calculator!$B$33/Calculator!$F$19,1)),2)))),2))</f>
        <v>1.5</v>
      </c>
      <c r="AW78" s="106" t="n">
        <f aca="false">IF(OR(Calculator!$E$20&lt;&gt;"YES",Calculator!$B$33&lt;Calculator!$G$20),"—",ROUND(MAX((50*POWER(80,POWER(COS(PI()*MOD(Calculator!$B$33/Calculator!$F$20,1)),2)))/$C78,$C78/(50*POWER(80,POWER(COS(PI()*MOD(Calculator!$B$33/Calculator!$F$20,1)),2)))),2))</f>
        <v>18.77</v>
      </c>
      <c r="AX78" s="106" t="str">
        <f aca="false">IF(OR(Calculator!$E$21&lt;&gt;"YES",Calculator!$B$33&lt;Calculator!$G$21),"—",ROUND(MAX((50*POWER(80,POWER(COS(PI()*MOD(Calculator!$B$33/Calculator!$F$21,1)),2)))/$C78,$C78/(50*POWER(80,POWER(COS(PI()*MOD(Calculator!$B$33/Calculator!$F$21,1)),2)))),2))</f>
        <v>—</v>
      </c>
      <c r="AY78" s="101" t="n">
        <f aca="false">IFERROR(ROUND((IF(ISNUMBER(AN78),AN78,0)+IF(ISNUMBER(AO78),AO78,0)+IF(ISNUMBER(AP78),AP78,0)+IF(ISNUMBER(AQ78),AQ78,0)+IF(ISNUMBER(AR78),AR78,0)+IF(ISNUMBER(AS78),AS78,0)+IF(ISNUMBER(AT78),AT78,0)+IF(ISNUMBER(AU78),AU78,0)+IF(ISNUMBER(AV78),AV78,0)+IF(ISNUMBER(AW78),AW78,0)+IF(ISNUMBER(AX78),AX78,0))/(IF(ISNUMBER(AN78),1,0)+IF(ISNUMBER(AO78),1,0)+IF(ISNUMBER(AP78),1,0)+IF(ISNUMBER(AQ78),1,0)+IF(ISNUMBER(AR78),1,0)+IF(ISNUMBER(AS78),1,0)+IF(ISNUMBER(AT78),1,0)+IF(ISNUMBER(AU78),1,0)+IF(ISNUMBER(AV78),1,0)+IF(ISNUMBER(AW78),1,0)+IF(ISNUMBER(AX78),1,0)),2),"")</f>
        <v>7.65</v>
      </c>
      <c r="AZ78" s="106" t="str">
        <f aca="false">IF(OR(Calculator!$E$11&lt;&gt;"YES",Calculator!$B$34&lt;Calculator!$G$11),"—",ROUND(MAX((50*POWER(80,POWER(COS(PI()*MOD(Calculator!$B$34/Calculator!$F$11,1)),2)))/$C78,$C78/(50*POWER(80,POWER(COS(PI()*MOD(Calculator!$B$34/Calculator!$F$11,1)),2)))),2))</f>
        <v>—</v>
      </c>
      <c r="BA78" s="106" t="str">
        <f aca="false">IF(OR(Calculator!$E$12&lt;&gt;"YES",Calculator!$B$34&lt;Calculator!$G$12),"—",ROUND(MAX((50*POWER(80,POWER(COS(PI()*MOD(Calculator!$B$34/Calculator!$F$12,1)),2)))/$C78,$C78/(50*POWER(80,POWER(COS(PI()*MOD(Calculator!$B$34/Calculator!$F$12,1)),2)))),2))</f>
        <v>—</v>
      </c>
      <c r="BB78" s="106" t="str">
        <f aca="false">IF(OR(Calculator!$E$13&lt;&gt;"YES",Calculator!$B$34&lt;Calculator!$G$13),"—",ROUND(MAX((50*POWER(80,POWER(COS(PI()*MOD(Calculator!$B$34/Calculator!$F$13,1)),2)))/$C78,$C78/(50*POWER(80,POWER(COS(PI()*MOD(Calculator!$B$34/Calculator!$F$13,1)),2)))),2))</f>
        <v>—</v>
      </c>
      <c r="BC78" s="106" t="n">
        <f aca="false">IF(OR(Calculator!$E$14&lt;&gt;"YES",Calculator!$B$34&lt;Calculator!$G$14),"—",ROUND(MAX((50*POWER(80,POWER(COS(PI()*MOD(Calculator!$B$34/Calculator!$F$14,1)),2)))/$C78,$C78/(50*POWER(80,POWER(COS(PI()*MOD(Calculator!$B$34/Calculator!$F$14,1)),2)))),2))</f>
        <v>1.21</v>
      </c>
      <c r="BD78" s="106" t="n">
        <f aca="false">IF(OR(Calculator!$E$15&lt;&gt;"YES",Calculator!$B$34&lt;Calculator!$G$15),"—",ROUND(MAX((50*POWER(80,POWER(COS(PI()*MOD(Calculator!$B$34/Calculator!$F$15,1)),2)))/$C78,$C78/(50*POWER(80,POWER(COS(PI()*MOD(Calculator!$B$34/Calculator!$F$15,1)),2)))),2))</f>
        <v>10.12</v>
      </c>
      <c r="BE78" s="106" t="n">
        <f aca="false">IF(OR(Calculator!$E$16&lt;&gt;"YES",Calculator!$B$34&lt;Calculator!$G$16),"—",ROUND(MAX((50*POWER(80,POWER(COS(PI()*MOD(Calculator!$B$34/Calculator!$F$16,1)),2)))/$C78,$C78/(50*POWER(80,POWER(COS(PI()*MOD(Calculator!$B$34/Calculator!$F$16,1)),2)))),2))</f>
        <v>3.41</v>
      </c>
      <c r="BF78" s="106" t="n">
        <f aca="false">IF(OR(Calculator!$E$17&lt;&gt;"YES",Calculator!$B$34&lt;Calculator!$G$17),"—",ROUND(MAX((50*POWER(80,POWER(COS(PI()*MOD(Calculator!$B$34/Calculator!$F$17,1)),2)))/$C78,$C78/(50*POWER(80,POWER(COS(PI()*MOD(Calculator!$B$34/Calculator!$F$17,1)),2)))),2))</f>
        <v>1.76</v>
      </c>
      <c r="BG78" s="106" t="n">
        <f aca="false">IF(OR(Calculator!$E$18&lt;&gt;"YES",Calculator!$B$34&lt;Calculator!$G$18),"—",ROUND(MAX((50*POWER(80,POWER(COS(PI()*MOD(Calculator!$B$34/Calculator!$F$18,1)),2)))/$C78,$C78/(50*POWER(80,POWER(COS(PI()*MOD(Calculator!$B$34/Calculator!$F$18,1)),2)))),2))</f>
        <v>16.64</v>
      </c>
      <c r="BH78" s="106" t="n">
        <f aca="false">IF(OR(Calculator!$E$19&lt;&gt;"YES",Calculator!$B$34&lt;Calculator!$G$19),"—",ROUND(MAX((50*POWER(80,POWER(COS(PI()*MOD(Calculator!$B$34/Calculator!$F$19,1)),2)))/$C78,$C78/(50*POWER(80,POWER(COS(PI()*MOD(Calculator!$B$34/Calculator!$F$19,1)),2)))),2))</f>
        <v>18.5</v>
      </c>
      <c r="BI78" s="106" t="n">
        <f aca="false">IF(OR(Calculator!$E$20&lt;&gt;"YES",Calculator!$B$34&lt;Calculator!$G$20),"—",ROUND(MAX((50*POWER(80,POWER(COS(PI()*MOD(Calculator!$B$34/Calculator!$F$20,1)),2)))/$C78,$C78/(50*POWER(80,POWER(COS(PI()*MOD(Calculator!$B$34/Calculator!$F$20,1)),2)))),2))</f>
        <v>11.04</v>
      </c>
      <c r="BJ78" s="106" t="str">
        <f aca="false">IF(OR(Calculator!$E$21&lt;&gt;"YES",Calculator!$B$34&lt;Calculator!$G$21),"—",ROUND(MAX((50*POWER(80,POWER(COS(PI()*MOD(Calculator!$B$34/Calculator!$F$21,1)),2)))/$C78,$C78/(50*POWER(80,POWER(COS(PI()*MOD(Calculator!$B$34/Calculator!$F$21,1)),2)))),2))</f>
        <v>—</v>
      </c>
      <c r="BK78" s="101" t="n">
        <f aca="false">IFERROR(ROUND((IF(ISNUMBER(AZ78),AZ78,0)+IF(ISNUMBER(BA78),BA78,0)+IF(ISNUMBER(BB78),BB78,0)+IF(ISNUMBER(BC78),BC78,0)+IF(ISNUMBER(BD78),BD78,0)+IF(ISNUMBER(BE78),BE78,0)+IF(ISNUMBER(BF78),BF78,0)+IF(ISNUMBER(BG78),BG78,0)+IF(ISNUMBER(BH78),BH78,0)+IF(ISNUMBER(BI78),BI78,0)+IF(ISNUMBER(BJ78),BJ78,0))/(IF(ISNUMBER(AZ78),1,0)+IF(ISNUMBER(BA78),1,0)+IF(ISNUMBER(BB78),1,0)+IF(ISNUMBER(BC78),1,0)+IF(ISNUMBER(BD78),1,0)+IF(ISNUMBER(BE78),1,0)+IF(ISNUMBER(BF78),1,0)+IF(ISNUMBER(BG78),1,0)+IF(ISNUMBER(BH78),1,0)+IF(ISNUMBER(BI78),1,0)+IF(ISNUMBER(BJ78),1,0)),2),"")</f>
        <v>8.95</v>
      </c>
    </row>
    <row r="79" customFormat="false" ht="15" hidden="false" customHeight="false" outlineLevel="0" collapsed="false">
      <c r="A79" s="74" t="s">
        <v>130</v>
      </c>
      <c r="B79" s="74" t="s">
        <v>86</v>
      </c>
      <c r="C79" s="77" t="n">
        <v>2350</v>
      </c>
      <c r="D79" s="78" t="str">
        <f aca="false">IF(OR(Calculator!$E$11&lt;&gt;"YES",Calculator!$B$30&lt;Calculator!$G$11),"—",ROUND(MAX((50*POWER(80,POWER(COS(PI()*MOD(Calculator!$B$30/Calculator!$F$11,1)),2)))/$C79,$C79/(50*POWER(80,POWER(COS(PI()*MOD(Calculator!$B$30/Calculator!$F$11,1)),2)))),2))</f>
        <v>—</v>
      </c>
      <c r="E79" s="78" t="str">
        <f aca="false">IF(OR(Calculator!$E$12&lt;&gt;"YES",Calculator!$B$30&lt;Calculator!$G$12),"—",ROUND(MAX((50*POWER(80,POWER(COS(PI()*MOD(Calculator!$B$30/Calculator!$F$12,1)),2)))/$C79,$C79/(50*POWER(80,POWER(COS(PI()*MOD(Calculator!$B$30/Calculator!$F$12,1)),2)))),2))</f>
        <v>—</v>
      </c>
      <c r="F79" s="78" t="str">
        <f aca="false">IF(OR(Calculator!$E$13&lt;&gt;"YES",Calculator!$B$30&lt;Calculator!$G$13),"—",ROUND(MAX((50*POWER(80,POWER(COS(PI()*MOD(Calculator!$B$30/Calculator!$F$13,1)),2)))/$C79,$C79/(50*POWER(80,POWER(COS(PI()*MOD(Calculator!$B$30/Calculator!$F$13,1)),2)))),2))</f>
        <v>—</v>
      </c>
      <c r="G79" s="78" t="n">
        <f aca="false">IF(OR(Calculator!$E$14&lt;&gt;"YES",Calculator!$B$30&lt;Calculator!$G$14),"—",ROUND(MAX((50*POWER(80,POWER(COS(PI()*MOD(Calculator!$B$30/Calculator!$F$14,1)),2)))/$C79,$C79/(50*POWER(80,POWER(COS(PI()*MOD(Calculator!$B$30/Calculator!$F$14,1)),2)))),2))</f>
        <v>21.24</v>
      </c>
      <c r="H79" s="78" t="n">
        <f aca="false">IF(OR(Calculator!$E$15&lt;&gt;"YES",Calculator!$B$30&lt;Calculator!$G$15),"—",ROUND(MAX((50*POWER(80,POWER(COS(PI()*MOD(Calculator!$B$30/Calculator!$F$15,1)),2)))/$C79,$C79/(50*POWER(80,POWER(COS(PI()*MOD(Calculator!$B$30/Calculator!$F$15,1)),2)))),2))</f>
        <v>6.16</v>
      </c>
      <c r="I79" s="78" t="n">
        <f aca="false">IF(OR(Calculator!$E$16&lt;&gt;"YES",Calculator!$B$30&lt;Calculator!$G$16),"—",ROUND(MAX((50*POWER(80,POWER(COS(PI()*MOD(Calculator!$B$30/Calculator!$F$16,1)),2)))/$C79,$C79/(50*POWER(80,POWER(COS(PI()*MOD(Calculator!$B$30/Calculator!$F$16,1)),2)))),2))</f>
        <v>4.21</v>
      </c>
      <c r="J79" s="78" t="n">
        <f aca="false">IF(OR(Calculator!$E$17&lt;&gt;"YES",Calculator!$B$30&lt;Calculator!$G$17),"—",ROUND(MAX((50*POWER(80,POWER(COS(PI()*MOD(Calculator!$B$30/Calculator!$F$17,1)),2)))/$C79,$C79/(50*POWER(80,POWER(COS(PI()*MOD(Calculator!$B$30/Calculator!$F$17,1)),2)))),2))</f>
        <v>11.81</v>
      </c>
      <c r="K79" s="78" t="n">
        <f aca="false">IF(OR(Calculator!$E$18&lt;&gt;"YES",Calculator!$B$30&lt;Calculator!$G$18),"—",ROUND(MAX((50*POWER(80,POWER(COS(PI()*MOD(Calculator!$B$30/Calculator!$F$18,1)),2)))/$C79,$C79/(50*POWER(80,POWER(COS(PI()*MOD(Calculator!$B$30/Calculator!$F$18,1)),2)))),2))</f>
        <v>1.68</v>
      </c>
      <c r="L79" s="78" t="n">
        <f aca="false">IF(OR(Calculator!$E$19&lt;&gt;"YES",Calculator!$B$30&lt;Calculator!$G$19),"—",ROUND(MAX((50*POWER(80,POWER(COS(PI()*MOD(Calculator!$B$30/Calculator!$F$19,1)),2)))/$C79,$C79/(50*POWER(80,POWER(COS(PI()*MOD(Calculator!$B$30/Calculator!$F$19,1)),2)))),2))</f>
        <v>2.99</v>
      </c>
      <c r="M79" s="78" t="n">
        <f aca="false">IF(OR(Calculator!$E$20&lt;&gt;"YES",Calculator!$B$30&lt;Calculator!$G$20),"—",ROUND(MAX((50*POWER(80,POWER(COS(PI()*MOD(Calculator!$B$30/Calculator!$F$20,1)),2)))/$C79,$C79/(50*POWER(80,POWER(COS(PI()*MOD(Calculator!$B$30/Calculator!$F$20,1)),2)))),2))</f>
        <v>18.56</v>
      </c>
      <c r="N79" s="78" t="str">
        <f aca="false">IF(OR(Calculator!$E$21&lt;&gt;"YES",Calculator!$B$30&lt;Calculator!$G$21),"—",ROUND(MAX((50*POWER(80,POWER(COS(PI()*MOD(Calculator!$B$30/Calculator!$F$21,1)),2)))/$C79,$C79/(50*POWER(80,POWER(COS(PI()*MOD(Calculator!$B$30/Calculator!$F$21,1)),2)))),2))</f>
        <v>—</v>
      </c>
      <c r="O79" s="100" t="n">
        <f aca="false">IFERROR(ROUND((IF(ISNUMBER(D79),D79,0)+IF(ISNUMBER(E79),E79,0)+IF(ISNUMBER(F79),F79,0)+IF(ISNUMBER(G79),G79,0)+IF(ISNUMBER(H79),H79,0)+IF(ISNUMBER(I79),I79,0)+IF(ISNUMBER(J79),J79,0)+IF(ISNUMBER(K79),K79,0)+IF(ISNUMBER(L79),L79,0)+IF(ISNUMBER(M79),M79,0)+IF(ISNUMBER(N79),N79,0))/(IF(ISNUMBER(D79),1,0)+IF(ISNUMBER(E79),1,0)+IF(ISNUMBER(F79),1,0)+IF(ISNUMBER(G79),1,0)+IF(ISNUMBER(H79),1,0)+IF(ISNUMBER(I79),1,0)+IF(ISNUMBER(J79),1,0)+IF(ISNUMBER(K79),1,0)+IF(ISNUMBER(L79),1,0)+IF(ISNUMBER(M79),1,0)+IF(ISNUMBER(N79),1,0)),2),"")</f>
        <v>9.52</v>
      </c>
      <c r="P79" s="78" t="str">
        <f aca="false">IF(OR(Calculator!$E$11&lt;&gt;"YES",Calculator!$B$31&lt;Calculator!$G$11),"—",ROUND(MAX((50*POWER(80,POWER(COS(PI()*MOD(Calculator!$B$31/Calculator!$F$11,1)),2)))/$C79,$C79/(50*POWER(80,POWER(COS(PI()*MOD(Calculator!$B$31/Calculator!$F$11,1)),2)))),2))</f>
        <v>—</v>
      </c>
      <c r="Q79" s="78" t="str">
        <f aca="false">IF(OR(Calculator!$E$12&lt;&gt;"YES",Calculator!$B$31&lt;Calculator!$G$12),"—",ROUND(MAX((50*POWER(80,POWER(COS(PI()*MOD(Calculator!$B$31/Calculator!$F$12,1)),2)))/$C79,$C79/(50*POWER(80,POWER(COS(PI()*MOD(Calculator!$B$31/Calculator!$F$12,1)),2)))),2))</f>
        <v>—</v>
      </c>
      <c r="R79" s="78" t="str">
        <f aca="false">IF(OR(Calculator!$E$13&lt;&gt;"YES",Calculator!$B$31&lt;Calculator!$G$13),"—",ROUND(MAX((50*POWER(80,POWER(COS(PI()*MOD(Calculator!$B$31/Calculator!$F$13,1)),2)))/$C79,$C79/(50*POWER(80,POWER(COS(PI()*MOD(Calculator!$B$31/Calculator!$F$13,1)),2)))),2))</f>
        <v>—</v>
      </c>
      <c r="S79" s="78" t="n">
        <f aca="false">IF(OR(Calculator!$E$14&lt;&gt;"YES",Calculator!$B$31&lt;Calculator!$G$14),"—",ROUND(MAX((50*POWER(80,POWER(COS(PI()*MOD(Calculator!$B$31/Calculator!$F$14,1)),2)))/$C79,$C79/(50*POWER(80,POWER(COS(PI()*MOD(Calculator!$B$31/Calculator!$F$14,1)),2)))),2))</f>
        <v>21.74</v>
      </c>
      <c r="T79" s="78" t="n">
        <f aca="false">IF(OR(Calculator!$E$15&lt;&gt;"YES",Calculator!$B$31&lt;Calculator!$G$15),"—",ROUND(MAX((50*POWER(80,POWER(COS(PI()*MOD(Calculator!$B$31/Calculator!$F$15,1)),2)))/$C79,$C79/(50*POWER(80,POWER(COS(PI()*MOD(Calculator!$B$31/Calculator!$F$15,1)),2)))),2))</f>
        <v>13.23</v>
      </c>
      <c r="U79" s="78" t="n">
        <f aca="false">IF(OR(Calculator!$E$16&lt;&gt;"YES",Calculator!$B$31&lt;Calculator!$G$16),"—",ROUND(MAX((50*POWER(80,POWER(COS(PI()*MOD(Calculator!$B$31/Calculator!$F$16,1)),2)))/$C79,$C79/(50*POWER(80,POWER(COS(PI()*MOD(Calculator!$B$31/Calculator!$F$16,1)),2)))),2))</f>
        <v>5.04</v>
      </c>
      <c r="V79" s="78" t="n">
        <f aca="false">IF(OR(Calculator!$E$17&lt;&gt;"YES",Calculator!$B$31&lt;Calculator!$G$17),"—",ROUND(MAX((50*POWER(80,POWER(COS(PI()*MOD(Calculator!$B$31/Calculator!$F$17,1)),2)))/$C79,$C79/(50*POWER(80,POWER(COS(PI()*MOD(Calculator!$B$31/Calculator!$F$17,1)),2)))),2))</f>
        <v>1.45</v>
      </c>
      <c r="W79" s="78" t="n">
        <f aca="false">IF(OR(Calculator!$E$18&lt;&gt;"YES",Calculator!$B$31&lt;Calculator!$G$18),"—",ROUND(MAX((50*POWER(80,POWER(COS(PI()*MOD(Calculator!$B$31/Calculator!$F$18,1)),2)))/$C79,$C79/(50*POWER(80,POWER(COS(PI()*MOD(Calculator!$B$31/Calculator!$F$18,1)),2)))),2))</f>
        <v>1.28</v>
      </c>
      <c r="X79" s="78" t="n">
        <f aca="false">IF(OR(Calculator!$E$19&lt;&gt;"YES",Calculator!$B$31&lt;Calculator!$G$19),"—",ROUND(MAX((50*POWER(80,POWER(COS(PI()*MOD(Calculator!$B$31/Calculator!$F$19,1)),2)))/$C79,$C79/(50*POWER(80,POWER(COS(PI()*MOD(Calculator!$B$31/Calculator!$F$19,1)),2)))),2))</f>
        <v>8.73</v>
      </c>
      <c r="Y79" s="78" t="n">
        <f aca="false">IF(OR(Calculator!$E$20&lt;&gt;"YES",Calculator!$B$31&lt;Calculator!$G$20),"—",ROUND(MAX((50*POWER(80,POWER(COS(PI()*MOD(Calculator!$B$31/Calculator!$F$20,1)),2)))/$C79,$C79/(50*POWER(80,POWER(COS(PI()*MOD(Calculator!$B$31/Calculator!$F$20,1)),2)))),2))</f>
        <v>28.83</v>
      </c>
      <c r="Z79" s="78" t="str">
        <f aca="false">IF(OR(Calculator!$E$21&lt;&gt;"YES",Calculator!$B$31&lt;Calculator!$G$21),"—",ROUND(MAX((50*POWER(80,POWER(COS(PI()*MOD(Calculator!$B$31/Calculator!$F$21,1)),2)))/$C79,$C79/(50*POWER(80,POWER(COS(PI()*MOD(Calculator!$B$31/Calculator!$F$21,1)),2)))),2))</f>
        <v>—</v>
      </c>
      <c r="AA79" s="100" t="n">
        <f aca="false">IFERROR(ROUND((IF(ISNUMBER(P79),P79,0)+IF(ISNUMBER(Q79),Q79,0)+IF(ISNUMBER(R79),R79,0)+IF(ISNUMBER(S79),S79,0)+IF(ISNUMBER(T79),T79,0)+IF(ISNUMBER(U79),U79,0)+IF(ISNUMBER(V79),V79,0)+IF(ISNUMBER(W79),W79,0)+IF(ISNUMBER(X79),X79,0)+IF(ISNUMBER(Y79),Y79,0)+IF(ISNUMBER(Z79),Z79,0))/(IF(ISNUMBER(P79),1,0)+IF(ISNUMBER(Q79),1,0)+IF(ISNUMBER(R79),1,0)+IF(ISNUMBER(S79),1,0)+IF(ISNUMBER(T79),1,0)+IF(ISNUMBER(U79),1,0)+IF(ISNUMBER(V79),1,0)+IF(ISNUMBER(W79),1,0)+IF(ISNUMBER(X79),1,0)+IF(ISNUMBER(Y79),1,0)+IF(ISNUMBER(Z79),1,0)),2),"")</f>
        <v>11.47</v>
      </c>
      <c r="AB79" s="78" t="str">
        <f aca="false">IF(OR(Calculator!$E$11&lt;&gt;"YES",Calculator!$B$32&lt;Calculator!$G$11),"—",ROUND(MAX((50*POWER(80,POWER(COS(PI()*MOD(Calculator!$B$32/Calculator!$F$11,1)),2)))/$C79,$C79/(50*POWER(80,POWER(COS(PI()*MOD(Calculator!$B$32/Calculator!$F$11,1)),2)))),2))</f>
        <v>—</v>
      </c>
      <c r="AC79" s="78" t="str">
        <f aca="false">IF(OR(Calculator!$E$12&lt;&gt;"YES",Calculator!$B$32&lt;Calculator!$G$12),"—",ROUND(MAX((50*POWER(80,POWER(COS(PI()*MOD(Calculator!$B$32/Calculator!$F$12,1)),2)))/$C79,$C79/(50*POWER(80,POWER(COS(PI()*MOD(Calculator!$B$32/Calculator!$F$12,1)),2)))),2))</f>
        <v>—</v>
      </c>
      <c r="AD79" s="78" t="str">
        <f aca="false">IF(OR(Calculator!$E$13&lt;&gt;"YES",Calculator!$B$32&lt;Calculator!$G$13),"—",ROUND(MAX((50*POWER(80,POWER(COS(PI()*MOD(Calculator!$B$32/Calculator!$F$13,1)),2)))/$C79,$C79/(50*POWER(80,POWER(COS(PI()*MOD(Calculator!$B$32/Calculator!$F$13,1)),2)))),2))</f>
        <v>—</v>
      </c>
      <c r="AE79" s="78" t="n">
        <f aca="false">IF(OR(Calculator!$E$14&lt;&gt;"YES",Calculator!$B$32&lt;Calculator!$G$14),"—",ROUND(MAX((50*POWER(80,POWER(COS(PI()*MOD(Calculator!$B$32/Calculator!$F$14,1)),2)))/$C79,$C79/(50*POWER(80,POWER(COS(PI()*MOD(Calculator!$B$32/Calculator!$F$14,1)),2)))),2))</f>
        <v>13.73</v>
      </c>
      <c r="AF79" s="78" t="n">
        <f aca="false">IF(OR(Calculator!$E$15&lt;&gt;"YES",Calculator!$B$32&lt;Calculator!$G$15),"—",ROUND(MAX((50*POWER(80,POWER(COS(PI()*MOD(Calculator!$B$32/Calculator!$F$15,1)),2)))/$C79,$C79/(50*POWER(80,POWER(COS(PI()*MOD(Calculator!$B$32/Calculator!$F$15,1)),2)))),2))</f>
        <v>8.88</v>
      </c>
      <c r="AG79" s="78" t="n">
        <f aca="false">IF(OR(Calculator!$E$16&lt;&gt;"YES",Calculator!$B$32&lt;Calculator!$G$16),"—",ROUND(MAX((50*POWER(80,POWER(COS(PI()*MOD(Calculator!$B$32/Calculator!$F$16,1)),2)))/$C79,$C79/(50*POWER(80,POWER(COS(PI()*MOD(Calculator!$B$32/Calculator!$F$16,1)),2)))),2))</f>
        <v>29.97</v>
      </c>
      <c r="AH79" s="78" t="n">
        <f aca="false">IF(OR(Calculator!$E$17&lt;&gt;"YES",Calculator!$B$32&lt;Calculator!$G$17),"—",ROUND(MAX((50*POWER(80,POWER(COS(PI()*MOD(Calculator!$B$32/Calculator!$F$17,1)),2)))/$C79,$C79/(50*POWER(80,POWER(COS(PI()*MOD(Calculator!$B$32/Calculator!$F$17,1)),2)))),2))</f>
        <v>1.02</v>
      </c>
      <c r="AI79" s="78" t="n">
        <f aca="false">IF(OR(Calculator!$E$18&lt;&gt;"YES",Calculator!$B$32&lt;Calculator!$G$18),"—",ROUND(MAX((50*POWER(80,POWER(COS(PI()*MOD(Calculator!$B$32/Calculator!$F$18,1)),2)))/$C79,$C79/(50*POWER(80,POWER(COS(PI()*MOD(Calculator!$B$32/Calculator!$F$18,1)),2)))),2))</f>
        <v>1.06</v>
      </c>
      <c r="AJ79" s="78" t="n">
        <f aca="false">IF(OR(Calculator!$E$19&lt;&gt;"YES",Calculator!$B$32&lt;Calculator!$G$19),"—",ROUND(MAX((50*POWER(80,POWER(COS(PI()*MOD(Calculator!$B$32/Calculator!$F$19,1)),2)))/$C79,$C79/(50*POWER(80,POWER(COS(PI()*MOD(Calculator!$B$32/Calculator!$F$19,1)),2)))),2))</f>
        <v>1.12</v>
      </c>
      <c r="AK79" s="78" t="n">
        <f aca="false">IF(OR(Calculator!$E$20&lt;&gt;"YES",Calculator!$B$32&lt;Calculator!$G$20),"—",ROUND(MAX((50*POWER(80,POWER(COS(PI()*MOD(Calculator!$B$32/Calculator!$F$20,1)),2)))/$C79,$C79/(50*POWER(80,POWER(COS(PI()*MOD(Calculator!$B$32/Calculator!$F$20,1)),2)))),2))</f>
        <v>23.57</v>
      </c>
      <c r="AL79" s="78" t="str">
        <f aca="false">IF(OR(Calculator!$E$21&lt;&gt;"YES",Calculator!$B$32&lt;Calculator!$G$21),"—",ROUND(MAX((50*POWER(80,POWER(COS(PI()*MOD(Calculator!$B$32/Calculator!$F$21,1)),2)))/$C79,$C79/(50*POWER(80,POWER(COS(PI()*MOD(Calculator!$B$32/Calculator!$F$21,1)),2)))),2))</f>
        <v>—</v>
      </c>
      <c r="AM79" s="101" t="n">
        <f aca="false">IFERROR(ROUND((IF(ISNUMBER(AB79),AB79,0)+IF(ISNUMBER(AC79),AC79,0)+IF(ISNUMBER(AD79),AD79,0)+IF(ISNUMBER(AE79),AE79,0)+IF(ISNUMBER(AF79),AF79,0)+IF(ISNUMBER(AG79),AG79,0)+IF(ISNUMBER(AH79),AH79,0)+IF(ISNUMBER(AI79),AI79,0)+IF(ISNUMBER(AJ79),AJ79,0)+IF(ISNUMBER(AK79),AK79,0)+IF(ISNUMBER(AL79),AL79,0))/(IF(ISNUMBER(AB79),1,0)+IF(ISNUMBER(AC79),1,0)+IF(ISNUMBER(AD79),1,0)+IF(ISNUMBER(AE79),1,0)+IF(ISNUMBER(AF79),1,0)+IF(ISNUMBER(AG79),1,0)+IF(ISNUMBER(AH79),1,0)+IF(ISNUMBER(AI79),1,0)+IF(ISNUMBER(AJ79),1,0)+IF(ISNUMBER(AK79),1,0)+IF(ISNUMBER(AL79),1,0)),2),"")</f>
        <v>11.34</v>
      </c>
      <c r="AN79" s="102" t="str">
        <f aca="false">IF(OR(Calculator!$E$11&lt;&gt;"YES",Calculator!$B$33&lt;Calculator!$G$11),"—",ROUND(MAX((50*POWER(80,POWER(COS(PI()*MOD(Calculator!$B$33/Calculator!$F$11,1)),2)))/$C79,$C79/(50*POWER(80,POWER(COS(PI()*MOD(Calculator!$B$33/Calculator!$F$11,1)),2)))),2))</f>
        <v>—</v>
      </c>
      <c r="AO79" s="102" t="str">
        <f aca="false">IF(OR(Calculator!$E$12&lt;&gt;"YES",Calculator!$B$33&lt;Calculator!$G$12),"—",ROUND(MAX((50*POWER(80,POWER(COS(PI()*MOD(Calculator!$B$33/Calculator!$F$12,1)),2)))/$C79,$C79/(50*POWER(80,POWER(COS(PI()*MOD(Calculator!$B$33/Calculator!$F$12,1)),2)))),2))</f>
        <v>—</v>
      </c>
      <c r="AP79" s="102" t="str">
        <f aca="false">IF(OR(Calculator!$E$13&lt;&gt;"YES",Calculator!$B$33&lt;Calculator!$G$13),"—",ROUND(MAX((50*POWER(80,POWER(COS(PI()*MOD(Calculator!$B$33/Calculator!$F$13,1)),2)))/$C79,$C79/(50*POWER(80,POWER(COS(PI()*MOD(Calculator!$B$33/Calculator!$F$13,1)),2)))),2))</f>
        <v>—</v>
      </c>
      <c r="AQ79" s="102" t="n">
        <f aca="false">IF(OR(Calculator!$E$14&lt;&gt;"YES",Calculator!$B$33&lt;Calculator!$G$14),"—",ROUND(MAX((50*POWER(80,POWER(COS(PI()*MOD(Calculator!$B$33/Calculator!$F$14,1)),2)))/$C79,$C79/(50*POWER(80,POWER(COS(PI()*MOD(Calculator!$B$33/Calculator!$F$14,1)),2)))),2))</f>
        <v>1.16</v>
      </c>
      <c r="AR79" s="102" t="n">
        <f aca="false">IF(OR(Calculator!$E$15&lt;&gt;"YES",Calculator!$B$33&lt;Calculator!$G$15),"—",ROUND(MAX((50*POWER(80,POWER(COS(PI()*MOD(Calculator!$B$33/Calculator!$F$15,1)),2)))/$C79,$C79/(50*POWER(80,POWER(COS(PI()*MOD(Calculator!$B$33/Calculator!$F$15,1)),2)))),2))</f>
        <v>8.01</v>
      </c>
      <c r="AS79" s="102" t="n">
        <f aca="false">IF(OR(Calculator!$E$16&lt;&gt;"YES",Calculator!$B$33&lt;Calculator!$G$16),"—",ROUND(MAX((50*POWER(80,POWER(COS(PI()*MOD(Calculator!$B$33/Calculator!$F$16,1)),2)))/$C79,$C79/(50*POWER(80,POWER(COS(PI()*MOD(Calculator!$B$33/Calculator!$F$16,1)),2)))),2))</f>
        <v>2.93</v>
      </c>
      <c r="AT79" s="102" t="n">
        <f aca="false">IF(OR(Calculator!$E$17&lt;&gt;"YES",Calculator!$B$33&lt;Calculator!$G$17),"—",ROUND(MAX((50*POWER(80,POWER(COS(PI()*MOD(Calculator!$B$33/Calculator!$F$17,1)),2)))/$C79,$C79/(50*POWER(80,POWER(COS(PI()*MOD(Calculator!$B$33/Calculator!$F$17,1)),2)))),2))</f>
        <v>9.29</v>
      </c>
      <c r="AU79" s="102" t="n">
        <f aca="false">IF(OR(Calculator!$E$18&lt;&gt;"YES",Calculator!$B$33&lt;Calculator!$G$18),"—",ROUND(MAX((50*POWER(80,POWER(COS(PI()*MOD(Calculator!$B$33/Calculator!$F$18,1)),2)))/$C79,$C79/(50*POWER(80,POWER(COS(PI()*MOD(Calculator!$B$33/Calculator!$F$18,1)),2)))),2))</f>
        <v>12.56</v>
      </c>
      <c r="AV79" s="102" t="n">
        <f aca="false">IF(OR(Calculator!$E$19&lt;&gt;"YES",Calculator!$B$33&lt;Calculator!$G$19),"—",ROUND(MAX((50*POWER(80,POWER(COS(PI()*MOD(Calculator!$B$33/Calculator!$F$19,1)),2)))/$C79,$C79/(50*POWER(80,POWER(COS(PI()*MOD(Calculator!$B$33/Calculator!$F$19,1)),2)))),2))</f>
        <v>1.53</v>
      </c>
      <c r="AW79" s="102" t="n">
        <f aca="false">IF(OR(Calculator!$E$20&lt;&gt;"YES",Calculator!$B$33&lt;Calculator!$G$20),"—",ROUND(MAX((50*POWER(80,POWER(COS(PI()*MOD(Calculator!$B$33/Calculator!$F$20,1)),2)))/$C79,$C79/(50*POWER(80,POWER(COS(PI()*MOD(Calculator!$B$33/Calculator!$F$20,1)),2)))),2))</f>
        <v>19.18</v>
      </c>
      <c r="AX79" s="102" t="str">
        <f aca="false">IF(OR(Calculator!$E$21&lt;&gt;"YES",Calculator!$B$33&lt;Calculator!$G$21),"—",ROUND(MAX((50*POWER(80,POWER(COS(PI()*MOD(Calculator!$B$33/Calculator!$F$21,1)),2)))/$C79,$C79/(50*POWER(80,POWER(COS(PI()*MOD(Calculator!$B$33/Calculator!$F$21,1)),2)))),2))</f>
        <v>—</v>
      </c>
      <c r="AY79" s="101" t="n">
        <f aca="false">IFERROR(ROUND((IF(ISNUMBER(AN79),AN79,0)+IF(ISNUMBER(AO79),AO79,0)+IF(ISNUMBER(AP79),AP79,0)+IF(ISNUMBER(AQ79),AQ79,0)+IF(ISNUMBER(AR79),AR79,0)+IF(ISNUMBER(AS79),AS79,0)+IF(ISNUMBER(AT79),AT79,0)+IF(ISNUMBER(AU79),AU79,0)+IF(ISNUMBER(AV79),AV79,0)+IF(ISNUMBER(AW79),AW79,0)+IF(ISNUMBER(AX79),AX79,0))/(IF(ISNUMBER(AN79),1,0)+IF(ISNUMBER(AO79),1,0)+IF(ISNUMBER(AP79),1,0)+IF(ISNUMBER(AQ79),1,0)+IF(ISNUMBER(AR79),1,0)+IF(ISNUMBER(AS79),1,0)+IF(ISNUMBER(AT79),1,0)+IF(ISNUMBER(AU79),1,0)+IF(ISNUMBER(AV79),1,0)+IF(ISNUMBER(AW79),1,0)+IF(ISNUMBER(AX79),1,0)),2),"")</f>
        <v>7.81</v>
      </c>
      <c r="AZ79" s="102" t="str">
        <f aca="false">IF(OR(Calculator!$E$11&lt;&gt;"YES",Calculator!$B$34&lt;Calculator!$G$11),"—",ROUND(MAX((50*POWER(80,POWER(COS(PI()*MOD(Calculator!$B$34/Calculator!$F$11,1)),2)))/$C79,$C79/(50*POWER(80,POWER(COS(PI()*MOD(Calculator!$B$34/Calculator!$F$11,1)),2)))),2))</f>
        <v>—</v>
      </c>
      <c r="BA79" s="102" t="str">
        <f aca="false">IF(OR(Calculator!$E$12&lt;&gt;"YES",Calculator!$B$34&lt;Calculator!$G$12),"—",ROUND(MAX((50*POWER(80,POWER(COS(PI()*MOD(Calculator!$B$34/Calculator!$F$12,1)),2)))/$C79,$C79/(50*POWER(80,POWER(COS(PI()*MOD(Calculator!$B$34/Calculator!$F$12,1)),2)))),2))</f>
        <v>—</v>
      </c>
      <c r="BB79" s="102" t="str">
        <f aca="false">IF(OR(Calculator!$E$13&lt;&gt;"YES",Calculator!$B$34&lt;Calculator!$G$13),"—",ROUND(MAX((50*POWER(80,POWER(COS(PI()*MOD(Calculator!$B$34/Calculator!$F$13,1)),2)))/$C79,$C79/(50*POWER(80,POWER(COS(PI()*MOD(Calculator!$B$34/Calculator!$F$13,1)),2)))),2))</f>
        <v>—</v>
      </c>
      <c r="BC79" s="102" t="n">
        <f aca="false">IF(OR(Calculator!$E$14&lt;&gt;"YES",Calculator!$B$34&lt;Calculator!$G$14),"—",ROUND(MAX((50*POWER(80,POWER(COS(PI()*MOD(Calculator!$B$34/Calculator!$F$14,1)),2)))/$C79,$C79/(50*POWER(80,POWER(COS(PI()*MOD(Calculator!$B$34/Calculator!$F$14,1)),2)))),2))</f>
        <v>1.18</v>
      </c>
      <c r="BD79" s="102" t="n">
        <f aca="false">IF(OR(Calculator!$E$15&lt;&gt;"YES",Calculator!$B$34&lt;Calculator!$G$15),"—",ROUND(MAX((50*POWER(80,POWER(COS(PI()*MOD(Calculator!$B$34/Calculator!$F$15,1)),2)))/$C79,$C79/(50*POWER(80,POWER(COS(PI()*MOD(Calculator!$B$34/Calculator!$F$15,1)),2)))),2))</f>
        <v>10.34</v>
      </c>
      <c r="BE79" s="102" t="n">
        <f aca="false">IF(OR(Calculator!$E$16&lt;&gt;"YES",Calculator!$B$34&lt;Calculator!$G$16),"—",ROUND(MAX((50*POWER(80,POWER(COS(PI()*MOD(Calculator!$B$34/Calculator!$F$16,1)),2)))/$C79,$C79/(50*POWER(80,POWER(COS(PI()*MOD(Calculator!$B$34/Calculator!$F$16,1)),2)))),2))</f>
        <v>3.49</v>
      </c>
      <c r="BF79" s="102" t="n">
        <f aca="false">IF(OR(Calculator!$E$17&lt;&gt;"YES",Calculator!$B$34&lt;Calculator!$G$17),"—",ROUND(MAX((50*POWER(80,POWER(COS(PI()*MOD(Calculator!$B$34/Calculator!$F$17,1)),2)))/$C79,$C79/(50*POWER(80,POWER(COS(PI()*MOD(Calculator!$B$34/Calculator!$F$17,1)),2)))),2))</f>
        <v>1.8</v>
      </c>
      <c r="BG79" s="102" t="n">
        <f aca="false">IF(OR(Calculator!$E$18&lt;&gt;"YES",Calculator!$B$34&lt;Calculator!$G$18),"—",ROUND(MAX((50*POWER(80,POWER(COS(PI()*MOD(Calculator!$B$34/Calculator!$F$18,1)),2)))/$C79,$C79/(50*POWER(80,POWER(COS(PI()*MOD(Calculator!$B$34/Calculator!$F$18,1)),2)))),2))</f>
        <v>17</v>
      </c>
      <c r="BH79" s="102" t="n">
        <f aca="false">IF(OR(Calculator!$E$19&lt;&gt;"YES",Calculator!$B$34&lt;Calculator!$G$19),"—",ROUND(MAX((50*POWER(80,POWER(COS(PI()*MOD(Calculator!$B$34/Calculator!$F$19,1)),2)))/$C79,$C79/(50*POWER(80,POWER(COS(PI()*MOD(Calculator!$B$34/Calculator!$F$19,1)),2)))),2))</f>
        <v>18.91</v>
      </c>
      <c r="BI79" s="102" t="n">
        <f aca="false">IF(OR(Calculator!$E$20&lt;&gt;"YES",Calculator!$B$34&lt;Calculator!$G$20),"—",ROUND(MAX((50*POWER(80,POWER(COS(PI()*MOD(Calculator!$B$34/Calculator!$F$20,1)),2)))/$C79,$C79/(50*POWER(80,POWER(COS(PI()*MOD(Calculator!$B$34/Calculator!$F$20,1)),2)))),2))</f>
        <v>11.28</v>
      </c>
      <c r="BJ79" s="102" t="str">
        <f aca="false">IF(OR(Calculator!$E$21&lt;&gt;"YES",Calculator!$B$34&lt;Calculator!$G$21),"—",ROUND(MAX((50*POWER(80,POWER(COS(PI()*MOD(Calculator!$B$34/Calculator!$F$21,1)),2)))/$C79,$C79/(50*POWER(80,POWER(COS(PI()*MOD(Calculator!$B$34/Calculator!$F$21,1)),2)))),2))</f>
        <v>—</v>
      </c>
      <c r="BK79" s="101" t="n">
        <f aca="false">IFERROR(ROUND((IF(ISNUMBER(AZ79),AZ79,0)+IF(ISNUMBER(BA79),BA79,0)+IF(ISNUMBER(BB79),BB79,0)+IF(ISNUMBER(BC79),BC79,0)+IF(ISNUMBER(BD79),BD79,0)+IF(ISNUMBER(BE79),BE79,0)+IF(ISNUMBER(BF79),BF79,0)+IF(ISNUMBER(BG79),BG79,0)+IF(ISNUMBER(BH79),BH79,0)+IF(ISNUMBER(BI79),BI79,0)+IF(ISNUMBER(BJ79),BJ79,0))/(IF(ISNUMBER(AZ79),1,0)+IF(ISNUMBER(BA79),1,0)+IF(ISNUMBER(BB79),1,0)+IF(ISNUMBER(BC79),1,0)+IF(ISNUMBER(BD79),1,0)+IF(ISNUMBER(BE79),1,0)+IF(ISNUMBER(BF79),1,0)+IF(ISNUMBER(BG79),1,0)+IF(ISNUMBER(BH79),1,0)+IF(ISNUMBER(BI79),1,0)+IF(ISNUMBER(BJ79),1,0)),2),"")</f>
        <v>9.14</v>
      </c>
    </row>
    <row r="80" customFormat="false" ht="15" hidden="false" customHeight="false" outlineLevel="0" collapsed="false">
      <c r="A80" s="103" t="s">
        <v>131</v>
      </c>
      <c r="B80" s="103" t="s">
        <v>86</v>
      </c>
      <c r="C80" s="104" t="n">
        <v>2400</v>
      </c>
      <c r="D80" s="105" t="str">
        <f aca="false">IF(OR(Calculator!$E$11&lt;&gt;"YES",Calculator!$B$30&lt;Calculator!$G$11),"—",ROUND(MAX((50*POWER(80,POWER(COS(PI()*MOD(Calculator!$B$30/Calculator!$F$11,1)),2)))/$C80,$C80/(50*POWER(80,POWER(COS(PI()*MOD(Calculator!$B$30/Calculator!$F$11,1)),2)))),2))</f>
        <v>—</v>
      </c>
      <c r="E80" s="105" t="str">
        <f aca="false">IF(OR(Calculator!$E$12&lt;&gt;"YES",Calculator!$B$30&lt;Calculator!$G$12),"—",ROUND(MAX((50*POWER(80,POWER(COS(PI()*MOD(Calculator!$B$30/Calculator!$F$12,1)),2)))/$C80,$C80/(50*POWER(80,POWER(COS(PI()*MOD(Calculator!$B$30/Calculator!$F$12,1)),2)))),2))</f>
        <v>—</v>
      </c>
      <c r="F80" s="105" t="str">
        <f aca="false">IF(OR(Calculator!$E$13&lt;&gt;"YES",Calculator!$B$30&lt;Calculator!$G$13),"—",ROUND(MAX((50*POWER(80,POWER(COS(PI()*MOD(Calculator!$B$30/Calculator!$F$13,1)),2)))/$C80,$C80/(50*POWER(80,POWER(COS(PI()*MOD(Calculator!$B$30/Calculator!$F$13,1)),2)))),2))</f>
        <v>—</v>
      </c>
      <c r="G80" s="105" t="n">
        <f aca="false">IF(OR(Calculator!$E$14&lt;&gt;"YES",Calculator!$B$30&lt;Calculator!$G$14),"—",ROUND(MAX((50*POWER(80,POWER(COS(PI()*MOD(Calculator!$B$30/Calculator!$F$14,1)),2)))/$C80,$C80/(50*POWER(80,POWER(COS(PI()*MOD(Calculator!$B$30/Calculator!$F$14,1)),2)))),2))</f>
        <v>21.69</v>
      </c>
      <c r="H80" s="105" t="n">
        <f aca="false">IF(OR(Calculator!$E$15&lt;&gt;"YES",Calculator!$B$30&lt;Calculator!$G$15),"—",ROUND(MAX((50*POWER(80,POWER(COS(PI()*MOD(Calculator!$B$30/Calculator!$F$15,1)),2)))/$C80,$C80/(50*POWER(80,POWER(COS(PI()*MOD(Calculator!$B$30/Calculator!$F$15,1)),2)))),2))</f>
        <v>6.29</v>
      </c>
      <c r="I80" s="105" t="n">
        <f aca="false">IF(OR(Calculator!$E$16&lt;&gt;"YES",Calculator!$B$30&lt;Calculator!$G$16),"—",ROUND(MAX((50*POWER(80,POWER(COS(PI()*MOD(Calculator!$B$30/Calculator!$F$16,1)),2)))/$C80,$C80/(50*POWER(80,POWER(COS(PI()*MOD(Calculator!$B$30/Calculator!$F$16,1)),2)))),2))</f>
        <v>4.3</v>
      </c>
      <c r="J80" s="105" t="n">
        <f aca="false">IF(OR(Calculator!$E$17&lt;&gt;"YES",Calculator!$B$30&lt;Calculator!$G$17),"—",ROUND(MAX((50*POWER(80,POWER(COS(PI()*MOD(Calculator!$B$30/Calculator!$F$17,1)),2)))/$C80,$C80/(50*POWER(80,POWER(COS(PI()*MOD(Calculator!$B$30/Calculator!$F$17,1)),2)))),2))</f>
        <v>12.06</v>
      </c>
      <c r="K80" s="105" t="n">
        <f aca="false">IF(OR(Calculator!$E$18&lt;&gt;"YES",Calculator!$B$30&lt;Calculator!$G$18),"—",ROUND(MAX((50*POWER(80,POWER(COS(PI()*MOD(Calculator!$B$30/Calculator!$F$18,1)),2)))/$C80,$C80/(50*POWER(80,POWER(COS(PI()*MOD(Calculator!$B$30/Calculator!$F$18,1)),2)))),2))</f>
        <v>1.72</v>
      </c>
      <c r="L80" s="105" t="n">
        <f aca="false">IF(OR(Calculator!$E$19&lt;&gt;"YES",Calculator!$B$30&lt;Calculator!$G$19),"—",ROUND(MAX((50*POWER(80,POWER(COS(PI()*MOD(Calculator!$B$30/Calculator!$F$19,1)),2)))/$C80,$C80/(50*POWER(80,POWER(COS(PI()*MOD(Calculator!$B$30/Calculator!$F$19,1)),2)))),2))</f>
        <v>3.06</v>
      </c>
      <c r="M80" s="105" t="n">
        <f aca="false">IF(OR(Calculator!$E$20&lt;&gt;"YES",Calculator!$B$30&lt;Calculator!$G$20),"—",ROUND(MAX((50*POWER(80,POWER(COS(PI()*MOD(Calculator!$B$30/Calculator!$F$20,1)),2)))/$C80,$C80/(50*POWER(80,POWER(COS(PI()*MOD(Calculator!$B$30/Calculator!$F$20,1)),2)))),2))</f>
        <v>18.96</v>
      </c>
      <c r="N80" s="105" t="str">
        <f aca="false">IF(OR(Calculator!$E$21&lt;&gt;"YES",Calculator!$B$30&lt;Calculator!$G$21),"—",ROUND(MAX((50*POWER(80,POWER(COS(PI()*MOD(Calculator!$B$30/Calculator!$F$21,1)),2)))/$C80,$C80/(50*POWER(80,POWER(COS(PI()*MOD(Calculator!$B$30/Calculator!$F$21,1)),2)))),2))</f>
        <v>—</v>
      </c>
      <c r="O80" s="100" t="n">
        <f aca="false">IFERROR(ROUND((IF(ISNUMBER(D80),D80,0)+IF(ISNUMBER(E80),E80,0)+IF(ISNUMBER(F80),F80,0)+IF(ISNUMBER(G80),G80,0)+IF(ISNUMBER(H80),H80,0)+IF(ISNUMBER(I80),I80,0)+IF(ISNUMBER(J80),J80,0)+IF(ISNUMBER(K80),K80,0)+IF(ISNUMBER(L80),L80,0)+IF(ISNUMBER(M80),M80,0)+IF(ISNUMBER(N80),N80,0))/(IF(ISNUMBER(D80),1,0)+IF(ISNUMBER(E80),1,0)+IF(ISNUMBER(F80),1,0)+IF(ISNUMBER(G80),1,0)+IF(ISNUMBER(H80),1,0)+IF(ISNUMBER(I80),1,0)+IF(ISNUMBER(J80),1,0)+IF(ISNUMBER(K80),1,0)+IF(ISNUMBER(L80),1,0)+IF(ISNUMBER(M80),1,0)+IF(ISNUMBER(N80),1,0)),2),"")</f>
        <v>9.73</v>
      </c>
      <c r="P80" s="105" t="str">
        <f aca="false">IF(OR(Calculator!$E$11&lt;&gt;"YES",Calculator!$B$31&lt;Calculator!$G$11),"—",ROUND(MAX((50*POWER(80,POWER(COS(PI()*MOD(Calculator!$B$31/Calculator!$F$11,1)),2)))/$C80,$C80/(50*POWER(80,POWER(COS(PI()*MOD(Calculator!$B$31/Calculator!$F$11,1)),2)))),2))</f>
        <v>—</v>
      </c>
      <c r="Q80" s="105" t="str">
        <f aca="false">IF(OR(Calculator!$E$12&lt;&gt;"YES",Calculator!$B$31&lt;Calculator!$G$12),"—",ROUND(MAX((50*POWER(80,POWER(COS(PI()*MOD(Calculator!$B$31/Calculator!$F$12,1)),2)))/$C80,$C80/(50*POWER(80,POWER(COS(PI()*MOD(Calculator!$B$31/Calculator!$F$12,1)),2)))),2))</f>
        <v>—</v>
      </c>
      <c r="R80" s="105" t="str">
        <f aca="false">IF(OR(Calculator!$E$13&lt;&gt;"YES",Calculator!$B$31&lt;Calculator!$G$13),"—",ROUND(MAX((50*POWER(80,POWER(COS(PI()*MOD(Calculator!$B$31/Calculator!$F$13,1)),2)))/$C80,$C80/(50*POWER(80,POWER(COS(PI()*MOD(Calculator!$B$31/Calculator!$F$13,1)),2)))),2))</f>
        <v>—</v>
      </c>
      <c r="S80" s="105" t="n">
        <f aca="false">IF(OR(Calculator!$E$14&lt;&gt;"YES",Calculator!$B$31&lt;Calculator!$G$14),"—",ROUND(MAX((50*POWER(80,POWER(COS(PI()*MOD(Calculator!$B$31/Calculator!$F$14,1)),2)))/$C80,$C80/(50*POWER(80,POWER(COS(PI()*MOD(Calculator!$B$31/Calculator!$F$14,1)),2)))),2))</f>
        <v>22.2</v>
      </c>
      <c r="T80" s="105" t="n">
        <f aca="false">IF(OR(Calculator!$E$15&lt;&gt;"YES",Calculator!$B$31&lt;Calculator!$G$15),"—",ROUND(MAX((50*POWER(80,POWER(COS(PI()*MOD(Calculator!$B$31/Calculator!$F$15,1)),2)))/$C80,$C80/(50*POWER(80,POWER(COS(PI()*MOD(Calculator!$B$31/Calculator!$F$15,1)),2)))),2))</f>
        <v>13.51</v>
      </c>
      <c r="U80" s="105" t="n">
        <f aca="false">IF(OR(Calculator!$E$16&lt;&gt;"YES",Calculator!$B$31&lt;Calculator!$G$16),"—",ROUND(MAX((50*POWER(80,POWER(COS(PI()*MOD(Calculator!$B$31/Calculator!$F$16,1)),2)))/$C80,$C80/(50*POWER(80,POWER(COS(PI()*MOD(Calculator!$B$31/Calculator!$F$16,1)),2)))),2))</f>
        <v>5.14</v>
      </c>
      <c r="V80" s="105" t="n">
        <f aca="false">IF(OR(Calculator!$E$17&lt;&gt;"YES",Calculator!$B$31&lt;Calculator!$G$17),"—",ROUND(MAX((50*POWER(80,POWER(COS(PI()*MOD(Calculator!$B$31/Calculator!$F$17,1)),2)))/$C80,$C80/(50*POWER(80,POWER(COS(PI()*MOD(Calculator!$B$31/Calculator!$F$17,1)),2)))),2))</f>
        <v>1.48</v>
      </c>
      <c r="W80" s="105" t="n">
        <f aca="false">IF(OR(Calculator!$E$18&lt;&gt;"YES",Calculator!$B$31&lt;Calculator!$G$18),"—",ROUND(MAX((50*POWER(80,POWER(COS(PI()*MOD(Calculator!$B$31/Calculator!$F$18,1)),2)))/$C80,$C80/(50*POWER(80,POWER(COS(PI()*MOD(Calculator!$B$31/Calculator!$F$18,1)),2)))),2))</f>
        <v>1.3</v>
      </c>
      <c r="X80" s="105" t="n">
        <f aca="false">IF(OR(Calculator!$E$19&lt;&gt;"YES",Calculator!$B$31&lt;Calculator!$G$19),"—",ROUND(MAX((50*POWER(80,POWER(COS(PI()*MOD(Calculator!$B$31/Calculator!$F$19,1)),2)))/$C80,$C80/(50*POWER(80,POWER(COS(PI()*MOD(Calculator!$B$31/Calculator!$F$19,1)),2)))),2))</f>
        <v>8.92</v>
      </c>
      <c r="Y80" s="105" t="n">
        <f aca="false">IF(OR(Calculator!$E$20&lt;&gt;"YES",Calculator!$B$31&lt;Calculator!$G$20),"—",ROUND(MAX((50*POWER(80,POWER(COS(PI()*MOD(Calculator!$B$31/Calculator!$F$20,1)),2)))/$C80,$C80/(50*POWER(80,POWER(COS(PI()*MOD(Calculator!$B$31/Calculator!$F$20,1)),2)))),2))</f>
        <v>29.45</v>
      </c>
      <c r="Z80" s="105" t="str">
        <f aca="false">IF(OR(Calculator!$E$21&lt;&gt;"YES",Calculator!$B$31&lt;Calculator!$G$21),"—",ROUND(MAX((50*POWER(80,POWER(COS(PI()*MOD(Calculator!$B$31/Calculator!$F$21,1)),2)))/$C80,$C80/(50*POWER(80,POWER(COS(PI()*MOD(Calculator!$B$31/Calculator!$F$21,1)),2)))),2))</f>
        <v>—</v>
      </c>
      <c r="AA80" s="100" t="n">
        <f aca="false">IFERROR(ROUND((IF(ISNUMBER(P80),P80,0)+IF(ISNUMBER(Q80),Q80,0)+IF(ISNUMBER(R80),R80,0)+IF(ISNUMBER(S80),S80,0)+IF(ISNUMBER(T80),T80,0)+IF(ISNUMBER(U80),U80,0)+IF(ISNUMBER(V80),V80,0)+IF(ISNUMBER(W80),W80,0)+IF(ISNUMBER(X80),X80,0)+IF(ISNUMBER(Y80),Y80,0)+IF(ISNUMBER(Z80),Z80,0))/(IF(ISNUMBER(P80),1,0)+IF(ISNUMBER(Q80),1,0)+IF(ISNUMBER(R80),1,0)+IF(ISNUMBER(S80),1,0)+IF(ISNUMBER(T80),1,0)+IF(ISNUMBER(U80),1,0)+IF(ISNUMBER(V80),1,0)+IF(ISNUMBER(W80),1,0)+IF(ISNUMBER(X80),1,0)+IF(ISNUMBER(Y80),1,0)+IF(ISNUMBER(Z80),1,0)),2),"")</f>
        <v>11.71</v>
      </c>
      <c r="AB80" s="105" t="str">
        <f aca="false">IF(OR(Calculator!$E$11&lt;&gt;"YES",Calculator!$B$32&lt;Calculator!$G$11),"—",ROUND(MAX((50*POWER(80,POWER(COS(PI()*MOD(Calculator!$B$32/Calculator!$F$11,1)),2)))/$C80,$C80/(50*POWER(80,POWER(COS(PI()*MOD(Calculator!$B$32/Calculator!$F$11,1)),2)))),2))</f>
        <v>—</v>
      </c>
      <c r="AC80" s="105" t="str">
        <f aca="false">IF(OR(Calculator!$E$12&lt;&gt;"YES",Calculator!$B$32&lt;Calculator!$G$12),"—",ROUND(MAX((50*POWER(80,POWER(COS(PI()*MOD(Calculator!$B$32/Calculator!$F$12,1)),2)))/$C80,$C80/(50*POWER(80,POWER(COS(PI()*MOD(Calculator!$B$32/Calculator!$F$12,1)),2)))),2))</f>
        <v>—</v>
      </c>
      <c r="AD80" s="105" t="str">
        <f aca="false">IF(OR(Calculator!$E$13&lt;&gt;"YES",Calculator!$B$32&lt;Calculator!$G$13),"—",ROUND(MAX((50*POWER(80,POWER(COS(PI()*MOD(Calculator!$B$32/Calculator!$F$13,1)),2)))/$C80,$C80/(50*POWER(80,POWER(COS(PI()*MOD(Calculator!$B$32/Calculator!$F$13,1)),2)))),2))</f>
        <v>—</v>
      </c>
      <c r="AE80" s="105" t="n">
        <f aca="false">IF(OR(Calculator!$E$14&lt;&gt;"YES",Calculator!$B$32&lt;Calculator!$G$14),"—",ROUND(MAX((50*POWER(80,POWER(COS(PI()*MOD(Calculator!$B$32/Calculator!$F$14,1)),2)))/$C80,$C80/(50*POWER(80,POWER(COS(PI()*MOD(Calculator!$B$32/Calculator!$F$14,1)),2)))),2))</f>
        <v>14.02</v>
      </c>
      <c r="AF80" s="105" t="n">
        <f aca="false">IF(OR(Calculator!$E$15&lt;&gt;"YES",Calculator!$B$32&lt;Calculator!$G$15),"—",ROUND(MAX((50*POWER(80,POWER(COS(PI()*MOD(Calculator!$B$32/Calculator!$F$15,1)),2)))/$C80,$C80/(50*POWER(80,POWER(COS(PI()*MOD(Calculator!$B$32/Calculator!$F$15,1)),2)))),2))</f>
        <v>9.07</v>
      </c>
      <c r="AG80" s="105" t="n">
        <f aca="false">IF(OR(Calculator!$E$16&lt;&gt;"YES",Calculator!$B$32&lt;Calculator!$G$16),"—",ROUND(MAX((50*POWER(80,POWER(COS(PI()*MOD(Calculator!$B$32/Calculator!$F$16,1)),2)))/$C80,$C80/(50*POWER(80,POWER(COS(PI()*MOD(Calculator!$B$32/Calculator!$F$16,1)),2)))),2))</f>
        <v>30.6</v>
      </c>
      <c r="AH80" s="105" t="n">
        <f aca="false">IF(OR(Calculator!$E$17&lt;&gt;"YES",Calculator!$B$32&lt;Calculator!$G$17),"—",ROUND(MAX((50*POWER(80,POWER(COS(PI()*MOD(Calculator!$B$32/Calculator!$F$17,1)),2)))/$C80,$C80/(50*POWER(80,POWER(COS(PI()*MOD(Calculator!$B$32/Calculator!$F$17,1)),2)))),2))</f>
        <v>1.04</v>
      </c>
      <c r="AI80" s="105" t="n">
        <f aca="false">IF(OR(Calculator!$E$18&lt;&gt;"YES",Calculator!$B$32&lt;Calculator!$G$18),"—",ROUND(MAX((50*POWER(80,POWER(COS(PI()*MOD(Calculator!$B$32/Calculator!$F$18,1)),2)))/$C80,$C80/(50*POWER(80,POWER(COS(PI()*MOD(Calculator!$B$32/Calculator!$F$18,1)),2)))),2))</f>
        <v>1.04</v>
      </c>
      <c r="AJ80" s="105" t="n">
        <f aca="false">IF(OR(Calculator!$E$19&lt;&gt;"YES",Calculator!$B$32&lt;Calculator!$G$19),"—",ROUND(MAX((50*POWER(80,POWER(COS(PI()*MOD(Calculator!$B$32/Calculator!$F$19,1)),2)))/$C80,$C80/(50*POWER(80,POWER(COS(PI()*MOD(Calculator!$B$32/Calculator!$F$19,1)),2)))),2))</f>
        <v>1.1</v>
      </c>
      <c r="AK80" s="105" t="n">
        <f aca="false">IF(OR(Calculator!$E$20&lt;&gt;"YES",Calculator!$B$32&lt;Calculator!$G$20),"—",ROUND(MAX((50*POWER(80,POWER(COS(PI()*MOD(Calculator!$B$32/Calculator!$F$20,1)),2)))/$C80,$C80/(50*POWER(80,POWER(COS(PI()*MOD(Calculator!$B$32/Calculator!$F$20,1)),2)))),2))</f>
        <v>24.07</v>
      </c>
      <c r="AL80" s="105" t="str">
        <f aca="false">IF(OR(Calculator!$E$21&lt;&gt;"YES",Calculator!$B$32&lt;Calculator!$G$21),"—",ROUND(MAX((50*POWER(80,POWER(COS(PI()*MOD(Calculator!$B$32/Calculator!$F$21,1)),2)))/$C80,$C80/(50*POWER(80,POWER(COS(PI()*MOD(Calculator!$B$32/Calculator!$F$21,1)),2)))),2))</f>
        <v>—</v>
      </c>
      <c r="AM80" s="101" t="n">
        <f aca="false">IFERROR(ROUND((IF(ISNUMBER(AB80),AB80,0)+IF(ISNUMBER(AC80),AC80,0)+IF(ISNUMBER(AD80),AD80,0)+IF(ISNUMBER(AE80),AE80,0)+IF(ISNUMBER(AF80),AF80,0)+IF(ISNUMBER(AG80),AG80,0)+IF(ISNUMBER(AH80),AH80,0)+IF(ISNUMBER(AI80),AI80,0)+IF(ISNUMBER(AJ80),AJ80,0)+IF(ISNUMBER(AK80),AK80,0)+IF(ISNUMBER(AL80),AL80,0))/(IF(ISNUMBER(AB80),1,0)+IF(ISNUMBER(AC80),1,0)+IF(ISNUMBER(AD80),1,0)+IF(ISNUMBER(AE80),1,0)+IF(ISNUMBER(AF80),1,0)+IF(ISNUMBER(AG80),1,0)+IF(ISNUMBER(AH80),1,0)+IF(ISNUMBER(AI80),1,0)+IF(ISNUMBER(AJ80),1,0)+IF(ISNUMBER(AK80),1,0)+IF(ISNUMBER(AL80),1,0)),2),"")</f>
        <v>11.56</v>
      </c>
      <c r="AN80" s="106" t="str">
        <f aca="false">IF(OR(Calculator!$E$11&lt;&gt;"YES",Calculator!$B$33&lt;Calculator!$G$11),"—",ROUND(MAX((50*POWER(80,POWER(COS(PI()*MOD(Calculator!$B$33/Calculator!$F$11,1)),2)))/$C80,$C80/(50*POWER(80,POWER(COS(PI()*MOD(Calculator!$B$33/Calculator!$F$11,1)),2)))),2))</f>
        <v>—</v>
      </c>
      <c r="AO80" s="106" t="str">
        <f aca="false">IF(OR(Calculator!$E$12&lt;&gt;"YES",Calculator!$B$33&lt;Calculator!$G$12),"—",ROUND(MAX((50*POWER(80,POWER(COS(PI()*MOD(Calculator!$B$33/Calculator!$F$12,1)),2)))/$C80,$C80/(50*POWER(80,POWER(COS(PI()*MOD(Calculator!$B$33/Calculator!$F$12,1)),2)))),2))</f>
        <v>—</v>
      </c>
      <c r="AP80" s="106" t="str">
        <f aca="false">IF(OR(Calculator!$E$13&lt;&gt;"YES",Calculator!$B$33&lt;Calculator!$G$13),"—",ROUND(MAX((50*POWER(80,POWER(COS(PI()*MOD(Calculator!$B$33/Calculator!$F$13,1)),2)))/$C80,$C80/(50*POWER(80,POWER(COS(PI()*MOD(Calculator!$B$33/Calculator!$F$13,1)),2)))),2))</f>
        <v>—</v>
      </c>
      <c r="AQ80" s="106" t="n">
        <f aca="false">IF(OR(Calculator!$E$14&lt;&gt;"YES",Calculator!$B$33&lt;Calculator!$G$14),"—",ROUND(MAX((50*POWER(80,POWER(COS(PI()*MOD(Calculator!$B$33/Calculator!$F$14,1)),2)))/$C80,$C80/(50*POWER(80,POWER(COS(PI()*MOD(Calculator!$B$33/Calculator!$F$14,1)),2)))),2))</f>
        <v>1.14</v>
      </c>
      <c r="AR80" s="106" t="n">
        <f aca="false">IF(OR(Calculator!$E$15&lt;&gt;"YES",Calculator!$B$33&lt;Calculator!$G$15),"—",ROUND(MAX((50*POWER(80,POWER(COS(PI()*MOD(Calculator!$B$33/Calculator!$F$15,1)),2)))/$C80,$C80/(50*POWER(80,POWER(COS(PI()*MOD(Calculator!$B$33/Calculator!$F$15,1)),2)))),2))</f>
        <v>8.18</v>
      </c>
      <c r="AS80" s="106" t="n">
        <f aca="false">IF(OR(Calculator!$E$16&lt;&gt;"YES",Calculator!$B$33&lt;Calculator!$G$16),"—",ROUND(MAX((50*POWER(80,POWER(COS(PI()*MOD(Calculator!$B$33/Calculator!$F$16,1)),2)))/$C80,$C80/(50*POWER(80,POWER(COS(PI()*MOD(Calculator!$B$33/Calculator!$F$16,1)),2)))),2))</f>
        <v>2.99</v>
      </c>
      <c r="AT80" s="106" t="n">
        <f aca="false">IF(OR(Calculator!$E$17&lt;&gt;"YES",Calculator!$B$33&lt;Calculator!$G$17),"—",ROUND(MAX((50*POWER(80,POWER(COS(PI()*MOD(Calculator!$B$33/Calculator!$F$17,1)),2)))/$C80,$C80/(50*POWER(80,POWER(COS(PI()*MOD(Calculator!$B$33/Calculator!$F$17,1)),2)))),2))</f>
        <v>9.48</v>
      </c>
      <c r="AU80" s="106" t="n">
        <f aca="false">IF(OR(Calculator!$E$18&lt;&gt;"YES",Calculator!$B$33&lt;Calculator!$G$18),"—",ROUND(MAX((50*POWER(80,POWER(COS(PI()*MOD(Calculator!$B$33/Calculator!$F$18,1)),2)))/$C80,$C80/(50*POWER(80,POWER(COS(PI()*MOD(Calculator!$B$33/Calculator!$F$18,1)),2)))),2))</f>
        <v>12.83</v>
      </c>
      <c r="AV80" s="106" t="n">
        <f aca="false">IF(OR(Calculator!$E$19&lt;&gt;"YES",Calculator!$B$33&lt;Calculator!$G$19),"—",ROUND(MAX((50*POWER(80,POWER(COS(PI()*MOD(Calculator!$B$33/Calculator!$F$19,1)),2)))/$C80,$C80/(50*POWER(80,POWER(COS(PI()*MOD(Calculator!$B$33/Calculator!$F$19,1)),2)))),2))</f>
        <v>1.56</v>
      </c>
      <c r="AW80" s="106" t="n">
        <f aca="false">IF(OR(Calculator!$E$20&lt;&gt;"YES",Calculator!$B$33&lt;Calculator!$G$20),"—",ROUND(MAX((50*POWER(80,POWER(COS(PI()*MOD(Calculator!$B$33/Calculator!$F$20,1)),2)))/$C80,$C80/(50*POWER(80,POWER(COS(PI()*MOD(Calculator!$B$33/Calculator!$F$20,1)),2)))),2))</f>
        <v>19.58</v>
      </c>
      <c r="AX80" s="106" t="str">
        <f aca="false">IF(OR(Calculator!$E$21&lt;&gt;"YES",Calculator!$B$33&lt;Calculator!$G$21),"—",ROUND(MAX((50*POWER(80,POWER(COS(PI()*MOD(Calculator!$B$33/Calculator!$F$21,1)),2)))/$C80,$C80/(50*POWER(80,POWER(COS(PI()*MOD(Calculator!$B$33/Calculator!$F$21,1)),2)))),2))</f>
        <v>—</v>
      </c>
      <c r="AY80" s="101" t="n">
        <f aca="false">IFERROR(ROUND((IF(ISNUMBER(AN80),AN80,0)+IF(ISNUMBER(AO80),AO80,0)+IF(ISNUMBER(AP80),AP80,0)+IF(ISNUMBER(AQ80),AQ80,0)+IF(ISNUMBER(AR80),AR80,0)+IF(ISNUMBER(AS80),AS80,0)+IF(ISNUMBER(AT80),AT80,0)+IF(ISNUMBER(AU80),AU80,0)+IF(ISNUMBER(AV80),AV80,0)+IF(ISNUMBER(AW80),AW80,0)+IF(ISNUMBER(AX80),AX80,0))/(IF(ISNUMBER(AN80),1,0)+IF(ISNUMBER(AO80),1,0)+IF(ISNUMBER(AP80),1,0)+IF(ISNUMBER(AQ80),1,0)+IF(ISNUMBER(AR80),1,0)+IF(ISNUMBER(AS80),1,0)+IF(ISNUMBER(AT80),1,0)+IF(ISNUMBER(AU80),1,0)+IF(ISNUMBER(AV80),1,0)+IF(ISNUMBER(AW80),1,0)+IF(ISNUMBER(AX80),1,0)),2),"")</f>
        <v>7.97</v>
      </c>
      <c r="AZ80" s="106" t="str">
        <f aca="false">IF(OR(Calculator!$E$11&lt;&gt;"YES",Calculator!$B$34&lt;Calculator!$G$11),"—",ROUND(MAX((50*POWER(80,POWER(COS(PI()*MOD(Calculator!$B$34/Calculator!$F$11,1)),2)))/$C80,$C80/(50*POWER(80,POWER(COS(PI()*MOD(Calculator!$B$34/Calculator!$F$11,1)),2)))),2))</f>
        <v>—</v>
      </c>
      <c r="BA80" s="106" t="str">
        <f aca="false">IF(OR(Calculator!$E$12&lt;&gt;"YES",Calculator!$B$34&lt;Calculator!$G$12),"—",ROUND(MAX((50*POWER(80,POWER(COS(PI()*MOD(Calculator!$B$34/Calculator!$F$12,1)),2)))/$C80,$C80/(50*POWER(80,POWER(COS(PI()*MOD(Calculator!$B$34/Calculator!$F$12,1)),2)))),2))</f>
        <v>—</v>
      </c>
      <c r="BB80" s="106" t="str">
        <f aca="false">IF(OR(Calculator!$E$13&lt;&gt;"YES",Calculator!$B$34&lt;Calculator!$G$13),"—",ROUND(MAX((50*POWER(80,POWER(COS(PI()*MOD(Calculator!$B$34/Calculator!$F$13,1)),2)))/$C80,$C80/(50*POWER(80,POWER(COS(PI()*MOD(Calculator!$B$34/Calculator!$F$13,1)),2)))),2))</f>
        <v>—</v>
      </c>
      <c r="BC80" s="106" t="n">
        <f aca="false">IF(OR(Calculator!$E$14&lt;&gt;"YES",Calculator!$B$34&lt;Calculator!$G$14),"—",ROUND(MAX((50*POWER(80,POWER(COS(PI()*MOD(Calculator!$B$34/Calculator!$F$14,1)),2)))/$C80,$C80/(50*POWER(80,POWER(COS(PI()*MOD(Calculator!$B$34/Calculator!$F$14,1)),2)))),2))</f>
        <v>1.16</v>
      </c>
      <c r="BD80" s="106" t="n">
        <f aca="false">IF(OR(Calculator!$E$15&lt;&gt;"YES",Calculator!$B$34&lt;Calculator!$G$15),"—",ROUND(MAX((50*POWER(80,POWER(COS(PI()*MOD(Calculator!$B$34/Calculator!$F$15,1)),2)))/$C80,$C80/(50*POWER(80,POWER(COS(PI()*MOD(Calculator!$B$34/Calculator!$F$15,1)),2)))),2))</f>
        <v>10.56</v>
      </c>
      <c r="BE80" s="106" t="n">
        <f aca="false">IF(OR(Calculator!$E$16&lt;&gt;"YES",Calculator!$B$34&lt;Calculator!$G$16),"—",ROUND(MAX((50*POWER(80,POWER(COS(PI()*MOD(Calculator!$B$34/Calculator!$F$16,1)),2)))/$C80,$C80/(50*POWER(80,POWER(COS(PI()*MOD(Calculator!$B$34/Calculator!$F$16,1)),2)))),2))</f>
        <v>3.56</v>
      </c>
      <c r="BF80" s="106" t="n">
        <f aca="false">IF(OR(Calculator!$E$17&lt;&gt;"YES",Calculator!$B$34&lt;Calculator!$G$17),"—",ROUND(MAX((50*POWER(80,POWER(COS(PI()*MOD(Calculator!$B$34/Calculator!$F$17,1)),2)))/$C80,$C80/(50*POWER(80,POWER(COS(PI()*MOD(Calculator!$B$34/Calculator!$F$17,1)),2)))),2))</f>
        <v>1.83</v>
      </c>
      <c r="BG80" s="106" t="n">
        <f aca="false">IF(OR(Calculator!$E$18&lt;&gt;"YES",Calculator!$B$34&lt;Calculator!$G$18),"—",ROUND(MAX((50*POWER(80,POWER(COS(PI()*MOD(Calculator!$B$34/Calculator!$F$18,1)),2)))/$C80,$C80/(50*POWER(80,POWER(COS(PI()*MOD(Calculator!$B$34/Calculator!$F$18,1)),2)))),2))</f>
        <v>17.36</v>
      </c>
      <c r="BH80" s="106" t="n">
        <f aca="false">IF(OR(Calculator!$E$19&lt;&gt;"YES",Calculator!$B$34&lt;Calculator!$G$19),"—",ROUND(MAX((50*POWER(80,POWER(COS(PI()*MOD(Calculator!$B$34/Calculator!$F$19,1)),2)))/$C80,$C80/(50*POWER(80,POWER(COS(PI()*MOD(Calculator!$B$34/Calculator!$F$19,1)),2)))),2))</f>
        <v>19.31</v>
      </c>
      <c r="BI80" s="106" t="n">
        <f aca="false">IF(OR(Calculator!$E$20&lt;&gt;"YES",Calculator!$B$34&lt;Calculator!$G$20),"—",ROUND(MAX((50*POWER(80,POWER(COS(PI()*MOD(Calculator!$B$34/Calculator!$F$20,1)),2)))/$C80,$C80/(50*POWER(80,POWER(COS(PI()*MOD(Calculator!$B$34/Calculator!$F$20,1)),2)))),2))</f>
        <v>11.52</v>
      </c>
      <c r="BJ80" s="106" t="str">
        <f aca="false">IF(OR(Calculator!$E$21&lt;&gt;"YES",Calculator!$B$34&lt;Calculator!$G$21),"—",ROUND(MAX((50*POWER(80,POWER(COS(PI()*MOD(Calculator!$B$34/Calculator!$F$21,1)),2)))/$C80,$C80/(50*POWER(80,POWER(COS(PI()*MOD(Calculator!$B$34/Calculator!$F$21,1)),2)))),2))</f>
        <v>—</v>
      </c>
      <c r="BK80" s="101" t="n">
        <f aca="false">IFERROR(ROUND((IF(ISNUMBER(AZ80),AZ80,0)+IF(ISNUMBER(BA80),BA80,0)+IF(ISNUMBER(BB80),BB80,0)+IF(ISNUMBER(BC80),BC80,0)+IF(ISNUMBER(BD80),BD80,0)+IF(ISNUMBER(BE80),BE80,0)+IF(ISNUMBER(BF80),BF80,0)+IF(ISNUMBER(BG80),BG80,0)+IF(ISNUMBER(BH80),BH80,0)+IF(ISNUMBER(BI80),BI80,0)+IF(ISNUMBER(BJ80),BJ80,0))/(IF(ISNUMBER(AZ80),1,0)+IF(ISNUMBER(BA80),1,0)+IF(ISNUMBER(BB80),1,0)+IF(ISNUMBER(BC80),1,0)+IF(ISNUMBER(BD80),1,0)+IF(ISNUMBER(BE80),1,0)+IF(ISNUMBER(BF80),1,0)+IF(ISNUMBER(BG80),1,0)+IF(ISNUMBER(BH80),1,0)+IF(ISNUMBER(BI80),1,0)+IF(ISNUMBER(BJ80),1,0)),2),"")</f>
        <v>9.33</v>
      </c>
    </row>
    <row r="81" customFormat="false" ht="15" hidden="false" customHeight="false" outlineLevel="0" collapsed="false">
      <c r="A81" s="93" t="s">
        <v>132</v>
      </c>
      <c r="B81" s="94" t="s">
        <v>88</v>
      </c>
      <c r="C81" s="95" t="n">
        <v>2450</v>
      </c>
      <c r="D81" s="96" t="str">
        <f aca="false">IF(OR(Calculator!$E$11&lt;&gt;"YES",Calculator!$B$30&lt;Calculator!$G$11),"—",ROUND(MAX((50*POWER(80,POWER(COS(PI()*MOD(Calculator!$B$30/Calculator!$F$11,1)),2)))/$C81,$C81/(50*POWER(80,POWER(COS(PI()*MOD(Calculator!$B$30/Calculator!$F$11,1)),2)))),2))</f>
        <v>—</v>
      </c>
      <c r="E81" s="96" t="str">
        <f aca="false">IF(OR(Calculator!$E$12&lt;&gt;"YES",Calculator!$B$30&lt;Calculator!$G$12),"—",ROUND(MAX((50*POWER(80,POWER(COS(PI()*MOD(Calculator!$B$30/Calculator!$F$12,1)),2)))/$C81,$C81/(50*POWER(80,POWER(COS(PI()*MOD(Calculator!$B$30/Calculator!$F$12,1)),2)))),2))</f>
        <v>—</v>
      </c>
      <c r="F81" s="96" t="str">
        <f aca="false">IF(OR(Calculator!$E$13&lt;&gt;"YES",Calculator!$B$30&lt;Calculator!$G$13),"—",ROUND(MAX((50*POWER(80,POWER(COS(PI()*MOD(Calculator!$B$30/Calculator!$F$13,1)),2)))/$C81,$C81/(50*POWER(80,POWER(COS(PI()*MOD(Calculator!$B$30/Calculator!$F$13,1)),2)))),2))</f>
        <v>—</v>
      </c>
      <c r="G81" s="96" t="n">
        <f aca="false">IF(OR(Calculator!$E$14&lt;&gt;"YES",Calculator!$B$30&lt;Calculator!$G$14),"—",ROUND(MAX((50*POWER(80,POWER(COS(PI()*MOD(Calculator!$B$30/Calculator!$F$14,1)),2)))/$C81,$C81/(50*POWER(80,POWER(COS(PI()*MOD(Calculator!$B$30/Calculator!$F$14,1)),2)))),2))</f>
        <v>22.14</v>
      </c>
      <c r="H81" s="96" t="n">
        <f aca="false">IF(OR(Calculator!$E$15&lt;&gt;"YES",Calculator!$B$30&lt;Calculator!$G$15),"—",ROUND(MAX((50*POWER(80,POWER(COS(PI()*MOD(Calculator!$B$30/Calculator!$F$15,1)),2)))/$C81,$C81/(50*POWER(80,POWER(COS(PI()*MOD(Calculator!$B$30/Calculator!$F$15,1)),2)))),2))</f>
        <v>6.42</v>
      </c>
      <c r="I81" s="96" t="n">
        <f aca="false">IF(OR(Calculator!$E$16&lt;&gt;"YES",Calculator!$B$30&lt;Calculator!$G$16),"—",ROUND(MAX((50*POWER(80,POWER(COS(PI()*MOD(Calculator!$B$30/Calculator!$F$16,1)),2)))/$C81,$C81/(50*POWER(80,POWER(COS(PI()*MOD(Calculator!$B$30/Calculator!$F$16,1)),2)))),2))</f>
        <v>4.39</v>
      </c>
      <c r="J81" s="96" t="n">
        <f aca="false">IF(OR(Calculator!$E$17&lt;&gt;"YES",Calculator!$B$30&lt;Calculator!$G$17),"—",ROUND(MAX((50*POWER(80,POWER(COS(PI()*MOD(Calculator!$B$30/Calculator!$F$17,1)),2)))/$C81,$C81/(50*POWER(80,POWER(COS(PI()*MOD(Calculator!$B$30/Calculator!$F$17,1)),2)))),2))</f>
        <v>12.32</v>
      </c>
      <c r="K81" s="96" t="n">
        <f aca="false">IF(OR(Calculator!$E$18&lt;&gt;"YES",Calculator!$B$30&lt;Calculator!$G$18),"—",ROUND(MAX((50*POWER(80,POWER(COS(PI()*MOD(Calculator!$B$30/Calculator!$F$18,1)),2)))/$C81,$C81/(50*POWER(80,POWER(COS(PI()*MOD(Calculator!$B$30/Calculator!$F$18,1)),2)))),2))</f>
        <v>1.76</v>
      </c>
      <c r="L81" s="96" t="n">
        <f aca="false">IF(OR(Calculator!$E$19&lt;&gt;"YES",Calculator!$B$30&lt;Calculator!$G$19),"—",ROUND(MAX((50*POWER(80,POWER(COS(PI()*MOD(Calculator!$B$30/Calculator!$F$19,1)),2)))/$C81,$C81/(50*POWER(80,POWER(COS(PI()*MOD(Calculator!$B$30/Calculator!$F$19,1)),2)))),2))</f>
        <v>3.12</v>
      </c>
      <c r="M81" s="96" t="n">
        <f aca="false">IF(OR(Calculator!$E$20&lt;&gt;"YES",Calculator!$B$30&lt;Calculator!$G$20),"—",ROUND(MAX((50*POWER(80,POWER(COS(PI()*MOD(Calculator!$B$30/Calculator!$F$20,1)),2)))/$C81,$C81/(50*POWER(80,POWER(COS(PI()*MOD(Calculator!$B$30/Calculator!$F$20,1)),2)))),2))</f>
        <v>19.35</v>
      </c>
      <c r="N81" s="96" t="str">
        <f aca="false">IF(OR(Calculator!$E$21&lt;&gt;"YES",Calculator!$B$30&lt;Calculator!$G$21),"—",ROUND(MAX((50*POWER(80,POWER(COS(PI()*MOD(Calculator!$B$30/Calculator!$F$21,1)),2)))/$C81,$C81/(50*POWER(80,POWER(COS(PI()*MOD(Calculator!$B$30/Calculator!$F$21,1)),2)))),2))</f>
        <v>—</v>
      </c>
      <c r="O81" s="97" t="n">
        <f aca="false">IFERROR(ROUND((IF(ISNUMBER(D81),D81,0)+IF(ISNUMBER(E81),E81,0)+IF(ISNUMBER(F81),F81,0)+IF(ISNUMBER(G81),G81,0)+IF(ISNUMBER(H81),H81,0)+IF(ISNUMBER(I81),I81,0)+IF(ISNUMBER(J81),J81,0)+IF(ISNUMBER(K81),K81,0)+IF(ISNUMBER(L81),L81,0)+IF(ISNUMBER(M81),M81,0)+IF(ISNUMBER(N81),N81,0))/(IF(ISNUMBER(D81),1,0)+IF(ISNUMBER(E81),1,0)+IF(ISNUMBER(F81),1,0)+IF(ISNUMBER(G81),1,0)+IF(ISNUMBER(H81),1,0)+IF(ISNUMBER(I81),1,0)+IF(ISNUMBER(J81),1,0)+IF(ISNUMBER(K81),1,0)+IF(ISNUMBER(L81),1,0)+IF(ISNUMBER(M81),1,0)+IF(ISNUMBER(N81),1,0)),2),"")</f>
        <v>9.93</v>
      </c>
      <c r="P81" s="96" t="str">
        <f aca="false">IF(OR(Calculator!$E$11&lt;&gt;"YES",Calculator!$B$31&lt;Calculator!$G$11),"—",ROUND(MAX((50*POWER(80,POWER(COS(PI()*MOD(Calculator!$B$31/Calculator!$F$11,1)),2)))/$C81,$C81/(50*POWER(80,POWER(COS(PI()*MOD(Calculator!$B$31/Calculator!$F$11,1)),2)))),2))</f>
        <v>—</v>
      </c>
      <c r="Q81" s="96" t="str">
        <f aca="false">IF(OR(Calculator!$E$12&lt;&gt;"YES",Calculator!$B$31&lt;Calculator!$G$12),"—",ROUND(MAX((50*POWER(80,POWER(COS(PI()*MOD(Calculator!$B$31/Calculator!$F$12,1)),2)))/$C81,$C81/(50*POWER(80,POWER(COS(PI()*MOD(Calculator!$B$31/Calculator!$F$12,1)),2)))),2))</f>
        <v>—</v>
      </c>
      <c r="R81" s="96" t="str">
        <f aca="false">IF(OR(Calculator!$E$13&lt;&gt;"YES",Calculator!$B$31&lt;Calculator!$G$13),"—",ROUND(MAX((50*POWER(80,POWER(COS(PI()*MOD(Calculator!$B$31/Calculator!$F$13,1)),2)))/$C81,$C81/(50*POWER(80,POWER(COS(PI()*MOD(Calculator!$B$31/Calculator!$F$13,1)),2)))),2))</f>
        <v>—</v>
      </c>
      <c r="S81" s="96" t="n">
        <f aca="false">IF(OR(Calculator!$E$14&lt;&gt;"YES",Calculator!$B$31&lt;Calculator!$G$14),"—",ROUND(MAX((50*POWER(80,POWER(COS(PI()*MOD(Calculator!$B$31/Calculator!$F$14,1)),2)))/$C81,$C81/(50*POWER(80,POWER(COS(PI()*MOD(Calculator!$B$31/Calculator!$F$14,1)),2)))),2))</f>
        <v>22.67</v>
      </c>
      <c r="T81" s="96" t="n">
        <f aca="false">IF(OR(Calculator!$E$15&lt;&gt;"YES",Calculator!$B$31&lt;Calculator!$G$15),"—",ROUND(MAX((50*POWER(80,POWER(COS(PI()*MOD(Calculator!$B$31/Calculator!$F$15,1)),2)))/$C81,$C81/(50*POWER(80,POWER(COS(PI()*MOD(Calculator!$B$31/Calculator!$F$15,1)),2)))),2))</f>
        <v>13.79</v>
      </c>
      <c r="U81" s="96" t="n">
        <f aca="false">IF(OR(Calculator!$E$16&lt;&gt;"YES",Calculator!$B$31&lt;Calculator!$G$16),"—",ROUND(MAX((50*POWER(80,POWER(COS(PI()*MOD(Calculator!$B$31/Calculator!$F$16,1)),2)))/$C81,$C81/(50*POWER(80,POWER(COS(PI()*MOD(Calculator!$B$31/Calculator!$F$16,1)),2)))),2))</f>
        <v>5.25</v>
      </c>
      <c r="V81" s="96" t="n">
        <f aca="false">IF(OR(Calculator!$E$17&lt;&gt;"YES",Calculator!$B$31&lt;Calculator!$G$17),"—",ROUND(MAX((50*POWER(80,POWER(COS(PI()*MOD(Calculator!$B$31/Calculator!$F$17,1)),2)))/$C81,$C81/(50*POWER(80,POWER(COS(PI()*MOD(Calculator!$B$31/Calculator!$F$17,1)),2)))),2))</f>
        <v>1.51</v>
      </c>
      <c r="W81" s="96" t="n">
        <f aca="false">IF(OR(Calculator!$E$18&lt;&gt;"YES",Calculator!$B$31&lt;Calculator!$G$18),"—",ROUND(MAX((50*POWER(80,POWER(COS(PI()*MOD(Calculator!$B$31/Calculator!$F$18,1)),2)))/$C81,$C81/(50*POWER(80,POWER(COS(PI()*MOD(Calculator!$B$31/Calculator!$F$18,1)),2)))),2))</f>
        <v>1.33</v>
      </c>
      <c r="X81" s="96" t="n">
        <f aca="false">IF(OR(Calculator!$E$19&lt;&gt;"YES",Calculator!$B$31&lt;Calculator!$G$19),"—",ROUND(MAX((50*POWER(80,POWER(COS(PI()*MOD(Calculator!$B$31/Calculator!$F$19,1)),2)))/$C81,$C81/(50*POWER(80,POWER(COS(PI()*MOD(Calculator!$B$31/Calculator!$F$19,1)),2)))),2))</f>
        <v>9.11</v>
      </c>
      <c r="Y81" s="96" t="n">
        <f aca="false">IF(OR(Calculator!$E$20&lt;&gt;"YES",Calculator!$B$31&lt;Calculator!$G$20),"—",ROUND(MAX((50*POWER(80,POWER(COS(PI()*MOD(Calculator!$B$31/Calculator!$F$20,1)),2)))/$C81,$C81/(50*POWER(80,POWER(COS(PI()*MOD(Calculator!$B$31/Calculator!$F$20,1)),2)))),2))</f>
        <v>30.06</v>
      </c>
      <c r="Z81" s="96" t="str">
        <f aca="false">IF(OR(Calculator!$E$21&lt;&gt;"YES",Calculator!$B$31&lt;Calculator!$G$21),"—",ROUND(MAX((50*POWER(80,POWER(COS(PI()*MOD(Calculator!$B$31/Calculator!$F$21,1)),2)))/$C81,$C81/(50*POWER(80,POWER(COS(PI()*MOD(Calculator!$B$31/Calculator!$F$21,1)),2)))),2))</f>
        <v>—</v>
      </c>
      <c r="AA81" s="97" t="n">
        <f aca="false">IFERROR(ROUND((IF(ISNUMBER(P81),P81,0)+IF(ISNUMBER(Q81),Q81,0)+IF(ISNUMBER(R81),R81,0)+IF(ISNUMBER(S81),S81,0)+IF(ISNUMBER(T81),T81,0)+IF(ISNUMBER(U81),U81,0)+IF(ISNUMBER(V81),V81,0)+IF(ISNUMBER(W81),W81,0)+IF(ISNUMBER(X81),X81,0)+IF(ISNUMBER(Y81),Y81,0)+IF(ISNUMBER(Z81),Z81,0))/(IF(ISNUMBER(P81),1,0)+IF(ISNUMBER(Q81),1,0)+IF(ISNUMBER(R81),1,0)+IF(ISNUMBER(S81),1,0)+IF(ISNUMBER(T81),1,0)+IF(ISNUMBER(U81),1,0)+IF(ISNUMBER(V81),1,0)+IF(ISNUMBER(W81),1,0)+IF(ISNUMBER(X81),1,0)+IF(ISNUMBER(Y81),1,0)+IF(ISNUMBER(Z81),1,0)),2),"")</f>
        <v>11.96</v>
      </c>
      <c r="AB81" s="96" t="str">
        <f aca="false">IF(OR(Calculator!$E$11&lt;&gt;"YES",Calculator!$B$32&lt;Calculator!$G$11),"—",ROUND(MAX((50*POWER(80,POWER(COS(PI()*MOD(Calculator!$B$32/Calculator!$F$11,1)),2)))/$C81,$C81/(50*POWER(80,POWER(COS(PI()*MOD(Calculator!$B$32/Calculator!$F$11,1)),2)))),2))</f>
        <v>—</v>
      </c>
      <c r="AC81" s="96" t="str">
        <f aca="false">IF(OR(Calculator!$E$12&lt;&gt;"YES",Calculator!$B$32&lt;Calculator!$G$12),"—",ROUND(MAX((50*POWER(80,POWER(COS(PI()*MOD(Calculator!$B$32/Calculator!$F$12,1)),2)))/$C81,$C81/(50*POWER(80,POWER(COS(PI()*MOD(Calculator!$B$32/Calculator!$F$12,1)),2)))),2))</f>
        <v>—</v>
      </c>
      <c r="AD81" s="96" t="str">
        <f aca="false">IF(OR(Calculator!$E$13&lt;&gt;"YES",Calculator!$B$32&lt;Calculator!$G$13),"—",ROUND(MAX((50*POWER(80,POWER(COS(PI()*MOD(Calculator!$B$32/Calculator!$F$13,1)),2)))/$C81,$C81/(50*POWER(80,POWER(COS(PI()*MOD(Calculator!$B$32/Calculator!$F$13,1)),2)))),2))</f>
        <v>—</v>
      </c>
      <c r="AE81" s="96" t="n">
        <f aca="false">IF(OR(Calculator!$E$14&lt;&gt;"YES",Calculator!$B$32&lt;Calculator!$G$14),"—",ROUND(MAX((50*POWER(80,POWER(COS(PI()*MOD(Calculator!$B$32/Calculator!$F$14,1)),2)))/$C81,$C81/(50*POWER(80,POWER(COS(PI()*MOD(Calculator!$B$32/Calculator!$F$14,1)),2)))),2))</f>
        <v>14.31</v>
      </c>
      <c r="AF81" s="96" t="n">
        <f aca="false">IF(OR(Calculator!$E$15&lt;&gt;"YES",Calculator!$B$32&lt;Calculator!$G$15),"—",ROUND(MAX((50*POWER(80,POWER(COS(PI()*MOD(Calculator!$B$32/Calculator!$F$15,1)),2)))/$C81,$C81/(50*POWER(80,POWER(COS(PI()*MOD(Calculator!$B$32/Calculator!$F$15,1)),2)))),2))</f>
        <v>9.25</v>
      </c>
      <c r="AG81" s="96" t="n">
        <f aca="false">IF(OR(Calculator!$E$16&lt;&gt;"YES",Calculator!$B$32&lt;Calculator!$G$16),"—",ROUND(MAX((50*POWER(80,POWER(COS(PI()*MOD(Calculator!$B$32/Calculator!$F$16,1)),2)))/$C81,$C81/(50*POWER(80,POWER(COS(PI()*MOD(Calculator!$B$32/Calculator!$F$16,1)),2)))),2))</f>
        <v>31.24</v>
      </c>
      <c r="AH81" s="96" t="n">
        <f aca="false">IF(OR(Calculator!$E$17&lt;&gt;"YES",Calculator!$B$32&lt;Calculator!$G$17),"—",ROUND(MAX((50*POWER(80,POWER(COS(PI()*MOD(Calculator!$B$32/Calculator!$F$17,1)),2)))/$C81,$C81/(50*POWER(80,POWER(COS(PI()*MOD(Calculator!$B$32/Calculator!$F$17,1)),2)))),2))</f>
        <v>1.06</v>
      </c>
      <c r="AI81" s="96" t="n">
        <f aca="false">IF(OR(Calculator!$E$18&lt;&gt;"YES",Calculator!$B$32&lt;Calculator!$G$18),"—",ROUND(MAX((50*POWER(80,POWER(COS(PI()*MOD(Calculator!$B$32/Calculator!$F$18,1)),2)))/$C81,$C81/(50*POWER(80,POWER(COS(PI()*MOD(Calculator!$B$32/Calculator!$F$18,1)),2)))),2))</f>
        <v>1.02</v>
      </c>
      <c r="AJ81" s="96" t="n">
        <f aca="false">IF(OR(Calculator!$E$19&lt;&gt;"YES",Calculator!$B$32&lt;Calculator!$G$19),"—",ROUND(MAX((50*POWER(80,POWER(COS(PI()*MOD(Calculator!$B$32/Calculator!$F$19,1)),2)))/$C81,$C81/(50*POWER(80,POWER(COS(PI()*MOD(Calculator!$B$32/Calculator!$F$19,1)),2)))),2))</f>
        <v>1.07</v>
      </c>
      <c r="AK81" s="96" t="n">
        <f aca="false">IF(OR(Calculator!$E$20&lt;&gt;"YES",Calculator!$B$32&lt;Calculator!$G$20),"—",ROUND(MAX((50*POWER(80,POWER(COS(PI()*MOD(Calculator!$B$32/Calculator!$F$20,1)),2)))/$C81,$C81/(50*POWER(80,POWER(COS(PI()*MOD(Calculator!$B$32/Calculator!$F$20,1)),2)))),2))</f>
        <v>24.57</v>
      </c>
      <c r="AL81" s="96" t="str">
        <f aca="false">IF(OR(Calculator!$E$21&lt;&gt;"YES",Calculator!$B$32&lt;Calculator!$G$21),"—",ROUND(MAX((50*POWER(80,POWER(COS(PI()*MOD(Calculator!$B$32/Calculator!$F$21,1)),2)))/$C81,$C81/(50*POWER(80,POWER(COS(PI()*MOD(Calculator!$B$32/Calculator!$F$21,1)),2)))),2))</f>
        <v>—</v>
      </c>
      <c r="AM81" s="98" t="n">
        <f aca="false">IFERROR(ROUND((IF(ISNUMBER(AB81),AB81,0)+IF(ISNUMBER(AC81),AC81,0)+IF(ISNUMBER(AD81),AD81,0)+IF(ISNUMBER(AE81),AE81,0)+IF(ISNUMBER(AF81),AF81,0)+IF(ISNUMBER(AG81),AG81,0)+IF(ISNUMBER(AH81),AH81,0)+IF(ISNUMBER(AI81),AI81,0)+IF(ISNUMBER(AJ81),AJ81,0)+IF(ISNUMBER(AK81),AK81,0)+IF(ISNUMBER(AL81),AL81,0))/(IF(ISNUMBER(AB81),1,0)+IF(ISNUMBER(AC81),1,0)+IF(ISNUMBER(AD81),1,0)+IF(ISNUMBER(AE81),1,0)+IF(ISNUMBER(AF81),1,0)+IF(ISNUMBER(AG81),1,0)+IF(ISNUMBER(AH81),1,0)+IF(ISNUMBER(AI81),1,0)+IF(ISNUMBER(AJ81),1,0)+IF(ISNUMBER(AK81),1,0)+IF(ISNUMBER(AL81),1,0)),2),"")</f>
        <v>11.79</v>
      </c>
      <c r="AN81" s="99" t="str">
        <f aca="false">IF(OR(Calculator!$E$11&lt;&gt;"YES",Calculator!$B$33&lt;Calculator!$G$11),"—",ROUND(MAX((50*POWER(80,POWER(COS(PI()*MOD(Calculator!$B$33/Calculator!$F$11,1)),2)))/$C81,$C81/(50*POWER(80,POWER(COS(PI()*MOD(Calculator!$B$33/Calculator!$F$11,1)),2)))),2))</f>
        <v>—</v>
      </c>
      <c r="AO81" s="99" t="str">
        <f aca="false">IF(OR(Calculator!$E$12&lt;&gt;"YES",Calculator!$B$33&lt;Calculator!$G$12),"—",ROUND(MAX((50*POWER(80,POWER(COS(PI()*MOD(Calculator!$B$33/Calculator!$F$12,1)),2)))/$C81,$C81/(50*POWER(80,POWER(COS(PI()*MOD(Calculator!$B$33/Calculator!$F$12,1)),2)))),2))</f>
        <v>—</v>
      </c>
      <c r="AP81" s="99" t="str">
        <f aca="false">IF(OR(Calculator!$E$13&lt;&gt;"YES",Calculator!$B$33&lt;Calculator!$G$13),"—",ROUND(MAX((50*POWER(80,POWER(COS(PI()*MOD(Calculator!$B$33/Calculator!$F$13,1)),2)))/$C81,$C81/(50*POWER(80,POWER(COS(PI()*MOD(Calculator!$B$33/Calculator!$F$13,1)),2)))),2))</f>
        <v>—</v>
      </c>
      <c r="AQ81" s="99" t="n">
        <f aca="false">IF(OR(Calculator!$E$14&lt;&gt;"YES",Calculator!$B$33&lt;Calculator!$G$14),"—",ROUND(MAX((50*POWER(80,POWER(COS(PI()*MOD(Calculator!$B$33/Calculator!$F$14,1)),2)))/$C81,$C81/(50*POWER(80,POWER(COS(PI()*MOD(Calculator!$B$33/Calculator!$F$14,1)),2)))),2))</f>
        <v>1.11</v>
      </c>
      <c r="AR81" s="99" t="n">
        <f aca="false">IF(OR(Calculator!$E$15&lt;&gt;"YES",Calculator!$B$33&lt;Calculator!$G$15),"—",ROUND(MAX((50*POWER(80,POWER(COS(PI()*MOD(Calculator!$B$33/Calculator!$F$15,1)),2)))/$C81,$C81/(50*POWER(80,POWER(COS(PI()*MOD(Calculator!$B$33/Calculator!$F$15,1)),2)))),2))</f>
        <v>8.35</v>
      </c>
      <c r="AS81" s="99" t="n">
        <f aca="false">IF(OR(Calculator!$E$16&lt;&gt;"YES",Calculator!$B$33&lt;Calculator!$G$16),"—",ROUND(MAX((50*POWER(80,POWER(COS(PI()*MOD(Calculator!$B$33/Calculator!$F$16,1)),2)))/$C81,$C81/(50*POWER(80,POWER(COS(PI()*MOD(Calculator!$B$33/Calculator!$F$16,1)),2)))),2))</f>
        <v>3.05</v>
      </c>
      <c r="AT81" s="99" t="n">
        <f aca="false">IF(OR(Calculator!$E$17&lt;&gt;"YES",Calculator!$B$33&lt;Calculator!$G$17),"—",ROUND(MAX((50*POWER(80,POWER(COS(PI()*MOD(Calculator!$B$33/Calculator!$F$17,1)),2)))/$C81,$C81/(50*POWER(80,POWER(COS(PI()*MOD(Calculator!$B$33/Calculator!$F$17,1)),2)))),2))</f>
        <v>9.68</v>
      </c>
      <c r="AU81" s="99" t="n">
        <f aca="false">IF(OR(Calculator!$E$18&lt;&gt;"YES",Calculator!$B$33&lt;Calculator!$G$18),"—",ROUND(MAX((50*POWER(80,POWER(COS(PI()*MOD(Calculator!$B$33/Calculator!$F$18,1)),2)))/$C81,$C81/(50*POWER(80,POWER(COS(PI()*MOD(Calculator!$B$33/Calculator!$F$18,1)),2)))),2))</f>
        <v>13.1</v>
      </c>
      <c r="AV81" s="99" t="n">
        <f aca="false">IF(OR(Calculator!$E$19&lt;&gt;"YES",Calculator!$B$33&lt;Calculator!$G$19),"—",ROUND(MAX((50*POWER(80,POWER(COS(PI()*MOD(Calculator!$B$33/Calculator!$F$19,1)),2)))/$C81,$C81/(50*POWER(80,POWER(COS(PI()*MOD(Calculator!$B$33/Calculator!$F$19,1)),2)))),2))</f>
        <v>1.6</v>
      </c>
      <c r="AW81" s="99" t="n">
        <f aca="false">IF(OR(Calculator!$E$20&lt;&gt;"YES",Calculator!$B$33&lt;Calculator!$G$20),"—",ROUND(MAX((50*POWER(80,POWER(COS(PI()*MOD(Calculator!$B$33/Calculator!$F$20,1)),2)))/$C81,$C81/(50*POWER(80,POWER(COS(PI()*MOD(Calculator!$B$33/Calculator!$F$20,1)),2)))),2))</f>
        <v>19.99</v>
      </c>
      <c r="AX81" s="99" t="str">
        <f aca="false">IF(OR(Calculator!$E$21&lt;&gt;"YES",Calculator!$B$33&lt;Calculator!$G$21),"—",ROUND(MAX((50*POWER(80,POWER(COS(PI()*MOD(Calculator!$B$33/Calculator!$F$21,1)),2)))/$C81,$C81/(50*POWER(80,POWER(COS(PI()*MOD(Calculator!$B$33/Calculator!$F$21,1)),2)))),2))</f>
        <v>—</v>
      </c>
      <c r="AY81" s="98" t="n">
        <f aca="false">IFERROR(ROUND((IF(ISNUMBER(AN81),AN81,0)+IF(ISNUMBER(AO81),AO81,0)+IF(ISNUMBER(AP81),AP81,0)+IF(ISNUMBER(AQ81),AQ81,0)+IF(ISNUMBER(AR81),AR81,0)+IF(ISNUMBER(AS81),AS81,0)+IF(ISNUMBER(AT81),AT81,0)+IF(ISNUMBER(AU81),AU81,0)+IF(ISNUMBER(AV81),AV81,0)+IF(ISNUMBER(AW81),AW81,0)+IF(ISNUMBER(AX81),AX81,0))/(IF(ISNUMBER(AN81),1,0)+IF(ISNUMBER(AO81),1,0)+IF(ISNUMBER(AP81),1,0)+IF(ISNUMBER(AQ81),1,0)+IF(ISNUMBER(AR81),1,0)+IF(ISNUMBER(AS81),1,0)+IF(ISNUMBER(AT81),1,0)+IF(ISNUMBER(AU81),1,0)+IF(ISNUMBER(AV81),1,0)+IF(ISNUMBER(AW81),1,0)+IF(ISNUMBER(AX81),1,0)),2),"")</f>
        <v>8.13</v>
      </c>
      <c r="AZ81" s="99" t="str">
        <f aca="false">IF(OR(Calculator!$E$11&lt;&gt;"YES",Calculator!$B$34&lt;Calculator!$G$11),"—",ROUND(MAX((50*POWER(80,POWER(COS(PI()*MOD(Calculator!$B$34/Calculator!$F$11,1)),2)))/$C81,$C81/(50*POWER(80,POWER(COS(PI()*MOD(Calculator!$B$34/Calculator!$F$11,1)),2)))),2))</f>
        <v>—</v>
      </c>
      <c r="BA81" s="99" t="str">
        <f aca="false">IF(OR(Calculator!$E$12&lt;&gt;"YES",Calculator!$B$34&lt;Calculator!$G$12),"—",ROUND(MAX((50*POWER(80,POWER(COS(PI()*MOD(Calculator!$B$34/Calculator!$F$12,1)),2)))/$C81,$C81/(50*POWER(80,POWER(COS(PI()*MOD(Calculator!$B$34/Calculator!$F$12,1)),2)))),2))</f>
        <v>—</v>
      </c>
      <c r="BB81" s="99" t="str">
        <f aca="false">IF(OR(Calculator!$E$13&lt;&gt;"YES",Calculator!$B$34&lt;Calculator!$G$13),"—",ROUND(MAX((50*POWER(80,POWER(COS(PI()*MOD(Calculator!$B$34/Calculator!$F$13,1)),2)))/$C81,$C81/(50*POWER(80,POWER(COS(PI()*MOD(Calculator!$B$34/Calculator!$F$13,1)),2)))),2))</f>
        <v>—</v>
      </c>
      <c r="BC81" s="99" t="n">
        <f aca="false">IF(OR(Calculator!$E$14&lt;&gt;"YES",Calculator!$B$34&lt;Calculator!$G$14),"—",ROUND(MAX((50*POWER(80,POWER(COS(PI()*MOD(Calculator!$B$34/Calculator!$F$14,1)),2)))/$C81,$C81/(50*POWER(80,POWER(COS(PI()*MOD(Calculator!$B$34/Calculator!$F$14,1)),2)))),2))</f>
        <v>1.13</v>
      </c>
      <c r="BD81" s="99" t="n">
        <f aca="false">IF(OR(Calculator!$E$15&lt;&gt;"YES",Calculator!$B$34&lt;Calculator!$G$15),"—",ROUND(MAX((50*POWER(80,POWER(COS(PI()*MOD(Calculator!$B$34/Calculator!$F$15,1)),2)))/$C81,$C81/(50*POWER(80,POWER(COS(PI()*MOD(Calculator!$B$34/Calculator!$F$15,1)),2)))),2))</f>
        <v>10.78</v>
      </c>
      <c r="BE81" s="99" t="n">
        <f aca="false">IF(OR(Calculator!$E$16&lt;&gt;"YES",Calculator!$B$34&lt;Calculator!$G$16),"—",ROUND(MAX((50*POWER(80,POWER(COS(PI()*MOD(Calculator!$B$34/Calculator!$F$16,1)),2)))/$C81,$C81/(50*POWER(80,POWER(COS(PI()*MOD(Calculator!$B$34/Calculator!$F$16,1)),2)))),2))</f>
        <v>3.63</v>
      </c>
      <c r="BF81" s="99" t="n">
        <f aca="false">IF(OR(Calculator!$E$17&lt;&gt;"YES",Calculator!$B$34&lt;Calculator!$G$17),"—",ROUND(MAX((50*POWER(80,POWER(COS(PI()*MOD(Calculator!$B$34/Calculator!$F$17,1)),2)))/$C81,$C81/(50*POWER(80,POWER(COS(PI()*MOD(Calculator!$B$34/Calculator!$F$17,1)),2)))),2))</f>
        <v>1.87</v>
      </c>
      <c r="BG81" s="99" t="n">
        <f aca="false">IF(OR(Calculator!$E$18&lt;&gt;"YES",Calculator!$B$34&lt;Calculator!$G$18),"—",ROUND(MAX((50*POWER(80,POWER(COS(PI()*MOD(Calculator!$B$34/Calculator!$F$18,1)),2)))/$C81,$C81/(50*POWER(80,POWER(COS(PI()*MOD(Calculator!$B$34/Calculator!$F$18,1)),2)))),2))</f>
        <v>17.72</v>
      </c>
      <c r="BH81" s="99" t="n">
        <f aca="false">IF(OR(Calculator!$E$19&lt;&gt;"YES",Calculator!$B$34&lt;Calculator!$G$19),"—",ROUND(MAX((50*POWER(80,POWER(COS(PI()*MOD(Calculator!$B$34/Calculator!$F$19,1)),2)))/$C81,$C81/(50*POWER(80,POWER(COS(PI()*MOD(Calculator!$B$34/Calculator!$F$19,1)),2)))),2))</f>
        <v>19.71</v>
      </c>
      <c r="BI81" s="99" t="n">
        <f aca="false">IF(OR(Calculator!$E$20&lt;&gt;"YES",Calculator!$B$34&lt;Calculator!$G$20),"—",ROUND(MAX((50*POWER(80,POWER(COS(PI()*MOD(Calculator!$B$34/Calculator!$F$20,1)),2)))/$C81,$C81/(50*POWER(80,POWER(COS(PI()*MOD(Calculator!$B$34/Calculator!$F$20,1)),2)))),2))</f>
        <v>11.76</v>
      </c>
      <c r="BJ81" s="99" t="str">
        <f aca="false">IF(OR(Calculator!$E$21&lt;&gt;"YES",Calculator!$B$34&lt;Calculator!$G$21),"—",ROUND(MAX((50*POWER(80,POWER(COS(PI()*MOD(Calculator!$B$34/Calculator!$F$21,1)),2)))/$C81,$C81/(50*POWER(80,POWER(COS(PI()*MOD(Calculator!$B$34/Calculator!$F$21,1)),2)))),2))</f>
        <v>—</v>
      </c>
      <c r="BK81" s="98" t="n">
        <f aca="false">IFERROR(ROUND((IF(ISNUMBER(AZ81),AZ81,0)+IF(ISNUMBER(BA81),BA81,0)+IF(ISNUMBER(BB81),BB81,0)+IF(ISNUMBER(BC81),BC81,0)+IF(ISNUMBER(BD81),BD81,0)+IF(ISNUMBER(BE81),BE81,0)+IF(ISNUMBER(BF81),BF81,0)+IF(ISNUMBER(BG81),BG81,0)+IF(ISNUMBER(BH81),BH81,0)+IF(ISNUMBER(BI81),BI81,0)+IF(ISNUMBER(BJ81),BJ81,0))/(IF(ISNUMBER(AZ81),1,0)+IF(ISNUMBER(BA81),1,0)+IF(ISNUMBER(BB81),1,0)+IF(ISNUMBER(BC81),1,0)+IF(ISNUMBER(BD81),1,0)+IF(ISNUMBER(BE81),1,0)+IF(ISNUMBER(BF81),1,0)+IF(ISNUMBER(BG81),1,0)+IF(ISNUMBER(BH81),1,0)+IF(ISNUMBER(BI81),1,0)+IF(ISNUMBER(BJ81),1,0)),2),"")</f>
        <v>9.51</v>
      </c>
    </row>
    <row r="82" customFormat="false" ht="15" hidden="false" customHeight="false" outlineLevel="0" collapsed="false">
      <c r="A82" s="103" t="s">
        <v>133</v>
      </c>
      <c r="B82" s="103" t="s">
        <v>86</v>
      </c>
      <c r="C82" s="104" t="n">
        <v>2500</v>
      </c>
      <c r="D82" s="105" t="str">
        <f aca="false">IF(OR(Calculator!$E$11&lt;&gt;"YES",Calculator!$B$30&lt;Calculator!$G$11),"—",ROUND(MAX((50*POWER(80,POWER(COS(PI()*MOD(Calculator!$B$30/Calculator!$F$11,1)),2)))/$C82,$C82/(50*POWER(80,POWER(COS(PI()*MOD(Calculator!$B$30/Calculator!$F$11,1)),2)))),2))</f>
        <v>—</v>
      </c>
      <c r="E82" s="105" t="str">
        <f aca="false">IF(OR(Calculator!$E$12&lt;&gt;"YES",Calculator!$B$30&lt;Calculator!$G$12),"—",ROUND(MAX((50*POWER(80,POWER(COS(PI()*MOD(Calculator!$B$30/Calculator!$F$12,1)),2)))/$C82,$C82/(50*POWER(80,POWER(COS(PI()*MOD(Calculator!$B$30/Calculator!$F$12,1)),2)))),2))</f>
        <v>—</v>
      </c>
      <c r="F82" s="105" t="str">
        <f aca="false">IF(OR(Calculator!$E$13&lt;&gt;"YES",Calculator!$B$30&lt;Calculator!$G$13),"—",ROUND(MAX((50*POWER(80,POWER(COS(PI()*MOD(Calculator!$B$30/Calculator!$F$13,1)),2)))/$C82,$C82/(50*POWER(80,POWER(COS(PI()*MOD(Calculator!$B$30/Calculator!$F$13,1)),2)))),2))</f>
        <v>—</v>
      </c>
      <c r="G82" s="105" t="n">
        <f aca="false">IF(OR(Calculator!$E$14&lt;&gt;"YES",Calculator!$B$30&lt;Calculator!$G$14),"—",ROUND(MAX((50*POWER(80,POWER(COS(PI()*MOD(Calculator!$B$30/Calculator!$F$14,1)),2)))/$C82,$C82/(50*POWER(80,POWER(COS(PI()*MOD(Calculator!$B$30/Calculator!$F$14,1)),2)))),2))</f>
        <v>22.59</v>
      </c>
      <c r="H82" s="105" t="n">
        <f aca="false">IF(OR(Calculator!$E$15&lt;&gt;"YES",Calculator!$B$30&lt;Calculator!$G$15),"—",ROUND(MAX((50*POWER(80,POWER(COS(PI()*MOD(Calculator!$B$30/Calculator!$F$15,1)),2)))/$C82,$C82/(50*POWER(80,POWER(COS(PI()*MOD(Calculator!$B$30/Calculator!$F$15,1)),2)))),2))</f>
        <v>6.55</v>
      </c>
      <c r="I82" s="105" t="n">
        <f aca="false">IF(OR(Calculator!$E$16&lt;&gt;"YES",Calculator!$B$30&lt;Calculator!$G$16),"—",ROUND(MAX((50*POWER(80,POWER(COS(PI()*MOD(Calculator!$B$30/Calculator!$F$16,1)),2)))/$C82,$C82/(50*POWER(80,POWER(COS(PI()*MOD(Calculator!$B$30/Calculator!$F$16,1)),2)))),2))</f>
        <v>4.48</v>
      </c>
      <c r="J82" s="105" t="n">
        <f aca="false">IF(OR(Calculator!$E$17&lt;&gt;"YES",Calculator!$B$30&lt;Calculator!$G$17),"—",ROUND(MAX((50*POWER(80,POWER(COS(PI()*MOD(Calculator!$B$30/Calculator!$F$17,1)),2)))/$C82,$C82/(50*POWER(80,POWER(COS(PI()*MOD(Calculator!$B$30/Calculator!$F$17,1)),2)))),2))</f>
        <v>12.57</v>
      </c>
      <c r="K82" s="105" t="n">
        <f aca="false">IF(OR(Calculator!$E$18&lt;&gt;"YES",Calculator!$B$30&lt;Calculator!$G$18),"—",ROUND(MAX((50*POWER(80,POWER(COS(PI()*MOD(Calculator!$B$30/Calculator!$F$18,1)),2)))/$C82,$C82/(50*POWER(80,POWER(COS(PI()*MOD(Calculator!$B$30/Calculator!$F$18,1)),2)))),2))</f>
        <v>1.79</v>
      </c>
      <c r="L82" s="105" t="n">
        <f aca="false">IF(OR(Calculator!$E$19&lt;&gt;"YES",Calculator!$B$30&lt;Calculator!$G$19),"—",ROUND(MAX((50*POWER(80,POWER(COS(PI()*MOD(Calculator!$B$30/Calculator!$F$19,1)),2)))/$C82,$C82/(50*POWER(80,POWER(COS(PI()*MOD(Calculator!$B$30/Calculator!$F$19,1)),2)))),2))</f>
        <v>3.18</v>
      </c>
      <c r="M82" s="105" t="n">
        <f aca="false">IF(OR(Calculator!$E$20&lt;&gt;"YES",Calculator!$B$30&lt;Calculator!$G$20),"—",ROUND(MAX((50*POWER(80,POWER(COS(PI()*MOD(Calculator!$B$30/Calculator!$F$20,1)),2)))/$C82,$C82/(50*POWER(80,POWER(COS(PI()*MOD(Calculator!$B$30/Calculator!$F$20,1)),2)))),2))</f>
        <v>19.75</v>
      </c>
      <c r="N82" s="105" t="str">
        <f aca="false">IF(OR(Calculator!$E$21&lt;&gt;"YES",Calculator!$B$30&lt;Calculator!$G$21),"—",ROUND(MAX((50*POWER(80,POWER(COS(PI()*MOD(Calculator!$B$30/Calculator!$F$21,1)),2)))/$C82,$C82/(50*POWER(80,POWER(COS(PI()*MOD(Calculator!$B$30/Calculator!$F$21,1)),2)))),2))</f>
        <v>—</v>
      </c>
      <c r="O82" s="100" t="n">
        <f aca="false">IFERROR(ROUND((IF(ISNUMBER(D82),D82,0)+IF(ISNUMBER(E82),E82,0)+IF(ISNUMBER(F82),F82,0)+IF(ISNUMBER(G82),G82,0)+IF(ISNUMBER(H82),H82,0)+IF(ISNUMBER(I82),I82,0)+IF(ISNUMBER(J82),J82,0)+IF(ISNUMBER(K82),K82,0)+IF(ISNUMBER(L82),L82,0)+IF(ISNUMBER(M82),M82,0)+IF(ISNUMBER(N82),N82,0))/(IF(ISNUMBER(D82),1,0)+IF(ISNUMBER(E82),1,0)+IF(ISNUMBER(F82),1,0)+IF(ISNUMBER(G82),1,0)+IF(ISNUMBER(H82),1,0)+IF(ISNUMBER(I82),1,0)+IF(ISNUMBER(J82),1,0)+IF(ISNUMBER(K82),1,0)+IF(ISNUMBER(L82),1,0)+IF(ISNUMBER(M82),1,0)+IF(ISNUMBER(N82),1,0)),2),"")</f>
        <v>10.13</v>
      </c>
      <c r="P82" s="105" t="str">
        <f aca="false">IF(OR(Calculator!$E$11&lt;&gt;"YES",Calculator!$B$31&lt;Calculator!$G$11),"—",ROUND(MAX((50*POWER(80,POWER(COS(PI()*MOD(Calculator!$B$31/Calculator!$F$11,1)),2)))/$C82,$C82/(50*POWER(80,POWER(COS(PI()*MOD(Calculator!$B$31/Calculator!$F$11,1)),2)))),2))</f>
        <v>—</v>
      </c>
      <c r="Q82" s="105" t="str">
        <f aca="false">IF(OR(Calculator!$E$12&lt;&gt;"YES",Calculator!$B$31&lt;Calculator!$G$12),"—",ROUND(MAX((50*POWER(80,POWER(COS(PI()*MOD(Calculator!$B$31/Calculator!$F$12,1)),2)))/$C82,$C82/(50*POWER(80,POWER(COS(PI()*MOD(Calculator!$B$31/Calculator!$F$12,1)),2)))),2))</f>
        <v>—</v>
      </c>
      <c r="R82" s="105" t="str">
        <f aca="false">IF(OR(Calculator!$E$13&lt;&gt;"YES",Calculator!$B$31&lt;Calculator!$G$13),"—",ROUND(MAX((50*POWER(80,POWER(COS(PI()*MOD(Calculator!$B$31/Calculator!$F$13,1)),2)))/$C82,$C82/(50*POWER(80,POWER(COS(PI()*MOD(Calculator!$B$31/Calculator!$F$13,1)),2)))),2))</f>
        <v>—</v>
      </c>
      <c r="S82" s="105" t="n">
        <f aca="false">IF(OR(Calculator!$E$14&lt;&gt;"YES",Calculator!$B$31&lt;Calculator!$G$14),"—",ROUND(MAX((50*POWER(80,POWER(COS(PI()*MOD(Calculator!$B$31/Calculator!$F$14,1)),2)))/$C82,$C82/(50*POWER(80,POWER(COS(PI()*MOD(Calculator!$B$31/Calculator!$F$14,1)),2)))),2))</f>
        <v>23.13</v>
      </c>
      <c r="T82" s="105" t="n">
        <f aca="false">IF(OR(Calculator!$E$15&lt;&gt;"YES",Calculator!$B$31&lt;Calculator!$G$15),"—",ROUND(MAX((50*POWER(80,POWER(COS(PI()*MOD(Calculator!$B$31/Calculator!$F$15,1)),2)))/$C82,$C82/(50*POWER(80,POWER(COS(PI()*MOD(Calculator!$B$31/Calculator!$F$15,1)),2)))),2))</f>
        <v>14.07</v>
      </c>
      <c r="U82" s="105" t="n">
        <f aca="false">IF(OR(Calculator!$E$16&lt;&gt;"YES",Calculator!$B$31&lt;Calculator!$G$16),"—",ROUND(MAX((50*POWER(80,POWER(COS(PI()*MOD(Calculator!$B$31/Calculator!$F$16,1)),2)))/$C82,$C82/(50*POWER(80,POWER(COS(PI()*MOD(Calculator!$B$31/Calculator!$F$16,1)),2)))),2))</f>
        <v>5.36</v>
      </c>
      <c r="V82" s="105" t="n">
        <f aca="false">IF(OR(Calculator!$E$17&lt;&gt;"YES",Calculator!$B$31&lt;Calculator!$G$17),"—",ROUND(MAX((50*POWER(80,POWER(COS(PI()*MOD(Calculator!$B$31/Calculator!$F$17,1)),2)))/$C82,$C82/(50*POWER(80,POWER(COS(PI()*MOD(Calculator!$B$31/Calculator!$F$17,1)),2)))),2))</f>
        <v>1.54</v>
      </c>
      <c r="W82" s="105" t="n">
        <f aca="false">IF(OR(Calculator!$E$18&lt;&gt;"YES",Calculator!$B$31&lt;Calculator!$G$18),"—",ROUND(MAX((50*POWER(80,POWER(COS(PI()*MOD(Calculator!$B$31/Calculator!$F$18,1)),2)))/$C82,$C82/(50*POWER(80,POWER(COS(PI()*MOD(Calculator!$B$31/Calculator!$F$18,1)),2)))),2))</f>
        <v>1.36</v>
      </c>
      <c r="X82" s="105" t="n">
        <f aca="false">IF(OR(Calculator!$E$19&lt;&gt;"YES",Calculator!$B$31&lt;Calculator!$G$19),"—",ROUND(MAX((50*POWER(80,POWER(COS(PI()*MOD(Calculator!$B$31/Calculator!$F$19,1)),2)))/$C82,$C82/(50*POWER(80,POWER(COS(PI()*MOD(Calculator!$B$31/Calculator!$F$19,1)),2)))),2))</f>
        <v>9.29</v>
      </c>
      <c r="Y82" s="105" t="n">
        <f aca="false">IF(OR(Calculator!$E$20&lt;&gt;"YES",Calculator!$B$31&lt;Calculator!$G$20),"—",ROUND(MAX((50*POWER(80,POWER(COS(PI()*MOD(Calculator!$B$31/Calculator!$F$20,1)),2)))/$C82,$C82/(50*POWER(80,POWER(COS(PI()*MOD(Calculator!$B$31/Calculator!$F$20,1)),2)))),2))</f>
        <v>30.67</v>
      </c>
      <c r="Z82" s="105" t="str">
        <f aca="false">IF(OR(Calculator!$E$21&lt;&gt;"YES",Calculator!$B$31&lt;Calculator!$G$21),"—",ROUND(MAX((50*POWER(80,POWER(COS(PI()*MOD(Calculator!$B$31/Calculator!$F$21,1)),2)))/$C82,$C82/(50*POWER(80,POWER(COS(PI()*MOD(Calculator!$B$31/Calculator!$F$21,1)),2)))),2))</f>
        <v>—</v>
      </c>
      <c r="AA82" s="100" t="n">
        <f aca="false">IFERROR(ROUND((IF(ISNUMBER(P82),P82,0)+IF(ISNUMBER(Q82),Q82,0)+IF(ISNUMBER(R82),R82,0)+IF(ISNUMBER(S82),S82,0)+IF(ISNUMBER(T82),T82,0)+IF(ISNUMBER(U82),U82,0)+IF(ISNUMBER(V82),V82,0)+IF(ISNUMBER(W82),W82,0)+IF(ISNUMBER(X82),X82,0)+IF(ISNUMBER(Y82),Y82,0)+IF(ISNUMBER(Z82),Z82,0))/(IF(ISNUMBER(P82),1,0)+IF(ISNUMBER(Q82),1,0)+IF(ISNUMBER(R82),1,0)+IF(ISNUMBER(S82),1,0)+IF(ISNUMBER(T82),1,0)+IF(ISNUMBER(U82),1,0)+IF(ISNUMBER(V82),1,0)+IF(ISNUMBER(W82),1,0)+IF(ISNUMBER(X82),1,0)+IF(ISNUMBER(Y82),1,0)+IF(ISNUMBER(Z82),1,0)),2),"")</f>
        <v>12.2</v>
      </c>
      <c r="AB82" s="105" t="str">
        <f aca="false">IF(OR(Calculator!$E$11&lt;&gt;"YES",Calculator!$B$32&lt;Calculator!$G$11),"—",ROUND(MAX((50*POWER(80,POWER(COS(PI()*MOD(Calculator!$B$32/Calculator!$F$11,1)),2)))/$C82,$C82/(50*POWER(80,POWER(COS(PI()*MOD(Calculator!$B$32/Calculator!$F$11,1)),2)))),2))</f>
        <v>—</v>
      </c>
      <c r="AC82" s="105" t="str">
        <f aca="false">IF(OR(Calculator!$E$12&lt;&gt;"YES",Calculator!$B$32&lt;Calculator!$G$12),"—",ROUND(MAX((50*POWER(80,POWER(COS(PI()*MOD(Calculator!$B$32/Calculator!$F$12,1)),2)))/$C82,$C82/(50*POWER(80,POWER(COS(PI()*MOD(Calculator!$B$32/Calculator!$F$12,1)),2)))),2))</f>
        <v>—</v>
      </c>
      <c r="AD82" s="105" t="str">
        <f aca="false">IF(OR(Calculator!$E$13&lt;&gt;"YES",Calculator!$B$32&lt;Calculator!$G$13),"—",ROUND(MAX((50*POWER(80,POWER(COS(PI()*MOD(Calculator!$B$32/Calculator!$F$13,1)),2)))/$C82,$C82/(50*POWER(80,POWER(COS(PI()*MOD(Calculator!$B$32/Calculator!$F$13,1)),2)))),2))</f>
        <v>—</v>
      </c>
      <c r="AE82" s="105" t="n">
        <f aca="false">IF(OR(Calculator!$E$14&lt;&gt;"YES",Calculator!$B$32&lt;Calculator!$G$14),"—",ROUND(MAX((50*POWER(80,POWER(COS(PI()*MOD(Calculator!$B$32/Calculator!$F$14,1)),2)))/$C82,$C82/(50*POWER(80,POWER(COS(PI()*MOD(Calculator!$B$32/Calculator!$F$14,1)),2)))),2))</f>
        <v>14.61</v>
      </c>
      <c r="AF82" s="105" t="n">
        <f aca="false">IF(OR(Calculator!$E$15&lt;&gt;"YES",Calculator!$B$32&lt;Calculator!$G$15),"—",ROUND(MAX((50*POWER(80,POWER(COS(PI()*MOD(Calculator!$B$32/Calculator!$F$15,1)),2)))/$C82,$C82/(50*POWER(80,POWER(COS(PI()*MOD(Calculator!$B$32/Calculator!$F$15,1)),2)))),2))</f>
        <v>9.44</v>
      </c>
      <c r="AG82" s="105" t="n">
        <f aca="false">IF(OR(Calculator!$E$16&lt;&gt;"YES",Calculator!$B$32&lt;Calculator!$G$16),"—",ROUND(MAX((50*POWER(80,POWER(COS(PI()*MOD(Calculator!$B$32/Calculator!$F$16,1)),2)))/$C82,$C82/(50*POWER(80,POWER(COS(PI()*MOD(Calculator!$B$32/Calculator!$F$16,1)),2)))),2))</f>
        <v>31.88</v>
      </c>
      <c r="AH82" s="105" t="n">
        <f aca="false">IF(OR(Calculator!$E$17&lt;&gt;"YES",Calculator!$B$32&lt;Calculator!$G$17),"—",ROUND(MAX((50*POWER(80,POWER(COS(PI()*MOD(Calculator!$B$32/Calculator!$F$17,1)),2)))/$C82,$C82/(50*POWER(80,POWER(COS(PI()*MOD(Calculator!$B$32/Calculator!$F$17,1)),2)))),2))</f>
        <v>1.09</v>
      </c>
      <c r="AI82" s="105" t="n">
        <f aca="false">IF(OR(Calculator!$E$18&lt;&gt;"YES",Calculator!$B$32&lt;Calculator!$G$18),"—",ROUND(MAX((50*POWER(80,POWER(COS(PI()*MOD(Calculator!$B$32/Calculator!$F$18,1)),2)))/$C82,$C82/(50*POWER(80,POWER(COS(PI()*MOD(Calculator!$B$32/Calculator!$F$18,1)),2)))),2))</f>
        <v>1</v>
      </c>
      <c r="AJ82" s="105" t="n">
        <f aca="false">IF(OR(Calculator!$E$19&lt;&gt;"YES",Calculator!$B$32&lt;Calculator!$G$19),"—",ROUND(MAX((50*POWER(80,POWER(COS(PI()*MOD(Calculator!$B$32/Calculator!$F$19,1)),2)))/$C82,$C82/(50*POWER(80,POWER(COS(PI()*MOD(Calculator!$B$32/Calculator!$F$19,1)),2)))),2))</f>
        <v>1.05</v>
      </c>
      <c r="AK82" s="105" t="n">
        <f aca="false">IF(OR(Calculator!$E$20&lt;&gt;"YES",Calculator!$B$32&lt;Calculator!$G$20),"—",ROUND(MAX((50*POWER(80,POWER(COS(PI()*MOD(Calculator!$B$32/Calculator!$F$20,1)),2)))/$C82,$C82/(50*POWER(80,POWER(COS(PI()*MOD(Calculator!$B$32/Calculator!$F$20,1)),2)))),2))</f>
        <v>25.07</v>
      </c>
      <c r="AL82" s="105" t="str">
        <f aca="false">IF(OR(Calculator!$E$21&lt;&gt;"YES",Calculator!$B$32&lt;Calculator!$G$21),"—",ROUND(MAX((50*POWER(80,POWER(COS(PI()*MOD(Calculator!$B$32/Calculator!$F$21,1)),2)))/$C82,$C82/(50*POWER(80,POWER(COS(PI()*MOD(Calculator!$B$32/Calculator!$F$21,1)),2)))),2))</f>
        <v>—</v>
      </c>
      <c r="AM82" s="101" t="n">
        <f aca="false">IFERROR(ROUND((IF(ISNUMBER(AB82),AB82,0)+IF(ISNUMBER(AC82),AC82,0)+IF(ISNUMBER(AD82),AD82,0)+IF(ISNUMBER(AE82),AE82,0)+IF(ISNUMBER(AF82),AF82,0)+IF(ISNUMBER(AG82),AG82,0)+IF(ISNUMBER(AH82),AH82,0)+IF(ISNUMBER(AI82),AI82,0)+IF(ISNUMBER(AJ82),AJ82,0)+IF(ISNUMBER(AK82),AK82,0)+IF(ISNUMBER(AL82),AL82,0))/(IF(ISNUMBER(AB82),1,0)+IF(ISNUMBER(AC82),1,0)+IF(ISNUMBER(AD82),1,0)+IF(ISNUMBER(AE82),1,0)+IF(ISNUMBER(AF82),1,0)+IF(ISNUMBER(AG82),1,0)+IF(ISNUMBER(AH82),1,0)+IF(ISNUMBER(AI82),1,0)+IF(ISNUMBER(AJ82),1,0)+IF(ISNUMBER(AK82),1,0)+IF(ISNUMBER(AL82),1,0)),2),"")</f>
        <v>12.02</v>
      </c>
      <c r="AN82" s="106" t="str">
        <f aca="false">IF(OR(Calculator!$E$11&lt;&gt;"YES",Calculator!$B$33&lt;Calculator!$G$11),"—",ROUND(MAX((50*POWER(80,POWER(COS(PI()*MOD(Calculator!$B$33/Calculator!$F$11,1)),2)))/$C82,$C82/(50*POWER(80,POWER(COS(PI()*MOD(Calculator!$B$33/Calculator!$F$11,1)),2)))),2))</f>
        <v>—</v>
      </c>
      <c r="AO82" s="106" t="str">
        <f aca="false">IF(OR(Calculator!$E$12&lt;&gt;"YES",Calculator!$B$33&lt;Calculator!$G$12),"—",ROUND(MAX((50*POWER(80,POWER(COS(PI()*MOD(Calculator!$B$33/Calculator!$F$12,1)),2)))/$C82,$C82/(50*POWER(80,POWER(COS(PI()*MOD(Calculator!$B$33/Calculator!$F$12,1)),2)))),2))</f>
        <v>—</v>
      </c>
      <c r="AP82" s="106" t="str">
        <f aca="false">IF(OR(Calculator!$E$13&lt;&gt;"YES",Calculator!$B$33&lt;Calculator!$G$13),"—",ROUND(MAX((50*POWER(80,POWER(COS(PI()*MOD(Calculator!$B$33/Calculator!$F$13,1)),2)))/$C82,$C82/(50*POWER(80,POWER(COS(PI()*MOD(Calculator!$B$33/Calculator!$F$13,1)),2)))),2))</f>
        <v>—</v>
      </c>
      <c r="AQ82" s="106" t="n">
        <f aca="false">IF(OR(Calculator!$E$14&lt;&gt;"YES",Calculator!$B$33&lt;Calculator!$G$14),"—",ROUND(MAX((50*POWER(80,POWER(COS(PI()*MOD(Calculator!$B$33/Calculator!$F$14,1)),2)))/$C82,$C82/(50*POWER(80,POWER(COS(PI()*MOD(Calculator!$B$33/Calculator!$F$14,1)),2)))),2))</f>
        <v>1.09</v>
      </c>
      <c r="AR82" s="106" t="n">
        <f aca="false">IF(OR(Calculator!$E$15&lt;&gt;"YES",Calculator!$B$33&lt;Calculator!$G$15),"—",ROUND(MAX((50*POWER(80,POWER(COS(PI()*MOD(Calculator!$B$33/Calculator!$F$15,1)),2)))/$C82,$C82/(50*POWER(80,POWER(COS(PI()*MOD(Calculator!$B$33/Calculator!$F$15,1)),2)))),2))</f>
        <v>8.52</v>
      </c>
      <c r="AS82" s="106" t="n">
        <f aca="false">IF(OR(Calculator!$E$16&lt;&gt;"YES",Calculator!$B$33&lt;Calculator!$G$16),"—",ROUND(MAX((50*POWER(80,POWER(COS(PI()*MOD(Calculator!$B$33/Calculator!$F$16,1)),2)))/$C82,$C82/(50*POWER(80,POWER(COS(PI()*MOD(Calculator!$B$33/Calculator!$F$16,1)),2)))),2))</f>
        <v>3.11</v>
      </c>
      <c r="AT82" s="106" t="n">
        <f aca="false">IF(OR(Calculator!$E$17&lt;&gt;"YES",Calculator!$B$33&lt;Calculator!$G$17),"—",ROUND(MAX((50*POWER(80,POWER(COS(PI()*MOD(Calculator!$B$33/Calculator!$F$17,1)),2)))/$C82,$C82/(50*POWER(80,POWER(COS(PI()*MOD(Calculator!$B$33/Calculator!$F$17,1)),2)))),2))</f>
        <v>9.88</v>
      </c>
      <c r="AU82" s="106" t="n">
        <f aca="false">IF(OR(Calculator!$E$18&lt;&gt;"YES",Calculator!$B$33&lt;Calculator!$G$18),"—",ROUND(MAX((50*POWER(80,POWER(COS(PI()*MOD(Calculator!$B$33/Calculator!$F$18,1)),2)))/$C82,$C82/(50*POWER(80,POWER(COS(PI()*MOD(Calculator!$B$33/Calculator!$F$18,1)),2)))),2))</f>
        <v>13.37</v>
      </c>
      <c r="AV82" s="106" t="n">
        <f aca="false">IF(OR(Calculator!$E$19&lt;&gt;"YES",Calculator!$B$33&lt;Calculator!$G$19),"—",ROUND(MAX((50*POWER(80,POWER(COS(PI()*MOD(Calculator!$B$33/Calculator!$F$19,1)),2)))/$C82,$C82/(50*POWER(80,POWER(COS(PI()*MOD(Calculator!$B$33/Calculator!$F$19,1)),2)))),2))</f>
        <v>1.63</v>
      </c>
      <c r="AW82" s="106" t="n">
        <f aca="false">IF(OR(Calculator!$E$20&lt;&gt;"YES",Calculator!$B$33&lt;Calculator!$G$20),"—",ROUND(MAX((50*POWER(80,POWER(COS(PI()*MOD(Calculator!$B$33/Calculator!$F$20,1)),2)))/$C82,$C82/(50*POWER(80,POWER(COS(PI()*MOD(Calculator!$B$33/Calculator!$F$20,1)),2)))),2))</f>
        <v>20.4</v>
      </c>
      <c r="AX82" s="106" t="str">
        <f aca="false">IF(OR(Calculator!$E$21&lt;&gt;"YES",Calculator!$B$33&lt;Calculator!$G$21),"—",ROUND(MAX((50*POWER(80,POWER(COS(PI()*MOD(Calculator!$B$33/Calculator!$F$21,1)),2)))/$C82,$C82/(50*POWER(80,POWER(COS(PI()*MOD(Calculator!$B$33/Calculator!$F$21,1)),2)))),2))</f>
        <v>—</v>
      </c>
      <c r="AY82" s="101" t="n">
        <f aca="false">IFERROR(ROUND((IF(ISNUMBER(AN82),AN82,0)+IF(ISNUMBER(AO82),AO82,0)+IF(ISNUMBER(AP82),AP82,0)+IF(ISNUMBER(AQ82),AQ82,0)+IF(ISNUMBER(AR82),AR82,0)+IF(ISNUMBER(AS82),AS82,0)+IF(ISNUMBER(AT82),AT82,0)+IF(ISNUMBER(AU82),AU82,0)+IF(ISNUMBER(AV82),AV82,0)+IF(ISNUMBER(AW82),AW82,0)+IF(ISNUMBER(AX82),AX82,0))/(IF(ISNUMBER(AN82),1,0)+IF(ISNUMBER(AO82),1,0)+IF(ISNUMBER(AP82),1,0)+IF(ISNUMBER(AQ82),1,0)+IF(ISNUMBER(AR82),1,0)+IF(ISNUMBER(AS82),1,0)+IF(ISNUMBER(AT82),1,0)+IF(ISNUMBER(AU82),1,0)+IF(ISNUMBER(AV82),1,0)+IF(ISNUMBER(AW82),1,0)+IF(ISNUMBER(AX82),1,0)),2),"")</f>
        <v>8.29</v>
      </c>
      <c r="AZ82" s="106" t="str">
        <f aca="false">IF(OR(Calculator!$E$11&lt;&gt;"YES",Calculator!$B$34&lt;Calculator!$G$11),"—",ROUND(MAX((50*POWER(80,POWER(COS(PI()*MOD(Calculator!$B$34/Calculator!$F$11,1)),2)))/$C82,$C82/(50*POWER(80,POWER(COS(PI()*MOD(Calculator!$B$34/Calculator!$F$11,1)),2)))),2))</f>
        <v>—</v>
      </c>
      <c r="BA82" s="106" t="str">
        <f aca="false">IF(OR(Calculator!$E$12&lt;&gt;"YES",Calculator!$B$34&lt;Calculator!$G$12),"—",ROUND(MAX((50*POWER(80,POWER(COS(PI()*MOD(Calculator!$B$34/Calculator!$F$12,1)),2)))/$C82,$C82/(50*POWER(80,POWER(COS(PI()*MOD(Calculator!$B$34/Calculator!$F$12,1)),2)))),2))</f>
        <v>—</v>
      </c>
      <c r="BB82" s="106" t="str">
        <f aca="false">IF(OR(Calculator!$E$13&lt;&gt;"YES",Calculator!$B$34&lt;Calculator!$G$13),"—",ROUND(MAX((50*POWER(80,POWER(COS(PI()*MOD(Calculator!$B$34/Calculator!$F$13,1)),2)))/$C82,$C82/(50*POWER(80,POWER(COS(PI()*MOD(Calculator!$B$34/Calculator!$F$13,1)),2)))),2))</f>
        <v>—</v>
      </c>
      <c r="BC82" s="106" t="n">
        <f aca="false">IF(OR(Calculator!$E$14&lt;&gt;"YES",Calculator!$B$34&lt;Calculator!$G$14),"—",ROUND(MAX((50*POWER(80,POWER(COS(PI()*MOD(Calculator!$B$34/Calculator!$F$14,1)),2)))/$C82,$C82/(50*POWER(80,POWER(COS(PI()*MOD(Calculator!$B$34/Calculator!$F$14,1)),2)))),2))</f>
        <v>1.11</v>
      </c>
      <c r="BD82" s="106" t="n">
        <f aca="false">IF(OR(Calculator!$E$15&lt;&gt;"YES",Calculator!$B$34&lt;Calculator!$G$15),"—",ROUND(MAX((50*POWER(80,POWER(COS(PI()*MOD(Calculator!$B$34/Calculator!$F$15,1)),2)))/$C82,$C82/(50*POWER(80,POWER(COS(PI()*MOD(Calculator!$B$34/Calculator!$F$15,1)),2)))),2))</f>
        <v>11</v>
      </c>
      <c r="BE82" s="106" t="n">
        <f aca="false">IF(OR(Calculator!$E$16&lt;&gt;"YES",Calculator!$B$34&lt;Calculator!$G$16),"—",ROUND(MAX((50*POWER(80,POWER(COS(PI()*MOD(Calculator!$B$34/Calculator!$F$16,1)),2)))/$C82,$C82/(50*POWER(80,POWER(COS(PI()*MOD(Calculator!$B$34/Calculator!$F$16,1)),2)))),2))</f>
        <v>3.71</v>
      </c>
      <c r="BF82" s="106" t="n">
        <f aca="false">IF(OR(Calculator!$E$17&lt;&gt;"YES",Calculator!$B$34&lt;Calculator!$G$17),"—",ROUND(MAX((50*POWER(80,POWER(COS(PI()*MOD(Calculator!$B$34/Calculator!$F$17,1)),2)))/$C82,$C82/(50*POWER(80,POWER(COS(PI()*MOD(Calculator!$B$34/Calculator!$F$17,1)),2)))),2))</f>
        <v>1.91</v>
      </c>
      <c r="BG82" s="106" t="n">
        <f aca="false">IF(OR(Calculator!$E$18&lt;&gt;"YES",Calculator!$B$34&lt;Calculator!$G$18),"—",ROUND(MAX((50*POWER(80,POWER(COS(PI()*MOD(Calculator!$B$34/Calculator!$F$18,1)),2)))/$C82,$C82/(50*POWER(80,POWER(COS(PI()*MOD(Calculator!$B$34/Calculator!$F$18,1)),2)))),2))</f>
        <v>18.08</v>
      </c>
      <c r="BH82" s="106" t="n">
        <f aca="false">IF(OR(Calculator!$E$19&lt;&gt;"YES",Calculator!$B$34&lt;Calculator!$G$19),"—",ROUND(MAX((50*POWER(80,POWER(COS(PI()*MOD(Calculator!$B$34/Calculator!$F$19,1)),2)))/$C82,$C82/(50*POWER(80,POWER(COS(PI()*MOD(Calculator!$B$34/Calculator!$F$19,1)),2)))),2))</f>
        <v>20.11</v>
      </c>
      <c r="BI82" s="106" t="n">
        <f aca="false">IF(OR(Calculator!$E$20&lt;&gt;"YES",Calculator!$B$34&lt;Calculator!$G$20),"—",ROUND(MAX((50*POWER(80,POWER(COS(PI()*MOD(Calculator!$B$34/Calculator!$F$20,1)),2)))/$C82,$C82/(50*POWER(80,POWER(COS(PI()*MOD(Calculator!$B$34/Calculator!$F$20,1)),2)))),2))</f>
        <v>12</v>
      </c>
      <c r="BJ82" s="106" t="str">
        <f aca="false">IF(OR(Calculator!$E$21&lt;&gt;"YES",Calculator!$B$34&lt;Calculator!$G$21),"—",ROUND(MAX((50*POWER(80,POWER(COS(PI()*MOD(Calculator!$B$34/Calculator!$F$21,1)),2)))/$C82,$C82/(50*POWER(80,POWER(COS(PI()*MOD(Calculator!$B$34/Calculator!$F$21,1)),2)))),2))</f>
        <v>—</v>
      </c>
      <c r="BK82" s="101" t="n">
        <f aca="false">IFERROR(ROUND((IF(ISNUMBER(AZ82),AZ82,0)+IF(ISNUMBER(BA82),BA82,0)+IF(ISNUMBER(BB82),BB82,0)+IF(ISNUMBER(BC82),BC82,0)+IF(ISNUMBER(BD82),BD82,0)+IF(ISNUMBER(BE82),BE82,0)+IF(ISNUMBER(BF82),BF82,0)+IF(ISNUMBER(BG82),BG82,0)+IF(ISNUMBER(BH82),BH82,0)+IF(ISNUMBER(BI82),BI82,0)+IF(ISNUMBER(BJ82),BJ82,0))/(IF(ISNUMBER(AZ82),1,0)+IF(ISNUMBER(BA82),1,0)+IF(ISNUMBER(BB82),1,0)+IF(ISNUMBER(BC82),1,0)+IF(ISNUMBER(BD82),1,0)+IF(ISNUMBER(BE82),1,0)+IF(ISNUMBER(BF82),1,0)+IF(ISNUMBER(BG82),1,0)+IF(ISNUMBER(BH82),1,0)+IF(ISNUMBER(BI82),1,0)+IF(ISNUMBER(BJ82),1,0)),2),"")</f>
        <v>9.7</v>
      </c>
    </row>
    <row r="83" customFormat="false" ht="15" hidden="false" customHeight="false" outlineLevel="0" collapsed="false">
      <c r="A83" s="74" t="s">
        <v>134</v>
      </c>
      <c r="B83" s="74" t="s">
        <v>86</v>
      </c>
      <c r="C83" s="77" t="n">
        <v>2550</v>
      </c>
      <c r="D83" s="78" t="str">
        <f aca="false">IF(OR(Calculator!$E$11&lt;&gt;"YES",Calculator!$B$30&lt;Calculator!$G$11),"—",ROUND(MAX((50*POWER(80,POWER(COS(PI()*MOD(Calculator!$B$30/Calculator!$F$11,1)),2)))/$C83,$C83/(50*POWER(80,POWER(COS(PI()*MOD(Calculator!$B$30/Calculator!$F$11,1)),2)))),2))</f>
        <v>—</v>
      </c>
      <c r="E83" s="78" t="str">
        <f aca="false">IF(OR(Calculator!$E$12&lt;&gt;"YES",Calculator!$B$30&lt;Calculator!$G$12),"—",ROUND(MAX((50*POWER(80,POWER(COS(PI()*MOD(Calculator!$B$30/Calculator!$F$12,1)),2)))/$C83,$C83/(50*POWER(80,POWER(COS(PI()*MOD(Calculator!$B$30/Calculator!$F$12,1)),2)))),2))</f>
        <v>—</v>
      </c>
      <c r="F83" s="78" t="str">
        <f aca="false">IF(OR(Calculator!$E$13&lt;&gt;"YES",Calculator!$B$30&lt;Calculator!$G$13),"—",ROUND(MAX((50*POWER(80,POWER(COS(PI()*MOD(Calculator!$B$30/Calculator!$F$13,1)),2)))/$C83,$C83/(50*POWER(80,POWER(COS(PI()*MOD(Calculator!$B$30/Calculator!$F$13,1)),2)))),2))</f>
        <v>—</v>
      </c>
      <c r="G83" s="78" t="n">
        <f aca="false">IF(OR(Calculator!$E$14&lt;&gt;"YES",Calculator!$B$30&lt;Calculator!$G$14),"—",ROUND(MAX((50*POWER(80,POWER(COS(PI()*MOD(Calculator!$B$30/Calculator!$F$14,1)),2)))/$C83,$C83/(50*POWER(80,POWER(COS(PI()*MOD(Calculator!$B$30/Calculator!$F$14,1)),2)))),2))</f>
        <v>23.04</v>
      </c>
      <c r="H83" s="78" t="n">
        <f aca="false">IF(OR(Calculator!$E$15&lt;&gt;"YES",Calculator!$B$30&lt;Calculator!$G$15),"—",ROUND(MAX((50*POWER(80,POWER(COS(PI()*MOD(Calculator!$B$30/Calculator!$F$15,1)),2)))/$C83,$C83/(50*POWER(80,POWER(COS(PI()*MOD(Calculator!$B$30/Calculator!$F$15,1)),2)))),2))</f>
        <v>6.68</v>
      </c>
      <c r="I83" s="78" t="n">
        <f aca="false">IF(OR(Calculator!$E$16&lt;&gt;"YES",Calculator!$B$30&lt;Calculator!$G$16),"—",ROUND(MAX((50*POWER(80,POWER(COS(PI()*MOD(Calculator!$B$30/Calculator!$F$16,1)),2)))/$C83,$C83/(50*POWER(80,POWER(COS(PI()*MOD(Calculator!$B$30/Calculator!$F$16,1)),2)))),2))</f>
        <v>4.57</v>
      </c>
      <c r="J83" s="78" t="n">
        <f aca="false">IF(OR(Calculator!$E$17&lt;&gt;"YES",Calculator!$B$30&lt;Calculator!$G$17),"—",ROUND(MAX((50*POWER(80,POWER(COS(PI()*MOD(Calculator!$B$30/Calculator!$F$17,1)),2)))/$C83,$C83/(50*POWER(80,POWER(COS(PI()*MOD(Calculator!$B$30/Calculator!$F$17,1)),2)))),2))</f>
        <v>12.82</v>
      </c>
      <c r="K83" s="78" t="n">
        <f aca="false">IF(OR(Calculator!$E$18&lt;&gt;"YES",Calculator!$B$30&lt;Calculator!$G$18),"—",ROUND(MAX((50*POWER(80,POWER(COS(PI()*MOD(Calculator!$B$30/Calculator!$F$18,1)),2)))/$C83,$C83/(50*POWER(80,POWER(COS(PI()*MOD(Calculator!$B$30/Calculator!$F$18,1)),2)))),2))</f>
        <v>1.83</v>
      </c>
      <c r="L83" s="78" t="n">
        <f aca="false">IF(OR(Calculator!$E$19&lt;&gt;"YES",Calculator!$B$30&lt;Calculator!$G$19),"—",ROUND(MAX((50*POWER(80,POWER(COS(PI()*MOD(Calculator!$B$30/Calculator!$F$19,1)),2)))/$C83,$C83/(50*POWER(80,POWER(COS(PI()*MOD(Calculator!$B$30/Calculator!$F$19,1)),2)))),2))</f>
        <v>3.25</v>
      </c>
      <c r="M83" s="78" t="n">
        <f aca="false">IF(OR(Calculator!$E$20&lt;&gt;"YES",Calculator!$B$30&lt;Calculator!$G$20),"—",ROUND(MAX((50*POWER(80,POWER(COS(PI()*MOD(Calculator!$B$30/Calculator!$F$20,1)),2)))/$C83,$C83/(50*POWER(80,POWER(COS(PI()*MOD(Calculator!$B$30/Calculator!$F$20,1)),2)))),2))</f>
        <v>20.14</v>
      </c>
      <c r="N83" s="78" t="str">
        <f aca="false">IF(OR(Calculator!$E$21&lt;&gt;"YES",Calculator!$B$30&lt;Calculator!$G$21),"—",ROUND(MAX((50*POWER(80,POWER(COS(PI()*MOD(Calculator!$B$30/Calculator!$F$21,1)),2)))/$C83,$C83/(50*POWER(80,POWER(COS(PI()*MOD(Calculator!$B$30/Calculator!$F$21,1)),2)))),2))</f>
        <v>—</v>
      </c>
      <c r="O83" s="100" t="n">
        <f aca="false">IFERROR(ROUND((IF(ISNUMBER(D83),D83,0)+IF(ISNUMBER(E83),E83,0)+IF(ISNUMBER(F83),F83,0)+IF(ISNUMBER(G83),G83,0)+IF(ISNUMBER(H83),H83,0)+IF(ISNUMBER(I83),I83,0)+IF(ISNUMBER(J83),J83,0)+IF(ISNUMBER(K83),K83,0)+IF(ISNUMBER(L83),L83,0)+IF(ISNUMBER(M83),M83,0)+IF(ISNUMBER(N83),N83,0))/(IF(ISNUMBER(D83),1,0)+IF(ISNUMBER(E83),1,0)+IF(ISNUMBER(F83),1,0)+IF(ISNUMBER(G83),1,0)+IF(ISNUMBER(H83),1,0)+IF(ISNUMBER(I83),1,0)+IF(ISNUMBER(J83),1,0)+IF(ISNUMBER(K83),1,0)+IF(ISNUMBER(L83),1,0)+IF(ISNUMBER(M83),1,0)+IF(ISNUMBER(N83),1,0)),2),"")</f>
        <v>10.33</v>
      </c>
      <c r="P83" s="78" t="str">
        <f aca="false">IF(OR(Calculator!$E$11&lt;&gt;"YES",Calculator!$B$31&lt;Calculator!$G$11),"—",ROUND(MAX((50*POWER(80,POWER(COS(PI()*MOD(Calculator!$B$31/Calculator!$F$11,1)),2)))/$C83,$C83/(50*POWER(80,POWER(COS(PI()*MOD(Calculator!$B$31/Calculator!$F$11,1)),2)))),2))</f>
        <v>—</v>
      </c>
      <c r="Q83" s="78" t="str">
        <f aca="false">IF(OR(Calculator!$E$12&lt;&gt;"YES",Calculator!$B$31&lt;Calculator!$G$12),"—",ROUND(MAX((50*POWER(80,POWER(COS(PI()*MOD(Calculator!$B$31/Calculator!$F$12,1)),2)))/$C83,$C83/(50*POWER(80,POWER(COS(PI()*MOD(Calculator!$B$31/Calculator!$F$12,1)),2)))),2))</f>
        <v>—</v>
      </c>
      <c r="R83" s="78" t="str">
        <f aca="false">IF(OR(Calculator!$E$13&lt;&gt;"YES",Calculator!$B$31&lt;Calculator!$G$13),"—",ROUND(MAX((50*POWER(80,POWER(COS(PI()*MOD(Calculator!$B$31/Calculator!$F$13,1)),2)))/$C83,$C83/(50*POWER(80,POWER(COS(PI()*MOD(Calculator!$B$31/Calculator!$F$13,1)),2)))),2))</f>
        <v>—</v>
      </c>
      <c r="S83" s="78" t="n">
        <f aca="false">IF(OR(Calculator!$E$14&lt;&gt;"YES",Calculator!$B$31&lt;Calculator!$G$14),"—",ROUND(MAX((50*POWER(80,POWER(COS(PI()*MOD(Calculator!$B$31/Calculator!$F$14,1)),2)))/$C83,$C83/(50*POWER(80,POWER(COS(PI()*MOD(Calculator!$B$31/Calculator!$F$14,1)),2)))),2))</f>
        <v>23.59</v>
      </c>
      <c r="T83" s="78" t="n">
        <f aca="false">IF(OR(Calculator!$E$15&lt;&gt;"YES",Calculator!$B$31&lt;Calculator!$G$15),"—",ROUND(MAX((50*POWER(80,POWER(COS(PI()*MOD(Calculator!$B$31/Calculator!$F$15,1)),2)))/$C83,$C83/(50*POWER(80,POWER(COS(PI()*MOD(Calculator!$B$31/Calculator!$F$15,1)),2)))),2))</f>
        <v>14.36</v>
      </c>
      <c r="U83" s="78" t="n">
        <f aca="false">IF(OR(Calculator!$E$16&lt;&gt;"YES",Calculator!$B$31&lt;Calculator!$G$16),"—",ROUND(MAX((50*POWER(80,POWER(COS(PI()*MOD(Calculator!$B$31/Calculator!$F$16,1)),2)))/$C83,$C83/(50*POWER(80,POWER(COS(PI()*MOD(Calculator!$B$31/Calculator!$F$16,1)),2)))),2))</f>
        <v>5.47</v>
      </c>
      <c r="V83" s="78" t="n">
        <f aca="false">IF(OR(Calculator!$E$17&lt;&gt;"YES",Calculator!$B$31&lt;Calculator!$G$17),"—",ROUND(MAX((50*POWER(80,POWER(COS(PI()*MOD(Calculator!$B$31/Calculator!$F$17,1)),2)))/$C83,$C83/(50*POWER(80,POWER(COS(PI()*MOD(Calculator!$B$31/Calculator!$F$17,1)),2)))),2))</f>
        <v>1.57</v>
      </c>
      <c r="W83" s="78" t="n">
        <f aca="false">IF(OR(Calculator!$E$18&lt;&gt;"YES",Calculator!$B$31&lt;Calculator!$G$18),"—",ROUND(MAX((50*POWER(80,POWER(COS(PI()*MOD(Calculator!$B$31/Calculator!$F$18,1)),2)))/$C83,$C83/(50*POWER(80,POWER(COS(PI()*MOD(Calculator!$B$31/Calculator!$F$18,1)),2)))),2))</f>
        <v>1.38</v>
      </c>
      <c r="X83" s="78" t="n">
        <f aca="false">IF(OR(Calculator!$E$19&lt;&gt;"YES",Calculator!$B$31&lt;Calculator!$G$19),"—",ROUND(MAX((50*POWER(80,POWER(COS(PI()*MOD(Calculator!$B$31/Calculator!$F$19,1)),2)))/$C83,$C83/(50*POWER(80,POWER(COS(PI()*MOD(Calculator!$B$31/Calculator!$F$19,1)),2)))),2))</f>
        <v>9.48</v>
      </c>
      <c r="Y83" s="78" t="n">
        <f aca="false">IF(OR(Calculator!$E$20&lt;&gt;"YES",Calculator!$B$31&lt;Calculator!$G$20),"—",ROUND(MAX((50*POWER(80,POWER(COS(PI()*MOD(Calculator!$B$31/Calculator!$F$20,1)),2)))/$C83,$C83/(50*POWER(80,POWER(COS(PI()*MOD(Calculator!$B$31/Calculator!$F$20,1)),2)))),2))</f>
        <v>31.29</v>
      </c>
      <c r="Z83" s="78" t="str">
        <f aca="false">IF(OR(Calculator!$E$21&lt;&gt;"YES",Calculator!$B$31&lt;Calculator!$G$21),"—",ROUND(MAX((50*POWER(80,POWER(COS(PI()*MOD(Calculator!$B$31/Calculator!$F$21,1)),2)))/$C83,$C83/(50*POWER(80,POWER(COS(PI()*MOD(Calculator!$B$31/Calculator!$F$21,1)),2)))),2))</f>
        <v>—</v>
      </c>
      <c r="AA83" s="100" t="n">
        <f aca="false">IFERROR(ROUND((IF(ISNUMBER(P83),P83,0)+IF(ISNUMBER(Q83),Q83,0)+IF(ISNUMBER(R83),R83,0)+IF(ISNUMBER(S83),S83,0)+IF(ISNUMBER(T83),T83,0)+IF(ISNUMBER(U83),U83,0)+IF(ISNUMBER(V83),V83,0)+IF(ISNUMBER(W83),W83,0)+IF(ISNUMBER(X83),X83,0)+IF(ISNUMBER(Y83),Y83,0)+IF(ISNUMBER(Z83),Z83,0))/(IF(ISNUMBER(P83),1,0)+IF(ISNUMBER(Q83),1,0)+IF(ISNUMBER(R83),1,0)+IF(ISNUMBER(S83),1,0)+IF(ISNUMBER(T83),1,0)+IF(ISNUMBER(U83),1,0)+IF(ISNUMBER(V83),1,0)+IF(ISNUMBER(W83),1,0)+IF(ISNUMBER(X83),1,0)+IF(ISNUMBER(Y83),1,0)+IF(ISNUMBER(Z83),1,0)),2),"")</f>
        <v>12.45</v>
      </c>
      <c r="AB83" s="78" t="str">
        <f aca="false">IF(OR(Calculator!$E$11&lt;&gt;"YES",Calculator!$B$32&lt;Calculator!$G$11),"—",ROUND(MAX((50*POWER(80,POWER(COS(PI()*MOD(Calculator!$B$32/Calculator!$F$11,1)),2)))/$C83,$C83/(50*POWER(80,POWER(COS(PI()*MOD(Calculator!$B$32/Calculator!$F$11,1)),2)))),2))</f>
        <v>—</v>
      </c>
      <c r="AC83" s="78" t="str">
        <f aca="false">IF(OR(Calculator!$E$12&lt;&gt;"YES",Calculator!$B$32&lt;Calculator!$G$12),"—",ROUND(MAX((50*POWER(80,POWER(COS(PI()*MOD(Calculator!$B$32/Calculator!$F$12,1)),2)))/$C83,$C83/(50*POWER(80,POWER(COS(PI()*MOD(Calculator!$B$32/Calculator!$F$12,1)),2)))),2))</f>
        <v>—</v>
      </c>
      <c r="AD83" s="78" t="str">
        <f aca="false">IF(OR(Calculator!$E$13&lt;&gt;"YES",Calculator!$B$32&lt;Calculator!$G$13),"—",ROUND(MAX((50*POWER(80,POWER(COS(PI()*MOD(Calculator!$B$32/Calculator!$F$13,1)),2)))/$C83,$C83/(50*POWER(80,POWER(COS(PI()*MOD(Calculator!$B$32/Calculator!$F$13,1)),2)))),2))</f>
        <v>—</v>
      </c>
      <c r="AE83" s="78" t="n">
        <f aca="false">IF(OR(Calculator!$E$14&lt;&gt;"YES",Calculator!$B$32&lt;Calculator!$G$14),"—",ROUND(MAX((50*POWER(80,POWER(COS(PI()*MOD(Calculator!$B$32/Calculator!$F$14,1)),2)))/$C83,$C83/(50*POWER(80,POWER(COS(PI()*MOD(Calculator!$B$32/Calculator!$F$14,1)),2)))),2))</f>
        <v>14.9</v>
      </c>
      <c r="AF83" s="78" t="n">
        <f aca="false">IF(OR(Calculator!$E$15&lt;&gt;"YES",Calculator!$B$32&lt;Calculator!$G$15),"—",ROUND(MAX((50*POWER(80,POWER(COS(PI()*MOD(Calculator!$B$32/Calculator!$F$15,1)),2)))/$C83,$C83/(50*POWER(80,POWER(COS(PI()*MOD(Calculator!$B$32/Calculator!$F$15,1)),2)))),2))</f>
        <v>9.63</v>
      </c>
      <c r="AG83" s="78" t="n">
        <f aca="false">IF(OR(Calculator!$E$16&lt;&gt;"YES",Calculator!$B$32&lt;Calculator!$G$16),"—",ROUND(MAX((50*POWER(80,POWER(COS(PI()*MOD(Calculator!$B$32/Calculator!$F$16,1)),2)))/$C83,$C83/(50*POWER(80,POWER(COS(PI()*MOD(Calculator!$B$32/Calculator!$F$16,1)),2)))),2))</f>
        <v>32.52</v>
      </c>
      <c r="AH83" s="78" t="n">
        <f aca="false">IF(OR(Calculator!$E$17&lt;&gt;"YES",Calculator!$B$32&lt;Calculator!$G$17),"—",ROUND(MAX((50*POWER(80,POWER(COS(PI()*MOD(Calculator!$B$32/Calculator!$F$17,1)),2)))/$C83,$C83/(50*POWER(80,POWER(COS(PI()*MOD(Calculator!$B$32/Calculator!$F$17,1)),2)))),2))</f>
        <v>1.11</v>
      </c>
      <c r="AI83" s="78" t="n">
        <f aca="false">IF(OR(Calculator!$E$18&lt;&gt;"YES",Calculator!$B$32&lt;Calculator!$G$18),"—",ROUND(MAX((50*POWER(80,POWER(COS(PI()*MOD(Calculator!$B$32/Calculator!$F$18,1)),2)))/$C83,$C83/(50*POWER(80,POWER(COS(PI()*MOD(Calculator!$B$32/Calculator!$F$18,1)),2)))),2))</f>
        <v>1.02</v>
      </c>
      <c r="AJ83" s="78" t="n">
        <f aca="false">IF(OR(Calculator!$E$19&lt;&gt;"YES",Calculator!$B$32&lt;Calculator!$G$19),"—",ROUND(MAX((50*POWER(80,POWER(COS(PI()*MOD(Calculator!$B$32/Calculator!$F$19,1)),2)))/$C83,$C83/(50*POWER(80,POWER(COS(PI()*MOD(Calculator!$B$32/Calculator!$F$19,1)),2)))),2))</f>
        <v>1.03</v>
      </c>
      <c r="AK83" s="78" t="n">
        <f aca="false">IF(OR(Calculator!$E$20&lt;&gt;"YES",Calculator!$B$32&lt;Calculator!$G$20),"—",ROUND(MAX((50*POWER(80,POWER(COS(PI()*MOD(Calculator!$B$32/Calculator!$F$20,1)),2)))/$C83,$C83/(50*POWER(80,POWER(COS(PI()*MOD(Calculator!$B$32/Calculator!$F$20,1)),2)))),2))</f>
        <v>25.57</v>
      </c>
      <c r="AL83" s="78" t="str">
        <f aca="false">IF(OR(Calculator!$E$21&lt;&gt;"YES",Calculator!$B$32&lt;Calculator!$G$21),"—",ROUND(MAX((50*POWER(80,POWER(COS(PI()*MOD(Calculator!$B$32/Calculator!$F$21,1)),2)))/$C83,$C83/(50*POWER(80,POWER(COS(PI()*MOD(Calculator!$B$32/Calculator!$F$21,1)),2)))),2))</f>
        <v>—</v>
      </c>
      <c r="AM83" s="101" t="n">
        <f aca="false">IFERROR(ROUND((IF(ISNUMBER(AB83),AB83,0)+IF(ISNUMBER(AC83),AC83,0)+IF(ISNUMBER(AD83),AD83,0)+IF(ISNUMBER(AE83),AE83,0)+IF(ISNUMBER(AF83),AF83,0)+IF(ISNUMBER(AG83),AG83,0)+IF(ISNUMBER(AH83),AH83,0)+IF(ISNUMBER(AI83),AI83,0)+IF(ISNUMBER(AJ83),AJ83,0)+IF(ISNUMBER(AK83),AK83,0)+IF(ISNUMBER(AL83),AL83,0))/(IF(ISNUMBER(AB83),1,0)+IF(ISNUMBER(AC83),1,0)+IF(ISNUMBER(AD83),1,0)+IF(ISNUMBER(AE83),1,0)+IF(ISNUMBER(AF83),1,0)+IF(ISNUMBER(AG83),1,0)+IF(ISNUMBER(AH83),1,0)+IF(ISNUMBER(AI83),1,0)+IF(ISNUMBER(AJ83),1,0)+IF(ISNUMBER(AK83),1,0)+IF(ISNUMBER(AL83),1,0)),2),"")</f>
        <v>12.25</v>
      </c>
      <c r="AN83" s="102" t="str">
        <f aca="false">IF(OR(Calculator!$E$11&lt;&gt;"YES",Calculator!$B$33&lt;Calculator!$G$11),"—",ROUND(MAX((50*POWER(80,POWER(COS(PI()*MOD(Calculator!$B$33/Calculator!$F$11,1)),2)))/$C83,$C83/(50*POWER(80,POWER(COS(PI()*MOD(Calculator!$B$33/Calculator!$F$11,1)),2)))),2))</f>
        <v>—</v>
      </c>
      <c r="AO83" s="102" t="str">
        <f aca="false">IF(OR(Calculator!$E$12&lt;&gt;"YES",Calculator!$B$33&lt;Calculator!$G$12),"—",ROUND(MAX((50*POWER(80,POWER(COS(PI()*MOD(Calculator!$B$33/Calculator!$F$12,1)),2)))/$C83,$C83/(50*POWER(80,POWER(COS(PI()*MOD(Calculator!$B$33/Calculator!$F$12,1)),2)))),2))</f>
        <v>—</v>
      </c>
      <c r="AP83" s="102" t="str">
        <f aca="false">IF(OR(Calculator!$E$13&lt;&gt;"YES",Calculator!$B$33&lt;Calculator!$G$13),"—",ROUND(MAX((50*POWER(80,POWER(COS(PI()*MOD(Calculator!$B$33/Calculator!$F$13,1)),2)))/$C83,$C83/(50*POWER(80,POWER(COS(PI()*MOD(Calculator!$B$33/Calculator!$F$13,1)),2)))),2))</f>
        <v>—</v>
      </c>
      <c r="AQ83" s="102" t="n">
        <f aca="false">IF(OR(Calculator!$E$14&lt;&gt;"YES",Calculator!$B$33&lt;Calculator!$G$14),"—",ROUND(MAX((50*POWER(80,POWER(COS(PI()*MOD(Calculator!$B$33/Calculator!$F$14,1)),2)))/$C83,$C83/(50*POWER(80,POWER(COS(PI()*MOD(Calculator!$B$33/Calculator!$F$14,1)),2)))),2))</f>
        <v>1.07</v>
      </c>
      <c r="AR83" s="102" t="n">
        <f aca="false">IF(OR(Calculator!$E$15&lt;&gt;"YES",Calculator!$B$33&lt;Calculator!$G$15),"—",ROUND(MAX((50*POWER(80,POWER(COS(PI()*MOD(Calculator!$B$33/Calculator!$F$15,1)),2)))/$C83,$C83/(50*POWER(80,POWER(COS(PI()*MOD(Calculator!$B$33/Calculator!$F$15,1)),2)))),2))</f>
        <v>8.69</v>
      </c>
      <c r="AS83" s="102" t="n">
        <f aca="false">IF(OR(Calculator!$E$16&lt;&gt;"YES",Calculator!$B$33&lt;Calculator!$G$16),"—",ROUND(MAX((50*POWER(80,POWER(COS(PI()*MOD(Calculator!$B$33/Calculator!$F$16,1)),2)))/$C83,$C83/(50*POWER(80,POWER(COS(PI()*MOD(Calculator!$B$33/Calculator!$F$16,1)),2)))),2))</f>
        <v>3.17</v>
      </c>
      <c r="AT83" s="102" t="n">
        <f aca="false">IF(OR(Calculator!$E$17&lt;&gt;"YES",Calculator!$B$33&lt;Calculator!$G$17),"—",ROUND(MAX((50*POWER(80,POWER(COS(PI()*MOD(Calculator!$B$33/Calculator!$F$17,1)),2)))/$C83,$C83/(50*POWER(80,POWER(COS(PI()*MOD(Calculator!$B$33/Calculator!$F$17,1)),2)))),2))</f>
        <v>10.08</v>
      </c>
      <c r="AU83" s="102" t="n">
        <f aca="false">IF(OR(Calculator!$E$18&lt;&gt;"YES",Calculator!$B$33&lt;Calculator!$G$18),"—",ROUND(MAX((50*POWER(80,POWER(COS(PI()*MOD(Calculator!$B$33/Calculator!$F$18,1)),2)))/$C83,$C83/(50*POWER(80,POWER(COS(PI()*MOD(Calculator!$B$33/Calculator!$F$18,1)),2)))),2))</f>
        <v>13.63</v>
      </c>
      <c r="AV83" s="102" t="n">
        <f aca="false">IF(OR(Calculator!$E$19&lt;&gt;"YES",Calculator!$B$33&lt;Calculator!$G$19),"—",ROUND(MAX((50*POWER(80,POWER(COS(PI()*MOD(Calculator!$B$33/Calculator!$F$19,1)),2)))/$C83,$C83/(50*POWER(80,POWER(COS(PI()*MOD(Calculator!$B$33/Calculator!$F$19,1)),2)))),2))</f>
        <v>1.66</v>
      </c>
      <c r="AW83" s="102" t="n">
        <f aca="false">IF(OR(Calculator!$E$20&lt;&gt;"YES",Calculator!$B$33&lt;Calculator!$G$20),"—",ROUND(MAX((50*POWER(80,POWER(COS(PI()*MOD(Calculator!$B$33/Calculator!$F$20,1)),2)))/$C83,$C83/(50*POWER(80,POWER(COS(PI()*MOD(Calculator!$B$33/Calculator!$F$20,1)),2)))),2))</f>
        <v>20.81</v>
      </c>
      <c r="AX83" s="102" t="str">
        <f aca="false">IF(OR(Calculator!$E$21&lt;&gt;"YES",Calculator!$B$33&lt;Calculator!$G$21),"—",ROUND(MAX((50*POWER(80,POWER(COS(PI()*MOD(Calculator!$B$33/Calculator!$F$21,1)),2)))/$C83,$C83/(50*POWER(80,POWER(COS(PI()*MOD(Calculator!$B$33/Calculator!$F$21,1)),2)))),2))</f>
        <v>—</v>
      </c>
      <c r="AY83" s="101" t="n">
        <f aca="false">IFERROR(ROUND((IF(ISNUMBER(AN83),AN83,0)+IF(ISNUMBER(AO83),AO83,0)+IF(ISNUMBER(AP83),AP83,0)+IF(ISNUMBER(AQ83),AQ83,0)+IF(ISNUMBER(AR83),AR83,0)+IF(ISNUMBER(AS83),AS83,0)+IF(ISNUMBER(AT83),AT83,0)+IF(ISNUMBER(AU83),AU83,0)+IF(ISNUMBER(AV83),AV83,0)+IF(ISNUMBER(AW83),AW83,0)+IF(ISNUMBER(AX83),AX83,0))/(IF(ISNUMBER(AN83),1,0)+IF(ISNUMBER(AO83),1,0)+IF(ISNUMBER(AP83),1,0)+IF(ISNUMBER(AQ83),1,0)+IF(ISNUMBER(AR83),1,0)+IF(ISNUMBER(AS83),1,0)+IF(ISNUMBER(AT83),1,0)+IF(ISNUMBER(AU83),1,0)+IF(ISNUMBER(AV83),1,0)+IF(ISNUMBER(AW83),1,0)+IF(ISNUMBER(AX83),1,0)),2),"")</f>
        <v>8.44</v>
      </c>
      <c r="AZ83" s="102" t="str">
        <f aca="false">IF(OR(Calculator!$E$11&lt;&gt;"YES",Calculator!$B$34&lt;Calculator!$G$11),"—",ROUND(MAX((50*POWER(80,POWER(COS(PI()*MOD(Calculator!$B$34/Calculator!$F$11,1)),2)))/$C83,$C83/(50*POWER(80,POWER(COS(PI()*MOD(Calculator!$B$34/Calculator!$F$11,1)),2)))),2))</f>
        <v>—</v>
      </c>
      <c r="BA83" s="102" t="str">
        <f aca="false">IF(OR(Calculator!$E$12&lt;&gt;"YES",Calculator!$B$34&lt;Calculator!$G$12),"—",ROUND(MAX((50*POWER(80,POWER(COS(PI()*MOD(Calculator!$B$34/Calculator!$F$12,1)),2)))/$C83,$C83/(50*POWER(80,POWER(COS(PI()*MOD(Calculator!$B$34/Calculator!$F$12,1)),2)))),2))</f>
        <v>—</v>
      </c>
      <c r="BB83" s="102" t="str">
        <f aca="false">IF(OR(Calculator!$E$13&lt;&gt;"YES",Calculator!$B$34&lt;Calculator!$G$13),"—",ROUND(MAX((50*POWER(80,POWER(COS(PI()*MOD(Calculator!$B$34/Calculator!$F$13,1)),2)))/$C83,$C83/(50*POWER(80,POWER(COS(PI()*MOD(Calculator!$B$34/Calculator!$F$13,1)),2)))),2))</f>
        <v>—</v>
      </c>
      <c r="BC83" s="102" t="n">
        <f aca="false">IF(OR(Calculator!$E$14&lt;&gt;"YES",Calculator!$B$34&lt;Calculator!$G$14),"—",ROUND(MAX((50*POWER(80,POWER(COS(PI()*MOD(Calculator!$B$34/Calculator!$F$14,1)),2)))/$C83,$C83/(50*POWER(80,POWER(COS(PI()*MOD(Calculator!$B$34/Calculator!$F$14,1)),2)))),2))</f>
        <v>1.09</v>
      </c>
      <c r="BD83" s="102" t="n">
        <f aca="false">IF(OR(Calculator!$E$15&lt;&gt;"YES",Calculator!$B$34&lt;Calculator!$G$15),"—",ROUND(MAX((50*POWER(80,POWER(COS(PI()*MOD(Calculator!$B$34/Calculator!$F$15,1)),2)))/$C83,$C83/(50*POWER(80,POWER(COS(PI()*MOD(Calculator!$B$34/Calculator!$F$15,1)),2)))),2))</f>
        <v>11.22</v>
      </c>
      <c r="BE83" s="102" t="n">
        <f aca="false">IF(OR(Calculator!$E$16&lt;&gt;"YES",Calculator!$B$34&lt;Calculator!$G$16),"—",ROUND(MAX((50*POWER(80,POWER(COS(PI()*MOD(Calculator!$B$34/Calculator!$F$16,1)),2)))/$C83,$C83/(50*POWER(80,POWER(COS(PI()*MOD(Calculator!$B$34/Calculator!$F$16,1)),2)))),2))</f>
        <v>3.78</v>
      </c>
      <c r="BF83" s="102" t="n">
        <f aca="false">IF(OR(Calculator!$E$17&lt;&gt;"YES",Calculator!$B$34&lt;Calculator!$G$17),"—",ROUND(MAX((50*POWER(80,POWER(COS(PI()*MOD(Calculator!$B$34/Calculator!$F$17,1)),2)))/$C83,$C83/(50*POWER(80,POWER(COS(PI()*MOD(Calculator!$B$34/Calculator!$F$17,1)),2)))),2))</f>
        <v>1.95</v>
      </c>
      <c r="BG83" s="102" t="n">
        <f aca="false">IF(OR(Calculator!$E$18&lt;&gt;"YES",Calculator!$B$34&lt;Calculator!$G$18),"—",ROUND(MAX((50*POWER(80,POWER(COS(PI()*MOD(Calculator!$B$34/Calculator!$F$18,1)),2)))/$C83,$C83/(50*POWER(80,POWER(COS(PI()*MOD(Calculator!$B$34/Calculator!$F$18,1)),2)))),2))</f>
        <v>18.45</v>
      </c>
      <c r="BH83" s="102" t="n">
        <f aca="false">IF(OR(Calculator!$E$19&lt;&gt;"YES",Calculator!$B$34&lt;Calculator!$G$19),"—",ROUND(MAX((50*POWER(80,POWER(COS(PI()*MOD(Calculator!$B$34/Calculator!$F$19,1)),2)))/$C83,$C83/(50*POWER(80,POWER(COS(PI()*MOD(Calculator!$B$34/Calculator!$F$19,1)),2)))),2))</f>
        <v>20.52</v>
      </c>
      <c r="BI83" s="102" t="n">
        <f aca="false">IF(OR(Calculator!$E$20&lt;&gt;"YES",Calculator!$B$34&lt;Calculator!$G$20),"—",ROUND(MAX((50*POWER(80,POWER(COS(PI()*MOD(Calculator!$B$34/Calculator!$F$20,1)),2)))/$C83,$C83/(50*POWER(80,POWER(COS(PI()*MOD(Calculator!$B$34/Calculator!$F$20,1)),2)))),2))</f>
        <v>12.24</v>
      </c>
      <c r="BJ83" s="102" t="str">
        <f aca="false">IF(OR(Calculator!$E$21&lt;&gt;"YES",Calculator!$B$34&lt;Calculator!$G$21),"—",ROUND(MAX((50*POWER(80,POWER(COS(PI()*MOD(Calculator!$B$34/Calculator!$F$21,1)),2)))/$C83,$C83/(50*POWER(80,POWER(COS(PI()*MOD(Calculator!$B$34/Calculator!$F$21,1)),2)))),2))</f>
        <v>—</v>
      </c>
      <c r="BK83" s="101" t="n">
        <f aca="false">IFERROR(ROUND((IF(ISNUMBER(AZ83),AZ83,0)+IF(ISNUMBER(BA83),BA83,0)+IF(ISNUMBER(BB83),BB83,0)+IF(ISNUMBER(BC83),BC83,0)+IF(ISNUMBER(BD83),BD83,0)+IF(ISNUMBER(BE83),BE83,0)+IF(ISNUMBER(BF83),BF83,0)+IF(ISNUMBER(BG83),BG83,0)+IF(ISNUMBER(BH83),BH83,0)+IF(ISNUMBER(BI83),BI83,0)+IF(ISNUMBER(BJ83),BJ83,0))/(IF(ISNUMBER(AZ83),1,0)+IF(ISNUMBER(BA83),1,0)+IF(ISNUMBER(BB83),1,0)+IF(ISNUMBER(BC83),1,0)+IF(ISNUMBER(BD83),1,0)+IF(ISNUMBER(BE83),1,0)+IF(ISNUMBER(BF83),1,0)+IF(ISNUMBER(BG83),1,0)+IF(ISNUMBER(BH83),1,0)+IF(ISNUMBER(BI83),1,0)+IF(ISNUMBER(BJ83),1,0)),2),"")</f>
        <v>9.89</v>
      </c>
    </row>
    <row r="84" customFormat="false" ht="15" hidden="false" customHeight="false" outlineLevel="0" collapsed="false">
      <c r="A84" s="103" t="s">
        <v>135</v>
      </c>
      <c r="B84" s="103" t="s">
        <v>86</v>
      </c>
      <c r="C84" s="104" t="n">
        <v>2600</v>
      </c>
      <c r="D84" s="105" t="str">
        <f aca="false">IF(OR(Calculator!$E$11&lt;&gt;"YES",Calculator!$B$30&lt;Calculator!$G$11),"—",ROUND(MAX((50*POWER(80,POWER(COS(PI()*MOD(Calculator!$B$30/Calculator!$F$11,1)),2)))/$C84,$C84/(50*POWER(80,POWER(COS(PI()*MOD(Calculator!$B$30/Calculator!$F$11,1)),2)))),2))</f>
        <v>—</v>
      </c>
      <c r="E84" s="105" t="str">
        <f aca="false">IF(OR(Calculator!$E$12&lt;&gt;"YES",Calculator!$B$30&lt;Calculator!$G$12),"—",ROUND(MAX((50*POWER(80,POWER(COS(PI()*MOD(Calculator!$B$30/Calculator!$F$12,1)),2)))/$C84,$C84/(50*POWER(80,POWER(COS(PI()*MOD(Calculator!$B$30/Calculator!$F$12,1)),2)))),2))</f>
        <v>—</v>
      </c>
      <c r="F84" s="105" t="str">
        <f aca="false">IF(OR(Calculator!$E$13&lt;&gt;"YES",Calculator!$B$30&lt;Calculator!$G$13),"—",ROUND(MAX((50*POWER(80,POWER(COS(PI()*MOD(Calculator!$B$30/Calculator!$F$13,1)),2)))/$C84,$C84/(50*POWER(80,POWER(COS(PI()*MOD(Calculator!$B$30/Calculator!$F$13,1)),2)))),2))</f>
        <v>—</v>
      </c>
      <c r="G84" s="105" t="n">
        <f aca="false">IF(OR(Calculator!$E$14&lt;&gt;"YES",Calculator!$B$30&lt;Calculator!$G$14),"—",ROUND(MAX((50*POWER(80,POWER(COS(PI()*MOD(Calculator!$B$30/Calculator!$F$14,1)),2)))/$C84,$C84/(50*POWER(80,POWER(COS(PI()*MOD(Calculator!$B$30/Calculator!$F$14,1)),2)))),2))</f>
        <v>23.5</v>
      </c>
      <c r="H84" s="105" t="n">
        <f aca="false">IF(OR(Calculator!$E$15&lt;&gt;"YES",Calculator!$B$30&lt;Calculator!$G$15),"—",ROUND(MAX((50*POWER(80,POWER(COS(PI()*MOD(Calculator!$B$30/Calculator!$F$15,1)),2)))/$C84,$C84/(50*POWER(80,POWER(COS(PI()*MOD(Calculator!$B$30/Calculator!$F$15,1)),2)))),2))</f>
        <v>6.81</v>
      </c>
      <c r="I84" s="105" t="n">
        <f aca="false">IF(OR(Calculator!$E$16&lt;&gt;"YES",Calculator!$B$30&lt;Calculator!$G$16),"—",ROUND(MAX((50*POWER(80,POWER(COS(PI()*MOD(Calculator!$B$30/Calculator!$F$16,1)),2)))/$C84,$C84/(50*POWER(80,POWER(COS(PI()*MOD(Calculator!$B$30/Calculator!$F$16,1)),2)))),2))</f>
        <v>4.66</v>
      </c>
      <c r="J84" s="105" t="n">
        <f aca="false">IF(OR(Calculator!$E$17&lt;&gt;"YES",Calculator!$B$30&lt;Calculator!$G$17),"—",ROUND(MAX((50*POWER(80,POWER(COS(PI()*MOD(Calculator!$B$30/Calculator!$F$17,1)),2)))/$C84,$C84/(50*POWER(80,POWER(COS(PI()*MOD(Calculator!$B$30/Calculator!$F$17,1)),2)))),2))</f>
        <v>13.07</v>
      </c>
      <c r="K84" s="105" t="n">
        <f aca="false">IF(OR(Calculator!$E$18&lt;&gt;"YES",Calculator!$B$30&lt;Calculator!$G$18),"—",ROUND(MAX((50*POWER(80,POWER(COS(PI()*MOD(Calculator!$B$30/Calculator!$F$18,1)),2)))/$C84,$C84/(50*POWER(80,POWER(COS(PI()*MOD(Calculator!$B$30/Calculator!$F$18,1)),2)))),2))</f>
        <v>1.86</v>
      </c>
      <c r="L84" s="105" t="n">
        <f aca="false">IF(OR(Calculator!$E$19&lt;&gt;"YES",Calculator!$B$30&lt;Calculator!$G$19),"—",ROUND(MAX((50*POWER(80,POWER(COS(PI()*MOD(Calculator!$B$30/Calculator!$F$19,1)),2)))/$C84,$C84/(50*POWER(80,POWER(COS(PI()*MOD(Calculator!$B$30/Calculator!$F$19,1)),2)))),2))</f>
        <v>3.31</v>
      </c>
      <c r="M84" s="105" t="n">
        <f aca="false">IF(OR(Calculator!$E$20&lt;&gt;"YES",Calculator!$B$30&lt;Calculator!$G$20),"—",ROUND(MAX((50*POWER(80,POWER(COS(PI()*MOD(Calculator!$B$30/Calculator!$F$20,1)),2)))/$C84,$C84/(50*POWER(80,POWER(COS(PI()*MOD(Calculator!$B$30/Calculator!$F$20,1)),2)))),2))</f>
        <v>20.54</v>
      </c>
      <c r="N84" s="105" t="str">
        <f aca="false">IF(OR(Calculator!$E$21&lt;&gt;"YES",Calculator!$B$30&lt;Calculator!$G$21),"—",ROUND(MAX((50*POWER(80,POWER(COS(PI()*MOD(Calculator!$B$30/Calculator!$F$21,1)),2)))/$C84,$C84/(50*POWER(80,POWER(COS(PI()*MOD(Calculator!$B$30/Calculator!$F$21,1)),2)))),2))</f>
        <v>—</v>
      </c>
      <c r="O84" s="100" t="n">
        <f aca="false">IFERROR(ROUND((IF(ISNUMBER(D84),D84,0)+IF(ISNUMBER(E84),E84,0)+IF(ISNUMBER(F84),F84,0)+IF(ISNUMBER(G84),G84,0)+IF(ISNUMBER(H84),H84,0)+IF(ISNUMBER(I84),I84,0)+IF(ISNUMBER(J84),J84,0)+IF(ISNUMBER(K84),K84,0)+IF(ISNUMBER(L84),L84,0)+IF(ISNUMBER(M84),M84,0)+IF(ISNUMBER(N84),N84,0))/(IF(ISNUMBER(D84),1,0)+IF(ISNUMBER(E84),1,0)+IF(ISNUMBER(F84),1,0)+IF(ISNUMBER(G84),1,0)+IF(ISNUMBER(H84),1,0)+IF(ISNUMBER(I84),1,0)+IF(ISNUMBER(J84),1,0)+IF(ISNUMBER(K84),1,0)+IF(ISNUMBER(L84),1,0)+IF(ISNUMBER(M84),1,0)+IF(ISNUMBER(N84),1,0)),2),"")</f>
        <v>10.54</v>
      </c>
      <c r="P84" s="105" t="str">
        <f aca="false">IF(OR(Calculator!$E$11&lt;&gt;"YES",Calculator!$B$31&lt;Calculator!$G$11),"—",ROUND(MAX((50*POWER(80,POWER(COS(PI()*MOD(Calculator!$B$31/Calculator!$F$11,1)),2)))/$C84,$C84/(50*POWER(80,POWER(COS(PI()*MOD(Calculator!$B$31/Calculator!$F$11,1)),2)))),2))</f>
        <v>—</v>
      </c>
      <c r="Q84" s="105" t="str">
        <f aca="false">IF(OR(Calculator!$E$12&lt;&gt;"YES",Calculator!$B$31&lt;Calculator!$G$12),"—",ROUND(MAX((50*POWER(80,POWER(COS(PI()*MOD(Calculator!$B$31/Calculator!$F$12,1)),2)))/$C84,$C84/(50*POWER(80,POWER(COS(PI()*MOD(Calculator!$B$31/Calculator!$F$12,1)),2)))),2))</f>
        <v>—</v>
      </c>
      <c r="R84" s="105" t="str">
        <f aca="false">IF(OR(Calculator!$E$13&lt;&gt;"YES",Calculator!$B$31&lt;Calculator!$G$13),"—",ROUND(MAX((50*POWER(80,POWER(COS(PI()*MOD(Calculator!$B$31/Calculator!$F$13,1)),2)))/$C84,$C84/(50*POWER(80,POWER(COS(PI()*MOD(Calculator!$B$31/Calculator!$F$13,1)),2)))),2))</f>
        <v>—</v>
      </c>
      <c r="S84" s="105" t="n">
        <f aca="false">IF(OR(Calculator!$E$14&lt;&gt;"YES",Calculator!$B$31&lt;Calculator!$G$14),"—",ROUND(MAX((50*POWER(80,POWER(COS(PI()*MOD(Calculator!$B$31/Calculator!$F$14,1)),2)))/$C84,$C84/(50*POWER(80,POWER(COS(PI()*MOD(Calculator!$B$31/Calculator!$F$14,1)),2)))),2))</f>
        <v>24.05</v>
      </c>
      <c r="T84" s="105" t="n">
        <f aca="false">IF(OR(Calculator!$E$15&lt;&gt;"YES",Calculator!$B$31&lt;Calculator!$G$15),"—",ROUND(MAX((50*POWER(80,POWER(COS(PI()*MOD(Calculator!$B$31/Calculator!$F$15,1)),2)))/$C84,$C84/(50*POWER(80,POWER(COS(PI()*MOD(Calculator!$B$31/Calculator!$F$15,1)),2)))),2))</f>
        <v>14.64</v>
      </c>
      <c r="U84" s="105" t="n">
        <f aca="false">IF(OR(Calculator!$E$16&lt;&gt;"YES",Calculator!$B$31&lt;Calculator!$G$16),"—",ROUND(MAX((50*POWER(80,POWER(COS(PI()*MOD(Calculator!$B$31/Calculator!$F$16,1)),2)))/$C84,$C84/(50*POWER(80,POWER(COS(PI()*MOD(Calculator!$B$31/Calculator!$F$16,1)),2)))),2))</f>
        <v>5.57</v>
      </c>
      <c r="V84" s="105" t="n">
        <f aca="false">IF(OR(Calculator!$E$17&lt;&gt;"YES",Calculator!$B$31&lt;Calculator!$G$17),"—",ROUND(MAX((50*POWER(80,POWER(COS(PI()*MOD(Calculator!$B$31/Calculator!$F$17,1)),2)))/$C84,$C84/(50*POWER(80,POWER(COS(PI()*MOD(Calculator!$B$31/Calculator!$F$17,1)),2)))),2))</f>
        <v>1.61</v>
      </c>
      <c r="W84" s="105" t="n">
        <f aca="false">IF(OR(Calculator!$E$18&lt;&gt;"YES",Calculator!$B$31&lt;Calculator!$G$18),"—",ROUND(MAX((50*POWER(80,POWER(COS(PI()*MOD(Calculator!$B$31/Calculator!$F$18,1)),2)))/$C84,$C84/(50*POWER(80,POWER(COS(PI()*MOD(Calculator!$B$31/Calculator!$F$18,1)),2)))),2))</f>
        <v>1.41</v>
      </c>
      <c r="X84" s="105" t="n">
        <f aca="false">IF(OR(Calculator!$E$19&lt;&gt;"YES",Calculator!$B$31&lt;Calculator!$G$19),"—",ROUND(MAX((50*POWER(80,POWER(COS(PI()*MOD(Calculator!$B$31/Calculator!$F$19,1)),2)))/$C84,$C84/(50*POWER(80,POWER(COS(PI()*MOD(Calculator!$B$31/Calculator!$F$19,1)),2)))),2))</f>
        <v>9.66</v>
      </c>
      <c r="Y84" s="105" t="n">
        <f aca="false">IF(OR(Calculator!$E$20&lt;&gt;"YES",Calculator!$B$31&lt;Calculator!$G$20),"—",ROUND(MAX((50*POWER(80,POWER(COS(PI()*MOD(Calculator!$B$31/Calculator!$F$20,1)),2)))/$C84,$C84/(50*POWER(80,POWER(COS(PI()*MOD(Calculator!$B$31/Calculator!$F$20,1)),2)))),2))</f>
        <v>31.9</v>
      </c>
      <c r="Z84" s="105" t="str">
        <f aca="false">IF(OR(Calculator!$E$21&lt;&gt;"YES",Calculator!$B$31&lt;Calculator!$G$21),"—",ROUND(MAX((50*POWER(80,POWER(COS(PI()*MOD(Calculator!$B$31/Calculator!$F$21,1)),2)))/$C84,$C84/(50*POWER(80,POWER(COS(PI()*MOD(Calculator!$B$31/Calculator!$F$21,1)),2)))),2))</f>
        <v>—</v>
      </c>
      <c r="AA84" s="100" t="n">
        <f aca="false">IFERROR(ROUND((IF(ISNUMBER(P84),P84,0)+IF(ISNUMBER(Q84),Q84,0)+IF(ISNUMBER(R84),R84,0)+IF(ISNUMBER(S84),S84,0)+IF(ISNUMBER(T84),T84,0)+IF(ISNUMBER(U84),U84,0)+IF(ISNUMBER(V84),V84,0)+IF(ISNUMBER(W84),W84,0)+IF(ISNUMBER(X84),X84,0)+IF(ISNUMBER(Y84),Y84,0)+IF(ISNUMBER(Z84),Z84,0))/(IF(ISNUMBER(P84),1,0)+IF(ISNUMBER(Q84),1,0)+IF(ISNUMBER(R84),1,0)+IF(ISNUMBER(S84),1,0)+IF(ISNUMBER(T84),1,0)+IF(ISNUMBER(U84),1,0)+IF(ISNUMBER(V84),1,0)+IF(ISNUMBER(W84),1,0)+IF(ISNUMBER(X84),1,0)+IF(ISNUMBER(Y84),1,0)+IF(ISNUMBER(Z84),1,0)),2),"")</f>
        <v>12.69</v>
      </c>
      <c r="AB84" s="105" t="str">
        <f aca="false">IF(OR(Calculator!$E$11&lt;&gt;"YES",Calculator!$B$32&lt;Calculator!$G$11),"—",ROUND(MAX((50*POWER(80,POWER(COS(PI()*MOD(Calculator!$B$32/Calculator!$F$11,1)),2)))/$C84,$C84/(50*POWER(80,POWER(COS(PI()*MOD(Calculator!$B$32/Calculator!$F$11,1)),2)))),2))</f>
        <v>—</v>
      </c>
      <c r="AC84" s="105" t="str">
        <f aca="false">IF(OR(Calculator!$E$12&lt;&gt;"YES",Calculator!$B$32&lt;Calculator!$G$12),"—",ROUND(MAX((50*POWER(80,POWER(COS(PI()*MOD(Calculator!$B$32/Calculator!$F$12,1)),2)))/$C84,$C84/(50*POWER(80,POWER(COS(PI()*MOD(Calculator!$B$32/Calculator!$F$12,1)),2)))),2))</f>
        <v>—</v>
      </c>
      <c r="AD84" s="105" t="str">
        <f aca="false">IF(OR(Calculator!$E$13&lt;&gt;"YES",Calculator!$B$32&lt;Calculator!$G$13),"—",ROUND(MAX((50*POWER(80,POWER(COS(PI()*MOD(Calculator!$B$32/Calculator!$F$13,1)),2)))/$C84,$C84/(50*POWER(80,POWER(COS(PI()*MOD(Calculator!$B$32/Calculator!$F$13,1)),2)))),2))</f>
        <v>—</v>
      </c>
      <c r="AE84" s="105" t="n">
        <f aca="false">IF(OR(Calculator!$E$14&lt;&gt;"YES",Calculator!$B$32&lt;Calculator!$G$14),"—",ROUND(MAX((50*POWER(80,POWER(COS(PI()*MOD(Calculator!$B$32/Calculator!$F$14,1)),2)))/$C84,$C84/(50*POWER(80,POWER(COS(PI()*MOD(Calculator!$B$32/Calculator!$F$14,1)),2)))),2))</f>
        <v>15.19</v>
      </c>
      <c r="AF84" s="105" t="n">
        <f aca="false">IF(OR(Calculator!$E$15&lt;&gt;"YES",Calculator!$B$32&lt;Calculator!$G$15),"—",ROUND(MAX((50*POWER(80,POWER(COS(PI()*MOD(Calculator!$B$32/Calculator!$F$15,1)),2)))/$C84,$C84/(50*POWER(80,POWER(COS(PI()*MOD(Calculator!$B$32/Calculator!$F$15,1)),2)))),2))</f>
        <v>9.82</v>
      </c>
      <c r="AG84" s="105" t="n">
        <f aca="false">IF(OR(Calculator!$E$16&lt;&gt;"YES",Calculator!$B$32&lt;Calculator!$G$16),"—",ROUND(MAX((50*POWER(80,POWER(COS(PI()*MOD(Calculator!$B$32/Calculator!$F$16,1)),2)))/$C84,$C84/(50*POWER(80,POWER(COS(PI()*MOD(Calculator!$B$32/Calculator!$F$16,1)),2)))),2))</f>
        <v>33.15</v>
      </c>
      <c r="AH84" s="105" t="n">
        <f aca="false">IF(OR(Calculator!$E$17&lt;&gt;"YES",Calculator!$B$32&lt;Calculator!$G$17),"—",ROUND(MAX((50*POWER(80,POWER(COS(PI()*MOD(Calculator!$B$32/Calculator!$F$17,1)),2)))/$C84,$C84/(50*POWER(80,POWER(COS(PI()*MOD(Calculator!$B$32/Calculator!$F$17,1)),2)))),2))</f>
        <v>1.13</v>
      </c>
      <c r="AI84" s="105" t="n">
        <f aca="false">IF(OR(Calculator!$E$18&lt;&gt;"YES",Calculator!$B$32&lt;Calculator!$G$18),"—",ROUND(MAX((50*POWER(80,POWER(COS(PI()*MOD(Calculator!$B$32/Calculator!$F$18,1)),2)))/$C84,$C84/(50*POWER(80,POWER(COS(PI()*MOD(Calculator!$B$32/Calculator!$F$18,1)),2)))),2))</f>
        <v>1.04</v>
      </c>
      <c r="AJ84" s="105" t="n">
        <f aca="false">IF(OR(Calculator!$E$19&lt;&gt;"YES",Calculator!$B$32&lt;Calculator!$G$19),"—",ROUND(MAX((50*POWER(80,POWER(COS(PI()*MOD(Calculator!$B$32/Calculator!$F$19,1)),2)))/$C84,$C84/(50*POWER(80,POWER(COS(PI()*MOD(Calculator!$B$32/Calculator!$F$19,1)),2)))),2))</f>
        <v>1.01</v>
      </c>
      <c r="AK84" s="105" t="n">
        <f aca="false">IF(OR(Calculator!$E$20&lt;&gt;"YES",Calculator!$B$32&lt;Calculator!$G$20),"—",ROUND(MAX((50*POWER(80,POWER(COS(PI()*MOD(Calculator!$B$32/Calculator!$F$20,1)),2)))/$C84,$C84/(50*POWER(80,POWER(COS(PI()*MOD(Calculator!$B$32/Calculator!$F$20,1)),2)))),2))</f>
        <v>26.07</v>
      </c>
      <c r="AL84" s="105" t="str">
        <f aca="false">IF(OR(Calculator!$E$21&lt;&gt;"YES",Calculator!$B$32&lt;Calculator!$G$21),"—",ROUND(MAX((50*POWER(80,POWER(COS(PI()*MOD(Calculator!$B$32/Calculator!$F$21,1)),2)))/$C84,$C84/(50*POWER(80,POWER(COS(PI()*MOD(Calculator!$B$32/Calculator!$F$21,1)),2)))),2))</f>
        <v>—</v>
      </c>
      <c r="AM84" s="101" t="n">
        <f aca="false">IFERROR(ROUND((IF(ISNUMBER(AB84),AB84,0)+IF(ISNUMBER(AC84),AC84,0)+IF(ISNUMBER(AD84),AD84,0)+IF(ISNUMBER(AE84),AE84,0)+IF(ISNUMBER(AF84),AF84,0)+IF(ISNUMBER(AG84),AG84,0)+IF(ISNUMBER(AH84),AH84,0)+IF(ISNUMBER(AI84),AI84,0)+IF(ISNUMBER(AJ84),AJ84,0)+IF(ISNUMBER(AK84),AK84,0)+IF(ISNUMBER(AL84),AL84,0))/(IF(ISNUMBER(AB84),1,0)+IF(ISNUMBER(AC84),1,0)+IF(ISNUMBER(AD84),1,0)+IF(ISNUMBER(AE84),1,0)+IF(ISNUMBER(AF84),1,0)+IF(ISNUMBER(AG84),1,0)+IF(ISNUMBER(AH84),1,0)+IF(ISNUMBER(AI84),1,0)+IF(ISNUMBER(AJ84),1,0)+IF(ISNUMBER(AK84),1,0)+IF(ISNUMBER(AL84),1,0)),2),"")</f>
        <v>12.49</v>
      </c>
      <c r="AN84" s="106" t="str">
        <f aca="false">IF(OR(Calculator!$E$11&lt;&gt;"YES",Calculator!$B$33&lt;Calculator!$G$11),"—",ROUND(MAX((50*POWER(80,POWER(COS(PI()*MOD(Calculator!$B$33/Calculator!$F$11,1)),2)))/$C84,$C84/(50*POWER(80,POWER(COS(PI()*MOD(Calculator!$B$33/Calculator!$F$11,1)),2)))),2))</f>
        <v>—</v>
      </c>
      <c r="AO84" s="106" t="str">
        <f aca="false">IF(OR(Calculator!$E$12&lt;&gt;"YES",Calculator!$B$33&lt;Calculator!$G$12),"—",ROUND(MAX((50*POWER(80,POWER(COS(PI()*MOD(Calculator!$B$33/Calculator!$F$12,1)),2)))/$C84,$C84/(50*POWER(80,POWER(COS(PI()*MOD(Calculator!$B$33/Calculator!$F$12,1)),2)))),2))</f>
        <v>—</v>
      </c>
      <c r="AP84" s="106" t="str">
        <f aca="false">IF(OR(Calculator!$E$13&lt;&gt;"YES",Calculator!$B$33&lt;Calculator!$G$13),"—",ROUND(MAX((50*POWER(80,POWER(COS(PI()*MOD(Calculator!$B$33/Calculator!$F$13,1)),2)))/$C84,$C84/(50*POWER(80,POWER(COS(PI()*MOD(Calculator!$B$33/Calculator!$F$13,1)),2)))),2))</f>
        <v>—</v>
      </c>
      <c r="AQ84" s="106" t="n">
        <f aca="false">IF(OR(Calculator!$E$14&lt;&gt;"YES",Calculator!$B$33&lt;Calculator!$G$14),"—",ROUND(MAX((50*POWER(80,POWER(COS(PI()*MOD(Calculator!$B$33/Calculator!$F$14,1)),2)))/$C84,$C84/(50*POWER(80,POWER(COS(PI()*MOD(Calculator!$B$33/Calculator!$F$14,1)),2)))),2))</f>
        <v>1.05</v>
      </c>
      <c r="AR84" s="106" t="n">
        <f aca="false">IF(OR(Calculator!$E$15&lt;&gt;"YES",Calculator!$B$33&lt;Calculator!$G$15),"—",ROUND(MAX((50*POWER(80,POWER(COS(PI()*MOD(Calculator!$B$33/Calculator!$F$15,1)),2)))/$C84,$C84/(50*POWER(80,POWER(COS(PI()*MOD(Calculator!$B$33/Calculator!$F$15,1)),2)))),2))</f>
        <v>8.86</v>
      </c>
      <c r="AS84" s="106" t="n">
        <f aca="false">IF(OR(Calculator!$E$16&lt;&gt;"YES",Calculator!$B$33&lt;Calculator!$G$16),"—",ROUND(MAX((50*POWER(80,POWER(COS(PI()*MOD(Calculator!$B$33/Calculator!$F$16,1)),2)))/$C84,$C84/(50*POWER(80,POWER(COS(PI()*MOD(Calculator!$B$33/Calculator!$F$16,1)),2)))),2))</f>
        <v>3.24</v>
      </c>
      <c r="AT84" s="106" t="n">
        <f aca="false">IF(OR(Calculator!$E$17&lt;&gt;"YES",Calculator!$B$33&lt;Calculator!$G$17),"—",ROUND(MAX((50*POWER(80,POWER(COS(PI()*MOD(Calculator!$B$33/Calculator!$F$17,1)),2)))/$C84,$C84/(50*POWER(80,POWER(COS(PI()*MOD(Calculator!$B$33/Calculator!$F$17,1)),2)))),2))</f>
        <v>10.28</v>
      </c>
      <c r="AU84" s="106" t="n">
        <f aca="false">IF(OR(Calculator!$E$18&lt;&gt;"YES",Calculator!$B$33&lt;Calculator!$G$18),"—",ROUND(MAX((50*POWER(80,POWER(COS(PI()*MOD(Calculator!$B$33/Calculator!$F$18,1)),2)))/$C84,$C84/(50*POWER(80,POWER(COS(PI()*MOD(Calculator!$B$33/Calculator!$F$18,1)),2)))),2))</f>
        <v>13.9</v>
      </c>
      <c r="AV84" s="106" t="n">
        <f aca="false">IF(OR(Calculator!$E$19&lt;&gt;"YES",Calculator!$B$33&lt;Calculator!$G$19),"—",ROUND(MAX((50*POWER(80,POWER(COS(PI()*MOD(Calculator!$B$33/Calculator!$F$19,1)),2)))/$C84,$C84/(50*POWER(80,POWER(COS(PI()*MOD(Calculator!$B$33/Calculator!$F$19,1)),2)))),2))</f>
        <v>1.69</v>
      </c>
      <c r="AW84" s="106" t="n">
        <f aca="false">IF(OR(Calculator!$E$20&lt;&gt;"YES",Calculator!$B$33&lt;Calculator!$G$20),"—",ROUND(MAX((50*POWER(80,POWER(COS(PI()*MOD(Calculator!$B$33/Calculator!$F$20,1)),2)))/$C84,$C84/(50*POWER(80,POWER(COS(PI()*MOD(Calculator!$B$33/Calculator!$F$20,1)),2)))),2))</f>
        <v>21.22</v>
      </c>
      <c r="AX84" s="106" t="str">
        <f aca="false">IF(OR(Calculator!$E$21&lt;&gt;"YES",Calculator!$B$33&lt;Calculator!$G$21),"—",ROUND(MAX((50*POWER(80,POWER(COS(PI()*MOD(Calculator!$B$33/Calculator!$F$21,1)),2)))/$C84,$C84/(50*POWER(80,POWER(COS(PI()*MOD(Calculator!$B$33/Calculator!$F$21,1)),2)))),2))</f>
        <v>—</v>
      </c>
      <c r="AY84" s="101" t="n">
        <f aca="false">IFERROR(ROUND((IF(ISNUMBER(AN84),AN84,0)+IF(ISNUMBER(AO84),AO84,0)+IF(ISNUMBER(AP84),AP84,0)+IF(ISNUMBER(AQ84),AQ84,0)+IF(ISNUMBER(AR84),AR84,0)+IF(ISNUMBER(AS84),AS84,0)+IF(ISNUMBER(AT84),AT84,0)+IF(ISNUMBER(AU84),AU84,0)+IF(ISNUMBER(AV84),AV84,0)+IF(ISNUMBER(AW84),AW84,0)+IF(ISNUMBER(AX84),AX84,0))/(IF(ISNUMBER(AN84),1,0)+IF(ISNUMBER(AO84),1,0)+IF(ISNUMBER(AP84),1,0)+IF(ISNUMBER(AQ84),1,0)+IF(ISNUMBER(AR84),1,0)+IF(ISNUMBER(AS84),1,0)+IF(ISNUMBER(AT84),1,0)+IF(ISNUMBER(AU84),1,0)+IF(ISNUMBER(AV84),1,0)+IF(ISNUMBER(AW84),1,0)+IF(ISNUMBER(AX84),1,0)),2),"")</f>
        <v>8.61</v>
      </c>
      <c r="AZ84" s="106" t="str">
        <f aca="false">IF(OR(Calculator!$E$11&lt;&gt;"YES",Calculator!$B$34&lt;Calculator!$G$11),"—",ROUND(MAX((50*POWER(80,POWER(COS(PI()*MOD(Calculator!$B$34/Calculator!$F$11,1)),2)))/$C84,$C84/(50*POWER(80,POWER(COS(PI()*MOD(Calculator!$B$34/Calculator!$F$11,1)),2)))),2))</f>
        <v>—</v>
      </c>
      <c r="BA84" s="106" t="str">
        <f aca="false">IF(OR(Calculator!$E$12&lt;&gt;"YES",Calculator!$B$34&lt;Calculator!$G$12),"—",ROUND(MAX((50*POWER(80,POWER(COS(PI()*MOD(Calculator!$B$34/Calculator!$F$12,1)),2)))/$C84,$C84/(50*POWER(80,POWER(COS(PI()*MOD(Calculator!$B$34/Calculator!$F$12,1)),2)))),2))</f>
        <v>—</v>
      </c>
      <c r="BB84" s="106" t="str">
        <f aca="false">IF(OR(Calculator!$E$13&lt;&gt;"YES",Calculator!$B$34&lt;Calculator!$G$13),"—",ROUND(MAX((50*POWER(80,POWER(COS(PI()*MOD(Calculator!$B$34/Calculator!$F$13,1)),2)))/$C84,$C84/(50*POWER(80,POWER(COS(PI()*MOD(Calculator!$B$34/Calculator!$F$13,1)),2)))),2))</f>
        <v>—</v>
      </c>
      <c r="BC84" s="106" t="n">
        <f aca="false">IF(OR(Calculator!$E$14&lt;&gt;"YES",Calculator!$B$34&lt;Calculator!$G$14),"—",ROUND(MAX((50*POWER(80,POWER(COS(PI()*MOD(Calculator!$B$34/Calculator!$F$14,1)),2)))/$C84,$C84/(50*POWER(80,POWER(COS(PI()*MOD(Calculator!$B$34/Calculator!$F$14,1)),2)))),2))</f>
        <v>1.07</v>
      </c>
      <c r="BD84" s="106" t="n">
        <f aca="false">IF(OR(Calculator!$E$15&lt;&gt;"YES",Calculator!$B$34&lt;Calculator!$G$15),"—",ROUND(MAX((50*POWER(80,POWER(COS(PI()*MOD(Calculator!$B$34/Calculator!$F$15,1)),2)))/$C84,$C84/(50*POWER(80,POWER(COS(PI()*MOD(Calculator!$B$34/Calculator!$F$15,1)),2)))),2))</f>
        <v>11.44</v>
      </c>
      <c r="BE84" s="106" t="n">
        <f aca="false">IF(OR(Calculator!$E$16&lt;&gt;"YES",Calculator!$B$34&lt;Calculator!$G$16),"—",ROUND(MAX((50*POWER(80,POWER(COS(PI()*MOD(Calculator!$B$34/Calculator!$F$16,1)),2)))/$C84,$C84/(50*POWER(80,POWER(COS(PI()*MOD(Calculator!$B$34/Calculator!$F$16,1)),2)))),2))</f>
        <v>3.86</v>
      </c>
      <c r="BF84" s="106" t="n">
        <f aca="false">IF(OR(Calculator!$E$17&lt;&gt;"YES",Calculator!$B$34&lt;Calculator!$G$17),"—",ROUND(MAX((50*POWER(80,POWER(COS(PI()*MOD(Calculator!$B$34/Calculator!$F$17,1)),2)))/$C84,$C84/(50*POWER(80,POWER(COS(PI()*MOD(Calculator!$B$34/Calculator!$F$17,1)),2)))),2))</f>
        <v>1.99</v>
      </c>
      <c r="BG84" s="106" t="n">
        <f aca="false">IF(OR(Calculator!$E$18&lt;&gt;"YES",Calculator!$B$34&lt;Calculator!$G$18),"—",ROUND(MAX((50*POWER(80,POWER(COS(PI()*MOD(Calculator!$B$34/Calculator!$F$18,1)),2)))/$C84,$C84/(50*POWER(80,POWER(COS(PI()*MOD(Calculator!$B$34/Calculator!$F$18,1)),2)))),2))</f>
        <v>18.81</v>
      </c>
      <c r="BH84" s="106" t="n">
        <f aca="false">IF(OR(Calculator!$E$19&lt;&gt;"YES",Calculator!$B$34&lt;Calculator!$G$19),"—",ROUND(MAX((50*POWER(80,POWER(COS(PI()*MOD(Calculator!$B$34/Calculator!$F$19,1)),2)))/$C84,$C84/(50*POWER(80,POWER(COS(PI()*MOD(Calculator!$B$34/Calculator!$F$19,1)),2)))),2))</f>
        <v>20.92</v>
      </c>
      <c r="BI84" s="106" t="n">
        <f aca="false">IF(OR(Calculator!$E$20&lt;&gt;"YES",Calculator!$B$34&lt;Calculator!$G$20),"—",ROUND(MAX((50*POWER(80,POWER(COS(PI()*MOD(Calculator!$B$34/Calculator!$F$20,1)),2)))/$C84,$C84/(50*POWER(80,POWER(COS(PI()*MOD(Calculator!$B$34/Calculator!$F$20,1)),2)))),2))</f>
        <v>12.48</v>
      </c>
      <c r="BJ84" s="106" t="str">
        <f aca="false">IF(OR(Calculator!$E$21&lt;&gt;"YES",Calculator!$B$34&lt;Calculator!$G$21),"—",ROUND(MAX((50*POWER(80,POWER(COS(PI()*MOD(Calculator!$B$34/Calculator!$F$21,1)),2)))/$C84,$C84/(50*POWER(80,POWER(COS(PI()*MOD(Calculator!$B$34/Calculator!$F$21,1)),2)))),2))</f>
        <v>—</v>
      </c>
      <c r="BK84" s="101" t="n">
        <f aca="false">IFERROR(ROUND((IF(ISNUMBER(AZ84),AZ84,0)+IF(ISNUMBER(BA84),BA84,0)+IF(ISNUMBER(BB84),BB84,0)+IF(ISNUMBER(BC84),BC84,0)+IF(ISNUMBER(BD84),BD84,0)+IF(ISNUMBER(BE84),BE84,0)+IF(ISNUMBER(BF84),BF84,0)+IF(ISNUMBER(BG84),BG84,0)+IF(ISNUMBER(BH84),BH84,0)+IF(ISNUMBER(BI84),BI84,0)+IF(ISNUMBER(BJ84),BJ84,0))/(IF(ISNUMBER(AZ84),1,0)+IF(ISNUMBER(BA84),1,0)+IF(ISNUMBER(BB84),1,0)+IF(ISNUMBER(BC84),1,0)+IF(ISNUMBER(BD84),1,0)+IF(ISNUMBER(BE84),1,0)+IF(ISNUMBER(BF84),1,0)+IF(ISNUMBER(BG84),1,0)+IF(ISNUMBER(BH84),1,0)+IF(ISNUMBER(BI84),1,0)+IF(ISNUMBER(BJ84),1,0)),2),"")</f>
        <v>10.08</v>
      </c>
    </row>
    <row r="85" customFormat="false" ht="15" hidden="false" customHeight="false" outlineLevel="0" collapsed="false">
      <c r="A85" s="74" t="s">
        <v>136</v>
      </c>
      <c r="B85" s="74" t="s">
        <v>86</v>
      </c>
      <c r="C85" s="77" t="n">
        <v>2650</v>
      </c>
      <c r="D85" s="78" t="str">
        <f aca="false">IF(OR(Calculator!$E$11&lt;&gt;"YES",Calculator!$B$30&lt;Calculator!$G$11),"—",ROUND(MAX((50*POWER(80,POWER(COS(PI()*MOD(Calculator!$B$30/Calculator!$F$11,1)),2)))/$C85,$C85/(50*POWER(80,POWER(COS(PI()*MOD(Calculator!$B$30/Calculator!$F$11,1)),2)))),2))</f>
        <v>—</v>
      </c>
      <c r="E85" s="78" t="str">
        <f aca="false">IF(OR(Calculator!$E$12&lt;&gt;"YES",Calculator!$B$30&lt;Calculator!$G$12),"—",ROUND(MAX((50*POWER(80,POWER(COS(PI()*MOD(Calculator!$B$30/Calculator!$F$12,1)),2)))/$C85,$C85/(50*POWER(80,POWER(COS(PI()*MOD(Calculator!$B$30/Calculator!$F$12,1)),2)))),2))</f>
        <v>—</v>
      </c>
      <c r="F85" s="78" t="str">
        <f aca="false">IF(OR(Calculator!$E$13&lt;&gt;"YES",Calculator!$B$30&lt;Calculator!$G$13),"—",ROUND(MAX((50*POWER(80,POWER(COS(PI()*MOD(Calculator!$B$30/Calculator!$F$13,1)),2)))/$C85,$C85/(50*POWER(80,POWER(COS(PI()*MOD(Calculator!$B$30/Calculator!$F$13,1)),2)))),2))</f>
        <v>—</v>
      </c>
      <c r="G85" s="78" t="n">
        <f aca="false">IF(OR(Calculator!$E$14&lt;&gt;"YES",Calculator!$B$30&lt;Calculator!$G$14),"—",ROUND(MAX((50*POWER(80,POWER(COS(PI()*MOD(Calculator!$B$30/Calculator!$F$14,1)),2)))/$C85,$C85/(50*POWER(80,POWER(COS(PI()*MOD(Calculator!$B$30/Calculator!$F$14,1)),2)))),2))</f>
        <v>23.95</v>
      </c>
      <c r="H85" s="78" t="n">
        <f aca="false">IF(OR(Calculator!$E$15&lt;&gt;"YES",Calculator!$B$30&lt;Calculator!$G$15),"—",ROUND(MAX((50*POWER(80,POWER(COS(PI()*MOD(Calculator!$B$30/Calculator!$F$15,1)),2)))/$C85,$C85/(50*POWER(80,POWER(COS(PI()*MOD(Calculator!$B$30/Calculator!$F$15,1)),2)))),2))</f>
        <v>6.94</v>
      </c>
      <c r="I85" s="78" t="n">
        <f aca="false">IF(OR(Calculator!$E$16&lt;&gt;"YES",Calculator!$B$30&lt;Calculator!$G$16),"—",ROUND(MAX((50*POWER(80,POWER(COS(PI()*MOD(Calculator!$B$30/Calculator!$F$16,1)),2)))/$C85,$C85/(50*POWER(80,POWER(COS(PI()*MOD(Calculator!$B$30/Calculator!$F$16,1)),2)))),2))</f>
        <v>4.75</v>
      </c>
      <c r="J85" s="78" t="n">
        <f aca="false">IF(OR(Calculator!$E$17&lt;&gt;"YES",Calculator!$B$30&lt;Calculator!$G$17),"—",ROUND(MAX((50*POWER(80,POWER(COS(PI()*MOD(Calculator!$B$30/Calculator!$F$17,1)),2)))/$C85,$C85/(50*POWER(80,POWER(COS(PI()*MOD(Calculator!$B$30/Calculator!$F$17,1)),2)))),2))</f>
        <v>13.32</v>
      </c>
      <c r="K85" s="78" t="n">
        <f aca="false">IF(OR(Calculator!$E$18&lt;&gt;"YES",Calculator!$B$30&lt;Calculator!$G$18),"—",ROUND(MAX((50*POWER(80,POWER(COS(PI()*MOD(Calculator!$B$30/Calculator!$F$18,1)),2)))/$C85,$C85/(50*POWER(80,POWER(COS(PI()*MOD(Calculator!$B$30/Calculator!$F$18,1)),2)))),2))</f>
        <v>1.9</v>
      </c>
      <c r="L85" s="78" t="n">
        <f aca="false">IF(OR(Calculator!$E$19&lt;&gt;"YES",Calculator!$B$30&lt;Calculator!$G$19),"—",ROUND(MAX((50*POWER(80,POWER(COS(PI()*MOD(Calculator!$B$30/Calculator!$F$19,1)),2)))/$C85,$C85/(50*POWER(80,POWER(COS(PI()*MOD(Calculator!$B$30/Calculator!$F$19,1)),2)))),2))</f>
        <v>3.37</v>
      </c>
      <c r="M85" s="78" t="n">
        <f aca="false">IF(OR(Calculator!$E$20&lt;&gt;"YES",Calculator!$B$30&lt;Calculator!$G$20),"—",ROUND(MAX((50*POWER(80,POWER(COS(PI()*MOD(Calculator!$B$30/Calculator!$F$20,1)),2)))/$C85,$C85/(50*POWER(80,POWER(COS(PI()*MOD(Calculator!$B$30/Calculator!$F$20,1)),2)))),2))</f>
        <v>20.93</v>
      </c>
      <c r="N85" s="78" t="str">
        <f aca="false">IF(OR(Calculator!$E$21&lt;&gt;"YES",Calculator!$B$30&lt;Calculator!$G$21),"—",ROUND(MAX((50*POWER(80,POWER(COS(PI()*MOD(Calculator!$B$30/Calculator!$F$21,1)),2)))/$C85,$C85/(50*POWER(80,POWER(COS(PI()*MOD(Calculator!$B$30/Calculator!$F$21,1)),2)))),2))</f>
        <v>—</v>
      </c>
      <c r="O85" s="100" t="n">
        <f aca="false">IFERROR(ROUND((IF(ISNUMBER(D85),D85,0)+IF(ISNUMBER(E85),E85,0)+IF(ISNUMBER(F85),F85,0)+IF(ISNUMBER(G85),G85,0)+IF(ISNUMBER(H85),H85,0)+IF(ISNUMBER(I85),I85,0)+IF(ISNUMBER(J85),J85,0)+IF(ISNUMBER(K85),K85,0)+IF(ISNUMBER(L85),L85,0)+IF(ISNUMBER(M85),M85,0)+IF(ISNUMBER(N85),N85,0))/(IF(ISNUMBER(D85),1,0)+IF(ISNUMBER(E85),1,0)+IF(ISNUMBER(F85),1,0)+IF(ISNUMBER(G85),1,0)+IF(ISNUMBER(H85),1,0)+IF(ISNUMBER(I85),1,0)+IF(ISNUMBER(J85),1,0)+IF(ISNUMBER(K85),1,0)+IF(ISNUMBER(L85),1,0)+IF(ISNUMBER(M85),1,0)+IF(ISNUMBER(N85),1,0)),2),"")</f>
        <v>10.74</v>
      </c>
      <c r="P85" s="78" t="str">
        <f aca="false">IF(OR(Calculator!$E$11&lt;&gt;"YES",Calculator!$B$31&lt;Calculator!$G$11),"—",ROUND(MAX((50*POWER(80,POWER(COS(PI()*MOD(Calculator!$B$31/Calculator!$F$11,1)),2)))/$C85,$C85/(50*POWER(80,POWER(COS(PI()*MOD(Calculator!$B$31/Calculator!$F$11,1)),2)))),2))</f>
        <v>—</v>
      </c>
      <c r="Q85" s="78" t="str">
        <f aca="false">IF(OR(Calculator!$E$12&lt;&gt;"YES",Calculator!$B$31&lt;Calculator!$G$12),"—",ROUND(MAX((50*POWER(80,POWER(COS(PI()*MOD(Calculator!$B$31/Calculator!$F$12,1)),2)))/$C85,$C85/(50*POWER(80,POWER(COS(PI()*MOD(Calculator!$B$31/Calculator!$F$12,1)),2)))),2))</f>
        <v>—</v>
      </c>
      <c r="R85" s="78" t="str">
        <f aca="false">IF(OR(Calculator!$E$13&lt;&gt;"YES",Calculator!$B$31&lt;Calculator!$G$13),"—",ROUND(MAX((50*POWER(80,POWER(COS(PI()*MOD(Calculator!$B$31/Calculator!$F$13,1)),2)))/$C85,$C85/(50*POWER(80,POWER(COS(PI()*MOD(Calculator!$B$31/Calculator!$F$13,1)),2)))),2))</f>
        <v>—</v>
      </c>
      <c r="S85" s="78" t="n">
        <f aca="false">IF(OR(Calculator!$E$14&lt;&gt;"YES",Calculator!$B$31&lt;Calculator!$G$14),"—",ROUND(MAX((50*POWER(80,POWER(COS(PI()*MOD(Calculator!$B$31/Calculator!$F$14,1)),2)))/$C85,$C85/(50*POWER(80,POWER(COS(PI()*MOD(Calculator!$B$31/Calculator!$F$14,1)),2)))),2))</f>
        <v>24.52</v>
      </c>
      <c r="T85" s="78" t="n">
        <f aca="false">IF(OR(Calculator!$E$15&lt;&gt;"YES",Calculator!$B$31&lt;Calculator!$G$15),"—",ROUND(MAX((50*POWER(80,POWER(COS(PI()*MOD(Calculator!$B$31/Calculator!$F$15,1)),2)))/$C85,$C85/(50*POWER(80,POWER(COS(PI()*MOD(Calculator!$B$31/Calculator!$F$15,1)),2)))),2))</f>
        <v>14.92</v>
      </c>
      <c r="U85" s="78" t="n">
        <f aca="false">IF(OR(Calculator!$E$16&lt;&gt;"YES",Calculator!$B$31&lt;Calculator!$G$16),"—",ROUND(MAX((50*POWER(80,POWER(COS(PI()*MOD(Calculator!$B$31/Calculator!$F$16,1)),2)))/$C85,$C85/(50*POWER(80,POWER(COS(PI()*MOD(Calculator!$B$31/Calculator!$F$16,1)),2)))),2))</f>
        <v>5.68</v>
      </c>
      <c r="V85" s="78" t="n">
        <f aca="false">IF(OR(Calculator!$E$17&lt;&gt;"YES",Calculator!$B$31&lt;Calculator!$G$17),"—",ROUND(MAX((50*POWER(80,POWER(COS(PI()*MOD(Calculator!$B$31/Calculator!$F$17,1)),2)))/$C85,$C85/(50*POWER(80,POWER(COS(PI()*MOD(Calculator!$B$31/Calculator!$F$17,1)),2)))),2))</f>
        <v>1.64</v>
      </c>
      <c r="W85" s="78" t="n">
        <f aca="false">IF(OR(Calculator!$E$18&lt;&gt;"YES",Calculator!$B$31&lt;Calculator!$G$18),"—",ROUND(MAX((50*POWER(80,POWER(COS(PI()*MOD(Calculator!$B$31/Calculator!$F$18,1)),2)))/$C85,$C85/(50*POWER(80,POWER(COS(PI()*MOD(Calculator!$B$31/Calculator!$F$18,1)),2)))),2))</f>
        <v>1.44</v>
      </c>
      <c r="X85" s="78" t="n">
        <f aca="false">IF(OR(Calculator!$E$19&lt;&gt;"YES",Calculator!$B$31&lt;Calculator!$G$19),"—",ROUND(MAX((50*POWER(80,POWER(COS(PI()*MOD(Calculator!$B$31/Calculator!$F$19,1)),2)))/$C85,$C85/(50*POWER(80,POWER(COS(PI()*MOD(Calculator!$B$31/Calculator!$F$19,1)),2)))),2))</f>
        <v>9.85</v>
      </c>
      <c r="Y85" s="78" t="n">
        <f aca="false">IF(OR(Calculator!$E$20&lt;&gt;"YES",Calculator!$B$31&lt;Calculator!$G$20),"—",ROUND(MAX((50*POWER(80,POWER(COS(PI()*MOD(Calculator!$B$31/Calculator!$F$20,1)),2)))/$C85,$C85/(50*POWER(80,POWER(COS(PI()*MOD(Calculator!$B$31/Calculator!$F$20,1)),2)))),2))</f>
        <v>32.51</v>
      </c>
      <c r="Z85" s="78" t="str">
        <f aca="false">IF(OR(Calculator!$E$21&lt;&gt;"YES",Calculator!$B$31&lt;Calculator!$G$21),"—",ROUND(MAX((50*POWER(80,POWER(COS(PI()*MOD(Calculator!$B$31/Calculator!$F$21,1)),2)))/$C85,$C85/(50*POWER(80,POWER(COS(PI()*MOD(Calculator!$B$31/Calculator!$F$21,1)),2)))),2))</f>
        <v>—</v>
      </c>
      <c r="AA85" s="100" t="n">
        <f aca="false">IFERROR(ROUND((IF(ISNUMBER(P85),P85,0)+IF(ISNUMBER(Q85),Q85,0)+IF(ISNUMBER(R85),R85,0)+IF(ISNUMBER(S85),S85,0)+IF(ISNUMBER(T85),T85,0)+IF(ISNUMBER(U85),U85,0)+IF(ISNUMBER(V85),V85,0)+IF(ISNUMBER(W85),W85,0)+IF(ISNUMBER(X85),X85,0)+IF(ISNUMBER(Y85),Y85,0)+IF(ISNUMBER(Z85),Z85,0))/(IF(ISNUMBER(P85),1,0)+IF(ISNUMBER(Q85),1,0)+IF(ISNUMBER(R85),1,0)+IF(ISNUMBER(S85),1,0)+IF(ISNUMBER(T85),1,0)+IF(ISNUMBER(U85),1,0)+IF(ISNUMBER(V85),1,0)+IF(ISNUMBER(W85),1,0)+IF(ISNUMBER(X85),1,0)+IF(ISNUMBER(Y85),1,0)+IF(ISNUMBER(Z85),1,0)),2),"")</f>
        <v>12.94</v>
      </c>
      <c r="AB85" s="78" t="str">
        <f aca="false">IF(OR(Calculator!$E$11&lt;&gt;"YES",Calculator!$B$32&lt;Calculator!$G$11),"—",ROUND(MAX((50*POWER(80,POWER(COS(PI()*MOD(Calculator!$B$32/Calculator!$F$11,1)),2)))/$C85,$C85/(50*POWER(80,POWER(COS(PI()*MOD(Calculator!$B$32/Calculator!$F$11,1)),2)))),2))</f>
        <v>—</v>
      </c>
      <c r="AC85" s="78" t="str">
        <f aca="false">IF(OR(Calculator!$E$12&lt;&gt;"YES",Calculator!$B$32&lt;Calculator!$G$12),"—",ROUND(MAX((50*POWER(80,POWER(COS(PI()*MOD(Calculator!$B$32/Calculator!$F$12,1)),2)))/$C85,$C85/(50*POWER(80,POWER(COS(PI()*MOD(Calculator!$B$32/Calculator!$F$12,1)),2)))),2))</f>
        <v>—</v>
      </c>
      <c r="AD85" s="78" t="str">
        <f aca="false">IF(OR(Calculator!$E$13&lt;&gt;"YES",Calculator!$B$32&lt;Calculator!$G$13),"—",ROUND(MAX((50*POWER(80,POWER(COS(PI()*MOD(Calculator!$B$32/Calculator!$F$13,1)),2)))/$C85,$C85/(50*POWER(80,POWER(COS(PI()*MOD(Calculator!$B$32/Calculator!$F$13,1)),2)))),2))</f>
        <v>—</v>
      </c>
      <c r="AE85" s="78" t="n">
        <f aca="false">IF(OR(Calculator!$E$14&lt;&gt;"YES",Calculator!$B$32&lt;Calculator!$G$14),"—",ROUND(MAX((50*POWER(80,POWER(COS(PI()*MOD(Calculator!$B$32/Calculator!$F$14,1)),2)))/$C85,$C85/(50*POWER(80,POWER(COS(PI()*MOD(Calculator!$B$32/Calculator!$F$14,1)),2)))),2))</f>
        <v>15.48</v>
      </c>
      <c r="AF85" s="78" t="n">
        <f aca="false">IF(OR(Calculator!$E$15&lt;&gt;"YES",Calculator!$B$32&lt;Calculator!$G$15),"—",ROUND(MAX((50*POWER(80,POWER(COS(PI()*MOD(Calculator!$B$32/Calculator!$F$15,1)),2)))/$C85,$C85/(50*POWER(80,POWER(COS(PI()*MOD(Calculator!$B$32/Calculator!$F$15,1)),2)))),2))</f>
        <v>10.01</v>
      </c>
      <c r="AG85" s="78" t="n">
        <f aca="false">IF(OR(Calculator!$E$16&lt;&gt;"YES",Calculator!$B$32&lt;Calculator!$G$16),"—",ROUND(MAX((50*POWER(80,POWER(COS(PI()*MOD(Calculator!$B$32/Calculator!$F$16,1)),2)))/$C85,$C85/(50*POWER(80,POWER(COS(PI()*MOD(Calculator!$B$32/Calculator!$F$16,1)),2)))),2))</f>
        <v>33.79</v>
      </c>
      <c r="AH85" s="78" t="n">
        <f aca="false">IF(OR(Calculator!$E$17&lt;&gt;"YES",Calculator!$B$32&lt;Calculator!$G$17),"—",ROUND(MAX((50*POWER(80,POWER(COS(PI()*MOD(Calculator!$B$32/Calculator!$F$17,1)),2)))/$C85,$C85/(50*POWER(80,POWER(COS(PI()*MOD(Calculator!$B$32/Calculator!$F$17,1)),2)))),2))</f>
        <v>1.15</v>
      </c>
      <c r="AI85" s="78" t="n">
        <f aca="false">IF(OR(Calculator!$E$18&lt;&gt;"YES",Calculator!$B$32&lt;Calculator!$G$18),"—",ROUND(MAX((50*POWER(80,POWER(COS(PI()*MOD(Calculator!$B$32/Calculator!$F$18,1)),2)))/$C85,$C85/(50*POWER(80,POWER(COS(PI()*MOD(Calculator!$B$32/Calculator!$F$18,1)),2)))),2))</f>
        <v>1.06</v>
      </c>
      <c r="AJ85" s="78" t="n">
        <f aca="false">IF(OR(Calculator!$E$19&lt;&gt;"YES",Calculator!$B$32&lt;Calculator!$G$19),"—",ROUND(MAX((50*POWER(80,POWER(COS(PI()*MOD(Calculator!$B$32/Calculator!$F$19,1)),2)))/$C85,$C85/(50*POWER(80,POWER(COS(PI()*MOD(Calculator!$B$32/Calculator!$F$19,1)),2)))),2))</f>
        <v>1.01</v>
      </c>
      <c r="AK85" s="78" t="n">
        <f aca="false">IF(OR(Calculator!$E$20&lt;&gt;"YES",Calculator!$B$32&lt;Calculator!$G$20),"—",ROUND(MAX((50*POWER(80,POWER(COS(PI()*MOD(Calculator!$B$32/Calculator!$F$20,1)),2)))/$C85,$C85/(50*POWER(80,POWER(COS(PI()*MOD(Calculator!$B$32/Calculator!$F$20,1)),2)))),2))</f>
        <v>26.58</v>
      </c>
      <c r="AL85" s="78" t="str">
        <f aca="false">IF(OR(Calculator!$E$21&lt;&gt;"YES",Calculator!$B$32&lt;Calculator!$G$21),"—",ROUND(MAX((50*POWER(80,POWER(COS(PI()*MOD(Calculator!$B$32/Calculator!$F$21,1)),2)))/$C85,$C85/(50*POWER(80,POWER(COS(PI()*MOD(Calculator!$B$32/Calculator!$F$21,1)),2)))),2))</f>
        <v>—</v>
      </c>
      <c r="AM85" s="101" t="n">
        <f aca="false">IFERROR(ROUND((IF(ISNUMBER(AB85),AB85,0)+IF(ISNUMBER(AC85),AC85,0)+IF(ISNUMBER(AD85),AD85,0)+IF(ISNUMBER(AE85),AE85,0)+IF(ISNUMBER(AF85),AF85,0)+IF(ISNUMBER(AG85),AG85,0)+IF(ISNUMBER(AH85),AH85,0)+IF(ISNUMBER(AI85),AI85,0)+IF(ISNUMBER(AJ85),AJ85,0)+IF(ISNUMBER(AK85),AK85,0)+IF(ISNUMBER(AL85),AL85,0))/(IF(ISNUMBER(AB85),1,0)+IF(ISNUMBER(AC85),1,0)+IF(ISNUMBER(AD85),1,0)+IF(ISNUMBER(AE85),1,0)+IF(ISNUMBER(AF85),1,0)+IF(ISNUMBER(AG85),1,0)+IF(ISNUMBER(AH85),1,0)+IF(ISNUMBER(AI85),1,0)+IF(ISNUMBER(AJ85),1,0)+IF(ISNUMBER(AK85),1,0)+IF(ISNUMBER(AL85),1,0)),2),"")</f>
        <v>12.73</v>
      </c>
      <c r="AN85" s="102" t="str">
        <f aca="false">IF(OR(Calculator!$E$11&lt;&gt;"YES",Calculator!$B$33&lt;Calculator!$G$11),"—",ROUND(MAX((50*POWER(80,POWER(COS(PI()*MOD(Calculator!$B$33/Calculator!$F$11,1)),2)))/$C85,$C85/(50*POWER(80,POWER(COS(PI()*MOD(Calculator!$B$33/Calculator!$F$11,1)),2)))),2))</f>
        <v>—</v>
      </c>
      <c r="AO85" s="102" t="str">
        <f aca="false">IF(OR(Calculator!$E$12&lt;&gt;"YES",Calculator!$B$33&lt;Calculator!$G$12),"—",ROUND(MAX((50*POWER(80,POWER(COS(PI()*MOD(Calculator!$B$33/Calculator!$F$12,1)),2)))/$C85,$C85/(50*POWER(80,POWER(COS(PI()*MOD(Calculator!$B$33/Calculator!$F$12,1)),2)))),2))</f>
        <v>—</v>
      </c>
      <c r="AP85" s="102" t="str">
        <f aca="false">IF(OR(Calculator!$E$13&lt;&gt;"YES",Calculator!$B$33&lt;Calculator!$G$13),"—",ROUND(MAX((50*POWER(80,POWER(COS(PI()*MOD(Calculator!$B$33/Calculator!$F$13,1)),2)))/$C85,$C85/(50*POWER(80,POWER(COS(PI()*MOD(Calculator!$B$33/Calculator!$F$13,1)),2)))),2))</f>
        <v>—</v>
      </c>
      <c r="AQ85" s="102" t="n">
        <f aca="false">IF(OR(Calculator!$E$14&lt;&gt;"YES",Calculator!$B$33&lt;Calculator!$G$14),"—",ROUND(MAX((50*POWER(80,POWER(COS(PI()*MOD(Calculator!$B$33/Calculator!$F$14,1)),2)))/$C85,$C85/(50*POWER(80,POWER(COS(PI()*MOD(Calculator!$B$33/Calculator!$F$14,1)),2)))),2))</f>
        <v>1.03</v>
      </c>
      <c r="AR85" s="102" t="n">
        <f aca="false">IF(OR(Calculator!$E$15&lt;&gt;"YES",Calculator!$B$33&lt;Calculator!$G$15),"—",ROUND(MAX((50*POWER(80,POWER(COS(PI()*MOD(Calculator!$B$33/Calculator!$F$15,1)),2)))/$C85,$C85/(50*POWER(80,POWER(COS(PI()*MOD(Calculator!$B$33/Calculator!$F$15,1)),2)))),2))</f>
        <v>9.03</v>
      </c>
      <c r="AS85" s="102" t="n">
        <f aca="false">IF(OR(Calculator!$E$16&lt;&gt;"YES",Calculator!$B$33&lt;Calculator!$G$16),"—",ROUND(MAX((50*POWER(80,POWER(COS(PI()*MOD(Calculator!$B$33/Calculator!$F$16,1)),2)))/$C85,$C85/(50*POWER(80,POWER(COS(PI()*MOD(Calculator!$B$33/Calculator!$F$16,1)),2)))),2))</f>
        <v>3.3</v>
      </c>
      <c r="AT85" s="102" t="n">
        <f aca="false">IF(OR(Calculator!$E$17&lt;&gt;"YES",Calculator!$B$33&lt;Calculator!$G$17),"—",ROUND(MAX((50*POWER(80,POWER(COS(PI()*MOD(Calculator!$B$33/Calculator!$F$17,1)),2)))/$C85,$C85/(50*POWER(80,POWER(COS(PI()*MOD(Calculator!$B$33/Calculator!$F$17,1)),2)))),2))</f>
        <v>10.47</v>
      </c>
      <c r="AU85" s="102" t="n">
        <f aca="false">IF(OR(Calculator!$E$18&lt;&gt;"YES",Calculator!$B$33&lt;Calculator!$G$18),"—",ROUND(MAX((50*POWER(80,POWER(COS(PI()*MOD(Calculator!$B$33/Calculator!$F$18,1)),2)))/$C85,$C85/(50*POWER(80,POWER(COS(PI()*MOD(Calculator!$B$33/Calculator!$F$18,1)),2)))),2))</f>
        <v>14.17</v>
      </c>
      <c r="AV85" s="102" t="n">
        <f aca="false">IF(OR(Calculator!$E$19&lt;&gt;"YES",Calculator!$B$33&lt;Calculator!$G$19),"—",ROUND(MAX((50*POWER(80,POWER(COS(PI()*MOD(Calculator!$B$33/Calculator!$F$19,1)),2)))/$C85,$C85/(50*POWER(80,POWER(COS(PI()*MOD(Calculator!$B$33/Calculator!$F$19,1)),2)))),2))</f>
        <v>1.73</v>
      </c>
      <c r="AW85" s="102" t="n">
        <f aca="false">IF(OR(Calculator!$E$20&lt;&gt;"YES",Calculator!$B$33&lt;Calculator!$G$20),"—",ROUND(MAX((50*POWER(80,POWER(COS(PI()*MOD(Calculator!$B$33/Calculator!$F$20,1)),2)))/$C85,$C85/(50*POWER(80,POWER(COS(PI()*MOD(Calculator!$B$33/Calculator!$F$20,1)),2)))),2))</f>
        <v>21.62</v>
      </c>
      <c r="AX85" s="102" t="str">
        <f aca="false">IF(OR(Calculator!$E$21&lt;&gt;"YES",Calculator!$B$33&lt;Calculator!$G$21),"—",ROUND(MAX((50*POWER(80,POWER(COS(PI()*MOD(Calculator!$B$33/Calculator!$F$21,1)),2)))/$C85,$C85/(50*POWER(80,POWER(COS(PI()*MOD(Calculator!$B$33/Calculator!$F$21,1)),2)))),2))</f>
        <v>—</v>
      </c>
      <c r="AY85" s="101" t="n">
        <f aca="false">IFERROR(ROUND((IF(ISNUMBER(AN85),AN85,0)+IF(ISNUMBER(AO85),AO85,0)+IF(ISNUMBER(AP85),AP85,0)+IF(ISNUMBER(AQ85),AQ85,0)+IF(ISNUMBER(AR85),AR85,0)+IF(ISNUMBER(AS85),AS85,0)+IF(ISNUMBER(AT85),AT85,0)+IF(ISNUMBER(AU85),AU85,0)+IF(ISNUMBER(AV85),AV85,0)+IF(ISNUMBER(AW85),AW85,0)+IF(ISNUMBER(AX85),AX85,0))/(IF(ISNUMBER(AN85),1,0)+IF(ISNUMBER(AO85),1,0)+IF(ISNUMBER(AP85),1,0)+IF(ISNUMBER(AQ85),1,0)+IF(ISNUMBER(AR85),1,0)+IF(ISNUMBER(AS85),1,0)+IF(ISNUMBER(AT85),1,0)+IF(ISNUMBER(AU85),1,0)+IF(ISNUMBER(AV85),1,0)+IF(ISNUMBER(AW85),1,0)+IF(ISNUMBER(AX85),1,0)),2),"")</f>
        <v>8.76</v>
      </c>
      <c r="AZ85" s="102" t="str">
        <f aca="false">IF(OR(Calculator!$E$11&lt;&gt;"YES",Calculator!$B$34&lt;Calculator!$G$11),"—",ROUND(MAX((50*POWER(80,POWER(COS(PI()*MOD(Calculator!$B$34/Calculator!$F$11,1)),2)))/$C85,$C85/(50*POWER(80,POWER(COS(PI()*MOD(Calculator!$B$34/Calculator!$F$11,1)),2)))),2))</f>
        <v>—</v>
      </c>
      <c r="BA85" s="102" t="str">
        <f aca="false">IF(OR(Calculator!$E$12&lt;&gt;"YES",Calculator!$B$34&lt;Calculator!$G$12),"—",ROUND(MAX((50*POWER(80,POWER(COS(PI()*MOD(Calculator!$B$34/Calculator!$F$12,1)),2)))/$C85,$C85/(50*POWER(80,POWER(COS(PI()*MOD(Calculator!$B$34/Calculator!$F$12,1)),2)))),2))</f>
        <v>—</v>
      </c>
      <c r="BB85" s="102" t="str">
        <f aca="false">IF(OR(Calculator!$E$13&lt;&gt;"YES",Calculator!$B$34&lt;Calculator!$G$13),"—",ROUND(MAX((50*POWER(80,POWER(COS(PI()*MOD(Calculator!$B$34/Calculator!$F$13,1)),2)))/$C85,$C85/(50*POWER(80,POWER(COS(PI()*MOD(Calculator!$B$34/Calculator!$F$13,1)),2)))),2))</f>
        <v>—</v>
      </c>
      <c r="BC85" s="102" t="n">
        <f aca="false">IF(OR(Calculator!$E$14&lt;&gt;"YES",Calculator!$B$34&lt;Calculator!$G$14),"—",ROUND(MAX((50*POWER(80,POWER(COS(PI()*MOD(Calculator!$B$34/Calculator!$F$14,1)),2)))/$C85,$C85/(50*POWER(80,POWER(COS(PI()*MOD(Calculator!$B$34/Calculator!$F$14,1)),2)))),2))</f>
        <v>1.05</v>
      </c>
      <c r="BD85" s="102" t="n">
        <f aca="false">IF(OR(Calculator!$E$15&lt;&gt;"YES",Calculator!$B$34&lt;Calculator!$G$15),"—",ROUND(MAX((50*POWER(80,POWER(COS(PI()*MOD(Calculator!$B$34/Calculator!$F$15,1)),2)))/$C85,$C85/(50*POWER(80,POWER(COS(PI()*MOD(Calculator!$B$34/Calculator!$F$15,1)),2)))),2))</f>
        <v>11.66</v>
      </c>
      <c r="BE85" s="102" t="n">
        <f aca="false">IF(OR(Calculator!$E$16&lt;&gt;"YES",Calculator!$B$34&lt;Calculator!$G$16),"—",ROUND(MAX((50*POWER(80,POWER(COS(PI()*MOD(Calculator!$B$34/Calculator!$F$16,1)),2)))/$C85,$C85/(50*POWER(80,POWER(COS(PI()*MOD(Calculator!$B$34/Calculator!$F$16,1)),2)))),2))</f>
        <v>3.93</v>
      </c>
      <c r="BF85" s="102" t="n">
        <f aca="false">IF(OR(Calculator!$E$17&lt;&gt;"YES",Calculator!$B$34&lt;Calculator!$G$17),"—",ROUND(MAX((50*POWER(80,POWER(COS(PI()*MOD(Calculator!$B$34/Calculator!$F$17,1)),2)))/$C85,$C85/(50*POWER(80,POWER(COS(PI()*MOD(Calculator!$B$34/Calculator!$F$17,1)),2)))),2))</f>
        <v>2.03</v>
      </c>
      <c r="BG85" s="102" t="n">
        <f aca="false">IF(OR(Calculator!$E$18&lt;&gt;"YES",Calculator!$B$34&lt;Calculator!$G$18),"—",ROUND(MAX((50*POWER(80,POWER(COS(PI()*MOD(Calculator!$B$34/Calculator!$F$18,1)),2)))/$C85,$C85/(50*POWER(80,POWER(COS(PI()*MOD(Calculator!$B$34/Calculator!$F$18,1)),2)))),2))</f>
        <v>19.17</v>
      </c>
      <c r="BH85" s="102" t="n">
        <f aca="false">IF(OR(Calculator!$E$19&lt;&gt;"YES",Calculator!$B$34&lt;Calculator!$G$19),"—",ROUND(MAX((50*POWER(80,POWER(COS(PI()*MOD(Calculator!$B$34/Calculator!$F$19,1)),2)))/$C85,$C85/(50*POWER(80,POWER(COS(PI()*MOD(Calculator!$B$34/Calculator!$F$19,1)),2)))),2))</f>
        <v>21.32</v>
      </c>
      <c r="BI85" s="102" t="n">
        <f aca="false">IF(OR(Calculator!$E$20&lt;&gt;"YES",Calculator!$B$34&lt;Calculator!$G$20),"—",ROUND(MAX((50*POWER(80,POWER(COS(PI()*MOD(Calculator!$B$34/Calculator!$F$20,1)),2)))/$C85,$C85/(50*POWER(80,POWER(COS(PI()*MOD(Calculator!$B$34/Calculator!$F$20,1)),2)))),2))</f>
        <v>12.72</v>
      </c>
      <c r="BJ85" s="102" t="str">
        <f aca="false">IF(OR(Calculator!$E$21&lt;&gt;"YES",Calculator!$B$34&lt;Calculator!$G$21),"—",ROUND(MAX((50*POWER(80,POWER(COS(PI()*MOD(Calculator!$B$34/Calculator!$F$21,1)),2)))/$C85,$C85/(50*POWER(80,POWER(COS(PI()*MOD(Calculator!$B$34/Calculator!$F$21,1)),2)))),2))</f>
        <v>—</v>
      </c>
      <c r="BK85" s="101" t="n">
        <f aca="false">IFERROR(ROUND((IF(ISNUMBER(AZ85),AZ85,0)+IF(ISNUMBER(BA85),BA85,0)+IF(ISNUMBER(BB85),BB85,0)+IF(ISNUMBER(BC85),BC85,0)+IF(ISNUMBER(BD85),BD85,0)+IF(ISNUMBER(BE85),BE85,0)+IF(ISNUMBER(BF85),BF85,0)+IF(ISNUMBER(BG85),BG85,0)+IF(ISNUMBER(BH85),BH85,0)+IF(ISNUMBER(BI85),BI85,0)+IF(ISNUMBER(BJ85),BJ85,0))/(IF(ISNUMBER(AZ85),1,0)+IF(ISNUMBER(BA85),1,0)+IF(ISNUMBER(BB85),1,0)+IF(ISNUMBER(BC85),1,0)+IF(ISNUMBER(BD85),1,0)+IF(ISNUMBER(BE85),1,0)+IF(ISNUMBER(BF85),1,0)+IF(ISNUMBER(BG85),1,0)+IF(ISNUMBER(BH85),1,0)+IF(ISNUMBER(BI85),1,0)+IF(ISNUMBER(BJ85),1,0)),2),"")</f>
        <v>10.27</v>
      </c>
    </row>
    <row r="86" customFormat="false" ht="15" hidden="false" customHeight="false" outlineLevel="0" collapsed="false">
      <c r="A86" s="103" t="s">
        <v>137</v>
      </c>
      <c r="B86" s="103" t="s">
        <v>86</v>
      </c>
      <c r="C86" s="104" t="n">
        <v>2700</v>
      </c>
      <c r="D86" s="105" t="str">
        <f aca="false">IF(OR(Calculator!$E$11&lt;&gt;"YES",Calculator!$B$30&lt;Calculator!$G$11),"—",ROUND(MAX((50*POWER(80,POWER(COS(PI()*MOD(Calculator!$B$30/Calculator!$F$11,1)),2)))/$C86,$C86/(50*POWER(80,POWER(COS(PI()*MOD(Calculator!$B$30/Calculator!$F$11,1)),2)))),2))</f>
        <v>—</v>
      </c>
      <c r="E86" s="105" t="str">
        <f aca="false">IF(OR(Calculator!$E$12&lt;&gt;"YES",Calculator!$B$30&lt;Calculator!$G$12),"—",ROUND(MAX((50*POWER(80,POWER(COS(PI()*MOD(Calculator!$B$30/Calculator!$F$12,1)),2)))/$C86,$C86/(50*POWER(80,POWER(COS(PI()*MOD(Calculator!$B$30/Calculator!$F$12,1)),2)))),2))</f>
        <v>—</v>
      </c>
      <c r="F86" s="105" t="str">
        <f aca="false">IF(OR(Calculator!$E$13&lt;&gt;"YES",Calculator!$B$30&lt;Calculator!$G$13),"—",ROUND(MAX((50*POWER(80,POWER(COS(PI()*MOD(Calculator!$B$30/Calculator!$F$13,1)),2)))/$C86,$C86/(50*POWER(80,POWER(COS(PI()*MOD(Calculator!$B$30/Calculator!$F$13,1)),2)))),2))</f>
        <v>—</v>
      </c>
      <c r="G86" s="105" t="n">
        <f aca="false">IF(OR(Calculator!$E$14&lt;&gt;"YES",Calculator!$B$30&lt;Calculator!$G$14),"—",ROUND(MAX((50*POWER(80,POWER(COS(PI()*MOD(Calculator!$B$30/Calculator!$F$14,1)),2)))/$C86,$C86/(50*POWER(80,POWER(COS(PI()*MOD(Calculator!$B$30/Calculator!$F$14,1)),2)))),2))</f>
        <v>24.4</v>
      </c>
      <c r="H86" s="105" t="n">
        <f aca="false">IF(OR(Calculator!$E$15&lt;&gt;"YES",Calculator!$B$30&lt;Calculator!$G$15),"—",ROUND(MAX((50*POWER(80,POWER(COS(PI()*MOD(Calculator!$B$30/Calculator!$F$15,1)),2)))/$C86,$C86/(50*POWER(80,POWER(COS(PI()*MOD(Calculator!$B$30/Calculator!$F$15,1)),2)))),2))</f>
        <v>7.08</v>
      </c>
      <c r="I86" s="105" t="n">
        <f aca="false">IF(OR(Calculator!$E$16&lt;&gt;"YES",Calculator!$B$30&lt;Calculator!$G$16),"—",ROUND(MAX((50*POWER(80,POWER(COS(PI()*MOD(Calculator!$B$30/Calculator!$F$16,1)),2)))/$C86,$C86/(50*POWER(80,POWER(COS(PI()*MOD(Calculator!$B$30/Calculator!$F$16,1)),2)))),2))</f>
        <v>4.84</v>
      </c>
      <c r="J86" s="105" t="n">
        <f aca="false">IF(OR(Calculator!$E$17&lt;&gt;"YES",Calculator!$B$30&lt;Calculator!$G$17),"—",ROUND(MAX((50*POWER(80,POWER(COS(PI()*MOD(Calculator!$B$30/Calculator!$F$17,1)),2)))/$C86,$C86/(50*POWER(80,POWER(COS(PI()*MOD(Calculator!$B$30/Calculator!$F$17,1)),2)))),2))</f>
        <v>13.57</v>
      </c>
      <c r="K86" s="105" t="n">
        <f aca="false">IF(OR(Calculator!$E$18&lt;&gt;"YES",Calculator!$B$30&lt;Calculator!$G$18),"—",ROUND(MAX((50*POWER(80,POWER(COS(PI()*MOD(Calculator!$B$30/Calculator!$F$18,1)),2)))/$C86,$C86/(50*POWER(80,POWER(COS(PI()*MOD(Calculator!$B$30/Calculator!$F$18,1)),2)))),2))</f>
        <v>1.93</v>
      </c>
      <c r="L86" s="105" t="n">
        <f aca="false">IF(OR(Calculator!$E$19&lt;&gt;"YES",Calculator!$B$30&lt;Calculator!$G$19),"—",ROUND(MAX((50*POWER(80,POWER(COS(PI()*MOD(Calculator!$B$30/Calculator!$F$19,1)),2)))/$C86,$C86/(50*POWER(80,POWER(COS(PI()*MOD(Calculator!$B$30/Calculator!$F$19,1)),2)))),2))</f>
        <v>3.44</v>
      </c>
      <c r="M86" s="105" t="n">
        <f aca="false">IF(OR(Calculator!$E$20&lt;&gt;"YES",Calculator!$B$30&lt;Calculator!$G$20),"—",ROUND(MAX((50*POWER(80,POWER(COS(PI()*MOD(Calculator!$B$30/Calculator!$F$20,1)),2)))/$C86,$C86/(50*POWER(80,POWER(COS(PI()*MOD(Calculator!$B$30/Calculator!$F$20,1)),2)))),2))</f>
        <v>21.33</v>
      </c>
      <c r="N86" s="105" t="str">
        <f aca="false">IF(OR(Calculator!$E$21&lt;&gt;"YES",Calculator!$B$30&lt;Calculator!$G$21),"—",ROUND(MAX((50*POWER(80,POWER(COS(PI()*MOD(Calculator!$B$30/Calculator!$F$21,1)),2)))/$C86,$C86/(50*POWER(80,POWER(COS(PI()*MOD(Calculator!$B$30/Calculator!$F$21,1)),2)))),2))</f>
        <v>—</v>
      </c>
      <c r="O86" s="100" t="n">
        <f aca="false">IFERROR(ROUND((IF(ISNUMBER(D86),D86,0)+IF(ISNUMBER(E86),E86,0)+IF(ISNUMBER(F86),F86,0)+IF(ISNUMBER(G86),G86,0)+IF(ISNUMBER(H86),H86,0)+IF(ISNUMBER(I86),I86,0)+IF(ISNUMBER(J86),J86,0)+IF(ISNUMBER(K86),K86,0)+IF(ISNUMBER(L86),L86,0)+IF(ISNUMBER(M86),M86,0)+IF(ISNUMBER(N86),N86,0))/(IF(ISNUMBER(D86),1,0)+IF(ISNUMBER(E86),1,0)+IF(ISNUMBER(F86),1,0)+IF(ISNUMBER(G86),1,0)+IF(ISNUMBER(H86),1,0)+IF(ISNUMBER(I86),1,0)+IF(ISNUMBER(J86),1,0)+IF(ISNUMBER(K86),1,0)+IF(ISNUMBER(L86),1,0)+IF(ISNUMBER(M86),1,0)+IF(ISNUMBER(N86),1,0)),2),"")</f>
        <v>10.94</v>
      </c>
      <c r="P86" s="105" t="str">
        <f aca="false">IF(OR(Calculator!$E$11&lt;&gt;"YES",Calculator!$B$31&lt;Calculator!$G$11),"—",ROUND(MAX((50*POWER(80,POWER(COS(PI()*MOD(Calculator!$B$31/Calculator!$F$11,1)),2)))/$C86,$C86/(50*POWER(80,POWER(COS(PI()*MOD(Calculator!$B$31/Calculator!$F$11,1)),2)))),2))</f>
        <v>—</v>
      </c>
      <c r="Q86" s="105" t="str">
        <f aca="false">IF(OR(Calculator!$E$12&lt;&gt;"YES",Calculator!$B$31&lt;Calculator!$G$12),"—",ROUND(MAX((50*POWER(80,POWER(COS(PI()*MOD(Calculator!$B$31/Calculator!$F$12,1)),2)))/$C86,$C86/(50*POWER(80,POWER(COS(PI()*MOD(Calculator!$B$31/Calculator!$F$12,1)),2)))),2))</f>
        <v>—</v>
      </c>
      <c r="R86" s="105" t="str">
        <f aca="false">IF(OR(Calculator!$E$13&lt;&gt;"YES",Calculator!$B$31&lt;Calculator!$G$13),"—",ROUND(MAX((50*POWER(80,POWER(COS(PI()*MOD(Calculator!$B$31/Calculator!$F$13,1)),2)))/$C86,$C86/(50*POWER(80,POWER(COS(PI()*MOD(Calculator!$B$31/Calculator!$F$13,1)),2)))),2))</f>
        <v>—</v>
      </c>
      <c r="S86" s="105" t="n">
        <f aca="false">IF(OR(Calculator!$E$14&lt;&gt;"YES",Calculator!$B$31&lt;Calculator!$G$14),"—",ROUND(MAX((50*POWER(80,POWER(COS(PI()*MOD(Calculator!$B$31/Calculator!$F$14,1)),2)))/$C86,$C86/(50*POWER(80,POWER(COS(PI()*MOD(Calculator!$B$31/Calculator!$F$14,1)),2)))),2))</f>
        <v>24.98</v>
      </c>
      <c r="T86" s="105" t="n">
        <f aca="false">IF(OR(Calculator!$E$15&lt;&gt;"YES",Calculator!$B$31&lt;Calculator!$G$15),"—",ROUND(MAX((50*POWER(80,POWER(COS(PI()*MOD(Calculator!$B$31/Calculator!$F$15,1)),2)))/$C86,$C86/(50*POWER(80,POWER(COS(PI()*MOD(Calculator!$B$31/Calculator!$F$15,1)),2)))),2))</f>
        <v>15.2</v>
      </c>
      <c r="U86" s="105" t="n">
        <f aca="false">IF(OR(Calculator!$E$16&lt;&gt;"YES",Calculator!$B$31&lt;Calculator!$G$16),"—",ROUND(MAX((50*POWER(80,POWER(COS(PI()*MOD(Calculator!$B$31/Calculator!$F$16,1)),2)))/$C86,$C86/(50*POWER(80,POWER(COS(PI()*MOD(Calculator!$B$31/Calculator!$F$16,1)),2)))),2))</f>
        <v>5.79</v>
      </c>
      <c r="V86" s="105" t="n">
        <f aca="false">IF(OR(Calculator!$E$17&lt;&gt;"YES",Calculator!$B$31&lt;Calculator!$G$17),"—",ROUND(MAX((50*POWER(80,POWER(COS(PI()*MOD(Calculator!$B$31/Calculator!$F$17,1)),2)))/$C86,$C86/(50*POWER(80,POWER(COS(PI()*MOD(Calculator!$B$31/Calculator!$F$17,1)),2)))),2))</f>
        <v>1.67</v>
      </c>
      <c r="W86" s="105" t="n">
        <f aca="false">IF(OR(Calculator!$E$18&lt;&gt;"YES",Calculator!$B$31&lt;Calculator!$G$18),"—",ROUND(MAX((50*POWER(80,POWER(COS(PI()*MOD(Calculator!$B$31/Calculator!$F$18,1)),2)))/$C86,$C86/(50*POWER(80,POWER(COS(PI()*MOD(Calculator!$B$31/Calculator!$F$18,1)),2)))),2))</f>
        <v>1.47</v>
      </c>
      <c r="X86" s="105" t="n">
        <f aca="false">IF(OR(Calculator!$E$19&lt;&gt;"YES",Calculator!$B$31&lt;Calculator!$G$19),"—",ROUND(MAX((50*POWER(80,POWER(COS(PI()*MOD(Calculator!$B$31/Calculator!$F$19,1)),2)))/$C86,$C86/(50*POWER(80,POWER(COS(PI()*MOD(Calculator!$B$31/Calculator!$F$19,1)),2)))),2))</f>
        <v>10.03</v>
      </c>
      <c r="Y86" s="105" t="n">
        <f aca="false">IF(OR(Calculator!$E$20&lt;&gt;"YES",Calculator!$B$31&lt;Calculator!$G$20),"—",ROUND(MAX((50*POWER(80,POWER(COS(PI()*MOD(Calculator!$B$31/Calculator!$F$20,1)),2)))/$C86,$C86/(50*POWER(80,POWER(COS(PI()*MOD(Calculator!$B$31/Calculator!$F$20,1)),2)))),2))</f>
        <v>33.13</v>
      </c>
      <c r="Z86" s="105" t="str">
        <f aca="false">IF(OR(Calculator!$E$21&lt;&gt;"YES",Calculator!$B$31&lt;Calculator!$G$21),"—",ROUND(MAX((50*POWER(80,POWER(COS(PI()*MOD(Calculator!$B$31/Calculator!$F$21,1)),2)))/$C86,$C86/(50*POWER(80,POWER(COS(PI()*MOD(Calculator!$B$31/Calculator!$F$21,1)),2)))),2))</f>
        <v>—</v>
      </c>
      <c r="AA86" s="100" t="n">
        <f aca="false">IFERROR(ROUND((IF(ISNUMBER(P86),P86,0)+IF(ISNUMBER(Q86),Q86,0)+IF(ISNUMBER(R86),R86,0)+IF(ISNUMBER(S86),S86,0)+IF(ISNUMBER(T86),T86,0)+IF(ISNUMBER(U86),U86,0)+IF(ISNUMBER(V86),V86,0)+IF(ISNUMBER(W86),W86,0)+IF(ISNUMBER(X86),X86,0)+IF(ISNUMBER(Y86),Y86,0)+IF(ISNUMBER(Z86),Z86,0))/(IF(ISNUMBER(P86),1,0)+IF(ISNUMBER(Q86),1,0)+IF(ISNUMBER(R86),1,0)+IF(ISNUMBER(S86),1,0)+IF(ISNUMBER(T86),1,0)+IF(ISNUMBER(U86),1,0)+IF(ISNUMBER(V86),1,0)+IF(ISNUMBER(W86),1,0)+IF(ISNUMBER(X86),1,0)+IF(ISNUMBER(Y86),1,0)+IF(ISNUMBER(Z86),1,0)),2),"")</f>
        <v>13.18</v>
      </c>
      <c r="AB86" s="105" t="str">
        <f aca="false">IF(OR(Calculator!$E$11&lt;&gt;"YES",Calculator!$B$32&lt;Calculator!$G$11),"—",ROUND(MAX((50*POWER(80,POWER(COS(PI()*MOD(Calculator!$B$32/Calculator!$F$11,1)),2)))/$C86,$C86/(50*POWER(80,POWER(COS(PI()*MOD(Calculator!$B$32/Calculator!$F$11,1)),2)))),2))</f>
        <v>—</v>
      </c>
      <c r="AC86" s="105" t="str">
        <f aca="false">IF(OR(Calculator!$E$12&lt;&gt;"YES",Calculator!$B$32&lt;Calculator!$G$12),"—",ROUND(MAX((50*POWER(80,POWER(COS(PI()*MOD(Calculator!$B$32/Calculator!$F$12,1)),2)))/$C86,$C86/(50*POWER(80,POWER(COS(PI()*MOD(Calculator!$B$32/Calculator!$F$12,1)),2)))),2))</f>
        <v>—</v>
      </c>
      <c r="AD86" s="105" t="str">
        <f aca="false">IF(OR(Calculator!$E$13&lt;&gt;"YES",Calculator!$B$32&lt;Calculator!$G$13),"—",ROUND(MAX((50*POWER(80,POWER(COS(PI()*MOD(Calculator!$B$32/Calculator!$F$13,1)),2)))/$C86,$C86/(50*POWER(80,POWER(COS(PI()*MOD(Calculator!$B$32/Calculator!$F$13,1)),2)))),2))</f>
        <v>—</v>
      </c>
      <c r="AE86" s="105" t="n">
        <f aca="false">IF(OR(Calculator!$E$14&lt;&gt;"YES",Calculator!$B$32&lt;Calculator!$G$14),"—",ROUND(MAX((50*POWER(80,POWER(COS(PI()*MOD(Calculator!$B$32/Calculator!$F$14,1)),2)))/$C86,$C86/(50*POWER(80,POWER(COS(PI()*MOD(Calculator!$B$32/Calculator!$F$14,1)),2)))),2))</f>
        <v>15.78</v>
      </c>
      <c r="AF86" s="105" t="n">
        <f aca="false">IF(OR(Calculator!$E$15&lt;&gt;"YES",Calculator!$B$32&lt;Calculator!$G$15),"—",ROUND(MAX((50*POWER(80,POWER(COS(PI()*MOD(Calculator!$B$32/Calculator!$F$15,1)),2)))/$C86,$C86/(50*POWER(80,POWER(COS(PI()*MOD(Calculator!$B$32/Calculator!$F$15,1)),2)))),2))</f>
        <v>10.2</v>
      </c>
      <c r="AG86" s="105" t="n">
        <f aca="false">IF(OR(Calculator!$E$16&lt;&gt;"YES",Calculator!$B$32&lt;Calculator!$G$16),"—",ROUND(MAX((50*POWER(80,POWER(COS(PI()*MOD(Calculator!$B$32/Calculator!$F$16,1)),2)))/$C86,$C86/(50*POWER(80,POWER(COS(PI()*MOD(Calculator!$B$32/Calculator!$F$16,1)),2)))),2))</f>
        <v>34.43</v>
      </c>
      <c r="AH86" s="105" t="n">
        <f aca="false">IF(OR(Calculator!$E$17&lt;&gt;"YES",Calculator!$B$32&lt;Calculator!$G$17),"—",ROUND(MAX((50*POWER(80,POWER(COS(PI()*MOD(Calculator!$B$32/Calculator!$F$17,1)),2)))/$C86,$C86/(50*POWER(80,POWER(COS(PI()*MOD(Calculator!$B$32/Calculator!$F$17,1)),2)))),2))</f>
        <v>1.17</v>
      </c>
      <c r="AI86" s="105" t="n">
        <f aca="false">IF(OR(Calculator!$E$18&lt;&gt;"YES",Calculator!$B$32&lt;Calculator!$G$18),"—",ROUND(MAX((50*POWER(80,POWER(COS(PI()*MOD(Calculator!$B$32/Calculator!$F$18,1)),2)))/$C86,$C86/(50*POWER(80,POWER(COS(PI()*MOD(Calculator!$B$32/Calculator!$F$18,1)),2)))),2))</f>
        <v>1.08</v>
      </c>
      <c r="AJ86" s="105" t="n">
        <f aca="false">IF(OR(Calculator!$E$19&lt;&gt;"YES",Calculator!$B$32&lt;Calculator!$G$19),"—",ROUND(MAX((50*POWER(80,POWER(COS(PI()*MOD(Calculator!$B$32/Calculator!$F$19,1)),2)))/$C86,$C86/(50*POWER(80,POWER(COS(PI()*MOD(Calculator!$B$32/Calculator!$F$19,1)),2)))),2))</f>
        <v>1.03</v>
      </c>
      <c r="AK86" s="105" t="n">
        <f aca="false">IF(OR(Calculator!$E$20&lt;&gt;"YES",Calculator!$B$32&lt;Calculator!$G$20),"—",ROUND(MAX((50*POWER(80,POWER(COS(PI()*MOD(Calculator!$B$32/Calculator!$F$20,1)),2)))/$C86,$C86/(50*POWER(80,POWER(COS(PI()*MOD(Calculator!$B$32/Calculator!$F$20,1)),2)))),2))</f>
        <v>27.08</v>
      </c>
      <c r="AL86" s="105" t="str">
        <f aca="false">IF(OR(Calculator!$E$21&lt;&gt;"YES",Calculator!$B$32&lt;Calculator!$G$21),"—",ROUND(MAX((50*POWER(80,POWER(COS(PI()*MOD(Calculator!$B$32/Calculator!$F$21,1)),2)))/$C86,$C86/(50*POWER(80,POWER(COS(PI()*MOD(Calculator!$B$32/Calculator!$F$21,1)),2)))),2))</f>
        <v>—</v>
      </c>
      <c r="AM86" s="101" t="n">
        <f aca="false">IFERROR(ROUND((IF(ISNUMBER(AB86),AB86,0)+IF(ISNUMBER(AC86),AC86,0)+IF(ISNUMBER(AD86),AD86,0)+IF(ISNUMBER(AE86),AE86,0)+IF(ISNUMBER(AF86),AF86,0)+IF(ISNUMBER(AG86),AG86,0)+IF(ISNUMBER(AH86),AH86,0)+IF(ISNUMBER(AI86),AI86,0)+IF(ISNUMBER(AJ86),AJ86,0)+IF(ISNUMBER(AK86),AK86,0)+IF(ISNUMBER(AL86),AL86,0))/(IF(ISNUMBER(AB86),1,0)+IF(ISNUMBER(AC86),1,0)+IF(ISNUMBER(AD86),1,0)+IF(ISNUMBER(AE86),1,0)+IF(ISNUMBER(AF86),1,0)+IF(ISNUMBER(AG86),1,0)+IF(ISNUMBER(AH86),1,0)+IF(ISNUMBER(AI86),1,0)+IF(ISNUMBER(AJ86),1,0)+IF(ISNUMBER(AK86),1,0)+IF(ISNUMBER(AL86),1,0)),2),"")</f>
        <v>12.97</v>
      </c>
      <c r="AN86" s="106" t="str">
        <f aca="false">IF(OR(Calculator!$E$11&lt;&gt;"YES",Calculator!$B$33&lt;Calculator!$G$11),"—",ROUND(MAX((50*POWER(80,POWER(COS(PI()*MOD(Calculator!$B$33/Calculator!$F$11,1)),2)))/$C86,$C86/(50*POWER(80,POWER(COS(PI()*MOD(Calculator!$B$33/Calculator!$F$11,1)),2)))),2))</f>
        <v>—</v>
      </c>
      <c r="AO86" s="106" t="str">
        <f aca="false">IF(OR(Calculator!$E$12&lt;&gt;"YES",Calculator!$B$33&lt;Calculator!$G$12),"—",ROUND(MAX((50*POWER(80,POWER(COS(PI()*MOD(Calculator!$B$33/Calculator!$F$12,1)),2)))/$C86,$C86/(50*POWER(80,POWER(COS(PI()*MOD(Calculator!$B$33/Calculator!$F$12,1)),2)))),2))</f>
        <v>—</v>
      </c>
      <c r="AP86" s="106" t="str">
        <f aca="false">IF(OR(Calculator!$E$13&lt;&gt;"YES",Calculator!$B$33&lt;Calculator!$G$13),"—",ROUND(MAX((50*POWER(80,POWER(COS(PI()*MOD(Calculator!$B$33/Calculator!$F$13,1)),2)))/$C86,$C86/(50*POWER(80,POWER(COS(PI()*MOD(Calculator!$B$33/Calculator!$F$13,1)),2)))),2))</f>
        <v>—</v>
      </c>
      <c r="AQ86" s="106" t="n">
        <f aca="false">IF(OR(Calculator!$E$14&lt;&gt;"YES",Calculator!$B$33&lt;Calculator!$G$14),"—",ROUND(MAX((50*POWER(80,POWER(COS(PI()*MOD(Calculator!$B$33/Calculator!$F$14,1)),2)))/$C86,$C86/(50*POWER(80,POWER(COS(PI()*MOD(Calculator!$B$33/Calculator!$F$14,1)),2)))),2))</f>
        <v>1.01</v>
      </c>
      <c r="AR86" s="106" t="n">
        <f aca="false">IF(OR(Calculator!$E$15&lt;&gt;"YES",Calculator!$B$33&lt;Calculator!$G$15),"—",ROUND(MAX((50*POWER(80,POWER(COS(PI()*MOD(Calculator!$B$33/Calculator!$F$15,1)),2)))/$C86,$C86/(50*POWER(80,POWER(COS(PI()*MOD(Calculator!$B$33/Calculator!$F$15,1)),2)))),2))</f>
        <v>9.2</v>
      </c>
      <c r="AS86" s="106" t="n">
        <f aca="false">IF(OR(Calculator!$E$16&lt;&gt;"YES",Calculator!$B$33&lt;Calculator!$G$16),"—",ROUND(MAX((50*POWER(80,POWER(COS(PI()*MOD(Calculator!$B$33/Calculator!$F$16,1)),2)))/$C86,$C86/(50*POWER(80,POWER(COS(PI()*MOD(Calculator!$B$33/Calculator!$F$16,1)),2)))),2))</f>
        <v>3.36</v>
      </c>
      <c r="AT86" s="106" t="n">
        <f aca="false">IF(OR(Calculator!$E$17&lt;&gt;"YES",Calculator!$B$33&lt;Calculator!$G$17),"—",ROUND(MAX((50*POWER(80,POWER(COS(PI()*MOD(Calculator!$B$33/Calculator!$F$17,1)),2)))/$C86,$C86/(50*POWER(80,POWER(COS(PI()*MOD(Calculator!$B$33/Calculator!$F$17,1)),2)))),2))</f>
        <v>10.67</v>
      </c>
      <c r="AU86" s="106" t="n">
        <f aca="false">IF(OR(Calculator!$E$18&lt;&gt;"YES",Calculator!$B$33&lt;Calculator!$G$18),"—",ROUND(MAX((50*POWER(80,POWER(COS(PI()*MOD(Calculator!$B$33/Calculator!$F$18,1)),2)))/$C86,$C86/(50*POWER(80,POWER(COS(PI()*MOD(Calculator!$B$33/Calculator!$F$18,1)),2)))),2))</f>
        <v>14.44</v>
      </c>
      <c r="AV86" s="106" t="n">
        <f aca="false">IF(OR(Calculator!$E$19&lt;&gt;"YES",Calculator!$B$33&lt;Calculator!$G$19),"—",ROUND(MAX((50*POWER(80,POWER(COS(PI()*MOD(Calculator!$B$33/Calculator!$F$19,1)),2)))/$C86,$C86/(50*POWER(80,POWER(COS(PI()*MOD(Calculator!$B$33/Calculator!$F$19,1)),2)))),2))</f>
        <v>1.76</v>
      </c>
      <c r="AW86" s="106" t="n">
        <f aca="false">IF(OR(Calculator!$E$20&lt;&gt;"YES",Calculator!$B$33&lt;Calculator!$G$20),"—",ROUND(MAX((50*POWER(80,POWER(COS(PI()*MOD(Calculator!$B$33/Calculator!$F$20,1)),2)))/$C86,$C86/(50*POWER(80,POWER(COS(PI()*MOD(Calculator!$B$33/Calculator!$F$20,1)),2)))),2))</f>
        <v>22.03</v>
      </c>
      <c r="AX86" s="106" t="str">
        <f aca="false">IF(OR(Calculator!$E$21&lt;&gt;"YES",Calculator!$B$33&lt;Calculator!$G$21),"—",ROUND(MAX((50*POWER(80,POWER(COS(PI()*MOD(Calculator!$B$33/Calculator!$F$21,1)),2)))/$C86,$C86/(50*POWER(80,POWER(COS(PI()*MOD(Calculator!$B$33/Calculator!$F$21,1)),2)))),2))</f>
        <v>—</v>
      </c>
      <c r="AY86" s="101" t="n">
        <f aca="false">IFERROR(ROUND((IF(ISNUMBER(AN86),AN86,0)+IF(ISNUMBER(AO86),AO86,0)+IF(ISNUMBER(AP86),AP86,0)+IF(ISNUMBER(AQ86),AQ86,0)+IF(ISNUMBER(AR86),AR86,0)+IF(ISNUMBER(AS86),AS86,0)+IF(ISNUMBER(AT86),AT86,0)+IF(ISNUMBER(AU86),AU86,0)+IF(ISNUMBER(AV86),AV86,0)+IF(ISNUMBER(AW86),AW86,0)+IF(ISNUMBER(AX86),AX86,0))/(IF(ISNUMBER(AN86),1,0)+IF(ISNUMBER(AO86),1,0)+IF(ISNUMBER(AP86),1,0)+IF(ISNUMBER(AQ86),1,0)+IF(ISNUMBER(AR86),1,0)+IF(ISNUMBER(AS86),1,0)+IF(ISNUMBER(AT86),1,0)+IF(ISNUMBER(AU86),1,0)+IF(ISNUMBER(AV86),1,0)+IF(ISNUMBER(AW86),1,0)+IF(ISNUMBER(AX86),1,0)),2),"")</f>
        <v>8.92</v>
      </c>
      <c r="AZ86" s="106" t="str">
        <f aca="false">IF(OR(Calculator!$E$11&lt;&gt;"YES",Calculator!$B$34&lt;Calculator!$G$11),"—",ROUND(MAX((50*POWER(80,POWER(COS(PI()*MOD(Calculator!$B$34/Calculator!$F$11,1)),2)))/$C86,$C86/(50*POWER(80,POWER(COS(PI()*MOD(Calculator!$B$34/Calculator!$F$11,1)),2)))),2))</f>
        <v>—</v>
      </c>
      <c r="BA86" s="106" t="str">
        <f aca="false">IF(OR(Calculator!$E$12&lt;&gt;"YES",Calculator!$B$34&lt;Calculator!$G$12),"—",ROUND(MAX((50*POWER(80,POWER(COS(PI()*MOD(Calculator!$B$34/Calculator!$F$12,1)),2)))/$C86,$C86/(50*POWER(80,POWER(COS(PI()*MOD(Calculator!$B$34/Calculator!$F$12,1)),2)))),2))</f>
        <v>—</v>
      </c>
      <c r="BB86" s="106" t="str">
        <f aca="false">IF(OR(Calculator!$E$13&lt;&gt;"YES",Calculator!$B$34&lt;Calculator!$G$13),"—",ROUND(MAX((50*POWER(80,POWER(COS(PI()*MOD(Calculator!$B$34/Calculator!$F$13,1)),2)))/$C86,$C86/(50*POWER(80,POWER(COS(PI()*MOD(Calculator!$B$34/Calculator!$F$13,1)),2)))),2))</f>
        <v>—</v>
      </c>
      <c r="BC86" s="106" t="n">
        <f aca="false">IF(OR(Calculator!$E$14&lt;&gt;"YES",Calculator!$B$34&lt;Calculator!$G$14),"—",ROUND(MAX((50*POWER(80,POWER(COS(PI()*MOD(Calculator!$B$34/Calculator!$F$14,1)),2)))/$C86,$C86/(50*POWER(80,POWER(COS(PI()*MOD(Calculator!$B$34/Calculator!$F$14,1)),2)))),2))</f>
        <v>1.03</v>
      </c>
      <c r="BD86" s="106" t="n">
        <f aca="false">IF(OR(Calculator!$E$15&lt;&gt;"YES",Calculator!$B$34&lt;Calculator!$G$15),"—",ROUND(MAX((50*POWER(80,POWER(COS(PI()*MOD(Calculator!$B$34/Calculator!$F$15,1)),2)))/$C86,$C86/(50*POWER(80,POWER(COS(PI()*MOD(Calculator!$B$34/Calculator!$F$15,1)),2)))),2))</f>
        <v>11.88</v>
      </c>
      <c r="BE86" s="106" t="n">
        <f aca="false">IF(OR(Calculator!$E$16&lt;&gt;"YES",Calculator!$B$34&lt;Calculator!$G$16),"—",ROUND(MAX((50*POWER(80,POWER(COS(PI()*MOD(Calculator!$B$34/Calculator!$F$16,1)),2)))/$C86,$C86/(50*POWER(80,POWER(COS(PI()*MOD(Calculator!$B$34/Calculator!$F$16,1)),2)))),2))</f>
        <v>4</v>
      </c>
      <c r="BF86" s="106" t="n">
        <f aca="false">IF(OR(Calculator!$E$17&lt;&gt;"YES",Calculator!$B$34&lt;Calculator!$G$17),"—",ROUND(MAX((50*POWER(80,POWER(COS(PI()*MOD(Calculator!$B$34/Calculator!$F$17,1)),2)))/$C86,$C86/(50*POWER(80,POWER(COS(PI()*MOD(Calculator!$B$34/Calculator!$F$17,1)),2)))),2))</f>
        <v>2.06</v>
      </c>
      <c r="BG86" s="106" t="n">
        <f aca="false">IF(OR(Calculator!$E$18&lt;&gt;"YES",Calculator!$B$34&lt;Calculator!$G$18),"—",ROUND(MAX((50*POWER(80,POWER(COS(PI()*MOD(Calculator!$B$34/Calculator!$F$18,1)),2)))/$C86,$C86/(50*POWER(80,POWER(COS(PI()*MOD(Calculator!$B$34/Calculator!$F$18,1)),2)))),2))</f>
        <v>19.53</v>
      </c>
      <c r="BH86" s="106" t="n">
        <f aca="false">IF(OR(Calculator!$E$19&lt;&gt;"YES",Calculator!$B$34&lt;Calculator!$G$19),"—",ROUND(MAX((50*POWER(80,POWER(COS(PI()*MOD(Calculator!$B$34/Calculator!$F$19,1)),2)))/$C86,$C86/(50*POWER(80,POWER(COS(PI()*MOD(Calculator!$B$34/Calculator!$F$19,1)),2)))),2))</f>
        <v>21.72</v>
      </c>
      <c r="BI86" s="106" t="n">
        <f aca="false">IF(OR(Calculator!$E$20&lt;&gt;"YES",Calculator!$B$34&lt;Calculator!$G$20),"—",ROUND(MAX((50*POWER(80,POWER(COS(PI()*MOD(Calculator!$B$34/Calculator!$F$20,1)),2)))/$C86,$C86/(50*POWER(80,POWER(COS(PI()*MOD(Calculator!$B$34/Calculator!$F$20,1)),2)))),2))</f>
        <v>12.96</v>
      </c>
      <c r="BJ86" s="106" t="str">
        <f aca="false">IF(OR(Calculator!$E$21&lt;&gt;"YES",Calculator!$B$34&lt;Calculator!$G$21),"—",ROUND(MAX((50*POWER(80,POWER(COS(PI()*MOD(Calculator!$B$34/Calculator!$F$21,1)),2)))/$C86,$C86/(50*POWER(80,POWER(COS(PI()*MOD(Calculator!$B$34/Calculator!$F$21,1)),2)))),2))</f>
        <v>—</v>
      </c>
      <c r="BK86" s="101" t="n">
        <f aca="false">IFERROR(ROUND((IF(ISNUMBER(AZ86),AZ86,0)+IF(ISNUMBER(BA86),BA86,0)+IF(ISNUMBER(BB86),BB86,0)+IF(ISNUMBER(BC86),BC86,0)+IF(ISNUMBER(BD86),BD86,0)+IF(ISNUMBER(BE86),BE86,0)+IF(ISNUMBER(BF86),BF86,0)+IF(ISNUMBER(BG86),BG86,0)+IF(ISNUMBER(BH86),BH86,0)+IF(ISNUMBER(BI86),BI86,0)+IF(ISNUMBER(BJ86),BJ86,0))/(IF(ISNUMBER(AZ86),1,0)+IF(ISNUMBER(BA86),1,0)+IF(ISNUMBER(BB86),1,0)+IF(ISNUMBER(BC86),1,0)+IF(ISNUMBER(BD86),1,0)+IF(ISNUMBER(BE86),1,0)+IF(ISNUMBER(BF86),1,0)+IF(ISNUMBER(BG86),1,0)+IF(ISNUMBER(BH86),1,0)+IF(ISNUMBER(BI86),1,0)+IF(ISNUMBER(BJ86),1,0)),2),"")</f>
        <v>10.45</v>
      </c>
    </row>
    <row r="87" customFormat="false" ht="15" hidden="false" customHeight="false" outlineLevel="0" collapsed="false">
      <c r="A87" s="74" t="s">
        <v>138</v>
      </c>
      <c r="B87" s="74" t="s">
        <v>86</v>
      </c>
      <c r="C87" s="77" t="n">
        <v>2750</v>
      </c>
      <c r="D87" s="78" t="str">
        <f aca="false">IF(OR(Calculator!$E$11&lt;&gt;"YES",Calculator!$B$30&lt;Calculator!$G$11),"—",ROUND(MAX((50*POWER(80,POWER(COS(PI()*MOD(Calculator!$B$30/Calculator!$F$11,1)),2)))/$C87,$C87/(50*POWER(80,POWER(COS(PI()*MOD(Calculator!$B$30/Calculator!$F$11,1)),2)))),2))</f>
        <v>—</v>
      </c>
      <c r="E87" s="78" t="str">
        <f aca="false">IF(OR(Calculator!$E$12&lt;&gt;"YES",Calculator!$B$30&lt;Calculator!$G$12),"—",ROUND(MAX((50*POWER(80,POWER(COS(PI()*MOD(Calculator!$B$30/Calculator!$F$12,1)),2)))/$C87,$C87/(50*POWER(80,POWER(COS(PI()*MOD(Calculator!$B$30/Calculator!$F$12,1)),2)))),2))</f>
        <v>—</v>
      </c>
      <c r="F87" s="78" t="str">
        <f aca="false">IF(OR(Calculator!$E$13&lt;&gt;"YES",Calculator!$B$30&lt;Calculator!$G$13),"—",ROUND(MAX((50*POWER(80,POWER(COS(PI()*MOD(Calculator!$B$30/Calculator!$F$13,1)),2)))/$C87,$C87/(50*POWER(80,POWER(COS(PI()*MOD(Calculator!$B$30/Calculator!$F$13,1)),2)))),2))</f>
        <v>—</v>
      </c>
      <c r="G87" s="78" t="n">
        <f aca="false">IF(OR(Calculator!$E$14&lt;&gt;"YES",Calculator!$B$30&lt;Calculator!$G$14),"—",ROUND(MAX((50*POWER(80,POWER(COS(PI()*MOD(Calculator!$B$30/Calculator!$F$14,1)),2)))/$C87,$C87/(50*POWER(80,POWER(COS(PI()*MOD(Calculator!$B$30/Calculator!$F$14,1)),2)))),2))</f>
        <v>24.85</v>
      </c>
      <c r="H87" s="78" t="n">
        <f aca="false">IF(OR(Calculator!$E$15&lt;&gt;"YES",Calculator!$B$30&lt;Calculator!$G$15),"—",ROUND(MAX((50*POWER(80,POWER(COS(PI()*MOD(Calculator!$B$30/Calculator!$F$15,1)),2)))/$C87,$C87/(50*POWER(80,POWER(COS(PI()*MOD(Calculator!$B$30/Calculator!$F$15,1)),2)))),2))</f>
        <v>7.21</v>
      </c>
      <c r="I87" s="78" t="n">
        <f aca="false">IF(OR(Calculator!$E$16&lt;&gt;"YES",Calculator!$B$30&lt;Calculator!$G$16),"—",ROUND(MAX((50*POWER(80,POWER(COS(PI()*MOD(Calculator!$B$30/Calculator!$F$16,1)),2)))/$C87,$C87/(50*POWER(80,POWER(COS(PI()*MOD(Calculator!$B$30/Calculator!$F$16,1)),2)))),2))</f>
        <v>4.92</v>
      </c>
      <c r="J87" s="78" t="n">
        <f aca="false">IF(OR(Calculator!$E$17&lt;&gt;"YES",Calculator!$B$30&lt;Calculator!$G$17),"—",ROUND(MAX((50*POWER(80,POWER(COS(PI()*MOD(Calculator!$B$30/Calculator!$F$17,1)),2)))/$C87,$C87/(50*POWER(80,POWER(COS(PI()*MOD(Calculator!$B$30/Calculator!$F$17,1)),2)))),2))</f>
        <v>13.82</v>
      </c>
      <c r="K87" s="78" t="n">
        <f aca="false">IF(OR(Calculator!$E$18&lt;&gt;"YES",Calculator!$B$30&lt;Calculator!$G$18),"—",ROUND(MAX((50*POWER(80,POWER(COS(PI()*MOD(Calculator!$B$30/Calculator!$F$18,1)),2)))/$C87,$C87/(50*POWER(80,POWER(COS(PI()*MOD(Calculator!$B$30/Calculator!$F$18,1)),2)))),2))</f>
        <v>1.97</v>
      </c>
      <c r="L87" s="78" t="n">
        <f aca="false">IF(OR(Calculator!$E$19&lt;&gt;"YES",Calculator!$B$30&lt;Calculator!$G$19),"—",ROUND(MAX((50*POWER(80,POWER(COS(PI()*MOD(Calculator!$B$30/Calculator!$F$19,1)),2)))/$C87,$C87/(50*POWER(80,POWER(COS(PI()*MOD(Calculator!$B$30/Calculator!$F$19,1)),2)))),2))</f>
        <v>3.5</v>
      </c>
      <c r="M87" s="78" t="n">
        <f aca="false">IF(OR(Calculator!$E$20&lt;&gt;"YES",Calculator!$B$30&lt;Calculator!$G$20),"—",ROUND(MAX((50*POWER(80,POWER(COS(PI()*MOD(Calculator!$B$30/Calculator!$F$20,1)),2)))/$C87,$C87/(50*POWER(80,POWER(COS(PI()*MOD(Calculator!$B$30/Calculator!$F$20,1)),2)))),2))</f>
        <v>21.72</v>
      </c>
      <c r="N87" s="78" t="str">
        <f aca="false">IF(OR(Calculator!$E$21&lt;&gt;"YES",Calculator!$B$30&lt;Calculator!$G$21),"—",ROUND(MAX((50*POWER(80,POWER(COS(PI()*MOD(Calculator!$B$30/Calculator!$F$21,1)),2)))/$C87,$C87/(50*POWER(80,POWER(COS(PI()*MOD(Calculator!$B$30/Calculator!$F$21,1)),2)))),2))</f>
        <v>—</v>
      </c>
      <c r="O87" s="100" t="n">
        <f aca="false">IFERROR(ROUND((IF(ISNUMBER(D87),D87,0)+IF(ISNUMBER(E87),E87,0)+IF(ISNUMBER(F87),F87,0)+IF(ISNUMBER(G87),G87,0)+IF(ISNUMBER(H87),H87,0)+IF(ISNUMBER(I87),I87,0)+IF(ISNUMBER(J87),J87,0)+IF(ISNUMBER(K87),K87,0)+IF(ISNUMBER(L87),L87,0)+IF(ISNUMBER(M87),M87,0)+IF(ISNUMBER(N87),N87,0))/(IF(ISNUMBER(D87),1,0)+IF(ISNUMBER(E87),1,0)+IF(ISNUMBER(F87),1,0)+IF(ISNUMBER(G87),1,0)+IF(ISNUMBER(H87),1,0)+IF(ISNUMBER(I87),1,0)+IF(ISNUMBER(J87),1,0)+IF(ISNUMBER(K87),1,0)+IF(ISNUMBER(L87),1,0)+IF(ISNUMBER(M87),1,0)+IF(ISNUMBER(N87),1,0)),2),"")</f>
        <v>11.14</v>
      </c>
      <c r="P87" s="78" t="str">
        <f aca="false">IF(OR(Calculator!$E$11&lt;&gt;"YES",Calculator!$B$31&lt;Calculator!$G$11),"—",ROUND(MAX((50*POWER(80,POWER(COS(PI()*MOD(Calculator!$B$31/Calculator!$F$11,1)),2)))/$C87,$C87/(50*POWER(80,POWER(COS(PI()*MOD(Calculator!$B$31/Calculator!$F$11,1)),2)))),2))</f>
        <v>—</v>
      </c>
      <c r="Q87" s="78" t="str">
        <f aca="false">IF(OR(Calculator!$E$12&lt;&gt;"YES",Calculator!$B$31&lt;Calculator!$G$12),"—",ROUND(MAX((50*POWER(80,POWER(COS(PI()*MOD(Calculator!$B$31/Calculator!$F$12,1)),2)))/$C87,$C87/(50*POWER(80,POWER(COS(PI()*MOD(Calculator!$B$31/Calculator!$F$12,1)),2)))),2))</f>
        <v>—</v>
      </c>
      <c r="R87" s="78" t="str">
        <f aca="false">IF(OR(Calculator!$E$13&lt;&gt;"YES",Calculator!$B$31&lt;Calculator!$G$13),"—",ROUND(MAX((50*POWER(80,POWER(COS(PI()*MOD(Calculator!$B$31/Calculator!$F$13,1)),2)))/$C87,$C87/(50*POWER(80,POWER(COS(PI()*MOD(Calculator!$B$31/Calculator!$F$13,1)),2)))),2))</f>
        <v>—</v>
      </c>
      <c r="S87" s="78" t="n">
        <f aca="false">IF(OR(Calculator!$E$14&lt;&gt;"YES",Calculator!$B$31&lt;Calculator!$G$14),"—",ROUND(MAX((50*POWER(80,POWER(COS(PI()*MOD(Calculator!$B$31/Calculator!$F$14,1)),2)))/$C87,$C87/(50*POWER(80,POWER(COS(PI()*MOD(Calculator!$B$31/Calculator!$F$14,1)),2)))),2))</f>
        <v>25.44</v>
      </c>
      <c r="T87" s="78" t="n">
        <f aca="false">IF(OR(Calculator!$E$15&lt;&gt;"YES",Calculator!$B$31&lt;Calculator!$G$15),"—",ROUND(MAX((50*POWER(80,POWER(COS(PI()*MOD(Calculator!$B$31/Calculator!$F$15,1)),2)))/$C87,$C87/(50*POWER(80,POWER(COS(PI()*MOD(Calculator!$B$31/Calculator!$F$15,1)),2)))),2))</f>
        <v>15.48</v>
      </c>
      <c r="U87" s="78" t="n">
        <f aca="false">IF(OR(Calculator!$E$16&lt;&gt;"YES",Calculator!$B$31&lt;Calculator!$G$16),"—",ROUND(MAX((50*POWER(80,POWER(COS(PI()*MOD(Calculator!$B$31/Calculator!$F$16,1)),2)))/$C87,$C87/(50*POWER(80,POWER(COS(PI()*MOD(Calculator!$B$31/Calculator!$F$16,1)),2)))),2))</f>
        <v>5.89</v>
      </c>
      <c r="V87" s="78" t="n">
        <f aca="false">IF(OR(Calculator!$E$17&lt;&gt;"YES",Calculator!$B$31&lt;Calculator!$G$17),"—",ROUND(MAX((50*POWER(80,POWER(COS(PI()*MOD(Calculator!$B$31/Calculator!$F$17,1)),2)))/$C87,$C87/(50*POWER(80,POWER(COS(PI()*MOD(Calculator!$B$31/Calculator!$F$17,1)),2)))),2))</f>
        <v>1.7</v>
      </c>
      <c r="W87" s="78" t="n">
        <f aca="false">IF(OR(Calculator!$E$18&lt;&gt;"YES",Calculator!$B$31&lt;Calculator!$G$18),"—",ROUND(MAX((50*POWER(80,POWER(COS(PI()*MOD(Calculator!$B$31/Calculator!$F$18,1)),2)))/$C87,$C87/(50*POWER(80,POWER(COS(PI()*MOD(Calculator!$B$31/Calculator!$F$18,1)),2)))),2))</f>
        <v>1.49</v>
      </c>
      <c r="X87" s="78" t="n">
        <f aca="false">IF(OR(Calculator!$E$19&lt;&gt;"YES",Calculator!$B$31&lt;Calculator!$G$19),"—",ROUND(MAX((50*POWER(80,POWER(COS(PI()*MOD(Calculator!$B$31/Calculator!$F$19,1)),2)))/$C87,$C87/(50*POWER(80,POWER(COS(PI()*MOD(Calculator!$B$31/Calculator!$F$19,1)),2)))),2))</f>
        <v>10.22</v>
      </c>
      <c r="Y87" s="78" t="n">
        <f aca="false">IF(OR(Calculator!$E$20&lt;&gt;"YES",Calculator!$B$31&lt;Calculator!$G$20),"—",ROUND(MAX((50*POWER(80,POWER(COS(PI()*MOD(Calculator!$B$31/Calculator!$F$20,1)),2)))/$C87,$C87/(50*POWER(80,POWER(COS(PI()*MOD(Calculator!$B$31/Calculator!$F$20,1)),2)))),2))</f>
        <v>33.74</v>
      </c>
      <c r="Z87" s="78" t="str">
        <f aca="false">IF(OR(Calculator!$E$21&lt;&gt;"YES",Calculator!$B$31&lt;Calculator!$G$21),"—",ROUND(MAX((50*POWER(80,POWER(COS(PI()*MOD(Calculator!$B$31/Calculator!$F$21,1)),2)))/$C87,$C87/(50*POWER(80,POWER(COS(PI()*MOD(Calculator!$B$31/Calculator!$F$21,1)),2)))),2))</f>
        <v>—</v>
      </c>
      <c r="AA87" s="100" t="n">
        <f aca="false">IFERROR(ROUND((IF(ISNUMBER(P87),P87,0)+IF(ISNUMBER(Q87),Q87,0)+IF(ISNUMBER(R87),R87,0)+IF(ISNUMBER(S87),S87,0)+IF(ISNUMBER(T87),T87,0)+IF(ISNUMBER(U87),U87,0)+IF(ISNUMBER(V87),V87,0)+IF(ISNUMBER(W87),W87,0)+IF(ISNUMBER(X87),X87,0)+IF(ISNUMBER(Y87),Y87,0)+IF(ISNUMBER(Z87),Z87,0))/(IF(ISNUMBER(P87),1,0)+IF(ISNUMBER(Q87),1,0)+IF(ISNUMBER(R87),1,0)+IF(ISNUMBER(S87),1,0)+IF(ISNUMBER(T87),1,0)+IF(ISNUMBER(U87),1,0)+IF(ISNUMBER(V87),1,0)+IF(ISNUMBER(W87),1,0)+IF(ISNUMBER(X87),1,0)+IF(ISNUMBER(Y87),1,0)+IF(ISNUMBER(Z87),1,0)),2),"")</f>
        <v>13.42</v>
      </c>
      <c r="AB87" s="78" t="str">
        <f aca="false">IF(OR(Calculator!$E$11&lt;&gt;"YES",Calculator!$B$32&lt;Calculator!$G$11),"—",ROUND(MAX((50*POWER(80,POWER(COS(PI()*MOD(Calculator!$B$32/Calculator!$F$11,1)),2)))/$C87,$C87/(50*POWER(80,POWER(COS(PI()*MOD(Calculator!$B$32/Calculator!$F$11,1)),2)))),2))</f>
        <v>—</v>
      </c>
      <c r="AC87" s="78" t="str">
        <f aca="false">IF(OR(Calculator!$E$12&lt;&gt;"YES",Calculator!$B$32&lt;Calculator!$G$12),"—",ROUND(MAX((50*POWER(80,POWER(COS(PI()*MOD(Calculator!$B$32/Calculator!$F$12,1)),2)))/$C87,$C87/(50*POWER(80,POWER(COS(PI()*MOD(Calculator!$B$32/Calculator!$F$12,1)),2)))),2))</f>
        <v>—</v>
      </c>
      <c r="AD87" s="78" t="str">
        <f aca="false">IF(OR(Calculator!$E$13&lt;&gt;"YES",Calculator!$B$32&lt;Calculator!$G$13),"—",ROUND(MAX((50*POWER(80,POWER(COS(PI()*MOD(Calculator!$B$32/Calculator!$F$13,1)),2)))/$C87,$C87/(50*POWER(80,POWER(COS(PI()*MOD(Calculator!$B$32/Calculator!$F$13,1)),2)))),2))</f>
        <v>—</v>
      </c>
      <c r="AE87" s="78" t="n">
        <f aca="false">IF(OR(Calculator!$E$14&lt;&gt;"YES",Calculator!$B$32&lt;Calculator!$G$14),"—",ROUND(MAX((50*POWER(80,POWER(COS(PI()*MOD(Calculator!$B$32/Calculator!$F$14,1)),2)))/$C87,$C87/(50*POWER(80,POWER(COS(PI()*MOD(Calculator!$B$32/Calculator!$F$14,1)),2)))),2))</f>
        <v>16.07</v>
      </c>
      <c r="AF87" s="78" t="n">
        <f aca="false">IF(OR(Calculator!$E$15&lt;&gt;"YES",Calculator!$B$32&lt;Calculator!$G$15),"—",ROUND(MAX((50*POWER(80,POWER(COS(PI()*MOD(Calculator!$B$32/Calculator!$F$15,1)),2)))/$C87,$C87/(50*POWER(80,POWER(COS(PI()*MOD(Calculator!$B$32/Calculator!$F$15,1)),2)))),2))</f>
        <v>10.39</v>
      </c>
      <c r="AG87" s="78" t="n">
        <f aca="false">IF(OR(Calculator!$E$16&lt;&gt;"YES",Calculator!$B$32&lt;Calculator!$G$16),"—",ROUND(MAX((50*POWER(80,POWER(COS(PI()*MOD(Calculator!$B$32/Calculator!$F$16,1)),2)))/$C87,$C87/(50*POWER(80,POWER(COS(PI()*MOD(Calculator!$B$32/Calculator!$F$16,1)),2)))),2))</f>
        <v>35.07</v>
      </c>
      <c r="AH87" s="78" t="n">
        <f aca="false">IF(OR(Calculator!$E$17&lt;&gt;"YES",Calculator!$B$32&lt;Calculator!$G$17),"—",ROUND(MAX((50*POWER(80,POWER(COS(PI()*MOD(Calculator!$B$32/Calculator!$F$17,1)),2)))/$C87,$C87/(50*POWER(80,POWER(COS(PI()*MOD(Calculator!$B$32/Calculator!$F$17,1)),2)))),2))</f>
        <v>1.19</v>
      </c>
      <c r="AI87" s="78" t="n">
        <f aca="false">IF(OR(Calculator!$E$18&lt;&gt;"YES",Calculator!$B$32&lt;Calculator!$G$18),"—",ROUND(MAX((50*POWER(80,POWER(COS(PI()*MOD(Calculator!$B$32/Calculator!$F$18,1)),2)))/$C87,$C87/(50*POWER(80,POWER(COS(PI()*MOD(Calculator!$B$32/Calculator!$F$18,1)),2)))),2))</f>
        <v>1.1</v>
      </c>
      <c r="AJ87" s="78" t="n">
        <f aca="false">IF(OR(Calculator!$E$19&lt;&gt;"YES",Calculator!$B$32&lt;Calculator!$G$19),"—",ROUND(MAX((50*POWER(80,POWER(COS(PI()*MOD(Calculator!$B$32/Calculator!$F$19,1)),2)))/$C87,$C87/(50*POWER(80,POWER(COS(PI()*MOD(Calculator!$B$32/Calculator!$F$19,1)),2)))),2))</f>
        <v>1.05</v>
      </c>
      <c r="AK87" s="78" t="n">
        <f aca="false">IF(OR(Calculator!$E$20&lt;&gt;"YES",Calculator!$B$32&lt;Calculator!$G$20),"—",ROUND(MAX((50*POWER(80,POWER(COS(PI()*MOD(Calculator!$B$32/Calculator!$F$20,1)),2)))/$C87,$C87/(50*POWER(80,POWER(COS(PI()*MOD(Calculator!$B$32/Calculator!$F$20,1)),2)))),2))</f>
        <v>27.58</v>
      </c>
      <c r="AL87" s="78" t="str">
        <f aca="false">IF(OR(Calculator!$E$21&lt;&gt;"YES",Calculator!$B$32&lt;Calculator!$G$21),"—",ROUND(MAX((50*POWER(80,POWER(COS(PI()*MOD(Calculator!$B$32/Calculator!$F$21,1)),2)))/$C87,$C87/(50*POWER(80,POWER(COS(PI()*MOD(Calculator!$B$32/Calculator!$F$21,1)),2)))),2))</f>
        <v>—</v>
      </c>
      <c r="AM87" s="101" t="n">
        <f aca="false">IFERROR(ROUND((IF(ISNUMBER(AB87),AB87,0)+IF(ISNUMBER(AC87),AC87,0)+IF(ISNUMBER(AD87),AD87,0)+IF(ISNUMBER(AE87),AE87,0)+IF(ISNUMBER(AF87),AF87,0)+IF(ISNUMBER(AG87),AG87,0)+IF(ISNUMBER(AH87),AH87,0)+IF(ISNUMBER(AI87),AI87,0)+IF(ISNUMBER(AJ87),AJ87,0)+IF(ISNUMBER(AK87),AK87,0)+IF(ISNUMBER(AL87),AL87,0))/(IF(ISNUMBER(AB87),1,0)+IF(ISNUMBER(AC87),1,0)+IF(ISNUMBER(AD87),1,0)+IF(ISNUMBER(AE87),1,0)+IF(ISNUMBER(AF87),1,0)+IF(ISNUMBER(AG87),1,0)+IF(ISNUMBER(AH87),1,0)+IF(ISNUMBER(AI87),1,0)+IF(ISNUMBER(AJ87),1,0)+IF(ISNUMBER(AK87),1,0)+IF(ISNUMBER(AL87),1,0)),2),"")</f>
        <v>13.21</v>
      </c>
      <c r="AN87" s="102" t="str">
        <f aca="false">IF(OR(Calculator!$E$11&lt;&gt;"YES",Calculator!$B$33&lt;Calculator!$G$11),"—",ROUND(MAX((50*POWER(80,POWER(COS(PI()*MOD(Calculator!$B$33/Calculator!$F$11,1)),2)))/$C87,$C87/(50*POWER(80,POWER(COS(PI()*MOD(Calculator!$B$33/Calculator!$F$11,1)),2)))),2))</f>
        <v>—</v>
      </c>
      <c r="AO87" s="102" t="str">
        <f aca="false">IF(OR(Calculator!$E$12&lt;&gt;"YES",Calculator!$B$33&lt;Calculator!$G$12),"—",ROUND(MAX((50*POWER(80,POWER(COS(PI()*MOD(Calculator!$B$33/Calculator!$F$12,1)),2)))/$C87,$C87/(50*POWER(80,POWER(COS(PI()*MOD(Calculator!$B$33/Calculator!$F$12,1)),2)))),2))</f>
        <v>—</v>
      </c>
      <c r="AP87" s="102" t="str">
        <f aca="false">IF(OR(Calculator!$E$13&lt;&gt;"YES",Calculator!$B$33&lt;Calculator!$G$13),"—",ROUND(MAX((50*POWER(80,POWER(COS(PI()*MOD(Calculator!$B$33/Calculator!$F$13,1)),2)))/$C87,$C87/(50*POWER(80,POWER(COS(PI()*MOD(Calculator!$B$33/Calculator!$F$13,1)),2)))),2))</f>
        <v>—</v>
      </c>
      <c r="AQ87" s="102" t="n">
        <f aca="false">IF(OR(Calculator!$E$14&lt;&gt;"YES",Calculator!$B$33&lt;Calculator!$G$14),"—",ROUND(MAX((50*POWER(80,POWER(COS(PI()*MOD(Calculator!$B$33/Calculator!$F$14,1)),2)))/$C87,$C87/(50*POWER(80,POWER(COS(PI()*MOD(Calculator!$B$33/Calculator!$F$14,1)),2)))),2))</f>
        <v>1.01</v>
      </c>
      <c r="AR87" s="102" t="n">
        <f aca="false">IF(OR(Calculator!$E$15&lt;&gt;"YES",Calculator!$B$33&lt;Calculator!$G$15),"—",ROUND(MAX((50*POWER(80,POWER(COS(PI()*MOD(Calculator!$B$33/Calculator!$F$15,1)),2)))/$C87,$C87/(50*POWER(80,POWER(COS(PI()*MOD(Calculator!$B$33/Calculator!$F$15,1)),2)))),2))</f>
        <v>9.37</v>
      </c>
      <c r="AS87" s="102" t="n">
        <f aca="false">IF(OR(Calculator!$E$16&lt;&gt;"YES",Calculator!$B$33&lt;Calculator!$G$16),"—",ROUND(MAX((50*POWER(80,POWER(COS(PI()*MOD(Calculator!$B$33/Calculator!$F$16,1)),2)))/$C87,$C87/(50*POWER(80,POWER(COS(PI()*MOD(Calculator!$B$33/Calculator!$F$16,1)),2)))),2))</f>
        <v>3.42</v>
      </c>
      <c r="AT87" s="102" t="n">
        <f aca="false">IF(OR(Calculator!$E$17&lt;&gt;"YES",Calculator!$B$33&lt;Calculator!$G$17),"—",ROUND(MAX((50*POWER(80,POWER(COS(PI()*MOD(Calculator!$B$33/Calculator!$F$17,1)),2)))/$C87,$C87/(50*POWER(80,POWER(COS(PI()*MOD(Calculator!$B$33/Calculator!$F$17,1)),2)))),2))</f>
        <v>10.87</v>
      </c>
      <c r="AU87" s="102" t="n">
        <f aca="false">IF(OR(Calculator!$E$18&lt;&gt;"YES",Calculator!$B$33&lt;Calculator!$G$18),"—",ROUND(MAX((50*POWER(80,POWER(COS(PI()*MOD(Calculator!$B$33/Calculator!$F$18,1)),2)))/$C87,$C87/(50*POWER(80,POWER(COS(PI()*MOD(Calculator!$B$33/Calculator!$F$18,1)),2)))),2))</f>
        <v>14.7</v>
      </c>
      <c r="AV87" s="102" t="n">
        <f aca="false">IF(OR(Calculator!$E$19&lt;&gt;"YES",Calculator!$B$33&lt;Calculator!$G$19),"—",ROUND(MAX((50*POWER(80,POWER(COS(PI()*MOD(Calculator!$B$33/Calculator!$F$19,1)),2)))/$C87,$C87/(50*POWER(80,POWER(COS(PI()*MOD(Calculator!$B$33/Calculator!$F$19,1)),2)))),2))</f>
        <v>1.79</v>
      </c>
      <c r="AW87" s="102" t="n">
        <f aca="false">IF(OR(Calculator!$E$20&lt;&gt;"YES",Calculator!$B$33&lt;Calculator!$G$20),"—",ROUND(MAX((50*POWER(80,POWER(COS(PI()*MOD(Calculator!$B$33/Calculator!$F$20,1)),2)))/$C87,$C87/(50*POWER(80,POWER(COS(PI()*MOD(Calculator!$B$33/Calculator!$F$20,1)),2)))),2))</f>
        <v>22.44</v>
      </c>
      <c r="AX87" s="102" t="str">
        <f aca="false">IF(OR(Calculator!$E$21&lt;&gt;"YES",Calculator!$B$33&lt;Calculator!$G$21),"—",ROUND(MAX((50*POWER(80,POWER(COS(PI()*MOD(Calculator!$B$33/Calculator!$F$21,1)),2)))/$C87,$C87/(50*POWER(80,POWER(COS(PI()*MOD(Calculator!$B$33/Calculator!$F$21,1)),2)))),2))</f>
        <v>—</v>
      </c>
      <c r="AY87" s="101" t="n">
        <f aca="false">IFERROR(ROUND((IF(ISNUMBER(AN87),AN87,0)+IF(ISNUMBER(AO87),AO87,0)+IF(ISNUMBER(AP87),AP87,0)+IF(ISNUMBER(AQ87),AQ87,0)+IF(ISNUMBER(AR87),AR87,0)+IF(ISNUMBER(AS87),AS87,0)+IF(ISNUMBER(AT87),AT87,0)+IF(ISNUMBER(AU87),AU87,0)+IF(ISNUMBER(AV87),AV87,0)+IF(ISNUMBER(AW87),AW87,0)+IF(ISNUMBER(AX87),AX87,0))/(IF(ISNUMBER(AN87),1,0)+IF(ISNUMBER(AO87),1,0)+IF(ISNUMBER(AP87),1,0)+IF(ISNUMBER(AQ87),1,0)+IF(ISNUMBER(AR87),1,0)+IF(ISNUMBER(AS87),1,0)+IF(ISNUMBER(AT87),1,0)+IF(ISNUMBER(AU87),1,0)+IF(ISNUMBER(AV87),1,0)+IF(ISNUMBER(AW87),1,0)+IF(ISNUMBER(AX87),1,0)),2),"")</f>
        <v>9.09</v>
      </c>
      <c r="AZ87" s="102" t="str">
        <f aca="false">IF(OR(Calculator!$E$11&lt;&gt;"YES",Calculator!$B$34&lt;Calculator!$G$11),"—",ROUND(MAX((50*POWER(80,POWER(COS(PI()*MOD(Calculator!$B$34/Calculator!$F$11,1)),2)))/$C87,$C87/(50*POWER(80,POWER(COS(PI()*MOD(Calculator!$B$34/Calculator!$F$11,1)),2)))),2))</f>
        <v>—</v>
      </c>
      <c r="BA87" s="102" t="str">
        <f aca="false">IF(OR(Calculator!$E$12&lt;&gt;"YES",Calculator!$B$34&lt;Calculator!$G$12),"—",ROUND(MAX((50*POWER(80,POWER(COS(PI()*MOD(Calculator!$B$34/Calculator!$F$12,1)),2)))/$C87,$C87/(50*POWER(80,POWER(COS(PI()*MOD(Calculator!$B$34/Calculator!$F$12,1)),2)))),2))</f>
        <v>—</v>
      </c>
      <c r="BB87" s="102" t="str">
        <f aca="false">IF(OR(Calculator!$E$13&lt;&gt;"YES",Calculator!$B$34&lt;Calculator!$G$13),"—",ROUND(MAX((50*POWER(80,POWER(COS(PI()*MOD(Calculator!$B$34/Calculator!$F$13,1)),2)))/$C87,$C87/(50*POWER(80,POWER(COS(PI()*MOD(Calculator!$B$34/Calculator!$F$13,1)),2)))),2))</f>
        <v>—</v>
      </c>
      <c r="BC87" s="102" t="n">
        <f aca="false">IF(OR(Calculator!$E$14&lt;&gt;"YES",Calculator!$B$34&lt;Calculator!$G$14),"—",ROUND(MAX((50*POWER(80,POWER(COS(PI()*MOD(Calculator!$B$34/Calculator!$F$14,1)),2)))/$C87,$C87/(50*POWER(80,POWER(COS(PI()*MOD(Calculator!$B$34/Calculator!$F$14,1)),2)))),2))</f>
        <v>1.01</v>
      </c>
      <c r="BD87" s="102" t="n">
        <f aca="false">IF(OR(Calculator!$E$15&lt;&gt;"YES",Calculator!$B$34&lt;Calculator!$G$15),"—",ROUND(MAX((50*POWER(80,POWER(COS(PI()*MOD(Calculator!$B$34/Calculator!$F$15,1)),2)))/$C87,$C87/(50*POWER(80,POWER(COS(PI()*MOD(Calculator!$B$34/Calculator!$F$15,1)),2)))),2))</f>
        <v>12.1</v>
      </c>
      <c r="BE87" s="102" t="n">
        <f aca="false">IF(OR(Calculator!$E$16&lt;&gt;"YES",Calculator!$B$34&lt;Calculator!$G$16),"—",ROUND(MAX((50*POWER(80,POWER(COS(PI()*MOD(Calculator!$B$34/Calculator!$F$16,1)),2)))/$C87,$C87/(50*POWER(80,POWER(COS(PI()*MOD(Calculator!$B$34/Calculator!$F$16,1)),2)))),2))</f>
        <v>4.08</v>
      </c>
      <c r="BF87" s="102" t="n">
        <f aca="false">IF(OR(Calculator!$E$17&lt;&gt;"YES",Calculator!$B$34&lt;Calculator!$G$17),"—",ROUND(MAX((50*POWER(80,POWER(COS(PI()*MOD(Calculator!$B$34/Calculator!$F$17,1)),2)))/$C87,$C87/(50*POWER(80,POWER(COS(PI()*MOD(Calculator!$B$34/Calculator!$F$17,1)),2)))),2))</f>
        <v>2.1</v>
      </c>
      <c r="BG87" s="102" t="n">
        <f aca="false">IF(OR(Calculator!$E$18&lt;&gt;"YES",Calculator!$B$34&lt;Calculator!$G$18),"—",ROUND(MAX((50*POWER(80,POWER(COS(PI()*MOD(Calculator!$B$34/Calculator!$F$18,1)),2)))/$C87,$C87/(50*POWER(80,POWER(COS(PI()*MOD(Calculator!$B$34/Calculator!$F$18,1)),2)))),2))</f>
        <v>19.89</v>
      </c>
      <c r="BH87" s="102" t="n">
        <f aca="false">IF(OR(Calculator!$E$19&lt;&gt;"YES",Calculator!$B$34&lt;Calculator!$G$19),"—",ROUND(MAX((50*POWER(80,POWER(COS(PI()*MOD(Calculator!$B$34/Calculator!$F$19,1)),2)))/$C87,$C87/(50*POWER(80,POWER(COS(PI()*MOD(Calculator!$B$34/Calculator!$F$19,1)),2)))),2))</f>
        <v>22.13</v>
      </c>
      <c r="BI87" s="102" t="n">
        <f aca="false">IF(OR(Calculator!$E$20&lt;&gt;"YES",Calculator!$B$34&lt;Calculator!$G$20),"—",ROUND(MAX((50*POWER(80,POWER(COS(PI()*MOD(Calculator!$B$34/Calculator!$F$20,1)),2)))/$C87,$C87/(50*POWER(80,POWER(COS(PI()*MOD(Calculator!$B$34/Calculator!$F$20,1)),2)))),2))</f>
        <v>13.2</v>
      </c>
      <c r="BJ87" s="102" t="str">
        <f aca="false">IF(OR(Calculator!$E$21&lt;&gt;"YES",Calculator!$B$34&lt;Calculator!$G$21),"—",ROUND(MAX((50*POWER(80,POWER(COS(PI()*MOD(Calculator!$B$34/Calculator!$F$21,1)),2)))/$C87,$C87/(50*POWER(80,POWER(COS(PI()*MOD(Calculator!$B$34/Calculator!$F$21,1)),2)))),2))</f>
        <v>—</v>
      </c>
      <c r="BK87" s="101" t="n">
        <f aca="false">IFERROR(ROUND((IF(ISNUMBER(AZ87),AZ87,0)+IF(ISNUMBER(BA87),BA87,0)+IF(ISNUMBER(BB87),BB87,0)+IF(ISNUMBER(BC87),BC87,0)+IF(ISNUMBER(BD87),BD87,0)+IF(ISNUMBER(BE87),BE87,0)+IF(ISNUMBER(BF87),BF87,0)+IF(ISNUMBER(BG87),BG87,0)+IF(ISNUMBER(BH87),BH87,0)+IF(ISNUMBER(BI87),BI87,0)+IF(ISNUMBER(BJ87),BJ87,0))/(IF(ISNUMBER(AZ87),1,0)+IF(ISNUMBER(BA87),1,0)+IF(ISNUMBER(BB87),1,0)+IF(ISNUMBER(BC87),1,0)+IF(ISNUMBER(BD87),1,0)+IF(ISNUMBER(BE87),1,0)+IF(ISNUMBER(BF87),1,0)+IF(ISNUMBER(BG87),1,0)+IF(ISNUMBER(BH87),1,0)+IF(ISNUMBER(BI87),1,0)+IF(ISNUMBER(BJ87),1,0)),2),"")</f>
        <v>10.64</v>
      </c>
    </row>
    <row r="88" customFormat="false" ht="15" hidden="false" customHeight="false" outlineLevel="0" collapsed="false">
      <c r="A88" s="103" t="s">
        <v>139</v>
      </c>
      <c r="B88" s="103" t="s">
        <v>86</v>
      </c>
      <c r="C88" s="104" t="n">
        <v>2800</v>
      </c>
      <c r="D88" s="105" t="str">
        <f aca="false">IF(OR(Calculator!$E$11&lt;&gt;"YES",Calculator!$B$30&lt;Calculator!$G$11),"—",ROUND(MAX((50*POWER(80,POWER(COS(PI()*MOD(Calculator!$B$30/Calculator!$F$11,1)),2)))/$C88,$C88/(50*POWER(80,POWER(COS(PI()*MOD(Calculator!$B$30/Calculator!$F$11,1)),2)))),2))</f>
        <v>—</v>
      </c>
      <c r="E88" s="105" t="str">
        <f aca="false">IF(OR(Calculator!$E$12&lt;&gt;"YES",Calculator!$B$30&lt;Calculator!$G$12),"—",ROUND(MAX((50*POWER(80,POWER(COS(PI()*MOD(Calculator!$B$30/Calculator!$F$12,1)),2)))/$C88,$C88/(50*POWER(80,POWER(COS(PI()*MOD(Calculator!$B$30/Calculator!$F$12,1)),2)))),2))</f>
        <v>—</v>
      </c>
      <c r="F88" s="105" t="str">
        <f aca="false">IF(OR(Calculator!$E$13&lt;&gt;"YES",Calculator!$B$30&lt;Calculator!$G$13),"—",ROUND(MAX((50*POWER(80,POWER(COS(PI()*MOD(Calculator!$B$30/Calculator!$F$13,1)),2)))/$C88,$C88/(50*POWER(80,POWER(COS(PI()*MOD(Calculator!$B$30/Calculator!$F$13,1)),2)))),2))</f>
        <v>—</v>
      </c>
      <c r="G88" s="105" t="n">
        <f aca="false">IF(OR(Calculator!$E$14&lt;&gt;"YES",Calculator!$B$30&lt;Calculator!$G$14),"—",ROUND(MAX((50*POWER(80,POWER(COS(PI()*MOD(Calculator!$B$30/Calculator!$F$14,1)),2)))/$C88,$C88/(50*POWER(80,POWER(COS(PI()*MOD(Calculator!$B$30/Calculator!$F$14,1)),2)))),2))</f>
        <v>25.3</v>
      </c>
      <c r="H88" s="105" t="n">
        <f aca="false">IF(OR(Calculator!$E$15&lt;&gt;"YES",Calculator!$B$30&lt;Calculator!$G$15),"—",ROUND(MAX((50*POWER(80,POWER(COS(PI()*MOD(Calculator!$B$30/Calculator!$F$15,1)),2)))/$C88,$C88/(50*POWER(80,POWER(COS(PI()*MOD(Calculator!$B$30/Calculator!$F$15,1)),2)))),2))</f>
        <v>7.34</v>
      </c>
      <c r="I88" s="105" t="n">
        <f aca="false">IF(OR(Calculator!$E$16&lt;&gt;"YES",Calculator!$B$30&lt;Calculator!$G$16),"—",ROUND(MAX((50*POWER(80,POWER(COS(PI()*MOD(Calculator!$B$30/Calculator!$F$16,1)),2)))/$C88,$C88/(50*POWER(80,POWER(COS(PI()*MOD(Calculator!$B$30/Calculator!$F$16,1)),2)))),2))</f>
        <v>5.01</v>
      </c>
      <c r="J88" s="105" t="n">
        <f aca="false">IF(OR(Calculator!$E$17&lt;&gt;"YES",Calculator!$B$30&lt;Calculator!$G$17),"—",ROUND(MAX((50*POWER(80,POWER(COS(PI()*MOD(Calculator!$B$30/Calculator!$F$17,1)),2)))/$C88,$C88/(50*POWER(80,POWER(COS(PI()*MOD(Calculator!$B$30/Calculator!$F$17,1)),2)))),2))</f>
        <v>14.08</v>
      </c>
      <c r="K88" s="105" t="n">
        <f aca="false">IF(OR(Calculator!$E$18&lt;&gt;"YES",Calculator!$B$30&lt;Calculator!$G$18),"—",ROUND(MAX((50*POWER(80,POWER(COS(PI()*MOD(Calculator!$B$30/Calculator!$F$18,1)),2)))/$C88,$C88/(50*POWER(80,POWER(COS(PI()*MOD(Calculator!$B$30/Calculator!$F$18,1)),2)))),2))</f>
        <v>2.01</v>
      </c>
      <c r="L88" s="105" t="n">
        <f aca="false">IF(OR(Calculator!$E$19&lt;&gt;"YES",Calculator!$B$30&lt;Calculator!$G$19),"—",ROUND(MAX((50*POWER(80,POWER(COS(PI()*MOD(Calculator!$B$30/Calculator!$F$19,1)),2)))/$C88,$C88/(50*POWER(80,POWER(COS(PI()*MOD(Calculator!$B$30/Calculator!$F$19,1)),2)))),2))</f>
        <v>3.56</v>
      </c>
      <c r="M88" s="105" t="n">
        <f aca="false">IF(OR(Calculator!$E$20&lt;&gt;"YES",Calculator!$B$30&lt;Calculator!$G$20),"—",ROUND(MAX((50*POWER(80,POWER(COS(PI()*MOD(Calculator!$B$30/Calculator!$F$20,1)),2)))/$C88,$C88/(50*POWER(80,POWER(COS(PI()*MOD(Calculator!$B$30/Calculator!$F$20,1)),2)))),2))</f>
        <v>22.12</v>
      </c>
      <c r="N88" s="105" t="str">
        <f aca="false">IF(OR(Calculator!$E$21&lt;&gt;"YES",Calculator!$B$30&lt;Calculator!$G$21),"—",ROUND(MAX((50*POWER(80,POWER(COS(PI()*MOD(Calculator!$B$30/Calculator!$F$21,1)),2)))/$C88,$C88/(50*POWER(80,POWER(COS(PI()*MOD(Calculator!$B$30/Calculator!$F$21,1)),2)))),2))</f>
        <v>—</v>
      </c>
      <c r="O88" s="100" t="n">
        <f aca="false">IFERROR(ROUND((IF(ISNUMBER(D88),D88,0)+IF(ISNUMBER(E88),E88,0)+IF(ISNUMBER(F88),F88,0)+IF(ISNUMBER(G88),G88,0)+IF(ISNUMBER(H88),H88,0)+IF(ISNUMBER(I88),I88,0)+IF(ISNUMBER(J88),J88,0)+IF(ISNUMBER(K88),K88,0)+IF(ISNUMBER(L88),L88,0)+IF(ISNUMBER(M88),M88,0)+IF(ISNUMBER(N88),N88,0))/(IF(ISNUMBER(D88),1,0)+IF(ISNUMBER(E88),1,0)+IF(ISNUMBER(F88),1,0)+IF(ISNUMBER(G88),1,0)+IF(ISNUMBER(H88),1,0)+IF(ISNUMBER(I88),1,0)+IF(ISNUMBER(J88),1,0)+IF(ISNUMBER(K88),1,0)+IF(ISNUMBER(L88),1,0)+IF(ISNUMBER(M88),1,0)+IF(ISNUMBER(N88),1,0)),2),"")</f>
        <v>11.35</v>
      </c>
      <c r="P88" s="105" t="str">
        <f aca="false">IF(OR(Calculator!$E$11&lt;&gt;"YES",Calculator!$B$31&lt;Calculator!$G$11),"—",ROUND(MAX((50*POWER(80,POWER(COS(PI()*MOD(Calculator!$B$31/Calculator!$F$11,1)),2)))/$C88,$C88/(50*POWER(80,POWER(COS(PI()*MOD(Calculator!$B$31/Calculator!$F$11,1)),2)))),2))</f>
        <v>—</v>
      </c>
      <c r="Q88" s="105" t="str">
        <f aca="false">IF(OR(Calculator!$E$12&lt;&gt;"YES",Calculator!$B$31&lt;Calculator!$G$12),"—",ROUND(MAX((50*POWER(80,POWER(COS(PI()*MOD(Calculator!$B$31/Calculator!$F$12,1)),2)))/$C88,$C88/(50*POWER(80,POWER(COS(PI()*MOD(Calculator!$B$31/Calculator!$F$12,1)),2)))),2))</f>
        <v>—</v>
      </c>
      <c r="R88" s="105" t="str">
        <f aca="false">IF(OR(Calculator!$E$13&lt;&gt;"YES",Calculator!$B$31&lt;Calculator!$G$13),"—",ROUND(MAX((50*POWER(80,POWER(COS(PI()*MOD(Calculator!$B$31/Calculator!$F$13,1)),2)))/$C88,$C88/(50*POWER(80,POWER(COS(PI()*MOD(Calculator!$B$31/Calculator!$F$13,1)),2)))),2))</f>
        <v>—</v>
      </c>
      <c r="S88" s="105" t="n">
        <f aca="false">IF(OR(Calculator!$E$14&lt;&gt;"YES",Calculator!$B$31&lt;Calculator!$G$14),"—",ROUND(MAX((50*POWER(80,POWER(COS(PI()*MOD(Calculator!$B$31/Calculator!$F$14,1)),2)))/$C88,$C88/(50*POWER(80,POWER(COS(PI()*MOD(Calculator!$B$31/Calculator!$F$14,1)),2)))),2))</f>
        <v>25.9</v>
      </c>
      <c r="T88" s="105" t="n">
        <f aca="false">IF(OR(Calculator!$E$15&lt;&gt;"YES",Calculator!$B$31&lt;Calculator!$G$15),"—",ROUND(MAX((50*POWER(80,POWER(COS(PI()*MOD(Calculator!$B$31/Calculator!$F$15,1)),2)))/$C88,$C88/(50*POWER(80,POWER(COS(PI()*MOD(Calculator!$B$31/Calculator!$F$15,1)),2)))),2))</f>
        <v>15.76</v>
      </c>
      <c r="U88" s="105" t="n">
        <f aca="false">IF(OR(Calculator!$E$16&lt;&gt;"YES",Calculator!$B$31&lt;Calculator!$G$16),"—",ROUND(MAX((50*POWER(80,POWER(COS(PI()*MOD(Calculator!$B$31/Calculator!$F$16,1)),2)))/$C88,$C88/(50*POWER(80,POWER(COS(PI()*MOD(Calculator!$B$31/Calculator!$F$16,1)),2)))),2))</f>
        <v>6</v>
      </c>
      <c r="V88" s="105" t="n">
        <f aca="false">IF(OR(Calculator!$E$17&lt;&gt;"YES",Calculator!$B$31&lt;Calculator!$G$17),"—",ROUND(MAX((50*POWER(80,POWER(COS(PI()*MOD(Calculator!$B$31/Calculator!$F$17,1)),2)))/$C88,$C88/(50*POWER(80,POWER(COS(PI()*MOD(Calculator!$B$31/Calculator!$F$17,1)),2)))),2))</f>
        <v>1.73</v>
      </c>
      <c r="W88" s="105" t="n">
        <f aca="false">IF(OR(Calculator!$E$18&lt;&gt;"YES",Calculator!$B$31&lt;Calculator!$G$18),"—",ROUND(MAX((50*POWER(80,POWER(COS(PI()*MOD(Calculator!$B$31/Calculator!$F$18,1)),2)))/$C88,$C88/(50*POWER(80,POWER(COS(PI()*MOD(Calculator!$B$31/Calculator!$F$18,1)),2)))),2))</f>
        <v>1.52</v>
      </c>
      <c r="X88" s="105" t="n">
        <f aca="false">IF(OR(Calculator!$E$19&lt;&gt;"YES",Calculator!$B$31&lt;Calculator!$G$19),"—",ROUND(MAX((50*POWER(80,POWER(COS(PI()*MOD(Calculator!$B$31/Calculator!$F$19,1)),2)))/$C88,$C88/(50*POWER(80,POWER(COS(PI()*MOD(Calculator!$B$31/Calculator!$F$19,1)),2)))),2))</f>
        <v>10.41</v>
      </c>
      <c r="Y88" s="105" t="n">
        <f aca="false">IF(OR(Calculator!$E$20&lt;&gt;"YES",Calculator!$B$31&lt;Calculator!$G$20),"—",ROUND(MAX((50*POWER(80,POWER(COS(PI()*MOD(Calculator!$B$31/Calculator!$F$20,1)),2)))/$C88,$C88/(50*POWER(80,POWER(COS(PI()*MOD(Calculator!$B$31/Calculator!$F$20,1)),2)))),2))</f>
        <v>34.35</v>
      </c>
      <c r="Z88" s="105" t="str">
        <f aca="false">IF(OR(Calculator!$E$21&lt;&gt;"YES",Calculator!$B$31&lt;Calculator!$G$21),"—",ROUND(MAX((50*POWER(80,POWER(COS(PI()*MOD(Calculator!$B$31/Calculator!$F$21,1)),2)))/$C88,$C88/(50*POWER(80,POWER(COS(PI()*MOD(Calculator!$B$31/Calculator!$F$21,1)),2)))),2))</f>
        <v>—</v>
      </c>
      <c r="AA88" s="100" t="n">
        <f aca="false">IFERROR(ROUND((IF(ISNUMBER(P88),P88,0)+IF(ISNUMBER(Q88),Q88,0)+IF(ISNUMBER(R88),R88,0)+IF(ISNUMBER(S88),S88,0)+IF(ISNUMBER(T88),T88,0)+IF(ISNUMBER(U88),U88,0)+IF(ISNUMBER(V88),V88,0)+IF(ISNUMBER(W88),W88,0)+IF(ISNUMBER(X88),X88,0)+IF(ISNUMBER(Y88),Y88,0)+IF(ISNUMBER(Z88),Z88,0))/(IF(ISNUMBER(P88),1,0)+IF(ISNUMBER(Q88),1,0)+IF(ISNUMBER(R88),1,0)+IF(ISNUMBER(S88),1,0)+IF(ISNUMBER(T88),1,0)+IF(ISNUMBER(U88),1,0)+IF(ISNUMBER(V88),1,0)+IF(ISNUMBER(W88),1,0)+IF(ISNUMBER(X88),1,0)+IF(ISNUMBER(Y88),1,0)+IF(ISNUMBER(Z88),1,0)),2),"")</f>
        <v>13.67</v>
      </c>
      <c r="AB88" s="105" t="str">
        <f aca="false">IF(OR(Calculator!$E$11&lt;&gt;"YES",Calculator!$B$32&lt;Calculator!$G$11),"—",ROUND(MAX((50*POWER(80,POWER(COS(PI()*MOD(Calculator!$B$32/Calculator!$F$11,1)),2)))/$C88,$C88/(50*POWER(80,POWER(COS(PI()*MOD(Calculator!$B$32/Calculator!$F$11,1)),2)))),2))</f>
        <v>—</v>
      </c>
      <c r="AC88" s="105" t="str">
        <f aca="false">IF(OR(Calculator!$E$12&lt;&gt;"YES",Calculator!$B$32&lt;Calculator!$G$12),"—",ROUND(MAX((50*POWER(80,POWER(COS(PI()*MOD(Calculator!$B$32/Calculator!$F$12,1)),2)))/$C88,$C88/(50*POWER(80,POWER(COS(PI()*MOD(Calculator!$B$32/Calculator!$F$12,1)),2)))),2))</f>
        <v>—</v>
      </c>
      <c r="AD88" s="105" t="str">
        <f aca="false">IF(OR(Calculator!$E$13&lt;&gt;"YES",Calculator!$B$32&lt;Calculator!$G$13),"—",ROUND(MAX((50*POWER(80,POWER(COS(PI()*MOD(Calculator!$B$32/Calculator!$F$13,1)),2)))/$C88,$C88/(50*POWER(80,POWER(COS(PI()*MOD(Calculator!$B$32/Calculator!$F$13,1)),2)))),2))</f>
        <v>—</v>
      </c>
      <c r="AE88" s="105" t="n">
        <f aca="false">IF(OR(Calculator!$E$14&lt;&gt;"YES",Calculator!$B$32&lt;Calculator!$G$14),"—",ROUND(MAX((50*POWER(80,POWER(COS(PI()*MOD(Calculator!$B$32/Calculator!$F$14,1)),2)))/$C88,$C88/(50*POWER(80,POWER(COS(PI()*MOD(Calculator!$B$32/Calculator!$F$14,1)),2)))),2))</f>
        <v>16.36</v>
      </c>
      <c r="AF88" s="105" t="n">
        <f aca="false">IF(OR(Calculator!$E$15&lt;&gt;"YES",Calculator!$B$32&lt;Calculator!$G$15),"—",ROUND(MAX((50*POWER(80,POWER(COS(PI()*MOD(Calculator!$B$32/Calculator!$F$15,1)),2)))/$C88,$C88/(50*POWER(80,POWER(COS(PI()*MOD(Calculator!$B$32/Calculator!$F$15,1)),2)))),2))</f>
        <v>10.58</v>
      </c>
      <c r="AG88" s="105" t="n">
        <f aca="false">IF(OR(Calculator!$E$16&lt;&gt;"YES",Calculator!$B$32&lt;Calculator!$G$16),"—",ROUND(MAX((50*POWER(80,POWER(COS(PI()*MOD(Calculator!$B$32/Calculator!$F$16,1)),2)))/$C88,$C88/(50*POWER(80,POWER(COS(PI()*MOD(Calculator!$B$32/Calculator!$F$16,1)),2)))),2))</f>
        <v>35.7</v>
      </c>
      <c r="AH88" s="105" t="n">
        <f aca="false">IF(OR(Calculator!$E$17&lt;&gt;"YES",Calculator!$B$32&lt;Calculator!$G$17),"—",ROUND(MAX((50*POWER(80,POWER(COS(PI()*MOD(Calculator!$B$32/Calculator!$F$17,1)),2)))/$C88,$C88/(50*POWER(80,POWER(COS(PI()*MOD(Calculator!$B$32/Calculator!$F$17,1)),2)))),2))</f>
        <v>1.22</v>
      </c>
      <c r="AI88" s="105" t="n">
        <f aca="false">IF(OR(Calculator!$E$18&lt;&gt;"YES",Calculator!$B$32&lt;Calculator!$G$18),"—",ROUND(MAX((50*POWER(80,POWER(COS(PI()*MOD(Calculator!$B$32/Calculator!$F$18,1)),2)))/$C88,$C88/(50*POWER(80,POWER(COS(PI()*MOD(Calculator!$B$32/Calculator!$F$18,1)),2)))),2))</f>
        <v>1.12</v>
      </c>
      <c r="AJ88" s="105" t="n">
        <f aca="false">IF(OR(Calculator!$E$19&lt;&gt;"YES",Calculator!$B$32&lt;Calculator!$G$19),"—",ROUND(MAX((50*POWER(80,POWER(COS(PI()*MOD(Calculator!$B$32/Calculator!$F$19,1)),2)))/$C88,$C88/(50*POWER(80,POWER(COS(PI()*MOD(Calculator!$B$32/Calculator!$F$19,1)),2)))),2))</f>
        <v>1.07</v>
      </c>
      <c r="AK88" s="105" t="n">
        <f aca="false">IF(OR(Calculator!$E$20&lt;&gt;"YES",Calculator!$B$32&lt;Calculator!$G$20),"—",ROUND(MAX((50*POWER(80,POWER(COS(PI()*MOD(Calculator!$B$32/Calculator!$F$20,1)),2)))/$C88,$C88/(50*POWER(80,POWER(COS(PI()*MOD(Calculator!$B$32/Calculator!$F$20,1)),2)))),2))</f>
        <v>28.08</v>
      </c>
      <c r="AL88" s="105" t="str">
        <f aca="false">IF(OR(Calculator!$E$21&lt;&gt;"YES",Calculator!$B$32&lt;Calculator!$G$21),"—",ROUND(MAX((50*POWER(80,POWER(COS(PI()*MOD(Calculator!$B$32/Calculator!$F$21,1)),2)))/$C88,$C88/(50*POWER(80,POWER(COS(PI()*MOD(Calculator!$B$32/Calculator!$F$21,1)),2)))),2))</f>
        <v>—</v>
      </c>
      <c r="AM88" s="101" t="n">
        <f aca="false">IFERROR(ROUND((IF(ISNUMBER(AB88),AB88,0)+IF(ISNUMBER(AC88),AC88,0)+IF(ISNUMBER(AD88),AD88,0)+IF(ISNUMBER(AE88),AE88,0)+IF(ISNUMBER(AF88),AF88,0)+IF(ISNUMBER(AG88),AG88,0)+IF(ISNUMBER(AH88),AH88,0)+IF(ISNUMBER(AI88),AI88,0)+IF(ISNUMBER(AJ88),AJ88,0)+IF(ISNUMBER(AK88),AK88,0)+IF(ISNUMBER(AL88),AL88,0))/(IF(ISNUMBER(AB88),1,0)+IF(ISNUMBER(AC88),1,0)+IF(ISNUMBER(AD88),1,0)+IF(ISNUMBER(AE88),1,0)+IF(ISNUMBER(AF88),1,0)+IF(ISNUMBER(AG88),1,0)+IF(ISNUMBER(AH88),1,0)+IF(ISNUMBER(AI88),1,0)+IF(ISNUMBER(AJ88),1,0)+IF(ISNUMBER(AK88),1,0)+IF(ISNUMBER(AL88),1,0)),2),"")</f>
        <v>13.45</v>
      </c>
      <c r="AN88" s="106" t="str">
        <f aca="false">IF(OR(Calculator!$E$11&lt;&gt;"YES",Calculator!$B$33&lt;Calculator!$G$11),"—",ROUND(MAX((50*POWER(80,POWER(COS(PI()*MOD(Calculator!$B$33/Calculator!$F$11,1)),2)))/$C88,$C88/(50*POWER(80,POWER(COS(PI()*MOD(Calculator!$B$33/Calculator!$F$11,1)),2)))),2))</f>
        <v>—</v>
      </c>
      <c r="AO88" s="106" t="str">
        <f aca="false">IF(OR(Calculator!$E$12&lt;&gt;"YES",Calculator!$B$33&lt;Calculator!$G$12),"—",ROUND(MAX((50*POWER(80,POWER(COS(PI()*MOD(Calculator!$B$33/Calculator!$F$12,1)),2)))/$C88,$C88/(50*POWER(80,POWER(COS(PI()*MOD(Calculator!$B$33/Calculator!$F$12,1)),2)))),2))</f>
        <v>—</v>
      </c>
      <c r="AP88" s="106" t="str">
        <f aca="false">IF(OR(Calculator!$E$13&lt;&gt;"YES",Calculator!$B$33&lt;Calculator!$G$13),"—",ROUND(MAX((50*POWER(80,POWER(COS(PI()*MOD(Calculator!$B$33/Calculator!$F$13,1)),2)))/$C88,$C88/(50*POWER(80,POWER(COS(PI()*MOD(Calculator!$B$33/Calculator!$F$13,1)),2)))),2))</f>
        <v>—</v>
      </c>
      <c r="AQ88" s="106" t="n">
        <f aca="false">IF(OR(Calculator!$E$14&lt;&gt;"YES",Calculator!$B$33&lt;Calculator!$G$14),"—",ROUND(MAX((50*POWER(80,POWER(COS(PI()*MOD(Calculator!$B$33/Calculator!$F$14,1)),2)))/$C88,$C88/(50*POWER(80,POWER(COS(PI()*MOD(Calculator!$B$33/Calculator!$F$14,1)),2)))),2))</f>
        <v>1.03</v>
      </c>
      <c r="AR88" s="106" t="n">
        <f aca="false">IF(OR(Calculator!$E$15&lt;&gt;"YES",Calculator!$B$33&lt;Calculator!$G$15),"—",ROUND(MAX((50*POWER(80,POWER(COS(PI()*MOD(Calculator!$B$33/Calculator!$F$15,1)),2)))/$C88,$C88/(50*POWER(80,POWER(COS(PI()*MOD(Calculator!$B$33/Calculator!$F$15,1)),2)))),2))</f>
        <v>9.54</v>
      </c>
      <c r="AS88" s="106" t="n">
        <f aca="false">IF(OR(Calculator!$E$16&lt;&gt;"YES",Calculator!$B$33&lt;Calculator!$G$16),"—",ROUND(MAX((50*POWER(80,POWER(COS(PI()*MOD(Calculator!$B$33/Calculator!$F$16,1)),2)))/$C88,$C88/(50*POWER(80,POWER(COS(PI()*MOD(Calculator!$B$33/Calculator!$F$16,1)),2)))),2))</f>
        <v>3.49</v>
      </c>
      <c r="AT88" s="106" t="n">
        <f aca="false">IF(OR(Calculator!$E$17&lt;&gt;"YES",Calculator!$B$33&lt;Calculator!$G$17),"—",ROUND(MAX((50*POWER(80,POWER(COS(PI()*MOD(Calculator!$B$33/Calculator!$F$17,1)),2)))/$C88,$C88/(50*POWER(80,POWER(COS(PI()*MOD(Calculator!$B$33/Calculator!$F$17,1)),2)))),2))</f>
        <v>11.07</v>
      </c>
      <c r="AU88" s="106" t="n">
        <f aca="false">IF(OR(Calculator!$E$18&lt;&gt;"YES",Calculator!$B$33&lt;Calculator!$G$18),"—",ROUND(MAX((50*POWER(80,POWER(COS(PI()*MOD(Calculator!$B$33/Calculator!$F$18,1)),2)))/$C88,$C88/(50*POWER(80,POWER(COS(PI()*MOD(Calculator!$B$33/Calculator!$F$18,1)),2)))),2))</f>
        <v>14.97</v>
      </c>
      <c r="AV88" s="106" t="n">
        <f aca="false">IF(OR(Calculator!$E$19&lt;&gt;"YES",Calculator!$B$33&lt;Calculator!$G$19),"—",ROUND(MAX((50*POWER(80,POWER(COS(PI()*MOD(Calculator!$B$33/Calculator!$F$19,1)),2)))/$C88,$C88/(50*POWER(80,POWER(COS(PI()*MOD(Calculator!$B$33/Calculator!$F$19,1)),2)))),2))</f>
        <v>1.82</v>
      </c>
      <c r="AW88" s="106" t="n">
        <f aca="false">IF(OR(Calculator!$E$20&lt;&gt;"YES",Calculator!$B$33&lt;Calculator!$G$20),"—",ROUND(MAX((50*POWER(80,POWER(COS(PI()*MOD(Calculator!$B$33/Calculator!$F$20,1)),2)))/$C88,$C88/(50*POWER(80,POWER(COS(PI()*MOD(Calculator!$B$33/Calculator!$F$20,1)),2)))),2))</f>
        <v>22.85</v>
      </c>
      <c r="AX88" s="106" t="str">
        <f aca="false">IF(OR(Calculator!$E$21&lt;&gt;"YES",Calculator!$B$33&lt;Calculator!$G$21),"—",ROUND(MAX((50*POWER(80,POWER(COS(PI()*MOD(Calculator!$B$33/Calculator!$F$21,1)),2)))/$C88,$C88/(50*POWER(80,POWER(COS(PI()*MOD(Calculator!$B$33/Calculator!$F$21,1)),2)))),2))</f>
        <v>—</v>
      </c>
      <c r="AY88" s="101" t="n">
        <f aca="false">IFERROR(ROUND((IF(ISNUMBER(AN88),AN88,0)+IF(ISNUMBER(AO88),AO88,0)+IF(ISNUMBER(AP88),AP88,0)+IF(ISNUMBER(AQ88),AQ88,0)+IF(ISNUMBER(AR88),AR88,0)+IF(ISNUMBER(AS88),AS88,0)+IF(ISNUMBER(AT88),AT88,0)+IF(ISNUMBER(AU88),AU88,0)+IF(ISNUMBER(AV88),AV88,0)+IF(ISNUMBER(AW88),AW88,0)+IF(ISNUMBER(AX88),AX88,0))/(IF(ISNUMBER(AN88),1,0)+IF(ISNUMBER(AO88),1,0)+IF(ISNUMBER(AP88),1,0)+IF(ISNUMBER(AQ88),1,0)+IF(ISNUMBER(AR88),1,0)+IF(ISNUMBER(AS88),1,0)+IF(ISNUMBER(AT88),1,0)+IF(ISNUMBER(AU88),1,0)+IF(ISNUMBER(AV88),1,0)+IF(ISNUMBER(AW88),1,0)+IF(ISNUMBER(AX88),1,0)),2),"")</f>
        <v>9.25</v>
      </c>
      <c r="AZ88" s="106" t="str">
        <f aca="false">IF(OR(Calculator!$E$11&lt;&gt;"YES",Calculator!$B$34&lt;Calculator!$G$11),"—",ROUND(MAX((50*POWER(80,POWER(COS(PI()*MOD(Calculator!$B$34/Calculator!$F$11,1)),2)))/$C88,$C88/(50*POWER(80,POWER(COS(PI()*MOD(Calculator!$B$34/Calculator!$F$11,1)),2)))),2))</f>
        <v>—</v>
      </c>
      <c r="BA88" s="106" t="str">
        <f aca="false">IF(OR(Calculator!$E$12&lt;&gt;"YES",Calculator!$B$34&lt;Calculator!$G$12),"—",ROUND(MAX((50*POWER(80,POWER(COS(PI()*MOD(Calculator!$B$34/Calculator!$F$12,1)),2)))/$C88,$C88/(50*POWER(80,POWER(COS(PI()*MOD(Calculator!$B$34/Calculator!$F$12,1)),2)))),2))</f>
        <v>—</v>
      </c>
      <c r="BB88" s="106" t="str">
        <f aca="false">IF(OR(Calculator!$E$13&lt;&gt;"YES",Calculator!$B$34&lt;Calculator!$G$13),"—",ROUND(MAX((50*POWER(80,POWER(COS(PI()*MOD(Calculator!$B$34/Calculator!$F$13,1)),2)))/$C88,$C88/(50*POWER(80,POWER(COS(PI()*MOD(Calculator!$B$34/Calculator!$F$13,1)),2)))),2))</f>
        <v>—</v>
      </c>
      <c r="BC88" s="106" t="n">
        <f aca="false">IF(OR(Calculator!$E$14&lt;&gt;"YES",Calculator!$B$34&lt;Calculator!$G$14),"—",ROUND(MAX((50*POWER(80,POWER(COS(PI()*MOD(Calculator!$B$34/Calculator!$F$14,1)),2)))/$C88,$C88/(50*POWER(80,POWER(COS(PI()*MOD(Calculator!$B$34/Calculator!$F$14,1)),2)))),2))</f>
        <v>1.01</v>
      </c>
      <c r="BD88" s="106" t="n">
        <f aca="false">IF(OR(Calculator!$E$15&lt;&gt;"YES",Calculator!$B$34&lt;Calculator!$G$15),"—",ROUND(MAX((50*POWER(80,POWER(COS(PI()*MOD(Calculator!$B$34/Calculator!$F$15,1)),2)))/$C88,$C88/(50*POWER(80,POWER(COS(PI()*MOD(Calculator!$B$34/Calculator!$F$15,1)),2)))),2))</f>
        <v>12.32</v>
      </c>
      <c r="BE88" s="106" t="n">
        <f aca="false">IF(OR(Calculator!$E$16&lt;&gt;"YES",Calculator!$B$34&lt;Calculator!$G$16),"—",ROUND(MAX((50*POWER(80,POWER(COS(PI()*MOD(Calculator!$B$34/Calculator!$F$16,1)),2)))/$C88,$C88/(50*POWER(80,POWER(COS(PI()*MOD(Calculator!$B$34/Calculator!$F$16,1)),2)))),2))</f>
        <v>4.15</v>
      </c>
      <c r="BF88" s="106" t="n">
        <f aca="false">IF(OR(Calculator!$E$17&lt;&gt;"YES",Calculator!$B$34&lt;Calculator!$G$17),"—",ROUND(MAX((50*POWER(80,POWER(COS(PI()*MOD(Calculator!$B$34/Calculator!$F$17,1)),2)))/$C88,$C88/(50*POWER(80,POWER(COS(PI()*MOD(Calculator!$B$34/Calculator!$F$17,1)),2)))),2))</f>
        <v>2.14</v>
      </c>
      <c r="BG88" s="106" t="n">
        <f aca="false">IF(OR(Calculator!$E$18&lt;&gt;"YES",Calculator!$B$34&lt;Calculator!$G$18),"—",ROUND(MAX((50*POWER(80,POWER(COS(PI()*MOD(Calculator!$B$34/Calculator!$F$18,1)),2)))/$C88,$C88/(50*POWER(80,POWER(COS(PI()*MOD(Calculator!$B$34/Calculator!$F$18,1)),2)))),2))</f>
        <v>20.25</v>
      </c>
      <c r="BH88" s="106" t="n">
        <f aca="false">IF(OR(Calculator!$E$19&lt;&gt;"YES",Calculator!$B$34&lt;Calculator!$G$19),"—",ROUND(MAX((50*POWER(80,POWER(COS(PI()*MOD(Calculator!$B$34/Calculator!$F$19,1)),2)))/$C88,$C88/(50*POWER(80,POWER(COS(PI()*MOD(Calculator!$B$34/Calculator!$F$19,1)),2)))),2))</f>
        <v>22.53</v>
      </c>
      <c r="BI88" s="106" t="n">
        <f aca="false">IF(OR(Calculator!$E$20&lt;&gt;"YES",Calculator!$B$34&lt;Calculator!$G$20),"—",ROUND(MAX((50*POWER(80,POWER(COS(PI()*MOD(Calculator!$B$34/Calculator!$F$20,1)),2)))/$C88,$C88/(50*POWER(80,POWER(COS(PI()*MOD(Calculator!$B$34/Calculator!$F$20,1)),2)))),2))</f>
        <v>13.44</v>
      </c>
      <c r="BJ88" s="106" t="str">
        <f aca="false">IF(OR(Calculator!$E$21&lt;&gt;"YES",Calculator!$B$34&lt;Calculator!$G$21),"—",ROUND(MAX((50*POWER(80,POWER(COS(PI()*MOD(Calculator!$B$34/Calculator!$F$21,1)),2)))/$C88,$C88/(50*POWER(80,POWER(COS(PI()*MOD(Calculator!$B$34/Calculator!$F$21,1)),2)))),2))</f>
        <v>—</v>
      </c>
      <c r="BK88" s="101" t="n">
        <f aca="false">IFERROR(ROUND((IF(ISNUMBER(AZ88),AZ88,0)+IF(ISNUMBER(BA88),BA88,0)+IF(ISNUMBER(BB88),BB88,0)+IF(ISNUMBER(BC88),BC88,0)+IF(ISNUMBER(BD88),BD88,0)+IF(ISNUMBER(BE88),BE88,0)+IF(ISNUMBER(BF88),BF88,0)+IF(ISNUMBER(BG88),BG88,0)+IF(ISNUMBER(BH88),BH88,0)+IF(ISNUMBER(BI88),BI88,0)+IF(ISNUMBER(BJ88),BJ88,0))/(IF(ISNUMBER(AZ88),1,0)+IF(ISNUMBER(BA88),1,0)+IF(ISNUMBER(BB88),1,0)+IF(ISNUMBER(BC88),1,0)+IF(ISNUMBER(BD88),1,0)+IF(ISNUMBER(BE88),1,0)+IF(ISNUMBER(BF88),1,0)+IF(ISNUMBER(BG88),1,0)+IF(ISNUMBER(BH88),1,0)+IF(ISNUMBER(BI88),1,0)+IF(ISNUMBER(BJ88),1,0)),2),"")</f>
        <v>10.83</v>
      </c>
    </row>
    <row r="89" customFormat="false" ht="15" hidden="false" customHeight="false" outlineLevel="0" collapsed="false">
      <c r="A89" s="74" t="s">
        <v>140</v>
      </c>
      <c r="B89" s="74" t="s">
        <v>86</v>
      </c>
      <c r="C89" s="77" t="n">
        <v>2850</v>
      </c>
      <c r="D89" s="78" t="str">
        <f aca="false">IF(OR(Calculator!$E$11&lt;&gt;"YES",Calculator!$B$30&lt;Calculator!$G$11),"—",ROUND(MAX((50*POWER(80,POWER(COS(PI()*MOD(Calculator!$B$30/Calculator!$F$11,1)),2)))/$C89,$C89/(50*POWER(80,POWER(COS(PI()*MOD(Calculator!$B$30/Calculator!$F$11,1)),2)))),2))</f>
        <v>—</v>
      </c>
      <c r="E89" s="78" t="str">
        <f aca="false">IF(OR(Calculator!$E$12&lt;&gt;"YES",Calculator!$B$30&lt;Calculator!$G$12),"—",ROUND(MAX((50*POWER(80,POWER(COS(PI()*MOD(Calculator!$B$30/Calculator!$F$12,1)),2)))/$C89,$C89/(50*POWER(80,POWER(COS(PI()*MOD(Calculator!$B$30/Calculator!$F$12,1)),2)))),2))</f>
        <v>—</v>
      </c>
      <c r="F89" s="78" t="str">
        <f aca="false">IF(OR(Calculator!$E$13&lt;&gt;"YES",Calculator!$B$30&lt;Calculator!$G$13),"—",ROUND(MAX((50*POWER(80,POWER(COS(PI()*MOD(Calculator!$B$30/Calculator!$F$13,1)),2)))/$C89,$C89/(50*POWER(80,POWER(COS(PI()*MOD(Calculator!$B$30/Calculator!$F$13,1)),2)))),2))</f>
        <v>—</v>
      </c>
      <c r="G89" s="78" t="n">
        <f aca="false">IF(OR(Calculator!$E$14&lt;&gt;"YES",Calculator!$B$30&lt;Calculator!$G$14),"—",ROUND(MAX((50*POWER(80,POWER(COS(PI()*MOD(Calculator!$B$30/Calculator!$F$14,1)),2)))/$C89,$C89/(50*POWER(80,POWER(COS(PI()*MOD(Calculator!$B$30/Calculator!$F$14,1)),2)))),2))</f>
        <v>25.76</v>
      </c>
      <c r="H89" s="78" t="n">
        <f aca="false">IF(OR(Calculator!$E$15&lt;&gt;"YES",Calculator!$B$30&lt;Calculator!$G$15),"—",ROUND(MAX((50*POWER(80,POWER(COS(PI()*MOD(Calculator!$B$30/Calculator!$F$15,1)),2)))/$C89,$C89/(50*POWER(80,POWER(COS(PI()*MOD(Calculator!$B$30/Calculator!$F$15,1)),2)))),2))</f>
        <v>7.47</v>
      </c>
      <c r="I89" s="78" t="n">
        <f aca="false">IF(OR(Calculator!$E$16&lt;&gt;"YES",Calculator!$B$30&lt;Calculator!$G$16),"—",ROUND(MAX((50*POWER(80,POWER(COS(PI()*MOD(Calculator!$B$30/Calculator!$F$16,1)),2)))/$C89,$C89/(50*POWER(80,POWER(COS(PI()*MOD(Calculator!$B$30/Calculator!$F$16,1)),2)))),2))</f>
        <v>5.1</v>
      </c>
      <c r="J89" s="78" t="n">
        <f aca="false">IF(OR(Calculator!$E$17&lt;&gt;"YES",Calculator!$B$30&lt;Calculator!$G$17),"—",ROUND(MAX((50*POWER(80,POWER(COS(PI()*MOD(Calculator!$B$30/Calculator!$F$17,1)),2)))/$C89,$C89/(50*POWER(80,POWER(COS(PI()*MOD(Calculator!$B$30/Calculator!$F$17,1)),2)))),2))</f>
        <v>14.33</v>
      </c>
      <c r="K89" s="78" t="n">
        <f aca="false">IF(OR(Calculator!$E$18&lt;&gt;"YES",Calculator!$B$30&lt;Calculator!$G$18),"—",ROUND(MAX((50*POWER(80,POWER(COS(PI()*MOD(Calculator!$B$30/Calculator!$F$18,1)),2)))/$C89,$C89/(50*POWER(80,POWER(COS(PI()*MOD(Calculator!$B$30/Calculator!$F$18,1)),2)))),2))</f>
        <v>2.04</v>
      </c>
      <c r="L89" s="78" t="n">
        <f aca="false">IF(OR(Calculator!$E$19&lt;&gt;"YES",Calculator!$B$30&lt;Calculator!$G$19),"—",ROUND(MAX((50*POWER(80,POWER(COS(PI()*MOD(Calculator!$B$30/Calculator!$F$19,1)),2)))/$C89,$C89/(50*POWER(80,POWER(COS(PI()*MOD(Calculator!$B$30/Calculator!$F$19,1)),2)))),2))</f>
        <v>3.63</v>
      </c>
      <c r="M89" s="78" t="n">
        <f aca="false">IF(OR(Calculator!$E$20&lt;&gt;"YES",Calculator!$B$30&lt;Calculator!$G$20),"—",ROUND(MAX((50*POWER(80,POWER(COS(PI()*MOD(Calculator!$B$30/Calculator!$F$20,1)),2)))/$C89,$C89/(50*POWER(80,POWER(COS(PI()*MOD(Calculator!$B$30/Calculator!$F$20,1)),2)))),2))</f>
        <v>22.51</v>
      </c>
      <c r="N89" s="78" t="str">
        <f aca="false">IF(OR(Calculator!$E$21&lt;&gt;"YES",Calculator!$B$30&lt;Calculator!$G$21),"—",ROUND(MAX((50*POWER(80,POWER(COS(PI()*MOD(Calculator!$B$30/Calculator!$F$21,1)),2)))/$C89,$C89/(50*POWER(80,POWER(COS(PI()*MOD(Calculator!$B$30/Calculator!$F$21,1)),2)))),2))</f>
        <v>—</v>
      </c>
      <c r="O89" s="100" t="n">
        <f aca="false">IFERROR(ROUND((IF(ISNUMBER(D89),D89,0)+IF(ISNUMBER(E89),E89,0)+IF(ISNUMBER(F89),F89,0)+IF(ISNUMBER(G89),G89,0)+IF(ISNUMBER(H89),H89,0)+IF(ISNUMBER(I89),I89,0)+IF(ISNUMBER(J89),J89,0)+IF(ISNUMBER(K89),K89,0)+IF(ISNUMBER(L89),L89,0)+IF(ISNUMBER(M89),M89,0)+IF(ISNUMBER(N89),N89,0))/(IF(ISNUMBER(D89),1,0)+IF(ISNUMBER(E89),1,0)+IF(ISNUMBER(F89),1,0)+IF(ISNUMBER(G89),1,0)+IF(ISNUMBER(H89),1,0)+IF(ISNUMBER(I89),1,0)+IF(ISNUMBER(J89),1,0)+IF(ISNUMBER(K89),1,0)+IF(ISNUMBER(L89),1,0)+IF(ISNUMBER(M89),1,0)+IF(ISNUMBER(N89),1,0)),2),"")</f>
        <v>11.55</v>
      </c>
      <c r="P89" s="78" t="str">
        <f aca="false">IF(OR(Calculator!$E$11&lt;&gt;"YES",Calculator!$B$31&lt;Calculator!$G$11),"—",ROUND(MAX((50*POWER(80,POWER(COS(PI()*MOD(Calculator!$B$31/Calculator!$F$11,1)),2)))/$C89,$C89/(50*POWER(80,POWER(COS(PI()*MOD(Calculator!$B$31/Calculator!$F$11,1)),2)))),2))</f>
        <v>—</v>
      </c>
      <c r="Q89" s="78" t="str">
        <f aca="false">IF(OR(Calculator!$E$12&lt;&gt;"YES",Calculator!$B$31&lt;Calculator!$G$12),"—",ROUND(MAX((50*POWER(80,POWER(COS(PI()*MOD(Calculator!$B$31/Calculator!$F$12,1)),2)))/$C89,$C89/(50*POWER(80,POWER(COS(PI()*MOD(Calculator!$B$31/Calculator!$F$12,1)),2)))),2))</f>
        <v>—</v>
      </c>
      <c r="R89" s="78" t="str">
        <f aca="false">IF(OR(Calculator!$E$13&lt;&gt;"YES",Calculator!$B$31&lt;Calculator!$G$13),"—",ROUND(MAX((50*POWER(80,POWER(COS(PI()*MOD(Calculator!$B$31/Calculator!$F$13,1)),2)))/$C89,$C89/(50*POWER(80,POWER(COS(PI()*MOD(Calculator!$B$31/Calculator!$F$13,1)),2)))),2))</f>
        <v>—</v>
      </c>
      <c r="S89" s="78" t="n">
        <f aca="false">IF(OR(Calculator!$E$14&lt;&gt;"YES",Calculator!$B$31&lt;Calculator!$G$14),"—",ROUND(MAX((50*POWER(80,POWER(COS(PI()*MOD(Calculator!$B$31/Calculator!$F$14,1)),2)))/$C89,$C89/(50*POWER(80,POWER(COS(PI()*MOD(Calculator!$B$31/Calculator!$F$14,1)),2)))),2))</f>
        <v>26.37</v>
      </c>
      <c r="T89" s="78" t="n">
        <f aca="false">IF(OR(Calculator!$E$15&lt;&gt;"YES",Calculator!$B$31&lt;Calculator!$G$15),"—",ROUND(MAX((50*POWER(80,POWER(COS(PI()*MOD(Calculator!$B$31/Calculator!$F$15,1)),2)))/$C89,$C89/(50*POWER(80,POWER(COS(PI()*MOD(Calculator!$B$31/Calculator!$F$15,1)),2)))),2))</f>
        <v>16.04</v>
      </c>
      <c r="U89" s="78" t="n">
        <f aca="false">IF(OR(Calculator!$E$16&lt;&gt;"YES",Calculator!$B$31&lt;Calculator!$G$16),"—",ROUND(MAX((50*POWER(80,POWER(COS(PI()*MOD(Calculator!$B$31/Calculator!$F$16,1)),2)))/$C89,$C89/(50*POWER(80,POWER(COS(PI()*MOD(Calculator!$B$31/Calculator!$F$16,1)),2)))),2))</f>
        <v>6.11</v>
      </c>
      <c r="V89" s="78" t="n">
        <f aca="false">IF(OR(Calculator!$E$17&lt;&gt;"YES",Calculator!$B$31&lt;Calculator!$G$17),"—",ROUND(MAX((50*POWER(80,POWER(COS(PI()*MOD(Calculator!$B$31/Calculator!$F$17,1)),2)))/$C89,$C89/(50*POWER(80,POWER(COS(PI()*MOD(Calculator!$B$31/Calculator!$F$17,1)),2)))),2))</f>
        <v>1.76</v>
      </c>
      <c r="W89" s="78" t="n">
        <f aca="false">IF(OR(Calculator!$E$18&lt;&gt;"YES",Calculator!$B$31&lt;Calculator!$G$18),"—",ROUND(MAX((50*POWER(80,POWER(COS(PI()*MOD(Calculator!$B$31/Calculator!$F$18,1)),2)))/$C89,$C89/(50*POWER(80,POWER(COS(PI()*MOD(Calculator!$B$31/Calculator!$F$18,1)),2)))),2))</f>
        <v>1.55</v>
      </c>
      <c r="X89" s="78" t="n">
        <f aca="false">IF(OR(Calculator!$E$19&lt;&gt;"YES",Calculator!$B$31&lt;Calculator!$G$19),"—",ROUND(MAX((50*POWER(80,POWER(COS(PI()*MOD(Calculator!$B$31/Calculator!$F$19,1)),2)))/$C89,$C89/(50*POWER(80,POWER(COS(PI()*MOD(Calculator!$B$31/Calculator!$F$19,1)),2)))),2))</f>
        <v>10.59</v>
      </c>
      <c r="Y89" s="78" t="n">
        <f aca="false">IF(OR(Calculator!$E$20&lt;&gt;"YES",Calculator!$B$31&lt;Calculator!$G$20),"—",ROUND(MAX((50*POWER(80,POWER(COS(PI()*MOD(Calculator!$B$31/Calculator!$F$20,1)),2)))/$C89,$C89/(50*POWER(80,POWER(COS(PI()*MOD(Calculator!$B$31/Calculator!$F$20,1)),2)))),2))</f>
        <v>34.97</v>
      </c>
      <c r="Z89" s="78" t="str">
        <f aca="false">IF(OR(Calculator!$E$21&lt;&gt;"YES",Calculator!$B$31&lt;Calculator!$G$21),"—",ROUND(MAX((50*POWER(80,POWER(COS(PI()*MOD(Calculator!$B$31/Calculator!$F$21,1)),2)))/$C89,$C89/(50*POWER(80,POWER(COS(PI()*MOD(Calculator!$B$31/Calculator!$F$21,1)),2)))),2))</f>
        <v>—</v>
      </c>
      <c r="AA89" s="100" t="n">
        <f aca="false">IFERROR(ROUND((IF(ISNUMBER(P89),P89,0)+IF(ISNUMBER(Q89),Q89,0)+IF(ISNUMBER(R89),R89,0)+IF(ISNUMBER(S89),S89,0)+IF(ISNUMBER(T89),T89,0)+IF(ISNUMBER(U89),U89,0)+IF(ISNUMBER(V89),V89,0)+IF(ISNUMBER(W89),W89,0)+IF(ISNUMBER(X89),X89,0)+IF(ISNUMBER(Y89),Y89,0)+IF(ISNUMBER(Z89),Z89,0))/(IF(ISNUMBER(P89),1,0)+IF(ISNUMBER(Q89),1,0)+IF(ISNUMBER(R89),1,0)+IF(ISNUMBER(S89),1,0)+IF(ISNUMBER(T89),1,0)+IF(ISNUMBER(U89),1,0)+IF(ISNUMBER(V89),1,0)+IF(ISNUMBER(W89),1,0)+IF(ISNUMBER(X89),1,0)+IF(ISNUMBER(Y89),1,0)+IF(ISNUMBER(Z89),1,0)),2),"")</f>
        <v>13.91</v>
      </c>
      <c r="AB89" s="78" t="str">
        <f aca="false">IF(OR(Calculator!$E$11&lt;&gt;"YES",Calculator!$B$32&lt;Calculator!$G$11),"—",ROUND(MAX((50*POWER(80,POWER(COS(PI()*MOD(Calculator!$B$32/Calculator!$F$11,1)),2)))/$C89,$C89/(50*POWER(80,POWER(COS(PI()*MOD(Calculator!$B$32/Calculator!$F$11,1)),2)))),2))</f>
        <v>—</v>
      </c>
      <c r="AC89" s="78" t="str">
        <f aca="false">IF(OR(Calculator!$E$12&lt;&gt;"YES",Calculator!$B$32&lt;Calculator!$G$12),"—",ROUND(MAX((50*POWER(80,POWER(COS(PI()*MOD(Calculator!$B$32/Calculator!$F$12,1)),2)))/$C89,$C89/(50*POWER(80,POWER(COS(PI()*MOD(Calculator!$B$32/Calculator!$F$12,1)),2)))),2))</f>
        <v>—</v>
      </c>
      <c r="AD89" s="78" t="str">
        <f aca="false">IF(OR(Calculator!$E$13&lt;&gt;"YES",Calculator!$B$32&lt;Calculator!$G$13),"—",ROUND(MAX((50*POWER(80,POWER(COS(PI()*MOD(Calculator!$B$32/Calculator!$F$13,1)),2)))/$C89,$C89/(50*POWER(80,POWER(COS(PI()*MOD(Calculator!$B$32/Calculator!$F$13,1)),2)))),2))</f>
        <v>—</v>
      </c>
      <c r="AE89" s="78" t="n">
        <f aca="false">IF(OR(Calculator!$E$14&lt;&gt;"YES",Calculator!$B$32&lt;Calculator!$G$14),"—",ROUND(MAX((50*POWER(80,POWER(COS(PI()*MOD(Calculator!$B$32/Calculator!$F$14,1)),2)))/$C89,$C89/(50*POWER(80,POWER(COS(PI()*MOD(Calculator!$B$32/Calculator!$F$14,1)),2)))),2))</f>
        <v>16.65</v>
      </c>
      <c r="AF89" s="78" t="n">
        <f aca="false">IF(OR(Calculator!$E$15&lt;&gt;"YES",Calculator!$B$32&lt;Calculator!$G$15),"—",ROUND(MAX((50*POWER(80,POWER(COS(PI()*MOD(Calculator!$B$32/Calculator!$F$15,1)),2)))/$C89,$C89/(50*POWER(80,POWER(COS(PI()*MOD(Calculator!$B$32/Calculator!$F$15,1)),2)))),2))</f>
        <v>10.77</v>
      </c>
      <c r="AG89" s="78" t="n">
        <f aca="false">IF(OR(Calculator!$E$16&lt;&gt;"YES",Calculator!$B$32&lt;Calculator!$G$16),"—",ROUND(MAX((50*POWER(80,POWER(COS(PI()*MOD(Calculator!$B$32/Calculator!$F$16,1)),2)))/$C89,$C89/(50*POWER(80,POWER(COS(PI()*MOD(Calculator!$B$32/Calculator!$F$16,1)),2)))),2))</f>
        <v>36.34</v>
      </c>
      <c r="AH89" s="78" t="n">
        <f aca="false">IF(OR(Calculator!$E$17&lt;&gt;"YES",Calculator!$B$32&lt;Calculator!$G$17),"—",ROUND(MAX((50*POWER(80,POWER(COS(PI()*MOD(Calculator!$B$32/Calculator!$F$17,1)),2)))/$C89,$C89/(50*POWER(80,POWER(COS(PI()*MOD(Calculator!$B$32/Calculator!$F$17,1)),2)))),2))</f>
        <v>1.24</v>
      </c>
      <c r="AI89" s="78" t="n">
        <f aca="false">IF(OR(Calculator!$E$18&lt;&gt;"YES",Calculator!$B$32&lt;Calculator!$G$18),"—",ROUND(MAX((50*POWER(80,POWER(COS(PI()*MOD(Calculator!$B$32/Calculator!$F$18,1)),2)))/$C89,$C89/(50*POWER(80,POWER(COS(PI()*MOD(Calculator!$B$32/Calculator!$F$18,1)),2)))),2))</f>
        <v>1.14</v>
      </c>
      <c r="AJ89" s="78" t="n">
        <f aca="false">IF(OR(Calculator!$E$19&lt;&gt;"YES",Calculator!$B$32&lt;Calculator!$G$19),"—",ROUND(MAX((50*POWER(80,POWER(COS(PI()*MOD(Calculator!$B$32/Calculator!$F$19,1)),2)))/$C89,$C89/(50*POWER(80,POWER(COS(PI()*MOD(Calculator!$B$32/Calculator!$F$19,1)),2)))),2))</f>
        <v>1.08</v>
      </c>
      <c r="AK89" s="78" t="n">
        <f aca="false">IF(OR(Calculator!$E$20&lt;&gt;"YES",Calculator!$B$32&lt;Calculator!$G$20),"—",ROUND(MAX((50*POWER(80,POWER(COS(PI()*MOD(Calculator!$B$32/Calculator!$F$20,1)),2)))/$C89,$C89/(50*POWER(80,POWER(COS(PI()*MOD(Calculator!$B$32/Calculator!$F$20,1)),2)))),2))</f>
        <v>28.58</v>
      </c>
      <c r="AL89" s="78" t="str">
        <f aca="false">IF(OR(Calculator!$E$21&lt;&gt;"YES",Calculator!$B$32&lt;Calculator!$G$21),"—",ROUND(MAX((50*POWER(80,POWER(COS(PI()*MOD(Calculator!$B$32/Calculator!$F$21,1)),2)))/$C89,$C89/(50*POWER(80,POWER(COS(PI()*MOD(Calculator!$B$32/Calculator!$F$21,1)),2)))),2))</f>
        <v>—</v>
      </c>
      <c r="AM89" s="101" t="n">
        <f aca="false">IFERROR(ROUND((IF(ISNUMBER(AB89),AB89,0)+IF(ISNUMBER(AC89),AC89,0)+IF(ISNUMBER(AD89),AD89,0)+IF(ISNUMBER(AE89),AE89,0)+IF(ISNUMBER(AF89),AF89,0)+IF(ISNUMBER(AG89),AG89,0)+IF(ISNUMBER(AH89),AH89,0)+IF(ISNUMBER(AI89),AI89,0)+IF(ISNUMBER(AJ89),AJ89,0)+IF(ISNUMBER(AK89),AK89,0)+IF(ISNUMBER(AL89),AL89,0))/(IF(ISNUMBER(AB89),1,0)+IF(ISNUMBER(AC89),1,0)+IF(ISNUMBER(AD89),1,0)+IF(ISNUMBER(AE89),1,0)+IF(ISNUMBER(AF89),1,0)+IF(ISNUMBER(AG89),1,0)+IF(ISNUMBER(AH89),1,0)+IF(ISNUMBER(AI89),1,0)+IF(ISNUMBER(AJ89),1,0)+IF(ISNUMBER(AK89),1,0)+IF(ISNUMBER(AL89),1,0)),2),"")</f>
        <v>13.69</v>
      </c>
      <c r="AN89" s="102" t="str">
        <f aca="false">IF(OR(Calculator!$E$11&lt;&gt;"YES",Calculator!$B$33&lt;Calculator!$G$11),"—",ROUND(MAX((50*POWER(80,POWER(COS(PI()*MOD(Calculator!$B$33/Calculator!$F$11,1)),2)))/$C89,$C89/(50*POWER(80,POWER(COS(PI()*MOD(Calculator!$B$33/Calculator!$F$11,1)),2)))),2))</f>
        <v>—</v>
      </c>
      <c r="AO89" s="102" t="str">
        <f aca="false">IF(OR(Calculator!$E$12&lt;&gt;"YES",Calculator!$B$33&lt;Calculator!$G$12),"—",ROUND(MAX((50*POWER(80,POWER(COS(PI()*MOD(Calculator!$B$33/Calculator!$F$12,1)),2)))/$C89,$C89/(50*POWER(80,POWER(COS(PI()*MOD(Calculator!$B$33/Calculator!$F$12,1)),2)))),2))</f>
        <v>—</v>
      </c>
      <c r="AP89" s="102" t="str">
        <f aca="false">IF(OR(Calculator!$E$13&lt;&gt;"YES",Calculator!$B$33&lt;Calculator!$G$13),"—",ROUND(MAX((50*POWER(80,POWER(COS(PI()*MOD(Calculator!$B$33/Calculator!$F$13,1)),2)))/$C89,$C89/(50*POWER(80,POWER(COS(PI()*MOD(Calculator!$B$33/Calculator!$F$13,1)),2)))),2))</f>
        <v>—</v>
      </c>
      <c r="AQ89" s="102" t="n">
        <f aca="false">IF(OR(Calculator!$E$14&lt;&gt;"YES",Calculator!$B$33&lt;Calculator!$G$14),"—",ROUND(MAX((50*POWER(80,POWER(COS(PI()*MOD(Calculator!$B$33/Calculator!$F$14,1)),2)))/$C89,$C89/(50*POWER(80,POWER(COS(PI()*MOD(Calculator!$B$33/Calculator!$F$14,1)),2)))),2))</f>
        <v>1.05</v>
      </c>
      <c r="AR89" s="102" t="n">
        <f aca="false">IF(OR(Calculator!$E$15&lt;&gt;"YES",Calculator!$B$33&lt;Calculator!$G$15),"—",ROUND(MAX((50*POWER(80,POWER(COS(PI()*MOD(Calculator!$B$33/Calculator!$F$15,1)),2)))/$C89,$C89/(50*POWER(80,POWER(COS(PI()*MOD(Calculator!$B$33/Calculator!$F$15,1)),2)))),2))</f>
        <v>9.71</v>
      </c>
      <c r="AS89" s="102" t="n">
        <f aca="false">IF(OR(Calculator!$E$16&lt;&gt;"YES",Calculator!$B$33&lt;Calculator!$G$16),"—",ROUND(MAX((50*POWER(80,POWER(COS(PI()*MOD(Calculator!$B$33/Calculator!$F$16,1)),2)))/$C89,$C89/(50*POWER(80,POWER(COS(PI()*MOD(Calculator!$B$33/Calculator!$F$16,1)),2)))),2))</f>
        <v>3.55</v>
      </c>
      <c r="AT89" s="102" t="n">
        <f aca="false">IF(OR(Calculator!$E$17&lt;&gt;"YES",Calculator!$B$33&lt;Calculator!$G$17),"—",ROUND(MAX((50*POWER(80,POWER(COS(PI()*MOD(Calculator!$B$33/Calculator!$F$17,1)),2)))/$C89,$C89/(50*POWER(80,POWER(COS(PI()*MOD(Calculator!$B$33/Calculator!$F$17,1)),2)))),2))</f>
        <v>11.26</v>
      </c>
      <c r="AU89" s="102" t="n">
        <f aca="false">IF(OR(Calculator!$E$18&lt;&gt;"YES",Calculator!$B$33&lt;Calculator!$G$18),"—",ROUND(MAX((50*POWER(80,POWER(COS(PI()*MOD(Calculator!$B$33/Calculator!$F$18,1)),2)))/$C89,$C89/(50*POWER(80,POWER(COS(PI()*MOD(Calculator!$B$33/Calculator!$F$18,1)),2)))),2))</f>
        <v>15.24</v>
      </c>
      <c r="AV89" s="102" t="n">
        <f aca="false">IF(OR(Calculator!$E$19&lt;&gt;"YES",Calculator!$B$33&lt;Calculator!$G$19),"—",ROUND(MAX((50*POWER(80,POWER(COS(PI()*MOD(Calculator!$B$33/Calculator!$F$19,1)),2)))/$C89,$C89/(50*POWER(80,POWER(COS(PI()*MOD(Calculator!$B$33/Calculator!$F$19,1)),2)))),2))</f>
        <v>1.86</v>
      </c>
      <c r="AW89" s="102" t="n">
        <f aca="false">IF(OR(Calculator!$E$20&lt;&gt;"YES",Calculator!$B$33&lt;Calculator!$G$20),"—",ROUND(MAX((50*POWER(80,POWER(COS(PI()*MOD(Calculator!$B$33/Calculator!$F$20,1)),2)))/$C89,$C89/(50*POWER(80,POWER(COS(PI()*MOD(Calculator!$B$33/Calculator!$F$20,1)),2)))),2))</f>
        <v>23.26</v>
      </c>
      <c r="AX89" s="102" t="str">
        <f aca="false">IF(OR(Calculator!$E$21&lt;&gt;"YES",Calculator!$B$33&lt;Calculator!$G$21),"—",ROUND(MAX((50*POWER(80,POWER(COS(PI()*MOD(Calculator!$B$33/Calculator!$F$21,1)),2)))/$C89,$C89/(50*POWER(80,POWER(COS(PI()*MOD(Calculator!$B$33/Calculator!$F$21,1)),2)))),2))</f>
        <v>—</v>
      </c>
      <c r="AY89" s="101" t="n">
        <f aca="false">IFERROR(ROUND((IF(ISNUMBER(AN89),AN89,0)+IF(ISNUMBER(AO89),AO89,0)+IF(ISNUMBER(AP89),AP89,0)+IF(ISNUMBER(AQ89),AQ89,0)+IF(ISNUMBER(AR89),AR89,0)+IF(ISNUMBER(AS89),AS89,0)+IF(ISNUMBER(AT89),AT89,0)+IF(ISNUMBER(AU89),AU89,0)+IF(ISNUMBER(AV89),AV89,0)+IF(ISNUMBER(AW89),AW89,0)+IF(ISNUMBER(AX89),AX89,0))/(IF(ISNUMBER(AN89),1,0)+IF(ISNUMBER(AO89),1,0)+IF(ISNUMBER(AP89),1,0)+IF(ISNUMBER(AQ89),1,0)+IF(ISNUMBER(AR89),1,0)+IF(ISNUMBER(AS89),1,0)+IF(ISNUMBER(AT89),1,0)+IF(ISNUMBER(AU89),1,0)+IF(ISNUMBER(AV89),1,0)+IF(ISNUMBER(AW89),1,0)+IF(ISNUMBER(AX89),1,0)),2),"")</f>
        <v>9.42</v>
      </c>
      <c r="AZ89" s="102" t="str">
        <f aca="false">IF(OR(Calculator!$E$11&lt;&gt;"YES",Calculator!$B$34&lt;Calculator!$G$11),"—",ROUND(MAX((50*POWER(80,POWER(COS(PI()*MOD(Calculator!$B$34/Calculator!$F$11,1)),2)))/$C89,$C89/(50*POWER(80,POWER(COS(PI()*MOD(Calculator!$B$34/Calculator!$F$11,1)),2)))),2))</f>
        <v>—</v>
      </c>
      <c r="BA89" s="102" t="str">
        <f aca="false">IF(OR(Calculator!$E$12&lt;&gt;"YES",Calculator!$B$34&lt;Calculator!$G$12),"—",ROUND(MAX((50*POWER(80,POWER(COS(PI()*MOD(Calculator!$B$34/Calculator!$F$12,1)),2)))/$C89,$C89/(50*POWER(80,POWER(COS(PI()*MOD(Calculator!$B$34/Calculator!$F$12,1)),2)))),2))</f>
        <v>—</v>
      </c>
      <c r="BB89" s="102" t="str">
        <f aca="false">IF(OR(Calculator!$E$13&lt;&gt;"YES",Calculator!$B$34&lt;Calculator!$G$13),"—",ROUND(MAX((50*POWER(80,POWER(COS(PI()*MOD(Calculator!$B$34/Calculator!$F$13,1)),2)))/$C89,$C89/(50*POWER(80,POWER(COS(PI()*MOD(Calculator!$B$34/Calculator!$F$13,1)),2)))),2))</f>
        <v>—</v>
      </c>
      <c r="BC89" s="102" t="n">
        <f aca="false">IF(OR(Calculator!$E$14&lt;&gt;"YES",Calculator!$B$34&lt;Calculator!$G$14),"—",ROUND(MAX((50*POWER(80,POWER(COS(PI()*MOD(Calculator!$B$34/Calculator!$F$14,1)),2)))/$C89,$C89/(50*POWER(80,POWER(COS(PI()*MOD(Calculator!$B$34/Calculator!$F$14,1)),2)))),2))</f>
        <v>1.03</v>
      </c>
      <c r="BD89" s="102" t="n">
        <f aca="false">IF(OR(Calculator!$E$15&lt;&gt;"YES",Calculator!$B$34&lt;Calculator!$G$15),"—",ROUND(MAX((50*POWER(80,POWER(COS(PI()*MOD(Calculator!$B$34/Calculator!$F$15,1)),2)))/$C89,$C89/(50*POWER(80,POWER(COS(PI()*MOD(Calculator!$B$34/Calculator!$F$15,1)),2)))),2))</f>
        <v>12.54</v>
      </c>
      <c r="BE89" s="102" t="n">
        <f aca="false">IF(OR(Calculator!$E$16&lt;&gt;"YES",Calculator!$B$34&lt;Calculator!$G$16),"—",ROUND(MAX((50*POWER(80,POWER(COS(PI()*MOD(Calculator!$B$34/Calculator!$F$16,1)),2)))/$C89,$C89/(50*POWER(80,POWER(COS(PI()*MOD(Calculator!$B$34/Calculator!$F$16,1)),2)))),2))</f>
        <v>4.23</v>
      </c>
      <c r="BF89" s="102" t="n">
        <f aca="false">IF(OR(Calculator!$E$17&lt;&gt;"YES",Calculator!$B$34&lt;Calculator!$G$17),"—",ROUND(MAX((50*POWER(80,POWER(COS(PI()*MOD(Calculator!$B$34/Calculator!$F$17,1)),2)))/$C89,$C89/(50*POWER(80,POWER(COS(PI()*MOD(Calculator!$B$34/Calculator!$F$17,1)),2)))),2))</f>
        <v>2.18</v>
      </c>
      <c r="BG89" s="102" t="n">
        <f aca="false">IF(OR(Calculator!$E$18&lt;&gt;"YES",Calculator!$B$34&lt;Calculator!$G$18),"—",ROUND(MAX((50*POWER(80,POWER(COS(PI()*MOD(Calculator!$B$34/Calculator!$F$18,1)),2)))/$C89,$C89/(50*POWER(80,POWER(COS(PI()*MOD(Calculator!$B$34/Calculator!$F$18,1)),2)))),2))</f>
        <v>20.62</v>
      </c>
      <c r="BH89" s="102" t="n">
        <f aca="false">IF(OR(Calculator!$E$19&lt;&gt;"YES",Calculator!$B$34&lt;Calculator!$G$19),"—",ROUND(MAX((50*POWER(80,POWER(COS(PI()*MOD(Calculator!$B$34/Calculator!$F$19,1)),2)))/$C89,$C89/(50*POWER(80,POWER(COS(PI()*MOD(Calculator!$B$34/Calculator!$F$19,1)),2)))),2))</f>
        <v>22.93</v>
      </c>
      <c r="BI89" s="102" t="n">
        <f aca="false">IF(OR(Calculator!$E$20&lt;&gt;"YES",Calculator!$B$34&lt;Calculator!$G$20),"—",ROUND(MAX((50*POWER(80,POWER(COS(PI()*MOD(Calculator!$B$34/Calculator!$F$20,1)),2)))/$C89,$C89/(50*POWER(80,POWER(COS(PI()*MOD(Calculator!$B$34/Calculator!$F$20,1)),2)))),2))</f>
        <v>13.68</v>
      </c>
      <c r="BJ89" s="102" t="str">
        <f aca="false">IF(OR(Calculator!$E$21&lt;&gt;"YES",Calculator!$B$34&lt;Calculator!$G$21),"—",ROUND(MAX((50*POWER(80,POWER(COS(PI()*MOD(Calculator!$B$34/Calculator!$F$21,1)),2)))/$C89,$C89/(50*POWER(80,POWER(COS(PI()*MOD(Calculator!$B$34/Calculator!$F$21,1)),2)))),2))</f>
        <v>—</v>
      </c>
      <c r="BK89" s="101" t="n">
        <f aca="false">IFERROR(ROUND((IF(ISNUMBER(AZ89),AZ89,0)+IF(ISNUMBER(BA89),BA89,0)+IF(ISNUMBER(BB89),BB89,0)+IF(ISNUMBER(BC89),BC89,0)+IF(ISNUMBER(BD89),BD89,0)+IF(ISNUMBER(BE89),BE89,0)+IF(ISNUMBER(BF89),BF89,0)+IF(ISNUMBER(BG89),BG89,0)+IF(ISNUMBER(BH89),BH89,0)+IF(ISNUMBER(BI89),BI89,0)+IF(ISNUMBER(BJ89),BJ89,0))/(IF(ISNUMBER(AZ89),1,0)+IF(ISNUMBER(BA89),1,0)+IF(ISNUMBER(BB89),1,0)+IF(ISNUMBER(BC89),1,0)+IF(ISNUMBER(BD89),1,0)+IF(ISNUMBER(BE89),1,0)+IF(ISNUMBER(BF89),1,0)+IF(ISNUMBER(BG89),1,0)+IF(ISNUMBER(BH89),1,0)+IF(ISNUMBER(BI89),1,0)+IF(ISNUMBER(BJ89),1,0)),2),"")</f>
        <v>11.03</v>
      </c>
    </row>
    <row r="90" customFormat="false" ht="15" hidden="false" customHeight="false" outlineLevel="0" collapsed="false">
      <c r="A90" s="103" t="s">
        <v>141</v>
      </c>
      <c r="B90" s="103" t="s">
        <v>86</v>
      </c>
      <c r="C90" s="104" t="n">
        <v>2900</v>
      </c>
      <c r="D90" s="105" t="str">
        <f aca="false">IF(OR(Calculator!$E$11&lt;&gt;"YES",Calculator!$B$30&lt;Calculator!$G$11),"—",ROUND(MAX((50*POWER(80,POWER(COS(PI()*MOD(Calculator!$B$30/Calculator!$F$11,1)),2)))/$C90,$C90/(50*POWER(80,POWER(COS(PI()*MOD(Calculator!$B$30/Calculator!$F$11,1)),2)))),2))</f>
        <v>—</v>
      </c>
      <c r="E90" s="105" t="str">
        <f aca="false">IF(OR(Calculator!$E$12&lt;&gt;"YES",Calculator!$B$30&lt;Calculator!$G$12),"—",ROUND(MAX((50*POWER(80,POWER(COS(PI()*MOD(Calculator!$B$30/Calculator!$F$12,1)),2)))/$C90,$C90/(50*POWER(80,POWER(COS(PI()*MOD(Calculator!$B$30/Calculator!$F$12,1)),2)))),2))</f>
        <v>—</v>
      </c>
      <c r="F90" s="105" t="str">
        <f aca="false">IF(OR(Calculator!$E$13&lt;&gt;"YES",Calculator!$B$30&lt;Calculator!$G$13),"—",ROUND(MAX((50*POWER(80,POWER(COS(PI()*MOD(Calculator!$B$30/Calculator!$F$13,1)),2)))/$C90,$C90/(50*POWER(80,POWER(COS(PI()*MOD(Calculator!$B$30/Calculator!$F$13,1)),2)))),2))</f>
        <v>—</v>
      </c>
      <c r="G90" s="105" t="n">
        <f aca="false">IF(OR(Calculator!$E$14&lt;&gt;"YES",Calculator!$B$30&lt;Calculator!$G$14),"—",ROUND(MAX((50*POWER(80,POWER(COS(PI()*MOD(Calculator!$B$30/Calculator!$F$14,1)),2)))/$C90,$C90/(50*POWER(80,POWER(COS(PI()*MOD(Calculator!$B$30/Calculator!$F$14,1)),2)))),2))</f>
        <v>26.21</v>
      </c>
      <c r="H90" s="105" t="n">
        <f aca="false">IF(OR(Calculator!$E$15&lt;&gt;"YES",Calculator!$B$30&lt;Calculator!$G$15),"—",ROUND(MAX((50*POWER(80,POWER(COS(PI()*MOD(Calculator!$B$30/Calculator!$F$15,1)),2)))/$C90,$C90/(50*POWER(80,POWER(COS(PI()*MOD(Calculator!$B$30/Calculator!$F$15,1)),2)))),2))</f>
        <v>7.6</v>
      </c>
      <c r="I90" s="105" t="n">
        <f aca="false">IF(OR(Calculator!$E$16&lt;&gt;"YES",Calculator!$B$30&lt;Calculator!$G$16),"—",ROUND(MAX((50*POWER(80,POWER(COS(PI()*MOD(Calculator!$B$30/Calculator!$F$16,1)),2)))/$C90,$C90/(50*POWER(80,POWER(COS(PI()*MOD(Calculator!$B$30/Calculator!$F$16,1)),2)))),2))</f>
        <v>5.19</v>
      </c>
      <c r="J90" s="105" t="n">
        <f aca="false">IF(OR(Calculator!$E$17&lt;&gt;"YES",Calculator!$B$30&lt;Calculator!$G$17),"—",ROUND(MAX((50*POWER(80,POWER(COS(PI()*MOD(Calculator!$B$30/Calculator!$F$17,1)),2)))/$C90,$C90/(50*POWER(80,POWER(COS(PI()*MOD(Calculator!$B$30/Calculator!$F$17,1)),2)))),2))</f>
        <v>14.58</v>
      </c>
      <c r="K90" s="105" t="n">
        <f aca="false">IF(OR(Calculator!$E$18&lt;&gt;"YES",Calculator!$B$30&lt;Calculator!$G$18),"—",ROUND(MAX((50*POWER(80,POWER(COS(PI()*MOD(Calculator!$B$30/Calculator!$F$18,1)),2)))/$C90,$C90/(50*POWER(80,POWER(COS(PI()*MOD(Calculator!$B$30/Calculator!$F$18,1)),2)))),2))</f>
        <v>2.08</v>
      </c>
      <c r="L90" s="105" t="n">
        <f aca="false">IF(OR(Calculator!$E$19&lt;&gt;"YES",Calculator!$B$30&lt;Calculator!$G$19),"—",ROUND(MAX((50*POWER(80,POWER(COS(PI()*MOD(Calculator!$B$30/Calculator!$F$19,1)),2)))/$C90,$C90/(50*POWER(80,POWER(COS(PI()*MOD(Calculator!$B$30/Calculator!$F$19,1)),2)))),2))</f>
        <v>3.69</v>
      </c>
      <c r="M90" s="105" t="n">
        <f aca="false">IF(OR(Calculator!$E$20&lt;&gt;"YES",Calculator!$B$30&lt;Calculator!$G$20),"—",ROUND(MAX((50*POWER(80,POWER(COS(PI()*MOD(Calculator!$B$30/Calculator!$F$20,1)),2)))/$C90,$C90/(50*POWER(80,POWER(COS(PI()*MOD(Calculator!$B$30/Calculator!$F$20,1)),2)))),2))</f>
        <v>22.91</v>
      </c>
      <c r="N90" s="105" t="str">
        <f aca="false">IF(OR(Calculator!$E$21&lt;&gt;"YES",Calculator!$B$30&lt;Calculator!$G$21),"—",ROUND(MAX((50*POWER(80,POWER(COS(PI()*MOD(Calculator!$B$30/Calculator!$F$21,1)),2)))/$C90,$C90/(50*POWER(80,POWER(COS(PI()*MOD(Calculator!$B$30/Calculator!$F$21,1)),2)))),2))</f>
        <v>—</v>
      </c>
      <c r="O90" s="100" t="n">
        <f aca="false">IFERROR(ROUND((IF(ISNUMBER(D90),D90,0)+IF(ISNUMBER(E90),E90,0)+IF(ISNUMBER(F90),F90,0)+IF(ISNUMBER(G90),G90,0)+IF(ISNUMBER(H90),H90,0)+IF(ISNUMBER(I90),I90,0)+IF(ISNUMBER(J90),J90,0)+IF(ISNUMBER(K90),K90,0)+IF(ISNUMBER(L90),L90,0)+IF(ISNUMBER(M90),M90,0)+IF(ISNUMBER(N90),N90,0))/(IF(ISNUMBER(D90),1,0)+IF(ISNUMBER(E90),1,0)+IF(ISNUMBER(F90),1,0)+IF(ISNUMBER(G90),1,0)+IF(ISNUMBER(H90),1,0)+IF(ISNUMBER(I90),1,0)+IF(ISNUMBER(J90),1,0)+IF(ISNUMBER(K90),1,0)+IF(ISNUMBER(L90),1,0)+IF(ISNUMBER(M90),1,0)+IF(ISNUMBER(N90),1,0)),2),"")</f>
        <v>11.75</v>
      </c>
      <c r="P90" s="105" t="str">
        <f aca="false">IF(OR(Calculator!$E$11&lt;&gt;"YES",Calculator!$B$31&lt;Calculator!$G$11),"—",ROUND(MAX((50*POWER(80,POWER(COS(PI()*MOD(Calculator!$B$31/Calculator!$F$11,1)),2)))/$C90,$C90/(50*POWER(80,POWER(COS(PI()*MOD(Calculator!$B$31/Calculator!$F$11,1)),2)))),2))</f>
        <v>—</v>
      </c>
      <c r="Q90" s="105" t="str">
        <f aca="false">IF(OR(Calculator!$E$12&lt;&gt;"YES",Calculator!$B$31&lt;Calculator!$G$12),"—",ROUND(MAX((50*POWER(80,POWER(COS(PI()*MOD(Calculator!$B$31/Calculator!$F$12,1)),2)))/$C90,$C90/(50*POWER(80,POWER(COS(PI()*MOD(Calculator!$B$31/Calculator!$F$12,1)),2)))),2))</f>
        <v>—</v>
      </c>
      <c r="R90" s="105" t="str">
        <f aca="false">IF(OR(Calculator!$E$13&lt;&gt;"YES",Calculator!$B$31&lt;Calculator!$G$13),"—",ROUND(MAX((50*POWER(80,POWER(COS(PI()*MOD(Calculator!$B$31/Calculator!$F$13,1)),2)))/$C90,$C90/(50*POWER(80,POWER(COS(PI()*MOD(Calculator!$B$31/Calculator!$F$13,1)),2)))),2))</f>
        <v>—</v>
      </c>
      <c r="S90" s="105" t="n">
        <f aca="false">IF(OR(Calculator!$E$14&lt;&gt;"YES",Calculator!$B$31&lt;Calculator!$G$14),"—",ROUND(MAX((50*POWER(80,POWER(COS(PI()*MOD(Calculator!$B$31/Calculator!$F$14,1)),2)))/$C90,$C90/(50*POWER(80,POWER(COS(PI()*MOD(Calculator!$B$31/Calculator!$F$14,1)),2)))),2))</f>
        <v>26.83</v>
      </c>
      <c r="T90" s="105" t="n">
        <f aca="false">IF(OR(Calculator!$E$15&lt;&gt;"YES",Calculator!$B$31&lt;Calculator!$G$15),"—",ROUND(MAX((50*POWER(80,POWER(COS(PI()*MOD(Calculator!$B$31/Calculator!$F$15,1)),2)))/$C90,$C90/(50*POWER(80,POWER(COS(PI()*MOD(Calculator!$B$31/Calculator!$F$15,1)),2)))),2))</f>
        <v>16.33</v>
      </c>
      <c r="U90" s="105" t="n">
        <f aca="false">IF(OR(Calculator!$E$16&lt;&gt;"YES",Calculator!$B$31&lt;Calculator!$G$16),"—",ROUND(MAX((50*POWER(80,POWER(COS(PI()*MOD(Calculator!$B$31/Calculator!$F$16,1)),2)))/$C90,$C90/(50*POWER(80,POWER(COS(PI()*MOD(Calculator!$B$31/Calculator!$F$16,1)),2)))),2))</f>
        <v>6.22</v>
      </c>
      <c r="V90" s="105" t="n">
        <f aca="false">IF(OR(Calculator!$E$17&lt;&gt;"YES",Calculator!$B$31&lt;Calculator!$G$17),"—",ROUND(MAX((50*POWER(80,POWER(COS(PI()*MOD(Calculator!$B$31/Calculator!$F$17,1)),2)))/$C90,$C90/(50*POWER(80,POWER(COS(PI()*MOD(Calculator!$B$31/Calculator!$F$17,1)),2)))),2))</f>
        <v>1.79</v>
      </c>
      <c r="W90" s="105" t="n">
        <f aca="false">IF(OR(Calculator!$E$18&lt;&gt;"YES",Calculator!$B$31&lt;Calculator!$G$18),"—",ROUND(MAX((50*POWER(80,POWER(COS(PI()*MOD(Calculator!$B$31/Calculator!$F$18,1)),2)))/$C90,$C90/(50*POWER(80,POWER(COS(PI()*MOD(Calculator!$B$31/Calculator!$F$18,1)),2)))),2))</f>
        <v>1.57</v>
      </c>
      <c r="X90" s="105" t="n">
        <f aca="false">IF(OR(Calculator!$E$19&lt;&gt;"YES",Calculator!$B$31&lt;Calculator!$G$19),"—",ROUND(MAX((50*POWER(80,POWER(COS(PI()*MOD(Calculator!$B$31/Calculator!$F$19,1)),2)))/$C90,$C90/(50*POWER(80,POWER(COS(PI()*MOD(Calculator!$B$31/Calculator!$F$19,1)),2)))),2))</f>
        <v>10.78</v>
      </c>
      <c r="Y90" s="105" t="n">
        <f aca="false">IF(OR(Calculator!$E$20&lt;&gt;"YES",Calculator!$B$31&lt;Calculator!$G$20),"—",ROUND(MAX((50*POWER(80,POWER(COS(PI()*MOD(Calculator!$B$31/Calculator!$F$20,1)),2)))/$C90,$C90/(50*POWER(80,POWER(COS(PI()*MOD(Calculator!$B$31/Calculator!$F$20,1)),2)))),2))</f>
        <v>35.58</v>
      </c>
      <c r="Z90" s="105" t="str">
        <f aca="false">IF(OR(Calculator!$E$21&lt;&gt;"YES",Calculator!$B$31&lt;Calculator!$G$21),"—",ROUND(MAX((50*POWER(80,POWER(COS(PI()*MOD(Calculator!$B$31/Calculator!$F$21,1)),2)))/$C90,$C90/(50*POWER(80,POWER(COS(PI()*MOD(Calculator!$B$31/Calculator!$F$21,1)),2)))),2))</f>
        <v>—</v>
      </c>
      <c r="AA90" s="100" t="n">
        <f aca="false">IFERROR(ROUND((IF(ISNUMBER(P90),P90,0)+IF(ISNUMBER(Q90),Q90,0)+IF(ISNUMBER(R90),R90,0)+IF(ISNUMBER(S90),S90,0)+IF(ISNUMBER(T90),T90,0)+IF(ISNUMBER(U90),U90,0)+IF(ISNUMBER(V90),V90,0)+IF(ISNUMBER(W90),W90,0)+IF(ISNUMBER(X90),X90,0)+IF(ISNUMBER(Y90),Y90,0)+IF(ISNUMBER(Z90),Z90,0))/(IF(ISNUMBER(P90),1,0)+IF(ISNUMBER(Q90),1,0)+IF(ISNUMBER(R90),1,0)+IF(ISNUMBER(S90),1,0)+IF(ISNUMBER(T90),1,0)+IF(ISNUMBER(U90),1,0)+IF(ISNUMBER(V90),1,0)+IF(ISNUMBER(W90),1,0)+IF(ISNUMBER(X90),1,0)+IF(ISNUMBER(Y90),1,0)+IF(ISNUMBER(Z90),1,0)),2),"")</f>
        <v>14.16</v>
      </c>
      <c r="AB90" s="105" t="str">
        <f aca="false">IF(OR(Calculator!$E$11&lt;&gt;"YES",Calculator!$B$32&lt;Calculator!$G$11),"—",ROUND(MAX((50*POWER(80,POWER(COS(PI()*MOD(Calculator!$B$32/Calculator!$F$11,1)),2)))/$C90,$C90/(50*POWER(80,POWER(COS(PI()*MOD(Calculator!$B$32/Calculator!$F$11,1)),2)))),2))</f>
        <v>—</v>
      </c>
      <c r="AC90" s="105" t="str">
        <f aca="false">IF(OR(Calculator!$E$12&lt;&gt;"YES",Calculator!$B$32&lt;Calculator!$G$12),"—",ROUND(MAX((50*POWER(80,POWER(COS(PI()*MOD(Calculator!$B$32/Calculator!$F$12,1)),2)))/$C90,$C90/(50*POWER(80,POWER(COS(PI()*MOD(Calculator!$B$32/Calculator!$F$12,1)),2)))),2))</f>
        <v>—</v>
      </c>
      <c r="AD90" s="105" t="str">
        <f aca="false">IF(OR(Calculator!$E$13&lt;&gt;"YES",Calculator!$B$32&lt;Calculator!$G$13),"—",ROUND(MAX((50*POWER(80,POWER(COS(PI()*MOD(Calculator!$B$32/Calculator!$F$13,1)),2)))/$C90,$C90/(50*POWER(80,POWER(COS(PI()*MOD(Calculator!$B$32/Calculator!$F$13,1)),2)))),2))</f>
        <v>—</v>
      </c>
      <c r="AE90" s="105" t="n">
        <f aca="false">IF(OR(Calculator!$E$14&lt;&gt;"YES",Calculator!$B$32&lt;Calculator!$G$14),"—",ROUND(MAX((50*POWER(80,POWER(COS(PI()*MOD(Calculator!$B$32/Calculator!$F$14,1)),2)))/$C90,$C90/(50*POWER(80,POWER(COS(PI()*MOD(Calculator!$B$32/Calculator!$F$14,1)),2)))),2))</f>
        <v>16.94</v>
      </c>
      <c r="AF90" s="105" t="n">
        <f aca="false">IF(OR(Calculator!$E$15&lt;&gt;"YES",Calculator!$B$32&lt;Calculator!$G$15),"—",ROUND(MAX((50*POWER(80,POWER(COS(PI()*MOD(Calculator!$B$32/Calculator!$F$15,1)),2)))/$C90,$C90/(50*POWER(80,POWER(COS(PI()*MOD(Calculator!$B$32/Calculator!$F$15,1)),2)))),2))</f>
        <v>10.95</v>
      </c>
      <c r="AG90" s="105" t="n">
        <f aca="false">IF(OR(Calculator!$E$16&lt;&gt;"YES",Calculator!$B$32&lt;Calculator!$G$16),"—",ROUND(MAX((50*POWER(80,POWER(COS(PI()*MOD(Calculator!$B$32/Calculator!$F$16,1)),2)))/$C90,$C90/(50*POWER(80,POWER(COS(PI()*MOD(Calculator!$B$32/Calculator!$F$16,1)),2)))),2))</f>
        <v>36.98</v>
      </c>
      <c r="AH90" s="105" t="n">
        <f aca="false">IF(OR(Calculator!$E$17&lt;&gt;"YES",Calculator!$B$32&lt;Calculator!$G$17),"—",ROUND(MAX((50*POWER(80,POWER(COS(PI()*MOD(Calculator!$B$32/Calculator!$F$17,1)),2)))/$C90,$C90/(50*POWER(80,POWER(COS(PI()*MOD(Calculator!$B$32/Calculator!$F$17,1)),2)))),2))</f>
        <v>1.26</v>
      </c>
      <c r="AI90" s="105" t="n">
        <f aca="false">IF(OR(Calculator!$E$18&lt;&gt;"YES",Calculator!$B$32&lt;Calculator!$G$18),"—",ROUND(MAX((50*POWER(80,POWER(COS(PI()*MOD(Calculator!$B$32/Calculator!$F$18,1)),2)))/$C90,$C90/(50*POWER(80,POWER(COS(PI()*MOD(Calculator!$B$32/Calculator!$F$18,1)),2)))),2))</f>
        <v>1.16</v>
      </c>
      <c r="AJ90" s="105" t="n">
        <f aca="false">IF(OR(Calculator!$E$19&lt;&gt;"YES",Calculator!$B$32&lt;Calculator!$G$19),"—",ROUND(MAX((50*POWER(80,POWER(COS(PI()*MOD(Calculator!$B$32/Calculator!$F$19,1)),2)))/$C90,$C90/(50*POWER(80,POWER(COS(PI()*MOD(Calculator!$B$32/Calculator!$F$19,1)),2)))),2))</f>
        <v>1.1</v>
      </c>
      <c r="AK90" s="105" t="n">
        <f aca="false">IF(OR(Calculator!$E$20&lt;&gt;"YES",Calculator!$B$32&lt;Calculator!$G$20),"—",ROUND(MAX((50*POWER(80,POWER(COS(PI()*MOD(Calculator!$B$32/Calculator!$F$20,1)),2)))/$C90,$C90/(50*POWER(80,POWER(COS(PI()*MOD(Calculator!$B$32/Calculator!$F$20,1)),2)))),2))</f>
        <v>29.08</v>
      </c>
      <c r="AL90" s="105" t="str">
        <f aca="false">IF(OR(Calculator!$E$21&lt;&gt;"YES",Calculator!$B$32&lt;Calculator!$G$21),"—",ROUND(MAX((50*POWER(80,POWER(COS(PI()*MOD(Calculator!$B$32/Calculator!$F$21,1)),2)))/$C90,$C90/(50*POWER(80,POWER(COS(PI()*MOD(Calculator!$B$32/Calculator!$F$21,1)),2)))),2))</f>
        <v>—</v>
      </c>
      <c r="AM90" s="101" t="n">
        <f aca="false">IFERROR(ROUND((IF(ISNUMBER(AB90),AB90,0)+IF(ISNUMBER(AC90),AC90,0)+IF(ISNUMBER(AD90),AD90,0)+IF(ISNUMBER(AE90),AE90,0)+IF(ISNUMBER(AF90),AF90,0)+IF(ISNUMBER(AG90),AG90,0)+IF(ISNUMBER(AH90),AH90,0)+IF(ISNUMBER(AI90),AI90,0)+IF(ISNUMBER(AJ90),AJ90,0)+IF(ISNUMBER(AK90),AK90,0)+IF(ISNUMBER(AL90),AL90,0))/(IF(ISNUMBER(AB90),1,0)+IF(ISNUMBER(AC90),1,0)+IF(ISNUMBER(AD90),1,0)+IF(ISNUMBER(AE90),1,0)+IF(ISNUMBER(AF90),1,0)+IF(ISNUMBER(AG90),1,0)+IF(ISNUMBER(AH90),1,0)+IF(ISNUMBER(AI90),1,0)+IF(ISNUMBER(AJ90),1,0)+IF(ISNUMBER(AK90),1,0)+IF(ISNUMBER(AL90),1,0)),2),"")</f>
        <v>13.92</v>
      </c>
      <c r="AN90" s="106" t="str">
        <f aca="false">IF(OR(Calculator!$E$11&lt;&gt;"YES",Calculator!$B$33&lt;Calculator!$G$11),"—",ROUND(MAX((50*POWER(80,POWER(COS(PI()*MOD(Calculator!$B$33/Calculator!$F$11,1)),2)))/$C90,$C90/(50*POWER(80,POWER(COS(PI()*MOD(Calculator!$B$33/Calculator!$F$11,1)),2)))),2))</f>
        <v>—</v>
      </c>
      <c r="AO90" s="106" t="str">
        <f aca="false">IF(OR(Calculator!$E$12&lt;&gt;"YES",Calculator!$B$33&lt;Calculator!$G$12),"—",ROUND(MAX((50*POWER(80,POWER(COS(PI()*MOD(Calculator!$B$33/Calculator!$F$12,1)),2)))/$C90,$C90/(50*POWER(80,POWER(COS(PI()*MOD(Calculator!$B$33/Calculator!$F$12,1)),2)))),2))</f>
        <v>—</v>
      </c>
      <c r="AP90" s="106" t="str">
        <f aca="false">IF(OR(Calculator!$E$13&lt;&gt;"YES",Calculator!$B$33&lt;Calculator!$G$13),"—",ROUND(MAX((50*POWER(80,POWER(COS(PI()*MOD(Calculator!$B$33/Calculator!$F$13,1)),2)))/$C90,$C90/(50*POWER(80,POWER(COS(PI()*MOD(Calculator!$B$33/Calculator!$F$13,1)),2)))),2))</f>
        <v>—</v>
      </c>
      <c r="AQ90" s="106" t="n">
        <f aca="false">IF(OR(Calculator!$E$14&lt;&gt;"YES",Calculator!$B$33&lt;Calculator!$G$14),"—",ROUND(MAX((50*POWER(80,POWER(COS(PI()*MOD(Calculator!$B$33/Calculator!$F$14,1)),2)))/$C90,$C90/(50*POWER(80,POWER(COS(PI()*MOD(Calculator!$B$33/Calculator!$F$14,1)),2)))),2))</f>
        <v>1.06</v>
      </c>
      <c r="AR90" s="106" t="n">
        <f aca="false">IF(OR(Calculator!$E$15&lt;&gt;"YES",Calculator!$B$33&lt;Calculator!$G$15),"—",ROUND(MAX((50*POWER(80,POWER(COS(PI()*MOD(Calculator!$B$33/Calculator!$F$15,1)),2)))/$C90,$C90/(50*POWER(80,POWER(COS(PI()*MOD(Calculator!$B$33/Calculator!$F$15,1)),2)))),2))</f>
        <v>9.88</v>
      </c>
      <c r="AS90" s="106" t="n">
        <f aca="false">IF(OR(Calculator!$E$16&lt;&gt;"YES",Calculator!$B$33&lt;Calculator!$G$16),"—",ROUND(MAX((50*POWER(80,POWER(COS(PI()*MOD(Calculator!$B$33/Calculator!$F$16,1)),2)))/$C90,$C90/(50*POWER(80,POWER(COS(PI()*MOD(Calculator!$B$33/Calculator!$F$16,1)),2)))),2))</f>
        <v>3.61</v>
      </c>
      <c r="AT90" s="106" t="n">
        <f aca="false">IF(OR(Calculator!$E$17&lt;&gt;"YES",Calculator!$B$33&lt;Calculator!$G$17),"—",ROUND(MAX((50*POWER(80,POWER(COS(PI()*MOD(Calculator!$B$33/Calculator!$F$17,1)),2)))/$C90,$C90/(50*POWER(80,POWER(COS(PI()*MOD(Calculator!$B$33/Calculator!$F$17,1)),2)))),2))</f>
        <v>11.46</v>
      </c>
      <c r="AU90" s="106" t="n">
        <f aca="false">IF(OR(Calculator!$E$18&lt;&gt;"YES",Calculator!$B$33&lt;Calculator!$G$18),"—",ROUND(MAX((50*POWER(80,POWER(COS(PI()*MOD(Calculator!$B$33/Calculator!$F$18,1)),2)))/$C90,$C90/(50*POWER(80,POWER(COS(PI()*MOD(Calculator!$B$33/Calculator!$F$18,1)),2)))),2))</f>
        <v>15.51</v>
      </c>
      <c r="AV90" s="106" t="n">
        <f aca="false">IF(OR(Calculator!$E$19&lt;&gt;"YES",Calculator!$B$33&lt;Calculator!$G$19),"—",ROUND(MAX((50*POWER(80,POWER(COS(PI()*MOD(Calculator!$B$33/Calculator!$F$19,1)),2)))/$C90,$C90/(50*POWER(80,POWER(COS(PI()*MOD(Calculator!$B$33/Calculator!$F$19,1)),2)))),2))</f>
        <v>1.89</v>
      </c>
      <c r="AW90" s="106" t="n">
        <f aca="false">IF(OR(Calculator!$E$20&lt;&gt;"YES",Calculator!$B$33&lt;Calculator!$G$20),"—",ROUND(MAX((50*POWER(80,POWER(COS(PI()*MOD(Calculator!$B$33/Calculator!$F$20,1)),2)))/$C90,$C90/(50*POWER(80,POWER(COS(PI()*MOD(Calculator!$B$33/Calculator!$F$20,1)),2)))),2))</f>
        <v>23.66</v>
      </c>
      <c r="AX90" s="106" t="str">
        <f aca="false">IF(OR(Calculator!$E$21&lt;&gt;"YES",Calculator!$B$33&lt;Calculator!$G$21),"—",ROUND(MAX((50*POWER(80,POWER(COS(PI()*MOD(Calculator!$B$33/Calculator!$F$21,1)),2)))/$C90,$C90/(50*POWER(80,POWER(COS(PI()*MOD(Calculator!$B$33/Calculator!$F$21,1)),2)))),2))</f>
        <v>—</v>
      </c>
      <c r="AY90" s="101" t="n">
        <f aca="false">IFERROR(ROUND((IF(ISNUMBER(AN90),AN90,0)+IF(ISNUMBER(AO90),AO90,0)+IF(ISNUMBER(AP90),AP90,0)+IF(ISNUMBER(AQ90),AQ90,0)+IF(ISNUMBER(AR90),AR90,0)+IF(ISNUMBER(AS90),AS90,0)+IF(ISNUMBER(AT90),AT90,0)+IF(ISNUMBER(AU90),AU90,0)+IF(ISNUMBER(AV90),AV90,0)+IF(ISNUMBER(AW90),AW90,0)+IF(ISNUMBER(AX90),AX90,0))/(IF(ISNUMBER(AN90),1,0)+IF(ISNUMBER(AO90),1,0)+IF(ISNUMBER(AP90),1,0)+IF(ISNUMBER(AQ90),1,0)+IF(ISNUMBER(AR90),1,0)+IF(ISNUMBER(AS90),1,0)+IF(ISNUMBER(AT90),1,0)+IF(ISNUMBER(AU90),1,0)+IF(ISNUMBER(AV90),1,0)+IF(ISNUMBER(AW90),1,0)+IF(ISNUMBER(AX90),1,0)),2),"")</f>
        <v>9.58</v>
      </c>
      <c r="AZ90" s="106" t="str">
        <f aca="false">IF(OR(Calculator!$E$11&lt;&gt;"YES",Calculator!$B$34&lt;Calculator!$G$11),"—",ROUND(MAX((50*POWER(80,POWER(COS(PI()*MOD(Calculator!$B$34/Calculator!$F$11,1)),2)))/$C90,$C90/(50*POWER(80,POWER(COS(PI()*MOD(Calculator!$B$34/Calculator!$F$11,1)),2)))),2))</f>
        <v>—</v>
      </c>
      <c r="BA90" s="106" t="str">
        <f aca="false">IF(OR(Calculator!$E$12&lt;&gt;"YES",Calculator!$B$34&lt;Calculator!$G$12),"—",ROUND(MAX((50*POWER(80,POWER(COS(PI()*MOD(Calculator!$B$34/Calculator!$F$12,1)),2)))/$C90,$C90/(50*POWER(80,POWER(COS(PI()*MOD(Calculator!$B$34/Calculator!$F$12,1)),2)))),2))</f>
        <v>—</v>
      </c>
      <c r="BB90" s="106" t="str">
        <f aca="false">IF(OR(Calculator!$E$13&lt;&gt;"YES",Calculator!$B$34&lt;Calculator!$G$13),"—",ROUND(MAX((50*POWER(80,POWER(COS(PI()*MOD(Calculator!$B$34/Calculator!$F$13,1)),2)))/$C90,$C90/(50*POWER(80,POWER(COS(PI()*MOD(Calculator!$B$34/Calculator!$F$13,1)),2)))),2))</f>
        <v>—</v>
      </c>
      <c r="BC90" s="106" t="n">
        <f aca="false">IF(OR(Calculator!$E$14&lt;&gt;"YES",Calculator!$B$34&lt;Calculator!$G$14),"—",ROUND(MAX((50*POWER(80,POWER(COS(PI()*MOD(Calculator!$B$34/Calculator!$F$14,1)),2)))/$C90,$C90/(50*POWER(80,POWER(COS(PI()*MOD(Calculator!$B$34/Calculator!$F$14,1)),2)))),2))</f>
        <v>1.05</v>
      </c>
      <c r="BD90" s="106" t="n">
        <f aca="false">IF(OR(Calculator!$E$15&lt;&gt;"YES",Calculator!$B$34&lt;Calculator!$G$15),"—",ROUND(MAX((50*POWER(80,POWER(COS(PI()*MOD(Calculator!$B$34/Calculator!$F$15,1)),2)))/$C90,$C90/(50*POWER(80,POWER(COS(PI()*MOD(Calculator!$B$34/Calculator!$F$15,1)),2)))),2))</f>
        <v>12.76</v>
      </c>
      <c r="BE90" s="106" t="n">
        <f aca="false">IF(OR(Calculator!$E$16&lt;&gt;"YES",Calculator!$B$34&lt;Calculator!$G$16),"—",ROUND(MAX((50*POWER(80,POWER(COS(PI()*MOD(Calculator!$B$34/Calculator!$F$16,1)),2)))/$C90,$C90/(50*POWER(80,POWER(COS(PI()*MOD(Calculator!$B$34/Calculator!$F$16,1)),2)))),2))</f>
        <v>4.3</v>
      </c>
      <c r="BF90" s="106" t="n">
        <f aca="false">IF(OR(Calculator!$E$17&lt;&gt;"YES",Calculator!$B$34&lt;Calculator!$G$17),"—",ROUND(MAX((50*POWER(80,POWER(COS(PI()*MOD(Calculator!$B$34/Calculator!$F$17,1)),2)))/$C90,$C90/(50*POWER(80,POWER(COS(PI()*MOD(Calculator!$B$34/Calculator!$F$17,1)),2)))),2))</f>
        <v>2.22</v>
      </c>
      <c r="BG90" s="106" t="n">
        <f aca="false">IF(OR(Calculator!$E$18&lt;&gt;"YES",Calculator!$B$34&lt;Calculator!$G$18),"—",ROUND(MAX((50*POWER(80,POWER(COS(PI()*MOD(Calculator!$B$34/Calculator!$F$18,1)),2)))/$C90,$C90/(50*POWER(80,POWER(COS(PI()*MOD(Calculator!$B$34/Calculator!$F$18,1)),2)))),2))</f>
        <v>20.98</v>
      </c>
      <c r="BH90" s="106" t="n">
        <f aca="false">IF(OR(Calculator!$E$19&lt;&gt;"YES",Calculator!$B$34&lt;Calculator!$G$19),"—",ROUND(MAX((50*POWER(80,POWER(COS(PI()*MOD(Calculator!$B$34/Calculator!$F$19,1)),2)))/$C90,$C90/(50*POWER(80,POWER(COS(PI()*MOD(Calculator!$B$34/Calculator!$F$19,1)),2)))),2))</f>
        <v>23.33</v>
      </c>
      <c r="BI90" s="106" t="n">
        <f aca="false">IF(OR(Calculator!$E$20&lt;&gt;"YES",Calculator!$B$34&lt;Calculator!$G$20),"—",ROUND(MAX((50*POWER(80,POWER(COS(PI()*MOD(Calculator!$B$34/Calculator!$F$20,1)),2)))/$C90,$C90/(50*POWER(80,POWER(COS(PI()*MOD(Calculator!$B$34/Calculator!$F$20,1)),2)))),2))</f>
        <v>13.92</v>
      </c>
      <c r="BJ90" s="106" t="str">
        <f aca="false">IF(OR(Calculator!$E$21&lt;&gt;"YES",Calculator!$B$34&lt;Calculator!$G$21),"—",ROUND(MAX((50*POWER(80,POWER(COS(PI()*MOD(Calculator!$B$34/Calculator!$F$21,1)),2)))/$C90,$C90/(50*POWER(80,POWER(COS(PI()*MOD(Calculator!$B$34/Calculator!$F$21,1)),2)))),2))</f>
        <v>—</v>
      </c>
      <c r="BK90" s="101" t="n">
        <f aca="false">IFERROR(ROUND((IF(ISNUMBER(AZ90),AZ90,0)+IF(ISNUMBER(BA90),BA90,0)+IF(ISNUMBER(BB90),BB90,0)+IF(ISNUMBER(BC90),BC90,0)+IF(ISNUMBER(BD90),BD90,0)+IF(ISNUMBER(BE90),BE90,0)+IF(ISNUMBER(BF90),BF90,0)+IF(ISNUMBER(BG90),BG90,0)+IF(ISNUMBER(BH90),BH90,0)+IF(ISNUMBER(BI90),BI90,0)+IF(ISNUMBER(BJ90),BJ90,0))/(IF(ISNUMBER(AZ90),1,0)+IF(ISNUMBER(BA90),1,0)+IF(ISNUMBER(BB90),1,0)+IF(ISNUMBER(BC90),1,0)+IF(ISNUMBER(BD90),1,0)+IF(ISNUMBER(BE90),1,0)+IF(ISNUMBER(BF90),1,0)+IF(ISNUMBER(BG90),1,0)+IF(ISNUMBER(BH90),1,0)+IF(ISNUMBER(BI90),1,0)+IF(ISNUMBER(BJ90),1,0)),2),"")</f>
        <v>11.22</v>
      </c>
    </row>
    <row r="91" customFormat="false" ht="15" hidden="false" customHeight="false" outlineLevel="0" collapsed="false">
      <c r="A91" s="74" t="s">
        <v>142</v>
      </c>
      <c r="B91" s="74" t="s">
        <v>86</v>
      </c>
      <c r="C91" s="77" t="n">
        <v>2950</v>
      </c>
      <c r="D91" s="78" t="str">
        <f aca="false">IF(OR(Calculator!$E$11&lt;&gt;"YES",Calculator!$B$30&lt;Calculator!$G$11),"—",ROUND(MAX((50*POWER(80,POWER(COS(PI()*MOD(Calculator!$B$30/Calculator!$F$11,1)),2)))/$C91,$C91/(50*POWER(80,POWER(COS(PI()*MOD(Calculator!$B$30/Calculator!$F$11,1)),2)))),2))</f>
        <v>—</v>
      </c>
      <c r="E91" s="78" t="str">
        <f aca="false">IF(OR(Calculator!$E$12&lt;&gt;"YES",Calculator!$B$30&lt;Calculator!$G$12),"—",ROUND(MAX((50*POWER(80,POWER(COS(PI()*MOD(Calculator!$B$30/Calculator!$F$12,1)),2)))/$C91,$C91/(50*POWER(80,POWER(COS(PI()*MOD(Calculator!$B$30/Calculator!$F$12,1)),2)))),2))</f>
        <v>—</v>
      </c>
      <c r="F91" s="78" t="str">
        <f aca="false">IF(OR(Calculator!$E$13&lt;&gt;"YES",Calculator!$B$30&lt;Calculator!$G$13),"—",ROUND(MAX((50*POWER(80,POWER(COS(PI()*MOD(Calculator!$B$30/Calculator!$F$13,1)),2)))/$C91,$C91/(50*POWER(80,POWER(COS(PI()*MOD(Calculator!$B$30/Calculator!$F$13,1)),2)))),2))</f>
        <v>—</v>
      </c>
      <c r="G91" s="78" t="n">
        <f aca="false">IF(OR(Calculator!$E$14&lt;&gt;"YES",Calculator!$B$30&lt;Calculator!$G$14),"—",ROUND(MAX((50*POWER(80,POWER(COS(PI()*MOD(Calculator!$B$30/Calculator!$F$14,1)),2)))/$C91,$C91/(50*POWER(80,POWER(COS(PI()*MOD(Calculator!$B$30/Calculator!$F$14,1)),2)))),2))</f>
        <v>26.66</v>
      </c>
      <c r="H91" s="78" t="n">
        <f aca="false">IF(OR(Calculator!$E$15&lt;&gt;"YES",Calculator!$B$30&lt;Calculator!$G$15),"—",ROUND(MAX((50*POWER(80,POWER(COS(PI()*MOD(Calculator!$B$30/Calculator!$F$15,1)),2)))/$C91,$C91/(50*POWER(80,POWER(COS(PI()*MOD(Calculator!$B$30/Calculator!$F$15,1)),2)))),2))</f>
        <v>7.73</v>
      </c>
      <c r="I91" s="78" t="n">
        <f aca="false">IF(OR(Calculator!$E$16&lt;&gt;"YES",Calculator!$B$30&lt;Calculator!$G$16),"—",ROUND(MAX((50*POWER(80,POWER(COS(PI()*MOD(Calculator!$B$30/Calculator!$F$16,1)),2)))/$C91,$C91/(50*POWER(80,POWER(COS(PI()*MOD(Calculator!$B$30/Calculator!$F$16,1)),2)))),2))</f>
        <v>5.28</v>
      </c>
      <c r="J91" s="78" t="n">
        <f aca="false">IF(OR(Calculator!$E$17&lt;&gt;"YES",Calculator!$B$30&lt;Calculator!$G$17),"—",ROUND(MAX((50*POWER(80,POWER(COS(PI()*MOD(Calculator!$B$30/Calculator!$F$17,1)),2)))/$C91,$C91/(50*POWER(80,POWER(COS(PI()*MOD(Calculator!$B$30/Calculator!$F$17,1)),2)))),2))</f>
        <v>14.83</v>
      </c>
      <c r="K91" s="78" t="n">
        <f aca="false">IF(OR(Calculator!$E$18&lt;&gt;"YES",Calculator!$B$30&lt;Calculator!$G$18),"—",ROUND(MAX((50*POWER(80,POWER(COS(PI()*MOD(Calculator!$B$30/Calculator!$F$18,1)),2)))/$C91,$C91/(50*POWER(80,POWER(COS(PI()*MOD(Calculator!$B$30/Calculator!$F$18,1)),2)))),2))</f>
        <v>2.11</v>
      </c>
      <c r="L91" s="78" t="n">
        <f aca="false">IF(OR(Calculator!$E$19&lt;&gt;"YES",Calculator!$B$30&lt;Calculator!$G$19),"—",ROUND(MAX((50*POWER(80,POWER(COS(PI()*MOD(Calculator!$B$30/Calculator!$F$19,1)),2)))/$C91,$C91/(50*POWER(80,POWER(COS(PI()*MOD(Calculator!$B$30/Calculator!$F$19,1)),2)))),2))</f>
        <v>3.76</v>
      </c>
      <c r="M91" s="78" t="n">
        <f aca="false">IF(OR(Calculator!$E$20&lt;&gt;"YES",Calculator!$B$30&lt;Calculator!$G$20),"—",ROUND(MAX((50*POWER(80,POWER(COS(PI()*MOD(Calculator!$B$30/Calculator!$F$20,1)),2)))/$C91,$C91/(50*POWER(80,POWER(COS(PI()*MOD(Calculator!$B$30/Calculator!$F$20,1)),2)))),2))</f>
        <v>23.3</v>
      </c>
      <c r="N91" s="78" t="str">
        <f aca="false">IF(OR(Calculator!$E$21&lt;&gt;"YES",Calculator!$B$30&lt;Calculator!$G$21),"—",ROUND(MAX((50*POWER(80,POWER(COS(PI()*MOD(Calculator!$B$30/Calculator!$F$21,1)),2)))/$C91,$C91/(50*POWER(80,POWER(COS(PI()*MOD(Calculator!$B$30/Calculator!$F$21,1)),2)))),2))</f>
        <v>—</v>
      </c>
      <c r="O91" s="100" t="n">
        <f aca="false">IFERROR(ROUND((IF(ISNUMBER(D91),D91,0)+IF(ISNUMBER(E91),E91,0)+IF(ISNUMBER(F91),F91,0)+IF(ISNUMBER(G91),G91,0)+IF(ISNUMBER(H91),H91,0)+IF(ISNUMBER(I91),I91,0)+IF(ISNUMBER(J91),J91,0)+IF(ISNUMBER(K91),K91,0)+IF(ISNUMBER(L91),L91,0)+IF(ISNUMBER(M91),M91,0)+IF(ISNUMBER(N91),N91,0))/(IF(ISNUMBER(D91),1,0)+IF(ISNUMBER(E91),1,0)+IF(ISNUMBER(F91),1,0)+IF(ISNUMBER(G91),1,0)+IF(ISNUMBER(H91),1,0)+IF(ISNUMBER(I91),1,0)+IF(ISNUMBER(J91),1,0)+IF(ISNUMBER(K91),1,0)+IF(ISNUMBER(L91),1,0)+IF(ISNUMBER(M91),1,0)+IF(ISNUMBER(N91),1,0)),2),"")</f>
        <v>11.95</v>
      </c>
      <c r="P91" s="78" t="str">
        <f aca="false">IF(OR(Calculator!$E$11&lt;&gt;"YES",Calculator!$B$31&lt;Calculator!$G$11),"—",ROUND(MAX((50*POWER(80,POWER(COS(PI()*MOD(Calculator!$B$31/Calculator!$F$11,1)),2)))/$C91,$C91/(50*POWER(80,POWER(COS(PI()*MOD(Calculator!$B$31/Calculator!$F$11,1)),2)))),2))</f>
        <v>—</v>
      </c>
      <c r="Q91" s="78" t="str">
        <f aca="false">IF(OR(Calculator!$E$12&lt;&gt;"YES",Calculator!$B$31&lt;Calculator!$G$12),"—",ROUND(MAX((50*POWER(80,POWER(COS(PI()*MOD(Calculator!$B$31/Calculator!$F$12,1)),2)))/$C91,$C91/(50*POWER(80,POWER(COS(PI()*MOD(Calculator!$B$31/Calculator!$F$12,1)),2)))),2))</f>
        <v>—</v>
      </c>
      <c r="R91" s="78" t="str">
        <f aca="false">IF(OR(Calculator!$E$13&lt;&gt;"YES",Calculator!$B$31&lt;Calculator!$G$13),"—",ROUND(MAX((50*POWER(80,POWER(COS(PI()*MOD(Calculator!$B$31/Calculator!$F$13,1)),2)))/$C91,$C91/(50*POWER(80,POWER(COS(PI()*MOD(Calculator!$B$31/Calculator!$F$13,1)),2)))),2))</f>
        <v>—</v>
      </c>
      <c r="S91" s="78" t="n">
        <f aca="false">IF(OR(Calculator!$E$14&lt;&gt;"YES",Calculator!$B$31&lt;Calculator!$G$14),"—",ROUND(MAX((50*POWER(80,POWER(COS(PI()*MOD(Calculator!$B$31/Calculator!$F$14,1)),2)))/$C91,$C91/(50*POWER(80,POWER(COS(PI()*MOD(Calculator!$B$31/Calculator!$F$14,1)),2)))),2))</f>
        <v>27.29</v>
      </c>
      <c r="T91" s="78" t="n">
        <f aca="false">IF(OR(Calculator!$E$15&lt;&gt;"YES",Calculator!$B$31&lt;Calculator!$G$15),"—",ROUND(MAX((50*POWER(80,POWER(COS(PI()*MOD(Calculator!$B$31/Calculator!$F$15,1)),2)))/$C91,$C91/(50*POWER(80,POWER(COS(PI()*MOD(Calculator!$B$31/Calculator!$F$15,1)),2)))),2))</f>
        <v>16.61</v>
      </c>
      <c r="U91" s="78" t="n">
        <f aca="false">IF(OR(Calculator!$E$16&lt;&gt;"YES",Calculator!$B$31&lt;Calculator!$G$16),"—",ROUND(MAX((50*POWER(80,POWER(COS(PI()*MOD(Calculator!$B$31/Calculator!$F$16,1)),2)))/$C91,$C91/(50*POWER(80,POWER(COS(PI()*MOD(Calculator!$B$31/Calculator!$F$16,1)),2)))),2))</f>
        <v>6.32</v>
      </c>
      <c r="V91" s="78" t="n">
        <f aca="false">IF(OR(Calculator!$E$17&lt;&gt;"YES",Calculator!$B$31&lt;Calculator!$G$17),"—",ROUND(MAX((50*POWER(80,POWER(COS(PI()*MOD(Calculator!$B$31/Calculator!$F$17,1)),2)))/$C91,$C91/(50*POWER(80,POWER(COS(PI()*MOD(Calculator!$B$31/Calculator!$F$17,1)),2)))),2))</f>
        <v>1.82</v>
      </c>
      <c r="W91" s="78" t="n">
        <f aca="false">IF(OR(Calculator!$E$18&lt;&gt;"YES",Calculator!$B$31&lt;Calculator!$G$18),"—",ROUND(MAX((50*POWER(80,POWER(COS(PI()*MOD(Calculator!$B$31/Calculator!$F$18,1)),2)))/$C91,$C91/(50*POWER(80,POWER(COS(PI()*MOD(Calculator!$B$31/Calculator!$F$18,1)),2)))),2))</f>
        <v>1.6</v>
      </c>
      <c r="X91" s="78" t="n">
        <f aca="false">IF(OR(Calculator!$E$19&lt;&gt;"YES",Calculator!$B$31&lt;Calculator!$G$19),"—",ROUND(MAX((50*POWER(80,POWER(COS(PI()*MOD(Calculator!$B$31/Calculator!$F$19,1)),2)))/$C91,$C91/(50*POWER(80,POWER(COS(PI()*MOD(Calculator!$B$31/Calculator!$F$19,1)),2)))),2))</f>
        <v>10.96</v>
      </c>
      <c r="Y91" s="78" t="n">
        <f aca="false">IF(OR(Calculator!$E$20&lt;&gt;"YES",Calculator!$B$31&lt;Calculator!$G$20),"—",ROUND(MAX((50*POWER(80,POWER(COS(PI()*MOD(Calculator!$B$31/Calculator!$F$20,1)),2)))/$C91,$C91/(50*POWER(80,POWER(COS(PI()*MOD(Calculator!$B$31/Calculator!$F$20,1)),2)))),2))</f>
        <v>36.19</v>
      </c>
      <c r="Z91" s="78" t="str">
        <f aca="false">IF(OR(Calculator!$E$21&lt;&gt;"YES",Calculator!$B$31&lt;Calculator!$G$21),"—",ROUND(MAX((50*POWER(80,POWER(COS(PI()*MOD(Calculator!$B$31/Calculator!$F$21,1)),2)))/$C91,$C91/(50*POWER(80,POWER(COS(PI()*MOD(Calculator!$B$31/Calculator!$F$21,1)),2)))),2))</f>
        <v>—</v>
      </c>
      <c r="AA91" s="100" t="n">
        <f aca="false">IFERROR(ROUND((IF(ISNUMBER(P91),P91,0)+IF(ISNUMBER(Q91),Q91,0)+IF(ISNUMBER(R91),R91,0)+IF(ISNUMBER(S91),S91,0)+IF(ISNUMBER(T91),T91,0)+IF(ISNUMBER(U91),U91,0)+IF(ISNUMBER(V91),V91,0)+IF(ISNUMBER(W91),W91,0)+IF(ISNUMBER(X91),X91,0)+IF(ISNUMBER(Y91),Y91,0)+IF(ISNUMBER(Z91),Z91,0))/(IF(ISNUMBER(P91),1,0)+IF(ISNUMBER(Q91),1,0)+IF(ISNUMBER(R91),1,0)+IF(ISNUMBER(S91),1,0)+IF(ISNUMBER(T91),1,0)+IF(ISNUMBER(U91),1,0)+IF(ISNUMBER(V91),1,0)+IF(ISNUMBER(W91),1,0)+IF(ISNUMBER(X91),1,0)+IF(ISNUMBER(Y91),1,0)+IF(ISNUMBER(Z91),1,0)),2),"")</f>
        <v>14.4</v>
      </c>
      <c r="AB91" s="78" t="str">
        <f aca="false">IF(OR(Calculator!$E$11&lt;&gt;"YES",Calculator!$B$32&lt;Calculator!$G$11),"—",ROUND(MAX((50*POWER(80,POWER(COS(PI()*MOD(Calculator!$B$32/Calculator!$F$11,1)),2)))/$C91,$C91/(50*POWER(80,POWER(COS(PI()*MOD(Calculator!$B$32/Calculator!$F$11,1)),2)))),2))</f>
        <v>—</v>
      </c>
      <c r="AC91" s="78" t="str">
        <f aca="false">IF(OR(Calculator!$E$12&lt;&gt;"YES",Calculator!$B$32&lt;Calculator!$G$12),"—",ROUND(MAX((50*POWER(80,POWER(COS(PI()*MOD(Calculator!$B$32/Calculator!$F$12,1)),2)))/$C91,$C91/(50*POWER(80,POWER(COS(PI()*MOD(Calculator!$B$32/Calculator!$F$12,1)),2)))),2))</f>
        <v>—</v>
      </c>
      <c r="AD91" s="78" t="str">
        <f aca="false">IF(OR(Calculator!$E$13&lt;&gt;"YES",Calculator!$B$32&lt;Calculator!$G$13),"—",ROUND(MAX((50*POWER(80,POWER(COS(PI()*MOD(Calculator!$B$32/Calculator!$F$13,1)),2)))/$C91,$C91/(50*POWER(80,POWER(COS(PI()*MOD(Calculator!$B$32/Calculator!$F$13,1)),2)))),2))</f>
        <v>—</v>
      </c>
      <c r="AE91" s="78" t="n">
        <f aca="false">IF(OR(Calculator!$E$14&lt;&gt;"YES",Calculator!$B$32&lt;Calculator!$G$14),"—",ROUND(MAX((50*POWER(80,POWER(COS(PI()*MOD(Calculator!$B$32/Calculator!$F$14,1)),2)))/$C91,$C91/(50*POWER(80,POWER(COS(PI()*MOD(Calculator!$B$32/Calculator!$F$14,1)),2)))),2))</f>
        <v>17.24</v>
      </c>
      <c r="AF91" s="78" t="n">
        <f aca="false">IF(OR(Calculator!$E$15&lt;&gt;"YES",Calculator!$B$32&lt;Calculator!$G$15),"—",ROUND(MAX((50*POWER(80,POWER(COS(PI()*MOD(Calculator!$B$32/Calculator!$F$15,1)),2)))/$C91,$C91/(50*POWER(80,POWER(COS(PI()*MOD(Calculator!$B$32/Calculator!$F$15,1)),2)))),2))</f>
        <v>11.14</v>
      </c>
      <c r="AG91" s="78" t="n">
        <f aca="false">IF(OR(Calculator!$E$16&lt;&gt;"YES",Calculator!$B$32&lt;Calculator!$G$16),"—",ROUND(MAX((50*POWER(80,POWER(COS(PI()*MOD(Calculator!$B$32/Calculator!$F$16,1)),2)))/$C91,$C91/(50*POWER(80,POWER(COS(PI()*MOD(Calculator!$B$32/Calculator!$F$16,1)),2)))),2))</f>
        <v>37.62</v>
      </c>
      <c r="AH91" s="78" t="n">
        <f aca="false">IF(OR(Calculator!$E$17&lt;&gt;"YES",Calculator!$B$32&lt;Calculator!$G$17),"—",ROUND(MAX((50*POWER(80,POWER(COS(PI()*MOD(Calculator!$B$32/Calculator!$F$17,1)),2)))/$C91,$C91/(50*POWER(80,POWER(COS(PI()*MOD(Calculator!$B$32/Calculator!$F$17,1)),2)))),2))</f>
        <v>1.28</v>
      </c>
      <c r="AI91" s="78" t="n">
        <f aca="false">IF(OR(Calculator!$E$18&lt;&gt;"YES",Calculator!$B$32&lt;Calculator!$G$18),"—",ROUND(MAX((50*POWER(80,POWER(COS(PI()*MOD(Calculator!$B$32/Calculator!$F$18,1)),2)))/$C91,$C91/(50*POWER(80,POWER(COS(PI()*MOD(Calculator!$B$32/Calculator!$F$18,1)),2)))),2))</f>
        <v>1.18</v>
      </c>
      <c r="AJ91" s="78" t="n">
        <f aca="false">IF(OR(Calculator!$E$19&lt;&gt;"YES",Calculator!$B$32&lt;Calculator!$G$19),"—",ROUND(MAX((50*POWER(80,POWER(COS(PI()*MOD(Calculator!$B$32/Calculator!$F$19,1)),2)))/$C91,$C91/(50*POWER(80,POWER(COS(PI()*MOD(Calculator!$B$32/Calculator!$F$19,1)),2)))),2))</f>
        <v>1.12</v>
      </c>
      <c r="AK91" s="78" t="n">
        <f aca="false">IF(OR(Calculator!$E$20&lt;&gt;"YES",Calculator!$B$32&lt;Calculator!$G$20),"—",ROUND(MAX((50*POWER(80,POWER(COS(PI()*MOD(Calculator!$B$32/Calculator!$F$20,1)),2)))/$C91,$C91/(50*POWER(80,POWER(COS(PI()*MOD(Calculator!$B$32/Calculator!$F$20,1)),2)))),2))</f>
        <v>29.58</v>
      </c>
      <c r="AL91" s="78" t="str">
        <f aca="false">IF(OR(Calculator!$E$21&lt;&gt;"YES",Calculator!$B$32&lt;Calculator!$G$21),"—",ROUND(MAX((50*POWER(80,POWER(COS(PI()*MOD(Calculator!$B$32/Calculator!$F$21,1)),2)))/$C91,$C91/(50*POWER(80,POWER(COS(PI()*MOD(Calculator!$B$32/Calculator!$F$21,1)),2)))),2))</f>
        <v>—</v>
      </c>
      <c r="AM91" s="101" t="n">
        <f aca="false">IFERROR(ROUND((IF(ISNUMBER(AB91),AB91,0)+IF(ISNUMBER(AC91),AC91,0)+IF(ISNUMBER(AD91),AD91,0)+IF(ISNUMBER(AE91),AE91,0)+IF(ISNUMBER(AF91),AF91,0)+IF(ISNUMBER(AG91),AG91,0)+IF(ISNUMBER(AH91),AH91,0)+IF(ISNUMBER(AI91),AI91,0)+IF(ISNUMBER(AJ91),AJ91,0)+IF(ISNUMBER(AK91),AK91,0)+IF(ISNUMBER(AL91),AL91,0))/(IF(ISNUMBER(AB91),1,0)+IF(ISNUMBER(AC91),1,0)+IF(ISNUMBER(AD91),1,0)+IF(ISNUMBER(AE91),1,0)+IF(ISNUMBER(AF91),1,0)+IF(ISNUMBER(AG91),1,0)+IF(ISNUMBER(AH91),1,0)+IF(ISNUMBER(AI91),1,0)+IF(ISNUMBER(AJ91),1,0)+IF(ISNUMBER(AK91),1,0)+IF(ISNUMBER(AL91),1,0)),2),"")</f>
        <v>14.17</v>
      </c>
      <c r="AN91" s="102" t="str">
        <f aca="false">IF(OR(Calculator!$E$11&lt;&gt;"YES",Calculator!$B$33&lt;Calculator!$G$11),"—",ROUND(MAX((50*POWER(80,POWER(COS(PI()*MOD(Calculator!$B$33/Calculator!$F$11,1)),2)))/$C91,$C91/(50*POWER(80,POWER(COS(PI()*MOD(Calculator!$B$33/Calculator!$F$11,1)),2)))),2))</f>
        <v>—</v>
      </c>
      <c r="AO91" s="102" t="str">
        <f aca="false">IF(OR(Calculator!$E$12&lt;&gt;"YES",Calculator!$B$33&lt;Calculator!$G$12),"—",ROUND(MAX((50*POWER(80,POWER(COS(PI()*MOD(Calculator!$B$33/Calculator!$F$12,1)),2)))/$C91,$C91/(50*POWER(80,POWER(COS(PI()*MOD(Calculator!$B$33/Calculator!$F$12,1)),2)))),2))</f>
        <v>—</v>
      </c>
      <c r="AP91" s="102" t="str">
        <f aca="false">IF(OR(Calculator!$E$13&lt;&gt;"YES",Calculator!$B$33&lt;Calculator!$G$13),"—",ROUND(MAX((50*POWER(80,POWER(COS(PI()*MOD(Calculator!$B$33/Calculator!$F$13,1)),2)))/$C91,$C91/(50*POWER(80,POWER(COS(PI()*MOD(Calculator!$B$33/Calculator!$F$13,1)),2)))),2))</f>
        <v>—</v>
      </c>
      <c r="AQ91" s="102" t="n">
        <f aca="false">IF(OR(Calculator!$E$14&lt;&gt;"YES",Calculator!$B$33&lt;Calculator!$G$14),"—",ROUND(MAX((50*POWER(80,POWER(COS(PI()*MOD(Calculator!$B$33/Calculator!$F$14,1)),2)))/$C91,$C91/(50*POWER(80,POWER(COS(PI()*MOD(Calculator!$B$33/Calculator!$F$14,1)),2)))),2))</f>
        <v>1.08</v>
      </c>
      <c r="AR91" s="102" t="n">
        <f aca="false">IF(OR(Calculator!$E$15&lt;&gt;"YES",Calculator!$B$33&lt;Calculator!$G$15),"—",ROUND(MAX((50*POWER(80,POWER(COS(PI()*MOD(Calculator!$B$33/Calculator!$F$15,1)),2)))/$C91,$C91/(50*POWER(80,POWER(COS(PI()*MOD(Calculator!$B$33/Calculator!$F$15,1)),2)))),2))</f>
        <v>10.05</v>
      </c>
      <c r="AS91" s="102" t="n">
        <f aca="false">IF(OR(Calculator!$E$16&lt;&gt;"YES",Calculator!$B$33&lt;Calculator!$G$16),"—",ROUND(MAX((50*POWER(80,POWER(COS(PI()*MOD(Calculator!$B$33/Calculator!$F$16,1)),2)))/$C91,$C91/(50*POWER(80,POWER(COS(PI()*MOD(Calculator!$B$33/Calculator!$F$16,1)),2)))),2))</f>
        <v>3.67</v>
      </c>
      <c r="AT91" s="102" t="n">
        <f aca="false">IF(OR(Calculator!$E$17&lt;&gt;"YES",Calculator!$B$33&lt;Calculator!$G$17),"—",ROUND(MAX((50*POWER(80,POWER(COS(PI()*MOD(Calculator!$B$33/Calculator!$F$17,1)),2)))/$C91,$C91/(50*POWER(80,POWER(COS(PI()*MOD(Calculator!$B$33/Calculator!$F$17,1)),2)))),2))</f>
        <v>11.66</v>
      </c>
      <c r="AU91" s="102" t="n">
        <f aca="false">IF(OR(Calculator!$E$18&lt;&gt;"YES",Calculator!$B$33&lt;Calculator!$G$18),"—",ROUND(MAX((50*POWER(80,POWER(COS(PI()*MOD(Calculator!$B$33/Calculator!$F$18,1)),2)))/$C91,$C91/(50*POWER(80,POWER(COS(PI()*MOD(Calculator!$B$33/Calculator!$F$18,1)),2)))),2))</f>
        <v>15.77</v>
      </c>
      <c r="AV91" s="102" t="n">
        <f aca="false">IF(OR(Calculator!$E$19&lt;&gt;"YES",Calculator!$B$33&lt;Calculator!$G$19),"—",ROUND(MAX((50*POWER(80,POWER(COS(PI()*MOD(Calculator!$B$33/Calculator!$F$19,1)),2)))/$C91,$C91/(50*POWER(80,POWER(COS(PI()*MOD(Calculator!$B$33/Calculator!$F$19,1)),2)))),2))</f>
        <v>1.92</v>
      </c>
      <c r="AW91" s="102" t="n">
        <f aca="false">IF(OR(Calculator!$E$20&lt;&gt;"YES",Calculator!$B$33&lt;Calculator!$G$20),"—",ROUND(MAX((50*POWER(80,POWER(COS(PI()*MOD(Calculator!$B$33/Calculator!$F$20,1)),2)))/$C91,$C91/(50*POWER(80,POWER(COS(PI()*MOD(Calculator!$B$33/Calculator!$F$20,1)),2)))),2))</f>
        <v>24.07</v>
      </c>
      <c r="AX91" s="102" t="str">
        <f aca="false">IF(OR(Calculator!$E$21&lt;&gt;"YES",Calculator!$B$33&lt;Calculator!$G$21),"—",ROUND(MAX((50*POWER(80,POWER(COS(PI()*MOD(Calculator!$B$33/Calculator!$F$21,1)),2)))/$C91,$C91/(50*POWER(80,POWER(COS(PI()*MOD(Calculator!$B$33/Calculator!$F$21,1)),2)))),2))</f>
        <v>—</v>
      </c>
      <c r="AY91" s="101" t="n">
        <f aca="false">IFERROR(ROUND((IF(ISNUMBER(AN91),AN91,0)+IF(ISNUMBER(AO91),AO91,0)+IF(ISNUMBER(AP91),AP91,0)+IF(ISNUMBER(AQ91),AQ91,0)+IF(ISNUMBER(AR91),AR91,0)+IF(ISNUMBER(AS91),AS91,0)+IF(ISNUMBER(AT91),AT91,0)+IF(ISNUMBER(AU91),AU91,0)+IF(ISNUMBER(AV91),AV91,0)+IF(ISNUMBER(AW91),AW91,0)+IF(ISNUMBER(AX91),AX91,0))/(IF(ISNUMBER(AN91),1,0)+IF(ISNUMBER(AO91),1,0)+IF(ISNUMBER(AP91),1,0)+IF(ISNUMBER(AQ91),1,0)+IF(ISNUMBER(AR91),1,0)+IF(ISNUMBER(AS91),1,0)+IF(ISNUMBER(AT91),1,0)+IF(ISNUMBER(AU91),1,0)+IF(ISNUMBER(AV91),1,0)+IF(ISNUMBER(AW91),1,0)+IF(ISNUMBER(AX91),1,0)),2),"")</f>
        <v>9.75</v>
      </c>
      <c r="AZ91" s="102" t="str">
        <f aca="false">IF(OR(Calculator!$E$11&lt;&gt;"YES",Calculator!$B$34&lt;Calculator!$G$11),"—",ROUND(MAX((50*POWER(80,POWER(COS(PI()*MOD(Calculator!$B$34/Calculator!$F$11,1)),2)))/$C91,$C91/(50*POWER(80,POWER(COS(PI()*MOD(Calculator!$B$34/Calculator!$F$11,1)),2)))),2))</f>
        <v>—</v>
      </c>
      <c r="BA91" s="102" t="str">
        <f aca="false">IF(OR(Calculator!$E$12&lt;&gt;"YES",Calculator!$B$34&lt;Calculator!$G$12),"—",ROUND(MAX((50*POWER(80,POWER(COS(PI()*MOD(Calculator!$B$34/Calculator!$F$12,1)),2)))/$C91,$C91/(50*POWER(80,POWER(COS(PI()*MOD(Calculator!$B$34/Calculator!$F$12,1)),2)))),2))</f>
        <v>—</v>
      </c>
      <c r="BB91" s="102" t="str">
        <f aca="false">IF(OR(Calculator!$E$13&lt;&gt;"YES",Calculator!$B$34&lt;Calculator!$G$13),"—",ROUND(MAX((50*POWER(80,POWER(COS(PI()*MOD(Calculator!$B$34/Calculator!$F$13,1)),2)))/$C91,$C91/(50*POWER(80,POWER(COS(PI()*MOD(Calculator!$B$34/Calculator!$F$13,1)),2)))),2))</f>
        <v>—</v>
      </c>
      <c r="BC91" s="102" t="n">
        <f aca="false">IF(OR(Calculator!$E$14&lt;&gt;"YES",Calculator!$B$34&lt;Calculator!$G$14),"—",ROUND(MAX((50*POWER(80,POWER(COS(PI()*MOD(Calculator!$B$34/Calculator!$F$14,1)),2)))/$C91,$C91/(50*POWER(80,POWER(COS(PI()*MOD(Calculator!$B$34/Calculator!$F$14,1)),2)))),2))</f>
        <v>1.06</v>
      </c>
      <c r="BD91" s="102" t="n">
        <f aca="false">IF(OR(Calculator!$E$15&lt;&gt;"YES",Calculator!$B$34&lt;Calculator!$G$15),"—",ROUND(MAX((50*POWER(80,POWER(COS(PI()*MOD(Calculator!$B$34/Calculator!$F$15,1)),2)))/$C91,$C91/(50*POWER(80,POWER(COS(PI()*MOD(Calculator!$B$34/Calculator!$F$15,1)),2)))),2))</f>
        <v>12.98</v>
      </c>
      <c r="BE91" s="102" t="n">
        <f aca="false">IF(OR(Calculator!$E$16&lt;&gt;"YES",Calculator!$B$34&lt;Calculator!$G$16),"—",ROUND(MAX((50*POWER(80,POWER(COS(PI()*MOD(Calculator!$B$34/Calculator!$F$16,1)),2)))/$C91,$C91/(50*POWER(80,POWER(COS(PI()*MOD(Calculator!$B$34/Calculator!$F$16,1)),2)))),2))</f>
        <v>4.38</v>
      </c>
      <c r="BF91" s="102" t="n">
        <f aca="false">IF(OR(Calculator!$E$17&lt;&gt;"YES",Calculator!$B$34&lt;Calculator!$G$17),"—",ROUND(MAX((50*POWER(80,POWER(COS(PI()*MOD(Calculator!$B$34/Calculator!$F$17,1)),2)))/$C91,$C91/(50*POWER(80,POWER(COS(PI()*MOD(Calculator!$B$34/Calculator!$F$17,1)),2)))),2))</f>
        <v>2.26</v>
      </c>
      <c r="BG91" s="102" t="n">
        <f aca="false">IF(OR(Calculator!$E$18&lt;&gt;"YES",Calculator!$B$34&lt;Calculator!$G$18),"—",ROUND(MAX((50*POWER(80,POWER(COS(PI()*MOD(Calculator!$B$34/Calculator!$F$18,1)),2)))/$C91,$C91/(50*POWER(80,POWER(COS(PI()*MOD(Calculator!$B$34/Calculator!$F$18,1)),2)))),2))</f>
        <v>21.34</v>
      </c>
      <c r="BH91" s="102" t="n">
        <f aca="false">IF(OR(Calculator!$E$19&lt;&gt;"YES",Calculator!$B$34&lt;Calculator!$G$19),"—",ROUND(MAX((50*POWER(80,POWER(COS(PI()*MOD(Calculator!$B$34/Calculator!$F$19,1)),2)))/$C91,$C91/(50*POWER(80,POWER(COS(PI()*MOD(Calculator!$B$34/Calculator!$F$19,1)),2)))),2))</f>
        <v>23.73</v>
      </c>
      <c r="BI91" s="102" t="n">
        <f aca="false">IF(OR(Calculator!$E$20&lt;&gt;"YES",Calculator!$B$34&lt;Calculator!$G$20),"—",ROUND(MAX((50*POWER(80,POWER(COS(PI()*MOD(Calculator!$B$34/Calculator!$F$20,1)),2)))/$C91,$C91/(50*POWER(80,POWER(COS(PI()*MOD(Calculator!$B$34/Calculator!$F$20,1)),2)))),2))</f>
        <v>14.16</v>
      </c>
      <c r="BJ91" s="102" t="str">
        <f aca="false">IF(OR(Calculator!$E$21&lt;&gt;"YES",Calculator!$B$34&lt;Calculator!$G$21),"—",ROUND(MAX((50*POWER(80,POWER(COS(PI()*MOD(Calculator!$B$34/Calculator!$F$21,1)),2)))/$C91,$C91/(50*POWER(80,POWER(COS(PI()*MOD(Calculator!$B$34/Calculator!$F$21,1)),2)))),2))</f>
        <v>—</v>
      </c>
      <c r="BK91" s="101" t="n">
        <f aca="false">IFERROR(ROUND((IF(ISNUMBER(AZ91),AZ91,0)+IF(ISNUMBER(BA91),BA91,0)+IF(ISNUMBER(BB91),BB91,0)+IF(ISNUMBER(BC91),BC91,0)+IF(ISNUMBER(BD91),BD91,0)+IF(ISNUMBER(BE91),BE91,0)+IF(ISNUMBER(BF91),BF91,0)+IF(ISNUMBER(BG91),BG91,0)+IF(ISNUMBER(BH91),BH91,0)+IF(ISNUMBER(BI91),BI91,0)+IF(ISNUMBER(BJ91),BJ91,0))/(IF(ISNUMBER(AZ91),1,0)+IF(ISNUMBER(BA91),1,0)+IF(ISNUMBER(BB91),1,0)+IF(ISNUMBER(BC91),1,0)+IF(ISNUMBER(BD91),1,0)+IF(ISNUMBER(BE91),1,0)+IF(ISNUMBER(BF91),1,0)+IF(ISNUMBER(BG91),1,0)+IF(ISNUMBER(BH91),1,0)+IF(ISNUMBER(BI91),1,0)+IF(ISNUMBER(BJ91),1,0)),2),"")</f>
        <v>11.42</v>
      </c>
    </row>
    <row r="92" customFormat="false" ht="15" hidden="false" customHeight="false" outlineLevel="0" collapsed="false">
      <c r="A92" s="103" t="s">
        <v>143</v>
      </c>
      <c r="B92" s="103" t="s">
        <v>86</v>
      </c>
      <c r="C92" s="103" t="n">
        <v>3000</v>
      </c>
      <c r="D92" s="103" t="str">
        <f aca="false">IF(OR(Calculator!$E$11&lt;&gt;"YES",Calculator!$B$30&lt;Calculator!$G$11),"—",ROUND(MAX((50*POWER(80,POWER(COS(PI()*MOD(Calculator!$B$30/Calculator!$F$11,1)),2)))/$C92,$C92/(50*POWER(80,POWER(COS(PI()*MOD(Calculator!$B$30/Calculator!$F$11,1)),2)))),2))</f>
        <v>—</v>
      </c>
      <c r="E92" s="103" t="str">
        <f aca="false">IF(OR(Calculator!$E$12&lt;&gt;"YES",Calculator!$B$30&lt;Calculator!$G$12),"—",ROUND(MAX((50*POWER(80,POWER(COS(PI()*MOD(Calculator!$B$30/Calculator!$F$12,1)),2)))/$C92,$C92/(50*POWER(80,POWER(COS(PI()*MOD(Calculator!$B$30/Calculator!$F$12,1)),2)))),2))</f>
        <v>—</v>
      </c>
      <c r="F92" s="103" t="str">
        <f aca="false">IF(OR(Calculator!$E$13&lt;&gt;"YES",Calculator!$B$30&lt;Calculator!$G$13),"—",ROUND(MAX((50*POWER(80,POWER(COS(PI()*MOD(Calculator!$B$30/Calculator!$F$13,1)),2)))/$C92,$C92/(50*POWER(80,POWER(COS(PI()*MOD(Calculator!$B$30/Calculator!$F$13,1)),2)))),2))</f>
        <v>—</v>
      </c>
      <c r="G92" s="103" t="n">
        <f aca="false">IF(OR(Calculator!$E$14&lt;&gt;"YES",Calculator!$B$30&lt;Calculator!$G$14),"—",ROUND(MAX((50*POWER(80,POWER(COS(PI()*MOD(Calculator!$B$30/Calculator!$F$14,1)),2)))/$C92,$C92/(50*POWER(80,POWER(COS(PI()*MOD(Calculator!$B$30/Calculator!$F$14,1)),2)))),2))</f>
        <v>27.11</v>
      </c>
      <c r="H92" s="103" t="n">
        <f aca="false">IF(OR(Calculator!$E$15&lt;&gt;"YES",Calculator!$B$30&lt;Calculator!$G$15),"—",ROUND(MAX((50*POWER(80,POWER(COS(PI()*MOD(Calculator!$B$30/Calculator!$F$15,1)),2)))/$C92,$C92/(50*POWER(80,POWER(COS(PI()*MOD(Calculator!$B$30/Calculator!$F$15,1)),2)))),2))</f>
        <v>7.86</v>
      </c>
      <c r="I92" s="103" t="n">
        <f aca="false">IF(OR(Calculator!$E$16&lt;&gt;"YES",Calculator!$B$30&lt;Calculator!$G$16),"—",ROUND(MAX((50*POWER(80,POWER(COS(PI()*MOD(Calculator!$B$30/Calculator!$F$16,1)),2)))/$C92,$C92/(50*POWER(80,POWER(COS(PI()*MOD(Calculator!$B$30/Calculator!$F$16,1)),2)))),2))</f>
        <v>5.37</v>
      </c>
      <c r="J92" s="103" t="n">
        <f aca="false">IF(OR(Calculator!$E$17&lt;&gt;"YES",Calculator!$B$30&lt;Calculator!$G$17),"—",ROUND(MAX((50*POWER(80,POWER(COS(PI()*MOD(Calculator!$B$30/Calculator!$F$17,1)),2)))/$C92,$C92/(50*POWER(80,POWER(COS(PI()*MOD(Calculator!$B$30/Calculator!$F$17,1)),2)))),2))</f>
        <v>15.08</v>
      </c>
      <c r="K92" s="103" t="n">
        <f aca="false">IF(OR(Calculator!$E$18&lt;&gt;"YES",Calculator!$B$30&lt;Calculator!$G$18),"—",ROUND(MAX((50*POWER(80,POWER(COS(PI()*MOD(Calculator!$B$30/Calculator!$F$18,1)),2)))/$C92,$C92/(50*POWER(80,POWER(COS(PI()*MOD(Calculator!$B$30/Calculator!$F$18,1)),2)))),2))</f>
        <v>2.15</v>
      </c>
      <c r="L92" s="103" t="n">
        <f aca="false">IF(OR(Calculator!$E$19&lt;&gt;"YES",Calculator!$B$30&lt;Calculator!$G$19),"—",ROUND(MAX((50*POWER(80,POWER(COS(PI()*MOD(Calculator!$B$30/Calculator!$F$19,1)),2)))/$C92,$C92/(50*POWER(80,POWER(COS(PI()*MOD(Calculator!$B$30/Calculator!$F$19,1)),2)))),2))</f>
        <v>3.82</v>
      </c>
      <c r="M92" s="103" t="n">
        <f aca="false">IF(OR(Calculator!$E$20&lt;&gt;"YES",Calculator!$B$30&lt;Calculator!$G$20),"—",ROUND(MAX((50*POWER(80,POWER(COS(PI()*MOD(Calculator!$B$30/Calculator!$F$20,1)),2)))/$C92,$C92/(50*POWER(80,POWER(COS(PI()*MOD(Calculator!$B$30/Calculator!$F$20,1)),2)))),2))</f>
        <v>23.7</v>
      </c>
      <c r="N92" s="103" t="str">
        <f aca="false">IF(OR(Calculator!$E$21&lt;&gt;"YES",Calculator!$B$30&lt;Calculator!$G$21),"—",ROUND(MAX((50*POWER(80,POWER(COS(PI()*MOD(Calculator!$B$30/Calculator!$F$21,1)),2)))/$C92,$C92/(50*POWER(80,POWER(COS(PI()*MOD(Calculator!$B$30/Calculator!$F$21,1)),2)))),2))</f>
        <v>—</v>
      </c>
      <c r="O92" s="107" t="n">
        <f aca="false">IFERROR(ROUND((IF(ISNUMBER(D92),D92,0)+IF(ISNUMBER(E92),E92,0)+IF(ISNUMBER(F92),F92,0)+IF(ISNUMBER(G92),G92,0)+IF(ISNUMBER(H92),H92,0)+IF(ISNUMBER(I92),I92,0)+IF(ISNUMBER(J92),J92,0)+IF(ISNUMBER(K92),K92,0)+IF(ISNUMBER(L92),L92,0)+IF(ISNUMBER(M92),M92,0)+IF(ISNUMBER(N92),N92,0))/(IF(ISNUMBER(D92),1,0)+IF(ISNUMBER(E92),1,0)+IF(ISNUMBER(F92),1,0)+IF(ISNUMBER(G92),1,0)+IF(ISNUMBER(H92),1,0)+IF(ISNUMBER(I92),1,0)+IF(ISNUMBER(J92),1,0)+IF(ISNUMBER(K92),1,0)+IF(ISNUMBER(L92),1,0)+IF(ISNUMBER(M92),1,0)+IF(ISNUMBER(N92),1,0)),2),"")</f>
        <v>12.16</v>
      </c>
      <c r="P92" s="103" t="str">
        <f aca="false">IF(OR(Calculator!$E$11&lt;&gt;"YES",Calculator!$B$31&lt;Calculator!$G$11),"—",ROUND(MAX((50*POWER(80,POWER(COS(PI()*MOD(Calculator!$B$31/Calculator!$F$11,1)),2)))/$C92,$C92/(50*POWER(80,POWER(COS(PI()*MOD(Calculator!$B$31/Calculator!$F$11,1)),2)))),2))</f>
        <v>—</v>
      </c>
      <c r="Q92" s="103" t="str">
        <f aca="false">IF(OR(Calculator!$E$12&lt;&gt;"YES",Calculator!$B$31&lt;Calculator!$G$12),"—",ROUND(MAX((50*POWER(80,POWER(COS(PI()*MOD(Calculator!$B$31/Calculator!$F$12,1)),2)))/$C92,$C92/(50*POWER(80,POWER(COS(PI()*MOD(Calculator!$B$31/Calculator!$F$12,1)),2)))),2))</f>
        <v>—</v>
      </c>
      <c r="R92" s="103" t="str">
        <f aca="false">IF(OR(Calculator!$E$13&lt;&gt;"YES",Calculator!$B$31&lt;Calculator!$G$13),"—",ROUND(MAX((50*POWER(80,POWER(COS(PI()*MOD(Calculator!$B$31/Calculator!$F$13,1)),2)))/$C92,$C92/(50*POWER(80,POWER(COS(PI()*MOD(Calculator!$B$31/Calculator!$F$13,1)),2)))),2))</f>
        <v>—</v>
      </c>
      <c r="S92" s="103" t="n">
        <f aca="false">IF(OR(Calculator!$E$14&lt;&gt;"YES",Calculator!$B$31&lt;Calculator!$G$14),"—",ROUND(MAX((50*POWER(80,POWER(COS(PI()*MOD(Calculator!$B$31/Calculator!$F$14,1)),2)))/$C92,$C92/(50*POWER(80,POWER(COS(PI()*MOD(Calculator!$B$31/Calculator!$F$14,1)),2)))),2))</f>
        <v>27.75</v>
      </c>
      <c r="T92" s="103" t="n">
        <f aca="false">IF(OR(Calculator!$E$15&lt;&gt;"YES",Calculator!$B$31&lt;Calculator!$G$15),"—",ROUND(MAX((50*POWER(80,POWER(COS(PI()*MOD(Calculator!$B$31/Calculator!$F$15,1)),2)))/$C92,$C92/(50*POWER(80,POWER(COS(PI()*MOD(Calculator!$B$31/Calculator!$F$15,1)),2)))),2))</f>
        <v>16.89</v>
      </c>
      <c r="U92" s="103" t="n">
        <f aca="false">IF(OR(Calculator!$E$16&lt;&gt;"YES",Calculator!$B$31&lt;Calculator!$G$16),"—",ROUND(MAX((50*POWER(80,POWER(COS(PI()*MOD(Calculator!$B$31/Calculator!$F$16,1)),2)))/$C92,$C92/(50*POWER(80,POWER(COS(PI()*MOD(Calculator!$B$31/Calculator!$F$16,1)),2)))),2))</f>
        <v>6.43</v>
      </c>
      <c r="V92" s="103" t="n">
        <f aca="false">IF(OR(Calculator!$E$17&lt;&gt;"YES",Calculator!$B$31&lt;Calculator!$G$17),"—",ROUND(MAX((50*POWER(80,POWER(COS(PI()*MOD(Calculator!$B$31/Calculator!$F$17,1)),2)))/$C92,$C92/(50*POWER(80,POWER(COS(PI()*MOD(Calculator!$B$31/Calculator!$F$17,1)),2)))),2))</f>
        <v>1.85</v>
      </c>
      <c r="W92" s="103" t="n">
        <f aca="false">IF(OR(Calculator!$E$18&lt;&gt;"YES",Calculator!$B$31&lt;Calculator!$G$18),"—",ROUND(MAX((50*POWER(80,POWER(COS(PI()*MOD(Calculator!$B$31/Calculator!$F$18,1)),2)))/$C92,$C92/(50*POWER(80,POWER(COS(PI()*MOD(Calculator!$B$31/Calculator!$F$18,1)),2)))),2))</f>
        <v>1.63</v>
      </c>
      <c r="X92" s="103" t="n">
        <f aca="false">IF(OR(Calculator!$E$19&lt;&gt;"YES",Calculator!$B$31&lt;Calculator!$G$19),"—",ROUND(MAX((50*POWER(80,POWER(COS(PI()*MOD(Calculator!$B$31/Calculator!$F$19,1)),2)))/$C92,$C92/(50*POWER(80,POWER(COS(PI()*MOD(Calculator!$B$31/Calculator!$F$19,1)),2)))),2))</f>
        <v>11.15</v>
      </c>
      <c r="Y92" s="103" t="n">
        <f aca="false">IF(OR(Calculator!$E$20&lt;&gt;"YES",Calculator!$B$31&lt;Calculator!$G$20),"—",ROUND(MAX((50*POWER(80,POWER(COS(PI()*MOD(Calculator!$B$31/Calculator!$F$20,1)),2)))/$C92,$C92/(50*POWER(80,POWER(COS(PI()*MOD(Calculator!$B$31/Calculator!$F$20,1)),2)))),2))</f>
        <v>36.81</v>
      </c>
      <c r="Z92" s="103" t="str">
        <f aca="false">IF(OR(Calculator!$E$21&lt;&gt;"YES",Calculator!$B$31&lt;Calculator!$G$21),"—",ROUND(MAX((50*POWER(80,POWER(COS(PI()*MOD(Calculator!$B$31/Calculator!$F$21,1)),2)))/$C92,$C92/(50*POWER(80,POWER(COS(PI()*MOD(Calculator!$B$31/Calculator!$F$21,1)),2)))),2))</f>
        <v>—</v>
      </c>
      <c r="AA92" s="107" t="n">
        <f aca="false">IFERROR(ROUND((IF(ISNUMBER(P92),P92,0)+IF(ISNUMBER(Q92),Q92,0)+IF(ISNUMBER(R92),R92,0)+IF(ISNUMBER(S92),S92,0)+IF(ISNUMBER(T92),T92,0)+IF(ISNUMBER(U92),U92,0)+IF(ISNUMBER(V92),V92,0)+IF(ISNUMBER(W92),W92,0)+IF(ISNUMBER(X92),X92,0)+IF(ISNUMBER(Y92),Y92,0)+IF(ISNUMBER(Z92),Z92,0))/(IF(ISNUMBER(P92),1,0)+IF(ISNUMBER(Q92),1,0)+IF(ISNUMBER(R92),1,0)+IF(ISNUMBER(S92),1,0)+IF(ISNUMBER(T92),1,0)+IF(ISNUMBER(U92),1,0)+IF(ISNUMBER(V92),1,0)+IF(ISNUMBER(W92),1,0)+IF(ISNUMBER(X92),1,0)+IF(ISNUMBER(Y92),1,0)+IF(ISNUMBER(Z92),1,0)),2),"")</f>
        <v>14.64</v>
      </c>
      <c r="AB92" s="103" t="str">
        <f aca="false">IF(OR(Calculator!$E$11&lt;&gt;"YES",Calculator!$B$32&lt;Calculator!$G$11),"—",ROUND(MAX((50*POWER(80,POWER(COS(PI()*MOD(Calculator!$B$32/Calculator!$F$11,1)),2)))/$C92,$C92/(50*POWER(80,POWER(COS(PI()*MOD(Calculator!$B$32/Calculator!$F$11,1)),2)))),2))</f>
        <v>—</v>
      </c>
      <c r="AC92" s="103" t="str">
        <f aca="false">IF(OR(Calculator!$E$12&lt;&gt;"YES",Calculator!$B$32&lt;Calculator!$G$12),"—",ROUND(MAX((50*POWER(80,POWER(COS(PI()*MOD(Calculator!$B$32/Calculator!$F$12,1)),2)))/$C92,$C92/(50*POWER(80,POWER(COS(PI()*MOD(Calculator!$B$32/Calculator!$F$12,1)),2)))),2))</f>
        <v>—</v>
      </c>
      <c r="AD92" s="103" t="str">
        <f aca="false">IF(OR(Calculator!$E$13&lt;&gt;"YES",Calculator!$B$32&lt;Calculator!$G$13),"—",ROUND(MAX((50*POWER(80,POWER(COS(PI()*MOD(Calculator!$B$32/Calculator!$F$13,1)),2)))/$C92,$C92/(50*POWER(80,POWER(COS(PI()*MOD(Calculator!$B$32/Calculator!$F$13,1)),2)))),2))</f>
        <v>—</v>
      </c>
      <c r="AE92" s="103" t="n">
        <f aca="false">IF(OR(Calculator!$E$14&lt;&gt;"YES",Calculator!$B$32&lt;Calculator!$G$14),"—",ROUND(MAX((50*POWER(80,POWER(COS(PI()*MOD(Calculator!$B$32/Calculator!$F$14,1)),2)))/$C92,$C92/(50*POWER(80,POWER(COS(PI()*MOD(Calculator!$B$32/Calculator!$F$14,1)),2)))),2))</f>
        <v>17.53</v>
      </c>
      <c r="AF92" s="103" t="n">
        <f aca="false">IF(OR(Calculator!$E$15&lt;&gt;"YES",Calculator!$B$32&lt;Calculator!$G$15),"—",ROUND(MAX((50*POWER(80,POWER(COS(PI()*MOD(Calculator!$B$32/Calculator!$F$15,1)),2)))/$C92,$C92/(50*POWER(80,POWER(COS(PI()*MOD(Calculator!$B$32/Calculator!$F$15,1)),2)))),2))</f>
        <v>11.33</v>
      </c>
      <c r="AG92" s="103" t="n">
        <f aca="false">IF(OR(Calculator!$E$16&lt;&gt;"YES",Calculator!$B$32&lt;Calculator!$G$16),"—",ROUND(MAX((50*POWER(80,POWER(COS(PI()*MOD(Calculator!$B$32/Calculator!$F$16,1)),2)))/$C92,$C92/(50*POWER(80,POWER(COS(PI()*MOD(Calculator!$B$32/Calculator!$F$16,1)),2)))),2))</f>
        <v>38.25</v>
      </c>
      <c r="AH92" s="103" t="n">
        <f aca="false">IF(OR(Calculator!$E$17&lt;&gt;"YES",Calculator!$B$32&lt;Calculator!$G$17),"—",ROUND(MAX((50*POWER(80,POWER(COS(PI()*MOD(Calculator!$B$32/Calculator!$F$17,1)),2)))/$C92,$C92/(50*POWER(80,POWER(COS(PI()*MOD(Calculator!$B$32/Calculator!$F$17,1)),2)))),2))</f>
        <v>1.3</v>
      </c>
      <c r="AI92" s="103" t="n">
        <f aca="false">IF(OR(Calculator!$E$18&lt;&gt;"YES",Calculator!$B$32&lt;Calculator!$G$18),"—",ROUND(MAX((50*POWER(80,POWER(COS(PI()*MOD(Calculator!$B$32/Calculator!$F$18,1)),2)))/$C92,$C92/(50*POWER(80,POWER(COS(PI()*MOD(Calculator!$B$32/Calculator!$F$18,1)),2)))),2))</f>
        <v>1.2</v>
      </c>
      <c r="AJ92" s="103" t="n">
        <f aca="false">IF(OR(Calculator!$E$19&lt;&gt;"YES",Calculator!$B$32&lt;Calculator!$G$19),"—",ROUND(MAX((50*POWER(80,POWER(COS(PI()*MOD(Calculator!$B$32/Calculator!$F$19,1)),2)))/$C92,$C92/(50*POWER(80,POWER(COS(PI()*MOD(Calculator!$B$32/Calculator!$F$19,1)),2)))),2))</f>
        <v>1.14</v>
      </c>
      <c r="AK92" s="103" t="n">
        <f aca="false">IF(OR(Calculator!$E$20&lt;&gt;"YES",Calculator!$B$32&lt;Calculator!$G$20),"—",ROUND(MAX((50*POWER(80,POWER(COS(PI()*MOD(Calculator!$B$32/Calculator!$F$20,1)),2)))/$C92,$C92/(50*POWER(80,POWER(COS(PI()*MOD(Calculator!$B$32/Calculator!$F$20,1)),2)))),2))</f>
        <v>30.09</v>
      </c>
      <c r="AL92" s="103" t="str">
        <f aca="false">IF(OR(Calculator!$E$21&lt;&gt;"YES",Calculator!$B$32&lt;Calculator!$G$21),"—",ROUND(MAX((50*POWER(80,POWER(COS(PI()*MOD(Calculator!$B$32/Calculator!$F$21,1)),2)))/$C92,$C92/(50*POWER(80,POWER(COS(PI()*MOD(Calculator!$B$32/Calculator!$F$21,1)),2)))),2))</f>
        <v>—</v>
      </c>
      <c r="AM92" s="101" t="n">
        <f aca="false">IFERROR(ROUND((IF(ISNUMBER(AB92),AB92,0)+IF(ISNUMBER(AC92),AC92,0)+IF(ISNUMBER(AD92),AD92,0)+IF(ISNUMBER(AE92),AE92,0)+IF(ISNUMBER(AF92),AF92,0)+IF(ISNUMBER(AG92),AG92,0)+IF(ISNUMBER(AH92),AH92,0)+IF(ISNUMBER(AI92),AI92,0)+IF(ISNUMBER(AJ92),AJ92,0)+IF(ISNUMBER(AK92),AK92,0)+IF(ISNUMBER(AL92),AL92,0))/(IF(ISNUMBER(AB92),1,0)+IF(ISNUMBER(AC92),1,0)+IF(ISNUMBER(AD92),1,0)+IF(ISNUMBER(AE92),1,0)+IF(ISNUMBER(AF92),1,0)+IF(ISNUMBER(AG92),1,0)+IF(ISNUMBER(AH92),1,0)+IF(ISNUMBER(AI92),1,0)+IF(ISNUMBER(AJ92),1,0)+IF(ISNUMBER(AK92),1,0)+IF(ISNUMBER(AL92),1,0)),2),"")</f>
        <v>14.41</v>
      </c>
      <c r="AN92" s="106" t="str">
        <f aca="false">IF(OR(Calculator!$E$11&lt;&gt;"YES",Calculator!$B$33&lt;Calculator!$G$11),"—",ROUND(MAX((50*POWER(80,POWER(COS(PI()*MOD(Calculator!$B$33/Calculator!$F$11,1)),2)))/$C92,$C92/(50*POWER(80,POWER(COS(PI()*MOD(Calculator!$B$33/Calculator!$F$11,1)),2)))),2))</f>
        <v>—</v>
      </c>
      <c r="AO92" s="106" t="str">
        <f aca="false">IF(OR(Calculator!$E$12&lt;&gt;"YES",Calculator!$B$33&lt;Calculator!$G$12),"—",ROUND(MAX((50*POWER(80,POWER(COS(PI()*MOD(Calculator!$B$33/Calculator!$F$12,1)),2)))/$C92,$C92/(50*POWER(80,POWER(COS(PI()*MOD(Calculator!$B$33/Calculator!$F$12,1)),2)))),2))</f>
        <v>—</v>
      </c>
      <c r="AP92" s="106" t="str">
        <f aca="false">IF(OR(Calculator!$E$13&lt;&gt;"YES",Calculator!$B$33&lt;Calculator!$G$13),"—",ROUND(MAX((50*POWER(80,POWER(COS(PI()*MOD(Calculator!$B$33/Calculator!$F$13,1)),2)))/$C92,$C92/(50*POWER(80,POWER(COS(PI()*MOD(Calculator!$B$33/Calculator!$F$13,1)),2)))),2))</f>
        <v>—</v>
      </c>
      <c r="AQ92" s="106" t="n">
        <f aca="false">IF(OR(Calculator!$E$14&lt;&gt;"YES",Calculator!$B$33&lt;Calculator!$G$14),"—",ROUND(MAX((50*POWER(80,POWER(COS(PI()*MOD(Calculator!$B$33/Calculator!$F$14,1)),2)))/$C92,$C92/(50*POWER(80,POWER(COS(PI()*MOD(Calculator!$B$33/Calculator!$F$14,1)),2)))),2))</f>
        <v>1.1</v>
      </c>
      <c r="AR92" s="106" t="n">
        <f aca="false">IF(OR(Calculator!$E$15&lt;&gt;"YES",Calculator!$B$33&lt;Calculator!$G$15),"—",ROUND(MAX((50*POWER(80,POWER(COS(PI()*MOD(Calculator!$B$33/Calculator!$F$15,1)),2)))/$C92,$C92/(50*POWER(80,POWER(COS(PI()*MOD(Calculator!$B$33/Calculator!$F$15,1)),2)))),2))</f>
        <v>10.22</v>
      </c>
      <c r="AS92" s="106" t="n">
        <f aca="false">IF(OR(Calculator!$E$16&lt;&gt;"YES",Calculator!$B$33&lt;Calculator!$G$16),"—",ROUND(MAX((50*POWER(80,POWER(COS(PI()*MOD(Calculator!$B$33/Calculator!$F$16,1)),2)))/$C92,$C92/(50*POWER(80,POWER(COS(PI()*MOD(Calculator!$B$33/Calculator!$F$16,1)),2)))),2))</f>
        <v>3.73</v>
      </c>
      <c r="AT92" s="106" t="n">
        <f aca="false">IF(OR(Calculator!$E$17&lt;&gt;"YES",Calculator!$B$33&lt;Calculator!$G$17),"—",ROUND(MAX((50*POWER(80,POWER(COS(PI()*MOD(Calculator!$B$33/Calculator!$F$17,1)),2)))/$C92,$C92/(50*POWER(80,POWER(COS(PI()*MOD(Calculator!$B$33/Calculator!$F$17,1)),2)))),2))</f>
        <v>11.86</v>
      </c>
      <c r="AU92" s="106" t="n">
        <f aca="false">IF(OR(Calculator!$E$18&lt;&gt;"YES",Calculator!$B$33&lt;Calculator!$G$18),"—",ROUND(MAX((50*POWER(80,POWER(COS(PI()*MOD(Calculator!$B$33/Calculator!$F$18,1)),2)))/$C92,$C92/(50*POWER(80,POWER(COS(PI()*MOD(Calculator!$B$33/Calculator!$F$18,1)),2)))),2))</f>
        <v>16.04</v>
      </c>
      <c r="AV92" s="106" t="n">
        <f aca="false">IF(OR(Calculator!$E$19&lt;&gt;"YES",Calculator!$B$33&lt;Calculator!$G$19),"—",ROUND(MAX((50*POWER(80,POWER(COS(PI()*MOD(Calculator!$B$33/Calculator!$F$19,1)),2)))/$C92,$C92/(50*POWER(80,POWER(COS(PI()*MOD(Calculator!$B$33/Calculator!$F$19,1)),2)))),2))</f>
        <v>1.95</v>
      </c>
      <c r="AW92" s="106" t="n">
        <f aca="false">IF(OR(Calculator!$E$20&lt;&gt;"YES",Calculator!$B$33&lt;Calculator!$G$20),"—",ROUND(MAX((50*POWER(80,POWER(COS(PI()*MOD(Calculator!$B$33/Calculator!$F$20,1)),2)))/$C92,$C92/(50*POWER(80,POWER(COS(PI()*MOD(Calculator!$B$33/Calculator!$F$20,1)),2)))),2))</f>
        <v>24.48</v>
      </c>
      <c r="AX92" s="106" t="str">
        <f aca="false">IF(OR(Calculator!$E$21&lt;&gt;"YES",Calculator!$B$33&lt;Calculator!$G$21),"—",ROUND(MAX((50*POWER(80,POWER(COS(PI()*MOD(Calculator!$B$33/Calculator!$F$21,1)),2)))/$C92,$C92/(50*POWER(80,POWER(COS(PI()*MOD(Calculator!$B$33/Calculator!$F$21,1)),2)))),2))</f>
        <v>—</v>
      </c>
      <c r="AY92" s="101" t="n">
        <f aca="false">IFERROR(ROUND((IF(ISNUMBER(AN92),AN92,0)+IF(ISNUMBER(AO92),AO92,0)+IF(ISNUMBER(AP92),AP92,0)+IF(ISNUMBER(AQ92),AQ92,0)+IF(ISNUMBER(AR92),AR92,0)+IF(ISNUMBER(AS92),AS92,0)+IF(ISNUMBER(AT92),AT92,0)+IF(ISNUMBER(AU92),AU92,0)+IF(ISNUMBER(AV92),AV92,0)+IF(ISNUMBER(AW92),AW92,0)+IF(ISNUMBER(AX92),AX92,0))/(IF(ISNUMBER(AN92),1,0)+IF(ISNUMBER(AO92),1,0)+IF(ISNUMBER(AP92),1,0)+IF(ISNUMBER(AQ92),1,0)+IF(ISNUMBER(AR92),1,0)+IF(ISNUMBER(AS92),1,0)+IF(ISNUMBER(AT92),1,0)+IF(ISNUMBER(AU92),1,0)+IF(ISNUMBER(AV92),1,0)+IF(ISNUMBER(AW92),1,0)+IF(ISNUMBER(AX92),1,0)),2),"")</f>
        <v>9.91</v>
      </c>
      <c r="AZ92" s="106" t="str">
        <f aca="false">IF(OR(Calculator!$E$11&lt;&gt;"YES",Calculator!$B$34&lt;Calculator!$G$11),"—",ROUND(MAX((50*POWER(80,POWER(COS(PI()*MOD(Calculator!$B$34/Calculator!$F$11,1)),2)))/$C92,$C92/(50*POWER(80,POWER(COS(PI()*MOD(Calculator!$B$34/Calculator!$F$11,1)),2)))),2))</f>
        <v>—</v>
      </c>
      <c r="BA92" s="106" t="str">
        <f aca="false">IF(OR(Calculator!$E$12&lt;&gt;"YES",Calculator!$B$34&lt;Calculator!$G$12),"—",ROUND(MAX((50*POWER(80,POWER(COS(PI()*MOD(Calculator!$B$34/Calculator!$F$12,1)),2)))/$C92,$C92/(50*POWER(80,POWER(COS(PI()*MOD(Calculator!$B$34/Calculator!$F$12,1)),2)))),2))</f>
        <v>—</v>
      </c>
      <c r="BB92" s="106" t="str">
        <f aca="false">IF(OR(Calculator!$E$13&lt;&gt;"YES",Calculator!$B$34&lt;Calculator!$G$13),"—",ROUND(MAX((50*POWER(80,POWER(COS(PI()*MOD(Calculator!$B$34/Calculator!$F$13,1)),2)))/$C92,$C92/(50*POWER(80,POWER(COS(PI()*MOD(Calculator!$B$34/Calculator!$F$13,1)),2)))),2))</f>
        <v>—</v>
      </c>
      <c r="BC92" s="106" t="n">
        <f aca="false">IF(OR(Calculator!$E$14&lt;&gt;"YES",Calculator!$B$34&lt;Calculator!$G$14),"—",ROUND(MAX((50*POWER(80,POWER(COS(PI()*MOD(Calculator!$B$34/Calculator!$F$14,1)),2)))/$C92,$C92/(50*POWER(80,POWER(COS(PI()*MOD(Calculator!$B$34/Calculator!$F$14,1)),2)))),2))</f>
        <v>1.08</v>
      </c>
      <c r="BD92" s="106" t="n">
        <f aca="false">IF(OR(Calculator!$E$15&lt;&gt;"YES",Calculator!$B$34&lt;Calculator!$G$15),"—",ROUND(MAX((50*POWER(80,POWER(COS(PI()*MOD(Calculator!$B$34/Calculator!$F$15,1)),2)))/$C92,$C92/(50*POWER(80,POWER(COS(PI()*MOD(Calculator!$B$34/Calculator!$F$15,1)),2)))),2))</f>
        <v>13.2</v>
      </c>
      <c r="BE92" s="106" t="n">
        <f aca="false">IF(OR(Calculator!$E$16&lt;&gt;"YES",Calculator!$B$34&lt;Calculator!$G$16),"—",ROUND(MAX((50*POWER(80,POWER(COS(PI()*MOD(Calculator!$B$34/Calculator!$F$16,1)),2)))/$C92,$C92/(50*POWER(80,POWER(COS(PI()*MOD(Calculator!$B$34/Calculator!$F$16,1)),2)))),2))</f>
        <v>4.45</v>
      </c>
      <c r="BF92" s="106" t="n">
        <f aca="false">IF(OR(Calculator!$E$17&lt;&gt;"YES",Calculator!$B$34&lt;Calculator!$G$17),"—",ROUND(MAX((50*POWER(80,POWER(COS(PI()*MOD(Calculator!$B$34/Calculator!$F$17,1)),2)))/$C92,$C92/(50*POWER(80,POWER(COS(PI()*MOD(Calculator!$B$34/Calculator!$F$17,1)),2)))),2))</f>
        <v>2.29</v>
      </c>
      <c r="BG92" s="106" t="n">
        <f aca="false">IF(OR(Calculator!$E$18&lt;&gt;"YES",Calculator!$B$34&lt;Calculator!$G$18),"—",ROUND(MAX((50*POWER(80,POWER(COS(PI()*MOD(Calculator!$B$34/Calculator!$F$18,1)),2)))/$C92,$C92/(50*POWER(80,POWER(COS(PI()*MOD(Calculator!$B$34/Calculator!$F$18,1)),2)))),2))</f>
        <v>21.7</v>
      </c>
      <c r="BH92" s="106" t="n">
        <f aca="false">IF(OR(Calculator!$E$19&lt;&gt;"YES",Calculator!$B$34&lt;Calculator!$G$19),"—",ROUND(MAX((50*POWER(80,POWER(COS(PI()*MOD(Calculator!$B$34/Calculator!$F$19,1)),2)))/$C92,$C92/(50*POWER(80,POWER(COS(PI()*MOD(Calculator!$B$34/Calculator!$F$19,1)),2)))),2))</f>
        <v>24.14</v>
      </c>
      <c r="BI92" s="106" t="n">
        <f aca="false">IF(OR(Calculator!$E$20&lt;&gt;"YES",Calculator!$B$34&lt;Calculator!$G$20),"—",ROUND(MAX((50*POWER(80,POWER(COS(PI()*MOD(Calculator!$B$34/Calculator!$F$20,1)),2)))/$C92,$C92/(50*POWER(80,POWER(COS(PI()*MOD(Calculator!$B$34/Calculator!$F$20,1)),2)))),2))</f>
        <v>14.4</v>
      </c>
      <c r="BJ92" s="106" t="str">
        <f aca="false">IF(OR(Calculator!$E$21&lt;&gt;"YES",Calculator!$B$34&lt;Calculator!$G$21),"—",ROUND(MAX((50*POWER(80,POWER(COS(PI()*MOD(Calculator!$B$34/Calculator!$F$21,1)),2)))/$C92,$C92/(50*POWER(80,POWER(COS(PI()*MOD(Calculator!$B$34/Calculator!$F$21,1)),2)))),2))</f>
        <v>—</v>
      </c>
      <c r="BK92" s="101" t="n">
        <f aca="false">IFERROR(ROUND((IF(ISNUMBER(AZ92),AZ92,0)+IF(ISNUMBER(BA92),BA92,0)+IF(ISNUMBER(BB92),BB92,0)+IF(ISNUMBER(BC92),BC92,0)+IF(ISNUMBER(BD92),BD92,0)+IF(ISNUMBER(BE92),BE92,0)+IF(ISNUMBER(BF92),BF92,0)+IF(ISNUMBER(BG92),BG92,0)+IF(ISNUMBER(BH92),BH92,0)+IF(ISNUMBER(BI92),BI92,0)+IF(ISNUMBER(BJ92),BJ92,0))/(IF(ISNUMBER(AZ92),1,0)+IF(ISNUMBER(BA92),1,0)+IF(ISNUMBER(BB92),1,0)+IF(ISNUMBER(BC92),1,0)+IF(ISNUMBER(BD92),1,0)+IF(ISNUMBER(BE92),1,0)+IF(ISNUMBER(BF92),1,0)+IF(ISNUMBER(BG92),1,0)+IF(ISNUMBER(BH92),1,0)+IF(ISNUMBER(BI92),1,0)+IF(ISNUMBER(BJ92),1,0)),2),"")</f>
        <v>11.61</v>
      </c>
    </row>
    <row r="93" customFormat="false" ht="15" hidden="false" customHeight="false" outlineLevel="0" collapsed="false">
      <c r="A93" s="74" t="s">
        <v>144</v>
      </c>
      <c r="B93" s="74" t="s">
        <v>86</v>
      </c>
      <c r="C93" s="74" t="n">
        <v>3050</v>
      </c>
      <c r="D93" s="74" t="str">
        <f aca="false">IF(OR(Calculator!$E$11&lt;&gt;"YES",Calculator!$B$30&lt;Calculator!$G$11),"—",ROUND(MAX((50*POWER(80,POWER(COS(PI()*MOD(Calculator!$B$30/Calculator!$F$11,1)),2)))/$C93,$C93/(50*POWER(80,POWER(COS(PI()*MOD(Calculator!$B$30/Calculator!$F$11,1)),2)))),2))</f>
        <v>—</v>
      </c>
      <c r="E93" s="74" t="str">
        <f aca="false">IF(OR(Calculator!$E$12&lt;&gt;"YES",Calculator!$B$30&lt;Calculator!$G$12),"—",ROUND(MAX((50*POWER(80,POWER(COS(PI()*MOD(Calculator!$B$30/Calculator!$F$12,1)),2)))/$C93,$C93/(50*POWER(80,POWER(COS(PI()*MOD(Calculator!$B$30/Calculator!$F$12,1)),2)))),2))</f>
        <v>—</v>
      </c>
      <c r="F93" s="74" t="str">
        <f aca="false">IF(OR(Calculator!$E$13&lt;&gt;"YES",Calculator!$B$30&lt;Calculator!$G$13),"—",ROUND(MAX((50*POWER(80,POWER(COS(PI()*MOD(Calculator!$B$30/Calculator!$F$13,1)),2)))/$C93,$C93/(50*POWER(80,POWER(COS(PI()*MOD(Calculator!$B$30/Calculator!$F$13,1)),2)))),2))</f>
        <v>—</v>
      </c>
      <c r="G93" s="74" t="n">
        <f aca="false">IF(OR(Calculator!$E$14&lt;&gt;"YES",Calculator!$B$30&lt;Calculator!$G$14),"—",ROUND(MAX((50*POWER(80,POWER(COS(PI()*MOD(Calculator!$B$30/Calculator!$F$14,1)),2)))/$C93,$C93/(50*POWER(80,POWER(COS(PI()*MOD(Calculator!$B$30/Calculator!$F$14,1)),2)))),2))</f>
        <v>27.56</v>
      </c>
      <c r="H93" s="74" t="n">
        <f aca="false">IF(OR(Calculator!$E$15&lt;&gt;"YES",Calculator!$B$30&lt;Calculator!$G$15),"—",ROUND(MAX((50*POWER(80,POWER(COS(PI()*MOD(Calculator!$B$30/Calculator!$F$15,1)),2)))/$C93,$C93/(50*POWER(80,POWER(COS(PI()*MOD(Calculator!$B$30/Calculator!$F$15,1)),2)))),2))</f>
        <v>7.99</v>
      </c>
      <c r="I93" s="74" t="n">
        <f aca="false">IF(OR(Calculator!$E$16&lt;&gt;"YES",Calculator!$B$30&lt;Calculator!$G$16),"—",ROUND(MAX((50*POWER(80,POWER(COS(PI()*MOD(Calculator!$B$30/Calculator!$F$16,1)),2)))/$C93,$C93/(50*POWER(80,POWER(COS(PI()*MOD(Calculator!$B$30/Calculator!$F$16,1)),2)))),2))</f>
        <v>5.46</v>
      </c>
      <c r="J93" s="74" t="n">
        <f aca="false">IF(OR(Calculator!$E$17&lt;&gt;"YES",Calculator!$B$30&lt;Calculator!$G$17),"—",ROUND(MAX((50*POWER(80,POWER(COS(PI()*MOD(Calculator!$B$30/Calculator!$F$17,1)),2)))/$C93,$C93/(50*POWER(80,POWER(COS(PI()*MOD(Calculator!$B$30/Calculator!$F$17,1)),2)))),2))</f>
        <v>15.33</v>
      </c>
      <c r="K93" s="74" t="n">
        <f aca="false">IF(OR(Calculator!$E$18&lt;&gt;"YES",Calculator!$B$30&lt;Calculator!$G$18),"—",ROUND(MAX((50*POWER(80,POWER(COS(PI()*MOD(Calculator!$B$30/Calculator!$F$18,1)),2)))/$C93,$C93/(50*POWER(80,POWER(COS(PI()*MOD(Calculator!$B$30/Calculator!$F$18,1)),2)))),2))</f>
        <v>2.19</v>
      </c>
      <c r="L93" s="74" t="n">
        <f aca="false">IF(OR(Calculator!$E$19&lt;&gt;"YES",Calculator!$B$30&lt;Calculator!$G$19),"—",ROUND(MAX((50*POWER(80,POWER(COS(PI()*MOD(Calculator!$B$30/Calculator!$F$19,1)),2)))/$C93,$C93/(50*POWER(80,POWER(COS(PI()*MOD(Calculator!$B$30/Calculator!$F$19,1)),2)))),2))</f>
        <v>3.88</v>
      </c>
      <c r="M93" s="74" t="n">
        <f aca="false">IF(OR(Calculator!$E$20&lt;&gt;"YES",Calculator!$B$30&lt;Calculator!$G$20),"—",ROUND(MAX((50*POWER(80,POWER(COS(PI()*MOD(Calculator!$B$30/Calculator!$F$20,1)),2)))/$C93,$C93/(50*POWER(80,POWER(COS(PI()*MOD(Calculator!$B$30/Calculator!$F$20,1)),2)))),2))</f>
        <v>24.09</v>
      </c>
      <c r="N93" s="74" t="str">
        <f aca="false">IF(OR(Calculator!$E$21&lt;&gt;"YES",Calculator!$B$30&lt;Calculator!$G$21),"—",ROUND(MAX((50*POWER(80,POWER(COS(PI()*MOD(Calculator!$B$30/Calculator!$F$21,1)),2)))/$C93,$C93/(50*POWER(80,POWER(COS(PI()*MOD(Calculator!$B$30/Calculator!$F$21,1)),2)))),2))</f>
        <v>—</v>
      </c>
      <c r="O93" s="107" t="n">
        <f aca="false">IFERROR(ROUND((IF(ISNUMBER(D93),D93,0)+IF(ISNUMBER(E93),E93,0)+IF(ISNUMBER(F93),F93,0)+IF(ISNUMBER(G93),G93,0)+IF(ISNUMBER(H93),H93,0)+IF(ISNUMBER(I93),I93,0)+IF(ISNUMBER(J93),J93,0)+IF(ISNUMBER(K93),K93,0)+IF(ISNUMBER(L93),L93,0)+IF(ISNUMBER(M93),M93,0)+IF(ISNUMBER(N93),N93,0))/(IF(ISNUMBER(D93),1,0)+IF(ISNUMBER(E93),1,0)+IF(ISNUMBER(F93),1,0)+IF(ISNUMBER(G93),1,0)+IF(ISNUMBER(H93),1,0)+IF(ISNUMBER(I93),1,0)+IF(ISNUMBER(J93),1,0)+IF(ISNUMBER(K93),1,0)+IF(ISNUMBER(L93),1,0)+IF(ISNUMBER(M93),1,0)+IF(ISNUMBER(N93),1,0)),2),"")</f>
        <v>12.36</v>
      </c>
      <c r="P93" s="74" t="str">
        <f aca="false">IF(OR(Calculator!$E$11&lt;&gt;"YES",Calculator!$B$31&lt;Calculator!$G$11),"—",ROUND(MAX((50*POWER(80,POWER(COS(PI()*MOD(Calculator!$B$31/Calculator!$F$11,1)),2)))/$C93,$C93/(50*POWER(80,POWER(COS(PI()*MOD(Calculator!$B$31/Calculator!$F$11,1)),2)))),2))</f>
        <v>—</v>
      </c>
      <c r="Q93" s="74" t="str">
        <f aca="false">IF(OR(Calculator!$E$12&lt;&gt;"YES",Calculator!$B$31&lt;Calculator!$G$12),"—",ROUND(MAX((50*POWER(80,POWER(COS(PI()*MOD(Calculator!$B$31/Calculator!$F$12,1)),2)))/$C93,$C93/(50*POWER(80,POWER(COS(PI()*MOD(Calculator!$B$31/Calculator!$F$12,1)),2)))),2))</f>
        <v>—</v>
      </c>
      <c r="R93" s="74" t="str">
        <f aca="false">IF(OR(Calculator!$E$13&lt;&gt;"YES",Calculator!$B$31&lt;Calculator!$G$13),"—",ROUND(MAX((50*POWER(80,POWER(COS(PI()*MOD(Calculator!$B$31/Calculator!$F$13,1)),2)))/$C93,$C93/(50*POWER(80,POWER(COS(PI()*MOD(Calculator!$B$31/Calculator!$F$13,1)),2)))),2))</f>
        <v>—</v>
      </c>
      <c r="S93" s="74" t="n">
        <f aca="false">IF(OR(Calculator!$E$14&lt;&gt;"YES",Calculator!$B$31&lt;Calculator!$G$14),"—",ROUND(MAX((50*POWER(80,POWER(COS(PI()*MOD(Calculator!$B$31/Calculator!$F$14,1)),2)))/$C93,$C93/(50*POWER(80,POWER(COS(PI()*MOD(Calculator!$B$31/Calculator!$F$14,1)),2)))),2))</f>
        <v>28.22</v>
      </c>
      <c r="T93" s="74" t="n">
        <f aca="false">IF(OR(Calculator!$E$15&lt;&gt;"YES",Calculator!$B$31&lt;Calculator!$G$15),"—",ROUND(MAX((50*POWER(80,POWER(COS(PI()*MOD(Calculator!$B$31/Calculator!$F$15,1)),2)))/$C93,$C93/(50*POWER(80,POWER(COS(PI()*MOD(Calculator!$B$31/Calculator!$F$15,1)),2)))),2))</f>
        <v>17.17</v>
      </c>
      <c r="U93" s="74" t="n">
        <f aca="false">IF(OR(Calculator!$E$16&lt;&gt;"YES",Calculator!$B$31&lt;Calculator!$G$16),"—",ROUND(MAX((50*POWER(80,POWER(COS(PI()*MOD(Calculator!$B$31/Calculator!$F$16,1)),2)))/$C93,$C93/(50*POWER(80,POWER(COS(PI()*MOD(Calculator!$B$31/Calculator!$F$16,1)),2)))),2))</f>
        <v>6.54</v>
      </c>
      <c r="V93" s="74" t="n">
        <f aca="false">IF(OR(Calculator!$E$17&lt;&gt;"YES",Calculator!$B$31&lt;Calculator!$G$17),"—",ROUND(MAX((50*POWER(80,POWER(COS(PI()*MOD(Calculator!$B$31/Calculator!$F$17,1)),2)))/$C93,$C93/(50*POWER(80,POWER(COS(PI()*MOD(Calculator!$B$31/Calculator!$F$17,1)),2)))),2))</f>
        <v>1.88</v>
      </c>
      <c r="W93" s="74" t="n">
        <f aca="false">IF(OR(Calculator!$E$18&lt;&gt;"YES",Calculator!$B$31&lt;Calculator!$G$18),"—",ROUND(MAX((50*POWER(80,POWER(COS(PI()*MOD(Calculator!$B$31/Calculator!$F$18,1)),2)))/$C93,$C93/(50*POWER(80,POWER(COS(PI()*MOD(Calculator!$B$31/Calculator!$F$18,1)),2)))),2))</f>
        <v>1.66</v>
      </c>
      <c r="X93" s="74" t="n">
        <f aca="false">IF(OR(Calculator!$E$19&lt;&gt;"YES",Calculator!$B$31&lt;Calculator!$G$19),"—",ROUND(MAX((50*POWER(80,POWER(COS(PI()*MOD(Calculator!$B$31/Calculator!$F$19,1)),2)))/$C93,$C93/(50*POWER(80,POWER(COS(PI()*MOD(Calculator!$B$31/Calculator!$F$19,1)),2)))),2))</f>
        <v>11.34</v>
      </c>
      <c r="Y93" s="74" t="n">
        <f aca="false">IF(OR(Calculator!$E$20&lt;&gt;"YES",Calculator!$B$31&lt;Calculator!$G$20),"—",ROUND(MAX((50*POWER(80,POWER(COS(PI()*MOD(Calculator!$B$31/Calculator!$F$20,1)),2)))/$C93,$C93/(50*POWER(80,POWER(COS(PI()*MOD(Calculator!$B$31/Calculator!$F$20,1)),2)))),2))</f>
        <v>37.42</v>
      </c>
      <c r="Z93" s="74" t="str">
        <f aca="false">IF(OR(Calculator!$E$21&lt;&gt;"YES",Calculator!$B$31&lt;Calculator!$G$21),"—",ROUND(MAX((50*POWER(80,POWER(COS(PI()*MOD(Calculator!$B$31/Calculator!$F$21,1)),2)))/$C93,$C93/(50*POWER(80,POWER(COS(PI()*MOD(Calculator!$B$31/Calculator!$F$21,1)),2)))),2))</f>
        <v>—</v>
      </c>
      <c r="AA93" s="107" t="n">
        <f aca="false">IFERROR(ROUND((IF(ISNUMBER(P93),P93,0)+IF(ISNUMBER(Q93),Q93,0)+IF(ISNUMBER(R93),R93,0)+IF(ISNUMBER(S93),S93,0)+IF(ISNUMBER(T93),T93,0)+IF(ISNUMBER(U93),U93,0)+IF(ISNUMBER(V93),V93,0)+IF(ISNUMBER(W93),W93,0)+IF(ISNUMBER(X93),X93,0)+IF(ISNUMBER(Y93),Y93,0)+IF(ISNUMBER(Z93),Z93,0))/(IF(ISNUMBER(P93),1,0)+IF(ISNUMBER(Q93),1,0)+IF(ISNUMBER(R93),1,0)+IF(ISNUMBER(S93),1,0)+IF(ISNUMBER(T93),1,0)+IF(ISNUMBER(U93),1,0)+IF(ISNUMBER(V93),1,0)+IF(ISNUMBER(W93),1,0)+IF(ISNUMBER(X93),1,0)+IF(ISNUMBER(Y93),1,0)+IF(ISNUMBER(Z93),1,0)),2),"")</f>
        <v>14.89</v>
      </c>
      <c r="AB93" s="74" t="str">
        <f aca="false">IF(OR(Calculator!$E$11&lt;&gt;"YES",Calculator!$B$32&lt;Calculator!$G$11),"—",ROUND(MAX((50*POWER(80,POWER(COS(PI()*MOD(Calculator!$B$32/Calculator!$F$11,1)),2)))/$C93,$C93/(50*POWER(80,POWER(COS(PI()*MOD(Calculator!$B$32/Calculator!$F$11,1)),2)))),2))</f>
        <v>—</v>
      </c>
      <c r="AC93" s="74" t="str">
        <f aca="false">IF(OR(Calculator!$E$12&lt;&gt;"YES",Calculator!$B$32&lt;Calculator!$G$12),"—",ROUND(MAX((50*POWER(80,POWER(COS(PI()*MOD(Calculator!$B$32/Calculator!$F$12,1)),2)))/$C93,$C93/(50*POWER(80,POWER(COS(PI()*MOD(Calculator!$B$32/Calculator!$F$12,1)),2)))),2))</f>
        <v>—</v>
      </c>
      <c r="AD93" s="74" t="str">
        <f aca="false">IF(OR(Calculator!$E$13&lt;&gt;"YES",Calculator!$B$32&lt;Calculator!$G$13),"—",ROUND(MAX((50*POWER(80,POWER(COS(PI()*MOD(Calculator!$B$32/Calculator!$F$13,1)),2)))/$C93,$C93/(50*POWER(80,POWER(COS(PI()*MOD(Calculator!$B$32/Calculator!$F$13,1)),2)))),2))</f>
        <v>—</v>
      </c>
      <c r="AE93" s="74" t="n">
        <f aca="false">IF(OR(Calculator!$E$14&lt;&gt;"YES",Calculator!$B$32&lt;Calculator!$G$14),"—",ROUND(MAX((50*POWER(80,POWER(COS(PI()*MOD(Calculator!$B$32/Calculator!$F$14,1)),2)))/$C93,$C93/(50*POWER(80,POWER(COS(PI()*MOD(Calculator!$B$32/Calculator!$F$14,1)),2)))),2))</f>
        <v>17.82</v>
      </c>
      <c r="AF93" s="74" t="n">
        <f aca="false">IF(OR(Calculator!$E$15&lt;&gt;"YES",Calculator!$B$32&lt;Calculator!$G$15),"—",ROUND(MAX((50*POWER(80,POWER(COS(PI()*MOD(Calculator!$B$32/Calculator!$F$15,1)),2)))/$C93,$C93/(50*POWER(80,POWER(COS(PI()*MOD(Calculator!$B$32/Calculator!$F$15,1)),2)))),2))</f>
        <v>11.52</v>
      </c>
      <c r="AG93" s="74" t="n">
        <f aca="false">IF(OR(Calculator!$E$16&lt;&gt;"YES",Calculator!$B$32&lt;Calculator!$G$16),"—",ROUND(MAX((50*POWER(80,POWER(COS(PI()*MOD(Calculator!$B$32/Calculator!$F$16,1)),2)))/$C93,$C93/(50*POWER(80,POWER(COS(PI()*MOD(Calculator!$B$32/Calculator!$F$16,1)),2)))),2))</f>
        <v>38.89</v>
      </c>
      <c r="AH93" s="74" t="n">
        <f aca="false">IF(OR(Calculator!$E$17&lt;&gt;"YES",Calculator!$B$32&lt;Calculator!$G$17),"—",ROUND(MAX((50*POWER(80,POWER(COS(PI()*MOD(Calculator!$B$32/Calculator!$F$17,1)),2)))/$C93,$C93/(50*POWER(80,POWER(COS(PI()*MOD(Calculator!$B$32/Calculator!$F$17,1)),2)))),2))</f>
        <v>1.32</v>
      </c>
      <c r="AI93" s="74" t="n">
        <f aca="false">IF(OR(Calculator!$E$18&lt;&gt;"YES",Calculator!$B$32&lt;Calculator!$G$18),"—",ROUND(MAX((50*POWER(80,POWER(COS(PI()*MOD(Calculator!$B$32/Calculator!$F$18,1)),2)))/$C93,$C93/(50*POWER(80,POWER(COS(PI()*MOD(Calculator!$B$32/Calculator!$F$18,1)),2)))),2))</f>
        <v>1.22</v>
      </c>
      <c r="AJ93" s="74" t="n">
        <f aca="false">IF(OR(Calculator!$E$19&lt;&gt;"YES",Calculator!$B$32&lt;Calculator!$G$19),"—",ROUND(MAX((50*POWER(80,POWER(COS(PI()*MOD(Calculator!$B$32/Calculator!$F$19,1)),2)))/$C93,$C93/(50*POWER(80,POWER(COS(PI()*MOD(Calculator!$B$32/Calculator!$F$19,1)),2)))),2))</f>
        <v>1.16</v>
      </c>
      <c r="AK93" s="74" t="n">
        <f aca="false">IF(OR(Calculator!$E$20&lt;&gt;"YES",Calculator!$B$32&lt;Calculator!$G$20),"—",ROUND(MAX((50*POWER(80,POWER(COS(PI()*MOD(Calculator!$B$32/Calculator!$F$20,1)),2)))/$C93,$C93/(50*POWER(80,POWER(COS(PI()*MOD(Calculator!$B$32/Calculator!$F$20,1)),2)))),2))</f>
        <v>30.59</v>
      </c>
      <c r="AL93" s="74" t="str">
        <f aca="false">IF(OR(Calculator!$E$21&lt;&gt;"YES",Calculator!$B$32&lt;Calculator!$G$21),"—",ROUND(MAX((50*POWER(80,POWER(COS(PI()*MOD(Calculator!$B$32/Calculator!$F$21,1)),2)))/$C93,$C93/(50*POWER(80,POWER(COS(PI()*MOD(Calculator!$B$32/Calculator!$F$21,1)),2)))),2))</f>
        <v>—</v>
      </c>
      <c r="AM93" s="101" t="n">
        <f aca="false">IFERROR(ROUND((IF(ISNUMBER(AB93),AB93,0)+IF(ISNUMBER(AC93),AC93,0)+IF(ISNUMBER(AD93),AD93,0)+IF(ISNUMBER(AE93),AE93,0)+IF(ISNUMBER(AF93),AF93,0)+IF(ISNUMBER(AG93),AG93,0)+IF(ISNUMBER(AH93),AH93,0)+IF(ISNUMBER(AI93),AI93,0)+IF(ISNUMBER(AJ93),AJ93,0)+IF(ISNUMBER(AK93),AK93,0)+IF(ISNUMBER(AL93),AL93,0))/(IF(ISNUMBER(AB93),1,0)+IF(ISNUMBER(AC93),1,0)+IF(ISNUMBER(AD93),1,0)+IF(ISNUMBER(AE93),1,0)+IF(ISNUMBER(AF93),1,0)+IF(ISNUMBER(AG93),1,0)+IF(ISNUMBER(AH93),1,0)+IF(ISNUMBER(AI93),1,0)+IF(ISNUMBER(AJ93),1,0)+IF(ISNUMBER(AK93),1,0)+IF(ISNUMBER(AL93),1,0)),2),"")</f>
        <v>14.65</v>
      </c>
      <c r="AN93" s="102" t="str">
        <f aca="false">IF(OR(Calculator!$E$11&lt;&gt;"YES",Calculator!$B$33&lt;Calculator!$G$11),"—",ROUND(MAX((50*POWER(80,POWER(COS(PI()*MOD(Calculator!$B$33/Calculator!$F$11,1)),2)))/$C93,$C93/(50*POWER(80,POWER(COS(PI()*MOD(Calculator!$B$33/Calculator!$F$11,1)),2)))),2))</f>
        <v>—</v>
      </c>
      <c r="AO93" s="102" t="str">
        <f aca="false">IF(OR(Calculator!$E$12&lt;&gt;"YES",Calculator!$B$33&lt;Calculator!$G$12),"—",ROUND(MAX((50*POWER(80,POWER(COS(PI()*MOD(Calculator!$B$33/Calculator!$F$12,1)),2)))/$C93,$C93/(50*POWER(80,POWER(COS(PI()*MOD(Calculator!$B$33/Calculator!$F$12,1)),2)))),2))</f>
        <v>—</v>
      </c>
      <c r="AP93" s="102" t="str">
        <f aca="false">IF(OR(Calculator!$E$13&lt;&gt;"YES",Calculator!$B$33&lt;Calculator!$G$13),"—",ROUND(MAX((50*POWER(80,POWER(COS(PI()*MOD(Calculator!$B$33/Calculator!$F$13,1)),2)))/$C93,$C93/(50*POWER(80,POWER(COS(PI()*MOD(Calculator!$B$33/Calculator!$F$13,1)),2)))),2))</f>
        <v>—</v>
      </c>
      <c r="AQ93" s="102" t="n">
        <f aca="false">IF(OR(Calculator!$E$14&lt;&gt;"YES",Calculator!$B$33&lt;Calculator!$G$14),"—",ROUND(MAX((50*POWER(80,POWER(COS(PI()*MOD(Calculator!$B$33/Calculator!$F$14,1)),2)))/$C93,$C93/(50*POWER(80,POWER(COS(PI()*MOD(Calculator!$B$33/Calculator!$F$14,1)),2)))),2))</f>
        <v>1.12</v>
      </c>
      <c r="AR93" s="102" t="n">
        <f aca="false">IF(OR(Calculator!$E$15&lt;&gt;"YES",Calculator!$B$33&lt;Calculator!$G$15),"—",ROUND(MAX((50*POWER(80,POWER(COS(PI()*MOD(Calculator!$B$33/Calculator!$F$15,1)),2)))/$C93,$C93/(50*POWER(80,POWER(COS(PI()*MOD(Calculator!$B$33/Calculator!$F$15,1)),2)))),2))</f>
        <v>10.39</v>
      </c>
      <c r="AS93" s="102" t="n">
        <f aca="false">IF(OR(Calculator!$E$16&lt;&gt;"YES",Calculator!$B$33&lt;Calculator!$G$16),"—",ROUND(MAX((50*POWER(80,POWER(COS(PI()*MOD(Calculator!$B$33/Calculator!$F$16,1)),2)))/$C93,$C93/(50*POWER(80,POWER(COS(PI()*MOD(Calculator!$B$33/Calculator!$F$16,1)),2)))),2))</f>
        <v>3.8</v>
      </c>
      <c r="AT93" s="102" t="n">
        <f aca="false">IF(OR(Calculator!$E$17&lt;&gt;"YES",Calculator!$B$33&lt;Calculator!$G$17),"—",ROUND(MAX((50*POWER(80,POWER(COS(PI()*MOD(Calculator!$B$33/Calculator!$F$17,1)),2)))/$C93,$C93/(50*POWER(80,POWER(COS(PI()*MOD(Calculator!$B$33/Calculator!$F$17,1)),2)))),2))</f>
        <v>12.05</v>
      </c>
      <c r="AU93" s="102" t="n">
        <f aca="false">IF(OR(Calculator!$E$18&lt;&gt;"YES",Calculator!$B$33&lt;Calculator!$G$18),"—",ROUND(MAX((50*POWER(80,POWER(COS(PI()*MOD(Calculator!$B$33/Calculator!$F$18,1)),2)))/$C93,$C93/(50*POWER(80,POWER(COS(PI()*MOD(Calculator!$B$33/Calculator!$F$18,1)),2)))),2))</f>
        <v>16.31</v>
      </c>
      <c r="AV93" s="102" t="n">
        <f aca="false">IF(OR(Calculator!$E$19&lt;&gt;"YES",Calculator!$B$33&lt;Calculator!$G$19),"—",ROUND(MAX((50*POWER(80,POWER(COS(PI()*MOD(Calculator!$B$33/Calculator!$F$19,1)),2)))/$C93,$C93/(50*POWER(80,POWER(COS(PI()*MOD(Calculator!$B$33/Calculator!$F$19,1)),2)))),2))</f>
        <v>1.99</v>
      </c>
      <c r="AW93" s="102" t="n">
        <f aca="false">IF(OR(Calculator!$E$20&lt;&gt;"YES",Calculator!$B$33&lt;Calculator!$G$20),"—",ROUND(MAX((50*POWER(80,POWER(COS(PI()*MOD(Calculator!$B$33/Calculator!$F$20,1)),2)))/$C93,$C93/(50*POWER(80,POWER(COS(PI()*MOD(Calculator!$B$33/Calculator!$F$20,1)),2)))),2))</f>
        <v>24.89</v>
      </c>
      <c r="AX93" s="102" t="str">
        <f aca="false">IF(OR(Calculator!$E$21&lt;&gt;"YES",Calculator!$B$33&lt;Calculator!$G$21),"—",ROUND(MAX((50*POWER(80,POWER(COS(PI()*MOD(Calculator!$B$33/Calculator!$F$21,1)),2)))/$C93,$C93/(50*POWER(80,POWER(COS(PI()*MOD(Calculator!$B$33/Calculator!$F$21,1)),2)))),2))</f>
        <v>—</v>
      </c>
      <c r="AY93" s="101" t="n">
        <f aca="false">IFERROR(ROUND((IF(ISNUMBER(AN93),AN93,0)+IF(ISNUMBER(AO93),AO93,0)+IF(ISNUMBER(AP93),AP93,0)+IF(ISNUMBER(AQ93),AQ93,0)+IF(ISNUMBER(AR93),AR93,0)+IF(ISNUMBER(AS93),AS93,0)+IF(ISNUMBER(AT93),AT93,0)+IF(ISNUMBER(AU93),AU93,0)+IF(ISNUMBER(AV93),AV93,0)+IF(ISNUMBER(AW93),AW93,0)+IF(ISNUMBER(AX93),AX93,0))/(IF(ISNUMBER(AN93),1,0)+IF(ISNUMBER(AO93),1,0)+IF(ISNUMBER(AP93),1,0)+IF(ISNUMBER(AQ93),1,0)+IF(ISNUMBER(AR93),1,0)+IF(ISNUMBER(AS93),1,0)+IF(ISNUMBER(AT93),1,0)+IF(ISNUMBER(AU93),1,0)+IF(ISNUMBER(AV93),1,0)+IF(ISNUMBER(AW93),1,0)+IF(ISNUMBER(AX93),1,0)),2),"")</f>
        <v>10.08</v>
      </c>
      <c r="AZ93" s="102" t="str">
        <f aca="false">IF(OR(Calculator!$E$11&lt;&gt;"YES",Calculator!$B$34&lt;Calculator!$G$11),"—",ROUND(MAX((50*POWER(80,POWER(COS(PI()*MOD(Calculator!$B$34/Calculator!$F$11,1)),2)))/$C93,$C93/(50*POWER(80,POWER(COS(PI()*MOD(Calculator!$B$34/Calculator!$F$11,1)),2)))),2))</f>
        <v>—</v>
      </c>
      <c r="BA93" s="102" t="str">
        <f aca="false">IF(OR(Calculator!$E$12&lt;&gt;"YES",Calculator!$B$34&lt;Calculator!$G$12),"—",ROUND(MAX((50*POWER(80,POWER(COS(PI()*MOD(Calculator!$B$34/Calculator!$F$12,1)),2)))/$C93,$C93/(50*POWER(80,POWER(COS(PI()*MOD(Calculator!$B$34/Calculator!$F$12,1)),2)))),2))</f>
        <v>—</v>
      </c>
      <c r="BB93" s="102" t="str">
        <f aca="false">IF(OR(Calculator!$E$13&lt;&gt;"YES",Calculator!$B$34&lt;Calculator!$G$13),"—",ROUND(MAX((50*POWER(80,POWER(COS(PI()*MOD(Calculator!$B$34/Calculator!$F$13,1)),2)))/$C93,$C93/(50*POWER(80,POWER(COS(PI()*MOD(Calculator!$B$34/Calculator!$F$13,1)),2)))),2))</f>
        <v>—</v>
      </c>
      <c r="BC93" s="102" t="n">
        <f aca="false">IF(OR(Calculator!$E$14&lt;&gt;"YES",Calculator!$B$34&lt;Calculator!$G$14),"—",ROUND(MAX((50*POWER(80,POWER(COS(PI()*MOD(Calculator!$B$34/Calculator!$F$14,1)),2)))/$C93,$C93/(50*POWER(80,POWER(COS(PI()*MOD(Calculator!$B$34/Calculator!$F$14,1)),2)))),2))</f>
        <v>1.1</v>
      </c>
      <c r="BD93" s="102" t="n">
        <f aca="false">IF(OR(Calculator!$E$15&lt;&gt;"YES",Calculator!$B$34&lt;Calculator!$G$15),"—",ROUND(MAX((50*POWER(80,POWER(COS(PI()*MOD(Calculator!$B$34/Calculator!$F$15,1)),2)))/$C93,$C93/(50*POWER(80,POWER(COS(PI()*MOD(Calculator!$B$34/Calculator!$F$15,1)),2)))),2))</f>
        <v>13.42</v>
      </c>
      <c r="BE93" s="102" t="n">
        <f aca="false">IF(OR(Calculator!$E$16&lt;&gt;"YES",Calculator!$B$34&lt;Calculator!$G$16),"—",ROUND(MAX((50*POWER(80,POWER(COS(PI()*MOD(Calculator!$B$34/Calculator!$F$16,1)),2)))/$C93,$C93/(50*POWER(80,POWER(COS(PI()*MOD(Calculator!$B$34/Calculator!$F$16,1)),2)))),2))</f>
        <v>4.52</v>
      </c>
      <c r="BF93" s="102" t="n">
        <f aca="false">IF(OR(Calculator!$E$17&lt;&gt;"YES",Calculator!$B$34&lt;Calculator!$G$17),"—",ROUND(MAX((50*POWER(80,POWER(COS(PI()*MOD(Calculator!$B$34/Calculator!$F$17,1)),2)))/$C93,$C93/(50*POWER(80,POWER(COS(PI()*MOD(Calculator!$B$34/Calculator!$F$17,1)),2)))),2))</f>
        <v>2.33</v>
      </c>
      <c r="BG93" s="102" t="n">
        <f aca="false">IF(OR(Calculator!$E$18&lt;&gt;"YES",Calculator!$B$34&lt;Calculator!$G$18),"—",ROUND(MAX((50*POWER(80,POWER(COS(PI()*MOD(Calculator!$B$34/Calculator!$F$18,1)),2)))/$C93,$C93/(50*POWER(80,POWER(COS(PI()*MOD(Calculator!$B$34/Calculator!$F$18,1)),2)))),2))</f>
        <v>22.06</v>
      </c>
      <c r="BH93" s="102" t="n">
        <f aca="false">IF(OR(Calculator!$E$19&lt;&gt;"YES",Calculator!$B$34&lt;Calculator!$G$19),"—",ROUND(MAX((50*POWER(80,POWER(COS(PI()*MOD(Calculator!$B$34/Calculator!$F$19,1)),2)))/$C93,$C93/(50*POWER(80,POWER(COS(PI()*MOD(Calculator!$B$34/Calculator!$F$19,1)),2)))),2))</f>
        <v>24.54</v>
      </c>
      <c r="BI93" s="102" t="n">
        <f aca="false">IF(OR(Calculator!$E$20&lt;&gt;"YES",Calculator!$B$34&lt;Calculator!$G$20),"—",ROUND(MAX((50*POWER(80,POWER(COS(PI()*MOD(Calculator!$B$34/Calculator!$F$20,1)),2)))/$C93,$C93/(50*POWER(80,POWER(COS(PI()*MOD(Calculator!$B$34/Calculator!$F$20,1)),2)))),2))</f>
        <v>14.64</v>
      </c>
      <c r="BJ93" s="102" t="str">
        <f aca="false">IF(OR(Calculator!$E$21&lt;&gt;"YES",Calculator!$B$34&lt;Calculator!$G$21),"—",ROUND(MAX((50*POWER(80,POWER(COS(PI()*MOD(Calculator!$B$34/Calculator!$F$21,1)),2)))/$C93,$C93/(50*POWER(80,POWER(COS(PI()*MOD(Calculator!$B$34/Calculator!$F$21,1)),2)))),2))</f>
        <v>—</v>
      </c>
      <c r="BK93" s="101" t="n">
        <f aca="false">IFERROR(ROUND((IF(ISNUMBER(AZ93),AZ93,0)+IF(ISNUMBER(BA93),BA93,0)+IF(ISNUMBER(BB93),BB93,0)+IF(ISNUMBER(BC93),BC93,0)+IF(ISNUMBER(BD93),BD93,0)+IF(ISNUMBER(BE93),BE93,0)+IF(ISNUMBER(BF93),BF93,0)+IF(ISNUMBER(BG93),BG93,0)+IF(ISNUMBER(BH93),BH93,0)+IF(ISNUMBER(BI93),BI93,0)+IF(ISNUMBER(BJ93),BJ93,0))/(IF(ISNUMBER(AZ93),1,0)+IF(ISNUMBER(BA93),1,0)+IF(ISNUMBER(BB93),1,0)+IF(ISNUMBER(BC93),1,0)+IF(ISNUMBER(BD93),1,0)+IF(ISNUMBER(BE93),1,0)+IF(ISNUMBER(BF93),1,0)+IF(ISNUMBER(BG93),1,0)+IF(ISNUMBER(BH93),1,0)+IF(ISNUMBER(BI93),1,0)+IF(ISNUMBER(BJ93),1,0)),2),"")</f>
        <v>11.8</v>
      </c>
    </row>
    <row r="94" customFormat="false" ht="15" hidden="false" customHeight="false" outlineLevel="0" collapsed="false">
      <c r="A94" s="103" t="s">
        <v>145</v>
      </c>
      <c r="B94" s="103" t="s">
        <v>86</v>
      </c>
      <c r="C94" s="103" t="n">
        <v>3100</v>
      </c>
      <c r="D94" s="103" t="str">
        <f aca="false">IF(OR(Calculator!$E$11&lt;&gt;"YES",Calculator!$B$30&lt;Calculator!$G$11),"—",ROUND(MAX((50*POWER(80,POWER(COS(PI()*MOD(Calculator!$B$30/Calculator!$F$11,1)),2)))/$C94,$C94/(50*POWER(80,POWER(COS(PI()*MOD(Calculator!$B$30/Calculator!$F$11,1)),2)))),2))</f>
        <v>—</v>
      </c>
      <c r="E94" s="103" t="str">
        <f aca="false">IF(OR(Calculator!$E$12&lt;&gt;"YES",Calculator!$B$30&lt;Calculator!$G$12),"—",ROUND(MAX((50*POWER(80,POWER(COS(PI()*MOD(Calculator!$B$30/Calculator!$F$12,1)),2)))/$C94,$C94/(50*POWER(80,POWER(COS(PI()*MOD(Calculator!$B$30/Calculator!$F$12,1)),2)))),2))</f>
        <v>—</v>
      </c>
      <c r="F94" s="103" t="str">
        <f aca="false">IF(OR(Calculator!$E$13&lt;&gt;"YES",Calculator!$B$30&lt;Calculator!$G$13),"—",ROUND(MAX((50*POWER(80,POWER(COS(PI()*MOD(Calculator!$B$30/Calculator!$F$13,1)),2)))/$C94,$C94/(50*POWER(80,POWER(COS(PI()*MOD(Calculator!$B$30/Calculator!$F$13,1)),2)))),2))</f>
        <v>—</v>
      </c>
      <c r="G94" s="103" t="n">
        <f aca="false">IF(OR(Calculator!$E$14&lt;&gt;"YES",Calculator!$B$30&lt;Calculator!$G$14),"—",ROUND(MAX((50*POWER(80,POWER(COS(PI()*MOD(Calculator!$B$30/Calculator!$F$14,1)),2)))/$C94,$C94/(50*POWER(80,POWER(COS(PI()*MOD(Calculator!$B$30/Calculator!$F$14,1)),2)))),2))</f>
        <v>28.01</v>
      </c>
      <c r="H94" s="103" t="n">
        <f aca="false">IF(OR(Calculator!$E$15&lt;&gt;"YES",Calculator!$B$30&lt;Calculator!$G$15),"—",ROUND(MAX((50*POWER(80,POWER(COS(PI()*MOD(Calculator!$B$30/Calculator!$F$15,1)),2)))/$C94,$C94/(50*POWER(80,POWER(COS(PI()*MOD(Calculator!$B$30/Calculator!$F$15,1)),2)))),2))</f>
        <v>8.12</v>
      </c>
      <c r="I94" s="103" t="n">
        <f aca="false">IF(OR(Calculator!$E$16&lt;&gt;"YES",Calculator!$B$30&lt;Calculator!$G$16),"—",ROUND(MAX((50*POWER(80,POWER(COS(PI()*MOD(Calculator!$B$30/Calculator!$F$16,1)),2)))/$C94,$C94/(50*POWER(80,POWER(COS(PI()*MOD(Calculator!$B$30/Calculator!$F$16,1)),2)))),2))</f>
        <v>5.55</v>
      </c>
      <c r="J94" s="103" t="n">
        <f aca="false">IF(OR(Calculator!$E$17&lt;&gt;"YES",Calculator!$B$30&lt;Calculator!$G$17),"—",ROUND(MAX((50*POWER(80,POWER(COS(PI()*MOD(Calculator!$B$30/Calculator!$F$17,1)),2)))/$C94,$C94/(50*POWER(80,POWER(COS(PI()*MOD(Calculator!$B$30/Calculator!$F$17,1)),2)))),2))</f>
        <v>15.58</v>
      </c>
      <c r="K94" s="103" t="n">
        <f aca="false">IF(OR(Calculator!$E$18&lt;&gt;"YES",Calculator!$B$30&lt;Calculator!$G$18),"—",ROUND(MAX((50*POWER(80,POWER(COS(PI()*MOD(Calculator!$B$30/Calculator!$F$18,1)),2)))/$C94,$C94/(50*POWER(80,POWER(COS(PI()*MOD(Calculator!$B$30/Calculator!$F$18,1)),2)))),2))</f>
        <v>2.22</v>
      </c>
      <c r="L94" s="103" t="n">
        <f aca="false">IF(OR(Calculator!$E$19&lt;&gt;"YES",Calculator!$B$30&lt;Calculator!$G$19),"—",ROUND(MAX((50*POWER(80,POWER(COS(PI()*MOD(Calculator!$B$30/Calculator!$F$19,1)),2)))/$C94,$C94/(50*POWER(80,POWER(COS(PI()*MOD(Calculator!$B$30/Calculator!$F$19,1)),2)))),2))</f>
        <v>3.95</v>
      </c>
      <c r="M94" s="103" t="n">
        <f aca="false">IF(OR(Calculator!$E$20&lt;&gt;"YES",Calculator!$B$30&lt;Calculator!$G$20),"—",ROUND(MAX((50*POWER(80,POWER(COS(PI()*MOD(Calculator!$B$30/Calculator!$F$20,1)),2)))/$C94,$C94/(50*POWER(80,POWER(COS(PI()*MOD(Calculator!$B$30/Calculator!$F$20,1)),2)))),2))</f>
        <v>24.49</v>
      </c>
      <c r="N94" s="103" t="str">
        <f aca="false">IF(OR(Calculator!$E$21&lt;&gt;"YES",Calculator!$B$30&lt;Calculator!$G$21),"—",ROUND(MAX((50*POWER(80,POWER(COS(PI()*MOD(Calculator!$B$30/Calculator!$F$21,1)),2)))/$C94,$C94/(50*POWER(80,POWER(COS(PI()*MOD(Calculator!$B$30/Calculator!$F$21,1)),2)))),2))</f>
        <v>—</v>
      </c>
      <c r="O94" s="107" t="n">
        <f aca="false">IFERROR(ROUND((IF(ISNUMBER(D94),D94,0)+IF(ISNUMBER(E94),E94,0)+IF(ISNUMBER(F94),F94,0)+IF(ISNUMBER(G94),G94,0)+IF(ISNUMBER(H94),H94,0)+IF(ISNUMBER(I94),I94,0)+IF(ISNUMBER(J94),J94,0)+IF(ISNUMBER(K94),K94,0)+IF(ISNUMBER(L94),L94,0)+IF(ISNUMBER(M94),M94,0)+IF(ISNUMBER(N94),N94,0))/(IF(ISNUMBER(D94),1,0)+IF(ISNUMBER(E94),1,0)+IF(ISNUMBER(F94),1,0)+IF(ISNUMBER(G94),1,0)+IF(ISNUMBER(H94),1,0)+IF(ISNUMBER(I94),1,0)+IF(ISNUMBER(J94),1,0)+IF(ISNUMBER(K94),1,0)+IF(ISNUMBER(L94),1,0)+IF(ISNUMBER(M94),1,0)+IF(ISNUMBER(N94),1,0)),2),"")</f>
        <v>12.56</v>
      </c>
      <c r="P94" s="103" t="str">
        <f aca="false">IF(OR(Calculator!$E$11&lt;&gt;"YES",Calculator!$B$31&lt;Calculator!$G$11),"—",ROUND(MAX((50*POWER(80,POWER(COS(PI()*MOD(Calculator!$B$31/Calculator!$F$11,1)),2)))/$C94,$C94/(50*POWER(80,POWER(COS(PI()*MOD(Calculator!$B$31/Calculator!$F$11,1)),2)))),2))</f>
        <v>—</v>
      </c>
      <c r="Q94" s="103" t="str">
        <f aca="false">IF(OR(Calculator!$E$12&lt;&gt;"YES",Calculator!$B$31&lt;Calculator!$G$12),"—",ROUND(MAX((50*POWER(80,POWER(COS(PI()*MOD(Calculator!$B$31/Calculator!$F$12,1)),2)))/$C94,$C94/(50*POWER(80,POWER(COS(PI()*MOD(Calculator!$B$31/Calculator!$F$12,1)),2)))),2))</f>
        <v>—</v>
      </c>
      <c r="R94" s="103" t="str">
        <f aca="false">IF(OR(Calculator!$E$13&lt;&gt;"YES",Calculator!$B$31&lt;Calculator!$G$13),"—",ROUND(MAX((50*POWER(80,POWER(COS(PI()*MOD(Calculator!$B$31/Calculator!$F$13,1)),2)))/$C94,$C94/(50*POWER(80,POWER(COS(PI()*MOD(Calculator!$B$31/Calculator!$F$13,1)),2)))),2))</f>
        <v>—</v>
      </c>
      <c r="S94" s="103" t="n">
        <f aca="false">IF(OR(Calculator!$E$14&lt;&gt;"YES",Calculator!$B$31&lt;Calculator!$G$14),"—",ROUND(MAX((50*POWER(80,POWER(COS(PI()*MOD(Calculator!$B$31/Calculator!$F$14,1)),2)))/$C94,$C94/(50*POWER(80,POWER(COS(PI()*MOD(Calculator!$B$31/Calculator!$F$14,1)),2)))),2))</f>
        <v>28.68</v>
      </c>
      <c r="T94" s="103" t="n">
        <f aca="false">IF(OR(Calculator!$E$15&lt;&gt;"YES",Calculator!$B$31&lt;Calculator!$G$15),"—",ROUND(MAX((50*POWER(80,POWER(COS(PI()*MOD(Calculator!$B$31/Calculator!$F$15,1)),2)))/$C94,$C94/(50*POWER(80,POWER(COS(PI()*MOD(Calculator!$B$31/Calculator!$F$15,1)),2)))),2))</f>
        <v>17.45</v>
      </c>
      <c r="U94" s="103" t="n">
        <f aca="false">IF(OR(Calculator!$E$16&lt;&gt;"YES",Calculator!$B$31&lt;Calculator!$G$16),"—",ROUND(MAX((50*POWER(80,POWER(COS(PI()*MOD(Calculator!$B$31/Calculator!$F$16,1)),2)))/$C94,$C94/(50*POWER(80,POWER(COS(PI()*MOD(Calculator!$B$31/Calculator!$F$16,1)),2)))),2))</f>
        <v>6.64</v>
      </c>
      <c r="V94" s="103" t="n">
        <f aca="false">IF(OR(Calculator!$E$17&lt;&gt;"YES",Calculator!$B$31&lt;Calculator!$G$17),"—",ROUND(MAX((50*POWER(80,POWER(COS(PI()*MOD(Calculator!$B$31/Calculator!$F$17,1)),2)))/$C94,$C94/(50*POWER(80,POWER(COS(PI()*MOD(Calculator!$B$31/Calculator!$F$17,1)),2)))),2))</f>
        <v>1.91</v>
      </c>
      <c r="W94" s="103" t="n">
        <f aca="false">IF(OR(Calculator!$E$18&lt;&gt;"YES",Calculator!$B$31&lt;Calculator!$G$18),"—",ROUND(MAX((50*POWER(80,POWER(COS(PI()*MOD(Calculator!$B$31/Calculator!$F$18,1)),2)))/$C94,$C94/(50*POWER(80,POWER(COS(PI()*MOD(Calculator!$B$31/Calculator!$F$18,1)),2)))),2))</f>
        <v>1.68</v>
      </c>
      <c r="X94" s="103" t="n">
        <f aca="false">IF(OR(Calculator!$E$19&lt;&gt;"YES",Calculator!$B$31&lt;Calculator!$G$19),"—",ROUND(MAX((50*POWER(80,POWER(COS(PI()*MOD(Calculator!$B$31/Calculator!$F$19,1)),2)))/$C94,$C94/(50*POWER(80,POWER(COS(PI()*MOD(Calculator!$B$31/Calculator!$F$19,1)),2)))),2))</f>
        <v>11.52</v>
      </c>
      <c r="Y94" s="103" t="n">
        <f aca="false">IF(OR(Calculator!$E$20&lt;&gt;"YES",Calculator!$B$31&lt;Calculator!$G$20),"—",ROUND(MAX((50*POWER(80,POWER(COS(PI()*MOD(Calculator!$B$31/Calculator!$F$20,1)),2)))/$C94,$C94/(50*POWER(80,POWER(COS(PI()*MOD(Calculator!$B$31/Calculator!$F$20,1)),2)))),2))</f>
        <v>38.03</v>
      </c>
      <c r="Z94" s="103" t="str">
        <f aca="false">IF(OR(Calculator!$E$21&lt;&gt;"YES",Calculator!$B$31&lt;Calculator!$G$21),"—",ROUND(MAX((50*POWER(80,POWER(COS(PI()*MOD(Calculator!$B$31/Calculator!$F$21,1)),2)))/$C94,$C94/(50*POWER(80,POWER(COS(PI()*MOD(Calculator!$B$31/Calculator!$F$21,1)),2)))),2))</f>
        <v>—</v>
      </c>
      <c r="AA94" s="107" t="n">
        <f aca="false">IFERROR(ROUND((IF(ISNUMBER(P94),P94,0)+IF(ISNUMBER(Q94),Q94,0)+IF(ISNUMBER(R94),R94,0)+IF(ISNUMBER(S94),S94,0)+IF(ISNUMBER(T94),T94,0)+IF(ISNUMBER(U94),U94,0)+IF(ISNUMBER(V94),V94,0)+IF(ISNUMBER(W94),W94,0)+IF(ISNUMBER(X94),X94,0)+IF(ISNUMBER(Y94),Y94,0)+IF(ISNUMBER(Z94),Z94,0))/(IF(ISNUMBER(P94),1,0)+IF(ISNUMBER(Q94),1,0)+IF(ISNUMBER(R94),1,0)+IF(ISNUMBER(S94),1,0)+IF(ISNUMBER(T94),1,0)+IF(ISNUMBER(U94),1,0)+IF(ISNUMBER(V94),1,0)+IF(ISNUMBER(W94),1,0)+IF(ISNUMBER(X94),1,0)+IF(ISNUMBER(Y94),1,0)+IF(ISNUMBER(Z94),1,0)),2),"")</f>
        <v>15.13</v>
      </c>
      <c r="AB94" s="103" t="str">
        <f aca="false">IF(OR(Calculator!$E$11&lt;&gt;"YES",Calculator!$B$32&lt;Calculator!$G$11),"—",ROUND(MAX((50*POWER(80,POWER(COS(PI()*MOD(Calculator!$B$32/Calculator!$F$11,1)),2)))/$C94,$C94/(50*POWER(80,POWER(COS(PI()*MOD(Calculator!$B$32/Calculator!$F$11,1)),2)))),2))</f>
        <v>—</v>
      </c>
      <c r="AC94" s="103" t="str">
        <f aca="false">IF(OR(Calculator!$E$12&lt;&gt;"YES",Calculator!$B$32&lt;Calculator!$G$12),"—",ROUND(MAX((50*POWER(80,POWER(COS(PI()*MOD(Calculator!$B$32/Calculator!$F$12,1)),2)))/$C94,$C94/(50*POWER(80,POWER(COS(PI()*MOD(Calculator!$B$32/Calculator!$F$12,1)),2)))),2))</f>
        <v>—</v>
      </c>
      <c r="AD94" s="103" t="str">
        <f aca="false">IF(OR(Calculator!$E$13&lt;&gt;"YES",Calculator!$B$32&lt;Calculator!$G$13),"—",ROUND(MAX((50*POWER(80,POWER(COS(PI()*MOD(Calculator!$B$32/Calculator!$F$13,1)),2)))/$C94,$C94/(50*POWER(80,POWER(COS(PI()*MOD(Calculator!$B$32/Calculator!$F$13,1)),2)))),2))</f>
        <v>—</v>
      </c>
      <c r="AE94" s="103" t="n">
        <f aca="false">IF(OR(Calculator!$E$14&lt;&gt;"YES",Calculator!$B$32&lt;Calculator!$G$14),"—",ROUND(MAX((50*POWER(80,POWER(COS(PI()*MOD(Calculator!$B$32/Calculator!$F$14,1)),2)))/$C94,$C94/(50*POWER(80,POWER(COS(PI()*MOD(Calculator!$B$32/Calculator!$F$14,1)),2)))),2))</f>
        <v>18.11</v>
      </c>
      <c r="AF94" s="103" t="n">
        <f aca="false">IF(OR(Calculator!$E$15&lt;&gt;"YES",Calculator!$B$32&lt;Calculator!$G$15),"—",ROUND(MAX((50*POWER(80,POWER(COS(PI()*MOD(Calculator!$B$32/Calculator!$F$15,1)),2)))/$C94,$C94/(50*POWER(80,POWER(COS(PI()*MOD(Calculator!$B$32/Calculator!$F$15,1)),2)))),2))</f>
        <v>11.71</v>
      </c>
      <c r="AG94" s="103" t="n">
        <f aca="false">IF(OR(Calculator!$E$16&lt;&gt;"YES",Calculator!$B$32&lt;Calculator!$G$16),"—",ROUND(MAX((50*POWER(80,POWER(COS(PI()*MOD(Calculator!$B$32/Calculator!$F$16,1)),2)))/$C94,$C94/(50*POWER(80,POWER(COS(PI()*MOD(Calculator!$B$32/Calculator!$F$16,1)),2)))),2))</f>
        <v>39.53</v>
      </c>
      <c r="AH94" s="103" t="n">
        <f aca="false">IF(OR(Calculator!$E$17&lt;&gt;"YES",Calculator!$B$32&lt;Calculator!$G$17),"—",ROUND(MAX((50*POWER(80,POWER(COS(PI()*MOD(Calculator!$B$32/Calculator!$F$17,1)),2)))/$C94,$C94/(50*POWER(80,POWER(COS(PI()*MOD(Calculator!$B$32/Calculator!$F$17,1)),2)))),2))</f>
        <v>1.35</v>
      </c>
      <c r="AI94" s="103" t="n">
        <f aca="false">IF(OR(Calculator!$E$18&lt;&gt;"YES",Calculator!$B$32&lt;Calculator!$G$18),"—",ROUND(MAX((50*POWER(80,POWER(COS(PI()*MOD(Calculator!$B$32/Calculator!$F$18,1)),2)))/$C94,$C94/(50*POWER(80,POWER(COS(PI()*MOD(Calculator!$B$32/Calculator!$F$18,1)),2)))),2))</f>
        <v>1.24</v>
      </c>
      <c r="AJ94" s="103" t="n">
        <f aca="false">IF(OR(Calculator!$E$19&lt;&gt;"YES",Calculator!$B$32&lt;Calculator!$G$19),"—",ROUND(MAX((50*POWER(80,POWER(COS(PI()*MOD(Calculator!$B$32/Calculator!$F$19,1)),2)))/$C94,$C94/(50*POWER(80,POWER(COS(PI()*MOD(Calculator!$B$32/Calculator!$F$19,1)),2)))),2))</f>
        <v>1.18</v>
      </c>
      <c r="AK94" s="103" t="n">
        <f aca="false">IF(OR(Calculator!$E$20&lt;&gt;"YES",Calculator!$B$32&lt;Calculator!$G$20),"—",ROUND(MAX((50*POWER(80,POWER(COS(PI()*MOD(Calculator!$B$32/Calculator!$F$20,1)),2)))/$C94,$C94/(50*POWER(80,POWER(COS(PI()*MOD(Calculator!$B$32/Calculator!$F$20,1)),2)))),2))</f>
        <v>31.09</v>
      </c>
      <c r="AL94" s="103" t="str">
        <f aca="false">IF(OR(Calculator!$E$21&lt;&gt;"YES",Calculator!$B$32&lt;Calculator!$G$21),"—",ROUND(MAX((50*POWER(80,POWER(COS(PI()*MOD(Calculator!$B$32/Calculator!$F$21,1)),2)))/$C94,$C94/(50*POWER(80,POWER(COS(PI()*MOD(Calculator!$B$32/Calculator!$F$21,1)),2)))),2))</f>
        <v>—</v>
      </c>
      <c r="AM94" s="101" t="n">
        <f aca="false">IFERROR(ROUND((IF(ISNUMBER(AB94),AB94,0)+IF(ISNUMBER(AC94),AC94,0)+IF(ISNUMBER(AD94),AD94,0)+IF(ISNUMBER(AE94),AE94,0)+IF(ISNUMBER(AF94),AF94,0)+IF(ISNUMBER(AG94),AG94,0)+IF(ISNUMBER(AH94),AH94,0)+IF(ISNUMBER(AI94),AI94,0)+IF(ISNUMBER(AJ94),AJ94,0)+IF(ISNUMBER(AK94),AK94,0)+IF(ISNUMBER(AL94),AL94,0))/(IF(ISNUMBER(AB94),1,0)+IF(ISNUMBER(AC94),1,0)+IF(ISNUMBER(AD94),1,0)+IF(ISNUMBER(AE94),1,0)+IF(ISNUMBER(AF94),1,0)+IF(ISNUMBER(AG94),1,0)+IF(ISNUMBER(AH94),1,0)+IF(ISNUMBER(AI94),1,0)+IF(ISNUMBER(AJ94),1,0)+IF(ISNUMBER(AK94),1,0)+IF(ISNUMBER(AL94),1,0)),2),"")</f>
        <v>14.89</v>
      </c>
      <c r="AN94" s="106" t="str">
        <f aca="false">IF(OR(Calculator!$E$11&lt;&gt;"YES",Calculator!$B$33&lt;Calculator!$G$11),"—",ROUND(MAX((50*POWER(80,POWER(COS(PI()*MOD(Calculator!$B$33/Calculator!$F$11,1)),2)))/$C94,$C94/(50*POWER(80,POWER(COS(PI()*MOD(Calculator!$B$33/Calculator!$F$11,1)),2)))),2))</f>
        <v>—</v>
      </c>
      <c r="AO94" s="106" t="str">
        <f aca="false">IF(OR(Calculator!$E$12&lt;&gt;"YES",Calculator!$B$33&lt;Calculator!$G$12),"—",ROUND(MAX((50*POWER(80,POWER(COS(PI()*MOD(Calculator!$B$33/Calculator!$F$12,1)),2)))/$C94,$C94/(50*POWER(80,POWER(COS(PI()*MOD(Calculator!$B$33/Calculator!$F$12,1)),2)))),2))</f>
        <v>—</v>
      </c>
      <c r="AP94" s="106" t="str">
        <f aca="false">IF(OR(Calculator!$E$13&lt;&gt;"YES",Calculator!$B$33&lt;Calculator!$G$13),"—",ROUND(MAX((50*POWER(80,POWER(COS(PI()*MOD(Calculator!$B$33/Calculator!$F$13,1)),2)))/$C94,$C94/(50*POWER(80,POWER(COS(PI()*MOD(Calculator!$B$33/Calculator!$F$13,1)),2)))),2))</f>
        <v>—</v>
      </c>
      <c r="AQ94" s="106" t="n">
        <f aca="false">IF(OR(Calculator!$E$14&lt;&gt;"YES",Calculator!$B$33&lt;Calculator!$G$14),"—",ROUND(MAX((50*POWER(80,POWER(COS(PI()*MOD(Calculator!$B$33/Calculator!$F$14,1)),2)))/$C94,$C94/(50*POWER(80,POWER(COS(PI()*MOD(Calculator!$B$33/Calculator!$F$14,1)),2)))),2))</f>
        <v>1.14</v>
      </c>
      <c r="AR94" s="106" t="n">
        <f aca="false">IF(OR(Calculator!$E$15&lt;&gt;"YES",Calculator!$B$33&lt;Calculator!$G$15),"—",ROUND(MAX((50*POWER(80,POWER(COS(PI()*MOD(Calculator!$B$33/Calculator!$F$15,1)),2)))/$C94,$C94/(50*POWER(80,POWER(COS(PI()*MOD(Calculator!$B$33/Calculator!$F$15,1)),2)))),2))</f>
        <v>10.56</v>
      </c>
      <c r="AS94" s="106" t="n">
        <f aca="false">IF(OR(Calculator!$E$16&lt;&gt;"YES",Calculator!$B$33&lt;Calculator!$G$16),"—",ROUND(MAX((50*POWER(80,POWER(COS(PI()*MOD(Calculator!$B$33/Calculator!$F$16,1)),2)))/$C94,$C94/(50*POWER(80,POWER(COS(PI()*MOD(Calculator!$B$33/Calculator!$F$16,1)),2)))),2))</f>
        <v>3.86</v>
      </c>
      <c r="AT94" s="106" t="n">
        <f aca="false">IF(OR(Calculator!$E$17&lt;&gt;"YES",Calculator!$B$33&lt;Calculator!$G$17),"—",ROUND(MAX((50*POWER(80,POWER(COS(PI()*MOD(Calculator!$B$33/Calculator!$F$17,1)),2)))/$C94,$C94/(50*POWER(80,POWER(COS(PI()*MOD(Calculator!$B$33/Calculator!$F$17,1)),2)))),2))</f>
        <v>12.25</v>
      </c>
      <c r="AU94" s="106" t="n">
        <f aca="false">IF(OR(Calculator!$E$18&lt;&gt;"YES",Calculator!$B$33&lt;Calculator!$G$18),"—",ROUND(MAX((50*POWER(80,POWER(COS(PI()*MOD(Calculator!$B$33/Calculator!$F$18,1)),2)))/$C94,$C94/(50*POWER(80,POWER(COS(PI()*MOD(Calculator!$B$33/Calculator!$F$18,1)),2)))),2))</f>
        <v>16.58</v>
      </c>
      <c r="AV94" s="106" t="n">
        <f aca="false">IF(OR(Calculator!$E$19&lt;&gt;"YES",Calculator!$B$33&lt;Calculator!$G$19),"—",ROUND(MAX((50*POWER(80,POWER(COS(PI()*MOD(Calculator!$B$33/Calculator!$F$19,1)),2)))/$C94,$C94/(50*POWER(80,POWER(COS(PI()*MOD(Calculator!$B$33/Calculator!$F$19,1)),2)))),2))</f>
        <v>2.02</v>
      </c>
      <c r="AW94" s="106" t="n">
        <f aca="false">IF(OR(Calculator!$E$20&lt;&gt;"YES",Calculator!$B$33&lt;Calculator!$G$20),"—",ROUND(MAX((50*POWER(80,POWER(COS(PI()*MOD(Calculator!$B$33/Calculator!$F$20,1)),2)))/$C94,$C94/(50*POWER(80,POWER(COS(PI()*MOD(Calculator!$B$33/Calculator!$F$20,1)),2)))),2))</f>
        <v>25.3</v>
      </c>
      <c r="AX94" s="106" t="str">
        <f aca="false">IF(OR(Calculator!$E$21&lt;&gt;"YES",Calculator!$B$33&lt;Calculator!$G$21),"—",ROUND(MAX((50*POWER(80,POWER(COS(PI()*MOD(Calculator!$B$33/Calculator!$F$21,1)),2)))/$C94,$C94/(50*POWER(80,POWER(COS(PI()*MOD(Calculator!$B$33/Calculator!$F$21,1)),2)))),2))</f>
        <v>—</v>
      </c>
      <c r="AY94" s="101" t="n">
        <f aca="false">IFERROR(ROUND((IF(ISNUMBER(AN94),AN94,0)+IF(ISNUMBER(AO94),AO94,0)+IF(ISNUMBER(AP94),AP94,0)+IF(ISNUMBER(AQ94),AQ94,0)+IF(ISNUMBER(AR94),AR94,0)+IF(ISNUMBER(AS94),AS94,0)+IF(ISNUMBER(AT94),AT94,0)+IF(ISNUMBER(AU94),AU94,0)+IF(ISNUMBER(AV94),AV94,0)+IF(ISNUMBER(AW94),AW94,0)+IF(ISNUMBER(AX94),AX94,0))/(IF(ISNUMBER(AN94),1,0)+IF(ISNUMBER(AO94),1,0)+IF(ISNUMBER(AP94),1,0)+IF(ISNUMBER(AQ94),1,0)+IF(ISNUMBER(AR94),1,0)+IF(ISNUMBER(AS94),1,0)+IF(ISNUMBER(AT94),1,0)+IF(ISNUMBER(AU94),1,0)+IF(ISNUMBER(AV94),1,0)+IF(ISNUMBER(AW94),1,0)+IF(ISNUMBER(AX94),1,0)),2),"")</f>
        <v>10.24</v>
      </c>
      <c r="AZ94" s="106" t="str">
        <f aca="false">IF(OR(Calculator!$E$11&lt;&gt;"YES",Calculator!$B$34&lt;Calculator!$G$11),"—",ROUND(MAX((50*POWER(80,POWER(COS(PI()*MOD(Calculator!$B$34/Calculator!$F$11,1)),2)))/$C94,$C94/(50*POWER(80,POWER(COS(PI()*MOD(Calculator!$B$34/Calculator!$F$11,1)),2)))),2))</f>
        <v>—</v>
      </c>
      <c r="BA94" s="106" t="str">
        <f aca="false">IF(OR(Calculator!$E$12&lt;&gt;"YES",Calculator!$B$34&lt;Calculator!$G$12),"—",ROUND(MAX((50*POWER(80,POWER(COS(PI()*MOD(Calculator!$B$34/Calculator!$F$12,1)),2)))/$C94,$C94/(50*POWER(80,POWER(COS(PI()*MOD(Calculator!$B$34/Calculator!$F$12,1)),2)))),2))</f>
        <v>—</v>
      </c>
      <c r="BB94" s="106" t="str">
        <f aca="false">IF(OR(Calculator!$E$13&lt;&gt;"YES",Calculator!$B$34&lt;Calculator!$G$13),"—",ROUND(MAX((50*POWER(80,POWER(COS(PI()*MOD(Calculator!$B$34/Calculator!$F$13,1)),2)))/$C94,$C94/(50*POWER(80,POWER(COS(PI()*MOD(Calculator!$B$34/Calculator!$F$13,1)),2)))),2))</f>
        <v>—</v>
      </c>
      <c r="BC94" s="106" t="n">
        <f aca="false">IF(OR(Calculator!$E$14&lt;&gt;"YES",Calculator!$B$34&lt;Calculator!$G$14),"—",ROUND(MAX((50*POWER(80,POWER(COS(PI()*MOD(Calculator!$B$34/Calculator!$F$14,1)),2)))/$C94,$C94/(50*POWER(80,POWER(COS(PI()*MOD(Calculator!$B$34/Calculator!$F$14,1)),2)))),2))</f>
        <v>1.12</v>
      </c>
      <c r="BD94" s="106" t="n">
        <f aca="false">IF(OR(Calculator!$E$15&lt;&gt;"YES",Calculator!$B$34&lt;Calculator!$G$15),"—",ROUND(MAX((50*POWER(80,POWER(COS(PI()*MOD(Calculator!$B$34/Calculator!$F$15,1)),2)))/$C94,$C94/(50*POWER(80,POWER(COS(PI()*MOD(Calculator!$B$34/Calculator!$F$15,1)),2)))),2))</f>
        <v>13.64</v>
      </c>
      <c r="BE94" s="106" t="n">
        <f aca="false">IF(OR(Calculator!$E$16&lt;&gt;"YES",Calculator!$B$34&lt;Calculator!$G$16),"—",ROUND(MAX((50*POWER(80,POWER(COS(PI()*MOD(Calculator!$B$34/Calculator!$F$16,1)),2)))/$C94,$C94/(50*POWER(80,POWER(COS(PI()*MOD(Calculator!$B$34/Calculator!$F$16,1)),2)))),2))</f>
        <v>4.6</v>
      </c>
      <c r="BF94" s="106" t="n">
        <f aca="false">IF(OR(Calculator!$E$17&lt;&gt;"YES",Calculator!$B$34&lt;Calculator!$G$17),"—",ROUND(MAX((50*POWER(80,POWER(COS(PI()*MOD(Calculator!$B$34/Calculator!$F$17,1)),2)))/$C94,$C94/(50*POWER(80,POWER(COS(PI()*MOD(Calculator!$B$34/Calculator!$F$17,1)),2)))),2))</f>
        <v>2.37</v>
      </c>
      <c r="BG94" s="106" t="n">
        <f aca="false">IF(OR(Calculator!$E$18&lt;&gt;"YES",Calculator!$B$34&lt;Calculator!$G$18),"—",ROUND(MAX((50*POWER(80,POWER(COS(PI()*MOD(Calculator!$B$34/Calculator!$F$18,1)),2)))/$C94,$C94/(50*POWER(80,POWER(COS(PI()*MOD(Calculator!$B$34/Calculator!$F$18,1)),2)))),2))</f>
        <v>22.42</v>
      </c>
      <c r="BH94" s="106" t="n">
        <f aca="false">IF(OR(Calculator!$E$19&lt;&gt;"YES",Calculator!$B$34&lt;Calculator!$G$19),"—",ROUND(MAX((50*POWER(80,POWER(COS(PI()*MOD(Calculator!$B$34/Calculator!$F$19,1)),2)))/$C94,$C94/(50*POWER(80,POWER(COS(PI()*MOD(Calculator!$B$34/Calculator!$F$19,1)),2)))),2))</f>
        <v>24.94</v>
      </c>
      <c r="BI94" s="106" t="n">
        <f aca="false">IF(OR(Calculator!$E$20&lt;&gt;"YES",Calculator!$B$34&lt;Calculator!$G$20),"—",ROUND(MAX((50*POWER(80,POWER(COS(PI()*MOD(Calculator!$B$34/Calculator!$F$20,1)),2)))/$C94,$C94/(50*POWER(80,POWER(COS(PI()*MOD(Calculator!$B$34/Calculator!$F$20,1)),2)))),2))</f>
        <v>14.88</v>
      </c>
      <c r="BJ94" s="106" t="str">
        <f aca="false">IF(OR(Calculator!$E$21&lt;&gt;"YES",Calculator!$B$34&lt;Calculator!$G$21),"—",ROUND(MAX((50*POWER(80,POWER(COS(PI()*MOD(Calculator!$B$34/Calculator!$F$21,1)),2)))/$C94,$C94/(50*POWER(80,POWER(COS(PI()*MOD(Calculator!$B$34/Calculator!$F$21,1)),2)))),2))</f>
        <v>—</v>
      </c>
      <c r="BK94" s="101" t="n">
        <f aca="false">IFERROR(ROUND((IF(ISNUMBER(AZ94),AZ94,0)+IF(ISNUMBER(BA94),BA94,0)+IF(ISNUMBER(BB94),BB94,0)+IF(ISNUMBER(BC94),BC94,0)+IF(ISNUMBER(BD94),BD94,0)+IF(ISNUMBER(BE94),BE94,0)+IF(ISNUMBER(BF94),BF94,0)+IF(ISNUMBER(BG94),BG94,0)+IF(ISNUMBER(BH94),BH94,0)+IF(ISNUMBER(BI94),BI94,0)+IF(ISNUMBER(BJ94),BJ94,0))/(IF(ISNUMBER(AZ94),1,0)+IF(ISNUMBER(BA94),1,0)+IF(ISNUMBER(BB94),1,0)+IF(ISNUMBER(BC94),1,0)+IF(ISNUMBER(BD94),1,0)+IF(ISNUMBER(BE94),1,0)+IF(ISNUMBER(BF94),1,0)+IF(ISNUMBER(BG94),1,0)+IF(ISNUMBER(BH94),1,0)+IF(ISNUMBER(BI94),1,0)+IF(ISNUMBER(BJ94),1,0)),2),"")</f>
        <v>12</v>
      </c>
    </row>
    <row r="95" customFormat="false" ht="15" hidden="false" customHeight="false" outlineLevel="0" collapsed="false">
      <c r="A95" s="74" t="s">
        <v>146</v>
      </c>
      <c r="B95" s="108" t="s">
        <v>86</v>
      </c>
      <c r="C95" s="74" t="n">
        <v>3150</v>
      </c>
      <c r="D95" s="74" t="str">
        <f aca="false">IF(OR(Calculator!$E$11&lt;&gt;"YES",Calculator!$B$30&lt;Calculator!$G$11),"—",ROUND(MAX((50*POWER(80,POWER(COS(PI()*MOD(Calculator!$B$30/Calculator!$F$11,1)),2)))/$C95,$C95/(50*POWER(80,POWER(COS(PI()*MOD(Calculator!$B$30/Calculator!$F$11,1)),2)))),2))</f>
        <v>—</v>
      </c>
      <c r="E95" s="74" t="str">
        <f aca="false">IF(OR(Calculator!$E$12&lt;&gt;"YES",Calculator!$B$30&lt;Calculator!$G$12),"—",ROUND(MAX((50*POWER(80,POWER(COS(PI()*MOD(Calculator!$B$30/Calculator!$F$12,1)),2)))/$C95,$C95/(50*POWER(80,POWER(COS(PI()*MOD(Calculator!$B$30/Calculator!$F$12,1)),2)))),2))</f>
        <v>—</v>
      </c>
      <c r="F95" s="74" t="str">
        <f aca="false">IF(OR(Calculator!$E$13&lt;&gt;"YES",Calculator!$B$30&lt;Calculator!$G$13),"—",ROUND(MAX((50*POWER(80,POWER(COS(PI()*MOD(Calculator!$B$30/Calculator!$F$13,1)),2)))/$C95,$C95/(50*POWER(80,POWER(COS(PI()*MOD(Calculator!$B$30/Calculator!$F$13,1)),2)))),2))</f>
        <v>—</v>
      </c>
      <c r="G95" s="74" t="n">
        <f aca="false">IF(OR(Calculator!$E$14&lt;&gt;"YES",Calculator!$B$30&lt;Calculator!$G$14),"—",ROUND(MAX((50*POWER(80,POWER(COS(PI()*MOD(Calculator!$B$30/Calculator!$F$14,1)),2)))/$C95,$C95/(50*POWER(80,POWER(COS(PI()*MOD(Calculator!$B$30/Calculator!$F$14,1)),2)))),2))</f>
        <v>28.47</v>
      </c>
      <c r="H95" s="74" t="n">
        <f aca="false">IF(OR(Calculator!$E$15&lt;&gt;"YES",Calculator!$B$30&lt;Calculator!$G$15),"—",ROUND(MAX((50*POWER(80,POWER(COS(PI()*MOD(Calculator!$B$30/Calculator!$F$15,1)),2)))/$C95,$C95/(50*POWER(80,POWER(COS(PI()*MOD(Calculator!$B$30/Calculator!$F$15,1)),2)))),2))</f>
        <v>8.26</v>
      </c>
      <c r="I95" s="74" t="n">
        <f aca="false">IF(OR(Calculator!$E$16&lt;&gt;"YES",Calculator!$B$30&lt;Calculator!$G$16),"—",ROUND(MAX((50*POWER(80,POWER(COS(PI()*MOD(Calculator!$B$30/Calculator!$F$16,1)),2)))/$C95,$C95/(50*POWER(80,POWER(COS(PI()*MOD(Calculator!$B$30/Calculator!$F$16,1)),2)))),2))</f>
        <v>5.64</v>
      </c>
      <c r="J95" s="74" t="n">
        <f aca="false">IF(OR(Calculator!$E$17&lt;&gt;"YES",Calculator!$B$30&lt;Calculator!$G$17),"—",ROUND(MAX((50*POWER(80,POWER(COS(PI()*MOD(Calculator!$B$30/Calculator!$F$17,1)),2)))/$C95,$C95/(50*POWER(80,POWER(COS(PI()*MOD(Calculator!$B$30/Calculator!$F$17,1)),2)))),2))</f>
        <v>15.84</v>
      </c>
      <c r="K95" s="74" t="n">
        <f aca="false">IF(OR(Calculator!$E$18&lt;&gt;"YES",Calculator!$B$30&lt;Calculator!$G$18),"—",ROUND(MAX((50*POWER(80,POWER(COS(PI()*MOD(Calculator!$B$30/Calculator!$F$18,1)),2)))/$C95,$C95/(50*POWER(80,POWER(COS(PI()*MOD(Calculator!$B$30/Calculator!$F$18,1)),2)))),2))</f>
        <v>2.26</v>
      </c>
      <c r="L95" s="74" t="n">
        <f aca="false">IF(OR(Calculator!$E$19&lt;&gt;"YES",Calculator!$B$30&lt;Calculator!$G$19),"—",ROUND(MAX((50*POWER(80,POWER(COS(PI()*MOD(Calculator!$B$30/Calculator!$F$19,1)),2)))/$C95,$C95/(50*POWER(80,POWER(COS(PI()*MOD(Calculator!$B$30/Calculator!$F$19,1)),2)))),2))</f>
        <v>4.01</v>
      </c>
      <c r="M95" s="74" t="n">
        <f aca="false">IF(OR(Calculator!$E$20&lt;&gt;"YES",Calculator!$B$30&lt;Calculator!$G$20),"—",ROUND(MAX((50*POWER(80,POWER(COS(PI()*MOD(Calculator!$B$30/Calculator!$F$20,1)),2)))/$C95,$C95/(50*POWER(80,POWER(COS(PI()*MOD(Calculator!$B$30/Calculator!$F$20,1)),2)))),2))</f>
        <v>24.88</v>
      </c>
      <c r="N95" s="74" t="str">
        <f aca="false">IF(OR(Calculator!$E$21&lt;&gt;"YES",Calculator!$B$30&lt;Calculator!$G$21),"—",ROUND(MAX((50*POWER(80,POWER(COS(PI()*MOD(Calculator!$B$30/Calculator!$F$21,1)),2)))/$C95,$C95/(50*POWER(80,POWER(COS(PI()*MOD(Calculator!$B$30/Calculator!$F$21,1)),2)))),2))</f>
        <v>—</v>
      </c>
      <c r="O95" s="107" t="n">
        <f aca="false">IFERROR(ROUND((IF(ISNUMBER(D95),D95,0)+IF(ISNUMBER(E95),E95,0)+IF(ISNUMBER(F95),F95,0)+IF(ISNUMBER(G95),G95,0)+IF(ISNUMBER(H95),H95,0)+IF(ISNUMBER(I95),I95,0)+IF(ISNUMBER(J95),J95,0)+IF(ISNUMBER(K95),K95,0)+IF(ISNUMBER(L95),L95,0)+IF(ISNUMBER(M95),M95,0)+IF(ISNUMBER(N95),N95,0))/(IF(ISNUMBER(D95),1,0)+IF(ISNUMBER(E95),1,0)+IF(ISNUMBER(F95),1,0)+IF(ISNUMBER(G95),1,0)+IF(ISNUMBER(H95),1,0)+IF(ISNUMBER(I95),1,0)+IF(ISNUMBER(J95),1,0)+IF(ISNUMBER(K95),1,0)+IF(ISNUMBER(L95),1,0)+IF(ISNUMBER(M95),1,0)+IF(ISNUMBER(N95),1,0)),2),"")</f>
        <v>12.77</v>
      </c>
      <c r="P95" s="74" t="str">
        <f aca="false">IF(OR(Calculator!$E$11&lt;&gt;"YES",Calculator!$B$31&lt;Calculator!$G$11),"—",ROUND(MAX((50*POWER(80,POWER(COS(PI()*MOD(Calculator!$B$31/Calculator!$F$11,1)),2)))/$C95,$C95/(50*POWER(80,POWER(COS(PI()*MOD(Calculator!$B$31/Calculator!$F$11,1)),2)))),2))</f>
        <v>—</v>
      </c>
      <c r="Q95" s="74" t="str">
        <f aca="false">IF(OR(Calculator!$E$12&lt;&gt;"YES",Calculator!$B$31&lt;Calculator!$G$12),"—",ROUND(MAX((50*POWER(80,POWER(COS(PI()*MOD(Calculator!$B$31/Calculator!$F$12,1)),2)))/$C95,$C95/(50*POWER(80,POWER(COS(PI()*MOD(Calculator!$B$31/Calculator!$F$12,1)),2)))),2))</f>
        <v>—</v>
      </c>
      <c r="R95" s="74" t="str">
        <f aca="false">IF(OR(Calculator!$E$13&lt;&gt;"YES",Calculator!$B$31&lt;Calculator!$G$13),"—",ROUND(MAX((50*POWER(80,POWER(COS(PI()*MOD(Calculator!$B$31/Calculator!$F$13,1)),2)))/$C95,$C95/(50*POWER(80,POWER(COS(PI()*MOD(Calculator!$B$31/Calculator!$F$13,1)),2)))),2))</f>
        <v>—</v>
      </c>
      <c r="S95" s="74" t="n">
        <f aca="false">IF(OR(Calculator!$E$14&lt;&gt;"YES",Calculator!$B$31&lt;Calculator!$G$14),"—",ROUND(MAX((50*POWER(80,POWER(COS(PI()*MOD(Calculator!$B$31/Calculator!$F$14,1)),2)))/$C95,$C95/(50*POWER(80,POWER(COS(PI()*MOD(Calculator!$B$31/Calculator!$F$14,1)),2)))),2))</f>
        <v>29.14</v>
      </c>
      <c r="T95" s="74" t="n">
        <f aca="false">IF(OR(Calculator!$E$15&lt;&gt;"YES",Calculator!$B$31&lt;Calculator!$G$15),"—",ROUND(MAX((50*POWER(80,POWER(COS(PI()*MOD(Calculator!$B$31/Calculator!$F$15,1)),2)))/$C95,$C95/(50*POWER(80,POWER(COS(PI()*MOD(Calculator!$B$31/Calculator!$F$15,1)),2)))),2))</f>
        <v>17.73</v>
      </c>
      <c r="U95" s="74" t="n">
        <f aca="false">IF(OR(Calculator!$E$16&lt;&gt;"YES",Calculator!$B$31&lt;Calculator!$G$16),"—",ROUND(MAX((50*POWER(80,POWER(COS(PI()*MOD(Calculator!$B$31/Calculator!$F$16,1)),2)))/$C95,$C95/(50*POWER(80,POWER(COS(PI()*MOD(Calculator!$B$31/Calculator!$F$16,1)),2)))),2))</f>
        <v>6.75</v>
      </c>
      <c r="V95" s="74" t="n">
        <f aca="false">IF(OR(Calculator!$E$17&lt;&gt;"YES",Calculator!$B$31&lt;Calculator!$G$17),"—",ROUND(MAX((50*POWER(80,POWER(COS(PI()*MOD(Calculator!$B$31/Calculator!$F$17,1)),2)))/$C95,$C95/(50*POWER(80,POWER(COS(PI()*MOD(Calculator!$B$31/Calculator!$F$17,1)),2)))),2))</f>
        <v>1.95</v>
      </c>
      <c r="W95" s="74" t="n">
        <f aca="false">IF(OR(Calculator!$E$18&lt;&gt;"YES",Calculator!$B$31&lt;Calculator!$G$18),"—",ROUND(MAX((50*POWER(80,POWER(COS(PI()*MOD(Calculator!$B$31/Calculator!$F$18,1)),2)))/$C95,$C95/(50*POWER(80,POWER(COS(PI()*MOD(Calculator!$B$31/Calculator!$F$18,1)),2)))),2))</f>
        <v>1.71</v>
      </c>
      <c r="X95" s="74" t="n">
        <f aca="false">IF(OR(Calculator!$E$19&lt;&gt;"YES",Calculator!$B$31&lt;Calculator!$G$19),"—",ROUND(MAX((50*POWER(80,POWER(COS(PI()*MOD(Calculator!$B$31/Calculator!$F$19,1)),2)))/$C95,$C95/(50*POWER(80,POWER(COS(PI()*MOD(Calculator!$B$31/Calculator!$F$19,1)),2)))),2))</f>
        <v>11.71</v>
      </c>
      <c r="Y95" s="74" t="n">
        <f aca="false">IF(OR(Calculator!$E$20&lt;&gt;"YES",Calculator!$B$31&lt;Calculator!$G$20),"—",ROUND(MAX((50*POWER(80,POWER(COS(PI()*MOD(Calculator!$B$31/Calculator!$F$20,1)),2)))/$C95,$C95/(50*POWER(80,POWER(COS(PI()*MOD(Calculator!$B$31/Calculator!$F$20,1)),2)))),2))</f>
        <v>38.65</v>
      </c>
      <c r="Z95" s="74" t="str">
        <f aca="false">IF(OR(Calculator!$E$21&lt;&gt;"YES",Calculator!$B$31&lt;Calculator!$G$21),"—",ROUND(MAX((50*POWER(80,POWER(COS(PI()*MOD(Calculator!$B$31/Calculator!$F$21,1)),2)))/$C95,$C95/(50*POWER(80,POWER(COS(PI()*MOD(Calculator!$B$31/Calculator!$F$21,1)),2)))),2))</f>
        <v>—</v>
      </c>
      <c r="AA95" s="107" t="n">
        <f aca="false">IFERROR(ROUND((IF(ISNUMBER(P95),P95,0)+IF(ISNUMBER(Q95),Q95,0)+IF(ISNUMBER(R95),R95,0)+IF(ISNUMBER(S95),S95,0)+IF(ISNUMBER(T95),T95,0)+IF(ISNUMBER(U95),U95,0)+IF(ISNUMBER(V95),V95,0)+IF(ISNUMBER(W95),W95,0)+IF(ISNUMBER(X95),X95,0)+IF(ISNUMBER(Y95),Y95,0)+IF(ISNUMBER(Z95),Z95,0))/(IF(ISNUMBER(P95),1,0)+IF(ISNUMBER(Q95),1,0)+IF(ISNUMBER(R95),1,0)+IF(ISNUMBER(S95),1,0)+IF(ISNUMBER(T95),1,0)+IF(ISNUMBER(U95),1,0)+IF(ISNUMBER(V95),1,0)+IF(ISNUMBER(W95),1,0)+IF(ISNUMBER(X95),1,0)+IF(ISNUMBER(Y95),1,0)+IF(ISNUMBER(Z95),1,0)),2),"")</f>
        <v>15.38</v>
      </c>
      <c r="AB95" s="74" t="str">
        <f aca="false">IF(OR(Calculator!$E$11&lt;&gt;"YES",Calculator!$B$32&lt;Calculator!$G$11),"—",ROUND(MAX((50*POWER(80,POWER(COS(PI()*MOD(Calculator!$B$32/Calculator!$F$11,1)),2)))/$C95,$C95/(50*POWER(80,POWER(COS(PI()*MOD(Calculator!$B$32/Calculator!$F$11,1)),2)))),2))</f>
        <v>—</v>
      </c>
      <c r="AC95" s="74" t="str">
        <f aca="false">IF(OR(Calculator!$E$12&lt;&gt;"YES",Calculator!$B$32&lt;Calculator!$G$12),"—",ROUND(MAX((50*POWER(80,POWER(COS(PI()*MOD(Calculator!$B$32/Calculator!$F$12,1)),2)))/$C95,$C95/(50*POWER(80,POWER(COS(PI()*MOD(Calculator!$B$32/Calculator!$F$12,1)),2)))),2))</f>
        <v>—</v>
      </c>
      <c r="AD95" s="74" t="str">
        <f aca="false">IF(OR(Calculator!$E$13&lt;&gt;"YES",Calculator!$B$32&lt;Calculator!$G$13),"—",ROUND(MAX((50*POWER(80,POWER(COS(PI()*MOD(Calculator!$B$32/Calculator!$F$13,1)),2)))/$C95,$C95/(50*POWER(80,POWER(COS(PI()*MOD(Calculator!$B$32/Calculator!$F$13,1)),2)))),2))</f>
        <v>—</v>
      </c>
      <c r="AE95" s="74" t="n">
        <f aca="false">IF(OR(Calculator!$E$14&lt;&gt;"YES",Calculator!$B$32&lt;Calculator!$G$14),"—",ROUND(MAX((50*POWER(80,POWER(COS(PI()*MOD(Calculator!$B$32/Calculator!$F$14,1)),2)))/$C95,$C95/(50*POWER(80,POWER(COS(PI()*MOD(Calculator!$B$32/Calculator!$F$14,1)),2)))),2))</f>
        <v>18.4</v>
      </c>
      <c r="AF95" s="74" t="n">
        <f aca="false">IF(OR(Calculator!$E$15&lt;&gt;"YES",Calculator!$B$32&lt;Calculator!$G$15),"—",ROUND(MAX((50*POWER(80,POWER(COS(PI()*MOD(Calculator!$B$32/Calculator!$F$15,1)),2)))/$C95,$C95/(50*POWER(80,POWER(COS(PI()*MOD(Calculator!$B$32/Calculator!$F$15,1)),2)))),2))</f>
        <v>11.9</v>
      </c>
      <c r="AG95" s="74" t="n">
        <f aca="false">IF(OR(Calculator!$E$16&lt;&gt;"YES",Calculator!$B$32&lt;Calculator!$G$16),"—",ROUND(MAX((50*POWER(80,POWER(COS(PI()*MOD(Calculator!$B$32/Calculator!$F$16,1)),2)))/$C95,$C95/(50*POWER(80,POWER(COS(PI()*MOD(Calculator!$B$32/Calculator!$F$16,1)),2)))),2))</f>
        <v>40.17</v>
      </c>
      <c r="AH95" s="74" t="n">
        <f aca="false">IF(OR(Calculator!$E$17&lt;&gt;"YES",Calculator!$B$32&lt;Calculator!$G$17),"—",ROUND(MAX((50*POWER(80,POWER(COS(PI()*MOD(Calculator!$B$32/Calculator!$F$17,1)),2)))/$C95,$C95/(50*POWER(80,POWER(COS(PI()*MOD(Calculator!$B$32/Calculator!$F$17,1)),2)))),2))</f>
        <v>1.37</v>
      </c>
      <c r="AI95" s="74" t="n">
        <f aca="false">IF(OR(Calculator!$E$18&lt;&gt;"YES",Calculator!$B$32&lt;Calculator!$G$18),"—",ROUND(MAX((50*POWER(80,POWER(COS(PI()*MOD(Calculator!$B$32/Calculator!$F$18,1)),2)))/$C95,$C95/(50*POWER(80,POWER(COS(PI()*MOD(Calculator!$B$32/Calculator!$F$18,1)),2)))),2))</f>
        <v>1.26</v>
      </c>
      <c r="AJ95" s="74" t="n">
        <f aca="false">IF(OR(Calculator!$E$19&lt;&gt;"YES",Calculator!$B$32&lt;Calculator!$G$19),"—",ROUND(MAX((50*POWER(80,POWER(COS(PI()*MOD(Calculator!$B$32/Calculator!$F$19,1)),2)))/$C95,$C95/(50*POWER(80,POWER(COS(PI()*MOD(Calculator!$B$32/Calculator!$F$19,1)),2)))),2))</f>
        <v>1.2</v>
      </c>
      <c r="AK95" s="74" t="n">
        <f aca="false">IF(OR(Calculator!$E$20&lt;&gt;"YES",Calculator!$B$32&lt;Calculator!$G$20),"—",ROUND(MAX((50*POWER(80,POWER(COS(PI()*MOD(Calculator!$B$32/Calculator!$F$20,1)),2)))/$C95,$C95/(50*POWER(80,POWER(COS(PI()*MOD(Calculator!$B$32/Calculator!$F$20,1)),2)))),2))</f>
        <v>31.59</v>
      </c>
      <c r="AL95" s="74" t="str">
        <f aca="false">IF(OR(Calculator!$E$21&lt;&gt;"YES",Calculator!$B$32&lt;Calculator!$G$21),"—",ROUND(MAX((50*POWER(80,POWER(COS(PI()*MOD(Calculator!$B$32/Calculator!$F$21,1)),2)))/$C95,$C95/(50*POWER(80,POWER(COS(PI()*MOD(Calculator!$B$32/Calculator!$F$21,1)),2)))),2))</f>
        <v>—</v>
      </c>
      <c r="AM95" s="101" t="n">
        <f aca="false">IFERROR(ROUND((IF(ISNUMBER(AB95),AB95,0)+IF(ISNUMBER(AC95),AC95,0)+IF(ISNUMBER(AD95),AD95,0)+IF(ISNUMBER(AE95),AE95,0)+IF(ISNUMBER(AF95),AF95,0)+IF(ISNUMBER(AG95),AG95,0)+IF(ISNUMBER(AH95),AH95,0)+IF(ISNUMBER(AI95),AI95,0)+IF(ISNUMBER(AJ95),AJ95,0)+IF(ISNUMBER(AK95),AK95,0)+IF(ISNUMBER(AL95),AL95,0))/(IF(ISNUMBER(AB95),1,0)+IF(ISNUMBER(AC95),1,0)+IF(ISNUMBER(AD95),1,0)+IF(ISNUMBER(AE95),1,0)+IF(ISNUMBER(AF95),1,0)+IF(ISNUMBER(AG95),1,0)+IF(ISNUMBER(AH95),1,0)+IF(ISNUMBER(AI95),1,0)+IF(ISNUMBER(AJ95),1,0)+IF(ISNUMBER(AK95),1,0)+IF(ISNUMBER(AL95),1,0)),2),"")</f>
        <v>15.13</v>
      </c>
      <c r="AN95" s="102" t="str">
        <f aca="false">IF(OR(Calculator!$E$11&lt;&gt;"YES",Calculator!$B$33&lt;Calculator!$G$11),"—",ROUND(MAX((50*POWER(80,POWER(COS(PI()*MOD(Calculator!$B$33/Calculator!$F$11,1)),2)))/$C95,$C95/(50*POWER(80,POWER(COS(PI()*MOD(Calculator!$B$33/Calculator!$F$11,1)),2)))),2))</f>
        <v>—</v>
      </c>
      <c r="AO95" s="102" t="str">
        <f aca="false">IF(OR(Calculator!$E$12&lt;&gt;"YES",Calculator!$B$33&lt;Calculator!$G$12),"—",ROUND(MAX((50*POWER(80,POWER(COS(PI()*MOD(Calculator!$B$33/Calculator!$F$12,1)),2)))/$C95,$C95/(50*POWER(80,POWER(COS(PI()*MOD(Calculator!$B$33/Calculator!$F$12,1)),2)))),2))</f>
        <v>—</v>
      </c>
      <c r="AP95" s="102" t="str">
        <f aca="false">IF(OR(Calculator!$E$13&lt;&gt;"YES",Calculator!$B$33&lt;Calculator!$G$13),"—",ROUND(MAX((50*POWER(80,POWER(COS(PI()*MOD(Calculator!$B$33/Calculator!$F$13,1)),2)))/$C95,$C95/(50*POWER(80,POWER(COS(PI()*MOD(Calculator!$B$33/Calculator!$F$13,1)),2)))),2))</f>
        <v>—</v>
      </c>
      <c r="AQ95" s="102" t="n">
        <f aca="false">IF(OR(Calculator!$E$14&lt;&gt;"YES",Calculator!$B$33&lt;Calculator!$G$14),"—",ROUND(MAX((50*POWER(80,POWER(COS(PI()*MOD(Calculator!$B$33/Calculator!$F$14,1)),2)))/$C95,$C95/(50*POWER(80,POWER(COS(PI()*MOD(Calculator!$B$33/Calculator!$F$14,1)),2)))),2))</f>
        <v>1.16</v>
      </c>
      <c r="AR95" s="102" t="n">
        <f aca="false">IF(OR(Calculator!$E$15&lt;&gt;"YES",Calculator!$B$33&lt;Calculator!$G$15),"—",ROUND(MAX((50*POWER(80,POWER(COS(PI()*MOD(Calculator!$B$33/Calculator!$F$15,1)),2)))/$C95,$C95/(50*POWER(80,POWER(COS(PI()*MOD(Calculator!$B$33/Calculator!$F$15,1)),2)))),2))</f>
        <v>10.73</v>
      </c>
      <c r="AS95" s="102" t="n">
        <f aca="false">IF(OR(Calculator!$E$16&lt;&gt;"YES",Calculator!$B$33&lt;Calculator!$G$16),"—",ROUND(MAX((50*POWER(80,POWER(COS(PI()*MOD(Calculator!$B$33/Calculator!$F$16,1)),2)))/$C95,$C95/(50*POWER(80,POWER(COS(PI()*MOD(Calculator!$B$33/Calculator!$F$16,1)),2)))),2))</f>
        <v>3.92</v>
      </c>
      <c r="AT95" s="102" t="n">
        <f aca="false">IF(OR(Calculator!$E$17&lt;&gt;"YES",Calculator!$B$33&lt;Calculator!$G$17),"—",ROUND(MAX((50*POWER(80,POWER(COS(PI()*MOD(Calculator!$B$33/Calculator!$F$17,1)),2)))/$C95,$C95/(50*POWER(80,POWER(COS(PI()*MOD(Calculator!$B$33/Calculator!$F$17,1)),2)))),2))</f>
        <v>12.45</v>
      </c>
      <c r="AU95" s="102" t="n">
        <f aca="false">IF(OR(Calculator!$E$18&lt;&gt;"YES",Calculator!$B$33&lt;Calculator!$G$18),"—",ROUND(MAX((50*POWER(80,POWER(COS(PI()*MOD(Calculator!$B$33/Calculator!$F$18,1)),2)))/$C95,$C95/(50*POWER(80,POWER(COS(PI()*MOD(Calculator!$B$33/Calculator!$F$18,1)),2)))),2))</f>
        <v>16.84</v>
      </c>
      <c r="AV95" s="102" t="n">
        <f aca="false">IF(OR(Calculator!$E$19&lt;&gt;"YES",Calculator!$B$33&lt;Calculator!$G$19),"—",ROUND(MAX((50*POWER(80,POWER(COS(PI()*MOD(Calculator!$B$33/Calculator!$F$19,1)),2)))/$C95,$C95/(50*POWER(80,POWER(COS(PI()*MOD(Calculator!$B$33/Calculator!$F$19,1)),2)))),2))</f>
        <v>2.05</v>
      </c>
      <c r="AW95" s="102" t="n">
        <f aca="false">IF(OR(Calculator!$E$20&lt;&gt;"YES",Calculator!$B$33&lt;Calculator!$G$20),"—",ROUND(MAX((50*POWER(80,POWER(COS(PI()*MOD(Calculator!$B$33/Calculator!$F$20,1)),2)))/$C95,$C95/(50*POWER(80,POWER(COS(PI()*MOD(Calculator!$B$33/Calculator!$F$20,1)),2)))),2))</f>
        <v>25.7</v>
      </c>
      <c r="AX95" s="102" t="str">
        <f aca="false">IF(OR(Calculator!$E$21&lt;&gt;"YES",Calculator!$B$33&lt;Calculator!$G$21),"—",ROUND(MAX((50*POWER(80,POWER(COS(PI()*MOD(Calculator!$B$33/Calculator!$F$21,1)),2)))/$C95,$C95/(50*POWER(80,POWER(COS(PI()*MOD(Calculator!$B$33/Calculator!$F$21,1)),2)))),2))</f>
        <v>—</v>
      </c>
      <c r="AY95" s="101" t="n">
        <f aca="false">IFERROR(ROUND((IF(ISNUMBER(AN95),AN95,0)+IF(ISNUMBER(AO95),AO95,0)+IF(ISNUMBER(AP95),AP95,0)+IF(ISNUMBER(AQ95),AQ95,0)+IF(ISNUMBER(AR95),AR95,0)+IF(ISNUMBER(AS95),AS95,0)+IF(ISNUMBER(AT95),AT95,0)+IF(ISNUMBER(AU95),AU95,0)+IF(ISNUMBER(AV95),AV95,0)+IF(ISNUMBER(AW95),AW95,0)+IF(ISNUMBER(AX95),AX95,0))/(IF(ISNUMBER(AN95),1,0)+IF(ISNUMBER(AO95),1,0)+IF(ISNUMBER(AP95),1,0)+IF(ISNUMBER(AQ95),1,0)+IF(ISNUMBER(AR95),1,0)+IF(ISNUMBER(AS95),1,0)+IF(ISNUMBER(AT95),1,0)+IF(ISNUMBER(AU95),1,0)+IF(ISNUMBER(AV95),1,0)+IF(ISNUMBER(AW95),1,0)+IF(ISNUMBER(AX95),1,0)),2),"")</f>
        <v>10.41</v>
      </c>
      <c r="AZ95" s="102" t="str">
        <f aca="false">IF(OR(Calculator!$E$11&lt;&gt;"YES",Calculator!$B$34&lt;Calculator!$G$11),"—",ROUND(MAX((50*POWER(80,POWER(COS(PI()*MOD(Calculator!$B$34/Calculator!$F$11,1)),2)))/$C95,$C95/(50*POWER(80,POWER(COS(PI()*MOD(Calculator!$B$34/Calculator!$F$11,1)),2)))),2))</f>
        <v>—</v>
      </c>
      <c r="BA95" s="102" t="str">
        <f aca="false">IF(OR(Calculator!$E$12&lt;&gt;"YES",Calculator!$B$34&lt;Calculator!$G$12),"—",ROUND(MAX((50*POWER(80,POWER(COS(PI()*MOD(Calculator!$B$34/Calculator!$F$12,1)),2)))/$C95,$C95/(50*POWER(80,POWER(COS(PI()*MOD(Calculator!$B$34/Calculator!$F$12,1)),2)))),2))</f>
        <v>—</v>
      </c>
      <c r="BB95" s="102" t="str">
        <f aca="false">IF(OR(Calculator!$E$13&lt;&gt;"YES",Calculator!$B$34&lt;Calculator!$G$13),"—",ROUND(MAX((50*POWER(80,POWER(COS(PI()*MOD(Calculator!$B$34/Calculator!$F$13,1)),2)))/$C95,$C95/(50*POWER(80,POWER(COS(PI()*MOD(Calculator!$B$34/Calculator!$F$13,1)),2)))),2))</f>
        <v>—</v>
      </c>
      <c r="BC95" s="102" t="n">
        <f aca="false">IF(OR(Calculator!$E$14&lt;&gt;"YES",Calculator!$B$34&lt;Calculator!$G$14),"—",ROUND(MAX((50*POWER(80,POWER(COS(PI()*MOD(Calculator!$B$34/Calculator!$F$14,1)),2)))/$C95,$C95/(50*POWER(80,POWER(COS(PI()*MOD(Calculator!$B$34/Calculator!$F$14,1)),2)))),2))</f>
        <v>1.14</v>
      </c>
      <c r="BD95" s="102" t="n">
        <f aca="false">IF(OR(Calculator!$E$15&lt;&gt;"YES",Calculator!$B$34&lt;Calculator!$G$15),"—",ROUND(MAX((50*POWER(80,POWER(COS(PI()*MOD(Calculator!$B$34/Calculator!$F$15,1)),2)))/$C95,$C95/(50*POWER(80,POWER(COS(PI()*MOD(Calculator!$B$34/Calculator!$F$15,1)),2)))),2))</f>
        <v>13.86</v>
      </c>
      <c r="BE95" s="102" t="n">
        <f aca="false">IF(OR(Calculator!$E$16&lt;&gt;"YES",Calculator!$B$34&lt;Calculator!$G$16),"—",ROUND(MAX((50*POWER(80,POWER(COS(PI()*MOD(Calculator!$B$34/Calculator!$F$16,1)),2)))/$C95,$C95/(50*POWER(80,POWER(COS(PI()*MOD(Calculator!$B$34/Calculator!$F$16,1)),2)))),2))</f>
        <v>4.67</v>
      </c>
      <c r="BF95" s="102" t="n">
        <f aca="false">IF(OR(Calculator!$E$17&lt;&gt;"YES",Calculator!$B$34&lt;Calculator!$G$17),"—",ROUND(MAX((50*POWER(80,POWER(COS(PI()*MOD(Calculator!$B$34/Calculator!$F$17,1)),2)))/$C95,$C95/(50*POWER(80,POWER(COS(PI()*MOD(Calculator!$B$34/Calculator!$F$17,1)),2)))),2))</f>
        <v>2.41</v>
      </c>
      <c r="BG95" s="102" t="n">
        <f aca="false">IF(OR(Calculator!$E$18&lt;&gt;"YES",Calculator!$B$34&lt;Calculator!$G$18),"—",ROUND(MAX((50*POWER(80,POWER(COS(PI()*MOD(Calculator!$B$34/Calculator!$F$18,1)),2)))/$C95,$C95/(50*POWER(80,POWER(COS(PI()*MOD(Calculator!$B$34/Calculator!$F$18,1)),2)))),2))</f>
        <v>22.79</v>
      </c>
      <c r="BH95" s="102" t="n">
        <f aca="false">IF(OR(Calculator!$E$19&lt;&gt;"YES",Calculator!$B$34&lt;Calculator!$G$19),"—",ROUND(MAX((50*POWER(80,POWER(COS(PI()*MOD(Calculator!$B$34/Calculator!$F$19,1)),2)))/$C95,$C95/(50*POWER(80,POWER(COS(PI()*MOD(Calculator!$B$34/Calculator!$F$19,1)),2)))),2))</f>
        <v>25.34</v>
      </c>
      <c r="BI95" s="102" t="n">
        <f aca="false">IF(OR(Calculator!$E$20&lt;&gt;"YES",Calculator!$B$34&lt;Calculator!$G$20),"—",ROUND(MAX((50*POWER(80,POWER(COS(PI()*MOD(Calculator!$B$34/Calculator!$F$20,1)),2)))/$C95,$C95/(50*POWER(80,POWER(COS(PI()*MOD(Calculator!$B$34/Calculator!$F$20,1)),2)))),2))</f>
        <v>15.12</v>
      </c>
      <c r="BJ95" s="102" t="str">
        <f aca="false">IF(OR(Calculator!$E$21&lt;&gt;"YES",Calculator!$B$34&lt;Calculator!$G$21),"—",ROUND(MAX((50*POWER(80,POWER(COS(PI()*MOD(Calculator!$B$34/Calculator!$F$21,1)),2)))/$C95,$C95/(50*POWER(80,POWER(COS(PI()*MOD(Calculator!$B$34/Calculator!$F$21,1)),2)))),2))</f>
        <v>—</v>
      </c>
      <c r="BK95" s="101" t="n">
        <f aca="false">IFERROR(ROUND((IF(ISNUMBER(AZ95),AZ95,0)+IF(ISNUMBER(BA95),BA95,0)+IF(ISNUMBER(BB95),BB95,0)+IF(ISNUMBER(BC95),BC95,0)+IF(ISNUMBER(BD95),BD95,0)+IF(ISNUMBER(BE95),BE95,0)+IF(ISNUMBER(BF95),BF95,0)+IF(ISNUMBER(BG95),BG95,0)+IF(ISNUMBER(BH95),BH95,0)+IF(ISNUMBER(BI95),BI95,0)+IF(ISNUMBER(BJ95),BJ95,0))/(IF(ISNUMBER(AZ95),1,0)+IF(ISNUMBER(BA95),1,0)+IF(ISNUMBER(BB95),1,0)+IF(ISNUMBER(BC95),1,0)+IF(ISNUMBER(BD95),1,0)+IF(ISNUMBER(BE95),1,0)+IF(ISNUMBER(BF95),1,0)+IF(ISNUMBER(BG95),1,0)+IF(ISNUMBER(BH95),1,0)+IF(ISNUMBER(BI95),1,0)+IF(ISNUMBER(BJ95),1,0)),2),"")</f>
        <v>12.19</v>
      </c>
    </row>
    <row r="96" customFormat="false" ht="15" hidden="false" customHeight="false" outlineLevel="0" collapsed="false">
      <c r="A96" s="93" t="s">
        <v>147</v>
      </c>
      <c r="B96" s="109" t="s">
        <v>89</v>
      </c>
      <c r="C96" s="94" t="n">
        <v>3200</v>
      </c>
      <c r="D96" s="94" t="str">
        <f aca="false">IF(OR(Calculator!$E$11&lt;&gt;"YES",Calculator!$B$30&lt;Calculator!$G$11),"—",ROUND(MAX((50*POWER(80,POWER(COS(PI()*MOD(Calculator!$B$30/Calculator!$F$11,1)),2)))/$C96,$C96/(50*POWER(80,POWER(COS(PI()*MOD(Calculator!$B$30/Calculator!$F$11,1)),2)))),2))</f>
        <v>—</v>
      </c>
      <c r="E96" s="94" t="str">
        <f aca="false">IF(OR(Calculator!$E$12&lt;&gt;"YES",Calculator!$B$30&lt;Calculator!$G$12),"—",ROUND(MAX((50*POWER(80,POWER(COS(PI()*MOD(Calculator!$B$30/Calculator!$F$12,1)),2)))/$C96,$C96/(50*POWER(80,POWER(COS(PI()*MOD(Calculator!$B$30/Calculator!$F$12,1)),2)))),2))</f>
        <v>—</v>
      </c>
      <c r="F96" s="94" t="str">
        <f aca="false">IF(OR(Calculator!$E$13&lt;&gt;"YES",Calculator!$B$30&lt;Calculator!$G$13),"—",ROUND(MAX((50*POWER(80,POWER(COS(PI()*MOD(Calculator!$B$30/Calculator!$F$13,1)),2)))/$C96,$C96/(50*POWER(80,POWER(COS(PI()*MOD(Calculator!$B$30/Calculator!$F$13,1)),2)))),2))</f>
        <v>—</v>
      </c>
      <c r="G96" s="94" t="n">
        <f aca="false">IF(OR(Calculator!$E$14&lt;&gt;"YES",Calculator!$B$30&lt;Calculator!$G$14),"—",ROUND(MAX((50*POWER(80,POWER(COS(PI()*MOD(Calculator!$B$30/Calculator!$F$14,1)),2)))/$C96,$C96/(50*POWER(80,POWER(COS(PI()*MOD(Calculator!$B$30/Calculator!$F$14,1)),2)))),2))</f>
        <v>28.92</v>
      </c>
      <c r="H96" s="94" t="n">
        <f aca="false">IF(OR(Calculator!$E$15&lt;&gt;"YES",Calculator!$B$30&lt;Calculator!$G$15),"—",ROUND(MAX((50*POWER(80,POWER(COS(PI()*MOD(Calculator!$B$30/Calculator!$F$15,1)),2)))/$C96,$C96/(50*POWER(80,POWER(COS(PI()*MOD(Calculator!$B$30/Calculator!$F$15,1)),2)))),2))</f>
        <v>8.39</v>
      </c>
      <c r="I96" s="94" t="n">
        <f aca="false">IF(OR(Calculator!$E$16&lt;&gt;"YES",Calculator!$B$30&lt;Calculator!$G$16),"—",ROUND(MAX((50*POWER(80,POWER(COS(PI()*MOD(Calculator!$B$30/Calculator!$F$16,1)),2)))/$C96,$C96/(50*POWER(80,POWER(COS(PI()*MOD(Calculator!$B$30/Calculator!$F$16,1)),2)))),2))</f>
        <v>5.73</v>
      </c>
      <c r="J96" s="94" t="n">
        <f aca="false">IF(OR(Calculator!$E$17&lt;&gt;"YES",Calculator!$B$30&lt;Calculator!$G$17),"—",ROUND(MAX((50*POWER(80,POWER(COS(PI()*MOD(Calculator!$B$30/Calculator!$F$17,1)),2)))/$C96,$C96/(50*POWER(80,POWER(COS(PI()*MOD(Calculator!$B$30/Calculator!$F$17,1)),2)))),2))</f>
        <v>16.09</v>
      </c>
      <c r="K96" s="94" t="n">
        <f aca="false">IF(OR(Calculator!$E$18&lt;&gt;"YES",Calculator!$B$30&lt;Calculator!$G$18),"—",ROUND(MAX((50*POWER(80,POWER(COS(PI()*MOD(Calculator!$B$30/Calculator!$F$18,1)),2)))/$C96,$C96/(50*POWER(80,POWER(COS(PI()*MOD(Calculator!$B$30/Calculator!$F$18,1)),2)))),2))</f>
        <v>2.29</v>
      </c>
      <c r="L96" s="94" t="n">
        <f aca="false">IF(OR(Calculator!$E$19&lt;&gt;"YES",Calculator!$B$30&lt;Calculator!$G$19),"—",ROUND(MAX((50*POWER(80,POWER(COS(PI()*MOD(Calculator!$B$30/Calculator!$F$19,1)),2)))/$C96,$C96/(50*POWER(80,POWER(COS(PI()*MOD(Calculator!$B$30/Calculator!$F$19,1)),2)))),2))</f>
        <v>4.07</v>
      </c>
      <c r="M96" s="94" t="n">
        <f aca="false">IF(OR(Calculator!$E$20&lt;&gt;"YES",Calculator!$B$30&lt;Calculator!$G$20),"—",ROUND(MAX((50*POWER(80,POWER(COS(PI()*MOD(Calculator!$B$30/Calculator!$F$20,1)),2)))/$C96,$C96/(50*POWER(80,POWER(COS(PI()*MOD(Calculator!$B$30/Calculator!$F$20,1)),2)))),2))</f>
        <v>25.28</v>
      </c>
      <c r="N96" s="94" t="str">
        <f aca="false">IF(OR(Calculator!$E$21&lt;&gt;"YES",Calculator!$B$30&lt;Calculator!$G$21),"—",ROUND(MAX((50*POWER(80,POWER(COS(PI()*MOD(Calculator!$B$30/Calculator!$F$21,1)),2)))/$C96,$C96/(50*POWER(80,POWER(COS(PI()*MOD(Calculator!$B$30/Calculator!$F$21,1)),2)))),2))</f>
        <v>—</v>
      </c>
      <c r="O96" s="110" t="n">
        <f aca="false">IFERROR(ROUND((IF(ISNUMBER(D96),D96,0)+IF(ISNUMBER(E96),E96,0)+IF(ISNUMBER(F96),F96,0)+IF(ISNUMBER(G96),G96,0)+IF(ISNUMBER(H96),H96,0)+IF(ISNUMBER(I96),I96,0)+IF(ISNUMBER(J96),J96,0)+IF(ISNUMBER(K96),K96,0)+IF(ISNUMBER(L96),L96,0)+IF(ISNUMBER(M96),M96,0)+IF(ISNUMBER(N96),N96,0))/(IF(ISNUMBER(D96),1,0)+IF(ISNUMBER(E96),1,0)+IF(ISNUMBER(F96),1,0)+IF(ISNUMBER(G96),1,0)+IF(ISNUMBER(H96),1,0)+IF(ISNUMBER(I96),1,0)+IF(ISNUMBER(J96),1,0)+IF(ISNUMBER(K96),1,0)+IF(ISNUMBER(L96),1,0)+IF(ISNUMBER(M96),1,0)+IF(ISNUMBER(N96),1,0)),2),"")</f>
        <v>12.97</v>
      </c>
      <c r="P96" s="94" t="str">
        <f aca="false">IF(OR(Calculator!$E$11&lt;&gt;"YES",Calculator!$B$31&lt;Calculator!$G$11),"—",ROUND(MAX((50*POWER(80,POWER(COS(PI()*MOD(Calculator!$B$31/Calculator!$F$11,1)),2)))/$C96,$C96/(50*POWER(80,POWER(COS(PI()*MOD(Calculator!$B$31/Calculator!$F$11,1)),2)))),2))</f>
        <v>—</v>
      </c>
      <c r="Q96" s="94" t="str">
        <f aca="false">IF(OR(Calculator!$E$12&lt;&gt;"YES",Calculator!$B$31&lt;Calculator!$G$12),"—",ROUND(MAX((50*POWER(80,POWER(COS(PI()*MOD(Calculator!$B$31/Calculator!$F$12,1)),2)))/$C96,$C96/(50*POWER(80,POWER(COS(PI()*MOD(Calculator!$B$31/Calculator!$F$12,1)),2)))),2))</f>
        <v>—</v>
      </c>
      <c r="R96" s="94" t="str">
        <f aca="false">IF(OR(Calculator!$E$13&lt;&gt;"YES",Calculator!$B$31&lt;Calculator!$G$13),"—",ROUND(MAX((50*POWER(80,POWER(COS(PI()*MOD(Calculator!$B$31/Calculator!$F$13,1)),2)))/$C96,$C96/(50*POWER(80,POWER(COS(PI()*MOD(Calculator!$B$31/Calculator!$F$13,1)),2)))),2))</f>
        <v>—</v>
      </c>
      <c r="S96" s="94" t="n">
        <f aca="false">IF(OR(Calculator!$E$14&lt;&gt;"YES",Calculator!$B$31&lt;Calculator!$G$14),"—",ROUND(MAX((50*POWER(80,POWER(COS(PI()*MOD(Calculator!$B$31/Calculator!$F$14,1)),2)))/$C96,$C96/(50*POWER(80,POWER(COS(PI()*MOD(Calculator!$B$31/Calculator!$F$14,1)),2)))),2))</f>
        <v>29.6</v>
      </c>
      <c r="T96" s="94" t="n">
        <f aca="false">IF(OR(Calculator!$E$15&lt;&gt;"YES",Calculator!$B$31&lt;Calculator!$G$15),"—",ROUND(MAX((50*POWER(80,POWER(COS(PI()*MOD(Calculator!$B$31/Calculator!$F$15,1)),2)))/$C96,$C96/(50*POWER(80,POWER(COS(PI()*MOD(Calculator!$B$31/Calculator!$F$15,1)),2)))),2))</f>
        <v>18.01</v>
      </c>
      <c r="U96" s="94" t="n">
        <f aca="false">IF(OR(Calculator!$E$16&lt;&gt;"YES",Calculator!$B$31&lt;Calculator!$G$16),"—",ROUND(MAX((50*POWER(80,POWER(COS(PI()*MOD(Calculator!$B$31/Calculator!$F$16,1)),2)))/$C96,$C96/(50*POWER(80,POWER(COS(PI()*MOD(Calculator!$B$31/Calculator!$F$16,1)),2)))),2))</f>
        <v>6.86</v>
      </c>
      <c r="V96" s="94" t="n">
        <f aca="false">IF(OR(Calculator!$E$17&lt;&gt;"YES",Calculator!$B$31&lt;Calculator!$G$17),"—",ROUND(MAX((50*POWER(80,POWER(COS(PI()*MOD(Calculator!$B$31/Calculator!$F$17,1)),2)))/$C96,$C96/(50*POWER(80,POWER(COS(PI()*MOD(Calculator!$B$31/Calculator!$F$17,1)),2)))),2))</f>
        <v>1.98</v>
      </c>
      <c r="W96" s="94" t="n">
        <f aca="false">IF(OR(Calculator!$E$18&lt;&gt;"YES",Calculator!$B$31&lt;Calculator!$G$18),"—",ROUND(MAX((50*POWER(80,POWER(COS(PI()*MOD(Calculator!$B$31/Calculator!$F$18,1)),2)))/$C96,$C96/(50*POWER(80,POWER(COS(PI()*MOD(Calculator!$B$31/Calculator!$F$18,1)),2)))),2))</f>
        <v>1.74</v>
      </c>
      <c r="X96" s="94" t="n">
        <f aca="false">IF(OR(Calculator!$E$19&lt;&gt;"YES",Calculator!$B$31&lt;Calculator!$G$19),"—",ROUND(MAX((50*POWER(80,POWER(COS(PI()*MOD(Calculator!$B$31/Calculator!$F$19,1)),2)))/$C96,$C96/(50*POWER(80,POWER(COS(PI()*MOD(Calculator!$B$31/Calculator!$F$19,1)),2)))),2))</f>
        <v>11.89</v>
      </c>
      <c r="Y96" s="94" t="n">
        <f aca="false">IF(OR(Calculator!$E$20&lt;&gt;"YES",Calculator!$B$31&lt;Calculator!$G$20),"—",ROUND(MAX((50*POWER(80,POWER(COS(PI()*MOD(Calculator!$B$31/Calculator!$F$20,1)),2)))/$C96,$C96/(50*POWER(80,POWER(COS(PI()*MOD(Calculator!$B$31/Calculator!$F$20,1)),2)))),2))</f>
        <v>39.26</v>
      </c>
      <c r="Z96" s="94" t="str">
        <f aca="false">IF(OR(Calculator!$E$21&lt;&gt;"YES",Calculator!$B$31&lt;Calculator!$G$21),"—",ROUND(MAX((50*POWER(80,POWER(COS(PI()*MOD(Calculator!$B$31/Calculator!$F$21,1)),2)))/$C96,$C96/(50*POWER(80,POWER(COS(PI()*MOD(Calculator!$B$31/Calculator!$F$21,1)),2)))),2))</f>
        <v>—</v>
      </c>
      <c r="AA96" s="110" t="n">
        <f aca="false">IFERROR(ROUND((IF(ISNUMBER(P96),P96,0)+IF(ISNUMBER(Q96),Q96,0)+IF(ISNUMBER(R96),R96,0)+IF(ISNUMBER(S96),S96,0)+IF(ISNUMBER(T96),T96,0)+IF(ISNUMBER(U96),U96,0)+IF(ISNUMBER(V96),V96,0)+IF(ISNUMBER(W96),W96,0)+IF(ISNUMBER(X96),X96,0)+IF(ISNUMBER(Y96),Y96,0)+IF(ISNUMBER(Z96),Z96,0))/(IF(ISNUMBER(P96),1,0)+IF(ISNUMBER(Q96),1,0)+IF(ISNUMBER(R96),1,0)+IF(ISNUMBER(S96),1,0)+IF(ISNUMBER(T96),1,0)+IF(ISNUMBER(U96),1,0)+IF(ISNUMBER(V96),1,0)+IF(ISNUMBER(W96),1,0)+IF(ISNUMBER(X96),1,0)+IF(ISNUMBER(Y96),1,0)+IF(ISNUMBER(Z96),1,0)),2),"")</f>
        <v>15.62</v>
      </c>
      <c r="AB96" s="94" t="str">
        <f aca="false">IF(OR(Calculator!$E$11&lt;&gt;"YES",Calculator!$B$32&lt;Calculator!$G$11),"—",ROUND(MAX((50*POWER(80,POWER(COS(PI()*MOD(Calculator!$B$32/Calculator!$F$11,1)),2)))/$C96,$C96/(50*POWER(80,POWER(COS(PI()*MOD(Calculator!$B$32/Calculator!$F$11,1)),2)))),2))</f>
        <v>—</v>
      </c>
      <c r="AC96" s="94" t="str">
        <f aca="false">IF(OR(Calculator!$E$12&lt;&gt;"YES",Calculator!$B$32&lt;Calculator!$G$12),"—",ROUND(MAX((50*POWER(80,POWER(COS(PI()*MOD(Calculator!$B$32/Calculator!$F$12,1)),2)))/$C96,$C96/(50*POWER(80,POWER(COS(PI()*MOD(Calculator!$B$32/Calculator!$F$12,1)),2)))),2))</f>
        <v>—</v>
      </c>
      <c r="AD96" s="94" t="str">
        <f aca="false">IF(OR(Calculator!$E$13&lt;&gt;"YES",Calculator!$B$32&lt;Calculator!$G$13),"—",ROUND(MAX((50*POWER(80,POWER(COS(PI()*MOD(Calculator!$B$32/Calculator!$F$13,1)),2)))/$C96,$C96/(50*POWER(80,POWER(COS(PI()*MOD(Calculator!$B$32/Calculator!$F$13,1)),2)))),2))</f>
        <v>—</v>
      </c>
      <c r="AE96" s="94" t="n">
        <f aca="false">IF(OR(Calculator!$E$14&lt;&gt;"YES",Calculator!$B$32&lt;Calculator!$G$14),"—",ROUND(MAX((50*POWER(80,POWER(COS(PI()*MOD(Calculator!$B$32/Calculator!$F$14,1)),2)))/$C96,$C96/(50*POWER(80,POWER(COS(PI()*MOD(Calculator!$B$32/Calculator!$F$14,1)),2)))),2))</f>
        <v>18.7</v>
      </c>
      <c r="AF96" s="94" t="n">
        <f aca="false">IF(OR(Calculator!$E$15&lt;&gt;"YES",Calculator!$B$32&lt;Calculator!$G$15),"—",ROUND(MAX((50*POWER(80,POWER(COS(PI()*MOD(Calculator!$B$32/Calculator!$F$15,1)),2)))/$C96,$C96/(50*POWER(80,POWER(COS(PI()*MOD(Calculator!$B$32/Calculator!$F$15,1)),2)))),2))</f>
        <v>12.09</v>
      </c>
      <c r="AG96" s="94" t="n">
        <f aca="false">IF(OR(Calculator!$E$16&lt;&gt;"YES",Calculator!$B$32&lt;Calculator!$G$16),"—",ROUND(MAX((50*POWER(80,POWER(COS(PI()*MOD(Calculator!$B$32/Calculator!$F$16,1)),2)))/$C96,$C96/(50*POWER(80,POWER(COS(PI()*MOD(Calculator!$B$32/Calculator!$F$16,1)),2)))),2))</f>
        <v>40.8</v>
      </c>
      <c r="AH96" s="94" t="n">
        <f aca="false">IF(OR(Calculator!$E$17&lt;&gt;"YES",Calculator!$B$32&lt;Calculator!$G$17),"—",ROUND(MAX((50*POWER(80,POWER(COS(PI()*MOD(Calculator!$B$32/Calculator!$F$17,1)),2)))/$C96,$C96/(50*POWER(80,POWER(COS(PI()*MOD(Calculator!$B$32/Calculator!$F$17,1)),2)))),2))</f>
        <v>1.39</v>
      </c>
      <c r="AI96" s="94" t="n">
        <f aca="false">IF(OR(Calculator!$E$18&lt;&gt;"YES",Calculator!$B$32&lt;Calculator!$G$18),"—",ROUND(MAX((50*POWER(80,POWER(COS(PI()*MOD(Calculator!$B$32/Calculator!$F$18,1)),2)))/$C96,$C96/(50*POWER(80,POWER(COS(PI()*MOD(Calculator!$B$32/Calculator!$F$18,1)),2)))),2))</f>
        <v>1.28</v>
      </c>
      <c r="AJ96" s="94" t="n">
        <f aca="false">IF(OR(Calculator!$E$19&lt;&gt;"YES",Calculator!$B$32&lt;Calculator!$G$19),"—",ROUND(MAX((50*POWER(80,POWER(COS(PI()*MOD(Calculator!$B$32/Calculator!$F$19,1)),2)))/$C96,$C96/(50*POWER(80,POWER(COS(PI()*MOD(Calculator!$B$32/Calculator!$F$19,1)),2)))),2))</f>
        <v>1.22</v>
      </c>
      <c r="AK96" s="94" t="n">
        <f aca="false">IF(OR(Calculator!$E$20&lt;&gt;"YES",Calculator!$B$32&lt;Calculator!$G$20),"—",ROUND(MAX((50*POWER(80,POWER(COS(PI()*MOD(Calculator!$B$32/Calculator!$F$20,1)),2)))/$C96,$C96/(50*POWER(80,POWER(COS(PI()*MOD(Calculator!$B$32/Calculator!$F$20,1)),2)))),2))</f>
        <v>32.09</v>
      </c>
      <c r="AL96" s="94" t="str">
        <f aca="false">IF(OR(Calculator!$E$21&lt;&gt;"YES",Calculator!$B$32&lt;Calculator!$G$21),"—",ROUND(MAX((50*POWER(80,POWER(COS(PI()*MOD(Calculator!$B$32/Calculator!$F$21,1)),2)))/$C96,$C96/(50*POWER(80,POWER(COS(PI()*MOD(Calculator!$B$32/Calculator!$F$21,1)),2)))),2))</f>
        <v>—</v>
      </c>
      <c r="AM96" s="98" t="n">
        <f aca="false">IFERROR(ROUND((IF(ISNUMBER(AB96),AB96,0)+IF(ISNUMBER(AC96),AC96,0)+IF(ISNUMBER(AD96),AD96,0)+IF(ISNUMBER(AE96),AE96,0)+IF(ISNUMBER(AF96),AF96,0)+IF(ISNUMBER(AG96),AG96,0)+IF(ISNUMBER(AH96),AH96,0)+IF(ISNUMBER(AI96),AI96,0)+IF(ISNUMBER(AJ96),AJ96,0)+IF(ISNUMBER(AK96),AK96,0)+IF(ISNUMBER(AL96),AL96,0))/(IF(ISNUMBER(AB96),1,0)+IF(ISNUMBER(AC96),1,0)+IF(ISNUMBER(AD96),1,0)+IF(ISNUMBER(AE96),1,0)+IF(ISNUMBER(AF96),1,0)+IF(ISNUMBER(AG96),1,0)+IF(ISNUMBER(AH96),1,0)+IF(ISNUMBER(AI96),1,0)+IF(ISNUMBER(AJ96),1,0)+IF(ISNUMBER(AK96),1,0)+IF(ISNUMBER(AL96),1,0)),2),"")</f>
        <v>15.37</v>
      </c>
      <c r="AN96" s="99" t="str">
        <f aca="false">IF(OR(Calculator!$E$11&lt;&gt;"YES",Calculator!$B$33&lt;Calculator!$G$11),"—",ROUND(MAX((50*POWER(80,POWER(COS(PI()*MOD(Calculator!$B$33/Calculator!$F$11,1)),2)))/$C96,$C96/(50*POWER(80,POWER(COS(PI()*MOD(Calculator!$B$33/Calculator!$F$11,1)),2)))),2))</f>
        <v>—</v>
      </c>
      <c r="AO96" s="99" t="str">
        <f aca="false">IF(OR(Calculator!$E$12&lt;&gt;"YES",Calculator!$B$33&lt;Calculator!$G$12),"—",ROUND(MAX((50*POWER(80,POWER(COS(PI()*MOD(Calculator!$B$33/Calculator!$F$12,1)),2)))/$C96,$C96/(50*POWER(80,POWER(COS(PI()*MOD(Calculator!$B$33/Calculator!$F$12,1)),2)))),2))</f>
        <v>—</v>
      </c>
      <c r="AP96" s="99" t="str">
        <f aca="false">IF(OR(Calculator!$E$13&lt;&gt;"YES",Calculator!$B$33&lt;Calculator!$G$13),"—",ROUND(MAX((50*POWER(80,POWER(COS(PI()*MOD(Calculator!$B$33/Calculator!$F$13,1)),2)))/$C96,$C96/(50*POWER(80,POWER(COS(PI()*MOD(Calculator!$B$33/Calculator!$F$13,1)),2)))),2))</f>
        <v>—</v>
      </c>
      <c r="AQ96" s="99" t="n">
        <f aca="false">IF(OR(Calculator!$E$14&lt;&gt;"YES",Calculator!$B$33&lt;Calculator!$G$14),"—",ROUND(MAX((50*POWER(80,POWER(COS(PI()*MOD(Calculator!$B$33/Calculator!$F$14,1)),2)))/$C96,$C96/(50*POWER(80,POWER(COS(PI()*MOD(Calculator!$B$33/Calculator!$F$14,1)),2)))),2))</f>
        <v>1.17</v>
      </c>
      <c r="AR96" s="99" t="n">
        <f aca="false">IF(OR(Calculator!$E$15&lt;&gt;"YES",Calculator!$B$33&lt;Calculator!$G$15),"—",ROUND(MAX((50*POWER(80,POWER(COS(PI()*MOD(Calculator!$B$33/Calculator!$F$15,1)),2)))/$C96,$C96/(50*POWER(80,POWER(COS(PI()*MOD(Calculator!$B$33/Calculator!$F$15,1)),2)))),2))</f>
        <v>10.9</v>
      </c>
      <c r="AS96" s="99" t="n">
        <f aca="false">IF(OR(Calculator!$E$16&lt;&gt;"YES",Calculator!$B$33&lt;Calculator!$G$16),"—",ROUND(MAX((50*POWER(80,POWER(COS(PI()*MOD(Calculator!$B$33/Calculator!$F$16,1)),2)))/$C96,$C96/(50*POWER(80,POWER(COS(PI()*MOD(Calculator!$B$33/Calculator!$F$16,1)),2)))),2))</f>
        <v>3.98</v>
      </c>
      <c r="AT96" s="99" t="n">
        <f aca="false">IF(OR(Calculator!$E$17&lt;&gt;"YES",Calculator!$B$33&lt;Calculator!$G$17),"—",ROUND(MAX((50*POWER(80,POWER(COS(PI()*MOD(Calculator!$B$33/Calculator!$F$17,1)),2)))/$C96,$C96/(50*POWER(80,POWER(COS(PI()*MOD(Calculator!$B$33/Calculator!$F$17,1)),2)))),2))</f>
        <v>12.65</v>
      </c>
      <c r="AU96" s="99" t="n">
        <f aca="false">IF(OR(Calculator!$E$18&lt;&gt;"YES",Calculator!$B$33&lt;Calculator!$G$18),"—",ROUND(MAX((50*POWER(80,POWER(COS(PI()*MOD(Calculator!$B$33/Calculator!$F$18,1)),2)))/$C96,$C96/(50*POWER(80,POWER(COS(PI()*MOD(Calculator!$B$33/Calculator!$F$18,1)),2)))),2))</f>
        <v>17.11</v>
      </c>
      <c r="AV96" s="99" t="n">
        <f aca="false">IF(OR(Calculator!$E$19&lt;&gt;"YES",Calculator!$B$33&lt;Calculator!$G$19),"—",ROUND(MAX((50*POWER(80,POWER(COS(PI()*MOD(Calculator!$B$33/Calculator!$F$19,1)),2)))/$C96,$C96/(50*POWER(80,POWER(COS(PI()*MOD(Calculator!$B$33/Calculator!$F$19,1)),2)))),2))</f>
        <v>2.08</v>
      </c>
      <c r="AW96" s="99" t="n">
        <f aca="false">IF(OR(Calculator!$E$20&lt;&gt;"YES",Calculator!$B$33&lt;Calculator!$G$20),"—",ROUND(MAX((50*POWER(80,POWER(COS(PI()*MOD(Calculator!$B$33/Calculator!$F$20,1)),2)))/$C96,$C96/(50*POWER(80,POWER(COS(PI()*MOD(Calculator!$B$33/Calculator!$F$20,1)),2)))),2))</f>
        <v>26.11</v>
      </c>
      <c r="AX96" s="99" t="str">
        <f aca="false">IF(OR(Calculator!$E$21&lt;&gt;"YES",Calculator!$B$33&lt;Calculator!$G$21),"—",ROUND(MAX((50*POWER(80,POWER(COS(PI()*MOD(Calculator!$B$33/Calculator!$F$21,1)),2)))/$C96,$C96/(50*POWER(80,POWER(COS(PI()*MOD(Calculator!$B$33/Calculator!$F$21,1)),2)))),2))</f>
        <v>—</v>
      </c>
      <c r="AY96" s="98" t="n">
        <f aca="false">IFERROR(ROUND((IF(ISNUMBER(AN96),AN96,0)+IF(ISNUMBER(AO96),AO96,0)+IF(ISNUMBER(AP96),AP96,0)+IF(ISNUMBER(AQ96),AQ96,0)+IF(ISNUMBER(AR96),AR96,0)+IF(ISNUMBER(AS96),AS96,0)+IF(ISNUMBER(AT96),AT96,0)+IF(ISNUMBER(AU96),AU96,0)+IF(ISNUMBER(AV96),AV96,0)+IF(ISNUMBER(AW96),AW96,0)+IF(ISNUMBER(AX96),AX96,0))/(IF(ISNUMBER(AN96),1,0)+IF(ISNUMBER(AO96),1,0)+IF(ISNUMBER(AP96),1,0)+IF(ISNUMBER(AQ96),1,0)+IF(ISNUMBER(AR96),1,0)+IF(ISNUMBER(AS96),1,0)+IF(ISNUMBER(AT96),1,0)+IF(ISNUMBER(AU96),1,0)+IF(ISNUMBER(AV96),1,0)+IF(ISNUMBER(AW96),1,0)+IF(ISNUMBER(AX96),1,0)),2),"")</f>
        <v>10.57</v>
      </c>
      <c r="AZ96" s="99" t="str">
        <f aca="false">IF(OR(Calculator!$E$11&lt;&gt;"YES",Calculator!$B$34&lt;Calculator!$G$11),"—",ROUND(MAX((50*POWER(80,POWER(COS(PI()*MOD(Calculator!$B$34/Calculator!$F$11,1)),2)))/$C96,$C96/(50*POWER(80,POWER(COS(PI()*MOD(Calculator!$B$34/Calculator!$F$11,1)),2)))),2))</f>
        <v>—</v>
      </c>
      <c r="BA96" s="99" t="str">
        <f aca="false">IF(OR(Calculator!$E$12&lt;&gt;"YES",Calculator!$B$34&lt;Calculator!$G$12),"—",ROUND(MAX((50*POWER(80,POWER(COS(PI()*MOD(Calculator!$B$34/Calculator!$F$12,1)),2)))/$C96,$C96/(50*POWER(80,POWER(COS(PI()*MOD(Calculator!$B$34/Calculator!$F$12,1)),2)))),2))</f>
        <v>—</v>
      </c>
      <c r="BB96" s="99" t="str">
        <f aca="false">IF(OR(Calculator!$E$13&lt;&gt;"YES",Calculator!$B$34&lt;Calculator!$G$13),"—",ROUND(MAX((50*POWER(80,POWER(COS(PI()*MOD(Calculator!$B$34/Calculator!$F$13,1)),2)))/$C96,$C96/(50*POWER(80,POWER(COS(PI()*MOD(Calculator!$B$34/Calculator!$F$13,1)),2)))),2))</f>
        <v>—</v>
      </c>
      <c r="BC96" s="99" t="n">
        <f aca="false">IF(OR(Calculator!$E$14&lt;&gt;"YES",Calculator!$B$34&lt;Calculator!$G$14),"—",ROUND(MAX((50*POWER(80,POWER(COS(PI()*MOD(Calculator!$B$34/Calculator!$F$14,1)),2)))/$C96,$C96/(50*POWER(80,POWER(COS(PI()*MOD(Calculator!$B$34/Calculator!$F$14,1)),2)))),2))</f>
        <v>1.15</v>
      </c>
      <c r="BD96" s="99" t="n">
        <f aca="false">IF(OR(Calculator!$E$15&lt;&gt;"YES",Calculator!$B$34&lt;Calculator!$G$15),"—",ROUND(MAX((50*POWER(80,POWER(COS(PI()*MOD(Calculator!$B$34/Calculator!$F$15,1)),2)))/$C96,$C96/(50*POWER(80,POWER(COS(PI()*MOD(Calculator!$B$34/Calculator!$F$15,1)),2)))),2))</f>
        <v>14.08</v>
      </c>
      <c r="BE96" s="99" t="n">
        <f aca="false">IF(OR(Calculator!$E$16&lt;&gt;"YES",Calculator!$B$34&lt;Calculator!$G$16),"—",ROUND(MAX((50*POWER(80,POWER(COS(PI()*MOD(Calculator!$B$34/Calculator!$F$16,1)),2)))/$C96,$C96/(50*POWER(80,POWER(COS(PI()*MOD(Calculator!$B$34/Calculator!$F$16,1)),2)))),2))</f>
        <v>4.75</v>
      </c>
      <c r="BF96" s="99" t="n">
        <f aca="false">IF(OR(Calculator!$E$17&lt;&gt;"YES",Calculator!$B$34&lt;Calculator!$G$17),"—",ROUND(MAX((50*POWER(80,POWER(COS(PI()*MOD(Calculator!$B$34/Calculator!$F$17,1)),2)))/$C96,$C96/(50*POWER(80,POWER(COS(PI()*MOD(Calculator!$B$34/Calculator!$F$17,1)),2)))),2))</f>
        <v>2.45</v>
      </c>
      <c r="BG96" s="99" t="n">
        <f aca="false">IF(OR(Calculator!$E$18&lt;&gt;"YES",Calculator!$B$34&lt;Calculator!$G$18),"—",ROUND(MAX((50*POWER(80,POWER(COS(PI()*MOD(Calculator!$B$34/Calculator!$F$18,1)),2)))/$C96,$C96/(50*POWER(80,POWER(COS(PI()*MOD(Calculator!$B$34/Calculator!$F$18,1)),2)))),2))</f>
        <v>23.15</v>
      </c>
      <c r="BH96" s="99" t="n">
        <f aca="false">IF(OR(Calculator!$E$19&lt;&gt;"YES",Calculator!$B$34&lt;Calculator!$G$19),"—",ROUND(MAX((50*POWER(80,POWER(COS(PI()*MOD(Calculator!$B$34/Calculator!$F$19,1)),2)))/$C96,$C96/(50*POWER(80,POWER(COS(PI()*MOD(Calculator!$B$34/Calculator!$F$19,1)),2)))),2))</f>
        <v>25.75</v>
      </c>
      <c r="BI96" s="99" t="n">
        <f aca="false">IF(OR(Calculator!$E$20&lt;&gt;"YES",Calculator!$B$34&lt;Calculator!$G$20),"—",ROUND(MAX((50*POWER(80,POWER(COS(PI()*MOD(Calculator!$B$34/Calculator!$F$20,1)),2)))/$C96,$C96/(50*POWER(80,POWER(COS(PI()*MOD(Calculator!$B$34/Calculator!$F$20,1)),2)))),2))</f>
        <v>15.36</v>
      </c>
      <c r="BJ96" s="99" t="str">
        <f aca="false">IF(OR(Calculator!$E$21&lt;&gt;"YES",Calculator!$B$34&lt;Calculator!$G$21),"—",ROUND(MAX((50*POWER(80,POWER(COS(PI()*MOD(Calculator!$B$34/Calculator!$F$21,1)),2)))/$C96,$C96/(50*POWER(80,POWER(COS(PI()*MOD(Calculator!$B$34/Calculator!$F$21,1)),2)))),2))</f>
        <v>—</v>
      </c>
      <c r="BK96" s="98" t="n">
        <f aca="false">IFERROR(ROUND((IF(ISNUMBER(AZ96),AZ96,0)+IF(ISNUMBER(BA96),BA96,0)+IF(ISNUMBER(BB96),BB96,0)+IF(ISNUMBER(BC96),BC96,0)+IF(ISNUMBER(BD96),BD96,0)+IF(ISNUMBER(BE96),BE96,0)+IF(ISNUMBER(BF96),BF96,0)+IF(ISNUMBER(BG96),BG96,0)+IF(ISNUMBER(BH96),BH96,0)+IF(ISNUMBER(BI96),BI96,0)+IF(ISNUMBER(BJ96),BJ96,0))/(IF(ISNUMBER(AZ96),1,0)+IF(ISNUMBER(BA96),1,0)+IF(ISNUMBER(BB96),1,0)+IF(ISNUMBER(BC96),1,0)+IF(ISNUMBER(BD96),1,0)+IF(ISNUMBER(BE96),1,0)+IF(ISNUMBER(BF96),1,0)+IF(ISNUMBER(BG96),1,0)+IF(ISNUMBER(BH96),1,0)+IF(ISNUMBER(BI96),1,0)+IF(ISNUMBER(BJ96),1,0)),2),"")</f>
        <v>12.38</v>
      </c>
    </row>
    <row r="97" customFormat="false" ht="15" hidden="false" customHeight="false" outlineLevel="0" collapsed="false">
      <c r="A97" s="74" t="s">
        <v>148</v>
      </c>
      <c r="B97" s="108" t="s">
        <v>86</v>
      </c>
      <c r="C97" s="74" t="n">
        <v>3250</v>
      </c>
      <c r="D97" s="74" t="str">
        <f aca="false">IF(OR(Calculator!$E$11&lt;&gt;"YES",Calculator!$B$30&lt;Calculator!$G$11),"—",ROUND(MAX((50*POWER(80,POWER(COS(PI()*MOD(Calculator!$B$30/Calculator!$F$11,1)),2)))/$C97,$C97/(50*POWER(80,POWER(COS(PI()*MOD(Calculator!$B$30/Calculator!$F$11,1)),2)))),2))</f>
        <v>—</v>
      </c>
      <c r="E97" s="74" t="str">
        <f aca="false">IF(OR(Calculator!$E$12&lt;&gt;"YES",Calculator!$B$30&lt;Calculator!$G$12),"—",ROUND(MAX((50*POWER(80,POWER(COS(PI()*MOD(Calculator!$B$30/Calculator!$F$12,1)),2)))/$C97,$C97/(50*POWER(80,POWER(COS(PI()*MOD(Calculator!$B$30/Calculator!$F$12,1)),2)))),2))</f>
        <v>—</v>
      </c>
      <c r="F97" s="74" t="str">
        <f aca="false">IF(OR(Calculator!$E$13&lt;&gt;"YES",Calculator!$B$30&lt;Calculator!$G$13),"—",ROUND(MAX((50*POWER(80,POWER(COS(PI()*MOD(Calculator!$B$30/Calculator!$F$13,1)),2)))/$C97,$C97/(50*POWER(80,POWER(COS(PI()*MOD(Calculator!$B$30/Calculator!$F$13,1)),2)))),2))</f>
        <v>—</v>
      </c>
      <c r="G97" s="74" t="n">
        <f aca="false">IF(OR(Calculator!$E$14&lt;&gt;"YES",Calculator!$B$30&lt;Calculator!$G$14),"—",ROUND(MAX((50*POWER(80,POWER(COS(PI()*MOD(Calculator!$B$30/Calculator!$F$14,1)),2)))/$C97,$C97/(50*POWER(80,POWER(COS(PI()*MOD(Calculator!$B$30/Calculator!$F$14,1)),2)))),2))</f>
        <v>29.37</v>
      </c>
      <c r="H97" s="74" t="n">
        <f aca="false">IF(OR(Calculator!$E$15&lt;&gt;"YES",Calculator!$B$30&lt;Calculator!$G$15),"—",ROUND(MAX((50*POWER(80,POWER(COS(PI()*MOD(Calculator!$B$30/Calculator!$F$15,1)),2)))/$C97,$C97/(50*POWER(80,POWER(COS(PI()*MOD(Calculator!$B$30/Calculator!$F$15,1)),2)))),2))</f>
        <v>8.52</v>
      </c>
      <c r="I97" s="74" t="n">
        <f aca="false">IF(OR(Calculator!$E$16&lt;&gt;"YES",Calculator!$B$30&lt;Calculator!$G$16),"—",ROUND(MAX((50*POWER(80,POWER(COS(PI()*MOD(Calculator!$B$30/Calculator!$F$16,1)),2)))/$C97,$C97/(50*POWER(80,POWER(COS(PI()*MOD(Calculator!$B$30/Calculator!$F$16,1)),2)))),2))</f>
        <v>5.82</v>
      </c>
      <c r="J97" s="74" t="n">
        <f aca="false">IF(OR(Calculator!$E$17&lt;&gt;"YES",Calculator!$B$30&lt;Calculator!$G$17),"—",ROUND(MAX((50*POWER(80,POWER(COS(PI()*MOD(Calculator!$B$30/Calculator!$F$17,1)),2)))/$C97,$C97/(50*POWER(80,POWER(COS(PI()*MOD(Calculator!$B$30/Calculator!$F$17,1)),2)))),2))</f>
        <v>16.34</v>
      </c>
      <c r="K97" s="74" t="n">
        <f aca="false">IF(OR(Calculator!$E$18&lt;&gt;"YES",Calculator!$B$30&lt;Calculator!$G$18),"—",ROUND(MAX((50*POWER(80,POWER(COS(PI()*MOD(Calculator!$B$30/Calculator!$F$18,1)),2)))/$C97,$C97/(50*POWER(80,POWER(COS(PI()*MOD(Calculator!$B$30/Calculator!$F$18,1)),2)))),2))</f>
        <v>2.33</v>
      </c>
      <c r="L97" s="74" t="n">
        <f aca="false">IF(OR(Calculator!$E$19&lt;&gt;"YES",Calculator!$B$30&lt;Calculator!$G$19),"—",ROUND(MAX((50*POWER(80,POWER(COS(PI()*MOD(Calculator!$B$30/Calculator!$F$19,1)),2)))/$C97,$C97/(50*POWER(80,POWER(COS(PI()*MOD(Calculator!$B$30/Calculator!$F$19,1)),2)))),2))</f>
        <v>4.14</v>
      </c>
      <c r="M97" s="74" t="n">
        <f aca="false">IF(OR(Calculator!$E$20&lt;&gt;"YES",Calculator!$B$30&lt;Calculator!$G$20),"—",ROUND(MAX((50*POWER(80,POWER(COS(PI()*MOD(Calculator!$B$30/Calculator!$F$20,1)),2)))/$C97,$C97/(50*POWER(80,POWER(COS(PI()*MOD(Calculator!$B$30/Calculator!$F$20,1)),2)))),2))</f>
        <v>25.67</v>
      </c>
      <c r="N97" s="74" t="str">
        <f aca="false">IF(OR(Calculator!$E$21&lt;&gt;"YES",Calculator!$B$30&lt;Calculator!$G$21),"—",ROUND(MAX((50*POWER(80,POWER(COS(PI()*MOD(Calculator!$B$30/Calculator!$F$21,1)),2)))/$C97,$C97/(50*POWER(80,POWER(COS(PI()*MOD(Calculator!$B$30/Calculator!$F$21,1)),2)))),2))</f>
        <v>—</v>
      </c>
      <c r="O97" s="107" t="n">
        <f aca="false">IFERROR(ROUND((IF(ISNUMBER(D97),D97,0)+IF(ISNUMBER(E97),E97,0)+IF(ISNUMBER(F97),F97,0)+IF(ISNUMBER(G97),G97,0)+IF(ISNUMBER(H97),H97,0)+IF(ISNUMBER(I97),I97,0)+IF(ISNUMBER(J97),J97,0)+IF(ISNUMBER(K97),K97,0)+IF(ISNUMBER(L97),L97,0)+IF(ISNUMBER(M97),M97,0)+IF(ISNUMBER(N97),N97,0))/(IF(ISNUMBER(D97),1,0)+IF(ISNUMBER(E97),1,0)+IF(ISNUMBER(F97),1,0)+IF(ISNUMBER(G97),1,0)+IF(ISNUMBER(H97),1,0)+IF(ISNUMBER(I97),1,0)+IF(ISNUMBER(J97),1,0)+IF(ISNUMBER(K97),1,0)+IF(ISNUMBER(L97),1,0)+IF(ISNUMBER(M97),1,0)+IF(ISNUMBER(N97),1,0)),2),"")</f>
        <v>13.17</v>
      </c>
      <c r="P97" s="74" t="str">
        <f aca="false">IF(OR(Calculator!$E$11&lt;&gt;"YES",Calculator!$B$31&lt;Calculator!$G$11),"—",ROUND(MAX((50*POWER(80,POWER(COS(PI()*MOD(Calculator!$B$31/Calculator!$F$11,1)),2)))/$C97,$C97/(50*POWER(80,POWER(COS(PI()*MOD(Calculator!$B$31/Calculator!$F$11,1)),2)))),2))</f>
        <v>—</v>
      </c>
      <c r="Q97" s="74" t="str">
        <f aca="false">IF(OR(Calculator!$E$12&lt;&gt;"YES",Calculator!$B$31&lt;Calculator!$G$12),"—",ROUND(MAX((50*POWER(80,POWER(COS(PI()*MOD(Calculator!$B$31/Calculator!$F$12,1)),2)))/$C97,$C97/(50*POWER(80,POWER(COS(PI()*MOD(Calculator!$B$31/Calculator!$F$12,1)),2)))),2))</f>
        <v>—</v>
      </c>
      <c r="R97" s="74" t="str">
        <f aca="false">IF(OR(Calculator!$E$13&lt;&gt;"YES",Calculator!$B$31&lt;Calculator!$G$13),"—",ROUND(MAX((50*POWER(80,POWER(COS(PI()*MOD(Calculator!$B$31/Calculator!$F$13,1)),2)))/$C97,$C97/(50*POWER(80,POWER(COS(PI()*MOD(Calculator!$B$31/Calculator!$F$13,1)),2)))),2))</f>
        <v>—</v>
      </c>
      <c r="S97" s="74" t="n">
        <f aca="false">IF(OR(Calculator!$E$14&lt;&gt;"YES",Calculator!$B$31&lt;Calculator!$G$14),"—",ROUND(MAX((50*POWER(80,POWER(COS(PI()*MOD(Calculator!$B$31/Calculator!$F$14,1)),2)))/$C97,$C97/(50*POWER(80,POWER(COS(PI()*MOD(Calculator!$B$31/Calculator!$F$14,1)),2)))),2))</f>
        <v>30.07</v>
      </c>
      <c r="T97" s="74" t="n">
        <f aca="false">IF(OR(Calculator!$E$15&lt;&gt;"YES",Calculator!$B$31&lt;Calculator!$G$15),"—",ROUND(MAX((50*POWER(80,POWER(COS(PI()*MOD(Calculator!$B$31/Calculator!$F$15,1)),2)))/$C97,$C97/(50*POWER(80,POWER(COS(PI()*MOD(Calculator!$B$31/Calculator!$F$15,1)),2)))),2))</f>
        <v>18.3</v>
      </c>
      <c r="U97" s="74" t="n">
        <f aca="false">IF(OR(Calculator!$E$16&lt;&gt;"YES",Calculator!$B$31&lt;Calculator!$G$16),"—",ROUND(MAX((50*POWER(80,POWER(COS(PI()*MOD(Calculator!$B$31/Calculator!$F$16,1)),2)))/$C97,$C97/(50*POWER(80,POWER(COS(PI()*MOD(Calculator!$B$31/Calculator!$F$16,1)),2)))),2))</f>
        <v>6.97</v>
      </c>
      <c r="V97" s="74" t="n">
        <f aca="false">IF(OR(Calculator!$E$17&lt;&gt;"YES",Calculator!$B$31&lt;Calculator!$G$17),"—",ROUND(MAX((50*POWER(80,POWER(COS(PI()*MOD(Calculator!$B$31/Calculator!$F$17,1)),2)))/$C97,$C97/(50*POWER(80,POWER(COS(PI()*MOD(Calculator!$B$31/Calculator!$F$17,1)),2)))),2))</f>
        <v>2.01</v>
      </c>
      <c r="W97" s="74" t="n">
        <f aca="false">IF(OR(Calculator!$E$18&lt;&gt;"YES",Calculator!$B$31&lt;Calculator!$G$18),"—",ROUND(MAX((50*POWER(80,POWER(COS(PI()*MOD(Calculator!$B$31/Calculator!$F$18,1)),2)))/$C97,$C97/(50*POWER(80,POWER(COS(PI()*MOD(Calculator!$B$31/Calculator!$F$18,1)),2)))),2))</f>
        <v>1.76</v>
      </c>
      <c r="X97" s="74" t="n">
        <f aca="false">IF(OR(Calculator!$E$19&lt;&gt;"YES",Calculator!$B$31&lt;Calculator!$G$19),"—",ROUND(MAX((50*POWER(80,POWER(COS(PI()*MOD(Calculator!$B$31/Calculator!$F$19,1)),2)))/$C97,$C97/(50*POWER(80,POWER(COS(PI()*MOD(Calculator!$B$31/Calculator!$F$19,1)),2)))),2))</f>
        <v>12.08</v>
      </c>
      <c r="Y97" s="74" t="n">
        <f aca="false">IF(OR(Calculator!$E$20&lt;&gt;"YES",Calculator!$B$31&lt;Calculator!$G$20),"—",ROUND(MAX((50*POWER(80,POWER(COS(PI()*MOD(Calculator!$B$31/Calculator!$F$20,1)),2)))/$C97,$C97/(50*POWER(80,POWER(COS(PI()*MOD(Calculator!$B$31/Calculator!$F$20,1)),2)))),2))</f>
        <v>39.87</v>
      </c>
      <c r="Z97" s="74" t="str">
        <f aca="false">IF(OR(Calculator!$E$21&lt;&gt;"YES",Calculator!$B$31&lt;Calculator!$G$21),"—",ROUND(MAX((50*POWER(80,POWER(COS(PI()*MOD(Calculator!$B$31/Calculator!$F$21,1)),2)))/$C97,$C97/(50*POWER(80,POWER(COS(PI()*MOD(Calculator!$B$31/Calculator!$F$21,1)),2)))),2))</f>
        <v>—</v>
      </c>
      <c r="AA97" s="107" t="n">
        <f aca="false">IFERROR(ROUND((IF(ISNUMBER(P97),P97,0)+IF(ISNUMBER(Q97),Q97,0)+IF(ISNUMBER(R97),R97,0)+IF(ISNUMBER(S97),S97,0)+IF(ISNUMBER(T97),T97,0)+IF(ISNUMBER(U97),U97,0)+IF(ISNUMBER(V97),V97,0)+IF(ISNUMBER(W97),W97,0)+IF(ISNUMBER(X97),X97,0)+IF(ISNUMBER(Y97),Y97,0)+IF(ISNUMBER(Z97),Z97,0))/(IF(ISNUMBER(P97),1,0)+IF(ISNUMBER(Q97),1,0)+IF(ISNUMBER(R97),1,0)+IF(ISNUMBER(S97),1,0)+IF(ISNUMBER(T97),1,0)+IF(ISNUMBER(U97),1,0)+IF(ISNUMBER(V97),1,0)+IF(ISNUMBER(W97),1,0)+IF(ISNUMBER(X97),1,0)+IF(ISNUMBER(Y97),1,0)+IF(ISNUMBER(Z97),1,0)),2),"")</f>
        <v>15.87</v>
      </c>
      <c r="AB97" s="74" t="str">
        <f aca="false">IF(OR(Calculator!$E$11&lt;&gt;"YES",Calculator!$B$32&lt;Calculator!$G$11),"—",ROUND(MAX((50*POWER(80,POWER(COS(PI()*MOD(Calculator!$B$32/Calculator!$F$11,1)),2)))/$C97,$C97/(50*POWER(80,POWER(COS(PI()*MOD(Calculator!$B$32/Calculator!$F$11,1)),2)))),2))</f>
        <v>—</v>
      </c>
      <c r="AC97" s="74" t="str">
        <f aca="false">IF(OR(Calculator!$E$12&lt;&gt;"YES",Calculator!$B$32&lt;Calculator!$G$12),"—",ROUND(MAX((50*POWER(80,POWER(COS(PI()*MOD(Calculator!$B$32/Calculator!$F$12,1)),2)))/$C97,$C97/(50*POWER(80,POWER(COS(PI()*MOD(Calculator!$B$32/Calculator!$F$12,1)),2)))),2))</f>
        <v>—</v>
      </c>
      <c r="AD97" s="74" t="str">
        <f aca="false">IF(OR(Calculator!$E$13&lt;&gt;"YES",Calculator!$B$32&lt;Calculator!$G$13),"—",ROUND(MAX((50*POWER(80,POWER(COS(PI()*MOD(Calculator!$B$32/Calculator!$F$13,1)),2)))/$C97,$C97/(50*POWER(80,POWER(COS(PI()*MOD(Calculator!$B$32/Calculator!$F$13,1)),2)))),2))</f>
        <v>—</v>
      </c>
      <c r="AE97" s="74" t="n">
        <f aca="false">IF(OR(Calculator!$E$14&lt;&gt;"YES",Calculator!$B$32&lt;Calculator!$G$14),"—",ROUND(MAX((50*POWER(80,POWER(COS(PI()*MOD(Calculator!$B$32/Calculator!$F$14,1)),2)))/$C97,$C97/(50*POWER(80,POWER(COS(PI()*MOD(Calculator!$B$32/Calculator!$F$14,1)),2)))),2))</f>
        <v>18.99</v>
      </c>
      <c r="AF97" s="74" t="n">
        <f aca="false">IF(OR(Calculator!$E$15&lt;&gt;"YES",Calculator!$B$32&lt;Calculator!$G$15),"—",ROUND(MAX((50*POWER(80,POWER(COS(PI()*MOD(Calculator!$B$32/Calculator!$F$15,1)),2)))/$C97,$C97/(50*POWER(80,POWER(COS(PI()*MOD(Calculator!$B$32/Calculator!$F$15,1)),2)))),2))</f>
        <v>12.28</v>
      </c>
      <c r="AG97" s="74" t="n">
        <f aca="false">IF(OR(Calculator!$E$16&lt;&gt;"YES",Calculator!$B$32&lt;Calculator!$G$16),"—",ROUND(MAX((50*POWER(80,POWER(COS(PI()*MOD(Calculator!$B$32/Calculator!$F$16,1)),2)))/$C97,$C97/(50*POWER(80,POWER(COS(PI()*MOD(Calculator!$B$32/Calculator!$F$16,1)),2)))),2))</f>
        <v>41.44</v>
      </c>
      <c r="AH97" s="74" t="n">
        <f aca="false">IF(OR(Calculator!$E$17&lt;&gt;"YES",Calculator!$B$32&lt;Calculator!$G$17),"—",ROUND(MAX((50*POWER(80,POWER(COS(PI()*MOD(Calculator!$B$32/Calculator!$F$17,1)),2)))/$C97,$C97/(50*POWER(80,POWER(COS(PI()*MOD(Calculator!$B$32/Calculator!$F$17,1)),2)))),2))</f>
        <v>1.41</v>
      </c>
      <c r="AI97" s="74" t="n">
        <f aca="false">IF(OR(Calculator!$E$18&lt;&gt;"YES",Calculator!$B$32&lt;Calculator!$G$18),"—",ROUND(MAX((50*POWER(80,POWER(COS(PI()*MOD(Calculator!$B$32/Calculator!$F$18,1)),2)))/$C97,$C97/(50*POWER(80,POWER(COS(PI()*MOD(Calculator!$B$32/Calculator!$F$18,1)),2)))),2))</f>
        <v>1.3</v>
      </c>
      <c r="AJ97" s="74" t="n">
        <f aca="false">IF(OR(Calculator!$E$19&lt;&gt;"YES",Calculator!$B$32&lt;Calculator!$G$19),"—",ROUND(MAX((50*POWER(80,POWER(COS(PI()*MOD(Calculator!$B$32/Calculator!$F$19,1)),2)))/$C97,$C97/(50*POWER(80,POWER(COS(PI()*MOD(Calculator!$B$32/Calculator!$F$19,1)),2)))),2))</f>
        <v>1.24</v>
      </c>
      <c r="AK97" s="74" t="n">
        <f aca="false">IF(OR(Calculator!$E$20&lt;&gt;"YES",Calculator!$B$32&lt;Calculator!$G$20),"—",ROUND(MAX((50*POWER(80,POWER(COS(PI()*MOD(Calculator!$B$32/Calculator!$F$20,1)),2)))/$C97,$C97/(50*POWER(80,POWER(COS(PI()*MOD(Calculator!$B$32/Calculator!$F$20,1)),2)))),2))</f>
        <v>32.59</v>
      </c>
      <c r="AL97" s="74" t="str">
        <f aca="false">IF(OR(Calculator!$E$21&lt;&gt;"YES",Calculator!$B$32&lt;Calculator!$G$21),"—",ROUND(MAX((50*POWER(80,POWER(COS(PI()*MOD(Calculator!$B$32/Calculator!$F$21,1)),2)))/$C97,$C97/(50*POWER(80,POWER(COS(PI()*MOD(Calculator!$B$32/Calculator!$F$21,1)),2)))),2))</f>
        <v>—</v>
      </c>
      <c r="AM97" s="101" t="n">
        <f aca="false">IFERROR(ROUND((IF(ISNUMBER(AB97),AB97,0)+IF(ISNUMBER(AC97),AC97,0)+IF(ISNUMBER(AD97),AD97,0)+IF(ISNUMBER(AE97),AE97,0)+IF(ISNUMBER(AF97),AF97,0)+IF(ISNUMBER(AG97),AG97,0)+IF(ISNUMBER(AH97),AH97,0)+IF(ISNUMBER(AI97),AI97,0)+IF(ISNUMBER(AJ97),AJ97,0)+IF(ISNUMBER(AK97),AK97,0)+IF(ISNUMBER(AL97),AL97,0))/(IF(ISNUMBER(AB97),1,0)+IF(ISNUMBER(AC97),1,0)+IF(ISNUMBER(AD97),1,0)+IF(ISNUMBER(AE97),1,0)+IF(ISNUMBER(AF97),1,0)+IF(ISNUMBER(AG97),1,0)+IF(ISNUMBER(AH97),1,0)+IF(ISNUMBER(AI97),1,0)+IF(ISNUMBER(AJ97),1,0)+IF(ISNUMBER(AK97),1,0)+IF(ISNUMBER(AL97),1,0)),2),"")</f>
        <v>15.61</v>
      </c>
      <c r="AN97" s="102" t="str">
        <f aca="false">IF(OR(Calculator!$E$11&lt;&gt;"YES",Calculator!$B$33&lt;Calculator!$G$11),"—",ROUND(MAX((50*POWER(80,POWER(COS(PI()*MOD(Calculator!$B$33/Calculator!$F$11,1)),2)))/$C97,$C97/(50*POWER(80,POWER(COS(PI()*MOD(Calculator!$B$33/Calculator!$F$11,1)),2)))),2))</f>
        <v>—</v>
      </c>
      <c r="AO97" s="102" t="str">
        <f aca="false">IF(OR(Calculator!$E$12&lt;&gt;"YES",Calculator!$B$33&lt;Calculator!$G$12),"—",ROUND(MAX((50*POWER(80,POWER(COS(PI()*MOD(Calculator!$B$33/Calculator!$F$12,1)),2)))/$C97,$C97/(50*POWER(80,POWER(COS(PI()*MOD(Calculator!$B$33/Calculator!$F$12,1)),2)))),2))</f>
        <v>—</v>
      </c>
      <c r="AP97" s="102" t="str">
        <f aca="false">IF(OR(Calculator!$E$13&lt;&gt;"YES",Calculator!$B$33&lt;Calculator!$G$13),"—",ROUND(MAX((50*POWER(80,POWER(COS(PI()*MOD(Calculator!$B$33/Calculator!$F$13,1)),2)))/$C97,$C97/(50*POWER(80,POWER(COS(PI()*MOD(Calculator!$B$33/Calculator!$F$13,1)),2)))),2))</f>
        <v>—</v>
      </c>
      <c r="AQ97" s="102" t="n">
        <f aca="false">IF(OR(Calculator!$E$14&lt;&gt;"YES",Calculator!$B$33&lt;Calculator!$G$14),"—",ROUND(MAX((50*POWER(80,POWER(COS(PI()*MOD(Calculator!$B$33/Calculator!$F$14,1)),2)))/$C97,$C97/(50*POWER(80,POWER(COS(PI()*MOD(Calculator!$B$33/Calculator!$F$14,1)),2)))),2))</f>
        <v>1.19</v>
      </c>
      <c r="AR97" s="102" t="n">
        <f aca="false">IF(OR(Calculator!$E$15&lt;&gt;"YES",Calculator!$B$33&lt;Calculator!$G$15),"—",ROUND(MAX((50*POWER(80,POWER(COS(PI()*MOD(Calculator!$B$33/Calculator!$F$15,1)),2)))/$C97,$C97/(50*POWER(80,POWER(COS(PI()*MOD(Calculator!$B$33/Calculator!$F$15,1)),2)))),2))</f>
        <v>11.07</v>
      </c>
      <c r="AS97" s="102" t="n">
        <f aca="false">IF(OR(Calculator!$E$16&lt;&gt;"YES",Calculator!$B$33&lt;Calculator!$G$16),"—",ROUND(MAX((50*POWER(80,POWER(COS(PI()*MOD(Calculator!$B$33/Calculator!$F$16,1)),2)))/$C97,$C97/(50*POWER(80,POWER(COS(PI()*MOD(Calculator!$B$33/Calculator!$F$16,1)),2)))),2))</f>
        <v>4.05</v>
      </c>
      <c r="AT97" s="102" t="n">
        <f aca="false">IF(OR(Calculator!$E$17&lt;&gt;"YES",Calculator!$B$33&lt;Calculator!$G$17),"—",ROUND(MAX((50*POWER(80,POWER(COS(PI()*MOD(Calculator!$B$33/Calculator!$F$17,1)),2)))/$C97,$C97/(50*POWER(80,POWER(COS(PI()*MOD(Calculator!$B$33/Calculator!$F$17,1)),2)))),2))</f>
        <v>12.84</v>
      </c>
      <c r="AU97" s="102" t="n">
        <f aca="false">IF(OR(Calculator!$E$18&lt;&gt;"YES",Calculator!$B$33&lt;Calculator!$G$18),"—",ROUND(MAX((50*POWER(80,POWER(COS(PI()*MOD(Calculator!$B$33/Calculator!$F$18,1)),2)))/$C97,$C97/(50*POWER(80,POWER(COS(PI()*MOD(Calculator!$B$33/Calculator!$F$18,1)),2)))),2))</f>
        <v>17.38</v>
      </c>
      <c r="AV97" s="102" t="n">
        <f aca="false">IF(OR(Calculator!$E$19&lt;&gt;"YES",Calculator!$B$33&lt;Calculator!$G$19),"—",ROUND(MAX((50*POWER(80,POWER(COS(PI()*MOD(Calculator!$B$33/Calculator!$F$19,1)),2)))/$C97,$C97/(50*POWER(80,POWER(COS(PI()*MOD(Calculator!$B$33/Calculator!$F$19,1)),2)))),2))</f>
        <v>2.12</v>
      </c>
      <c r="AW97" s="102" t="n">
        <f aca="false">IF(OR(Calculator!$E$20&lt;&gt;"YES",Calculator!$B$33&lt;Calculator!$G$20),"—",ROUND(MAX((50*POWER(80,POWER(COS(PI()*MOD(Calculator!$B$33/Calculator!$F$20,1)),2)))/$C97,$C97/(50*POWER(80,POWER(COS(PI()*MOD(Calculator!$B$33/Calculator!$F$20,1)),2)))),2))</f>
        <v>26.52</v>
      </c>
      <c r="AX97" s="102" t="str">
        <f aca="false">IF(OR(Calculator!$E$21&lt;&gt;"YES",Calculator!$B$33&lt;Calculator!$G$21),"—",ROUND(MAX((50*POWER(80,POWER(COS(PI()*MOD(Calculator!$B$33/Calculator!$F$21,1)),2)))/$C97,$C97/(50*POWER(80,POWER(COS(PI()*MOD(Calculator!$B$33/Calculator!$F$21,1)),2)))),2))</f>
        <v>—</v>
      </c>
      <c r="AY97" s="101" t="n">
        <f aca="false">IFERROR(ROUND((IF(ISNUMBER(AN97),AN97,0)+IF(ISNUMBER(AO97),AO97,0)+IF(ISNUMBER(AP97),AP97,0)+IF(ISNUMBER(AQ97),AQ97,0)+IF(ISNUMBER(AR97),AR97,0)+IF(ISNUMBER(AS97),AS97,0)+IF(ISNUMBER(AT97),AT97,0)+IF(ISNUMBER(AU97),AU97,0)+IF(ISNUMBER(AV97),AV97,0)+IF(ISNUMBER(AW97),AW97,0)+IF(ISNUMBER(AX97),AX97,0))/(IF(ISNUMBER(AN97),1,0)+IF(ISNUMBER(AO97),1,0)+IF(ISNUMBER(AP97),1,0)+IF(ISNUMBER(AQ97),1,0)+IF(ISNUMBER(AR97),1,0)+IF(ISNUMBER(AS97),1,0)+IF(ISNUMBER(AT97),1,0)+IF(ISNUMBER(AU97),1,0)+IF(ISNUMBER(AV97),1,0)+IF(ISNUMBER(AW97),1,0)+IF(ISNUMBER(AX97),1,0)),2),"")</f>
        <v>10.74</v>
      </c>
      <c r="AZ97" s="102" t="str">
        <f aca="false">IF(OR(Calculator!$E$11&lt;&gt;"YES",Calculator!$B$34&lt;Calculator!$G$11),"—",ROUND(MAX((50*POWER(80,POWER(COS(PI()*MOD(Calculator!$B$34/Calculator!$F$11,1)),2)))/$C97,$C97/(50*POWER(80,POWER(COS(PI()*MOD(Calculator!$B$34/Calculator!$F$11,1)),2)))),2))</f>
        <v>—</v>
      </c>
      <c r="BA97" s="102" t="str">
        <f aca="false">IF(OR(Calculator!$E$12&lt;&gt;"YES",Calculator!$B$34&lt;Calculator!$G$12),"—",ROUND(MAX((50*POWER(80,POWER(COS(PI()*MOD(Calculator!$B$34/Calculator!$F$12,1)),2)))/$C97,$C97/(50*POWER(80,POWER(COS(PI()*MOD(Calculator!$B$34/Calculator!$F$12,1)),2)))),2))</f>
        <v>—</v>
      </c>
      <c r="BB97" s="102" t="str">
        <f aca="false">IF(OR(Calculator!$E$13&lt;&gt;"YES",Calculator!$B$34&lt;Calculator!$G$13),"—",ROUND(MAX((50*POWER(80,POWER(COS(PI()*MOD(Calculator!$B$34/Calculator!$F$13,1)),2)))/$C97,$C97/(50*POWER(80,POWER(COS(PI()*MOD(Calculator!$B$34/Calculator!$F$13,1)),2)))),2))</f>
        <v>—</v>
      </c>
      <c r="BC97" s="102" t="n">
        <f aca="false">IF(OR(Calculator!$E$14&lt;&gt;"YES",Calculator!$B$34&lt;Calculator!$G$14),"—",ROUND(MAX((50*POWER(80,POWER(COS(PI()*MOD(Calculator!$B$34/Calculator!$F$14,1)),2)))/$C97,$C97/(50*POWER(80,POWER(COS(PI()*MOD(Calculator!$B$34/Calculator!$F$14,1)),2)))),2))</f>
        <v>1.17</v>
      </c>
      <c r="BD97" s="102" t="n">
        <f aca="false">IF(OR(Calculator!$E$15&lt;&gt;"YES",Calculator!$B$34&lt;Calculator!$G$15),"—",ROUND(MAX((50*POWER(80,POWER(COS(PI()*MOD(Calculator!$B$34/Calculator!$F$15,1)),2)))/$C97,$C97/(50*POWER(80,POWER(COS(PI()*MOD(Calculator!$B$34/Calculator!$F$15,1)),2)))),2))</f>
        <v>14.3</v>
      </c>
      <c r="BE97" s="102" t="n">
        <f aca="false">IF(OR(Calculator!$E$16&lt;&gt;"YES",Calculator!$B$34&lt;Calculator!$G$16),"—",ROUND(MAX((50*POWER(80,POWER(COS(PI()*MOD(Calculator!$B$34/Calculator!$F$16,1)),2)))/$C97,$C97/(50*POWER(80,POWER(COS(PI()*MOD(Calculator!$B$34/Calculator!$F$16,1)),2)))),2))</f>
        <v>4.82</v>
      </c>
      <c r="BF97" s="102" t="n">
        <f aca="false">IF(OR(Calculator!$E$17&lt;&gt;"YES",Calculator!$B$34&lt;Calculator!$G$17),"—",ROUND(MAX((50*POWER(80,POWER(COS(PI()*MOD(Calculator!$B$34/Calculator!$F$17,1)),2)))/$C97,$C97/(50*POWER(80,POWER(COS(PI()*MOD(Calculator!$B$34/Calculator!$F$17,1)),2)))),2))</f>
        <v>2.48</v>
      </c>
      <c r="BG97" s="102" t="n">
        <f aca="false">IF(OR(Calculator!$E$18&lt;&gt;"YES",Calculator!$B$34&lt;Calculator!$G$18),"—",ROUND(MAX((50*POWER(80,POWER(COS(PI()*MOD(Calculator!$B$34/Calculator!$F$18,1)),2)))/$C97,$C97/(50*POWER(80,POWER(COS(PI()*MOD(Calculator!$B$34/Calculator!$F$18,1)),2)))),2))</f>
        <v>23.51</v>
      </c>
      <c r="BH97" s="102" t="n">
        <f aca="false">IF(OR(Calculator!$E$19&lt;&gt;"YES",Calculator!$B$34&lt;Calculator!$G$19),"—",ROUND(MAX((50*POWER(80,POWER(COS(PI()*MOD(Calculator!$B$34/Calculator!$F$19,1)),2)))/$C97,$C97/(50*POWER(80,POWER(COS(PI()*MOD(Calculator!$B$34/Calculator!$F$19,1)),2)))),2))</f>
        <v>26.15</v>
      </c>
      <c r="BI97" s="102" t="n">
        <f aca="false">IF(OR(Calculator!$E$20&lt;&gt;"YES",Calculator!$B$34&lt;Calculator!$G$20),"—",ROUND(MAX((50*POWER(80,POWER(COS(PI()*MOD(Calculator!$B$34/Calculator!$F$20,1)),2)))/$C97,$C97/(50*POWER(80,POWER(COS(PI()*MOD(Calculator!$B$34/Calculator!$F$20,1)),2)))),2))</f>
        <v>15.6</v>
      </c>
      <c r="BJ97" s="102" t="str">
        <f aca="false">IF(OR(Calculator!$E$21&lt;&gt;"YES",Calculator!$B$34&lt;Calculator!$G$21),"—",ROUND(MAX((50*POWER(80,POWER(COS(PI()*MOD(Calculator!$B$34/Calculator!$F$21,1)),2)))/$C97,$C97/(50*POWER(80,POWER(COS(PI()*MOD(Calculator!$B$34/Calculator!$F$21,1)),2)))),2))</f>
        <v>—</v>
      </c>
      <c r="BK97" s="101" t="n">
        <f aca="false">IFERROR(ROUND((IF(ISNUMBER(AZ97),AZ97,0)+IF(ISNUMBER(BA97),BA97,0)+IF(ISNUMBER(BB97),BB97,0)+IF(ISNUMBER(BC97),BC97,0)+IF(ISNUMBER(BD97),BD97,0)+IF(ISNUMBER(BE97),BE97,0)+IF(ISNUMBER(BF97),BF97,0)+IF(ISNUMBER(BG97),BG97,0)+IF(ISNUMBER(BH97),BH97,0)+IF(ISNUMBER(BI97),BI97,0)+IF(ISNUMBER(BJ97),BJ97,0))/(IF(ISNUMBER(AZ97),1,0)+IF(ISNUMBER(BA97),1,0)+IF(ISNUMBER(BB97),1,0)+IF(ISNUMBER(BC97),1,0)+IF(ISNUMBER(BD97),1,0)+IF(ISNUMBER(BE97),1,0)+IF(ISNUMBER(BF97),1,0)+IF(ISNUMBER(BG97),1,0)+IF(ISNUMBER(BH97),1,0)+IF(ISNUMBER(BI97),1,0)+IF(ISNUMBER(BJ97),1,0)),2),"")</f>
        <v>12.58</v>
      </c>
    </row>
    <row r="98" customFormat="false" ht="15" hidden="false" customHeight="false" outlineLevel="0" collapsed="false">
      <c r="A98" s="103" t="s">
        <v>149</v>
      </c>
      <c r="B98" s="111" t="s">
        <v>86</v>
      </c>
      <c r="C98" s="103" t="n">
        <v>3300</v>
      </c>
      <c r="D98" s="103" t="str">
        <f aca="false">IF(OR(Calculator!$E$11&lt;&gt;"YES",Calculator!$B$30&lt;Calculator!$G$11),"—",ROUND(MAX((50*POWER(80,POWER(COS(PI()*MOD(Calculator!$B$30/Calculator!$F$11,1)),2)))/$C98,$C98/(50*POWER(80,POWER(COS(PI()*MOD(Calculator!$B$30/Calculator!$F$11,1)),2)))),2))</f>
        <v>—</v>
      </c>
      <c r="E98" s="103" t="str">
        <f aca="false">IF(OR(Calculator!$E$12&lt;&gt;"YES",Calculator!$B$30&lt;Calculator!$G$12),"—",ROUND(MAX((50*POWER(80,POWER(COS(PI()*MOD(Calculator!$B$30/Calculator!$F$12,1)),2)))/$C98,$C98/(50*POWER(80,POWER(COS(PI()*MOD(Calculator!$B$30/Calculator!$F$12,1)),2)))),2))</f>
        <v>—</v>
      </c>
      <c r="F98" s="103" t="str">
        <f aca="false">IF(OR(Calculator!$E$13&lt;&gt;"YES",Calculator!$B$30&lt;Calculator!$G$13),"—",ROUND(MAX((50*POWER(80,POWER(COS(PI()*MOD(Calculator!$B$30/Calculator!$F$13,1)),2)))/$C98,$C98/(50*POWER(80,POWER(COS(PI()*MOD(Calculator!$B$30/Calculator!$F$13,1)),2)))),2))</f>
        <v>—</v>
      </c>
      <c r="G98" s="103" t="n">
        <f aca="false">IF(OR(Calculator!$E$14&lt;&gt;"YES",Calculator!$B$30&lt;Calculator!$G$14),"—",ROUND(MAX((50*POWER(80,POWER(COS(PI()*MOD(Calculator!$B$30/Calculator!$F$14,1)),2)))/$C98,$C98/(50*POWER(80,POWER(COS(PI()*MOD(Calculator!$B$30/Calculator!$F$14,1)),2)))),2))</f>
        <v>29.82</v>
      </c>
      <c r="H98" s="103" t="n">
        <f aca="false">IF(OR(Calculator!$E$15&lt;&gt;"YES",Calculator!$B$30&lt;Calculator!$G$15),"—",ROUND(MAX((50*POWER(80,POWER(COS(PI()*MOD(Calculator!$B$30/Calculator!$F$15,1)),2)))/$C98,$C98/(50*POWER(80,POWER(COS(PI()*MOD(Calculator!$B$30/Calculator!$F$15,1)),2)))),2))</f>
        <v>8.65</v>
      </c>
      <c r="I98" s="103" t="n">
        <f aca="false">IF(OR(Calculator!$E$16&lt;&gt;"YES",Calculator!$B$30&lt;Calculator!$G$16),"—",ROUND(MAX((50*POWER(80,POWER(COS(PI()*MOD(Calculator!$B$30/Calculator!$F$16,1)),2)))/$C98,$C98/(50*POWER(80,POWER(COS(PI()*MOD(Calculator!$B$30/Calculator!$F$16,1)),2)))),2))</f>
        <v>5.91</v>
      </c>
      <c r="J98" s="103" t="n">
        <f aca="false">IF(OR(Calculator!$E$17&lt;&gt;"YES",Calculator!$B$30&lt;Calculator!$G$17),"—",ROUND(MAX((50*POWER(80,POWER(COS(PI()*MOD(Calculator!$B$30/Calculator!$F$17,1)),2)))/$C98,$C98/(50*POWER(80,POWER(COS(PI()*MOD(Calculator!$B$30/Calculator!$F$17,1)),2)))),2))</f>
        <v>16.59</v>
      </c>
      <c r="K98" s="103" t="n">
        <f aca="false">IF(OR(Calculator!$E$18&lt;&gt;"YES",Calculator!$B$30&lt;Calculator!$G$18),"—",ROUND(MAX((50*POWER(80,POWER(COS(PI()*MOD(Calculator!$B$30/Calculator!$F$18,1)),2)))/$C98,$C98/(50*POWER(80,POWER(COS(PI()*MOD(Calculator!$B$30/Calculator!$F$18,1)),2)))),2))</f>
        <v>2.36</v>
      </c>
      <c r="L98" s="103" t="n">
        <f aca="false">IF(OR(Calculator!$E$19&lt;&gt;"YES",Calculator!$B$30&lt;Calculator!$G$19),"—",ROUND(MAX((50*POWER(80,POWER(COS(PI()*MOD(Calculator!$B$30/Calculator!$F$19,1)),2)))/$C98,$C98/(50*POWER(80,POWER(COS(PI()*MOD(Calculator!$B$30/Calculator!$F$19,1)),2)))),2))</f>
        <v>4.2</v>
      </c>
      <c r="M98" s="103" t="n">
        <f aca="false">IF(OR(Calculator!$E$20&lt;&gt;"YES",Calculator!$B$30&lt;Calculator!$G$20),"—",ROUND(MAX((50*POWER(80,POWER(COS(PI()*MOD(Calculator!$B$30/Calculator!$F$20,1)),2)))/$C98,$C98/(50*POWER(80,POWER(COS(PI()*MOD(Calculator!$B$30/Calculator!$F$20,1)),2)))),2))</f>
        <v>26.07</v>
      </c>
      <c r="N98" s="103" t="str">
        <f aca="false">IF(OR(Calculator!$E$21&lt;&gt;"YES",Calculator!$B$30&lt;Calculator!$G$21),"—",ROUND(MAX((50*POWER(80,POWER(COS(PI()*MOD(Calculator!$B$30/Calculator!$F$21,1)),2)))/$C98,$C98/(50*POWER(80,POWER(COS(PI()*MOD(Calculator!$B$30/Calculator!$F$21,1)),2)))),2))</f>
        <v>—</v>
      </c>
      <c r="O98" s="107" t="n">
        <f aca="false">IFERROR(ROUND((IF(ISNUMBER(D98),D98,0)+IF(ISNUMBER(E98),E98,0)+IF(ISNUMBER(F98),F98,0)+IF(ISNUMBER(G98),G98,0)+IF(ISNUMBER(H98),H98,0)+IF(ISNUMBER(I98),I98,0)+IF(ISNUMBER(J98),J98,0)+IF(ISNUMBER(K98),K98,0)+IF(ISNUMBER(L98),L98,0)+IF(ISNUMBER(M98),M98,0)+IF(ISNUMBER(N98),N98,0))/(IF(ISNUMBER(D98),1,0)+IF(ISNUMBER(E98),1,0)+IF(ISNUMBER(F98),1,0)+IF(ISNUMBER(G98),1,0)+IF(ISNUMBER(H98),1,0)+IF(ISNUMBER(I98),1,0)+IF(ISNUMBER(J98),1,0)+IF(ISNUMBER(K98),1,0)+IF(ISNUMBER(L98),1,0)+IF(ISNUMBER(M98),1,0)+IF(ISNUMBER(N98),1,0)),2),"")</f>
        <v>13.37</v>
      </c>
      <c r="P98" s="103" t="str">
        <f aca="false">IF(OR(Calculator!$E$11&lt;&gt;"YES",Calculator!$B$31&lt;Calculator!$G$11),"—",ROUND(MAX((50*POWER(80,POWER(COS(PI()*MOD(Calculator!$B$31/Calculator!$F$11,1)),2)))/$C98,$C98/(50*POWER(80,POWER(COS(PI()*MOD(Calculator!$B$31/Calculator!$F$11,1)),2)))),2))</f>
        <v>—</v>
      </c>
      <c r="Q98" s="103" t="str">
        <f aca="false">IF(OR(Calculator!$E$12&lt;&gt;"YES",Calculator!$B$31&lt;Calculator!$G$12),"—",ROUND(MAX((50*POWER(80,POWER(COS(PI()*MOD(Calculator!$B$31/Calculator!$F$12,1)),2)))/$C98,$C98/(50*POWER(80,POWER(COS(PI()*MOD(Calculator!$B$31/Calculator!$F$12,1)),2)))),2))</f>
        <v>—</v>
      </c>
      <c r="R98" s="103" t="str">
        <f aca="false">IF(OR(Calculator!$E$13&lt;&gt;"YES",Calculator!$B$31&lt;Calculator!$G$13),"—",ROUND(MAX((50*POWER(80,POWER(COS(PI()*MOD(Calculator!$B$31/Calculator!$F$13,1)),2)))/$C98,$C98/(50*POWER(80,POWER(COS(PI()*MOD(Calculator!$B$31/Calculator!$F$13,1)),2)))),2))</f>
        <v>—</v>
      </c>
      <c r="S98" s="103" t="n">
        <f aca="false">IF(OR(Calculator!$E$14&lt;&gt;"YES",Calculator!$B$31&lt;Calculator!$G$14),"—",ROUND(MAX((50*POWER(80,POWER(COS(PI()*MOD(Calculator!$B$31/Calculator!$F$14,1)),2)))/$C98,$C98/(50*POWER(80,POWER(COS(PI()*MOD(Calculator!$B$31/Calculator!$F$14,1)),2)))),2))</f>
        <v>30.53</v>
      </c>
      <c r="T98" s="103" t="n">
        <f aca="false">IF(OR(Calculator!$E$15&lt;&gt;"YES",Calculator!$B$31&lt;Calculator!$G$15),"—",ROUND(MAX((50*POWER(80,POWER(COS(PI()*MOD(Calculator!$B$31/Calculator!$F$15,1)),2)))/$C98,$C98/(50*POWER(80,POWER(COS(PI()*MOD(Calculator!$B$31/Calculator!$F$15,1)),2)))),2))</f>
        <v>18.58</v>
      </c>
      <c r="U98" s="103" t="n">
        <f aca="false">IF(OR(Calculator!$E$16&lt;&gt;"YES",Calculator!$B$31&lt;Calculator!$G$16),"—",ROUND(MAX((50*POWER(80,POWER(COS(PI()*MOD(Calculator!$B$31/Calculator!$F$16,1)),2)))/$C98,$C98/(50*POWER(80,POWER(COS(PI()*MOD(Calculator!$B$31/Calculator!$F$16,1)),2)))),2))</f>
        <v>7.07</v>
      </c>
      <c r="V98" s="103" t="n">
        <f aca="false">IF(OR(Calculator!$E$17&lt;&gt;"YES",Calculator!$B$31&lt;Calculator!$G$17),"—",ROUND(MAX((50*POWER(80,POWER(COS(PI()*MOD(Calculator!$B$31/Calculator!$F$17,1)),2)))/$C98,$C98/(50*POWER(80,POWER(COS(PI()*MOD(Calculator!$B$31/Calculator!$F$17,1)),2)))),2))</f>
        <v>2.04</v>
      </c>
      <c r="W98" s="103" t="n">
        <f aca="false">IF(OR(Calculator!$E$18&lt;&gt;"YES",Calculator!$B$31&lt;Calculator!$G$18),"—",ROUND(MAX((50*POWER(80,POWER(COS(PI()*MOD(Calculator!$B$31/Calculator!$F$18,1)),2)))/$C98,$C98/(50*POWER(80,POWER(COS(PI()*MOD(Calculator!$B$31/Calculator!$F$18,1)),2)))),2))</f>
        <v>1.79</v>
      </c>
      <c r="X98" s="103" t="n">
        <f aca="false">IF(OR(Calculator!$E$19&lt;&gt;"YES",Calculator!$B$31&lt;Calculator!$G$19),"—",ROUND(MAX((50*POWER(80,POWER(COS(PI()*MOD(Calculator!$B$31/Calculator!$F$19,1)),2)))/$C98,$C98/(50*POWER(80,POWER(COS(PI()*MOD(Calculator!$B$31/Calculator!$F$19,1)),2)))),2))</f>
        <v>12.26</v>
      </c>
      <c r="Y98" s="103" t="n">
        <f aca="false">IF(OR(Calculator!$E$20&lt;&gt;"YES",Calculator!$B$31&lt;Calculator!$G$20),"—",ROUND(MAX((50*POWER(80,POWER(COS(PI()*MOD(Calculator!$B$31/Calculator!$F$20,1)),2)))/$C98,$C98/(50*POWER(80,POWER(COS(PI()*MOD(Calculator!$B$31/Calculator!$F$20,1)),2)))),2))</f>
        <v>40.49</v>
      </c>
      <c r="Z98" s="103" t="str">
        <f aca="false">IF(OR(Calculator!$E$21&lt;&gt;"YES",Calculator!$B$31&lt;Calculator!$G$21),"—",ROUND(MAX((50*POWER(80,POWER(COS(PI()*MOD(Calculator!$B$31/Calculator!$F$21,1)),2)))/$C98,$C98/(50*POWER(80,POWER(COS(PI()*MOD(Calculator!$B$31/Calculator!$F$21,1)),2)))),2))</f>
        <v>—</v>
      </c>
      <c r="AA98" s="107" t="n">
        <f aca="false">IFERROR(ROUND((IF(ISNUMBER(P98),P98,0)+IF(ISNUMBER(Q98),Q98,0)+IF(ISNUMBER(R98),R98,0)+IF(ISNUMBER(S98),S98,0)+IF(ISNUMBER(T98),T98,0)+IF(ISNUMBER(U98),U98,0)+IF(ISNUMBER(V98),V98,0)+IF(ISNUMBER(W98),W98,0)+IF(ISNUMBER(X98),X98,0)+IF(ISNUMBER(Y98),Y98,0)+IF(ISNUMBER(Z98),Z98,0))/(IF(ISNUMBER(P98),1,0)+IF(ISNUMBER(Q98),1,0)+IF(ISNUMBER(R98),1,0)+IF(ISNUMBER(S98),1,0)+IF(ISNUMBER(T98),1,0)+IF(ISNUMBER(U98),1,0)+IF(ISNUMBER(V98),1,0)+IF(ISNUMBER(W98),1,0)+IF(ISNUMBER(X98),1,0)+IF(ISNUMBER(Y98),1,0)+IF(ISNUMBER(Z98),1,0)),2),"")</f>
        <v>16.11</v>
      </c>
      <c r="AB98" s="103" t="str">
        <f aca="false">IF(OR(Calculator!$E$11&lt;&gt;"YES",Calculator!$B$32&lt;Calculator!$G$11),"—",ROUND(MAX((50*POWER(80,POWER(COS(PI()*MOD(Calculator!$B$32/Calculator!$F$11,1)),2)))/$C98,$C98/(50*POWER(80,POWER(COS(PI()*MOD(Calculator!$B$32/Calculator!$F$11,1)),2)))),2))</f>
        <v>—</v>
      </c>
      <c r="AC98" s="103" t="str">
        <f aca="false">IF(OR(Calculator!$E$12&lt;&gt;"YES",Calculator!$B$32&lt;Calculator!$G$12),"—",ROUND(MAX((50*POWER(80,POWER(COS(PI()*MOD(Calculator!$B$32/Calculator!$F$12,1)),2)))/$C98,$C98/(50*POWER(80,POWER(COS(PI()*MOD(Calculator!$B$32/Calculator!$F$12,1)),2)))),2))</f>
        <v>—</v>
      </c>
      <c r="AD98" s="103" t="str">
        <f aca="false">IF(OR(Calculator!$E$13&lt;&gt;"YES",Calculator!$B$32&lt;Calculator!$G$13),"—",ROUND(MAX((50*POWER(80,POWER(COS(PI()*MOD(Calculator!$B$32/Calculator!$F$13,1)),2)))/$C98,$C98/(50*POWER(80,POWER(COS(PI()*MOD(Calculator!$B$32/Calculator!$F$13,1)),2)))),2))</f>
        <v>—</v>
      </c>
      <c r="AE98" s="103" t="n">
        <f aca="false">IF(OR(Calculator!$E$14&lt;&gt;"YES",Calculator!$B$32&lt;Calculator!$G$14),"—",ROUND(MAX((50*POWER(80,POWER(COS(PI()*MOD(Calculator!$B$32/Calculator!$F$14,1)),2)))/$C98,$C98/(50*POWER(80,POWER(COS(PI()*MOD(Calculator!$B$32/Calculator!$F$14,1)),2)))),2))</f>
        <v>19.28</v>
      </c>
      <c r="AF98" s="103" t="n">
        <f aca="false">IF(OR(Calculator!$E$15&lt;&gt;"YES",Calculator!$B$32&lt;Calculator!$G$15),"—",ROUND(MAX((50*POWER(80,POWER(COS(PI()*MOD(Calculator!$B$32/Calculator!$F$15,1)),2)))/$C98,$C98/(50*POWER(80,POWER(COS(PI()*MOD(Calculator!$B$32/Calculator!$F$15,1)),2)))),2))</f>
        <v>12.47</v>
      </c>
      <c r="AG98" s="103" t="n">
        <f aca="false">IF(OR(Calculator!$E$16&lt;&gt;"YES",Calculator!$B$32&lt;Calculator!$G$16),"—",ROUND(MAX((50*POWER(80,POWER(COS(PI()*MOD(Calculator!$B$32/Calculator!$F$16,1)),2)))/$C98,$C98/(50*POWER(80,POWER(COS(PI()*MOD(Calculator!$B$32/Calculator!$F$16,1)),2)))),2))</f>
        <v>42.08</v>
      </c>
      <c r="AH98" s="103" t="n">
        <f aca="false">IF(OR(Calculator!$E$17&lt;&gt;"YES",Calculator!$B$32&lt;Calculator!$G$17),"—",ROUND(MAX((50*POWER(80,POWER(COS(PI()*MOD(Calculator!$B$32/Calculator!$F$17,1)),2)))/$C98,$C98/(50*POWER(80,POWER(COS(PI()*MOD(Calculator!$B$32/Calculator!$F$17,1)),2)))),2))</f>
        <v>1.43</v>
      </c>
      <c r="AI98" s="103" t="n">
        <f aca="false">IF(OR(Calculator!$E$18&lt;&gt;"YES",Calculator!$B$32&lt;Calculator!$G$18),"—",ROUND(MAX((50*POWER(80,POWER(COS(PI()*MOD(Calculator!$B$32/Calculator!$F$18,1)),2)))/$C98,$C98/(50*POWER(80,POWER(COS(PI()*MOD(Calculator!$B$32/Calculator!$F$18,1)),2)))),2))</f>
        <v>1.32</v>
      </c>
      <c r="AJ98" s="103" t="n">
        <f aca="false">IF(OR(Calculator!$E$19&lt;&gt;"YES",Calculator!$B$32&lt;Calculator!$G$19),"—",ROUND(MAX((50*POWER(80,POWER(COS(PI()*MOD(Calculator!$B$32/Calculator!$F$19,1)),2)))/$C98,$C98/(50*POWER(80,POWER(COS(PI()*MOD(Calculator!$B$32/Calculator!$F$19,1)),2)))),2))</f>
        <v>1.26</v>
      </c>
      <c r="AK98" s="103" t="n">
        <f aca="false">IF(OR(Calculator!$E$20&lt;&gt;"YES",Calculator!$B$32&lt;Calculator!$G$20),"—",ROUND(MAX((50*POWER(80,POWER(COS(PI()*MOD(Calculator!$B$32/Calculator!$F$20,1)),2)))/$C98,$C98/(50*POWER(80,POWER(COS(PI()*MOD(Calculator!$B$32/Calculator!$F$20,1)),2)))),2))</f>
        <v>33.09</v>
      </c>
      <c r="AL98" s="103" t="str">
        <f aca="false">IF(OR(Calculator!$E$21&lt;&gt;"YES",Calculator!$B$32&lt;Calculator!$G$21),"—",ROUND(MAX((50*POWER(80,POWER(COS(PI()*MOD(Calculator!$B$32/Calculator!$F$21,1)),2)))/$C98,$C98/(50*POWER(80,POWER(COS(PI()*MOD(Calculator!$B$32/Calculator!$F$21,1)),2)))),2))</f>
        <v>—</v>
      </c>
      <c r="AM98" s="101" t="n">
        <f aca="false">IFERROR(ROUND((IF(ISNUMBER(AB98),AB98,0)+IF(ISNUMBER(AC98),AC98,0)+IF(ISNUMBER(AD98),AD98,0)+IF(ISNUMBER(AE98),AE98,0)+IF(ISNUMBER(AF98),AF98,0)+IF(ISNUMBER(AG98),AG98,0)+IF(ISNUMBER(AH98),AH98,0)+IF(ISNUMBER(AI98),AI98,0)+IF(ISNUMBER(AJ98),AJ98,0)+IF(ISNUMBER(AK98),AK98,0)+IF(ISNUMBER(AL98),AL98,0))/(IF(ISNUMBER(AB98),1,0)+IF(ISNUMBER(AC98),1,0)+IF(ISNUMBER(AD98),1,0)+IF(ISNUMBER(AE98),1,0)+IF(ISNUMBER(AF98),1,0)+IF(ISNUMBER(AG98),1,0)+IF(ISNUMBER(AH98),1,0)+IF(ISNUMBER(AI98),1,0)+IF(ISNUMBER(AJ98),1,0)+IF(ISNUMBER(AK98),1,0)+IF(ISNUMBER(AL98),1,0)),2),"")</f>
        <v>15.85</v>
      </c>
      <c r="AN98" s="106" t="str">
        <f aca="false">IF(OR(Calculator!$E$11&lt;&gt;"YES",Calculator!$B$33&lt;Calculator!$G$11),"—",ROUND(MAX((50*POWER(80,POWER(COS(PI()*MOD(Calculator!$B$33/Calculator!$F$11,1)),2)))/$C98,$C98/(50*POWER(80,POWER(COS(PI()*MOD(Calculator!$B$33/Calculator!$F$11,1)),2)))),2))</f>
        <v>—</v>
      </c>
      <c r="AO98" s="106" t="str">
        <f aca="false">IF(OR(Calculator!$E$12&lt;&gt;"YES",Calculator!$B$33&lt;Calculator!$G$12),"—",ROUND(MAX((50*POWER(80,POWER(COS(PI()*MOD(Calculator!$B$33/Calculator!$F$12,1)),2)))/$C98,$C98/(50*POWER(80,POWER(COS(PI()*MOD(Calculator!$B$33/Calculator!$F$12,1)),2)))),2))</f>
        <v>—</v>
      </c>
      <c r="AP98" s="106" t="str">
        <f aca="false">IF(OR(Calculator!$E$13&lt;&gt;"YES",Calculator!$B$33&lt;Calculator!$G$13),"—",ROUND(MAX((50*POWER(80,POWER(COS(PI()*MOD(Calculator!$B$33/Calculator!$F$13,1)),2)))/$C98,$C98/(50*POWER(80,POWER(COS(PI()*MOD(Calculator!$B$33/Calculator!$F$13,1)),2)))),2))</f>
        <v>—</v>
      </c>
      <c r="AQ98" s="106" t="n">
        <f aca="false">IF(OR(Calculator!$E$14&lt;&gt;"YES",Calculator!$B$33&lt;Calculator!$G$14),"—",ROUND(MAX((50*POWER(80,POWER(COS(PI()*MOD(Calculator!$B$33/Calculator!$F$14,1)),2)))/$C98,$C98/(50*POWER(80,POWER(COS(PI()*MOD(Calculator!$B$33/Calculator!$F$14,1)),2)))),2))</f>
        <v>1.21</v>
      </c>
      <c r="AR98" s="106" t="n">
        <f aca="false">IF(OR(Calculator!$E$15&lt;&gt;"YES",Calculator!$B$33&lt;Calculator!$G$15),"—",ROUND(MAX((50*POWER(80,POWER(COS(PI()*MOD(Calculator!$B$33/Calculator!$F$15,1)),2)))/$C98,$C98/(50*POWER(80,POWER(COS(PI()*MOD(Calculator!$B$33/Calculator!$F$15,1)),2)))),2))</f>
        <v>11.24</v>
      </c>
      <c r="AS98" s="106" t="n">
        <f aca="false">IF(OR(Calculator!$E$16&lt;&gt;"YES",Calculator!$B$33&lt;Calculator!$G$16),"—",ROUND(MAX((50*POWER(80,POWER(COS(PI()*MOD(Calculator!$B$33/Calculator!$F$16,1)),2)))/$C98,$C98/(50*POWER(80,POWER(COS(PI()*MOD(Calculator!$B$33/Calculator!$F$16,1)),2)))),2))</f>
        <v>4.11</v>
      </c>
      <c r="AT98" s="106" t="n">
        <f aca="false">IF(OR(Calculator!$E$17&lt;&gt;"YES",Calculator!$B$33&lt;Calculator!$G$17),"—",ROUND(MAX((50*POWER(80,POWER(COS(PI()*MOD(Calculator!$B$33/Calculator!$F$17,1)),2)))/$C98,$C98/(50*POWER(80,POWER(COS(PI()*MOD(Calculator!$B$33/Calculator!$F$17,1)),2)))),2))</f>
        <v>13.04</v>
      </c>
      <c r="AU98" s="106" t="n">
        <f aca="false">IF(OR(Calculator!$E$18&lt;&gt;"YES",Calculator!$B$33&lt;Calculator!$G$18),"—",ROUND(MAX((50*POWER(80,POWER(COS(PI()*MOD(Calculator!$B$33/Calculator!$F$18,1)),2)))/$C98,$C98/(50*POWER(80,POWER(COS(PI()*MOD(Calculator!$B$33/Calculator!$F$18,1)),2)))),2))</f>
        <v>17.64</v>
      </c>
      <c r="AV98" s="106" t="n">
        <f aca="false">IF(OR(Calculator!$E$19&lt;&gt;"YES",Calculator!$B$33&lt;Calculator!$G$19),"—",ROUND(MAX((50*POWER(80,POWER(COS(PI()*MOD(Calculator!$B$33/Calculator!$F$19,1)),2)))/$C98,$C98/(50*POWER(80,POWER(COS(PI()*MOD(Calculator!$B$33/Calculator!$F$19,1)),2)))),2))</f>
        <v>2.15</v>
      </c>
      <c r="AW98" s="106" t="n">
        <f aca="false">IF(OR(Calculator!$E$20&lt;&gt;"YES",Calculator!$B$33&lt;Calculator!$G$20),"—",ROUND(MAX((50*POWER(80,POWER(COS(PI()*MOD(Calculator!$B$33/Calculator!$F$20,1)),2)))/$C98,$C98/(50*POWER(80,POWER(COS(PI()*MOD(Calculator!$B$33/Calculator!$F$20,1)),2)))),2))</f>
        <v>26.93</v>
      </c>
      <c r="AX98" s="106" t="str">
        <f aca="false">IF(OR(Calculator!$E$21&lt;&gt;"YES",Calculator!$B$33&lt;Calculator!$G$21),"—",ROUND(MAX((50*POWER(80,POWER(COS(PI()*MOD(Calculator!$B$33/Calculator!$F$21,1)),2)))/$C98,$C98/(50*POWER(80,POWER(COS(PI()*MOD(Calculator!$B$33/Calculator!$F$21,1)),2)))),2))</f>
        <v>—</v>
      </c>
      <c r="AY98" s="101" t="n">
        <f aca="false">IFERROR(ROUND((IF(ISNUMBER(AN98),AN98,0)+IF(ISNUMBER(AO98),AO98,0)+IF(ISNUMBER(AP98),AP98,0)+IF(ISNUMBER(AQ98),AQ98,0)+IF(ISNUMBER(AR98),AR98,0)+IF(ISNUMBER(AS98),AS98,0)+IF(ISNUMBER(AT98),AT98,0)+IF(ISNUMBER(AU98),AU98,0)+IF(ISNUMBER(AV98),AV98,0)+IF(ISNUMBER(AW98),AW98,0)+IF(ISNUMBER(AX98),AX98,0))/(IF(ISNUMBER(AN98),1,0)+IF(ISNUMBER(AO98),1,0)+IF(ISNUMBER(AP98),1,0)+IF(ISNUMBER(AQ98),1,0)+IF(ISNUMBER(AR98),1,0)+IF(ISNUMBER(AS98),1,0)+IF(ISNUMBER(AT98),1,0)+IF(ISNUMBER(AU98),1,0)+IF(ISNUMBER(AV98),1,0)+IF(ISNUMBER(AW98),1,0)+IF(ISNUMBER(AX98),1,0)),2),"")</f>
        <v>10.9</v>
      </c>
      <c r="AZ98" s="106" t="str">
        <f aca="false">IF(OR(Calculator!$E$11&lt;&gt;"YES",Calculator!$B$34&lt;Calculator!$G$11),"—",ROUND(MAX((50*POWER(80,POWER(COS(PI()*MOD(Calculator!$B$34/Calculator!$F$11,1)),2)))/$C98,$C98/(50*POWER(80,POWER(COS(PI()*MOD(Calculator!$B$34/Calculator!$F$11,1)),2)))),2))</f>
        <v>—</v>
      </c>
      <c r="BA98" s="106" t="str">
        <f aca="false">IF(OR(Calculator!$E$12&lt;&gt;"YES",Calculator!$B$34&lt;Calculator!$G$12),"—",ROUND(MAX((50*POWER(80,POWER(COS(PI()*MOD(Calculator!$B$34/Calculator!$F$12,1)),2)))/$C98,$C98/(50*POWER(80,POWER(COS(PI()*MOD(Calculator!$B$34/Calculator!$F$12,1)),2)))),2))</f>
        <v>—</v>
      </c>
      <c r="BB98" s="106" t="str">
        <f aca="false">IF(OR(Calculator!$E$13&lt;&gt;"YES",Calculator!$B$34&lt;Calculator!$G$13),"—",ROUND(MAX((50*POWER(80,POWER(COS(PI()*MOD(Calculator!$B$34/Calculator!$F$13,1)),2)))/$C98,$C98/(50*POWER(80,POWER(COS(PI()*MOD(Calculator!$B$34/Calculator!$F$13,1)),2)))),2))</f>
        <v>—</v>
      </c>
      <c r="BC98" s="106" t="n">
        <f aca="false">IF(OR(Calculator!$E$14&lt;&gt;"YES",Calculator!$B$34&lt;Calculator!$G$14),"—",ROUND(MAX((50*POWER(80,POWER(COS(PI()*MOD(Calculator!$B$34/Calculator!$F$14,1)),2)))/$C98,$C98/(50*POWER(80,POWER(COS(PI()*MOD(Calculator!$B$34/Calculator!$F$14,1)),2)))),2))</f>
        <v>1.19</v>
      </c>
      <c r="BD98" s="106" t="n">
        <f aca="false">IF(OR(Calculator!$E$15&lt;&gt;"YES",Calculator!$B$34&lt;Calculator!$G$15),"—",ROUND(MAX((50*POWER(80,POWER(COS(PI()*MOD(Calculator!$B$34/Calculator!$F$15,1)),2)))/$C98,$C98/(50*POWER(80,POWER(COS(PI()*MOD(Calculator!$B$34/Calculator!$F$15,1)),2)))),2))</f>
        <v>14.52</v>
      </c>
      <c r="BE98" s="106" t="n">
        <f aca="false">IF(OR(Calculator!$E$16&lt;&gt;"YES",Calculator!$B$34&lt;Calculator!$G$16),"—",ROUND(MAX((50*POWER(80,POWER(COS(PI()*MOD(Calculator!$B$34/Calculator!$F$16,1)),2)))/$C98,$C98/(50*POWER(80,POWER(COS(PI()*MOD(Calculator!$B$34/Calculator!$F$16,1)),2)))),2))</f>
        <v>4.89</v>
      </c>
      <c r="BF98" s="106" t="n">
        <f aca="false">IF(OR(Calculator!$E$17&lt;&gt;"YES",Calculator!$B$34&lt;Calculator!$G$17),"—",ROUND(MAX((50*POWER(80,POWER(COS(PI()*MOD(Calculator!$B$34/Calculator!$F$17,1)),2)))/$C98,$C98/(50*POWER(80,POWER(COS(PI()*MOD(Calculator!$B$34/Calculator!$F$17,1)),2)))),2))</f>
        <v>2.52</v>
      </c>
      <c r="BG98" s="106" t="n">
        <f aca="false">IF(OR(Calculator!$E$18&lt;&gt;"YES",Calculator!$B$34&lt;Calculator!$G$18),"—",ROUND(MAX((50*POWER(80,POWER(COS(PI()*MOD(Calculator!$B$34/Calculator!$F$18,1)),2)))/$C98,$C98/(50*POWER(80,POWER(COS(PI()*MOD(Calculator!$B$34/Calculator!$F$18,1)),2)))),2))</f>
        <v>23.87</v>
      </c>
      <c r="BH98" s="106" t="n">
        <f aca="false">IF(OR(Calculator!$E$19&lt;&gt;"YES",Calculator!$B$34&lt;Calculator!$G$19),"—",ROUND(MAX((50*POWER(80,POWER(COS(PI()*MOD(Calculator!$B$34/Calculator!$F$19,1)),2)))/$C98,$C98/(50*POWER(80,POWER(COS(PI()*MOD(Calculator!$B$34/Calculator!$F$19,1)),2)))),2))</f>
        <v>26.55</v>
      </c>
      <c r="BI98" s="106" t="n">
        <f aca="false">IF(OR(Calculator!$E$20&lt;&gt;"YES",Calculator!$B$34&lt;Calculator!$G$20),"—",ROUND(MAX((50*POWER(80,POWER(COS(PI()*MOD(Calculator!$B$34/Calculator!$F$20,1)),2)))/$C98,$C98/(50*POWER(80,POWER(COS(PI()*MOD(Calculator!$B$34/Calculator!$F$20,1)),2)))),2))</f>
        <v>15.84</v>
      </c>
      <c r="BJ98" s="106" t="str">
        <f aca="false">IF(OR(Calculator!$E$21&lt;&gt;"YES",Calculator!$B$34&lt;Calculator!$G$21),"—",ROUND(MAX((50*POWER(80,POWER(COS(PI()*MOD(Calculator!$B$34/Calculator!$F$21,1)),2)))/$C98,$C98/(50*POWER(80,POWER(COS(PI()*MOD(Calculator!$B$34/Calculator!$F$21,1)),2)))),2))</f>
        <v>—</v>
      </c>
      <c r="BK98" s="101" t="n">
        <f aca="false">IFERROR(ROUND((IF(ISNUMBER(AZ98),AZ98,0)+IF(ISNUMBER(BA98),BA98,0)+IF(ISNUMBER(BB98),BB98,0)+IF(ISNUMBER(BC98),BC98,0)+IF(ISNUMBER(BD98),BD98,0)+IF(ISNUMBER(BE98),BE98,0)+IF(ISNUMBER(BF98),BF98,0)+IF(ISNUMBER(BG98),BG98,0)+IF(ISNUMBER(BH98),BH98,0)+IF(ISNUMBER(BI98),BI98,0)+IF(ISNUMBER(BJ98),BJ98,0))/(IF(ISNUMBER(AZ98),1,0)+IF(ISNUMBER(BA98),1,0)+IF(ISNUMBER(BB98),1,0)+IF(ISNUMBER(BC98),1,0)+IF(ISNUMBER(BD98),1,0)+IF(ISNUMBER(BE98),1,0)+IF(ISNUMBER(BF98),1,0)+IF(ISNUMBER(BG98),1,0)+IF(ISNUMBER(BH98),1,0)+IF(ISNUMBER(BI98),1,0)+IF(ISNUMBER(BJ98),1,0)),2),"")</f>
        <v>12.77</v>
      </c>
    </row>
    <row r="99" customFormat="false" ht="15" hidden="false" customHeight="false" outlineLevel="0" collapsed="false">
      <c r="A99" s="74" t="s">
        <v>150</v>
      </c>
      <c r="B99" s="108" t="s">
        <v>86</v>
      </c>
      <c r="C99" s="74" t="n">
        <v>3350</v>
      </c>
      <c r="D99" s="74" t="str">
        <f aca="false">IF(OR(Calculator!$E$11&lt;&gt;"YES",Calculator!$B$30&lt;Calculator!$G$11),"—",ROUND(MAX((50*POWER(80,POWER(COS(PI()*MOD(Calculator!$B$30/Calculator!$F$11,1)),2)))/$C99,$C99/(50*POWER(80,POWER(COS(PI()*MOD(Calculator!$B$30/Calculator!$F$11,1)),2)))),2))</f>
        <v>—</v>
      </c>
      <c r="E99" s="74" t="str">
        <f aca="false">IF(OR(Calculator!$E$12&lt;&gt;"YES",Calculator!$B$30&lt;Calculator!$G$12),"—",ROUND(MAX((50*POWER(80,POWER(COS(PI()*MOD(Calculator!$B$30/Calculator!$F$12,1)),2)))/$C99,$C99/(50*POWER(80,POWER(COS(PI()*MOD(Calculator!$B$30/Calculator!$F$12,1)),2)))),2))</f>
        <v>—</v>
      </c>
      <c r="F99" s="74" t="str">
        <f aca="false">IF(OR(Calculator!$E$13&lt;&gt;"YES",Calculator!$B$30&lt;Calculator!$G$13),"—",ROUND(MAX((50*POWER(80,POWER(COS(PI()*MOD(Calculator!$B$30/Calculator!$F$13,1)),2)))/$C99,$C99/(50*POWER(80,POWER(COS(PI()*MOD(Calculator!$B$30/Calculator!$F$13,1)),2)))),2))</f>
        <v>—</v>
      </c>
      <c r="G99" s="74" t="n">
        <f aca="false">IF(OR(Calculator!$E$14&lt;&gt;"YES",Calculator!$B$30&lt;Calculator!$G$14),"—",ROUND(MAX((50*POWER(80,POWER(COS(PI()*MOD(Calculator!$B$30/Calculator!$F$14,1)),2)))/$C99,$C99/(50*POWER(80,POWER(COS(PI()*MOD(Calculator!$B$30/Calculator!$F$14,1)),2)))),2))</f>
        <v>30.27</v>
      </c>
      <c r="H99" s="74" t="n">
        <f aca="false">IF(OR(Calculator!$E$15&lt;&gt;"YES",Calculator!$B$30&lt;Calculator!$G$15),"—",ROUND(MAX((50*POWER(80,POWER(COS(PI()*MOD(Calculator!$B$30/Calculator!$F$15,1)),2)))/$C99,$C99/(50*POWER(80,POWER(COS(PI()*MOD(Calculator!$B$30/Calculator!$F$15,1)),2)))),2))</f>
        <v>8.78</v>
      </c>
      <c r="I99" s="74" t="n">
        <f aca="false">IF(OR(Calculator!$E$16&lt;&gt;"YES",Calculator!$B$30&lt;Calculator!$G$16),"—",ROUND(MAX((50*POWER(80,POWER(COS(PI()*MOD(Calculator!$B$30/Calculator!$F$16,1)),2)))/$C99,$C99/(50*POWER(80,POWER(COS(PI()*MOD(Calculator!$B$30/Calculator!$F$16,1)),2)))),2))</f>
        <v>6</v>
      </c>
      <c r="J99" s="74" t="n">
        <f aca="false">IF(OR(Calculator!$E$17&lt;&gt;"YES",Calculator!$B$30&lt;Calculator!$G$17),"—",ROUND(MAX((50*POWER(80,POWER(COS(PI()*MOD(Calculator!$B$30/Calculator!$F$17,1)),2)))/$C99,$C99/(50*POWER(80,POWER(COS(PI()*MOD(Calculator!$B$30/Calculator!$F$17,1)),2)))),2))</f>
        <v>16.84</v>
      </c>
      <c r="K99" s="74" t="n">
        <f aca="false">IF(OR(Calculator!$E$18&lt;&gt;"YES",Calculator!$B$30&lt;Calculator!$G$18),"—",ROUND(MAX((50*POWER(80,POWER(COS(PI()*MOD(Calculator!$B$30/Calculator!$F$18,1)),2)))/$C99,$C99/(50*POWER(80,POWER(COS(PI()*MOD(Calculator!$B$30/Calculator!$F$18,1)),2)))),2))</f>
        <v>2.4</v>
      </c>
      <c r="L99" s="74" t="n">
        <f aca="false">IF(OR(Calculator!$E$19&lt;&gt;"YES",Calculator!$B$30&lt;Calculator!$G$19),"—",ROUND(MAX((50*POWER(80,POWER(COS(PI()*MOD(Calculator!$B$30/Calculator!$F$19,1)),2)))/$C99,$C99/(50*POWER(80,POWER(COS(PI()*MOD(Calculator!$B$30/Calculator!$F$19,1)),2)))),2))</f>
        <v>4.26</v>
      </c>
      <c r="M99" s="74" t="n">
        <f aca="false">IF(OR(Calculator!$E$20&lt;&gt;"YES",Calculator!$B$30&lt;Calculator!$G$20),"—",ROUND(MAX((50*POWER(80,POWER(COS(PI()*MOD(Calculator!$B$30/Calculator!$F$20,1)),2)))/$C99,$C99/(50*POWER(80,POWER(COS(PI()*MOD(Calculator!$B$30/Calculator!$F$20,1)),2)))),2))</f>
        <v>26.46</v>
      </c>
      <c r="N99" s="74" t="str">
        <f aca="false">IF(OR(Calculator!$E$21&lt;&gt;"YES",Calculator!$B$30&lt;Calculator!$G$21),"—",ROUND(MAX((50*POWER(80,POWER(COS(PI()*MOD(Calculator!$B$30/Calculator!$F$21,1)),2)))/$C99,$C99/(50*POWER(80,POWER(COS(PI()*MOD(Calculator!$B$30/Calculator!$F$21,1)),2)))),2))</f>
        <v>—</v>
      </c>
      <c r="O99" s="107" t="n">
        <f aca="false">IFERROR(ROUND((IF(ISNUMBER(D99),D99,0)+IF(ISNUMBER(E99),E99,0)+IF(ISNUMBER(F99),F99,0)+IF(ISNUMBER(G99),G99,0)+IF(ISNUMBER(H99),H99,0)+IF(ISNUMBER(I99),I99,0)+IF(ISNUMBER(J99),J99,0)+IF(ISNUMBER(K99),K99,0)+IF(ISNUMBER(L99),L99,0)+IF(ISNUMBER(M99),M99,0)+IF(ISNUMBER(N99),N99,0))/(IF(ISNUMBER(D99),1,0)+IF(ISNUMBER(E99),1,0)+IF(ISNUMBER(F99),1,0)+IF(ISNUMBER(G99),1,0)+IF(ISNUMBER(H99),1,0)+IF(ISNUMBER(I99),1,0)+IF(ISNUMBER(J99),1,0)+IF(ISNUMBER(K99),1,0)+IF(ISNUMBER(L99),1,0)+IF(ISNUMBER(M99),1,0)+IF(ISNUMBER(N99),1,0)),2),"")</f>
        <v>13.57</v>
      </c>
      <c r="P99" s="74" t="str">
        <f aca="false">IF(OR(Calculator!$E$11&lt;&gt;"YES",Calculator!$B$31&lt;Calculator!$G$11),"—",ROUND(MAX((50*POWER(80,POWER(COS(PI()*MOD(Calculator!$B$31/Calculator!$F$11,1)),2)))/$C99,$C99/(50*POWER(80,POWER(COS(PI()*MOD(Calculator!$B$31/Calculator!$F$11,1)),2)))),2))</f>
        <v>—</v>
      </c>
      <c r="Q99" s="74" t="str">
        <f aca="false">IF(OR(Calculator!$E$12&lt;&gt;"YES",Calculator!$B$31&lt;Calculator!$G$12),"—",ROUND(MAX((50*POWER(80,POWER(COS(PI()*MOD(Calculator!$B$31/Calculator!$F$12,1)),2)))/$C99,$C99/(50*POWER(80,POWER(COS(PI()*MOD(Calculator!$B$31/Calculator!$F$12,1)),2)))),2))</f>
        <v>—</v>
      </c>
      <c r="R99" s="74" t="str">
        <f aca="false">IF(OR(Calculator!$E$13&lt;&gt;"YES",Calculator!$B$31&lt;Calculator!$G$13),"—",ROUND(MAX((50*POWER(80,POWER(COS(PI()*MOD(Calculator!$B$31/Calculator!$F$13,1)),2)))/$C99,$C99/(50*POWER(80,POWER(COS(PI()*MOD(Calculator!$B$31/Calculator!$F$13,1)),2)))),2))</f>
        <v>—</v>
      </c>
      <c r="S99" s="74" t="n">
        <f aca="false">IF(OR(Calculator!$E$14&lt;&gt;"YES",Calculator!$B$31&lt;Calculator!$G$14),"—",ROUND(MAX((50*POWER(80,POWER(COS(PI()*MOD(Calculator!$B$31/Calculator!$F$14,1)),2)))/$C99,$C99/(50*POWER(80,POWER(COS(PI()*MOD(Calculator!$B$31/Calculator!$F$14,1)),2)))),2))</f>
        <v>30.99</v>
      </c>
      <c r="T99" s="74" t="n">
        <f aca="false">IF(OR(Calculator!$E$15&lt;&gt;"YES",Calculator!$B$31&lt;Calculator!$G$15),"—",ROUND(MAX((50*POWER(80,POWER(COS(PI()*MOD(Calculator!$B$31/Calculator!$F$15,1)),2)))/$C99,$C99/(50*POWER(80,POWER(COS(PI()*MOD(Calculator!$B$31/Calculator!$F$15,1)),2)))),2))</f>
        <v>18.86</v>
      </c>
      <c r="U99" s="74" t="n">
        <f aca="false">IF(OR(Calculator!$E$16&lt;&gt;"YES",Calculator!$B$31&lt;Calculator!$G$16),"—",ROUND(MAX((50*POWER(80,POWER(COS(PI()*MOD(Calculator!$B$31/Calculator!$F$16,1)),2)))/$C99,$C99/(50*POWER(80,POWER(COS(PI()*MOD(Calculator!$B$31/Calculator!$F$16,1)),2)))),2))</f>
        <v>7.18</v>
      </c>
      <c r="V99" s="74" t="n">
        <f aca="false">IF(OR(Calculator!$E$17&lt;&gt;"YES",Calculator!$B$31&lt;Calculator!$G$17),"—",ROUND(MAX((50*POWER(80,POWER(COS(PI()*MOD(Calculator!$B$31/Calculator!$F$17,1)),2)))/$C99,$C99/(50*POWER(80,POWER(COS(PI()*MOD(Calculator!$B$31/Calculator!$F$17,1)),2)))),2))</f>
        <v>2.07</v>
      </c>
      <c r="W99" s="74" t="n">
        <f aca="false">IF(OR(Calculator!$E$18&lt;&gt;"YES",Calculator!$B$31&lt;Calculator!$G$18),"—",ROUND(MAX((50*POWER(80,POWER(COS(PI()*MOD(Calculator!$B$31/Calculator!$F$18,1)),2)))/$C99,$C99/(50*POWER(80,POWER(COS(PI()*MOD(Calculator!$B$31/Calculator!$F$18,1)),2)))),2))</f>
        <v>1.82</v>
      </c>
      <c r="X99" s="74" t="n">
        <f aca="false">IF(OR(Calculator!$E$19&lt;&gt;"YES",Calculator!$B$31&lt;Calculator!$G$19),"—",ROUND(MAX((50*POWER(80,POWER(COS(PI()*MOD(Calculator!$B$31/Calculator!$F$19,1)),2)))/$C99,$C99/(50*POWER(80,POWER(COS(PI()*MOD(Calculator!$B$31/Calculator!$F$19,1)),2)))),2))</f>
        <v>12.45</v>
      </c>
      <c r="Y99" s="74" t="n">
        <f aca="false">IF(OR(Calculator!$E$20&lt;&gt;"YES",Calculator!$B$31&lt;Calculator!$G$20),"—",ROUND(MAX((50*POWER(80,POWER(COS(PI()*MOD(Calculator!$B$31/Calculator!$F$20,1)),2)))/$C99,$C99/(50*POWER(80,POWER(COS(PI()*MOD(Calculator!$B$31/Calculator!$F$20,1)),2)))),2))</f>
        <v>41.1</v>
      </c>
      <c r="Z99" s="74" t="str">
        <f aca="false">IF(OR(Calculator!$E$21&lt;&gt;"YES",Calculator!$B$31&lt;Calculator!$G$21),"—",ROUND(MAX((50*POWER(80,POWER(COS(PI()*MOD(Calculator!$B$31/Calculator!$F$21,1)),2)))/$C99,$C99/(50*POWER(80,POWER(COS(PI()*MOD(Calculator!$B$31/Calculator!$F$21,1)),2)))),2))</f>
        <v>—</v>
      </c>
      <c r="AA99" s="107" t="n">
        <f aca="false">IFERROR(ROUND((IF(ISNUMBER(P99),P99,0)+IF(ISNUMBER(Q99),Q99,0)+IF(ISNUMBER(R99),R99,0)+IF(ISNUMBER(S99),S99,0)+IF(ISNUMBER(T99),T99,0)+IF(ISNUMBER(U99),U99,0)+IF(ISNUMBER(V99),V99,0)+IF(ISNUMBER(W99),W99,0)+IF(ISNUMBER(X99),X99,0)+IF(ISNUMBER(Y99),Y99,0)+IF(ISNUMBER(Z99),Z99,0))/(IF(ISNUMBER(P99),1,0)+IF(ISNUMBER(Q99),1,0)+IF(ISNUMBER(R99),1,0)+IF(ISNUMBER(S99),1,0)+IF(ISNUMBER(T99),1,0)+IF(ISNUMBER(U99),1,0)+IF(ISNUMBER(V99),1,0)+IF(ISNUMBER(W99),1,0)+IF(ISNUMBER(X99),1,0)+IF(ISNUMBER(Y99),1,0)+IF(ISNUMBER(Z99),1,0)),2),"")</f>
        <v>16.35</v>
      </c>
      <c r="AB99" s="74" t="str">
        <f aca="false">IF(OR(Calculator!$E$11&lt;&gt;"YES",Calculator!$B$32&lt;Calculator!$G$11),"—",ROUND(MAX((50*POWER(80,POWER(COS(PI()*MOD(Calculator!$B$32/Calculator!$F$11,1)),2)))/$C99,$C99/(50*POWER(80,POWER(COS(PI()*MOD(Calculator!$B$32/Calculator!$F$11,1)),2)))),2))</f>
        <v>—</v>
      </c>
      <c r="AC99" s="74" t="str">
        <f aca="false">IF(OR(Calculator!$E$12&lt;&gt;"YES",Calculator!$B$32&lt;Calculator!$G$12),"—",ROUND(MAX((50*POWER(80,POWER(COS(PI()*MOD(Calculator!$B$32/Calculator!$F$12,1)),2)))/$C99,$C99/(50*POWER(80,POWER(COS(PI()*MOD(Calculator!$B$32/Calculator!$F$12,1)),2)))),2))</f>
        <v>—</v>
      </c>
      <c r="AD99" s="74" t="str">
        <f aca="false">IF(OR(Calculator!$E$13&lt;&gt;"YES",Calculator!$B$32&lt;Calculator!$G$13),"—",ROUND(MAX((50*POWER(80,POWER(COS(PI()*MOD(Calculator!$B$32/Calculator!$F$13,1)),2)))/$C99,$C99/(50*POWER(80,POWER(COS(PI()*MOD(Calculator!$B$32/Calculator!$F$13,1)),2)))),2))</f>
        <v>—</v>
      </c>
      <c r="AE99" s="74" t="n">
        <f aca="false">IF(OR(Calculator!$E$14&lt;&gt;"YES",Calculator!$B$32&lt;Calculator!$G$14),"—",ROUND(MAX((50*POWER(80,POWER(COS(PI()*MOD(Calculator!$B$32/Calculator!$F$14,1)),2)))/$C99,$C99/(50*POWER(80,POWER(COS(PI()*MOD(Calculator!$B$32/Calculator!$F$14,1)),2)))),2))</f>
        <v>19.57</v>
      </c>
      <c r="AF99" s="74" t="n">
        <f aca="false">IF(OR(Calculator!$E$15&lt;&gt;"YES",Calculator!$B$32&lt;Calculator!$G$15),"—",ROUND(MAX((50*POWER(80,POWER(COS(PI()*MOD(Calculator!$B$32/Calculator!$F$15,1)),2)))/$C99,$C99/(50*POWER(80,POWER(COS(PI()*MOD(Calculator!$B$32/Calculator!$F$15,1)),2)))),2))</f>
        <v>12.65</v>
      </c>
      <c r="AG99" s="74" t="n">
        <f aca="false">IF(OR(Calculator!$E$16&lt;&gt;"YES",Calculator!$B$32&lt;Calculator!$G$16),"—",ROUND(MAX((50*POWER(80,POWER(COS(PI()*MOD(Calculator!$B$32/Calculator!$F$16,1)),2)))/$C99,$C99/(50*POWER(80,POWER(COS(PI()*MOD(Calculator!$B$32/Calculator!$F$16,1)),2)))),2))</f>
        <v>42.72</v>
      </c>
      <c r="AH99" s="74" t="n">
        <f aca="false">IF(OR(Calculator!$E$17&lt;&gt;"YES",Calculator!$B$32&lt;Calculator!$G$17),"—",ROUND(MAX((50*POWER(80,POWER(COS(PI()*MOD(Calculator!$B$32/Calculator!$F$17,1)),2)))/$C99,$C99/(50*POWER(80,POWER(COS(PI()*MOD(Calculator!$B$32/Calculator!$F$17,1)),2)))),2))</f>
        <v>1.45</v>
      </c>
      <c r="AI99" s="74" t="n">
        <f aca="false">IF(OR(Calculator!$E$18&lt;&gt;"YES",Calculator!$B$32&lt;Calculator!$G$18),"—",ROUND(MAX((50*POWER(80,POWER(COS(PI()*MOD(Calculator!$B$32/Calculator!$F$18,1)),2)))/$C99,$C99/(50*POWER(80,POWER(COS(PI()*MOD(Calculator!$B$32/Calculator!$F$18,1)),2)))),2))</f>
        <v>1.34</v>
      </c>
      <c r="AJ99" s="74" t="n">
        <f aca="false">IF(OR(Calculator!$E$19&lt;&gt;"YES",Calculator!$B$32&lt;Calculator!$G$19),"—",ROUND(MAX((50*POWER(80,POWER(COS(PI()*MOD(Calculator!$B$32/Calculator!$F$19,1)),2)))/$C99,$C99/(50*POWER(80,POWER(COS(PI()*MOD(Calculator!$B$32/Calculator!$F$19,1)),2)))),2))</f>
        <v>1.27</v>
      </c>
      <c r="AK99" s="74" t="n">
        <f aca="false">IF(OR(Calculator!$E$20&lt;&gt;"YES",Calculator!$B$32&lt;Calculator!$G$20),"—",ROUND(MAX((50*POWER(80,POWER(COS(PI()*MOD(Calculator!$B$32/Calculator!$F$20,1)),2)))/$C99,$C99/(50*POWER(80,POWER(COS(PI()*MOD(Calculator!$B$32/Calculator!$F$20,1)),2)))),2))</f>
        <v>33.6</v>
      </c>
      <c r="AL99" s="74" t="str">
        <f aca="false">IF(OR(Calculator!$E$21&lt;&gt;"YES",Calculator!$B$32&lt;Calculator!$G$21),"—",ROUND(MAX((50*POWER(80,POWER(COS(PI()*MOD(Calculator!$B$32/Calculator!$F$21,1)),2)))/$C99,$C99/(50*POWER(80,POWER(COS(PI()*MOD(Calculator!$B$32/Calculator!$F$21,1)),2)))),2))</f>
        <v>—</v>
      </c>
      <c r="AM99" s="101" t="n">
        <f aca="false">IFERROR(ROUND((IF(ISNUMBER(AB99),AB99,0)+IF(ISNUMBER(AC99),AC99,0)+IF(ISNUMBER(AD99),AD99,0)+IF(ISNUMBER(AE99),AE99,0)+IF(ISNUMBER(AF99),AF99,0)+IF(ISNUMBER(AG99),AG99,0)+IF(ISNUMBER(AH99),AH99,0)+IF(ISNUMBER(AI99),AI99,0)+IF(ISNUMBER(AJ99),AJ99,0)+IF(ISNUMBER(AK99),AK99,0)+IF(ISNUMBER(AL99),AL99,0))/(IF(ISNUMBER(AB99),1,0)+IF(ISNUMBER(AC99),1,0)+IF(ISNUMBER(AD99),1,0)+IF(ISNUMBER(AE99),1,0)+IF(ISNUMBER(AF99),1,0)+IF(ISNUMBER(AG99),1,0)+IF(ISNUMBER(AH99),1,0)+IF(ISNUMBER(AI99),1,0)+IF(ISNUMBER(AJ99),1,0)+IF(ISNUMBER(AK99),1,0)+IF(ISNUMBER(AL99),1,0)),2),"")</f>
        <v>16.09</v>
      </c>
      <c r="AN99" s="102" t="str">
        <f aca="false">IF(OR(Calculator!$E$11&lt;&gt;"YES",Calculator!$B$33&lt;Calculator!$G$11),"—",ROUND(MAX((50*POWER(80,POWER(COS(PI()*MOD(Calculator!$B$33/Calculator!$F$11,1)),2)))/$C99,$C99/(50*POWER(80,POWER(COS(PI()*MOD(Calculator!$B$33/Calculator!$F$11,1)),2)))),2))</f>
        <v>—</v>
      </c>
      <c r="AO99" s="102" t="str">
        <f aca="false">IF(OR(Calculator!$E$12&lt;&gt;"YES",Calculator!$B$33&lt;Calculator!$G$12),"—",ROUND(MAX((50*POWER(80,POWER(COS(PI()*MOD(Calculator!$B$33/Calculator!$F$12,1)),2)))/$C99,$C99/(50*POWER(80,POWER(COS(PI()*MOD(Calculator!$B$33/Calculator!$F$12,1)),2)))),2))</f>
        <v>—</v>
      </c>
      <c r="AP99" s="102" t="str">
        <f aca="false">IF(OR(Calculator!$E$13&lt;&gt;"YES",Calculator!$B$33&lt;Calculator!$G$13),"—",ROUND(MAX((50*POWER(80,POWER(COS(PI()*MOD(Calculator!$B$33/Calculator!$F$13,1)),2)))/$C99,$C99/(50*POWER(80,POWER(COS(PI()*MOD(Calculator!$B$33/Calculator!$F$13,1)),2)))),2))</f>
        <v>—</v>
      </c>
      <c r="AQ99" s="102" t="n">
        <f aca="false">IF(OR(Calculator!$E$14&lt;&gt;"YES",Calculator!$B$33&lt;Calculator!$G$14),"—",ROUND(MAX((50*POWER(80,POWER(COS(PI()*MOD(Calculator!$B$33/Calculator!$F$14,1)),2)))/$C99,$C99/(50*POWER(80,POWER(COS(PI()*MOD(Calculator!$B$33/Calculator!$F$14,1)),2)))),2))</f>
        <v>1.23</v>
      </c>
      <c r="AR99" s="102" t="n">
        <f aca="false">IF(OR(Calculator!$E$15&lt;&gt;"YES",Calculator!$B$33&lt;Calculator!$G$15),"—",ROUND(MAX((50*POWER(80,POWER(COS(PI()*MOD(Calculator!$B$33/Calculator!$F$15,1)),2)))/$C99,$C99/(50*POWER(80,POWER(COS(PI()*MOD(Calculator!$B$33/Calculator!$F$15,1)),2)))),2))</f>
        <v>11.41</v>
      </c>
      <c r="AS99" s="102" t="n">
        <f aca="false">IF(OR(Calculator!$E$16&lt;&gt;"YES",Calculator!$B$33&lt;Calculator!$G$16),"—",ROUND(MAX((50*POWER(80,POWER(COS(PI()*MOD(Calculator!$B$33/Calculator!$F$16,1)),2)))/$C99,$C99/(50*POWER(80,POWER(COS(PI()*MOD(Calculator!$B$33/Calculator!$F$16,1)),2)))),2))</f>
        <v>4.17</v>
      </c>
      <c r="AT99" s="102" t="n">
        <f aca="false">IF(OR(Calculator!$E$17&lt;&gt;"YES",Calculator!$B$33&lt;Calculator!$G$17),"—",ROUND(MAX((50*POWER(80,POWER(COS(PI()*MOD(Calculator!$B$33/Calculator!$F$17,1)),2)))/$C99,$C99/(50*POWER(80,POWER(COS(PI()*MOD(Calculator!$B$33/Calculator!$F$17,1)),2)))),2))</f>
        <v>13.24</v>
      </c>
      <c r="AU99" s="102" t="n">
        <f aca="false">IF(OR(Calculator!$E$18&lt;&gt;"YES",Calculator!$B$33&lt;Calculator!$G$18),"—",ROUND(MAX((50*POWER(80,POWER(COS(PI()*MOD(Calculator!$B$33/Calculator!$F$18,1)),2)))/$C99,$C99/(50*POWER(80,POWER(COS(PI()*MOD(Calculator!$B$33/Calculator!$F$18,1)),2)))),2))</f>
        <v>17.91</v>
      </c>
      <c r="AV99" s="102" t="n">
        <f aca="false">IF(OR(Calculator!$E$19&lt;&gt;"YES",Calculator!$B$33&lt;Calculator!$G$19),"—",ROUND(MAX((50*POWER(80,POWER(COS(PI()*MOD(Calculator!$B$33/Calculator!$F$19,1)),2)))/$C99,$C99/(50*POWER(80,POWER(COS(PI()*MOD(Calculator!$B$33/Calculator!$F$19,1)),2)))),2))</f>
        <v>2.18</v>
      </c>
      <c r="AW99" s="102" t="n">
        <f aca="false">IF(OR(Calculator!$E$20&lt;&gt;"YES",Calculator!$B$33&lt;Calculator!$G$20),"—",ROUND(MAX((50*POWER(80,POWER(COS(PI()*MOD(Calculator!$B$33/Calculator!$F$20,1)),2)))/$C99,$C99/(50*POWER(80,POWER(COS(PI()*MOD(Calculator!$B$33/Calculator!$F$20,1)),2)))),2))</f>
        <v>27.34</v>
      </c>
      <c r="AX99" s="102" t="str">
        <f aca="false">IF(OR(Calculator!$E$21&lt;&gt;"YES",Calculator!$B$33&lt;Calculator!$G$21),"—",ROUND(MAX((50*POWER(80,POWER(COS(PI()*MOD(Calculator!$B$33/Calculator!$F$21,1)),2)))/$C99,$C99/(50*POWER(80,POWER(COS(PI()*MOD(Calculator!$B$33/Calculator!$F$21,1)),2)))),2))</f>
        <v>—</v>
      </c>
      <c r="AY99" s="101" t="n">
        <f aca="false">IFERROR(ROUND((IF(ISNUMBER(AN99),AN99,0)+IF(ISNUMBER(AO99),AO99,0)+IF(ISNUMBER(AP99),AP99,0)+IF(ISNUMBER(AQ99),AQ99,0)+IF(ISNUMBER(AR99),AR99,0)+IF(ISNUMBER(AS99),AS99,0)+IF(ISNUMBER(AT99),AT99,0)+IF(ISNUMBER(AU99),AU99,0)+IF(ISNUMBER(AV99),AV99,0)+IF(ISNUMBER(AW99),AW99,0)+IF(ISNUMBER(AX99),AX99,0))/(IF(ISNUMBER(AN99),1,0)+IF(ISNUMBER(AO99),1,0)+IF(ISNUMBER(AP99),1,0)+IF(ISNUMBER(AQ99),1,0)+IF(ISNUMBER(AR99),1,0)+IF(ISNUMBER(AS99),1,0)+IF(ISNUMBER(AT99),1,0)+IF(ISNUMBER(AU99),1,0)+IF(ISNUMBER(AV99),1,0)+IF(ISNUMBER(AW99),1,0)+IF(ISNUMBER(AX99),1,0)),2),"")</f>
        <v>11.07</v>
      </c>
      <c r="AZ99" s="102" t="str">
        <f aca="false">IF(OR(Calculator!$E$11&lt;&gt;"YES",Calculator!$B$34&lt;Calculator!$G$11),"—",ROUND(MAX((50*POWER(80,POWER(COS(PI()*MOD(Calculator!$B$34/Calculator!$F$11,1)),2)))/$C99,$C99/(50*POWER(80,POWER(COS(PI()*MOD(Calculator!$B$34/Calculator!$F$11,1)),2)))),2))</f>
        <v>—</v>
      </c>
      <c r="BA99" s="102" t="str">
        <f aca="false">IF(OR(Calculator!$E$12&lt;&gt;"YES",Calculator!$B$34&lt;Calculator!$G$12),"—",ROUND(MAX((50*POWER(80,POWER(COS(PI()*MOD(Calculator!$B$34/Calculator!$F$12,1)),2)))/$C99,$C99/(50*POWER(80,POWER(COS(PI()*MOD(Calculator!$B$34/Calculator!$F$12,1)),2)))),2))</f>
        <v>—</v>
      </c>
      <c r="BB99" s="102" t="str">
        <f aca="false">IF(OR(Calculator!$E$13&lt;&gt;"YES",Calculator!$B$34&lt;Calculator!$G$13),"—",ROUND(MAX((50*POWER(80,POWER(COS(PI()*MOD(Calculator!$B$34/Calculator!$F$13,1)),2)))/$C99,$C99/(50*POWER(80,POWER(COS(PI()*MOD(Calculator!$B$34/Calculator!$F$13,1)),2)))),2))</f>
        <v>—</v>
      </c>
      <c r="BC99" s="102" t="n">
        <f aca="false">IF(OR(Calculator!$E$14&lt;&gt;"YES",Calculator!$B$34&lt;Calculator!$G$14),"—",ROUND(MAX((50*POWER(80,POWER(COS(PI()*MOD(Calculator!$B$34/Calculator!$F$14,1)),2)))/$C99,$C99/(50*POWER(80,POWER(COS(PI()*MOD(Calculator!$B$34/Calculator!$F$14,1)),2)))),2))</f>
        <v>1.21</v>
      </c>
      <c r="BD99" s="102" t="n">
        <f aca="false">IF(OR(Calculator!$E$15&lt;&gt;"YES",Calculator!$B$34&lt;Calculator!$G$15),"—",ROUND(MAX((50*POWER(80,POWER(COS(PI()*MOD(Calculator!$B$34/Calculator!$F$15,1)),2)))/$C99,$C99/(50*POWER(80,POWER(COS(PI()*MOD(Calculator!$B$34/Calculator!$F$15,1)),2)))),2))</f>
        <v>14.74</v>
      </c>
      <c r="BE99" s="102" t="n">
        <f aca="false">IF(OR(Calculator!$E$16&lt;&gt;"YES",Calculator!$B$34&lt;Calculator!$G$16),"—",ROUND(MAX((50*POWER(80,POWER(COS(PI()*MOD(Calculator!$B$34/Calculator!$F$16,1)),2)))/$C99,$C99/(50*POWER(80,POWER(COS(PI()*MOD(Calculator!$B$34/Calculator!$F$16,1)),2)))),2))</f>
        <v>4.97</v>
      </c>
      <c r="BF99" s="102" t="n">
        <f aca="false">IF(OR(Calculator!$E$17&lt;&gt;"YES",Calculator!$B$34&lt;Calculator!$G$17),"—",ROUND(MAX((50*POWER(80,POWER(COS(PI()*MOD(Calculator!$B$34/Calculator!$F$17,1)),2)))/$C99,$C99/(50*POWER(80,POWER(COS(PI()*MOD(Calculator!$B$34/Calculator!$F$17,1)),2)))),2))</f>
        <v>2.56</v>
      </c>
      <c r="BG99" s="102" t="n">
        <f aca="false">IF(OR(Calculator!$E$18&lt;&gt;"YES",Calculator!$B$34&lt;Calculator!$G$18),"—",ROUND(MAX((50*POWER(80,POWER(COS(PI()*MOD(Calculator!$B$34/Calculator!$F$18,1)),2)))/$C99,$C99/(50*POWER(80,POWER(COS(PI()*MOD(Calculator!$B$34/Calculator!$F$18,1)),2)))),2))</f>
        <v>24.23</v>
      </c>
      <c r="BH99" s="102" t="n">
        <f aca="false">IF(OR(Calculator!$E$19&lt;&gt;"YES",Calculator!$B$34&lt;Calculator!$G$19),"—",ROUND(MAX((50*POWER(80,POWER(COS(PI()*MOD(Calculator!$B$34/Calculator!$F$19,1)),2)))/$C99,$C99/(50*POWER(80,POWER(COS(PI()*MOD(Calculator!$B$34/Calculator!$F$19,1)),2)))),2))</f>
        <v>26.95</v>
      </c>
      <c r="BI99" s="102" t="n">
        <f aca="false">IF(OR(Calculator!$E$20&lt;&gt;"YES",Calculator!$B$34&lt;Calculator!$G$20),"—",ROUND(MAX((50*POWER(80,POWER(COS(PI()*MOD(Calculator!$B$34/Calculator!$F$20,1)),2)))/$C99,$C99/(50*POWER(80,POWER(COS(PI()*MOD(Calculator!$B$34/Calculator!$F$20,1)),2)))),2))</f>
        <v>16.08</v>
      </c>
      <c r="BJ99" s="102" t="str">
        <f aca="false">IF(OR(Calculator!$E$21&lt;&gt;"YES",Calculator!$B$34&lt;Calculator!$G$21),"—",ROUND(MAX((50*POWER(80,POWER(COS(PI()*MOD(Calculator!$B$34/Calculator!$F$21,1)),2)))/$C99,$C99/(50*POWER(80,POWER(COS(PI()*MOD(Calculator!$B$34/Calculator!$F$21,1)),2)))),2))</f>
        <v>—</v>
      </c>
      <c r="BK99" s="101" t="n">
        <f aca="false">IFERROR(ROUND((IF(ISNUMBER(AZ99),AZ99,0)+IF(ISNUMBER(BA99),BA99,0)+IF(ISNUMBER(BB99),BB99,0)+IF(ISNUMBER(BC99),BC99,0)+IF(ISNUMBER(BD99),BD99,0)+IF(ISNUMBER(BE99),BE99,0)+IF(ISNUMBER(BF99),BF99,0)+IF(ISNUMBER(BG99),BG99,0)+IF(ISNUMBER(BH99),BH99,0)+IF(ISNUMBER(BI99),BI99,0)+IF(ISNUMBER(BJ99),BJ99,0))/(IF(ISNUMBER(AZ99),1,0)+IF(ISNUMBER(BA99),1,0)+IF(ISNUMBER(BB99),1,0)+IF(ISNUMBER(BC99),1,0)+IF(ISNUMBER(BD99),1,0)+IF(ISNUMBER(BE99),1,0)+IF(ISNUMBER(BF99),1,0)+IF(ISNUMBER(BG99),1,0)+IF(ISNUMBER(BH99),1,0)+IF(ISNUMBER(BI99),1,0)+IF(ISNUMBER(BJ99),1,0)),2),"")</f>
        <v>12.96</v>
      </c>
    </row>
    <row r="100" customFormat="false" ht="15" hidden="false" customHeight="false" outlineLevel="0" collapsed="false">
      <c r="A100" s="103" t="s">
        <v>151</v>
      </c>
      <c r="B100" s="106" t="s">
        <v>86</v>
      </c>
      <c r="C100" s="106" t="n">
        <v>3400</v>
      </c>
      <c r="D100" s="106" t="str">
        <f aca="false">IF(OR(Calculator!$E$11&lt;&gt;"YES",Calculator!$B$30&lt;Calculator!$G$11),"—",ROUND(MAX((50*POWER(80,POWER(COS(PI()*MOD(Calculator!$B$30/Calculator!$F$11,1)),2)))/$C100,$C100/(50*POWER(80,POWER(COS(PI()*MOD(Calculator!$B$30/Calculator!$F$11,1)),2)))),2))</f>
        <v>—</v>
      </c>
      <c r="E100" s="106" t="str">
        <f aca="false">IF(OR(Calculator!$E$12&lt;&gt;"YES",Calculator!$B$30&lt;Calculator!$G$12),"—",ROUND(MAX((50*POWER(80,POWER(COS(PI()*MOD(Calculator!$B$30/Calculator!$F$12,1)),2)))/$C100,$C100/(50*POWER(80,POWER(COS(PI()*MOD(Calculator!$B$30/Calculator!$F$12,1)),2)))),2))</f>
        <v>—</v>
      </c>
      <c r="F100" s="106" t="str">
        <f aca="false">IF(OR(Calculator!$E$13&lt;&gt;"YES",Calculator!$B$30&lt;Calculator!$G$13),"—",ROUND(MAX((50*POWER(80,POWER(COS(PI()*MOD(Calculator!$B$30/Calculator!$F$13,1)),2)))/$C100,$C100/(50*POWER(80,POWER(COS(PI()*MOD(Calculator!$B$30/Calculator!$F$13,1)),2)))),2))</f>
        <v>—</v>
      </c>
      <c r="G100" s="106" t="n">
        <f aca="false">IF(OR(Calculator!$E$14&lt;&gt;"YES",Calculator!$B$30&lt;Calculator!$G$14),"—",ROUND(MAX((50*POWER(80,POWER(COS(PI()*MOD(Calculator!$B$30/Calculator!$F$14,1)),2)))/$C100,$C100/(50*POWER(80,POWER(COS(PI()*MOD(Calculator!$B$30/Calculator!$F$14,1)),2)))),2))</f>
        <v>30.73</v>
      </c>
      <c r="H100" s="106" t="n">
        <f aca="false">IF(OR(Calculator!$E$15&lt;&gt;"YES",Calculator!$B$30&lt;Calculator!$G$15),"—",ROUND(MAX((50*POWER(80,POWER(COS(PI()*MOD(Calculator!$B$30/Calculator!$F$15,1)),2)))/$C100,$C100/(50*POWER(80,POWER(COS(PI()*MOD(Calculator!$B$30/Calculator!$F$15,1)),2)))),2))</f>
        <v>8.91</v>
      </c>
      <c r="I100" s="106" t="n">
        <f aca="false">IF(OR(Calculator!$E$16&lt;&gt;"YES",Calculator!$B$30&lt;Calculator!$G$16),"—",ROUND(MAX((50*POWER(80,POWER(COS(PI()*MOD(Calculator!$B$30/Calculator!$F$16,1)),2)))/$C100,$C100/(50*POWER(80,POWER(COS(PI()*MOD(Calculator!$B$30/Calculator!$F$16,1)),2)))),2))</f>
        <v>6.09</v>
      </c>
      <c r="J100" s="106" t="n">
        <f aca="false">IF(OR(Calculator!$E$17&lt;&gt;"YES",Calculator!$B$30&lt;Calculator!$G$17),"—",ROUND(MAX((50*POWER(80,POWER(COS(PI()*MOD(Calculator!$B$30/Calculator!$F$17,1)),2)))/$C100,$C100/(50*POWER(80,POWER(COS(PI()*MOD(Calculator!$B$30/Calculator!$F$17,1)),2)))),2))</f>
        <v>17.09</v>
      </c>
      <c r="K100" s="106" t="n">
        <f aca="false">IF(OR(Calculator!$E$18&lt;&gt;"YES",Calculator!$B$30&lt;Calculator!$G$18),"—",ROUND(MAX((50*POWER(80,POWER(COS(PI()*MOD(Calculator!$B$30/Calculator!$F$18,1)),2)))/$C100,$C100/(50*POWER(80,POWER(COS(PI()*MOD(Calculator!$B$30/Calculator!$F$18,1)),2)))),2))</f>
        <v>2.44</v>
      </c>
      <c r="L100" s="106" t="n">
        <f aca="false">IF(OR(Calculator!$E$19&lt;&gt;"YES",Calculator!$B$30&lt;Calculator!$G$19),"—",ROUND(MAX((50*POWER(80,POWER(COS(PI()*MOD(Calculator!$B$30/Calculator!$F$19,1)),2)))/$C100,$C100/(50*POWER(80,POWER(COS(PI()*MOD(Calculator!$B$30/Calculator!$F$19,1)),2)))),2))</f>
        <v>4.33</v>
      </c>
      <c r="M100" s="106" t="n">
        <f aca="false">IF(OR(Calculator!$E$20&lt;&gt;"YES",Calculator!$B$30&lt;Calculator!$G$20),"—",ROUND(MAX((50*POWER(80,POWER(COS(PI()*MOD(Calculator!$B$30/Calculator!$F$20,1)),2)))/$C100,$C100/(50*POWER(80,POWER(COS(PI()*MOD(Calculator!$B$30/Calculator!$F$20,1)),2)))),2))</f>
        <v>26.86</v>
      </c>
      <c r="N100" s="106" t="str">
        <f aca="false">IF(OR(Calculator!$E$21&lt;&gt;"YES",Calculator!$B$30&lt;Calculator!$G$21),"—",ROUND(MAX((50*POWER(80,POWER(COS(PI()*MOD(Calculator!$B$30/Calculator!$F$21,1)),2)))/$C100,$C100/(50*POWER(80,POWER(COS(PI()*MOD(Calculator!$B$30/Calculator!$F$21,1)),2)))),2))</f>
        <v>—</v>
      </c>
      <c r="O100" s="101" t="n">
        <f aca="false">IFERROR(ROUND((IF(ISNUMBER(D100),D100,0)+IF(ISNUMBER(E100),E100,0)+IF(ISNUMBER(F100),F100,0)+IF(ISNUMBER(G100),G100,0)+IF(ISNUMBER(H100),H100,0)+IF(ISNUMBER(I100),I100,0)+IF(ISNUMBER(J100),J100,0)+IF(ISNUMBER(K100),K100,0)+IF(ISNUMBER(L100),L100,0)+IF(ISNUMBER(M100),M100,0)+IF(ISNUMBER(N100),N100,0))/(IF(ISNUMBER(D100),1,0)+IF(ISNUMBER(E100),1,0)+IF(ISNUMBER(F100),1,0)+IF(ISNUMBER(G100),1,0)+IF(ISNUMBER(H100),1,0)+IF(ISNUMBER(I100),1,0)+IF(ISNUMBER(J100),1,0)+IF(ISNUMBER(K100),1,0)+IF(ISNUMBER(L100),1,0)+IF(ISNUMBER(M100),1,0)+IF(ISNUMBER(N100),1,0)),2),"")</f>
        <v>13.78</v>
      </c>
      <c r="P100" s="106" t="str">
        <f aca="false">IF(OR(Calculator!$E$11&lt;&gt;"YES",Calculator!$B$31&lt;Calculator!$G$11),"—",ROUND(MAX((50*POWER(80,POWER(COS(PI()*MOD(Calculator!$B$31/Calculator!$F$11,1)),2)))/$C100,$C100/(50*POWER(80,POWER(COS(PI()*MOD(Calculator!$B$31/Calculator!$F$11,1)),2)))),2))</f>
        <v>—</v>
      </c>
      <c r="Q100" s="106" t="str">
        <f aca="false">IF(OR(Calculator!$E$12&lt;&gt;"YES",Calculator!$B$31&lt;Calculator!$G$12),"—",ROUND(MAX((50*POWER(80,POWER(COS(PI()*MOD(Calculator!$B$31/Calculator!$F$12,1)),2)))/$C100,$C100/(50*POWER(80,POWER(COS(PI()*MOD(Calculator!$B$31/Calculator!$F$12,1)),2)))),2))</f>
        <v>—</v>
      </c>
      <c r="R100" s="106" t="str">
        <f aca="false">IF(OR(Calculator!$E$13&lt;&gt;"YES",Calculator!$B$31&lt;Calculator!$G$13),"—",ROUND(MAX((50*POWER(80,POWER(COS(PI()*MOD(Calculator!$B$31/Calculator!$F$13,1)),2)))/$C100,$C100/(50*POWER(80,POWER(COS(PI()*MOD(Calculator!$B$31/Calculator!$F$13,1)),2)))),2))</f>
        <v>—</v>
      </c>
      <c r="S100" s="106" t="n">
        <f aca="false">IF(OR(Calculator!$E$14&lt;&gt;"YES",Calculator!$B$31&lt;Calculator!$G$14),"—",ROUND(MAX((50*POWER(80,POWER(COS(PI()*MOD(Calculator!$B$31/Calculator!$F$14,1)),2)))/$C100,$C100/(50*POWER(80,POWER(COS(PI()*MOD(Calculator!$B$31/Calculator!$F$14,1)),2)))),2))</f>
        <v>31.45</v>
      </c>
      <c r="T100" s="106" t="n">
        <f aca="false">IF(OR(Calculator!$E$15&lt;&gt;"YES",Calculator!$B$31&lt;Calculator!$G$15),"—",ROUND(MAX((50*POWER(80,POWER(COS(PI()*MOD(Calculator!$B$31/Calculator!$F$15,1)),2)))/$C100,$C100/(50*POWER(80,POWER(COS(PI()*MOD(Calculator!$B$31/Calculator!$F$15,1)),2)))),2))</f>
        <v>19.14</v>
      </c>
      <c r="U100" s="106" t="n">
        <f aca="false">IF(OR(Calculator!$E$16&lt;&gt;"YES",Calculator!$B$31&lt;Calculator!$G$16),"—",ROUND(MAX((50*POWER(80,POWER(COS(PI()*MOD(Calculator!$B$31/Calculator!$F$16,1)),2)))/$C100,$C100/(50*POWER(80,POWER(COS(PI()*MOD(Calculator!$B$31/Calculator!$F$16,1)),2)))),2))</f>
        <v>7.29</v>
      </c>
      <c r="V100" s="106" t="n">
        <f aca="false">IF(OR(Calculator!$E$17&lt;&gt;"YES",Calculator!$B$31&lt;Calculator!$G$17),"—",ROUND(MAX((50*POWER(80,POWER(COS(PI()*MOD(Calculator!$B$31/Calculator!$F$17,1)),2)))/$C100,$C100/(50*POWER(80,POWER(COS(PI()*MOD(Calculator!$B$31/Calculator!$F$17,1)),2)))),2))</f>
        <v>2.1</v>
      </c>
      <c r="W100" s="106" t="n">
        <f aca="false">IF(OR(Calculator!$E$18&lt;&gt;"YES",Calculator!$B$31&lt;Calculator!$G$18),"—",ROUND(MAX((50*POWER(80,POWER(COS(PI()*MOD(Calculator!$B$31/Calculator!$F$18,1)),2)))/$C100,$C100/(50*POWER(80,POWER(COS(PI()*MOD(Calculator!$B$31/Calculator!$F$18,1)),2)))),2))</f>
        <v>1.85</v>
      </c>
      <c r="X100" s="106" t="n">
        <f aca="false">IF(OR(Calculator!$E$19&lt;&gt;"YES",Calculator!$B$31&lt;Calculator!$G$19),"—",ROUND(MAX((50*POWER(80,POWER(COS(PI()*MOD(Calculator!$B$31/Calculator!$F$19,1)),2)))/$C100,$C100/(50*POWER(80,POWER(COS(PI()*MOD(Calculator!$B$31/Calculator!$F$19,1)),2)))),2))</f>
        <v>12.64</v>
      </c>
      <c r="Y100" s="106" t="n">
        <f aca="false">IF(OR(Calculator!$E$20&lt;&gt;"YES",Calculator!$B$31&lt;Calculator!$G$20),"—",ROUND(MAX((50*POWER(80,POWER(COS(PI()*MOD(Calculator!$B$31/Calculator!$F$20,1)),2)))/$C100,$C100/(50*POWER(80,POWER(COS(PI()*MOD(Calculator!$B$31/Calculator!$F$20,1)),2)))),2))</f>
        <v>41.72</v>
      </c>
      <c r="Z100" s="106" t="str">
        <f aca="false">IF(OR(Calculator!$E$21&lt;&gt;"YES",Calculator!$B$31&lt;Calculator!$G$21),"—",ROUND(MAX((50*POWER(80,POWER(COS(PI()*MOD(Calculator!$B$31/Calculator!$F$21,1)),2)))/$C100,$C100/(50*POWER(80,POWER(COS(PI()*MOD(Calculator!$B$31/Calculator!$F$21,1)),2)))),2))</f>
        <v>—</v>
      </c>
      <c r="AA100" s="101" t="n">
        <f aca="false">IFERROR(ROUND((IF(ISNUMBER(P100),P100,0)+IF(ISNUMBER(Q100),Q100,0)+IF(ISNUMBER(R100),R100,0)+IF(ISNUMBER(S100),S100,0)+IF(ISNUMBER(T100),T100,0)+IF(ISNUMBER(U100),U100,0)+IF(ISNUMBER(V100),V100,0)+IF(ISNUMBER(W100),W100,0)+IF(ISNUMBER(X100),X100,0)+IF(ISNUMBER(Y100),Y100,0)+IF(ISNUMBER(Z100),Z100,0))/(IF(ISNUMBER(P100),1,0)+IF(ISNUMBER(Q100),1,0)+IF(ISNUMBER(R100),1,0)+IF(ISNUMBER(S100),1,0)+IF(ISNUMBER(T100),1,0)+IF(ISNUMBER(U100),1,0)+IF(ISNUMBER(V100),1,0)+IF(ISNUMBER(W100),1,0)+IF(ISNUMBER(X100),1,0)+IF(ISNUMBER(Y100),1,0)+IF(ISNUMBER(Z100),1,0)),2),"")</f>
        <v>16.6</v>
      </c>
      <c r="AB100" s="106" t="str">
        <f aca="false">IF(OR(Calculator!$E$11&lt;&gt;"YES",Calculator!$B$32&lt;Calculator!$G$11),"—",ROUND(MAX((50*POWER(80,POWER(COS(PI()*MOD(Calculator!$B$32/Calculator!$F$11,1)),2)))/$C100,$C100/(50*POWER(80,POWER(COS(PI()*MOD(Calculator!$B$32/Calculator!$F$11,1)),2)))),2))</f>
        <v>—</v>
      </c>
      <c r="AC100" s="106" t="str">
        <f aca="false">IF(OR(Calculator!$E$12&lt;&gt;"YES",Calculator!$B$32&lt;Calculator!$G$12),"—",ROUND(MAX((50*POWER(80,POWER(COS(PI()*MOD(Calculator!$B$32/Calculator!$F$12,1)),2)))/$C100,$C100/(50*POWER(80,POWER(COS(PI()*MOD(Calculator!$B$32/Calculator!$F$12,1)),2)))),2))</f>
        <v>—</v>
      </c>
      <c r="AD100" s="106" t="str">
        <f aca="false">IF(OR(Calculator!$E$13&lt;&gt;"YES",Calculator!$B$32&lt;Calculator!$G$13),"—",ROUND(MAX((50*POWER(80,POWER(COS(PI()*MOD(Calculator!$B$32/Calculator!$F$13,1)),2)))/$C100,$C100/(50*POWER(80,POWER(COS(PI()*MOD(Calculator!$B$32/Calculator!$F$13,1)),2)))),2))</f>
        <v>—</v>
      </c>
      <c r="AE100" s="106" t="n">
        <f aca="false">IF(OR(Calculator!$E$14&lt;&gt;"YES",Calculator!$B$32&lt;Calculator!$G$14),"—",ROUND(MAX((50*POWER(80,POWER(COS(PI()*MOD(Calculator!$B$32/Calculator!$F$14,1)),2)))/$C100,$C100/(50*POWER(80,POWER(COS(PI()*MOD(Calculator!$B$32/Calculator!$F$14,1)),2)))),2))</f>
        <v>19.87</v>
      </c>
      <c r="AF100" s="106" t="n">
        <f aca="false">IF(OR(Calculator!$E$15&lt;&gt;"YES",Calculator!$B$32&lt;Calculator!$G$15),"—",ROUND(MAX((50*POWER(80,POWER(COS(PI()*MOD(Calculator!$B$32/Calculator!$F$15,1)),2)))/$C100,$C100/(50*POWER(80,POWER(COS(PI()*MOD(Calculator!$B$32/Calculator!$F$15,1)),2)))),2))</f>
        <v>12.84</v>
      </c>
      <c r="AG100" s="106" t="n">
        <f aca="false">IF(OR(Calculator!$E$16&lt;&gt;"YES",Calculator!$B$32&lt;Calculator!$G$16),"—",ROUND(MAX((50*POWER(80,POWER(COS(PI()*MOD(Calculator!$B$32/Calculator!$F$16,1)),2)))/$C100,$C100/(50*POWER(80,POWER(COS(PI()*MOD(Calculator!$B$32/Calculator!$F$16,1)),2)))),2))</f>
        <v>43.36</v>
      </c>
      <c r="AH100" s="106" t="n">
        <f aca="false">IF(OR(Calculator!$E$17&lt;&gt;"YES",Calculator!$B$32&lt;Calculator!$G$17),"—",ROUND(MAX((50*POWER(80,POWER(COS(PI()*MOD(Calculator!$B$32/Calculator!$F$17,1)),2)))/$C100,$C100/(50*POWER(80,POWER(COS(PI()*MOD(Calculator!$B$32/Calculator!$F$17,1)),2)))),2))</f>
        <v>1.48</v>
      </c>
      <c r="AI100" s="106" t="n">
        <f aca="false">IF(OR(Calculator!$E$18&lt;&gt;"YES",Calculator!$B$32&lt;Calculator!$G$18),"—",ROUND(MAX((50*POWER(80,POWER(COS(PI()*MOD(Calculator!$B$32/Calculator!$F$18,1)),2)))/$C100,$C100/(50*POWER(80,POWER(COS(PI()*MOD(Calculator!$B$32/Calculator!$F$18,1)),2)))),2))</f>
        <v>1.36</v>
      </c>
      <c r="AJ100" s="106" t="n">
        <f aca="false">IF(OR(Calculator!$E$19&lt;&gt;"YES",Calculator!$B$32&lt;Calculator!$G$19),"—",ROUND(MAX((50*POWER(80,POWER(COS(PI()*MOD(Calculator!$B$32/Calculator!$F$19,1)),2)))/$C100,$C100/(50*POWER(80,POWER(COS(PI()*MOD(Calculator!$B$32/Calculator!$F$19,1)),2)))),2))</f>
        <v>1.29</v>
      </c>
      <c r="AK100" s="106" t="n">
        <f aca="false">IF(OR(Calculator!$E$20&lt;&gt;"YES",Calculator!$B$32&lt;Calculator!$G$20),"—",ROUND(MAX((50*POWER(80,POWER(COS(PI()*MOD(Calculator!$B$32/Calculator!$F$20,1)),2)))/$C100,$C100/(50*POWER(80,POWER(COS(PI()*MOD(Calculator!$B$32/Calculator!$F$20,1)),2)))),2))</f>
        <v>34.1</v>
      </c>
      <c r="AL100" s="106" t="str">
        <f aca="false">IF(OR(Calculator!$E$21&lt;&gt;"YES",Calculator!$B$32&lt;Calculator!$G$21),"—",ROUND(MAX((50*POWER(80,POWER(COS(PI()*MOD(Calculator!$B$32/Calculator!$F$21,1)),2)))/$C100,$C100/(50*POWER(80,POWER(COS(PI()*MOD(Calculator!$B$32/Calculator!$F$21,1)),2)))),2))</f>
        <v>—</v>
      </c>
      <c r="AM100" s="101" t="n">
        <f aca="false">IFERROR(ROUND((IF(ISNUMBER(AB100),AB100,0)+IF(ISNUMBER(AC100),AC100,0)+IF(ISNUMBER(AD100),AD100,0)+IF(ISNUMBER(AE100),AE100,0)+IF(ISNUMBER(AF100),AF100,0)+IF(ISNUMBER(AG100),AG100,0)+IF(ISNUMBER(AH100),AH100,0)+IF(ISNUMBER(AI100),AI100,0)+IF(ISNUMBER(AJ100),AJ100,0)+IF(ISNUMBER(AK100),AK100,0)+IF(ISNUMBER(AL100),AL100,0))/(IF(ISNUMBER(AB100),1,0)+IF(ISNUMBER(AC100),1,0)+IF(ISNUMBER(AD100),1,0)+IF(ISNUMBER(AE100),1,0)+IF(ISNUMBER(AF100),1,0)+IF(ISNUMBER(AG100),1,0)+IF(ISNUMBER(AH100),1,0)+IF(ISNUMBER(AI100),1,0)+IF(ISNUMBER(AJ100),1,0)+IF(ISNUMBER(AK100),1,0)+IF(ISNUMBER(AL100),1,0)),2),"")</f>
        <v>16.33</v>
      </c>
      <c r="AN100" s="106" t="str">
        <f aca="false">IF(OR(Calculator!$E$11&lt;&gt;"YES",Calculator!$B$33&lt;Calculator!$G$11),"—",ROUND(MAX((50*POWER(80,POWER(COS(PI()*MOD(Calculator!$B$33/Calculator!$F$11,1)),2)))/$C100,$C100/(50*POWER(80,POWER(COS(PI()*MOD(Calculator!$B$33/Calculator!$F$11,1)),2)))),2))</f>
        <v>—</v>
      </c>
      <c r="AO100" s="106" t="str">
        <f aca="false">IF(OR(Calculator!$E$12&lt;&gt;"YES",Calculator!$B$33&lt;Calculator!$G$12),"—",ROUND(MAX((50*POWER(80,POWER(COS(PI()*MOD(Calculator!$B$33/Calculator!$F$12,1)),2)))/$C100,$C100/(50*POWER(80,POWER(COS(PI()*MOD(Calculator!$B$33/Calculator!$F$12,1)),2)))),2))</f>
        <v>—</v>
      </c>
      <c r="AP100" s="106" t="str">
        <f aca="false">IF(OR(Calculator!$E$13&lt;&gt;"YES",Calculator!$B$33&lt;Calculator!$G$13),"—",ROUND(MAX((50*POWER(80,POWER(COS(PI()*MOD(Calculator!$B$33/Calculator!$F$13,1)),2)))/$C100,$C100/(50*POWER(80,POWER(COS(PI()*MOD(Calculator!$B$33/Calculator!$F$13,1)),2)))),2))</f>
        <v>—</v>
      </c>
      <c r="AQ100" s="106" t="n">
        <f aca="false">IF(OR(Calculator!$E$14&lt;&gt;"YES",Calculator!$B$33&lt;Calculator!$G$14),"—",ROUND(MAX((50*POWER(80,POWER(COS(PI()*MOD(Calculator!$B$33/Calculator!$F$14,1)),2)))/$C100,$C100/(50*POWER(80,POWER(COS(PI()*MOD(Calculator!$B$33/Calculator!$F$14,1)),2)))),2))</f>
        <v>1.25</v>
      </c>
      <c r="AR100" s="106" t="n">
        <f aca="false">IF(OR(Calculator!$E$15&lt;&gt;"YES",Calculator!$B$33&lt;Calculator!$G$15),"—",ROUND(MAX((50*POWER(80,POWER(COS(PI()*MOD(Calculator!$B$33/Calculator!$F$15,1)),2)))/$C100,$C100/(50*POWER(80,POWER(COS(PI()*MOD(Calculator!$B$33/Calculator!$F$15,1)),2)))),2))</f>
        <v>11.58</v>
      </c>
      <c r="AS100" s="106" t="n">
        <f aca="false">IF(OR(Calculator!$E$16&lt;&gt;"YES",Calculator!$B$33&lt;Calculator!$G$16),"—",ROUND(MAX((50*POWER(80,POWER(COS(PI()*MOD(Calculator!$B$33/Calculator!$F$16,1)),2)))/$C100,$C100/(50*POWER(80,POWER(COS(PI()*MOD(Calculator!$B$33/Calculator!$F$16,1)),2)))),2))</f>
        <v>4.23</v>
      </c>
      <c r="AT100" s="106" t="n">
        <f aca="false">IF(OR(Calculator!$E$17&lt;&gt;"YES",Calculator!$B$33&lt;Calculator!$G$17),"—",ROUND(MAX((50*POWER(80,POWER(COS(PI()*MOD(Calculator!$B$33/Calculator!$F$17,1)),2)))/$C100,$C100/(50*POWER(80,POWER(COS(PI()*MOD(Calculator!$B$33/Calculator!$F$17,1)),2)))),2))</f>
        <v>13.44</v>
      </c>
      <c r="AU100" s="106" t="n">
        <f aca="false">IF(OR(Calculator!$E$18&lt;&gt;"YES",Calculator!$B$33&lt;Calculator!$G$18),"—",ROUND(MAX((50*POWER(80,POWER(COS(PI()*MOD(Calculator!$B$33/Calculator!$F$18,1)),2)))/$C100,$C100/(50*POWER(80,POWER(COS(PI()*MOD(Calculator!$B$33/Calculator!$F$18,1)),2)))),2))</f>
        <v>18.18</v>
      </c>
      <c r="AV100" s="106" t="n">
        <f aca="false">IF(OR(Calculator!$E$19&lt;&gt;"YES",Calculator!$B$33&lt;Calculator!$G$19),"—",ROUND(MAX((50*POWER(80,POWER(COS(PI()*MOD(Calculator!$B$33/Calculator!$F$19,1)),2)))/$C100,$C100/(50*POWER(80,POWER(COS(PI()*MOD(Calculator!$B$33/Calculator!$F$19,1)),2)))),2))</f>
        <v>2.21</v>
      </c>
      <c r="AW100" s="106" t="n">
        <f aca="false">IF(OR(Calculator!$E$20&lt;&gt;"YES",Calculator!$B$33&lt;Calculator!$G$20),"—",ROUND(MAX((50*POWER(80,POWER(COS(PI()*MOD(Calculator!$B$33/Calculator!$F$20,1)),2)))/$C100,$C100/(50*POWER(80,POWER(COS(PI()*MOD(Calculator!$B$33/Calculator!$F$20,1)),2)))),2))</f>
        <v>27.74</v>
      </c>
      <c r="AX100" s="106" t="str">
        <f aca="false">IF(OR(Calculator!$E$21&lt;&gt;"YES",Calculator!$B$33&lt;Calculator!$G$21),"—",ROUND(MAX((50*POWER(80,POWER(COS(PI()*MOD(Calculator!$B$33/Calculator!$F$21,1)),2)))/$C100,$C100/(50*POWER(80,POWER(COS(PI()*MOD(Calculator!$B$33/Calculator!$F$21,1)),2)))),2))</f>
        <v>—</v>
      </c>
      <c r="AY100" s="101" t="n">
        <f aca="false">IFERROR(ROUND((IF(ISNUMBER(AN100),AN100,0)+IF(ISNUMBER(AO100),AO100,0)+IF(ISNUMBER(AP100),AP100,0)+IF(ISNUMBER(AQ100),AQ100,0)+IF(ISNUMBER(AR100),AR100,0)+IF(ISNUMBER(AS100),AS100,0)+IF(ISNUMBER(AT100),AT100,0)+IF(ISNUMBER(AU100),AU100,0)+IF(ISNUMBER(AV100),AV100,0)+IF(ISNUMBER(AW100),AW100,0)+IF(ISNUMBER(AX100),AX100,0))/(IF(ISNUMBER(AN100),1,0)+IF(ISNUMBER(AO100),1,0)+IF(ISNUMBER(AP100),1,0)+IF(ISNUMBER(AQ100),1,0)+IF(ISNUMBER(AR100),1,0)+IF(ISNUMBER(AS100),1,0)+IF(ISNUMBER(AT100),1,0)+IF(ISNUMBER(AU100),1,0)+IF(ISNUMBER(AV100),1,0)+IF(ISNUMBER(AW100),1,0)+IF(ISNUMBER(AX100),1,0)),2),"")</f>
        <v>11.23</v>
      </c>
      <c r="AZ100" s="106" t="str">
        <f aca="false">IF(OR(Calculator!$E$11&lt;&gt;"YES",Calculator!$B$34&lt;Calculator!$G$11),"—",ROUND(MAX((50*POWER(80,POWER(COS(PI()*MOD(Calculator!$B$34/Calculator!$F$11,1)),2)))/$C100,$C100/(50*POWER(80,POWER(COS(PI()*MOD(Calculator!$B$34/Calculator!$F$11,1)),2)))),2))</f>
        <v>—</v>
      </c>
      <c r="BA100" s="106" t="str">
        <f aca="false">IF(OR(Calculator!$E$12&lt;&gt;"YES",Calculator!$B$34&lt;Calculator!$G$12),"—",ROUND(MAX((50*POWER(80,POWER(COS(PI()*MOD(Calculator!$B$34/Calculator!$F$12,1)),2)))/$C100,$C100/(50*POWER(80,POWER(COS(PI()*MOD(Calculator!$B$34/Calculator!$F$12,1)),2)))),2))</f>
        <v>—</v>
      </c>
      <c r="BB100" s="106" t="str">
        <f aca="false">IF(OR(Calculator!$E$13&lt;&gt;"YES",Calculator!$B$34&lt;Calculator!$G$13),"—",ROUND(MAX((50*POWER(80,POWER(COS(PI()*MOD(Calculator!$B$34/Calculator!$F$13,1)),2)))/$C100,$C100/(50*POWER(80,POWER(COS(PI()*MOD(Calculator!$B$34/Calculator!$F$13,1)),2)))),2))</f>
        <v>—</v>
      </c>
      <c r="BC100" s="106" t="n">
        <f aca="false">IF(OR(Calculator!$E$14&lt;&gt;"YES",Calculator!$B$34&lt;Calculator!$G$14),"—",ROUND(MAX((50*POWER(80,POWER(COS(PI()*MOD(Calculator!$B$34/Calculator!$F$14,1)),2)))/$C100,$C100/(50*POWER(80,POWER(COS(PI()*MOD(Calculator!$B$34/Calculator!$F$14,1)),2)))),2))</f>
        <v>1.23</v>
      </c>
      <c r="BD100" s="106" t="n">
        <f aca="false">IF(OR(Calculator!$E$15&lt;&gt;"YES",Calculator!$B$34&lt;Calculator!$G$15),"—",ROUND(MAX((50*POWER(80,POWER(COS(PI()*MOD(Calculator!$B$34/Calculator!$F$15,1)),2)))/$C100,$C100/(50*POWER(80,POWER(COS(PI()*MOD(Calculator!$B$34/Calculator!$F$15,1)),2)))),2))</f>
        <v>14.96</v>
      </c>
      <c r="BE100" s="106" t="n">
        <f aca="false">IF(OR(Calculator!$E$16&lt;&gt;"YES",Calculator!$B$34&lt;Calculator!$G$16),"—",ROUND(MAX((50*POWER(80,POWER(COS(PI()*MOD(Calculator!$B$34/Calculator!$F$16,1)),2)))/$C100,$C100/(50*POWER(80,POWER(COS(PI()*MOD(Calculator!$B$34/Calculator!$F$16,1)),2)))),2))</f>
        <v>5.04</v>
      </c>
      <c r="BF100" s="106" t="n">
        <f aca="false">IF(OR(Calculator!$E$17&lt;&gt;"YES",Calculator!$B$34&lt;Calculator!$G$17),"—",ROUND(MAX((50*POWER(80,POWER(COS(PI()*MOD(Calculator!$B$34/Calculator!$F$17,1)),2)))/$C100,$C100/(50*POWER(80,POWER(COS(PI()*MOD(Calculator!$B$34/Calculator!$F$17,1)),2)))),2))</f>
        <v>2.6</v>
      </c>
      <c r="BG100" s="106" t="n">
        <f aca="false">IF(OR(Calculator!$E$18&lt;&gt;"YES",Calculator!$B$34&lt;Calculator!$G$18),"—",ROUND(MAX((50*POWER(80,POWER(COS(PI()*MOD(Calculator!$B$34/Calculator!$F$18,1)),2)))/$C100,$C100/(50*POWER(80,POWER(COS(PI()*MOD(Calculator!$B$34/Calculator!$F$18,1)),2)))),2))</f>
        <v>24.59</v>
      </c>
      <c r="BH100" s="106" t="n">
        <f aca="false">IF(OR(Calculator!$E$19&lt;&gt;"YES",Calculator!$B$34&lt;Calculator!$G$19),"—",ROUND(MAX((50*POWER(80,POWER(COS(PI()*MOD(Calculator!$B$34/Calculator!$F$19,1)),2)))/$C100,$C100/(50*POWER(80,POWER(COS(PI()*MOD(Calculator!$B$34/Calculator!$F$19,1)),2)))),2))</f>
        <v>27.36</v>
      </c>
      <c r="BI100" s="106" t="n">
        <f aca="false">IF(OR(Calculator!$E$20&lt;&gt;"YES",Calculator!$B$34&lt;Calculator!$G$20),"—",ROUND(MAX((50*POWER(80,POWER(COS(PI()*MOD(Calculator!$B$34/Calculator!$F$20,1)),2)))/$C100,$C100/(50*POWER(80,POWER(COS(PI()*MOD(Calculator!$B$34/Calculator!$F$20,1)),2)))),2))</f>
        <v>16.32</v>
      </c>
      <c r="BJ100" s="106" t="str">
        <f aca="false">IF(OR(Calculator!$E$21&lt;&gt;"YES",Calculator!$B$34&lt;Calculator!$G$21),"—",ROUND(MAX((50*POWER(80,POWER(COS(PI()*MOD(Calculator!$B$34/Calculator!$F$21,1)),2)))/$C100,$C100/(50*POWER(80,POWER(COS(PI()*MOD(Calculator!$B$34/Calculator!$F$21,1)),2)))),2))</f>
        <v>—</v>
      </c>
      <c r="BK100" s="101" t="n">
        <f aca="false">IFERROR(ROUND((IF(ISNUMBER(AZ100),AZ100,0)+IF(ISNUMBER(BA100),BA100,0)+IF(ISNUMBER(BB100),BB100,0)+IF(ISNUMBER(BC100),BC100,0)+IF(ISNUMBER(BD100),BD100,0)+IF(ISNUMBER(BE100),BE100,0)+IF(ISNUMBER(BF100),BF100,0)+IF(ISNUMBER(BG100),BG100,0)+IF(ISNUMBER(BH100),BH100,0)+IF(ISNUMBER(BI100),BI100,0)+IF(ISNUMBER(BJ100),BJ100,0))/(IF(ISNUMBER(AZ100),1,0)+IF(ISNUMBER(BA100),1,0)+IF(ISNUMBER(BB100),1,0)+IF(ISNUMBER(BC100),1,0)+IF(ISNUMBER(BD100),1,0)+IF(ISNUMBER(BE100),1,0)+IF(ISNUMBER(BF100),1,0)+IF(ISNUMBER(BG100),1,0)+IF(ISNUMBER(BH100),1,0)+IF(ISNUMBER(BI100),1,0)+IF(ISNUMBER(BJ100),1,0)),2),"")</f>
        <v>13.16</v>
      </c>
    </row>
    <row r="101" customFormat="false" ht="15" hidden="false" customHeight="false" outlineLevel="0" collapsed="false">
      <c r="A101" s="74" t="s">
        <v>152</v>
      </c>
      <c r="B101" s="102" t="s">
        <v>86</v>
      </c>
      <c r="C101" s="102" t="n">
        <v>3450</v>
      </c>
      <c r="D101" s="102" t="str">
        <f aca="false">IF(OR(Calculator!$E$11&lt;&gt;"YES",Calculator!$B$30&lt;Calculator!$G$11),"—",ROUND(MAX((50*POWER(80,POWER(COS(PI()*MOD(Calculator!$B$30/Calculator!$F$11,1)),2)))/$C101,$C101/(50*POWER(80,POWER(COS(PI()*MOD(Calculator!$B$30/Calculator!$F$11,1)),2)))),2))</f>
        <v>—</v>
      </c>
      <c r="E101" s="102" t="str">
        <f aca="false">IF(OR(Calculator!$E$12&lt;&gt;"YES",Calculator!$B$30&lt;Calculator!$G$12),"—",ROUND(MAX((50*POWER(80,POWER(COS(PI()*MOD(Calculator!$B$30/Calculator!$F$12,1)),2)))/$C101,$C101/(50*POWER(80,POWER(COS(PI()*MOD(Calculator!$B$30/Calculator!$F$12,1)),2)))),2))</f>
        <v>—</v>
      </c>
      <c r="F101" s="102" t="str">
        <f aca="false">IF(OR(Calculator!$E$13&lt;&gt;"YES",Calculator!$B$30&lt;Calculator!$G$13),"—",ROUND(MAX((50*POWER(80,POWER(COS(PI()*MOD(Calculator!$B$30/Calculator!$F$13,1)),2)))/$C101,$C101/(50*POWER(80,POWER(COS(PI()*MOD(Calculator!$B$30/Calculator!$F$13,1)),2)))),2))</f>
        <v>—</v>
      </c>
      <c r="G101" s="102" t="n">
        <f aca="false">IF(OR(Calculator!$E$14&lt;&gt;"YES",Calculator!$B$30&lt;Calculator!$G$14),"—",ROUND(MAX((50*POWER(80,POWER(COS(PI()*MOD(Calculator!$B$30/Calculator!$F$14,1)),2)))/$C101,$C101/(50*POWER(80,POWER(COS(PI()*MOD(Calculator!$B$30/Calculator!$F$14,1)),2)))),2))</f>
        <v>31.18</v>
      </c>
      <c r="H101" s="102" t="n">
        <f aca="false">IF(OR(Calculator!$E$15&lt;&gt;"YES",Calculator!$B$30&lt;Calculator!$G$15),"—",ROUND(MAX((50*POWER(80,POWER(COS(PI()*MOD(Calculator!$B$30/Calculator!$F$15,1)),2)))/$C101,$C101/(50*POWER(80,POWER(COS(PI()*MOD(Calculator!$B$30/Calculator!$F$15,1)),2)))),2))</f>
        <v>9.04</v>
      </c>
      <c r="I101" s="102" t="n">
        <f aca="false">IF(OR(Calculator!$E$16&lt;&gt;"YES",Calculator!$B$30&lt;Calculator!$G$16),"—",ROUND(MAX((50*POWER(80,POWER(COS(PI()*MOD(Calculator!$B$30/Calculator!$F$16,1)),2)))/$C101,$C101/(50*POWER(80,POWER(COS(PI()*MOD(Calculator!$B$30/Calculator!$F$16,1)),2)))),2))</f>
        <v>6.18</v>
      </c>
      <c r="J101" s="102" t="n">
        <f aca="false">IF(OR(Calculator!$E$17&lt;&gt;"YES",Calculator!$B$30&lt;Calculator!$G$17),"—",ROUND(MAX((50*POWER(80,POWER(COS(PI()*MOD(Calculator!$B$30/Calculator!$F$17,1)),2)))/$C101,$C101/(50*POWER(80,POWER(COS(PI()*MOD(Calculator!$B$30/Calculator!$F$17,1)),2)))),2))</f>
        <v>17.34</v>
      </c>
      <c r="K101" s="102" t="n">
        <f aca="false">IF(OR(Calculator!$E$18&lt;&gt;"YES",Calculator!$B$30&lt;Calculator!$G$18),"—",ROUND(MAX((50*POWER(80,POWER(COS(PI()*MOD(Calculator!$B$30/Calculator!$F$18,1)),2)))/$C101,$C101/(50*POWER(80,POWER(COS(PI()*MOD(Calculator!$B$30/Calculator!$F$18,1)),2)))),2))</f>
        <v>2.47</v>
      </c>
      <c r="L101" s="102" t="n">
        <f aca="false">IF(OR(Calculator!$E$19&lt;&gt;"YES",Calculator!$B$30&lt;Calculator!$G$19),"—",ROUND(MAX((50*POWER(80,POWER(COS(PI()*MOD(Calculator!$B$30/Calculator!$F$19,1)),2)))/$C101,$C101/(50*POWER(80,POWER(COS(PI()*MOD(Calculator!$B$30/Calculator!$F$19,1)),2)))),2))</f>
        <v>4.39</v>
      </c>
      <c r="M101" s="102" t="n">
        <f aca="false">IF(OR(Calculator!$E$20&lt;&gt;"YES",Calculator!$B$30&lt;Calculator!$G$20),"—",ROUND(MAX((50*POWER(80,POWER(COS(PI()*MOD(Calculator!$B$30/Calculator!$F$20,1)),2)))/$C101,$C101/(50*POWER(80,POWER(COS(PI()*MOD(Calculator!$B$30/Calculator!$F$20,1)),2)))),2))</f>
        <v>27.25</v>
      </c>
      <c r="N101" s="102" t="str">
        <f aca="false">IF(OR(Calculator!$E$21&lt;&gt;"YES",Calculator!$B$30&lt;Calculator!$G$21),"—",ROUND(MAX((50*POWER(80,POWER(COS(PI()*MOD(Calculator!$B$30/Calculator!$F$21,1)),2)))/$C101,$C101/(50*POWER(80,POWER(COS(PI()*MOD(Calculator!$B$30/Calculator!$F$21,1)),2)))),2))</f>
        <v>—</v>
      </c>
      <c r="O101" s="101" t="n">
        <f aca="false">IFERROR(ROUND((IF(ISNUMBER(D101),D101,0)+IF(ISNUMBER(E101),E101,0)+IF(ISNUMBER(F101),F101,0)+IF(ISNUMBER(G101),G101,0)+IF(ISNUMBER(H101),H101,0)+IF(ISNUMBER(I101),I101,0)+IF(ISNUMBER(J101),J101,0)+IF(ISNUMBER(K101),K101,0)+IF(ISNUMBER(L101),L101,0)+IF(ISNUMBER(M101),M101,0)+IF(ISNUMBER(N101),N101,0))/(IF(ISNUMBER(D101),1,0)+IF(ISNUMBER(E101),1,0)+IF(ISNUMBER(F101),1,0)+IF(ISNUMBER(G101),1,0)+IF(ISNUMBER(H101),1,0)+IF(ISNUMBER(I101),1,0)+IF(ISNUMBER(J101),1,0)+IF(ISNUMBER(K101),1,0)+IF(ISNUMBER(L101),1,0)+IF(ISNUMBER(M101),1,0)+IF(ISNUMBER(N101),1,0)),2),"")</f>
        <v>13.98</v>
      </c>
      <c r="P101" s="102" t="str">
        <f aca="false">IF(OR(Calculator!$E$11&lt;&gt;"YES",Calculator!$B$31&lt;Calculator!$G$11),"—",ROUND(MAX((50*POWER(80,POWER(COS(PI()*MOD(Calculator!$B$31/Calculator!$F$11,1)),2)))/$C101,$C101/(50*POWER(80,POWER(COS(PI()*MOD(Calculator!$B$31/Calculator!$F$11,1)),2)))),2))</f>
        <v>—</v>
      </c>
      <c r="Q101" s="102" t="str">
        <f aca="false">IF(OR(Calculator!$E$12&lt;&gt;"YES",Calculator!$B$31&lt;Calculator!$G$12),"—",ROUND(MAX((50*POWER(80,POWER(COS(PI()*MOD(Calculator!$B$31/Calculator!$F$12,1)),2)))/$C101,$C101/(50*POWER(80,POWER(COS(PI()*MOD(Calculator!$B$31/Calculator!$F$12,1)),2)))),2))</f>
        <v>—</v>
      </c>
      <c r="R101" s="102" t="str">
        <f aca="false">IF(OR(Calculator!$E$13&lt;&gt;"YES",Calculator!$B$31&lt;Calculator!$G$13),"—",ROUND(MAX((50*POWER(80,POWER(COS(PI()*MOD(Calculator!$B$31/Calculator!$F$13,1)),2)))/$C101,$C101/(50*POWER(80,POWER(COS(PI()*MOD(Calculator!$B$31/Calculator!$F$13,1)),2)))),2))</f>
        <v>—</v>
      </c>
      <c r="S101" s="102" t="n">
        <f aca="false">IF(OR(Calculator!$E$14&lt;&gt;"YES",Calculator!$B$31&lt;Calculator!$G$14),"—",ROUND(MAX((50*POWER(80,POWER(COS(PI()*MOD(Calculator!$B$31/Calculator!$F$14,1)),2)))/$C101,$C101/(50*POWER(80,POWER(COS(PI()*MOD(Calculator!$B$31/Calculator!$F$14,1)),2)))),2))</f>
        <v>31.92</v>
      </c>
      <c r="T101" s="102" t="n">
        <f aca="false">IF(OR(Calculator!$E$15&lt;&gt;"YES",Calculator!$B$31&lt;Calculator!$G$15),"—",ROUND(MAX((50*POWER(80,POWER(COS(PI()*MOD(Calculator!$B$31/Calculator!$F$15,1)),2)))/$C101,$C101/(50*POWER(80,POWER(COS(PI()*MOD(Calculator!$B$31/Calculator!$F$15,1)),2)))),2))</f>
        <v>19.42</v>
      </c>
      <c r="U101" s="102" t="n">
        <f aca="false">IF(OR(Calculator!$E$16&lt;&gt;"YES",Calculator!$B$31&lt;Calculator!$G$16),"—",ROUND(MAX((50*POWER(80,POWER(COS(PI()*MOD(Calculator!$B$31/Calculator!$F$16,1)),2)))/$C101,$C101/(50*POWER(80,POWER(COS(PI()*MOD(Calculator!$B$31/Calculator!$F$16,1)),2)))),2))</f>
        <v>7.39</v>
      </c>
      <c r="V101" s="102" t="n">
        <f aca="false">IF(OR(Calculator!$E$17&lt;&gt;"YES",Calculator!$B$31&lt;Calculator!$G$17),"—",ROUND(MAX((50*POWER(80,POWER(COS(PI()*MOD(Calculator!$B$31/Calculator!$F$17,1)),2)))/$C101,$C101/(50*POWER(80,POWER(COS(PI()*MOD(Calculator!$B$31/Calculator!$F$17,1)),2)))),2))</f>
        <v>2.13</v>
      </c>
      <c r="W101" s="102" t="n">
        <f aca="false">IF(OR(Calculator!$E$18&lt;&gt;"YES",Calculator!$B$31&lt;Calculator!$G$18),"—",ROUND(MAX((50*POWER(80,POWER(COS(PI()*MOD(Calculator!$B$31/Calculator!$F$18,1)),2)))/$C101,$C101/(50*POWER(80,POWER(COS(PI()*MOD(Calculator!$B$31/Calculator!$F$18,1)),2)))),2))</f>
        <v>1.87</v>
      </c>
      <c r="X101" s="102" t="n">
        <f aca="false">IF(OR(Calculator!$E$19&lt;&gt;"YES",Calculator!$B$31&lt;Calculator!$G$19),"—",ROUND(MAX((50*POWER(80,POWER(COS(PI()*MOD(Calculator!$B$31/Calculator!$F$19,1)),2)))/$C101,$C101/(50*POWER(80,POWER(COS(PI()*MOD(Calculator!$B$31/Calculator!$F$19,1)),2)))),2))</f>
        <v>12.82</v>
      </c>
      <c r="Y101" s="102" t="n">
        <f aca="false">IF(OR(Calculator!$E$20&lt;&gt;"YES",Calculator!$B$31&lt;Calculator!$G$20),"—",ROUND(MAX((50*POWER(80,POWER(COS(PI()*MOD(Calculator!$B$31/Calculator!$F$20,1)),2)))/$C101,$C101/(50*POWER(80,POWER(COS(PI()*MOD(Calculator!$B$31/Calculator!$F$20,1)),2)))),2))</f>
        <v>42.33</v>
      </c>
      <c r="Z101" s="102" t="str">
        <f aca="false">IF(OR(Calculator!$E$21&lt;&gt;"YES",Calculator!$B$31&lt;Calculator!$G$21),"—",ROUND(MAX((50*POWER(80,POWER(COS(PI()*MOD(Calculator!$B$31/Calculator!$F$21,1)),2)))/$C101,$C101/(50*POWER(80,POWER(COS(PI()*MOD(Calculator!$B$31/Calculator!$F$21,1)),2)))),2))</f>
        <v>—</v>
      </c>
      <c r="AA101" s="101" t="n">
        <f aca="false">IFERROR(ROUND((IF(ISNUMBER(P101),P101,0)+IF(ISNUMBER(Q101),Q101,0)+IF(ISNUMBER(R101),R101,0)+IF(ISNUMBER(S101),S101,0)+IF(ISNUMBER(T101),T101,0)+IF(ISNUMBER(U101),U101,0)+IF(ISNUMBER(V101),V101,0)+IF(ISNUMBER(W101),W101,0)+IF(ISNUMBER(X101),X101,0)+IF(ISNUMBER(Y101),Y101,0)+IF(ISNUMBER(Z101),Z101,0))/(IF(ISNUMBER(P101),1,0)+IF(ISNUMBER(Q101),1,0)+IF(ISNUMBER(R101),1,0)+IF(ISNUMBER(S101),1,0)+IF(ISNUMBER(T101),1,0)+IF(ISNUMBER(U101),1,0)+IF(ISNUMBER(V101),1,0)+IF(ISNUMBER(W101),1,0)+IF(ISNUMBER(X101),1,0)+IF(ISNUMBER(Y101),1,0)+IF(ISNUMBER(Z101),1,0)),2),"")</f>
        <v>16.84</v>
      </c>
      <c r="AB101" s="102" t="str">
        <f aca="false">IF(OR(Calculator!$E$11&lt;&gt;"YES",Calculator!$B$32&lt;Calculator!$G$11),"—",ROUND(MAX((50*POWER(80,POWER(COS(PI()*MOD(Calculator!$B$32/Calculator!$F$11,1)),2)))/$C101,$C101/(50*POWER(80,POWER(COS(PI()*MOD(Calculator!$B$32/Calculator!$F$11,1)),2)))),2))</f>
        <v>—</v>
      </c>
      <c r="AC101" s="102" t="str">
        <f aca="false">IF(OR(Calculator!$E$12&lt;&gt;"YES",Calculator!$B$32&lt;Calculator!$G$12),"—",ROUND(MAX((50*POWER(80,POWER(COS(PI()*MOD(Calculator!$B$32/Calculator!$F$12,1)),2)))/$C101,$C101/(50*POWER(80,POWER(COS(PI()*MOD(Calculator!$B$32/Calculator!$F$12,1)),2)))),2))</f>
        <v>—</v>
      </c>
      <c r="AD101" s="102" t="str">
        <f aca="false">IF(OR(Calculator!$E$13&lt;&gt;"YES",Calculator!$B$32&lt;Calculator!$G$13),"—",ROUND(MAX((50*POWER(80,POWER(COS(PI()*MOD(Calculator!$B$32/Calculator!$F$13,1)),2)))/$C101,$C101/(50*POWER(80,POWER(COS(PI()*MOD(Calculator!$B$32/Calculator!$F$13,1)),2)))),2))</f>
        <v>—</v>
      </c>
      <c r="AE101" s="102" t="n">
        <f aca="false">IF(OR(Calculator!$E$14&lt;&gt;"YES",Calculator!$B$32&lt;Calculator!$G$14),"—",ROUND(MAX((50*POWER(80,POWER(COS(PI()*MOD(Calculator!$B$32/Calculator!$F$14,1)),2)))/$C101,$C101/(50*POWER(80,POWER(COS(PI()*MOD(Calculator!$B$32/Calculator!$F$14,1)),2)))),2))</f>
        <v>20.16</v>
      </c>
      <c r="AF101" s="102" t="n">
        <f aca="false">IF(OR(Calculator!$E$15&lt;&gt;"YES",Calculator!$B$32&lt;Calculator!$G$15),"—",ROUND(MAX((50*POWER(80,POWER(COS(PI()*MOD(Calculator!$B$32/Calculator!$F$15,1)),2)))/$C101,$C101/(50*POWER(80,POWER(COS(PI()*MOD(Calculator!$B$32/Calculator!$F$15,1)),2)))),2))</f>
        <v>13.03</v>
      </c>
      <c r="AG101" s="102" t="n">
        <f aca="false">IF(OR(Calculator!$E$16&lt;&gt;"YES",Calculator!$B$32&lt;Calculator!$G$16),"—",ROUND(MAX((50*POWER(80,POWER(COS(PI()*MOD(Calculator!$B$32/Calculator!$F$16,1)),2)))/$C101,$C101/(50*POWER(80,POWER(COS(PI()*MOD(Calculator!$B$32/Calculator!$F$16,1)),2)))),2))</f>
        <v>43.99</v>
      </c>
      <c r="AH101" s="102" t="n">
        <f aca="false">IF(OR(Calculator!$E$17&lt;&gt;"YES",Calculator!$B$32&lt;Calculator!$G$17),"—",ROUND(MAX((50*POWER(80,POWER(COS(PI()*MOD(Calculator!$B$32/Calculator!$F$17,1)),2)))/$C101,$C101/(50*POWER(80,POWER(COS(PI()*MOD(Calculator!$B$32/Calculator!$F$17,1)),2)))),2))</f>
        <v>1.5</v>
      </c>
      <c r="AI101" s="102" t="n">
        <f aca="false">IF(OR(Calculator!$E$18&lt;&gt;"YES",Calculator!$B$32&lt;Calculator!$G$18),"—",ROUND(MAX((50*POWER(80,POWER(COS(PI()*MOD(Calculator!$B$32/Calculator!$F$18,1)),2)))/$C101,$C101/(50*POWER(80,POWER(COS(PI()*MOD(Calculator!$B$32/Calculator!$F$18,1)),2)))),2))</f>
        <v>1.38</v>
      </c>
      <c r="AJ101" s="102" t="n">
        <f aca="false">IF(OR(Calculator!$E$19&lt;&gt;"YES",Calculator!$B$32&lt;Calculator!$G$19),"—",ROUND(MAX((50*POWER(80,POWER(COS(PI()*MOD(Calculator!$B$32/Calculator!$F$19,1)),2)))/$C101,$C101/(50*POWER(80,POWER(COS(PI()*MOD(Calculator!$B$32/Calculator!$F$19,1)),2)))),2))</f>
        <v>1.31</v>
      </c>
      <c r="AK101" s="102" t="n">
        <f aca="false">IF(OR(Calculator!$E$20&lt;&gt;"YES",Calculator!$B$32&lt;Calculator!$G$20),"—",ROUND(MAX((50*POWER(80,POWER(COS(PI()*MOD(Calculator!$B$32/Calculator!$F$20,1)),2)))/$C101,$C101/(50*POWER(80,POWER(COS(PI()*MOD(Calculator!$B$32/Calculator!$F$20,1)),2)))),2))</f>
        <v>34.6</v>
      </c>
      <c r="AL101" s="102" t="str">
        <f aca="false">IF(OR(Calculator!$E$21&lt;&gt;"YES",Calculator!$B$32&lt;Calculator!$G$21),"—",ROUND(MAX((50*POWER(80,POWER(COS(PI()*MOD(Calculator!$B$32/Calculator!$F$21,1)),2)))/$C101,$C101/(50*POWER(80,POWER(COS(PI()*MOD(Calculator!$B$32/Calculator!$F$21,1)),2)))),2))</f>
        <v>—</v>
      </c>
      <c r="AM101" s="101" t="n">
        <f aca="false">IFERROR(ROUND((IF(ISNUMBER(AB101),AB101,0)+IF(ISNUMBER(AC101),AC101,0)+IF(ISNUMBER(AD101),AD101,0)+IF(ISNUMBER(AE101),AE101,0)+IF(ISNUMBER(AF101),AF101,0)+IF(ISNUMBER(AG101),AG101,0)+IF(ISNUMBER(AH101),AH101,0)+IF(ISNUMBER(AI101),AI101,0)+IF(ISNUMBER(AJ101),AJ101,0)+IF(ISNUMBER(AK101),AK101,0)+IF(ISNUMBER(AL101),AL101,0))/(IF(ISNUMBER(AB101),1,0)+IF(ISNUMBER(AC101),1,0)+IF(ISNUMBER(AD101),1,0)+IF(ISNUMBER(AE101),1,0)+IF(ISNUMBER(AF101),1,0)+IF(ISNUMBER(AG101),1,0)+IF(ISNUMBER(AH101),1,0)+IF(ISNUMBER(AI101),1,0)+IF(ISNUMBER(AJ101),1,0)+IF(ISNUMBER(AK101),1,0)+IF(ISNUMBER(AL101),1,0)),2),"")</f>
        <v>16.57</v>
      </c>
      <c r="AN101" s="102" t="str">
        <f aca="false">IF(OR(Calculator!$E$11&lt;&gt;"YES",Calculator!$B$33&lt;Calculator!$G$11),"—",ROUND(MAX((50*POWER(80,POWER(COS(PI()*MOD(Calculator!$B$33/Calculator!$F$11,1)),2)))/$C101,$C101/(50*POWER(80,POWER(COS(PI()*MOD(Calculator!$B$33/Calculator!$F$11,1)),2)))),2))</f>
        <v>—</v>
      </c>
      <c r="AO101" s="102" t="str">
        <f aca="false">IF(OR(Calculator!$E$12&lt;&gt;"YES",Calculator!$B$33&lt;Calculator!$G$12),"—",ROUND(MAX((50*POWER(80,POWER(COS(PI()*MOD(Calculator!$B$33/Calculator!$F$12,1)),2)))/$C101,$C101/(50*POWER(80,POWER(COS(PI()*MOD(Calculator!$B$33/Calculator!$F$12,1)),2)))),2))</f>
        <v>—</v>
      </c>
      <c r="AP101" s="102" t="str">
        <f aca="false">IF(OR(Calculator!$E$13&lt;&gt;"YES",Calculator!$B$33&lt;Calculator!$G$13),"—",ROUND(MAX((50*POWER(80,POWER(COS(PI()*MOD(Calculator!$B$33/Calculator!$F$13,1)),2)))/$C101,$C101/(50*POWER(80,POWER(COS(PI()*MOD(Calculator!$B$33/Calculator!$F$13,1)),2)))),2))</f>
        <v>—</v>
      </c>
      <c r="AQ101" s="102" t="n">
        <f aca="false">IF(OR(Calculator!$E$14&lt;&gt;"YES",Calculator!$B$33&lt;Calculator!$G$14),"—",ROUND(MAX((50*POWER(80,POWER(COS(PI()*MOD(Calculator!$B$33/Calculator!$F$14,1)),2)))/$C101,$C101/(50*POWER(80,POWER(COS(PI()*MOD(Calculator!$B$33/Calculator!$F$14,1)),2)))),2))</f>
        <v>1.27</v>
      </c>
      <c r="AR101" s="102" t="n">
        <f aca="false">IF(OR(Calculator!$E$15&lt;&gt;"YES",Calculator!$B$33&lt;Calculator!$G$15),"—",ROUND(MAX((50*POWER(80,POWER(COS(PI()*MOD(Calculator!$B$33/Calculator!$F$15,1)),2)))/$C101,$C101/(50*POWER(80,POWER(COS(PI()*MOD(Calculator!$B$33/Calculator!$F$15,1)),2)))),2))</f>
        <v>11.75</v>
      </c>
      <c r="AS101" s="102" t="n">
        <f aca="false">IF(OR(Calculator!$E$16&lt;&gt;"YES",Calculator!$B$33&lt;Calculator!$G$16),"—",ROUND(MAX((50*POWER(80,POWER(COS(PI()*MOD(Calculator!$B$33/Calculator!$F$16,1)),2)))/$C101,$C101/(50*POWER(80,POWER(COS(PI()*MOD(Calculator!$B$33/Calculator!$F$16,1)),2)))),2))</f>
        <v>4.29</v>
      </c>
      <c r="AT101" s="102" t="n">
        <f aca="false">IF(OR(Calculator!$E$17&lt;&gt;"YES",Calculator!$B$33&lt;Calculator!$G$17),"—",ROUND(MAX((50*POWER(80,POWER(COS(PI()*MOD(Calculator!$B$33/Calculator!$F$17,1)),2)))/$C101,$C101/(50*POWER(80,POWER(COS(PI()*MOD(Calculator!$B$33/Calculator!$F$17,1)),2)))),2))</f>
        <v>13.63</v>
      </c>
      <c r="AU101" s="102" t="n">
        <f aca="false">IF(OR(Calculator!$E$18&lt;&gt;"YES",Calculator!$B$33&lt;Calculator!$G$18),"—",ROUND(MAX((50*POWER(80,POWER(COS(PI()*MOD(Calculator!$B$33/Calculator!$F$18,1)),2)))/$C101,$C101/(50*POWER(80,POWER(COS(PI()*MOD(Calculator!$B$33/Calculator!$F$18,1)),2)))),2))</f>
        <v>18.45</v>
      </c>
      <c r="AV101" s="102" t="n">
        <f aca="false">IF(OR(Calculator!$E$19&lt;&gt;"YES",Calculator!$B$33&lt;Calculator!$G$19),"—",ROUND(MAX((50*POWER(80,POWER(COS(PI()*MOD(Calculator!$B$33/Calculator!$F$19,1)),2)))/$C101,$C101/(50*POWER(80,POWER(COS(PI()*MOD(Calculator!$B$33/Calculator!$F$19,1)),2)))),2))</f>
        <v>2.25</v>
      </c>
      <c r="AW101" s="102" t="n">
        <f aca="false">IF(OR(Calculator!$E$20&lt;&gt;"YES",Calculator!$B$33&lt;Calculator!$G$20),"—",ROUND(MAX((50*POWER(80,POWER(COS(PI()*MOD(Calculator!$B$33/Calculator!$F$20,1)),2)))/$C101,$C101/(50*POWER(80,POWER(COS(PI()*MOD(Calculator!$B$33/Calculator!$F$20,1)),2)))),2))</f>
        <v>28.15</v>
      </c>
      <c r="AX101" s="102" t="str">
        <f aca="false">IF(OR(Calculator!$E$21&lt;&gt;"YES",Calculator!$B$33&lt;Calculator!$G$21),"—",ROUND(MAX((50*POWER(80,POWER(COS(PI()*MOD(Calculator!$B$33/Calculator!$F$21,1)),2)))/$C101,$C101/(50*POWER(80,POWER(COS(PI()*MOD(Calculator!$B$33/Calculator!$F$21,1)),2)))),2))</f>
        <v>—</v>
      </c>
      <c r="AY101" s="101" t="n">
        <f aca="false">IFERROR(ROUND((IF(ISNUMBER(AN101),AN101,0)+IF(ISNUMBER(AO101),AO101,0)+IF(ISNUMBER(AP101),AP101,0)+IF(ISNUMBER(AQ101),AQ101,0)+IF(ISNUMBER(AR101),AR101,0)+IF(ISNUMBER(AS101),AS101,0)+IF(ISNUMBER(AT101),AT101,0)+IF(ISNUMBER(AU101),AU101,0)+IF(ISNUMBER(AV101),AV101,0)+IF(ISNUMBER(AW101),AW101,0)+IF(ISNUMBER(AX101),AX101,0))/(IF(ISNUMBER(AN101),1,0)+IF(ISNUMBER(AO101),1,0)+IF(ISNUMBER(AP101),1,0)+IF(ISNUMBER(AQ101),1,0)+IF(ISNUMBER(AR101),1,0)+IF(ISNUMBER(AS101),1,0)+IF(ISNUMBER(AT101),1,0)+IF(ISNUMBER(AU101),1,0)+IF(ISNUMBER(AV101),1,0)+IF(ISNUMBER(AW101),1,0)+IF(ISNUMBER(AX101),1,0)),2),"")</f>
        <v>11.4</v>
      </c>
      <c r="AZ101" s="102" t="str">
        <f aca="false">IF(OR(Calculator!$E$11&lt;&gt;"YES",Calculator!$B$34&lt;Calculator!$G$11),"—",ROUND(MAX((50*POWER(80,POWER(COS(PI()*MOD(Calculator!$B$34/Calculator!$F$11,1)),2)))/$C101,$C101/(50*POWER(80,POWER(COS(PI()*MOD(Calculator!$B$34/Calculator!$F$11,1)),2)))),2))</f>
        <v>—</v>
      </c>
      <c r="BA101" s="102" t="str">
        <f aca="false">IF(OR(Calculator!$E$12&lt;&gt;"YES",Calculator!$B$34&lt;Calculator!$G$12),"—",ROUND(MAX((50*POWER(80,POWER(COS(PI()*MOD(Calculator!$B$34/Calculator!$F$12,1)),2)))/$C101,$C101/(50*POWER(80,POWER(COS(PI()*MOD(Calculator!$B$34/Calculator!$F$12,1)),2)))),2))</f>
        <v>—</v>
      </c>
      <c r="BB101" s="102" t="str">
        <f aca="false">IF(OR(Calculator!$E$13&lt;&gt;"YES",Calculator!$B$34&lt;Calculator!$G$13),"—",ROUND(MAX((50*POWER(80,POWER(COS(PI()*MOD(Calculator!$B$34/Calculator!$F$13,1)),2)))/$C101,$C101/(50*POWER(80,POWER(COS(PI()*MOD(Calculator!$B$34/Calculator!$F$13,1)),2)))),2))</f>
        <v>—</v>
      </c>
      <c r="BC101" s="102" t="n">
        <f aca="false">IF(OR(Calculator!$E$14&lt;&gt;"YES",Calculator!$B$34&lt;Calculator!$G$14),"—",ROUND(MAX((50*POWER(80,POWER(COS(PI()*MOD(Calculator!$B$34/Calculator!$F$14,1)),2)))/$C101,$C101/(50*POWER(80,POWER(COS(PI()*MOD(Calculator!$B$34/Calculator!$F$14,1)),2)))),2))</f>
        <v>1.24</v>
      </c>
      <c r="BD101" s="102" t="n">
        <f aca="false">IF(OR(Calculator!$E$15&lt;&gt;"YES",Calculator!$B$34&lt;Calculator!$G$15),"—",ROUND(MAX((50*POWER(80,POWER(COS(PI()*MOD(Calculator!$B$34/Calculator!$F$15,1)),2)))/$C101,$C101/(50*POWER(80,POWER(COS(PI()*MOD(Calculator!$B$34/Calculator!$F$15,1)),2)))),2))</f>
        <v>15.18</v>
      </c>
      <c r="BE101" s="102" t="n">
        <f aca="false">IF(OR(Calculator!$E$16&lt;&gt;"YES",Calculator!$B$34&lt;Calculator!$G$16),"—",ROUND(MAX((50*POWER(80,POWER(COS(PI()*MOD(Calculator!$B$34/Calculator!$F$16,1)),2)))/$C101,$C101/(50*POWER(80,POWER(COS(PI()*MOD(Calculator!$B$34/Calculator!$F$16,1)),2)))),2))</f>
        <v>5.12</v>
      </c>
      <c r="BF101" s="102" t="n">
        <f aca="false">IF(OR(Calculator!$E$17&lt;&gt;"YES",Calculator!$B$34&lt;Calculator!$G$17),"—",ROUND(MAX((50*POWER(80,POWER(COS(PI()*MOD(Calculator!$B$34/Calculator!$F$17,1)),2)))/$C101,$C101/(50*POWER(80,POWER(COS(PI()*MOD(Calculator!$B$34/Calculator!$F$17,1)),2)))),2))</f>
        <v>2.64</v>
      </c>
      <c r="BG101" s="102" t="n">
        <f aca="false">IF(OR(Calculator!$E$18&lt;&gt;"YES",Calculator!$B$34&lt;Calculator!$G$18),"—",ROUND(MAX((50*POWER(80,POWER(COS(PI()*MOD(Calculator!$B$34/Calculator!$F$18,1)),2)))/$C101,$C101/(50*POWER(80,POWER(COS(PI()*MOD(Calculator!$B$34/Calculator!$F$18,1)),2)))),2))</f>
        <v>24.96</v>
      </c>
      <c r="BH101" s="102" t="n">
        <f aca="false">IF(OR(Calculator!$E$19&lt;&gt;"YES",Calculator!$B$34&lt;Calculator!$G$19),"—",ROUND(MAX((50*POWER(80,POWER(COS(PI()*MOD(Calculator!$B$34/Calculator!$F$19,1)),2)))/$C101,$C101/(50*POWER(80,POWER(COS(PI()*MOD(Calculator!$B$34/Calculator!$F$19,1)),2)))),2))</f>
        <v>27.76</v>
      </c>
      <c r="BI101" s="102" t="n">
        <f aca="false">IF(OR(Calculator!$E$20&lt;&gt;"YES",Calculator!$B$34&lt;Calculator!$G$20),"—",ROUND(MAX((50*POWER(80,POWER(COS(PI()*MOD(Calculator!$B$34/Calculator!$F$20,1)),2)))/$C101,$C101/(50*POWER(80,POWER(COS(PI()*MOD(Calculator!$B$34/Calculator!$F$20,1)),2)))),2))</f>
        <v>16.56</v>
      </c>
      <c r="BJ101" s="102" t="str">
        <f aca="false">IF(OR(Calculator!$E$21&lt;&gt;"YES",Calculator!$B$34&lt;Calculator!$G$21),"—",ROUND(MAX((50*POWER(80,POWER(COS(PI()*MOD(Calculator!$B$34/Calculator!$F$21,1)),2)))/$C101,$C101/(50*POWER(80,POWER(COS(PI()*MOD(Calculator!$B$34/Calculator!$F$21,1)),2)))),2))</f>
        <v>—</v>
      </c>
      <c r="BK101" s="101" t="n">
        <f aca="false">IFERROR(ROUND((IF(ISNUMBER(AZ101),AZ101,0)+IF(ISNUMBER(BA101),BA101,0)+IF(ISNUMBER(BB101),BB101,0)+IF(ISNUMBER(BC101),BC101,0)+IF(ISNUMBER(BD101),BD101,0)+IF(ISNUMBER(BE101),BE101,0)+IF(ISNUMBER(BF101),BF101,0)+IF(ISNUMBER(BG101),BG101,0)+IF(ISNUMBER(BH101),BH101,0)+IF(ISNUMBER(BI101),BI101,0)+IF(ISNUMBER(BJ101),BJ101,0))/(IF(ISNUMBER(AZ101),1,0)+IF(ISNUMBER(BA101),1,0)+IF(ISNUMBER(BB101),1,0)+IF(ISNUMBER(BC101),1,0)+IF(ISNUMBER(BD101),1,0)+IF(ISNUMBER(BE101),1,0)+IF(ISNUMBER(BF101),1,0)+IF(ISNUMBER(BG101),1,0)+IF(ISNUMBER(BH101),1,0)+IF(ISNUMBER(BI101),1,0)+IF(ISNUMBER(BJ101),1,0)),2),"")</f>
        <v>13.35</v>
      </c>
    </row>
    <row r="103" customFormat="false" ht="26.85" hidden="false" customHeight="true" outlineLevel="0" collapsed="false">
      <c r="A103" s="112" t="s">
        <v>153</v>
      </c>
      <c r="B103" s="112"/>
      <c r="C103" s="112"/>
      <c r="D103" s="112"/>
      <c r="E103" s="112"/>
      <c r="F103" s="112"/>
      <c r="G103" s="112"/>
      <c r="H103" s="112"/>
      <c r="I103" s="112"/>
    </row>
    <row r="104" customFormat="false" ht="61.15" hidden="false" customHeight="false" outlineLevel="0" collapsed="false">
      <c r="A104" s="73" t="s">
        <v>154</v>
      </c>
      <c r="B104" s="73" t="s">
        <v>155</v>
      </c>
      <c r="C104" s="73" t="s">
        <v>44</v>
      </c>
      <c r="D104" s="73" t="s">
        <v>156</v>
      </c>
      <c r="E104" s="73" t="s">
        <v>157</v>
      </c>
      <c r="F104" s="73" t="s">
        <v>158</v>
      </c>
      <c r="G104" s="73" t="s">
        <v>159</v>
      </c>
      <c r="H104" s="73" t="s">
        <v>160</v>
      </c>
      <c r="I104" s="73" t="s">
        <v>73</v>
      </c>
    </row>
    <row r="105" customFormat="false" ht="88.05" hidden="false" customHeight="false" outlineLevel="0" collapsed="false">
      <c r="A105" s="102" t="s">
        <v>161</v>
      </c>
      <c r="B105" s="113" t="n">
        <f aca="false">Calculator!$B$30</f>
        <v>54</v>
      </c>
      <c r="C105" s="114" t="str">
        <f aca="false">Calculator!$H$30</f>
        <v>Long wire – max performance</v>
      </c>
      <c r="D105" s="102" t="str">
        <f aca="false">IFERROR(INDEX(A36:A101,MATCH(MIN(O36:O101),O36:O101,0)),"")</f>
        <v>7:1</v>
      </c>
      <c r="E105" s="102" t="n">
        <f aca="false">IFERROR(ROUND(MIN(O36:O101),2),"")</f>
        <v>2.37</v>
      </c>
      <c r="F105" s="102" t="str">
        <f aca="false">IFERROR(INDEX(A36:A101,MATCH(minifs(O36:O101,B36:B101,"&lt;&gt;—"),O36:O101,0)),"")</f>
        <v/>
      </c>
      <c r="G105" s="102" t="str">
        <f aca="false">IFERROR(ROUND(minifs(O36:O101,B36:B101,"&lt;&gt;—"),2),"")</f>
        <v/>
      </c>
      <c r="H105" s="102" t="str">
        <f aca="false">IFERROR(ROUND(minifs(D6:D16,D6:D16,"&gt;0"),0)&amp;" – "&amp;ROUND(maxifs(D6:D16,D6:D16,"&gt;0"),0)&amp;" Ω","")</f>
        <v/>
      </c>
      <c r="I105" s="114" t="str">
        <f aca="false">IFERROR(D105&amp;" optimal. Square ratio: "&amp;F105&amp;". See Section 3.","")</f>
        <v>7:1 optimal. Square ratio: . See Section 3.</v>
      </c>
    </row>
    <row r="106" customFormat="false" ht="88.05" hidden="false" customHeight="false" outlineLevel="0" collapsed="false">
      <c r="A106" s="102" t="s">
        <v>162</v>
      </c>
      <c r="B106" s="113" t="n">
        <f aca="false">Calculator!$B$31</f>
        <v>33.5</v>
      </c>
      <c r="C106" s="114" t="str">
        <f aca="false">Calculator!$H$31</f>
        <v>Excellent home station</v>
      </c>
      <c r="D106" s="102" t="str">
        <f aca="false">IFERROR(INDEX(A36:A101,MATCH(MIN(AA36:AA101),AA36:AA101,0)),"")</f>
        <v>7:1</v>
      </c>
      <c r="E106" s="102" t="n">
        <f aca="false">IFERROR(ROUND(MIN(AA36:AA101),2),"")</f>
        <v>3.15</v>
      </c>
      <c r="F106" s="102" t="str">
        <f aca="false">IFERROR(INDEX(A36:A101,MATCH(minifs(AA36:AA101,B36:B101,"&lt;&gt;—"),AA36:AA101,0)),"")</f>
        <v/>
      </c>
      <c r="G106" s="102" t="str">
        <f aca="false">IFERROR(ROUND(minifs(AA36:AA101,B36:B101,"&lt;&gt;—"),2),"")</f>
        <v/>
      </c>
      <c r="H106" s="102" t="str">
        <f aca="false">IFERROR(ROUND(minifs(E6:E16,E6:E16,"&gt;0"),0)&amp;" – "&amp;ROUND(maxifs(E6:E16,E6:E16,"&gt;0"),0)&amp;" Ω","")</f>
        <v/>
      </c>
      <c r="I106" s="114" t="str">
        <f aca="false">IFERROR(D106&amp;" optimal. Square ratio: "&amp;F106&amp;". See Section 3.","")</f>
        <v>7:1 optimal. Square ratio: . See Section 3.</v>
      </c>
    </row>
    <row r="107" customFormat="false" ht="88.05" hidden="false" customHeight="false" outlineLevel="0" collapsed="false">
      <c r="A107" s="102" t="s">
        <v>163</v>
      </c>
      <c r="B107" s="113" t="n">
        <f aca="false">Calculator!$B$32</f>
        <v>47.5</v>
      </c>
      <c r="C107" s="114" t="str">
        <f aca="false">Calculator!$H$32</f>
        <v>Long wire – max performance</v>
      </c>
      <c r="D107" s="102" t="str">
        <f aca="false">IFERROR(INDEX(A36:A101,MATCH(MIN(AM36:AM101),AM36:AM101,0)),"")</f>
        <v>9:1★</v>
      </c>
      <c r="E107" s="102" t="n">
        <f aca="false">IFERROR(ROUND(MIN(AM36:AM101),2),"")</f>
        <v>4.44</v>
      </c>
      <c r="F107" s="102" t="str">
        <f aca="false">IFERROR(INDEX(A36:A101,MATCH(minifs(AM36:AM101,B36:B101,"&lt;&gt;—"),AM36:AM101,0)),"")</f>
        <v/>
      </c>
      <c r="G107" s="102" t="str">
        <f aca="false">IFERROR(ROUND(minifs(AM36:AM101,B36:B101,"&lt;&gt;—"),2),"")</f>
        <v/>
      </c>
      <c r="H107" s="102" t="str">
        <f aca="false">IFERROR(ROUND(minifs(F6:F16,F6:F16,"&gt;0"),0)&amp;" – "&amp;ROUND(maxifs(F6:F16,F6:F16,"&gt;0"),0)&amp;" Ω","")</f>
        <v/>
      </c>
      <c r="I107" s="114" t="str">
        <f aca="false">IFERROR(D107&amp;" optimal. Square ratio: "&amp;F107&amp;". See Section 3.","")</f>
        <v>9:1★ optimal. Square ratio: . See Section 3.</v>
      </c>
    </row>
    <row r="108" customFormat="false" ht="88.05" hidden="false" customHeight="false" outlineLevel="0" collapsed="false">
      <c r="A108" s="102" t="s">
        <v>164</v>
      </c>
      <c r="B108" s="113" t="n">
        <f aca="false">Calculator!$B$33</f>
        <v>18.5</v>
      </c>
      <c r="C108" s="114" t="str">
        <f aca="false">Calculator!$H$33</f>
        <v>Good portable/home</v>
      </c>
      <c r="D108" s="102" t="str">
        <f aca="false">IFERROR(INDEX(A36:A101,MATCH(MIN(AY36:AY101),AY36:AY101,0)),"")</f>
        <v>10:1</v>
      </c>
      <c r="E108" s="102" t="n">
        <f aca="false">IFERROR(ROUND(MIN(AY36:AY101),2),"")</f>
        <v>2.94</v>
      </c>
      <c r="F108" s="102" t="str">
        <f aca="false">IFERROR(INDEX(A36:A101,MATCH(minifs(AY36:AY101,B36:B101,"&lt;&gt;—"),AY36:AY101,0)),"")</f>
        <v/>
      </c>
      <c r="G108" s="102" t="str">
        <f aca="false">IFERROR(ROUND(minifs(AY36:AY101,B36:B101,"&lt;&gt;—"),2),"")</f>
        <v/>
      </c>
      <c r="H108" s="102" t="str">
        <f aca="false">IFERROR(ROUND(minifs(G6:G16,G6:G16,"&gt;0"),0)&amp;" – "&amp;ROUND(maxifs(G6:G16,G6:G16,"&gt;0"),0)&amp;" Ω","")</f>
        <v/>
      </c>
      <c r="I108" s="114" t="str">
        <f aca="false">IFERROR(D108&amp;" optimal. Square ratio: "&amp;F108&amp;". See Section 3.","")</f>
        <v>10:1 optimal. Square ratio: . See Section 3.</v>
      </c>
    </row>
    <row r="109" customFormat="false" ht="88.05" hidden="false" customHeight="false" outlineLevel="0" collapsed="false">
      <c r="A109" s="102" t="s">
        <v>165</v>
      </c>
      <c r="B109" s="113" t="n">
        <f aca="false">Calculator!$B$34</f>
        <v>39</v>
      </c>
      <c r="C109" s="114" t="str">
        <f aca="false">Calculator!$H$34</f>
        <v>Excellent home station</v>
      </c>
      <c r="D109" s="102" t="str">
        <f aca="false">IFERROR(INDEX(A36:A101,MATCH(MIN(BK36:BK101),BK36:BK101,0)),"")</f>
        <v>9:1★</v>
      </c>
      <c r="E109" s="102" t="n">
        <f aca="false">IFERROR(ROUND(MIN(BK36:BK101),2),"")</f>
        <v>3.08</v>
      </c>
      <c r="F109" s="102" t="str">
        <f aca="false">IFERROR(INDEX(A36:A101,MATCH(minifs(BK36:BK101,B36:B101,"&lt;&gt;—"),BK36:BK101,0)),"")</f>
        <v/>
      </c>
      <c r="G109" s="102" t="str">
        <f aca="false">IFERROR(ROUND(minifs(BK36:BK101,B36:B101,"&lt;&gt;—"),2),"")</f>
        <v/>
      </c>
      <c r="H109" s="102" t="str">
        <f aca="false">IFERROR(ROUND(minifs(H6:H16,H6:H16,"&gt;0"),0)&amp;" – "&amp;ROUND(maxifs(H6:H16,H6:H16,"&gt;0"),0)&amp;" Ω","")</f>
        <v/>
      </c>
      <c r="I109" s="114" t="str">
        <f aca="false">IFERROR(D109&amp;" optimal. Square ratio: "&amp;F109&amp;". See Section 3.","")</f>
        <v>9:1★ optimal. Square ratio: . See Section 3.</v>
      </c>
    </row>
  </sheetData>
  <mergeCells count="12">
    <mergeCell ref="A1:BK1"/>
    <mergeCell ref="A2:BK2"/>
    <mergeCell ref="A4:I4"/>
    <mergeCell ref="A18:K18"/>
    <mergeCell ref="A32:BK32"/>
    <mergeCell ref="A33:BK33"/>
    <mergeCell ref="D34:O34"/>
    <mergeCell ref="P34:AA34"/>
    <mergeCell ref="AB34:AM34"/>
    <mergeCell ref="AN34:AY34"/>
    <mergeCell ref="AZ34:BK34"/>
    <mergeCell ref="A103:I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4" topLeftCell="B68" activePane="bottomRight" state="frozen"/>
      <selection pane="topLeft" activeCell="A1" activeCellId="0" sqref="A1"/>
      <selection pane="topRight" activeCell="B1" activeCellId="0" sqref="B1"/>
      <selection pane="bottomLeft" activeCell="A68" activeCellId="0" sqref="A68"/>
      <selection pane="bottomRight" activeCell="R88" activeCellId="0" sqref="R8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115" t="s">
        <v>166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</row>
    <row r="2" customFormat="false" ht="31.5" hidden="false" customHeight="true" outlineLevel="0" collapsed="false">
      <c r="A2" s="116" t="s">
        <v>167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</row>
    <row r="3" customFormat="false" ht="15" hidden="false" customHeight="true" outlineLevel="0" collapsed="false">
      <c r="A3" s="10" t="s">
        <v>168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4.5" hidden="false" customHeight="true" outlineLevel="0" collapsed="false">
      <c r="A4" s="117" t="s">
        <v>169</v>
      </c>
      <c r="B4" s="117" t="s">
        <v>170</v>
      </c>
      <c r="C4" s="117" t="s">
        <v>171</v>
      </c>
      <c r="D4" s="117" t="s">
        <v>172</v>
      </c>
      <c r="E4" s="117" t="s">
        <v>173</v>
      </c>
      <c r="F4" s="117" t="s">
        <v>174</v>
      </c>
      <c r="G4" s="117" t="s">
        <v>175</v>
      </c>
      <c r="H4" s="117" t="s">
        <v>176</v>
      </c>
      <c r="I4" s="117" t="s">
        <v>177</v>
      </c>
      <c r="J4" s="117" t="s">
        <v>178</v>
      </c>
      <c r="K4" s="117" t="s">
        <v>179</v>
      </c>
      <c r="L4" s="117" t="s">
        <v>180</v>
      </c>
      <c r="M4" s="117" t="s">
        <v>181</v>
      </c>
      <c r="N4" s="117" t="s">
        <v>37</v>
      </c>
      <c r="O4" s="117" t="s">
        <v>182</v>
      </c>
    </row>
    <row r="5" customFormat="false" ht="15" hidden="false" customHeight="true" outlineLevel="0" collapsed="false">
      <c r="A5" s="118" t="n">
        <v>5</v>
      </c>
      <c r="B5" s="119" t="n">
        <f aca="false">IF(Calculator!$E$11="YES",IF(A5&lt;Calculator!$G$11,0,MIN(MIN(MOD(A5/Calculator!$F$11,1),1-MOD(A5/Calculator!$F$11,1)),ABS(MOD(A5/Calculator!$F$11,1)-0.5))),1)</f>
        <v>1</v>
      </c>
      <c r="C5" s="119" t="n">
        <f aca="false">IF(Calculator!$E$12="YES",IF(A5&lt;Calculator!$G$12,0,MIN(MIN(MOD(A5/Calculator!$F$12,1),1-MOD(A5/Calculator!$F$12,1)),ABS(MOD(A5/Calculator!$F$12,1)-0.5))),1)</f>
        <v>1</v>
      </c>
      <c r="D5" s="119" t="n">
        <f aca="false">IF(Calculator!$E$13="YES",IF(A5&lt;Calculator!$G$13,0,MIN(MIN(MOD(A5/Calculator!$F$13,1),1-MOD(A5/Calculator!$F$13,1)),ABS(MOD(A5/Calculator!$F$13,1)-0.5))),1)</f>
        <v>1</v>
      </c>
      <c r="E5" s="119" t="n">
        <f aca="false">IF(Calculator!$E$14="YES",IF(A5&lt;Calculator!$G$14,0,MIN(MIN(MOD(A5/Calculator!$F$14,1),1-MOD(A5/Calculator!$F$14,1)),ABS(MOD(A5/Calculator!$F$14,1)-0.5))),1)</f>
        <v>0</v>
      </c>
      <c r="F5" s="119" t="n">
        <f aca="false">IF(Calculator!$E$15="YES",IF(A5&lt;Calculator!$G$15,0,MIN(MIN(MOD(A5/Calculator!$F$15,1),1-MOD(A5/Calculator!$F$15,1)),ABS(MOD(A5/Calculator!$F$15,1)-0.5))),1)</f>
        <v>0</v>
      </c>
      <c r="G5" s="119" t="n">
        <f aca="false">IF(Calculator!$E$16="YES",IF(A5&lt;Calculator!$G$16,0,MIN(MIN(MOD(A5/Calculator!$F$16,1),1-MOD(A5/Calculator!$F$16,1)),ABS(MOD(A5/Calculator!$F$16,1)-0.5))),1)</f>
        <v>0</v>
      </c>
      <c r="H5" s="119" t="n">
        <f aca="false">IF(Calculator!$E$17="YES",IF(A5&lt;Calculator!$G$17,0,MIN(MIN(MOD(A5/Calculator!$F$17,1),1-MOD(A5/Calculator!$F$17,1)),ABS(MOD(A5/Calculator!$F$17,1)-0.5))),1)</f>
        <v>0.119418803418803</v>
      </c>
      <c r="I5" s="119" t="n">
        <f aca="false">IF(Calculator!$E$18="YES",IF(A5&lt;Calculator!$G$18,0,MIN(MIN(MOD(A5/Calculator!$F$18,1),1-MOD(A5/Calculator!$F$18,1)),ABS(MOD(A5/Calculator!$F$18,1)-0.5))),1)</f>
        <v>0.225641025641026</v>
      </c>
      <c r="J5" s="119" t="n">
        <f aca="false">IF(Calculator!$E$19="YES",IF(A5&lt;Calculator!$G$19,0,MIN(MIN(MOD(A5/Calculator!$F$19,1),1-MOD(A5/Calculator!$F$19,1)),ABS(MOD(A5/Calculator!$F$19,1)-0.5))),1)</f>
        <v>0.147350427350427</v>
      </c>
      <c r="K5" s="119" t="n">
        <f aca="false">IF(Calculator!$E$20="YES",IF(A5&lt;Calculator!$G$20,0,MIN(MIN(MOD(A5/Calculator!$F$20,1),1-MOD(A5/Calculator!$F$20,1)),ABS(MOD(A5/Calculator!$F$20,1)-0.5))),1)</f>
        <v>0.0136752136752135</v>
      </c>
      <c r="L5" s="119" t="n">
        <f aca="false">IF(Calculator!$E$21="YES",IF(A5&lt;Calculator!$G$21,0,MIN(MIN(MOD(A5/Calculator!$F$21,1),1-MOD(A5/Calculator!$F$21,1)),ABS(MOD(A5/Calculator!$F$21,1)-0.5))),1)</f>
        <v>1</v>
      </c>
      <c r="M5" s="120" t="n">
        <f aca="false">MIN(B5:L5)</f>
        <v>0</v>
      </c>
      <c r="N5" s="121" t="n">
        <f aca="false">SUMPRODUCT(($M$5:$M$115&gt;M5)*1)+SUMPRODUCT(($M$5:$M$115=M5)*(ROW($M$5:$M$115)&lt;ROW(M5)))+1</f>
        <v>101</v>
      </c>
      <c r="O5" s="122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true" outlineLevel="0" collapsed="false">
      <c r="A6" s="118" t="n">
        <v>5.5</v>
      </c>
      <c r="B6" s="119" t="n">
        <f aca="false">IF(Calculator!$E$11="YES",IF(A6&lt;Calculator!$G$11,0,MIN(MIN(MOD(A6/Calculator!$F$11,1),1-MOD(A6/Calculator!$F$11,1)),ABS(MOD(A6/Calculator!$F$11,1)-0.5))),1)</f>
        <v>1</v>
      </c>
      <c r="C6" s="119" t="n">
        <f aca="false">IF(Calculator!$E$12="YES",IF(A6&lt;Calculator!$G$12,0,MIN(MIN(MOD(A6/Calculator!$F$12,1),1-MOD(A6/Calculator!$F$12,1)),ABS(MOD(A6/Calculator!$F$12,1)-0.5))),1)</f>
        <v>1</v>
      </c>
      <c r="D6" s="119" t="n">
        <f aca="false">IF(Calculator!$E$13="YES",IF(A6&lt;Calculator!$G$13,0,MIN(MIN(MOD(A6/Calculator!$F$13,1),1-MOD(A6/Calculator!$F$13,1)),ABS(MOD(A6/Calculator!$F$13,1)-0.5))),1)</f>
        <v>1</v>
      </c>
      <c r="E6" s="119" t="n">
        <f aca="false">IF(Calculator!$E$14="YES",IF(A6&lt;Calculator!$G$14,0,MIN(MIN(MOD(A6/Calculator!$F$14,1),1-MOD(A6/Calculator!$F$14,1)),ABS(MOD(A6/Calculator!$F$14,1)-0.5))),1)</f>
        <v>0</v>
      </c>
      <c r="F6" s="119" t="n">
        <f aca="false">IF(Calculator!$E$15="YES",IF(A6&lt;Calculator!$G$15,0,MIN(MIN(MOD(A6/Calculator!$F$15,1),1-MOD(A6/Calculator!$F$15,1)),ABS(MOD(A6/Calculator!$F$15,1)-0.5))),1)</f>
        <v>0</v>
      </c>
      <c r="G6" s="119" t="n">
        <f aca="false">IF(Calculator!$E$16="YES",IF(A6&lt;Calculator!$G$16,0,MIN(MIN(MOD(A6/Calculator!$F$16,1),1-MOD(A6/Calculator!$F$16,1)),ABS(MOD(A6/Calculator!$F$16,1)-0.5))),1)</f>
        <v>0.0330769230769231</v>
      </c>
      <c r="H6" s="119" t="n">
        <f aca="false">IF(Calculator!$E$17="YES",IF(A6&lt;Calculator!$G$17,0,MIN(MIN(MOD(A6/Calculator!$F$17,1),1-MOD(A6/Calculator!$F$17,1)),ABS(MOD(A6/Calculator!$F$17,1)-0.5))),1)</f>
        <v>0.181360683760684</v>
      </c>
      <c r="I6" s="119" t="n">
        <f aca="false">IF(Calculator!$E$18="YES",IF(A6&lt;Calculator!$G$18,0,MIN(MIN(MOD(A6/Calculator!$F$18,1),1-MOD(A6/Calculator!$F$18,1)),ABS(MOD(A6/Calculator!$F$18,1)-0.5))),1)</f>
        <v>0.201794871794872</v>
      </c>
      <c r="J6" s="119" t="n">
        <f aca="false">IF(Calculator!$E$19="YES",IF(A6&lt;Calculator!$G$19,0,MIN(MIN(MOD(A6/Calculator!$F$19,1),1-MOD(A6/Calculator!$F$19,1)),ABS(MOD(A6/Calculator!$F$19,1)-0.5))),1)</f>
        <v>0.0620854700854702</v>
      </c>
      <c r="K6" s="119" t="n">
        <f aca="false">IF(Calculator!$E$20="YES",IF(A6&lt;Calculator!$G$20,0,MIN(MIN(MOD(A6/Calculator!$F$20,1),1-MOD(A6/Calculator!$F$20,1)),ABS(MOD(A6/Calculator!$F$20,1)-0.5))),1)</f>
        <v>0.0849572649572652</v>
      </c>
      <c r="L6" s="119" t="n">
        <f aca="false">IF(Calculator!$E$21="YES",IF(A6&lt;Calculator!$G$21,0,MIN(MIN(MOD(A6/Calculator!$F$21,1),1-MOD(A6/Calculator!$F$21,1)),ABS(MOD(A6/Calculator!$F$21,1)-0.5))),1)</f>
        <v>1</v>
      </c>
      <c r="M6" s="120" t="n">
        <f aca="false">MIN(B6:L6)</f>
        <v>0</v>
      </c>
      <c r="N6" s="121" t="n">
        <f aca="false">SUMPRODUCT(($M$5:$M$115&gt;M6)*1)+SUMPRODUCT(($M$5:$M$115=M6)*(ROW($M$5:$M$115)&lt;ROW(M6)))+1</f>
        <v>102</v>
      </c>
      <c r="O6" s="122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true" outlineLevel="0" collapsed="false">
      <c r="A7" s="118" t="n">
        <v>6</v>
      </c>
      <c r="B7" s="119" t="n">
        <f aca="false">IF(Calculator!$E$11="YES",IF(A7&lt;Calculator!$G$11,0,MIN(MIN(MOD(A7/Calculator!$F$11,1),1-MOD(A7/Calculator!$F$11,1)),ABS(MOD(A7/Calculator!$F$11,1)-0.5))),1)</f>
        <v>1</v>
      </c>
      <c r="C7" s="119" t="n">
        <f aca="false">IF(Calculator!$E$12="YES",IF(A7&lt;Calculator!$G$12,0,MIN(MIN(MOD(A7/Calculator!$F$12,1),1-MOD(A7/Calculator!$F$12,1)),ABS(MOD(A7/Calculator!$F$12,1)-0.5))),1)</f>
        <v>1</v>
      </c>
      <c r="D7" s="119" t="n">
        <f aca="false">IF(Calculator!$E$13="YES",IF(A7&lt;Calculator!$G$13,0,MIN(MIN(MOD(A7/Calculator!$F$13,1),1-MOD(A7/Calculator!$F$13,1)),ABS(MOD(A7/Calculator!$F$13,1)-0.5))),1)</f>
        <v>1</v>
      </c>
      <c r="E7" s="119" t="n">
        <f aca="false">IF(Calculator!$E$14="YES",IF(A7&lt;Calculator!$G$14,0,MIN(MIN(MOD(A7/Calculator!$F$14,1),1-MOD(A7/Calculator!$F$14,1)),ABS(MOD(A7/Calculator!$F$14,1)-0.5))),1)</f>
        <v>0</v>
      </c>
      <c r="F7" s="119" t="n">
        <f aca="false">IF(Calculator!$E$15="YES",IF(A7&lt;Calculator!$G$15,0,MIN(MIN(MOD(A7/Calculator!$F$15,1),1-MOD(A7/Calculator!$F$15,1)),ABS(MOD(A7/Calculator!$F$15,1)-0.5))),1)</f>
        <v>0</v>
      </c>
      <c r="G7" s="119" t="n">
        <f aca="false">IF(Calculator!$E$16="YES",IF(A7&lt;Calculator!$G$16,0,MIN(MIN(MOD(A7/Calculator!$F$16,1),1-MOD(A7/Calculator!$F$16,1)),ABS(MOD(A7/Calculator!$F$16,1)-0.5))),1)</f>
        <v>0.0815384615384616</v>
      </c>
      <c r="H7" s="119" t="n">
        <f aca="false">IF(Calculator!$E$17="YES",IF(A7&lt;Calculator!$G$17,0,MIN(MIN(MOD(A7/Calculator!$F$17,1),1-MOD(A7/Calculator!$F$17,1)),ABS(MOD(A7/Calculator!$F$17,1)-0.5))),1)</f>
        <v>0.243302564102564</v>
      </c>
      <c r="I7" s="119" t="n">
        <f aca="false">IF(Calculator!$E$18="YES",IF(A7&lt;Calculator!$G$18,0,MIN(MIN(MOD(A7/Calculator!$F$18,1),1-MOD(A7/Calculator!$F$18,1)),ABS(MOD(A7/Calculator!$F$18,1)-0.5))),1)</f>
        <v>0.129230769230769</v>
      </c>
      <c r="J7" s="119" t="n">
        <f aca="false">IF(Calculator!$E$19="YES",IF(A7&lt;Calculator!$G$19,0,MIN(MIN(MOD(A7/Calculator!$F$19,1),1-MOD(A7/Calculator!$F$19,1)),ABS(MOD(A7/Calculator!$F$19,1)-0.5))),1)</f>
        <v>0.023179487179487</v>
      </c>
      <c r="K7" s="119" t="n">
        <f aca="false">IF(Calculator!$E$20="YES",IF(A7&lt;Calculator!$G$20,0,MIN(MIN(MOD(A7/Calculator!$F$20,1),1-MOD(A7/Calculator!$F$20,1)),ABS(MOD(A7/Calculator!$F$20,1)-0.5))),1)</f>
        <v>0.183589743589744</v>
      </c>
      <c r="L7" s="119" t="n">
        <f aca="false">IF(Calculator!$E$21="YES",IF(A7&lt;Calculator!$G$21,0,MIN(MIN(MOD(A7/Calculator!$F$21,1),1-MOD(A7/Calculator!$F$21,1)),ABS(MOD(A7/Calculator!$F$21,1)-0.5))),1)</f>
        <v>1</v>
      </c>
      <c r="M7" s="120" t="n">
        <f aca="false">MIN(B7:L7)</f>
        <v>0</v>
      </c>
      <c r="N7" s="121" t="n">
        <f aca="false">SUMPRODUCT(($M$5:$M$115&gt;M7)*1)+SUMPRODUCT(($M$5:$M$115=M7)*(ROW($M$5:$M$115)&lt;ROW(M7)))+1</f>
        <v>103</v>
      </c>
      <c r="O7" s="122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true" outlineLevel="0" collapsed="false">
      <c r="A8" s="118" t="n">
        <v>6.5</v>
      </c>
      <c r="B8" s="119" t="n">
        <f aca="false">IF(Calculator!$E$11="YES",IF(A8&lt;Calculator!$G$11,0,MIN(MIN(MOD(A8/Calculator!$F$11,1),1-MOD(A8/Calculator!$F$11,1)),ABS(MOD(A8/Calculator!$F$11,1)-0.5))),1)</f>
        <v>1</v>
      </c>
      <c r="C8" s="119" t="n">
        <f aca="false">IF(Calculator!$E$12="YES",IF(A8&lt;Calculator!$G$12,0,MIN(MIN(MOD(A8/Calculator!$F$12,1),1-MOD(A8/Calculator!$F$12,1)),ABS(MOD(A8/Calculator!$F$12,1)-0.5))),1)</f>
        <v>1</v>
      </c>
      <c r="D8" s="119" t="n">
        <f aca="false">IF(Calculator!$E$13="YES",IF(A8&lt;Calculator!$G$13,0,MIN(MIN(MOD(A8/Calculator!$F$13,1),1-MOD(A8/Calculator!$F$13,1)),ABS(MOD(A8/Calculator!$F$13,1)-0.5))),1)</f>
        <v>1</v>
      </c>
      <c r="E8" s="119" t="n">
        <f aca="false">IF(Calculator!$E$14="YES",IF(A8&lt;Calculator!$G$14,0,MIN(MIN(MOD(A8/Calculator!$F$14,1),1-MOD(A8/Calculator!$F$14,1)),ABS(MOD(A8/Calculator!$F$14,1)-0.5))),1)</f>
        <v>0</v>
      </c>
      <c r="F8" s="119" t="n">
        <f aca="false">IF(Calculator!$E$15="YES",IF(A8&lt;Calculator!$G$15,0,MIN(MIN(MOD(A8/Calculator!$F$15,1),1-MOD(A8/Calculator!$F$15,1)),ABS(MOD(A8/Calculator!$F$15,1)-0.5))),1)</f>
        <v>0</v>
      </c>
      <c r="G8" s="119" t="n">
        <f aca="false">IF(Calculator!$E$16="YES",IF(A8&lt;Calculator!$G$16,0,MIN(MIN(MOD(A8/Calculator!$F$16,1),1-MOD(A8/Calculator!$F$16,1)),ABS(MOD(A8/Calculator!$F$16,1)-0.5))),1)</f>
        <v>0.13</v>
      </c>
      <c r="H8" s="119" t="n">
        <f aca="false">IF(Calculator!$E$17="YES",IF(A8&lt;Calculator!$G$17,0,MIN(MIN(MOD(A8/Calculator!$F$17,1),1-MOD(A8/Calculator!$F$17,1)),ABS(MOD(A8/Calculator!$F$17,1)-0.5))),1)</f>
        <v>0.194755555555556</v>
      </c>
      <c r="I8" s="119" t="n">
        <f aca="false">IF(Calculator!$E$18="YES",IF(A8&lt;Calculator!$G$18,0,MIN(MIN(MOD(A8/Calculator!$F$18,1),1-MOD(A8/Calculator!$F$18,1)),ABS(MOD(A8/Calculator!$F$18,1)-0.5))),1)</f>
        <v>0.0566666666666665</v>
      </c>
      <c r="J8" s="119" t="n">
        <f aca="false">IF(Calculator!$E$19="YES",IF(A8&lt;Calculator!$G$19,0,MIN(MIN(MOD(A8/Calculator!$F$19,1),1-MOD(A8/Calculator!$F$19,1)),ABS(MOD(A8/Calculator!$F$19,1)-0.5))),1)</f>
        <v>0.108444444444444</v>
      </c>
      <c r="K8" s="119" t="n">
        <f aca="false">IF(Calculator!$E$20="YES",IF(A8&lt;Calculator!$G$20,0,MIN(MIN(MOD(A8/Calculator!$F$20,1),1-MOD(A8/Calculator!$F$20,1)),ABS(MOD(A8/Calculator!$F$20,1)-0.5))),1)</f>
        <v>0.217777777777778</v>
      </c>
      <c r="L8" s="119" t="n">
        <f aca="false">IF(Calculator!$E$21="YES",IF(A8&lt;Calculator!$G$21,0,MIN(MIN(MOD(A8/Calculator!$F$21,1),1-MOD(A8/Calculator!$F$21,1)),ABS(MOD(A8/Calculator!$F$21,1)-0.5))),1)</f>
        <v>1</v>
      </c>
      <c r="M8" s="120" t="n">
        <f aca="false">MIN(B8:L8)</f>
        <v>0</v>
      </c>
      <c r="N8" s="121" t="n">
        <f aca="false">SUMPRODUCT(($M$5:$M$115&gt;M8)*1)+SUMPRODUCT(($M$5:$M$115=M8)*(ROW($M$5:$M$115)&lt;ROW(M8)))+1</f>
        <v>104</v>
      </c>
      <c r="O8" s="122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true" outlineLevel="0" collapsed="false">
      <c r="A9" s="118" t="n">
        <v>7</v>
      </c>
      <c r="B9" s="119" t="n">
        <f aca="false">IF(Calculator!$E$11="YES",IF(A9&lt;Calculator!$G$11,0,MIN(MIN(MOD(A9/Calculator!$F$11,1),1-MOD(A9/Calculator!$F$11,1)),ABS(MOD(A9/Calculator!$F$11,1)-0.5))),1)</f>
        <v>1</v>
      </c>
      <c r="C9" s="119" t="n">
        <f aca="false">IF(Calculator!$E$12="YES",IF(A9&lt;Calculator!$G$12,0,MIN(MIN(MOD(A9/Calculator!$F$12,1),1-MOD(A9/Calculator!$F$12,1)),ABS(MOD(A9/Calculator!$F$12,1)-0.5))),1)</f>
        <v>1</v>
      </c>
      <c r="D9" s="119" t="n">
        <f aca="false">IF(Calculator!$E$13="YES",IF(A9&lt;Calculator!$G$13,0,MIN(MIN(MOD(A9/Calculator!$F$13,1),1-MOD(A9/Calculator!$F$13,1)),ABS(MOD(A9/Calculator!$F$13,1)-0.5))),1)</f>
        <v>1</v>
      </c>
      <c r="E9" s="119" t="n">
        <f aca="false">IF(Calculator!$E$14="YES",IF(A9&lt;Calculator!$G$14,0,MIN(MIN(MOD(A9/Calculator!$F$14,1),1-MOD(A9/Calculator!$F$14,1)),ABS(MOD(A9/Calculator!$F$14,1)-0.5))),1)</f>
        <v>0</v>
      </c>
      <c r="F9" s="119" t="n">
        <f aca="false">IF(Calculator!$E$15="YES",IF(A9&lt;Calculator!$G$15,0,MIN(MIN(MOD(A9/Calculator!$F$15,1),1-MOD(A9/Calculator!$F$15,1)),ABS(MOD(A9/Calculator!$F$15,1)-0.5))),1)</f>
        <v>0</v>
      </c>
      <c r="G9" s="119" t="n">
        <f aca="false">IF(Calculator!$E$16="YES",IF(A9&lt;Calculator!$G$16,0,MIN(MIN(MOD(A9/Calculator!$F$16,1),1-MOD(A9/Calculator!$F$16,1)),ABS(MOD(A9/Calculator!$F$16,1)-0.5))),1)</f>
        <v>0.178461538461539</v>
      </c>
      <c r="H9" s="119" t="n">
        <f aca="false">IF(Calculator!$E$17="YES",IF(A9&lt;Calculator!$G$17,0,MIN(MIN(MOD(A9/Calculator!$F$17,1),1-MOD(A9/Calculator!$F$17,1)),ABS(MOD(A9/Calculator!$F$17,1)-0.5))),1)</f>
        <v>0.132813675213675</v>
      </c>
      <c r="I9" s="119" t="n">
        <f aca="false">IF(Calculator!$E$18="YES",IF(A9&lt;Calculator!$G$18,0,MIN(MIN(MOD(A9/Calculator!$F$18,1),1-MOD(A9/Calculator!$F$18,1)),ABS(MOD(A9/Calculator!$F$18,1)-0.5))),1)</f>
        <v>0.015897435897436</v>
      </c>
      <c r="J9" s="119" t="n">
        <f aca="false">IF(Calculator!$E$19="YES",IF(A9&lt;Calculator!$G$19,0,MIN(MIN(MOD(A9/Calculator!$F$19,1),1-MOD(A9/Calculator!$F$19,1)),ABS(MOD(A9/Calculator!$F$19,1)-0.5))),1)</f>
        <v>0.193709401709402</v>
      </c>
      <c r="K9" s="119" t="n">
        <f aca="false">IF(Calculator!$E$20="YES",IF(A9&lt;Calculator!$G$20,0,MIN(MIN(MOD(A9/Calculator!$F$20,1),1-MOD(A9/Calculator!$F$20,1)),ABS(MOD(A9/Calculator!$F$20,1)-0.5))),1)</f>
        <v>0.119145299145299</v>
      </c>
      <c r="L9" s="119" t="n">
        <f aca="false">IF(Calculator!$E$21="YES",IF(A9&lt;Calculator!$G$21,0,MIN(MIN(MOD(A9/Calculator!$F$21,1),1-MOD(A9/Calculator!$F$21,1)),ABS(MOD(A9/Calculator!$F$21,1)-0.5))),1)</f>
        <v>1</v>
      </c>
      <c r="M9" s="120" t="n">
        <f aca="false">MIN(B9:L9)</f>
        <v>0</v>
      </c>
      <c r="N9" s="121" t="n">
        <f aca="false">SUMPRODUCT(($M$5:$M$115&gt;M9)*1)+SUMPRODUCT(($M$5:$M$115=M9)*(ROW($M$5:$M$115)&lt;ROW(M9)))+1</f>
        <v>105</v>
      </c>
      <c r="O9" s="122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true" outlineLevel="0" collapsed="false">
      <c r="A10" s="118" t="n">
        <v>7.5</v>
      </c>
      <c r="B10" s="119" t="n">
        <f aca="false">IF(Calculator!$E$11="YES",IF(A10&lt;Calculator!$G$11,0,MIN(MIN(MOD(A10/Calculator!$F$11,1),1-MOD(A10/Calculator!$F$11,1)),ABS(MOD(A10/Calculator!$F$11,1)-0.5))),1)</f>
        <v>1</v>
      </c>
      <c r="C10" s="119" t="n">
        <f aca="false">IF(Calculator!$E$12="YES",IF(A10&lt;Calculator!$G$12,0,MIN(MIN(MOD(A10/Calculator!$F$12,1),1-MOD(A10/Calculator!$F$12,1)),ABS(MOD(A10/Calculator!$F$12,1)-0.5))),1)</f>
        <v>1</v>
      </c>
      <c r="D10" s="119" t="n">
        <f aca="false">IF(Calculator!$E$13="YES",IF(A10&lt;Calculator!$G$13,0,MIN(MIN(MOD(A10/Calculator!$F$13,1),1-MOD(A10/Calculator!$F$13,1)),ABS(MOD(A10/Calculator!$F$13,1)-0.5))),1)</f>
        <v>1</v>
      </c>
      <c r="E10" s="119" t="n">
        <f aca="false">IF(Calculator!$E$14="YES",IF(A10&lt;Calculator!$G$14,0,MIN(MIN(MOD(A10/Calculator!$F$14,1),1-MOD(A10/Calculator!$F$14,1)),ABS(MOD(A10/Calculator!$F$14,1)-0.5))),1)</f>
        <v>0</v>
      </c>
      <c r="F10" s="119" t="n">
        <f aca="false">IF(Calculator!$E$15="YES",IF(A10&lt;Calculator!$G$15,0,MIN(MIN(MOD(A10/Calculator!$F$15,1),1-MOD(A10/Calculator!$F$15,1)),ABS(MOD(A10/Calculator!$F$15,1)-0.5))),1)</f>
        <v>0.0192307692307708</v>
      </c>
      <c r="G10" s="119" t="n">
        <f aca="false">IF(Calculator!$E$16="YES",IF(A10&lt;Calculator!$G$16,0,MIN(MIN(MOD(A10/Calculator!$F$16,1),1-MOD(A10/Calculator!$F$16,1)),ABS(MOD(A10/Calculator!$F$16,1)-0.5))),1)</f>
        <v>0.226923076923077</v>
      </c>
      <c r="H10" s="119" t="n">
        <f aca="false">IF(Calculator!$E$17="YES",IF(A10&lt;Calculator!$G$17,0,MIN(MIN(MOD(A10/Calculator!$F$17,1),1-MOD(A10/Calculator!$F$17,1)),ABS(MOD(A10/Calculator!$F$17,1)-0.5))),1)</f>
        <v>0.0708717948717951</v>
      </c>
      <c r="I10" s="119" t="n">
        <f aca="false">IF(Calculator!$E$18="YES",IF(A10&lt;Calculator!$G$18,0,MIN(MIN(MOD(A10/Calculator!$F$18,1),1-MOD(A10/Calculator!$F$18,1)),ABS(MOD(A10/Calculator!$F$18,1)-0.5))),1)</f>
        <v>0.0884615384615386</v>
      </c>
      <c r="J10" s="119" t="n">
        <f aca="false">IF(Calculator!$E$19="YES",IF(A10&lt;Calculator!$G$19,0,MIN(MIN(MOD(A10/Calculator!$F$19,1),1-MOD(A10/Calculator!$F$19,1)),ABS(MOD(A10/Calculator!$F$19,1)-0.5))),1)</f>
        <v>0.221025641025641</v>
      </c>
      <c r="K10" s="119" t="n">
        <f aca="false">IF(Calculator!$E$20="YES",IF(A10&lt;Calculator!$G$20,0,MIN(MIN(MOD(A10/Calculator!$F$20,1),1-MOD(A10/Calculator!$F$20,1)),ABS(MOD(A10/Calculator!$F$20,1)-0.5))),1)</f>
        <v>0.0205128205128204</v>
      </c>
      <c r="L10" s="119" t="n">
        <f aca="false">IF(Calculator!$E$21="YES",IF(A10&lt;Calculator!$G$21,0,MIN(MIN(MOD(A10/Calculator!$F$21,1),1-MOD(A10/Calculator!$F$21,1)),ABS(MOD(A10/Calculator!$F$21,1)-0.5))),1)</f>
        <v>1</v>
      </c>
      <c r="M10" s="120" t="n">
        <f aca="false">MIN(B10:L10)</f>
        <v>0</v>
      </c>
      <c r="N10" s="121" t="n">
        <f aca="false">SUMPRODUCT(($M$5:$M$115&gt;M10)*1)+SUMPRODUCT(($M$5:$M$115=M10)*(ROW($M$5:$M$115)&lt;ROW(M10)))+1</f>
        <v>106</v>
      </c>
      <c r="O10" s="122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true" outlineLevel="0" collapsed="false">
      <c r="A11" s="118" t="n">
        <v>8</v>
      </c>
      <c r="B11" s="119" t="n">
        <f aca="false">IF(Calculator!$E$11="YES",IF(A11&lt;Calculator!$G$11,0,MIN(MIN(MOD(A11/Calculator!$F$11,1),1-MOD(A11/Calculator!$F$11,1)),ABS(MOD(A11/Calculator!$F$11,1)-0.5))),1)</f>
        <v>1</v>
      </c>
      <c r="C11" s="119" t="n">
        <f aca="false">IF(Calculator!$E$12="YES",IF(A11&lt;Calculator!$G$12,0,MIN(MIN(MOD(A11/Calculator!$F$12,1),1-MOD(A11/Calculator!$F$12,1)),ABS(MOD(A11/Calculator!$F$12,1)-0.5))),1)</f>
        <v>1</v>
      </c>
      <c r="D11" s="119" t="n">
        <f aca="false">IF(Calculator!$E$13="YES",IF(A11&lt;Calculator!$G$13,0,MIN(MIN(MOD(A11/Calculator!$F$13,1),1-MOD(A11/Calculator!$F$13,1)),ABS(MOD(A11/Calculator!$F$13,1)-0.5))),1)</f>
        <v>1</v>
      </c>
      <c r="E11" s="119" t="n">
        <f aca="false">IF(Calculator!$E$14="YES",IF(A11&lt;Calculator!$G$14,0,MIN(MIN(MOD(A11/Calculator!$F$14,1),1-MOD(A11/Calculator!$F$14,1)),ABS(MOD(A11/Calculator!$F$14,1)-0.5))),1)</f>
        <v>0</v>
      </c>
      <c r="F11" s="119" t="n">
        <f aca="false">IF(Calculator!$E$15="YES",IF(A11&lt;Calculator!$G$15,0,MIN(MIN(MOD(A11/Calculator!$F$15,1),1-MOD(A11/Calculator!$F$15,1)),ABS(MOD(A11/Calculator!$F$15,1)-0.5))),1)</f>
        <v>0.0538461538461555</v>
      </c>
      <c r="G11" s="119" t="n">
        <f aca="false">IF(Calculator!$E$16="YES",IF(A11&lt;Calculator!$G$16,0,MIN(MIN(MOD(A11/Calculator!$F$16,1),1-MOD(A11/Calculator!$F$16,1)),ABS(MOD(A11/Calculator!$F$16,1)-0.5))),1)</f>
        <v>0.224615384615385</v>
      </c>
      <c r="H11" s="119" t="n">
        <f aca="false">IF(Calculator!$E$17="YES",IF(A11&lt;Calculator!$G$17,0,MIN(MIN(MOD(A11/Calculator!$F$17,1),1-MOD(A11/Calculator!$F$17,1)),ABS(MOD(A11/Calculator!$F$17,1)-0.5))),1)</f>
        <v>0.00892991452991476</v>
      </c>
      <c r="I11" s="119" t="n">
        <f aca="false">IF(Calculator!$E$18="YES",IF(A11&lt;Calculator!$G$18,0,MIN(MIN(MOD(A11/Calculator!$F$18,1),1-MOD(A11/Calculator!$F$18,1)),ABS(MOD(A11/Calculator!$F$18,1)-0.5))),1)</f>
        <v>0.161025641025641</v>
      </c>
      <c r="J11" s="119" t="n">
        <f aca="false">IF(Calculator!$E$19="YES",IF(A11&lt;Calculator!$G$19,0,MIN(MIN(MOD(A11/Calculator!$F$19,1),1-MOD(A11/Calculator!$F$19,1)),ABS(MOD(A11/Calculator!$F$19,1)-0.5))),1)</f>
        <v>0.135760683760684</v>
      </c>
      <c r="K11" s="119" t="n">
        <f aca="false">IF(Calculator!$E$20="YES",IF(A11&lt;Calculator!$G$20,0,MIN(MIN(MOD(A11/Calculator!$F$20,1),1-MOD(A11/Calculator!$F$20,1)),ABS(MOD(A11/Calculator!$F$20,1)-0.5))),1)</f>
        <v>0.0781196581196584</v>
      </c>
      <c r="L11" s="119" t="n">
        <f aca="false">IF(Calculator!$E$21="YES",IF(A11&lt;Calculator!$G$21,0,MIN(MIN(MOD(A11/Calculator!$F$21,1),1-MOD(A11/Calculator!$F$21,1)),ABS(MOD(A11/Calculator!$F$21,1)-0.5))),1)</f>
        <v>1</v>
      </c>
      <c r="M11" s="120" t="n">
        <f aca="false">MIN(B11:L11)</f>
        <v>0</v>
      </c>
      <c r="N11" s="121" t="n">
        <f aca="false">SUMPRODUCT(($M$5:$M$115&gt;M11)*1)+SUMPRODUCT(($M$5:$M$115=M11)*(ROW($M$5:$M$115)&lt;ROW(M11)))+1</f>
        <v>107</v>
      </c>
      <c r="O11" s="122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true" outlineLevel="0" collapsed="false">
      <c r="A12" s="118" t="n">
        <v>8.5</v>
      </c>
      <c r="B12" s="119" t="n">
        <f aca="false">IF(Calculator!$E$11="YES",IF(A12&lt;Calculator!$G$11,0,MIN(MIN(MOD(A12/Calculator!$F$11,1),1-MOD(A12/Calculator!$F$11,1)),ABS(MOD(A12/Calculator!$F$11,1)-0.5))),1)</f>
        <v>1</v>
      </c>
      <c r="C12" s="119" t="n">
        <f aca="false">IF(Calculator!$E$12="YES",IF(A12&lt;Calculator!$G$12,0,MIN(MIN(MOD(A12/Calculator!$F$12,1),1-MOD(A12/Calculator!$F$12,1)),ABS(MOD(A12/Calculator!$F$12,1)-0.5))),1)</f>
        <v>1</v>
      </c>
      <c r="D12" s="119" t="n">
        <f aca="false">IF(Calculator!$E$13="YES",IF(A12&lt;Calculator!$G$13,0,MIN(MIN(MOD(A12/Calculator!$F$13,1),1-MOD(A12/Calculator!$F$13,1)),ABS(MOD(A12/Calculator!$F$13,1)-0.5))),1)</f>
        <v>1</v>
      </c>
      <c r="E12" s="119" t="n">
        <f aca="false">IF(Calculator!$E$14="YES",IF(A12&lt;Calculator!$G$14,0,MIN(MIN(MOD(A12/Calculator!$F$14,1),1-MOD(A12/Calculator!$F$14,1)),ABS(MOD(A12/Calculator!$F$14,1)-0.5))),1)</f>
        <v>0</v>
      </c>
      <c r="F12" s="119" t="n">
        <f aca="false">IF(Calculator!$E$15="YES",IF(A12&lt;Calculator!$G$15,0,MIN(MIN(MOD(A12/Calculator!$F$15,1),1-MOD(A12/Calculator!$F$15,1)),ABS(MOD(A12/Calculator!$F$15,1)-0.5))),1)</f>
        <v>0.0884615384615403</v>
      </c>
      <c r="G12" s="119" t="n">
        <f aca="false">IF(Calculator!$E$16="YES",IF(A12&lt;Calculator!$G$16,0,MIN(MIN(MOD(A12/Calculator!$F$16,1),1-MOD(A12/Calculator!$F$16,1)),ABS(MOD(A12/Calculator!$F$16,1)-0.5))),1)</f>
        <v>0.176153846153846</v>
      </c>
      <c r="H12" s="119" t="n">
        <f aca="false">IF(Calculator!$E$17="YES",IF(A12&lt;Calculator!$G$17,0,MIN(MIN(MOD(A12/Calculator!$F$17,1),1-MOD(A12/Calculator!$F$17,1)),ABS(MOD(A12/Calculator!$F$17,1)-0.5))),1)</f>
        <v>0.0530119658119654</v>
      </c>
      <c r="I12" s="119" t="n">
        <f aca="false">IF(Calculator!$E$18="YES",IF(A12&lt;Calculator!$G$18,0,MIN(MIN(MOD(A12/Calculator!$F$18,1),1-MOD(A12/Calculator!$F$18,1)),ABS(MOD(A12/Calculator!$F$18,1)-0.5))),1)</f>
        <v>0.233589743589744</v>
      </c>
      <c r="J12" s="119" t="n">
        <f aca="false">IF(Calculator!$E$19="YES",IF(A12&lt;Calculator!$G$19,0,MIN(MIN(MOD(A12/Calculator!$F$19,1),1-MOD(A12/Calculator!$F$19,1)),ABS(MOD(A12/Calculator!$F$19,1)-0.5))),1)</f>
        <v>0.0504957264957266</v>
      </c>
      <c r="K12" s="119" t="n">
        <f aca="false">IF(Calculator!$E$20="YES",IF(A12&lt;Calculator!$G$20,0,MIN(MIN(MOD(A12/Calculator!$F$20,1),1-MOD(A12/Calculator!$F$20,1)),ABS(MOD(A12/Calculator!$F$20,1)-0.5))),1)</f>
        <v>0.176752136752137</v>
      </c>
      <c r="L12" s="119" t="n">
        <f aca="false">IF(Calculator!$E$21="YES",IF(A12&lt;Calculator!$G$21,0,MIN(MIN(MOD(A12/Calculator!$F$21,1),1-MOD(A12/Calculator!$F$21,1)),ABS(MOD(A12/Calculator!$F$21,1)-0.5))),1)</f>
        <v>1</v>
      </c>
      <c r="M12" s="120" t="n">
        <f aca="false">MIN(B12:L12)</f>
        <v>0</v>
      </c>
      <c r="N12" s="121" t="n">
        <f aca="false">SUMPRODUCT(($M$5:$M$115&gt;M12)*1)+SUMPRODUCT(($M$5:$M$115=M12)*(ROW($M$5:$M$115)&lt;ROW(M12)))+1</f>
        <v>108</v>
      </c>
      <c r="O12" s="122" t="str">
        <f aca="false">IF(M12&gt;=0.2,"★★★ EXCELLENT",IF(M12&gt;=0.12,"★★  GOOD",IF(M12&gt;=0.07,"★  FAIR",IF(M12&gt;=0.025,"⚠  MARGINAL","✗  AVOID"))))</f>
        <v>✗  AVOID</v>
      </c>
    </row>
    <row r="13" customFormat="false" ht="15" hidden="false" customHeight="true" outlineLevel="0" collapsed="false">
      <c r="A13" s="118" t="n">
        <v>9</v>
      </c>
      <c r="B13" s="119" t="n">
        <f aca="false">IF(Calculator!$E$11="YES",IF(A13&lt;Calculator!$G$11,0,MIN(MIN(MOD(A13/Calculator!$F$11,1),1-MOD(A13/Calculator!$F$11,1)),ABS(MOD(A13/Calculator!$F$11,1)-0.5))),1)</f>
        <v>1</v>
      </c>
      <c r="C13" s="119" t="n">
        <f aca="false">IF(Calculator!$E$12="YES",IF(A13&lt;Calculator!$G$12,0,MIN(MIN(MOD(A13/Calculator!$F$12,1),1-MOD(A13/Calculator!$F$12,1)),ABS(MOD(A13/Calculator!$F$12,1)-0.5))),1)</f>
        <v>1</v>
      </c>
      <c r="D13" s="119" t="n">
        <f aca="false">IF(Calculator!$E$13="YES",IF(A13&lt;Calculator!$G$13,0,MIN(MIN(MOD(A13/Calculator!$F$13,1),1-MOD(A13/Calculator!$F$13,1)),ABS(MOD(A13/Calculator!$F$13,1)-0.5))),1)</f>
        <v>1</v>
      </c>
      <c r="E13" s="119" t="n">
        <f aca="false">IF(Calculator!$E$14="YES",IF(A13&lt;Calculator!$G$14,0,MIN(MIN(MOD(A13/Calculator!$F$14,1),1-MOD(A13/Calculator!$F$14,1)),ABS(MOD(A13/Calculator!$F$14,1)-0.5))),1)</f>
        <v>0</v>
      </c>
      <c r="F13" s="119" t="n">
        <f aca="false">IF(Calculator!$E$15="YES",IF(A13&lt;Calculator!$G$15,0,MIN(MIN(MOD(A13/Calculator!$F$15,1),1-MOD(A13/Calculator!$F$15,1)),ABS(MOD(A13/Calculator!$F$15,1)-0.5))),1)</f>
        <v>0.123076923076925</v>
      </c>
      <c r="G13" s="119" t="n">
        <f aca="false">IF(Calculator!$E$16="YES",IF(A13&lt;Calculator!$G$16,0,MIN(MIN(MOD(A13/Calculator!$F$16,1),1-MOD(A13/Calculator!$F$16,1)),ABS(MOD(A13/Calculator!$F$16,1)-0.5))),1)</f>
        <v>0.127692307692308</v>
      </c>
      <c r="H13" s="119" t="n">
        <f aca="false">IF(Calculator!$E$17="YES",IF(A13&lt;Calculator!$G$17,0,MIN(MIN(MOD(A13/Calculator!$F$17,1),1-MOD(A13/Calculator!$F$17,1)),ABS(MOD(A13/Calculator!$F$17,1)-0.5))),1)</f>
        <v>0.114953846153846</v>
      </c>
      <c r="I13" s="119" t="n">
        <f aca="false">IF(Calculator!$E$18="YES",IF(A13&lt;Calculator!$G$18,0,MIN(MIN(MOD(A13/Calculator!$F$18,1),1-MOD(A13/Calculator!$F$18,1)),ABS(MOD(A13/Calculator!$F$18,1)-0.5))),1)</f>
        <v>0.193846153846154</v>
      </c>
      <c r="J13" s="119" t="n">
        <f aca="false">IF(Calculator!$E$19="YES",IF(A13&lt;Calculator!$G$19,0,MIN(MIN(MOD(A13/Calculator!$F$19,1),1-MOD(A13/Calculator!$F$19,1)),ABS(MOD(A13/Calculator!$F$19,1)-0.5))),1)</f>
        <v>0.0347692307692307</v>
      </c>
      <c r="K13" s="119" t="n">
        <f aca="false">IF(Calculator!$E$20="YES",IF(A13&lt;Calculator!$G$20,0,MIN(MIN(MOD(A13/Calculator!$F$20,1),1-MOD(A13/Calculator!$F$20,1)),ABS(MOD(A13/Calculator!$F$20,1)-0.5))),1)</f>
        <v>0.224615384615384</v>
      </c>
      <c r="L13" s="119" t="n">
        <f aca="false">IF(Calculator!$E$21="YES",IF(A13&lt;Calculator!$G$21,0,MIN(MIN(MOD(A13/Calculator!$F$21,1),1-MOD(A13/Calculator!$F$21,1)),ABS(MOD(A13/Calculator!$F$21,1)-0.5))),1)</f>
        <v>1</v>
      </c>
      <c r="M13" s="120" t="n">
        <f aca="false">MIN(B13:L13)</f>
        <v>0</v>
      </c>
      <c r="N13" s="121" t="n">
        <f aca="false">SUMPRODUCT(($M$5:$M$115&gt;M13)*1)+SUMPRODUCT(($M$5:$M$115=M13)*(ROW($M$5:$M$115)&lt;ROW(M13)))+1</f>
        <v>109</v>
      </c>
      <c r="O13" s="122" t="str">
        <f aca="false">IF(M13&gt;=0.2,"★★★ EXCELLENT",IF(M13&gt;=0.12,"★★  GOOD",IF(M13&gt;=0.07,"★  FAIR",IF(M13&gt;=0.025,"⚠  MARGINAL","✗  AVOID"))))</f>
        <v>✗  AVOID</v>
      </c>
    </row>
    <row r="14" customFormat="false" ht="15" hidden="false" customHeight="true" outlineLevel="0" collapsed="false">
      <c r="A14" s="118" t="n">
        <v>9.5</v>
      </c>
      <c r="B14" s="119" t="n">
        <f aca="false">IF(Calculator!$E$11="YES",IF(A14&lt;Calculator!$G$11,0,MIN(MIN(MOD(A14/Calculator!$F$11,1),1-MOD(A14/Calculator!$F$11,1)),ABS(MOD(A14/Calculator!$F$11,1)-0.5))),1)</f>
        <v>1</v>
      </c>
      <c r="C14" s="119" t="n">
        <f aca="false">IF(Calculator!$E$12="YES",IF(A14&lt;Calculator!$G$12,0,MIN(MIN(MOD(A14/Calculator!$F$12,1),1-MOD(A14/Calculator!$F$12,1)),ABS(MOD(A14/Calculator!$F$12,1)-0.5))),1)</f>
        <v>1</v>
      </c>
      <c r="D14" s="119" t="n">
        <f aca="false">IF(Calculator!$E$13="YES",IF(A14&lt;Calculator!$G$13,0,MIN(MIN(MOD(A14/Calculator!$F$13,1),1-MOD(A14/Calculator!$F$13,1)),ABS(MOD(A14/Calculator!$F$13,1)-0.5))),1)</f>
        <v>1</v>
      </c>
      <c r="E14" s="119" t="n">
        <f aca="false">IF(Calculator!$E$14="YES",IF(A14&lt;Calculator!$G$14,0,MIN(MIN(MOD(A14/Calculator!$F$14,1),1-MOD(A14/Calculator!$F$14,1)),ABS(MOD(A14/Calculator!$F$14,1)-0.5))),1)</f>
        <v>0</v>
      </c>
      <c r="F14" s="119" t="n">
        <f aca="false">IF(Calculator!$E$15="YES",IF(A14&lt;Calculator!$G$15,0,MIN(MIN(MOD(A14/Calculator!$F$15,1),1-MOD(A14/Calculator!$F$15,1)),ABS(MOD(A14/Calculator!$F$15,1)-0.5))),1)</f>
        <v>0.15769230769231</v>
      </c>
      <c r="G14" s="119" t="n">
        <f aca="false">IF(Calculator!$E$16="YES",IF(A14&lt;Calculator!$G$16,0,MIN(MIN(MOD(A14/Calculator!$F$16,1),1-MOD(A14/Calculator!$F$16,1)),ABS(MOD(A14/Calculator!$F$16,1)-0.5))),1)</f>
        <v>0.0792307692307691</v>
      </c>
      <c r="H14" s="119" t="n">
        <f aca="false">IF(Calculator!$E$17="YES",IF(A14&lt;Calculator!$G$17,0,MIN(MIN(MOD(A14/Calculator!$F$17,1),1-MOD(A14/Calculator!$F$17,1)),ABS(MOD(A14/Calculator!$F$17,1)-0.5))),1)</f>
        <v>0.176895726495726</v>
      </c>
      <c r="I14" s="119" t="n">
        <f aca="false">IF(Calculator!$E$18="YES",IF(A14&lt;Calculator!$G$18,0,MIN(MIN(MOD(A14/Calculator!$F$18,1),1-MOD(A14/Calculator!$F$18,1)),ABS(MOD(A14/Calculator!$F$18,1)-0.5))),1)</f>
        <v>0.121282051282051</v>
      </c>
      <c r="J14" s="119" t="n">
        <f aca="false">IF(Calculator!$E$19="YES",IF(A14&lt;Calculator!$G$19,0,MIN(MIN(MOD(A14/Calculator!$F$19,1),1-MOD(A14/Calculator!$F$19,1)),ABS(MOD(A14/Calculator!$F$19,1)-0.5))),1)</f>
        <v>0.120034188034188</v>
      </c>
      <c r="K14" s="119" t="n">
        <f aca="false">IF(Calculator!$E$20="YES",IF(A14&lt;Calculator!$G$20,0,MIN(MIN(MOD(A14/Calculator!$F$20,1),1-MOD(A14/Calculator!$F$20,1)),ABS(MOD(A14/Calculator!$F$20,1)-0.5))),1)</f>
        <v>0.125982905982906</v>
      </c>
      <c r="L14" s="119" t="n">
        <f aca="false">IF(Calculator!$E$21="YES",IF(A14&lt;Calculator!$G$21,0,MIN(MIN(MOD(A14/Calculator!$F$21,1),1-MOD(A14/Calculator!$F$21,1)),ABS(MOD(A14/Calculator!$F$21,1)-0.5))),1)</f>
        <v>1</v>
      </c>
      <c r="M14" s="120" t="n">
        <f aca="false">MIN(B14:L14)</f>
        <v>0</v>
      </c>
      <c r="N14" s="121" t="n">
        <f aca="false">SUMPRODUCT(($M$5:$M$115&gt;M14)*1)+SUMPRODUCT(($M$5:$M$115=M14)*(ROW($M$5:$M$115)&lt;ROW(M14)))+1</f>
        <v>110</v>
      </c>
      <c r="O14" s="122" t="str">
        <f aca="false">IF(M14&gt;=0.2,"★★★ EXCELLENT",IF(M14&gt;=0.12,"★★  GOOD",IF(M14&gt;=0.07,"★  FAIR",IF(M14&gt;=0.025,"⚠  MARGINAL","✗  AVOID"))))</f>
        <v>✗  AVOID</v>
      </c>
    </row>
    <row r="15" customFormat="false" ht="15" hidden="false" customHeight="true" outlineLevel="0" collapsed="false">
      <c r="A15" s="118" t="n">
        <v>10</v>
      </c>
      <c r="B15" s="119" t="n">
        <f aca="false">IF(Calculator!$E$11="YES",IF(A15&lt;Calculator!$G$11,0,MIN(MIN(MOD(A15/Calculator!$F$11,1),1-MOD(A15/Calculator!$F$11,1)),ABS(MOD(A15/Calculator!$F$11,1)-0.5))),1)</f>
        <v>1</v>
      </c>
      <c r="C15" s="119" t="n">
        <f aca="false">IF(Calculator!$E$12="YES",IF(A15&lt;Calculator!$G$12,0,MIN(MIN(MOD(A15/Calculator!$F$12,1),1-MOD(A15/Calculator!$F$12,1)),ABS(MOD(A15/Calculator!$F$12,1)-0.5))),1)</f>
        <v>1</v>
      </c>
      <c r="D15" s="119" t="n">
        <f aca="false">IF(Calculator!$E$13="YES",IF(A15&lt;Calculator!$G$13,0,MIN(MIN(MOD(A15/Calculator!$F$13,1),1-MOD(A15/Calculator!$F$13,1)),ABS(MOD(A15/Calculator!$F$13,1)-0.5))),1)</f>
        <v>1</v>
      </c>
      <c r="E15" s="119" t="n">
        <f aca="false">IF(Calculator!$E$14="YES",IF(A15&lt;Calculator!$G$14,0,MIN(MIN(MOD(A15/Calculator!$F$14,1),1-MOD(A15/Calculator!$F$14,1)),ABS(MOD(A15/Calculator!$F$14,1)-0.5))),1)</f>
        <v>0</v>
      </c>
      <c r="F15" s="119" t="n">
        <f aca="false">IF(Calculator!$E$15="YES",IF(A15&lt;Calculator!$G$15,0,MIN(MIN(MOD(A15/Calculator!$F$15,1),1-MOD(A15/Calculator!$F$15,1)),ABS(MOD(A15/Calculator!$F$15,1)-0.5))),1)</f>
        <v>0.192307692307694</v>
      </c>
      <c r="G15" s="119" t="n">
        <f aca="false">IF(Calculator!$E$16="YES",IF(A15&lt;Calculator!$G$16,0,MIN(MIN(MOD(A15/Calculator!$F$16,1),1-MOD(A15/Calculator!$F$16,1)),ABS(MOD(A15/Calculator!$F$16,1)-0.5))),1)</f>
        <v>0.0307692307692307</v>
      </c>
      <c r="H15" s="119" t="n">
        <f aca="false">IF(Calculator!$E$17="YES",IF(A15&lt;Calculator!$G$17,0,MIN(MIN(MOD(A15/Calculator!$F$17,1),1-MOD(A15/Calculator!$F$17,1)),ABS(MOD(A15/Calculator!$F$17,1)-0.5))),1)</f>
        <v>0.238837606837607</v>
      </c>
      <c r="I15" s="119" t="n">
        <f aca="false">IF(Calculator!$E$18="YES",IF(A15&lt;Calculator!$G$18,0,MIN(MIN(MOD(A15/Calculator!$F$18,1),1-MOD(A15/Calculator!$F$18,1)),ABS(MOD(A15/Calculator!$F$18,1)-0.5))),1)</f>
        <v>0.0487179487179485</v>
      </c>
      <c r="J15" s="119" t="n">
        <f aca="false">IF(Calculator!$E$19="YES",IF(A15&lt;Calculator!$G$19,0,MIN(MIN(MOD(A15/Calculator!$F$19,1),1-MOD(A15/Calculator!$F$19,1)),ABS(MOD(A15/Calculator!$F$19,1)-0.5))),1)</f>
        <v>0.205299145299145</v>
      </c>
      <c r="K15" s="119" t="n">
        <f aca="false">IF(Calculator!$E$20="YES",IF(A15&lt;Calculator!$G$20,0,MIN(MIN(MOD(A15/Calculator!$F$20,1),1-MOD(A15/Calculator!$F$20,1)),ABS(MOD(A15/Calculator!$F$20,1)-0.5))),1)</f>
        <v>0.027350427350427</v>
      </c>
      <c r="L15" s="119" t="n">
        <f aca="false">IF(Calculator!$E$21="YES",IF(A15&lt;Calculator!$G$21,0,MIN(MIN(MOD(A15/Calculator!$F$21,1),1-MOD(A15/Calculator!$F$21,1)),ABS(MOD(A15/Calculator!$F$21,1)-0.5))),1)</f>
        <v>1</v>
      </c>
      <c r="M15" s="120" t="n">
        <f aca="false">MIN(B15:L15)</f>
        <v>0</v>
      </c>
      <c r="N15" s="121" t="n">
        <f aca="false">SUMPRODUCT(($M$5:$M$115&gt;M15)*1)+SUMPRODUCT(($M$5:$M$115=M15)*(ROW($M$5:$M$115)&lt;ROW(M15)))+1</f>
        <v>111</v>
      </c>
      <c r="O15" s="122" t="str">
        <f aca="false">IF(M15&gt;=0.2,"★★★ EXCELLENT",IF(M15&gt;=0.12,"★★  GOOD",IF(M15&gt;=0.07,"★  FAIR",IF(M15&gt;=0.025,"⚠  MARGINAL","✗  AVOID"))))</f>
        <v>✗  AVOID</v>
      </c>
    </row>
    <row r="16" customFormat="false" ht="15" hidden="false" customHeight="true" outlineLevel="0" collapsed="false">
      <c r="A16" s="118" t="n">
        <v>10.5</v>
      </c>
      <c r="B16" s="119" t="n">
        <f aca="false">IF(Calculator!$E$11="YES",IF(A16&lt;Calculator!$G$11,0,MIN(MIN(MOD(A16/Calculator!$F$11,1),1-MOD(A16/Calculator!$F$11,1)),ABS(MOD(A16/Calculator!$F$11,1)-0.5))),1)</f>
        <v>1</v>
      </c>
      <c r="C16" s="119" t="n">
        <f aca="false">IF(Calculator!$E$12="YES",IF(A16&lt;Calculator!$G$12,0,MIN(MIN(MOD(A16/Calculator!$F$12,1),1-MOD(A16/Calculator!$F$12,1)),ABS(MOD(A16/Calculator!$F$12,1)-0.5))),1)</f>
        <v>1</v>
      </c>
      <c r="D16" s="119" t="n">
        <f aca="false">IF(Calculator!$E$13="YES",IF(A16&lt;Calculator!$G$13,0,MIN(MIN(MOD(A16/Calculator!$F$13,1),1-MOD(A16/Calculator!$F$13,1)),ABS(MOD(A16/Calculator!$F$13,1)-0.5))),1)</f>
        <v>1</v>
      </c>
      <c r="E16" s="119" t="n">
        <f aca="false">IF(Calculator!$E$14="YES",IF(A16&lt;Calculator!$G$14,0,MIN(MIN(MOD(A16/Calculator!$F$14,1),1-MOD(A16/Calculator!$F$14,1)),ABS(MOD(A16/Calculator!$F$14,1)-0.5))),1)</f>
        <v>0.0133333333333322</v>
      </c>
      <c r="F16" s="119" t="n">
        <f aca="false">IF(Calculator!$E$15="YES",IF(A16&lt;Calculator!$G$15,0,MIN(MIN(MOD(A16/Calculator!$F$15,1),1-MOD(A16/Calculator!$F$15,1)),ABS(MOD(A16/Calculator!$F$15,1)-0.5))),1)</f>
        <v>0.226923076923079</v>
      </c>
      <c r="G16" s="119" t="n">
        <f aca="false">IF(Calculator!$E$16="YES",IF(A16&lt;Calculator!$G$16,0,MIN(MIN(MOD(A16/Calculator!$F$16,1),1-MOD(A16/Calculator!$F$16,1)),ABS(MOD(A16/Calculator!$F$16,1)-0.5))),1)</f>
        <v>0.0176923076923079</v>
      </c>
      <c r="H16" s="119" t="n">
        <f aca="false">IF(Calculator!$E$17="YES",IF(A16&lt;Calculator!$G$17,0,MIN(MIN(MOD(A16/Calculator!$F$17,1),1-MOD(A16/Calculator!$F$17,1)),ABS(MOD(A16/Calculator!$F$17,1)-0.5))),1)</f>
        <v>0.199220512820513</v>
      </c>
      <c r="I16" s="119" t="n">
        <f aca="false">IF(Calculator!$E$18="YES",IF(A16&lt;Calculator!$G$18,0,MIN(MIN(MOD(A16/Calculator!$F$18,1),1-MOD(A16/Calculator!$F$18,1)),ABS(MOD(A16/Calculator!$F$18,1)-0.5))),1)</f>
        <v>0.0238461538461541</v>
      </c>
      <c r="J16" s="119" t="n">
        <f aca="false">IF(Calculator!$E$19="YES",IF(A16&lt;Calculator!$G$19,0,MIN(MIN(MOD(A16/Calculator!$F$19,1),1-MOD(A16/Calculator!$F$19,1)),ABS(MOD(A16/Calculator!$F$19,1)-0.5))),1)</f>
        <v>0.209435897435898</v>
      </c>
      <c r="K16" s="119" t="n">
        <f aca="false">IF(Calculator!$E$20="YES",IF(A16&lt;Calculator!$G$20,0,MIN(MIN(MOD(A16/Calculator!$F$20,1),1-MOD(A16/Calculator!$F$20,1)),ABS(MOD(A16/Calculator!$F$20,1)-0.5))),1)</f>
        <v>0.0712820512820516</v>
      </c>
      <c r="L16" s="119" t="n">
        <f aca="false">IF(Calculator!$E$21="YES",IF(A16&lt;Calculator!$G$21,0,MIN(MIN(MOD(A16/Calculator!$F$21,1),1-MOD(A16/Calculator!$F$21,1)),ABS(MOD(A16/Calculator!$F$21,1)-0.5))),1)</f>
        <v>1</v>
      </c>
      <c r="M16" s="120" t="n">
        <f aca="false">MIN(B16:L16)</f>
        <v>0.0133333333333322</v>
      </c>
      <c r="N16" s="121" t="n">
        <f aca="false">SUMPRODUCT(($M$5:$M$115&gt;M16)*1)+SUMPRODUCT(($M$5:$M$115=M16)*(ROW($M$5:$M$115)&lt;ROW(M16)))+1</f>
        <v>73</v>
      </c>
      <c r="O16" s="122" t="str">
        <f aca="false">IF(M16&gt;=0.2,"★★★ EXCELLENT",IF(M16&gt;=0.12,"★★  GOOD",IF(M16&gt;=0.07,"★  FAIR",IF(M16&gt;=0.025,"⚠  MARGINAL","✗  AVOID"))))</f>
        <v>✗  AVOID</v>
      </c>
    </row>
    <row r="17" customFormat="false" ht="15" hidden="false" customHeight="true" outlineLevel="0" collapsed="false">
      <c r="A17" s="118" t="n">
        <v>11</v>
      </c>
      <c r="B17" s="119" t="n">
        <f aca="false">IF(Calculator!$E$11="YES",IF(A17&lt;Calculator!$G$11,0,MIN(MIN(MOD(A17/Calculator!$F$11,1),1-MOD(A17/Calculator!$F$11,1)),ABS(MOD(A17/Calculator!$F$11,1)-0.5))),1)</f>
        <v>1</v>
      </c>
      <c r="C17" s="119" t="n">
        <f aca="false">IF(Calculator!$E$12="YES",IF(A17&lt;Calculator!$G$12,0,MIN(MIN(MOD(A17/Calculator!$F$12,1),1-MOD(A17/Calculator!$F$12,1)),ABS(MOD(A17/Calculator!$F$12,1)-0.5))),1)</f>
        <v>1</v>
      </c>
      <c r="D17" s="119" t="n">
        <f aca="false">IF(Calculator!$E$13="YES",IF(A17&lt;Calculator!$G$13,0,MIN(MIN(MOD(A17/Calculator!$F$13,1),1-MOD(A17/Calculator!$F$13,1)),ABS(MOD(A17/Calculator!$F$13,1)-0.5))),1)</f>
        <v>1</v>
      </c>
      <c r="E17" s="119" t="n">
        <f aca="false">IF(Calculator!$E$14="YES",IF(A17&lt;Calculator!$G$14,0,MIN(MIN(MOD(A17/Calculator!$F$14,1),1-MOD(A17/Calculator!$F$14,1)),ABS(MOD(A17/Calculator!$F$14,1)-0.5))),1)</f>
        <v>0.0377777777777766</v>
      </c>
      <c r="F17" s="119" t="n">
        <f aca="false">IF(Calculator!$E$15="YES",IF(A17&lt;Calculator!$G$15,0,MIN(MIN(MOD(A17/Calculator!$F$15,1),1-MOD(A17/Calculator!$F$15,1)),ABS(MOD(A17/Calculator!$F$15,1)-0.5))),1)</f>
        <v>0.238461538461536</v>
      </c>
      <c r="G17" s="119" t="n">
        <f aca="false">IF(Calculator!$E$16="YES",IF(A17&lt;Calculator!$G$16,0,MIN(MIN(MOD(A17/Calculator!$F$16,1),1-MOD(A17/Calculator!$F$16,1)),ABS(MOD(A17/Calculator!$F$16,1)-0.5))),1)</f>
        <v>0.0661538461538462</v>
      </c>
      <c r="H17" s="119" t="n">
        <f aca="false">IF(Calculator!$E$17="YES",IF(A17&lt;Calculator!$G$17,0,MIN(MIN(MOD(A17/Calculator!$F$17,1),1-MOD(A17/Calculator!$F$17,1)),ABS(MOD(A17/Calculator!$F$17,1)-0.5))),1)</f>
        <v>0.137278632478633</v>
      </c>
      <c r="I17" s="119" t="n">
        <f aca="false">IF(Calculator!$E$18="YES",IF(A17&lt;Calculator!$G$18,0,MIN(MIN(MOD(A17/Calculator!$F$18,1),1-MOD(A17/Calculator!$F$18,1)),ABS(MOD(A17/Calculator!$F$18,1)-0.5))),1)</f>
        <v>0.0964102564102567</v>
      </c>
      <c r="J17" s="119" t="n">
        <f aca="false">IF(Calculator!$E$19="YES",IF(A17&lt;Calculator!$G$19,0,MIN(MIN(MOD(A17/Calculator!$F$19,1),1-MOD(A17/Calculator!$F$19,1)),ABS(MOD(A17/Calculator!$F$19,1)-0.5))),1)</f>
        <v>0.12417094017094</v>
      </c>
      <c r="K17" s="119" t="n">
        <f aca="false">IF(Calculator!$E$20="YES",IF(A17&lt;Calculator!$G$20,0,MIN(MIN(MOD(A17/Calculator!$F$20,1),1-MOD(A17/Calculator!$F$20,1)),ABS(MOD(A17/Calculator!$F$20,1)-0.5))),1)</f>
        <v>0.16991452991453</v>
      </c>
      <c r="L17" s="119" t="n">
        <f aca="false">IF(Calculator!$E$21="YES",IF(A17&lt;Calculator!$G$21,0,MIN(MIN(MOD(A17/Calculator!$F$21,1),1-MOD(A17/Calculator!$F$21,1)),ABS(MOD(A17/Calculator!$F$21,1)-0.5))),1)</f>
        <v>1</v>
      </c>
      <c r="M17" s="120" t="n">
        <f aca="false">MIN(B17:L17)</f>
        <v>0.0377777777777766</v>
      </c>
      <c r="N17" s="121" t="n">
        <f aca="false">SUMPRODUCT(($M$5:$M$115&gt;M17)*1)+SUMPRODUCT(($M$5:$M$115=M17)*(ROW($M$5:$M$115)&lt;ROW(M17)))+1</f>
        <v>37</v>
      </c>
      <c r="O17" s="122" t="str">
        <f aca="false">IF(M17&gt;=0.2,"★★★ EXCELLENT",IF(M17&gt;=0.12,"★★  GOOD",IF(M17&gt;=0.07,"★  FAIR",IF(M17&gt;=0.025,"⚠  MARGINAL","✗  AVOID"))))</f>
        <v>⚠  MARGINAL</v>
      </c>
    </row>
    <row r="18" customFormat="false" ht="15" hidden="false" customHeight="true" outlineLevel="0" collapsed="false">
      <c r="A18" s="118" t="n">
        <v>11.5</v>
      </c>
      <c r="B18" s="119" t="n">
        <f aca="false">IF(Calculator!$E$11="YES",IF(A18&lt;Calculator!$G$11,0,MIN(MIN(MOD(A18/Calculator!$F$11,1),1-MOD(A18/Calculator!$F$11,1)),ABS(MOD(A18/Calculator!$F$11,1)-0.5))),1)</f>
        <v>1</v>
      </c>
      <c r="C18" s="119" t="n">
        <f aca="false">IF(Calculator!$E$12="YES",IF(A18&lt;Calculator!$G$12,0,MIN(MIN(MOD(A18/Calculator!$F$12,1),1-MOD(A18/Calculator!$F$12,1)),ABS(MOD(A18/Calculator!$F$12,1)-0.5))),1)</f>
        <v>1</v>
      </c>
      <c r="D18" s="119" t="n">
        <f aca="false">IF(Calculator!$E$13="YES",IF(A18&lt;Calculator!$G$13,0,MIN(MIN(MOD(A18/Calculator!$F$13,1),1-MOD(A18/Calculator!$F$13,1)),ABS(MOD(A18/Calculator!$F$13,1)-0.5))),1)</f>
        <v>1</v>
      </c>
      <c r="E18" s="119" t="n">
        <f aca="false">IF(Calculator!$E$14="YES",IF(A18&lt;Calculator!$G$14,0,MIN(MIN(MOD(A18/Calculator!$F$14,1),1-MOD(A18/Calculator!$F$14,1)),ABS(MOD(A18/Calculator!$F$14,1)-0.5))),1)</f>
        <v>0.062222222222221</v>
      </c>
      <c r="F18" s="119" t="n">
        <f aca="false">IF(Calculator!$E$15="YES",IF(A18&lt;Calculator!$G$15,0,MIN(MIN(MOD(A18/Calculator!$F$15,1),1-MOD(A18/Calculator!$F$15,1)),ABS(MOD(A18/Calculator!$F$15,1)-0.5))),1)</f>
        <v>0.203846153846151</v>
      </c>
      <c r="G18" s="119" t="n">
        <f aca="false">IF(Calculator!$E$16="YES",IF(A18&lt;Calculator!$G$16,0,MIN(MIN(MOD(A18/Calculator!$F$16,1),1-MOD(A18/Calculator!$F$16,1)),ABS(MOD(A18/Calculator!$F$16,1)-0.5))),1)</f>
        <v>0.114615384615385</v>
      </c>
      <c r="H18" s="119" t="n">
        <f aca="false">IF(Calculator!$E$17="YES",IF(A18&lt;Calculator!$G$17,0,MIN(MIN(MOD(A18/Calculator!$F$17,1),1-MOD(A18/Calculator!$F$17,1)),ABS(MOD(A18/Calculator!$F$17,1)-0.5))),1)</f>
        <v>0.0753367521367525</v>
      </c>
      <c r="I18" s="119" t="n">
        <f aca="false">IF(Calculator!$E$18="YES",IF(A18&lt;Calculator!$G$18,0,MIN(MIN(MOD(A18/Calculator!$F$18,1),1-MOD(A18/Calculator!$F$18,1)),ABS(MOD(A18/Calculator!$F$18,1)-0.5))),1)</f>
        <v>0.168974358974359</v>
      </c>
      <c r="J18" s="119" t="n">
        <f aca="false">IF(Calculator!$E$19="YES",IF(A18&lt;Calculator!$G$19,0,MIN(MIN(MOD(A18/Calculator!$F$19,1),1-MOD(A18/Calculator!$F$19,1)),ABS(MOD(A18/Calculator!$F$19,1)-0.5))),1)</f>
        <v>0.0389059829059832</v>
      </c>
      <c r="K18" s="119" t="n">
        <f aca="false">IF(Calculator!$E$20="YES",IF(A18&lt;Calculator!$G$20,0,MIN(MIN(MOD(A18/Calculator!$F$20,1),1-MOD(A18/Calculator!$F$20,1)),ABS(MOD(A18/Calculator!$F$20,1)-0.5))),1)</f>
        <v>0.231452991452991</v>
      </c>
      <c r="L18" s="119" t="n">
        <f aca="false">IF(Calculator!$E$21="YES",IF(A18&lt;Calculator!$G$21,0,MIN(MIN(MOD(A18/Calculator!$F$21,1),1-MOD(A18/Calculator!$F$21,1)),ABS(MOD(A18/Calculator!$F$21,1)-0.5))),1)</f>
        <v>1</v>
      </c>
      <c r="M18" s="120" t="n">
        <f aca="false">MIN(B18:L18)</f>
        <v>0.0389059829059832</v>
      </c>
      <c r="N18" s="121" t="n">
        <f aca="false">SUMPRODUCT(($M$5:$M$115&gt;M18)*1)+SUMPRODUCT(($M$5:$M$115=M18)*(ROW($M$5:$M$115)&lt;ROW(M18)))+1</f>
        <v>34</v>
      </c>
      <c r="O18" s="122" t="str">
        <f aca="false">IF(M18&gt;=0.2,"★★★ EXCELLENT",IF(M18&gt;=0.12,"★★  GOOD",IF(M18&gt;=0.07,"★  FAIR",IF(M18&gt;=0.025,"⚠  MARGINAL","✗  AVOID"))))</f>
        <v>⚠  MARGINAL</v>
      </c>
    </row>
    <row r="19" customFormat="false" ht="15" hidden="false" customHeight="true" outlineLevel="0" collapsed="false">
      <c r="A19" s="118" t="n">
        <v>12</v>
      </c>
      <c r="B19" s="119" t="n">
        <f aca="false">IF(Calculator!$E$11="YES",IF(A19&lt;Calculator!$G$11,0,MIN(MIN(MOD(A19/Calculator!$F$11,1),1-MOD(A19/Calculator!$F$11,1)),ABS(MOD(A19/Calculator!$F$11,1)-0.5))),1)</f>
        <v>1</v>
      </c>
      <c r="C19" s="119" t="n">
        <f aca="false">IF(Calculator!$E$12="YES",IF(A19&lt;Calculator!$G$12,0,MIN(MIN(MOD(A19/Calculator!$F$12,1),1-MOD(A19/Calculator!$F$12,1)),ABS(MOD(A19/Calculator!$F$12,1)-0.5))),1)</f>
        <v>1</v>
      </c>
      <c r="D19" s="119" t="n">
        <f aca="false">IF(Calculator!$E$13="YES",IF(A19&lt;Calculator!$G$13,0,MIN(MIN(MOD(A19/Calculator!$F$13,1),1-MOD(A19/Calculator!$F$13,1)),ABS(MOD(A19/Calculator!$F$13,1)-0.5))),1)</f>
        <v>1</v>
      </c>
      <c r="E19" s="119" t="n">
        <f aca="false">IF(Calculator!$E$14="YES",IF(A19&lt;Calculator!$G$14,0,MIN(MIN(MOD(A19/Calculator!$F$14,1),1-MOD(A19/Calculator!$F$14,1)),ABS(MOD(A19/Calculator!$F$14,1)-0.5))),1)</f>
        <v>0.0866666666666653</v>
      </c>
      <c r="F19" s="119" t="n">
        <f aca="false">IF(Calculator!$E$15="YES",IF(A19&lt;Calculator!$G$15,0,MIN(MIN(MOD(A19/Calculator!$F$15,1),1-MOD(A19/Calculator!$F$15,1)),ABS(MOD(A19/Calculator!$F$15,1)-0.5))),1)</f>
        <v>0.169230769230767</v>
      </c>
      <c r="G19" s="119" t="n">
        <f aca="false">IF(Calculator!$E$16="YES",IF(A19&lt;Calculator!$G$16,0,MIN(MIN(MOD(A19/Calculator!$F$16,1),1-MOD(A19/Calculator!$F$16,1)),ABS(MOD(A19/Calculator!$F$16,1)-0.5))),1)</f>
        <v>0.163076923076923</v>
      </c>
      <c r="H19" s="119" t="n">
        <f aca="false">IF(Calculator!$E$17="YES",IF(A19&lt;Calculator!$G$17,0,MIN(MIN(MOD(A19/Calculator!$F$17,1),1-MOD(A19/Calculator!$F$17,1)),ABS(MOD(A19/Calculator!$F$17,1)-0.5))),1)</f>
        <v>0.0133948717948722</v>
      </c>
      <c r="I19" s="119" t="n">
        <f aca="false">IF(Calculator!$E$18="YES",IF(A19&lt;Calculator!$G$18,0,MIN(MIN(MOD(A19/Calculator!$F$18,1),1-MOD(A19/Calculator!$F$18,1)),ABS(MOD(A19/Calculator!$F$18,1)-0.5))),1)</f>
        <v>0.241538461538462</v>
      </c>
      <c r="J19" s="119" t="n">
        <f aca="false">IF(Calculator!$E$19="YES",IF(A19&lt;Calculator!$G$19,0,MIN(MIN(MOD(A19/Calculator!$F$19,1),1-MOD(A19/Calculator!$F$19,1)),ABS(MOD(A19/Calculator!$F$19,1)-0.5))),1)</f>
        <v>0.0463589743589741</v>
      </c>
      <c r="K19" s="119" t="n">
        <f aca="false">IF(Calculator!$E$20="YES",IF(A19&lt;Calculator!$G$20,0,MIN(MIN(MOD(A19/Calculator!$F$20,1),1-MOD(A19/Calculator!$F$20,1)),ABS(MOD(A19/Calculator!$F$20,1)-0.5))),1)</f>
        <v>0.132820512820512</v>
      </c>
      <c r="L19" s="119" t="n">
        <f aca="false">IF(Calculator!$E$21="YES",IF(A19&lt;Calculator!$G$21,0,MIN(MIN(MOD(A19/Calculator!$F$21,1),1-MOD(A19/Calculator!$F$21,1)),ABS(MOD(A19/Calculator!$F$21,1)-0.5))),1)</f>
        <v>1</v>
      </c>
      <c r="M19" s="120" t="n">
        <f aca="false">MIN(B19:L19)</f>
        <v>0.0133948717948722</v>
      </c>
      <c r="N19" s="121" t="n">
        <f aca="false">SUMPRODUCT(($M$5:$M$115&gt;M19)*1)+SUMPRODUCT(($M$5:$M$115=M19)*(ROW($M$5:$M$115)&lt;ROW(M19)))+1</f>
        <v>72</v>
      </c>
      <c r="O19" s="122" t="str">
        <f aca="false">IF(M19&gt;=0.2,"★★★ EXCELLENT",IF(M19&gt;=0.12,"★★  GOOD",IF(M19&gt;=0.07,"★  FAIR",IF(M19&gt;=0.025,"⚠  MARGINAL","✗  AVOID"))))</f>
        <v>✗  AVOID</v>
      </c>
    </row>
    <row r="20" customFormat="false" ht="15" hidden="false" customHeight="true" outlineLevel="0" collapsed="false">
      <c r="A20" s="118" t="n">
        <v>12.5</v>
      </c>
      <c r="B20" s="119" t="n">
        <f aca="false">IF(Calculator!$E$11="YES",IF(A20&lt;Calculator!$G$11,0,MIN(MIN(MOD(A20/Calculator!$F$11,1),1-MOD(A20/Calculator!$F$11,1)),ABS(MOD(A20/Calculator!$F$11,1)-0.5))),1)</f>
        <v>1</v>
      </c>
      <c r="C20" s="119" t="n">
        <f aca="false">IF(Calculator!$E$12="YES",IF(A20&lt;Calculator!$G$12,0,MIN(MIN(MOD(A20/Calculator!$F$12,1),1-MOD(A20/Calculator!$F$12,1)),ABS(MOD(A20/Calculator!$F$12,1)-0.5))),1)</f>
        <v>1</v>
      </c>
      <c r="D20" s="119" t="n">
        <f aca="false">IF(Calculator!$E$13="YES",IF(A20&lt;Calculator!$G$13,0,MIN(MIN(MOD(A20/Calculator!$F$13,1),1-MOD(A20/Calculator!$F$13,1)),ABS(MOD(A20/Calculator!$F$13,1)-0.5))),1)</f>
        <v>1</v>
      </c>
      <c r="E20" s="119" t="n">
        <f aca="false">IF(Calculator!$E$14="YES",IF(A20&lt;Calculator!$G$14,0,MIN(MIN(MOD(A20/Calculator!$F$14,1),1-MOD(A20/Calculator!$F$14,1)),ABS(MOD(A20/Calculator!$F$14,1)-0.5))),1)</f>
        <v>0.11111111111111</v>
      </c>
      <c r="F20" s="119" t="n">
        <f aca="false">IF(Calculator!$E$15="YES",IF(A20&lt;Calculator!$G$15,0,MIN(MIN(MOD(A20/Calculator!$F$15,1),1-MOD(A20/Calculator!$F$15,1)),ABS(MOD(A20/Calculator!$F$15,1)-0.5))),1)</f>
        <v>0.134615384615382</v>
      </c>
      <c r="G20" s="119" t="n">
        <f aca="false">IF(Calculator!$E$16="YES",IF(A20&lt;Calculator!$G$16,0,MIN(MIN(MOD(A20/Calculator!$F$16,1),1-MOD(A20/Calculator!$F$16,1)),ABS(MOD(A20/Calculator!$F$16,1)-0.5))),1)</f>
        <v>0.211538461538462</v>
      </c>
      <c r="H20" s="119" t="n">
        <f aca="false">IF(Calculator!$E$17="YES",IF(A20&lt;Calculator!$G$17,0,MIN(MIN(MOD(A20/Calculator!$F$17,1),1-MOD(A20/Calculator!$F$17,1)),ABS(MOD(A20/Calculator!$F$17,1)-0.5))),1)</f>
        <v>0.0485470085470081</v>
      </c>
      <c r="I20" s="119" t="n">
        <f aca="false">IF(Calculator!$E$18="YES",IF(A20&lt;Calculator!$G$18,0,MIN(MIN(MOD(A20/Calculator!$F$18,1),1-MOD(A20/Calculator!$F$18,1)),ABS(MOD(A20/Calculator!$F$18,1)-0.5))),1)</f>
        <v>0.185897435897436</v>
      </c>
      <c r="J20" s="119" t="n">
        <f aca="false">IF(Calculator!$E$19="YES",IF(A20&lt;Calculator!$G$19,0,MIN(MIN(MOD(A20/Calculator!$F$19,1),1-MOD(A20/Calculator!$F$19,1)),ABS(MOD(A20/Calculator!$F$19,1)-0.5))),1)</f>
        <v>0.131623931623931</v>
      </c>
      <c r="K20" s="119" t="n">
        <f aca="false">IF(Calculator!$E$20="YES",IF(A20&lt;Calculator!$G$20,0,MIN(MIN(MOD(A20/Calculator!$F$20,1),1-MOD(A20/Calculator!$F$20,1)),ABS(MOD(A20/Calculator!$F$20,1)-0.5))),1)</f>
        <v>0.0341880341880341</v>
      </c>
      <c r="L20" s="119" t="n">
        <f aca="false">IF(Calculator!$E$21="YES",IF(A20&lt;Calculator!$G$21,0,MIN(MIN(MOD(A20/Calculator!$F$21,1),1-MOD(A20/Calculator!$F$21,1)),ABS(MOD(A20/Calculator!$F$21,1)-0.5))),1)</f>
        <v>1</v>
      </c>
      <c r="M20" s="120" t="n">
        <f aca="false">MIN(B20:L20)</f>
        <v>0.0341880341880341</v>
      </c>
      <c r="N20" s="121" t="n">
        <f aca="false">SUMPRODUCT(($M$5:$M$115&gt;M20)*1)+SUMPRODUCT(($M$5:$M$115=M20)*(ROW($M$5:$M$115)&lt;ROW(M20)))+1</f>
        <v>42</v>
      </c>
      <c r="O20" s="122" t="str">
        <f aca="false">IF(M20&gt;=0.2,"★★★ EXCELLENT",IF(M20&gt;=0.12,"★★  GOOD",IF(M20&gt;=0.07,"★  FAIR",IF(M20&gt;=0.025,"⚠  MARGINAL","✗  AVOID"))))</f>
        <v>⚠  MARGINAL</v>
      </c>
    </row>
    <row r="21" customFormat="false" ht="15" hidden="false" customHeight="true" outlineLevel="0" collapsed="false">
      <c r="A21" s="118" t="n">
        <v>13</v>
      </c>
      <c r="B21" s="119" t="n">
        <f aca="false">IF(Calculator!$E$11="YES",IF(A21&lt;Calculator!$G$11,0,MIN(MIN(MOD(A21/Calculator!$F$11,1),1-MOD(A21/Calculator!$F$11,1)),ABS(MOD(A21/Calculator!$F$11,1)-0.5))),1)</f>
        <v>1</v>
      </c>
      <c r="C21" s="119" t="n">
        <f aca="false">IF(Calculator!$E$12="YES",IF(A21&lt;Calculator!$G$12,0,MIN(MIN(MOD(A21/Calculator!$F$12,1),1-MOD(A21/Calculator!$F$12,1)),ABS(MOD(A21/Calculator!$F$12,1)-0.5))),1)</f>
        <v>1</v>
      </c>
      <c r="D21" s="119" t="n">
        <f aca="false">IF(Calculator!$E$13="YES",IF(A21&lt;Calculator!$G$13,0,MIN(MIN(MOD(A21/Calculator!$F$13,1),1-MOD(A21/Calculator!$F$13,1)),ABS(MOD(A21/Calculator!$F$13,1)-0.5))),1)</f>
        <v>1</v>
      </c>
      <c r="E21" s="119" t="n">
        <f aca="false">IF(Calculator!$E$14="YES",IF(A21&lt;Calculator!$G$14,0,MIN(MIN(MOD(A21/Calculator!$F$14,1),1-MOD(A21/Calculator!$F$14,1)),ABS(MOD(A21/Calculator!$F$14,1)-0.5))),1)</f>
        <v>0.135555555555554</v>
      </c>
      <c r="F21" s="119" t="n">
        <f aca="false">IF(Calculator!$E$15="YES",IF(A21&lt;Calculator!$G$15,0,MIN(MIN(MOD(A21/Calculator!$F$15,1),1-MOD(A21/Calculator!$F$15,1)),ABS(MOD(A21/Calculator!$F$15,1)-0.5))),1)</f>
        <v>0.0999999999999972</v>
      </c>
      <c r="G21" s="119" t="n">
        <f aca="false">IF(Calculator!$E$16="YES",IF(A21&lt;Calculator!$G$16,0,MIN(MIN(MOD(A21/Calculator!$F$16,1),1-MOD(A21/Calculator!$F$16,1)),ABS(MOD(A21/Calculator!$F$16,1)-0.5))),1)</f>
        <v>0.24</v>
      </c>
      <c r="H21" s="119" t="n">
        <f aca="false">IF(Calculator!$E$17="YES",IF(A21&lt;Calculator!$G$17,0,MIN(MIN(MOD(A21/Calculator!$F$17,1),1-MOD(A21/Calculator!$F$17,1)),ABS(MOD(A21/Calculator!$F$17,1)-0.5))),1)</f>
        <v>0.110488888888888</v>
      </c>
      <c r="I21" s="119" t="n">
        <f aca="false">IF(Calculator!$E$18="YES",IF(A21&lt;Calculator!$G$18,0,MIN(MIN(MOD(A21/Calculator!$F$18,1),1-MOD(A21/Calculator!$F$18,1)),ABS(MOD(A21/Calculator!$F$18,1)-0.5))),1)</f>
        <v>0.113333333333333</v>
      </c>
      <c r="J21" s="119" t="n">
        <f aca="false">IF(Calculator!$E$19="YES",IF(A21&lt;Calculator!$G$19,0,MIN(MIN(MOD(A21/Calculator!$F$19,1),1-MOD(A21/Calculator!$F$19,1)),ABS(MOD(A21/Calculator!$F$19,1)-0.5))),1)</f>
        <v>0.216888888888889</v>
      </c>
      <c r="K21" s="119" t="n">
        <f aca="false">IF(Calculator!$E$20="YES",IF(A21&lt;Calculator!$G$20,0,MIN(MIN(MOD(A21/Calculator!$F$20,1),1-MOD(A21/Calculator!$F$20,1)),ABS(MOD(A21/Calculator!$F$20,1)-0.5))),1)</f>
        <v>0.0644444444444448</v>
      </c>
      <c r="L21" s="119" t="n">
        <f aca="false">IF(Calculator!$E$21="YES",IF(A21&lt;Calculator!$G$21,0,MIN(MIN(MOD(A21/Calculator!$F$21,1),1-MOD(A21/Calculator!$F$21,1)),ABS(MOD(A21/Calculator!$F$21,1)-0.5))),1)</f>
        <v>1</v>
      </c>
      <c r="M21" s="120" t="n">
        <f aca="false">MIN(B21:L21)</f>
        <v>0.0644444444444448</v>
      </c>
      <c r="N21" s="121" t="n">
        <f aca="false">SUMPRODUCT(($M$5:$M$115&gt;M21)*1)+SUMPRODUCT(($M$5:$M$115=M21)*(ROW($M$5:$M$115)&lt;ROW(M21)))+1</f>
        <v>16</v>
      </c>
      <c r="O21" s="122" t="str">
        <f aca="false">IF(M21&gt;=0.2,"★★★ EXCELLENT",IF(M21&gt;=0.12,"★★  GOOD",IF(M21&gt;=0.07,"★  FAIR",IF(M21&gt;=0.025,"⚠  MARGINAL","✗  AVOID"))))</f>
        <v>⚠  MARGINAL</v>
      </c>
    </row>
    <row r="22" customFormat="false" ht="15" hidden="false" customHeight="true" outlineLevel="0" collapsed="false">
      <c r="A22" s="118" t="n">
        <v>13.5</v>
      </c>
      <c r="B22" s="119" t="n">
        <f aca="false">IF(Calculator!$E$11="YES",IF(A22&lt;Calculator!$G$11,0,MIN(MIN(MOD(A22/Calculator!$F$11,1),1-MOD(A22/Calculator!$F$11,1)),ABS(MOD(A22/Calculator!$F$11,1)-0.5))),1)</f>
        <v>1</v>
      </c>
      <c r="C22" s="119" t="n">
        <f aca="false">IF(Calculator!$E$12="YES",IF(A22&lt;Calculator!$G$12,0,MIN(MIN(MOD(A22/Calculator!$F$12,1),1-MOD(A22/Calculator!$F$12,1)),ABS(MOD(A22/Calculator!$F$12,1)-0.5))),1)</f>
        <v>1</v>
      </c>
      <c r="D22" s="119" t="n">
        <f aca="false">IF(Calculator!$E$13="YES",IF(A22&lt;Calculator!$G$13,0,MIN(MIN(MOD(A22/Calculator!$F$13,1),1-MOD(A22/Calculator!$F$13,1)),ABS(MOD(A22/Calculator!$F$13,1)-0.5))),1)</f>
        <v>1</v>
      </c>
      <c r="E22" s="119" t="n">
        <f aca="false">IF(Calculator!$E$14="YES",IF(A22&lt;Calculator!$G$14,0,MIN(MIN(MOD(A22/Calculator!$F$14,1),1-MOD(A22/Calculator!$F$14,1)),ABS(MOD(A22/Calculator!$F$14,1)-0.5))),1)</f>
        <v>0.159999999999999</v>
      </c>
      <c r="F22" s="119" t="n">
        <f aca="false">IF(Calculator!$E$15="YES",IF(A22&lt;Calculator!$G$15,0,MIN(MIN(MOD(A22/Calculator!$F$15,1),1-MOD(A22/Calculator!$F$15,1)),ABS(MOD(A22/Calculator!$F$15,1)-0.5))),1)</f>
        <v>0.0653846153846125</v>
      </c>
      <c r="G22" s="119" t="n">
        <f aca="false">IF(Calculator!$E$16="YES",IF(A22&lt;Calculator!$G$16,0,MIN(MIN(MOD(A22/Calculator!$F$16,1),1-MOD(A22/Calculator!$F$16,1)),ABS(MOD(A22/Calculator!$F$16,1)-0.5))),1)</f>
        <v>0.191538461538461</v>
      </c>
      <c r="H22" s="119" t="n">
        <f aca="false">IF(Calculator!$E$17="YES",IF(A22&lt;Calculator!$G$17,0,MIN(MIN(MOD(A22/Calculator!$F$17,1),1-MOD(A22/Calculator!$F$17,1)),ABS(MOD(A22/Calculator!$F$17,1)-0.5))),1)</f>
        <v>0.172430769230769</v>
      </c>
      <c r="I22" s="119" t="n">
        <f aca="false">IF(Calculator!$E$18="YES",IF(A22&lt;Calculator!$G$18,0,MIN(MIN(MOD(A22/Calculator!$F$18,1),1-MOD(A22/Calculator!$F$18,1)),ABS(MOD(A22/Calculator!$F$18,1)-0.5))),1)</f>
        <v>0.0407692307692305</v>
      </c>
      <c r="J22" s="119" t="n">
        <f aca="false">IF(Calculator!$E$19="YES",IF(A22&lt;Calculator!$G$19,0,MIN(MIN(MOD(A22/Calculator!$F$19,1),1-MOD(A22/Calculator!$F$19,1)),ABS(MOD(A22/Calculator!$F$19,1)-0.5))),1)</f>
        <v>0.197846153846154</v>
      </c>
      <c r="K22" s="119" t="n">
        <f aca="false">IF(Calculator!$E$20="YES",IF(A22&lt;Calculator!$G$20,0,MIN(MIN(MOD(A22/Calculator!$F$20,1),1-MOD(A22/Calculator!$F$20,1)),ABS(MOD(A22/Calculator!$F$20,1)-0.5))),1)</f>
        <v>0.163076923076924</v>
      </c>
      <c r="L22" s="119" t="n">
        <f aca="false">IF(Calculator!$E$21="YES",IF(A22&lt;Calculator!$G$21,0,MIN(MIN(MOD(A22/Calculator!$F$21,1),1-MOD(A22/Calculator!$F$21,1)),ABS(MOD(A22/Calculator!$F$21,1)-0.5))),1)</f>
        <v>1</v>
      </c>
      <c r="M22" s="120" t="n">
        <f aca="false">MIN(B22:L22)</f>
        <v>0.0407692307692305</v>
      </c>
      <c r="N22" s="121" t="n">
        <f aca="false">SUMPRODUCT(($M$5:$M$115&gt;M22)*1)+SUMPRODUCT(($M$5:$M$115=M22)*(ROW($M$5:$M$115)&lt;ROW(M22)))+1</f>
        <v>31</v>
      </c>
      <c r="O22" s="122" t="str">
        <f aca="false">IF(M22&gt;=0.2,"★★★ EXCELLENT",IF(M22&gt;=0.12,"★★  GOOD",IF(M22&gt;=0.07,"★  FAIR",IF(M22&gt;=0.025,"⚠  MARGINAL","✗  AVOID"))))</f>
        <v>⚠  MARGINAL</v>
      </c>
    </row>
    <row r="23" customFormat="false" ht="15" hidden="false" customHeight="true" outlineLevel="0" collapsed="false">
      <c r="A23" s="118" t="n">
        <v>14</v>
      </c>
      <c r="B23" s="119" t="n">
        <f aca="false">IF(Calculator!$E$11="YES",IF(A23&lt;Calculator!$G$11,0,MIN(MIN(MOD(A23/Calculator!$F$11,1),1-MOD(A23/Calculator!$F$11,1)),ABS(MOD(A23/Calculator!$F$11,1)-0.5))),1)</f>
        <v>1</v>
      </c>
      <c r="C23" s="119" t="n">
        <f aca="false">IF(Calculator!$E$12="YES",IF(A23&lt;Calculator!$G$12,0,MIN(MIN(MOD(A23/Calculator!$F$12,1),1-MOD(A23/Calculator!$F$12,1)),ABS(MOD(A23/Calculator!$F$12,1)-0.5))),1)</f>
        <v>1</v>
      </c>
      <c r="D23" s="119" t="n">
        <f aca="false">IF(Calculator!$E$13="YES",IF(A23&lt;Calculator!$G$13,0,MIN(MIN(MOD(A23/Calculator!$F$13,1),1-MOD(A23/Calculator!$F$13,1)),ABS(MOD(A23/Calculator!$F$13,1)-0.5))),1)</f>
        <v>1</v>
      </c>
      <c r="E23" s="119" t="n">
        <f aca="false">IF(Calculator!$E$14="YES",IF(A23&lt;Calculator!$G$14,0,MIN(MIN(MOD(A23/Calculator!$F$14,1),1-MOD(A23/Calculator!$F$14,1)),ABS(MOD(A23/Calculator!$F$14,1)-0.5))),1)</f>
        <v>0.184444444444443</v>
      </c>
      <c r="F23" s="119" t="n">
        <f aca="false">IF(Calculator!$E$15="YES",IF(A23&lt;Calculator!$G$15,0,MIN(MIN(MOD(A23/Calculator!$F$15,1),1-MOD(A23/Calculator!$F$15,1)),ABS(MOD(A23/Calculator!$F$15,1)-0.5))),1)</f>
        <v>0.0307692307692278</v>
      </c>
      <c r="G23" s="119" t="n">
        <f aca="false">IF(Calculator!$E$16="YES",IF(A23&lt;Calculator!$G$16,0,MIN(MIN(MOD(A23/Calculator!$F$16,1),1-MOD(A23/Calculator!$F$16,1)),ABS(MOD(A23/Calculator!$F$16,1)-0.5))),1)</f>
        <v>0.143076923076923</v>
      </c>
      <c r="H23" s="119" t="n">
        <f aca="false">IF(Calculator!$E$17="YES",IF(A23&lt;Calculator!$G$17,0,MIN(MIN(MOD(A23/Calculator!$F$17,1),1-MOD(A23/Calculator!$F$17,1)),ABS(MOD(A23/Calculator!$F$17,1)-0.5))),1)</f>
        <v>0.234372649572649</v>
      </c>
      <c r="I23" s="119" t="n">
        <f aca="false">IF(Calculator!$E$18="YES",IF(A23&lt;Calculator!$G$18,0,MIN(MIN(MOD(A23/Calculator!$F$18,1),1-MOD(A23/Calculator!$F$18,1)),ABS(MOD(A23/Calculator!$F$18,1)-0.5))),1)</f>
        <v>0.031794871794872</v>
      </c>
      <c r="J23" s="119" t="n">
        <f aca="false">IF(Calculator!$E$19="YES",IF(A23&lt;Calculator!$G$19,0,MIN(MIN(MOD(A23/Calculator!$F$19,1),1-MOD(A23/Calculator!$F$19,1)),ABS(MOD(A23/Calculator!$F$19,1)-0.5))),1)</f>
        <v>0.112581196581197</v>
      </c>
      <c r="K23" s="119" t="n">
        <f aca="false">IF(Calculator!$E$20="YES",IF(A23&lt;Calculator!$G$20,0,MIN(MIN(MOD(A23/Calculator!$F$20,1),1-MOD(A23/Calculator!$F$20,1)),ABS(MOD(A23/Calculator!$F$20,1)-0.5))),1)</f>
        <v>0.238290598290598</v>
      </c>
      <c r="L23" s="119" t="n">
        <f aca="false">IF(Calculator!$E$21="YES",IF(A23&lt;Calculator!$G$21,0,MIN(MIN(MOD(A23/Calculator!$F$21,1),1-MOD(A23/Calculator!$F$21,1)),ABS(MOD(A23/Calculator!$F$21,1)-0.5))),1)</f>
        <v>1</v>
      </c>
      <c r="M23" s="120" t="n">
        <f aca="false">MIN(B23:L23)</f>
        <v>0.0307692307692278</v>
      </c>
      <c r="N23" s="121" t="n">
        <f aca="false">SUMPRODUCT(($M$5:$M$115&gt;M23)*1)+SUMPRODUCT(($M$5:$M$115=M23)*(ROW($M$5:$M$115)&lt;ROW(M23)))+1</f>
        <v>48</v>
      </c>
      <c r="O23" s="122" t="str">
        <f aca="false">IF(M23&gt;=0.2,"★★★ EXCELLENT",IF(M23&gt;=0.12,"★★  GOOD",IF(M23&gt;=0.07,"★  FAIR",IF(M23&gt;=0.025,"⚠  MARGINAL","✗  AVOID"))))</f>
        <v>⚠  MARGINAL</v>
      </c>
    </row>
    <row r="24" customFormat="false" ht="15" hidden="false" customHeight="true" outlineLevel="0" collapsed="false">
      <c r="A24" s="118" t="n">
        <v>14.5</v>
      </c>
      <c r="B24" s="119" t="n">
        <f aca="false">IF(Calculator!$E$11="YES",IF(A24&lt;Calculator!$G$11,0,MIN(MIN(MOD(A24/Calculator!$F$11,1),1-MOD(A24/Calculator!$F$11,1)),ABS(MOD(A24/Calculator!$F$11,1)-0.5))),1)</f>
        <v>1</v>
      </c>
      <c r="C24" s="119" t="n">
        <f aca="false">IF(Calculator!$E$12="YES",IF(A24&lt;Calculator!$G$12,0,MIN(MIN(MOD(A24/Calculator!$F$12,1),1-MOD(A24/Calculator!$F$12,1)),ABS(MOD(A24/Calculator!$F$12,1)-0.5))),1)</f>
        <v>1</v>
      </c>
      <c r="D24" s="119" t="n">
        <f aca="false">IF(Calculator!$E$13="YES",IF(A24&lt;Calculator!$G$13,0,MIN(MIN(MOD(A24/Calculator!$F$13,1),1-MOD(A24/Calculator!$F$13,1)),ABS(MOD(A24/Calculator!$F$13,1)-0.5))),1)</f>
        <v>1</v>
      </c>
      <c r="E24" s="119" t="n">
        <f aca="false">IF(Calculator!$E$14="YES",IF(A24&lt;Calculator!$G$14,0,MIN(MIN(MOD(A24/Calculator!$F$14,1),1-MOD(A24/Calculator!$F$14,1)),ABS(MOD(A24/Calculator!$F$14,1)-0.5))),1)</f>
        <v>0.208888888888887</v>
      </c>
      <c r="F24" s="119" t="n">
        <f aca="false">IF(Calculator!$E$15="YES",IF(A24&lt;Calculator!$G$15,0,MIN(MIN(MOD(A24/Calculator!$F$15,1),1-MOD(A24/Calculator!$F$15,1)),ABS(MOD(A24/Calculator!$F$15,1)-0.5))),1)</f>
        <v>0.00384615384615694</v>
      </c>
      <c r="G24" s="119" t="n">
        <f aca="false">IF(Calculator!$E$16="YES",IF(A24&lt;Calculator!$G$16,0,MIN(MIN(MOD(A24/Calculator!$F$16,1),1-MOD(A24/Calculator!$F$16,1)),ABS(MOD(A24/Calculator!$F$16,1)-0.5))),1)</f>
        <v>0.0946153846153846</v>
      </c>
      <c r="H24" s="119" t="n">
        <f aca="false">IF(Calculator!$E$17="YES",IF(A24&lt;Calculator!$G$17,0,MIN(MIN(MOD(A24/Calculator!$F$17,1),1-MOD(A24/Calculator!$F$17,1)),ABS(MOD(A24/Calculator!$F$17,1)-0.5))),1)</f>
        <v>0.20368547008547</v>
      </c>
      <c r="I24" s="119" t="n">
        <f aca="false">IF(Calculator!$E$18="YES",IF(A24&lt;Calculator!$G$18,0,MIN(MIN(MOD(A24/Calculator!$F$18,1),1-MOD(A24/Calculator!$F$18,1)),ABS(MOD(A24/Calculator!$F$18,1)-0.5))),1)</f>
        <v>0.104358974358975</v>
      </c>
      <c r="J24" s="119" t="n">
        <f aca="false">IF(Calculator!$E$19="YES",IF(A24&lt;Calculator!$G$19,0,MIN(MIN(MOD(A24/Calculator!$F$19,1),1-MOD(A24/Calculator!$F$19,1)),ABS(MOD(A24/Calculator!$F$19,1)-0.5))),1)</f>
        <v>0.0273162393162396</v>
      </c>
      <c r="K24" s="119" t="n">
        <f aca="false">IF(Calculator!$E$20="YES",IF(A24&lt;Calculator!$G$20,0,MIN(MIN(MOD(A24/Calculator!$F$20,1),1-MOD(A24/Calculator!$F$20,1)),ABS(MOD(A24/Calculator!$F$20,1)-0.5))),1)</f>
        <v>0.139658119658119</v>
      </c>
      <c r="L24" s="119" t="n">
        <f aca="false">IF(Calculator!$E$21="YES",IF(A24&lt;Calculator!$G$21,0,MIN(MIN(MOD(A24/Calculator!$F$21,1),1-MOD(A24/Calculator!$F$21,1)),ABS(MOD(A24/Calculator!$F$21,1)-0.5))),1)</f>
        <v>1</v>
      </c>
      <c r="M24" s="120" t="n">
        <f aca="false">MIN(B24:L24)</f>
        <v>0.00384615384615694</v>
      </c>
      <c r="N24" s="121" t="n">
        <f aca="false">SUMPRODUCT(($M$5:$M$115&gt;M24)*1)+SUMPRODUCT(($M$5:$M$115=M24)*(ROW($M$5:$M$115)&lt;ROW(M24)))+1</f>
        <v>93</v>
      </c>
      <c r="O24" s="122" t="str">
        <f aca="false">IF(M24&gt;=0.2,"★★★ EXCELLENT",IF(M24&gt;=0.12,"★★  GOOD",IF(M24&gt;=0.07,"★  FAIR",IF(M24&gt;=0.025,"⚠  MARGINAL","✗  AVOID"))))</f>
        <v>✗  AVOID</v>
      </c>
    </row>
    <row r="25" customFormat="false" ht="15" hidden="false" customHeight="true" outlineLevel="0" collapsed="false">
      <c r="A25" s="118" t="n">
        <v>15</v>
      </c>
      <c r="B25" s="119" t="n">
        <f aca="false">IF(Calculator!$E$11="YES",IF(A25&lt;Calculator!$G$11,0,MIN(MIN(MOD(A25/Calculator!$F$11,1),1-MOD(A25/Calculator!$F$11,1)),ABS(MOD(A25/Calculator!$F$11,1)-0.5))),1)</f>
        <v>1</v>
      </c>
      <c r="C25" s="119" t="n">
        <f aca="false">IF(Calculator!$E$12="YES",IF(A25&lt;Calculator!$G$12,0,MIN(MIN(MOD(A25/Calculator!$F$12,1),1-MOD(A25/Calculator!$F$12,1)),ABS(MOD(A25/Calculator!$F$12,1)-0.5))),1)</f>
        <v>1</v>
      </c>
      <c r="D25" s="119" t="n">
        <f aca="false">IF(Calculator!$E$13="YES",IF(A25&lt;Calculator!$G$13,0,MIN(MIN(MOD(A25/Calculator!$F$13,1),1-MOD(A25/Calculator!$F$13,1)),ABS(MOD(A25/Calculator!$F$13,1)-0.5))),1)</f>
        <v>1</v>
      </c>
      <c r="E25" s="119" t="n">
        <f aca="false">IF(Calculator!$E$14="YES",IF(A25&lt;Calculator!$G$14,0,MIN(MIN(MOD(A25/Calculator!$F$14,1),1-MOD(A25/Calculator!$F$14,1)),ABS(MOD(A25/Calculator!$F$14,1)-0.5))),1)</f>
        <v>0.233333333333332</v>
      </c>
      <c r="F25" s="119" t="n">
        <f aca="false">IF(Calculator!$E$15="YES",IF(A25&lt;Calculator!$G$15,0,MIN(MIN(MOD(A25/Calculator!$F$15,1),1-MOD(A25/Calculator!$F$15,1)),ABS(MOD(A25/Calculator!$F$15,1)-0.5))),1)</f>
        <v>0.0384615384615417</v>
      </c>
      <c r="G25" s="119" t="n">
        <f aca="false">IF(Calculator!$E$16="YES",IF(A25&lt;Calculator!$G$16,0,MIN(MIN(MOD(A25/Calculator!$F$16,1),1-MOD(A25/Calculator!$F$16,1)),ABS(MOD(A25/Calculator!$F$16,1)-0.5))),1)</f>
        <v>0.046153846153846</v>
      </c>
      <c r="H25" s="119" t="n">
        <f aca="false">IF(Calculator!$E$17="YES",IF(A25&lt;Calculator!$G$17,0,MIN(MIN(MOD(A25/Calculator!$F$17,1),1-MOD(A25/Calculator!$F$17,1)),ABS(MOD(A25/Calculator!$F$17,1)-0.5))),1)</f>
        <v>0.14174358974359</v>
      </c>
      <c r="I25" s="119" t="n">
        <f aca="false">IF(Calculator!$E$18="YES",IF(A25&lt;Calculator!$G$18,0,MIN(MIN(MOD(A25/Calculator!$F$18,1),1-MOD(A25/Calculator!$F$18,1)),ABS(MOD(A25/Calculator!$F$18,1)-0.5))),1)</f>
        <v>0.176923076923077</v>
      </c>
      <c r="J25" s="119" t="n">
        <f aca="false">IF(Calculator!$E$19="YES",IF(A25&lt;Calculator!$G$19,0,MIN(MIN(MOD(A25/Calculator!$F$19,1),1-MOD(A25/Calculator!$F$19,1)),ABS(MOD(A25/Calculator!$F$19,1)-0.5))),1)</f>
        <v>0.0579487179487175</v>
      </c>
      <c r="K25" s="119" t="n">
        <f aca="false">IF(Calculator!$E$20="YES",IF(A25&lt;Calculator!$G$20,0,MIN(MIN(MOD(A25/Calculator!$F$20,1),1-MOD(A25/Calculator!$F$20,1)),ABS(MOD(A25/Calculator!$F$20,1)-0.5))),1)</f>
        <v>0.0410256410256409</v>
      </c>
      <c r="L25" s="119" t="n">
        <f aca="false">IF(Calculator!$E$21="YES",IF(A25&lt;Calculator!$G$21,0,MIN(MIN(MOD(A25/Calculator!$F$21,1),1-MOD(A25/Calculator!$F$21,1)),ABS(MOD(A25/Calculator!$F$21,1)-0.5))),1)</f>
        <v>1</v>
      </c>
      <c r="M25" s="120" t="n">
        <f aca="false">MIN(B25:L25)</f>
        <v>0.0384615384615417</v>
      </c>
      <c r="N25" s="121" t="n">
        <f aca="false">SUMPRODUCT(($M$5:$M$115&gt;M25)*1)+SUMPRODUCT(($M$5:$M$115=M25)*(ROW($M$5:$M$115)&lt;ROW(M25)))+1</f>
        <v>35</v>
      </c>
      <c r="O25" s="122" t="str">
        <f aca="false">IF(M25&gt;=0.2,"★★★ EXCELLENT",IF(M25&gt;=0.12,"★★  GOOD",IF(M25&gt;=0.07,"★  FAIR",IF(M25&gt;=0.025,"⚠  MARGINAL","✗  AVOID"))))</f>
        <v>⚠  MARGINAL</v>
      </c>
    </row>
    <row r="26" customFormat="false" ht="15" hidden="false" customHeight="true" outlineLevel="0" collapsed="false">
      <c r="A26" s="118" t="n">
        <v>15.5</v>
      </c>
      <c r="B26" s="119" t="n">
        <f aca="false">IF(Calculator!$E$11="YES",IF(A26&lt;Calculator!$G$11,0,MIN(MIN(MOD(A26/Calculator!$F$11,1),1-MOD(A26/Calculator!$F$11,1)),ABS(MOD(A26/Calculator!$F$11,1)-0.5))),1)</f>
        <v>1</v>
      </c>
      <c r="C26" s="119" t="n">
        <f aca="false">IF(Calculator!$E$12="YES",IF(A26&lt;Calculator!$G$12,0,MIN(MIN(MOD(A26/Calculator!$F$12,1),1-MOD(A26/Calculator!$F$12,1)),ABS(MOD(A26/Calculator!$F$12,1)-0.5))),1)</f>
        <v>1</v>
      </c>
      <c r="D26" s="119" t="n">
        <f aca="false">IF(Calculator!$E$13="YES",IF(A26&lt;Calculator!$G$13,0,MIN(MIN(MOD(A26/Calculator!$F$13,1),1-MOD(A26/Calculator!$F$13,1)),ABS(MOD(A26/Calculator!$F$13,1)-0.5))),1)</f>
        <v>1</v>
      </c>
      <c r="E26" s="119" t="n">
        <f aca="false">IF(Calculator!$E$14="YES",IF(A26&lt;Calculator!$G$14,0,MIN(MIN(MOD(A26/Calculator!$F$14,1),1-MOD(A26/Calculator!$F$14,1)),ABS(MOD(A26/Calculator!$F$14,1)-0.5))),1)</f>
        <v>0.242222222222224</v>
      </c>
      <c r="F26" s="119" t="n">
        <f aca="false">IF(Calculator!$E$15="YES",IF(A26&lt;Calculator!$G$15,0,MIN(MIN(MOD(A26/Calculator!$F$15,1),1-MOD(A26/Calculator!$F$15,1)),ABS(MOD(A26/Calculator!$F$15,1)-0.5))),1)</f>
        <v>0.0730769230769264</v>
      </c>
      <c r="G26" s="119" t="n">
        <f aca="false">IF(Calculator!$E$16="YES",IF(A26&lt;Calculator!$G$16,0,MIN(MIN(MOD(A26/Calculator!$F$16,1),1-MOD(A26/Calculator!$F$16,1)),ABS(MOD(A26/Calculator!$F$16,1)-0.5))),1)</f>
        <v>0.00230769230769257</v>
      </c>
      <c r="H26" s="119" t="n">
        <f aca="false">IF(Calculator!$E$17="YES",IF(A26&lt;Calculator!$G$17,0,MIN(MIN(MOD(A26/Calculator!$F$17,1),1-MOD(A26/Calculator!$F$17,1)),ABS(MOD(A26/Calculator!$F$17,1)-0.5))),1)</f>
        <v>0.0798017094017098</v>
      </c>
      <c r="I26" s="119" t="n">
        <f aca="false">IF(Calculator!$E$18="YES",IF(A26&lt;Calculator!$G$18,0,MIN(MIN(MOD(A26/Calculator!$F$18,1),1-MOD(A26/Calculator!$F$18,1)),ABS(MOD(A26/Calculator!$F$18,1)-0.5))),1)</f>
        <v>0.24948717948718</v>
      </c>
      <c r="J26" s="119" t="n">
        <f aca="false">IF(Calculator!$E$19="YES",IF(A26&lt;Calculator!$G$19,0,MIN(MIN(MOD(A26/Calculator!$F$19,1),1-MOD(A26/Calculator!$F$19,1)),ABS(MOD(A26/Calculator!$F$19,1)-0.5))),1)</f>
        <v>0.143213675213675</v>
      </c>
      <c r="K26" s="119" t="n">
        <f aca="false">IF(Calculator!$E$20="YES",IF(A26&lt;Calculator!$G$20,0,MIN(MIN(MOD(A26/Calculator!$F$20,1),1-MOD(A26/Calculator!$F$20,1)),ABS(MOD(A26/Calculator!$F$20,1)-0.5))),1)</f>
        <v>0.0576068376068379</v>
      </c>
      <c r="L26" s="119" t="n">
        <f aca="false">IF(Calculator!$E$21="YES",IF(A26&lt;Calculator!$G$21,0,MIN(MIN(MOD(A26/Calculator!$F$21,1),1-MOD(A26/Calculator!$F$21,1)),ABS(MOD(A26/Calculator!$F$21,1)-0.5))),1)</f>
        <v>1</v>
      </c>
      <c r="M26" s="120" t="n">
        <f aca="false">MIN(B26:L26)</f>
        <v>0.00230769230769257</v>
      </c>
      <c r="N26" s="121" t="n">
        <f aca="false">SUMPRODUCT(($M$5:$M$115&gt;M26)*1)+SUMPRODUCT(($M$5:$M$115=M26)*(ROW($M$5:$M$115)&lt;ROW(M26)))+1</f>
        <v>97</v>
      </c>
      <c r="O26" s="122" t="str">
        <f aca="false">IF(M26&gt;=0.2,"★★★ EXCELLENT",IF(M26&gt;=0.12,"★★  GOOD",IF(M26&gt;=0.07,"★  FAIR",IF(M26&gt;=0.025,"⚠  MARGINAL","✗  AVOID"))))</f>
        <v>✗  AVOID</v>
      </c>
    </row>
    <row r="27" customFormat="false" ht="15" hidden="false" customHeight="true" outlineLevel="0" collapsed="false">
      <c r="A27" s="118" t="n">
        <v>16</v>
      </c>
      <c r="B27" s="119" t="n">
        <f aca="false">IF(Calculator!$E$11="YES",IF(A27&lt;Calculator!$G$11,0,MIN(MIN(MOD(A27/Calculator!$F$11,1),1-MOD(A27/Calculator!$F$11,1)),ABS(MOD(A27/Calculator!$F$11,1)-0.5))),1)</f>
        <v>1</v>
      </c>
      <c r="C27" s="119" t="n">
        <f aca="false">IF(Calculator!$E$12="YES",IF(A27&lt;Calculator!$G$12,0,MIN(MIN(MOD(A27/Calculator!$F$12,1),1-MOD(A27/Calculator!$F$12,1)),ABS(MOD(A27/Calculator!$F$12,1)-0.5))),1)</f>
        <v>1</v>
      </c>
      <c r="D27" s="119" t="n">
        <f aca="false">IF(Calculator!$E$13="YES",IF(A27&lt;Calculator!$G$13,0,MIN(MIN(MOD(A27/Calculator!$F$13,1),1-MOD(A27/Calculator!$F$13,1)),ABS(MOD(A27/Calculator!$F$13,1)-0.5))),1)</f>
        <v>1</v>
      </c>
      <c r="E27" s="119" t="n">
        <f aca="false">IF(Calculator!$E$14="YES",IF(A27&lt;Calculator!$G$14,0,MIN(MIN(MOD(A27/Calculator!$F$14,1),1-MOD(A27/Calculator!$F$14,1)),ABS(MOD(A27/Calculator!$F$14,1)-0.5))),1)</f>
        <v>0.21777777777778</v>
      </c>
      <c r="F27" s="119" t="n">
        <f aca="false">IF(Calculator!$E$15="YES",IF(A27&lt;Calculator!$G$15,0,MIN(MIN(MOD(A27/Calculator!$F$15,1),1-MOD(A27/Calculator!$F$15,1)),ABS(MOD(A27/Calculator!$F$15,1)-0.5))),1)</f>
        <v>0.107692307692311</v>
      </c>
      <c r="G27" s="119" t="n">
        <f aca="false">IF(Calculator!$E$16="YES",IF(A27&lt;Calculator!$G$16,0,MIN(MIN(MOD(A27/Calculator!$F$16,1),1-MOD(A27/Calculator!$F$16,1)),ABS(MOD(A27/Calculator!$F$16,1)-0.5))),1)</f>
        <v>0.0507692307692309</v>
      </c>
      <c r="H27" s="119" t="n">
        <f aca="false">IF(Calculator!$E$17="YES",IF(A27&lt;Calculator!$G$17,0,MIN(MIN(MOD(A27/Calculator!$F$17,1),1-MOD(A27/Calculator!$F$17,1)),ABS(MOD(A27/Calculator!$F$17,1)-0.5))),1)</f>
        <v>0.0178598290598295</v>
      </c>
      <c r="I27" s="119" t="n">
        <f aca="false">IF(Calculator!$E$18="YES",IF(A27&lt;Calculator!$G$18,0,MIN(MIN(MOD(A27/Calculator!$F$18,1),1-MOD(A27/Calculator!$F$18,1)),ABS(MOD(A27/Calculator!$F$18,1)-0.5))),1)</f>
        <v>0.177948717948718</v>
      </c>
      <c r="J27" s="119" t="n">
        <f aca="false">IF(Calculator!$E$19="YES",IF(A27&lt;Calculator!$G$19,0,MIN(MIN(MOD(A27/Calculator!$F$19,1),1-MOD(A27/Calculator!$F$19,1)),ABS(MOD(A27/Calculator!$F$19,1)-0.5))),1)</f>
        <v>0.228478632478632</v>
      </c>
      <c r="K27" s="119" t="n">
        <f aca="false">IF(Calculator!$E$20="YES",IF(A27&lt;Calculator!$G$20,0,MIN(MIN(MOD(A27/Calculator!$F$20,1),1-MOD(A27/Calculator!$F$20,1)),ABS(MOD(A27/Calculator!$F$20,1)-0.5))),1)</f>
        <v>0.156239316239317</v>
      </c>
      <c r="L27" s="119" t="n">
        <f aca="false">IF(Calculator!$E$21="YES",IF(A27&lt;Calculator!$G$21,0,MIN(MIN(MOD(A27/Calculator!$F$21,1),1-MOD(A27/Calculator!$F$21,1)),ABS(MOD(A27/Calculator!$F$21,1)-0.5))),1)</f>
        <v>1</v>
      </c>
      <c r="M27" s="120" t="n">
        <f aca="false">MIN(B27:L27)</f>
        <v>0.0178598290598295</v>
      </c>
      <c r="N27" s="121" t="n">
        <f aca="false">SUMPRODUCT(($M$5:$M$115&gt;M27)*1)+SUMPRODUCT(($M$5:$M$115=M27)*(ROW($M$5:$M$115)&lt;ROW(M27)))+1</f>
        <v>66</v>
      </c>
      <c r="O27" s="122" t="str">
        <f aca="false">IF(M27&gt;=0.2,"★★★ EXCELLENT",IF(M27&gt;=0.12,"★★  GOOD",IF(M27&gt;=0.07,"★  FAIR",IF(M27&gt;=0.025,"⚠  MARGINAL","✗  AVOID"))))</f>
        <v>✗  AVOID</v>
      </c>
    </row>
    <row r="28" customFormat="false" ht="15" hidden="false" customHeight="true" outlineLevel="0" collapsed="false">
      <c r="A28" s="118" t="n">
        <v>16.5</v>
      </c>
      <c r="B28" s="119" t="n">
        <f aca="false">IF(Calculator!$E$11="YES",IF(A28&lt;Calculator!$G$11,0,MIN(MIN(MOD(A28/Calculator!$F$11,1),1-MOD(A28/Calculator!$F$11,1)),ABS(MOD(A28/Calculator!$F$11,1)-0.5))),1)</f>
        <v>1</v>
      </c>
      <c r="C28" s="119" t="n">
        <f aca="false">IF(Calculator!$E$12="YES",IF(A28&lt;Calculator!$G$12,0,MIN(MIN(MOD(A28/Calculator!$F$12,1),1-MOD(A28/Calculator!$F$12,1)),ABS(MOD(A28/Calculator!$F$12,1)-0.5))),1)</f>
        <v>1</v>
      </c>
      <c r="D28" s="119" t="n">
        <f aca="false">IF(Calculator!$E$13="YES",IF(A28&lt;Calculator!$G$13,0,MIN(MIN(MOD(A28/Calculator!$F$13,1),1-MOD(A28/Calculator!$F$13,1)),ABS(MOD(A28/Calculator!$F$13,1)-0.5))),1)</f>
        <v>1</v>
      </c>
      <c r="E28" s="119" t="n">
        <f aca="false">IF(Calculator!$E$14="YES",IF(A28&lt;Calculator!$G$14,0,MIN(MIN(MOD(A28/Calculator!$F$14,1),1-MOD(A28/Calculator!$F$14,1)),ABS(MOD(A28/Calculator!$F$14,1)-0.5))),1)</f>
        <v>0.193333333333335</v>
      </c>
      <c r="F28" s="119" t="n">
        <f aca="false">IF(Calculator!$E$15="YES",IF(A28&lt;Calculator!$G$15,0,MIN(MIN(MOD(A28/Calculator!$F$15,1),1-MOD(A28/Calculator!$F$15,1)),ABS(MOD(A28/Calculator!$F$15,1)-0.5))),1)</f>
        <v>0.142307692307696</v>
      </c>
      <c r="G28" s="119" t="n">
        <f aca="false">IF(Calculator!$E$16="YES",IF(A28&lt;Calculator!$G$16,0,MIN(MIN(MOD(A28/Calculator!$F$16,1),1-MOD(A28/Calculator!$F$16,1)),ABS(MOD(A28/Calculator!$F$16,1)-0.5))),1)</f>
        <v>0.0992307692307695</v>
      </c>
      <c r="H28" s="119" t="n">
        <f aca="false">IF(Calculator!$E$17="YES",IF(A28&lt;Calculator!$G$17,0,MIN(MIN(MOD(A28/Calculator!$F$17,1),1-MOD(A28/Calculator!$F$17,1)),ABS(MOD(A28/Calculator!$F$17,1)-0.5))),1)</f>
        <v>0.0440820512820506</v>
      </c>
      <c r="I28" s="119" t="n">
        <f aca="false">IF(Calculator!$E$18="YES",IF(A28&lt;Calculator!$G$18,0,MIN(MIN(MOD(A28/Calculator!$F$18,1),1-MOD(A28/Calculator!$F$18,1)),ABS(MOD(A28/Calculator!$F$18,1)-0.5))),1)</f>
        <v>0.105384615384615</v>
      </c>
      <c r="J28" s="119" t="n">
        <f aca="false">IF(Calculator!$E$19="YES",IF(A28&lt;Calculator!$G$19,0,MIN(MIN(MOD(A28/Calculator!$F$19,1),1-MOD(A28/Calculator!$F$19,1)),ABS(MOD(A28/Calculator!$F$19,1)-0.5))),1)</f>
        <v>0.186256410256411</v>
      </c>
      <c r="K28" s="119" t="n">
        <f aca="false">IF(Calculator!$E$20="YES",IF(A28&lt;Calculator!$G$20,0,MIN(MIN(MOD(A28/Calculator!$F$20,1),1-MOD(A28/Calculator!$F$20,1)),ABS(MOD(A28/Calculator!$F$20,1)-0.5))),1)</f>
        <v>0.245128205128205</v>
      </c>
      <c r="L28" s="119" t="n">
        <f aca="false">IF(Calculator!$E$21="YES",IF(A28&lt;Calculator!$G$21,0,MIN(MIN(MOD(A28/Calculator!$F$21,1),1-MOD(A28/Calculator!$F$21,1)),ABS(MOD(A28/Calculator!$F$21,1)-0.5))),1)</f>
        <v>1</v>
      </c>
      <c r="M28" s="120" t="n">
        <f aca="false">MIN(B28:L28)</f>
        <v>0.0440820512820506</v>
      </c>
      <c r="N28" s="121" t="n">
        <f aca="false">SUMPRODUCT(($M$5:$M$115&gt;M28)*1)+SUMPRODUCT(($M$5:$M$115=M28)*(ROW($M$5:$M$115)&lt;ROW(M28)))+1</f>
        <v>29</v>
      </c>
      <c r="O28" s="122" t="str">
        <f aca="false">IF(M28&gt;=0.2,"★★★ EXCELLENT",IF(M28&gt;=0.12,"★★  GOOD",IF(M28&gt;=0.07,"★  FAIR",IF(M28&gt;=0.025,"⚠  MARGINAL","✗  AVOID"))))</f>
        <v>⚠  MARGINAL</v>
      </c>
    </row>
    <row r="29" customFormat="false" ht="15" hidden="false" customHeight="true" outlineLevel="0" collapsed="false">
      <c r="A29" s="118" t="n">
        <v>17</v>
      </c>
      <c r="B29" s="119" t="n">
        <f aca="false">IF(Calculator!$E$11="YES",IF(A29&lt;Calculator!$G$11,0,MIN(MIN(MOD(A29/Calculator!$F$11,1),1-MOD(A29/Calculator!$F$11,1)),ABS(MOD(A29/Calculator!$F$11,1)-0.5))),1)</f>
        <v>1</v>
      </c>
      <c r="C29" s="119" t="n">
        <f aca="false">IF(Calculator!$E$12="YES",IF(A29&lt;Calculator!$G$12,0,MIN(MIN(MOD(A29/Calculator!$F$12,1),1-MOD(A29/Calculator!$F$12,1)),ABS(MOD(A29/Calculator!$F$12,1)-0.5))),1)</f>
        <v>1</v>
      </c>
      <c r="D29" s="119" t="n">
        <f aca="false">IF(Calculator!$E$13="YES",IF(A29&lt;Calculator!$G$13,0,MIN(MIN(MOD(A29/Calculator!$F$13,1),1-MOD(A29/Calculator!$F$13,1)),ABS(MOD(A29/Calculator!$F$13,1)-0.5))),1)</f>
        <v>1</v>
      </c>
      <c r="E29" s="119" t="n">
        <f aca="false">IF(Calculator!$E$14="YES",IF(A29&lt;Calculator!$G$14,0,MIN(MIN(MOD(A29/Calculator!$F$14,1),1-MOD(A29/Calculator!$F$14,1)),ABS(MOD(A29/Calculator!$F$14,1)-0.5))),1)</f>
        <v>0.168888888888891</v>
      </c>
      <c r="F29" s="119" t="n">
        <f aca="false">IF(Calculator!$E$15="YES",IF(A29&lt;Calculator!$G$15,0,MIN(MIN(MOD(A29/Calculator!$F$15,1),1-MOD(A29/Calculator!$F$15,1)),ABS(MOD(A29/Calculator!$F$15,1)-0.5))),1)</f>
        <v>0.176923076923081</v>
      </c>
      <c r="G29" s="119" t="n">
        <f aca="false">IF(Calculator!$E$16="YES",IF(A29&lt;Calculator!$G$16,0,MIN(MIN(MOD(A29/Calculator!$F$16,1),1-MOD(A29/Calculator!$F$16,1)),ABS(MOD(A29/Calculator!$F$16,1)-0.5))),1)</f>
        <v>0.147692307692308</v>
      </c>
      <c r="H29" s="119" t="n">
        <f aca="false">IF(Calculator!$E$17="YES",IF(A29&lt;Calculator!$G$17,0,MIN(MIN(MOD(A29/Calculator!$F$17,1),1-MOD(A29/Calculator!$F$17,1)),ABS(MOD(A29/Calculator!$F$17,1)-0.5))),1)</f>
        <v>0.106023931623931</v>
      </c>
      <c r="I29" s="119" t="n">
        <f aca="false">IF(Calculator!$E$18="YES",IF(A29&lt;Calculator!$G$18,0,MIN(MIN(MOD(A29/Calculator!$F$18,1),1-MOD(A29/Calculator!$F$18,1)),ABS(MOD(A29/Calculator!$F$18,1)-0.5))),1)</f>
        <v>0.0328205128205124</v>
      </c>
      <c r="J29" s="119" t="n">
        <f aca="false">IF(Calculator!$E$19="YES",IF(A29&lt;Calculator!$G$19,0,MIN(MIN(MOD(A29/Calculator!$F$19,1),1-MOD(A29/Calculator!$F$19,1)),ABS(MOD(A29/Calculator!$F$19,1)-0.5))),1)</f>
        <v>0.100991452991453</v>
      </c>
      <c r="K29" s="119" t="n">
        <f aca="false">IF(Calculator!$E$20="YES",IF(A29&lt;Calculator!$G$20,0,MIN(MIN(MOD(A29/Calculator!$F$20,1),1-MOD(A29/Calculator!$F$20,1)),ABS(MOD(A29/Calculator!$F$20,1)-0.5))),1)</f>
        <v>0.146495726495726</v>
      </c>
      <c r="L29" s="119" t="n">
        <f aca="false">IF(Calculator!$E$21="YES",IF(A29&lt;Calculator!$G$21,0,MIN(MIN(MOD(A29/Calculator!$F$21,1),1-MOD(A29/Calculator!$F$21,1)),ABS(MOD(A29/Calculator!$F$21,1)-0.5))),1)</f>
        <v>1</v>
      </c>
      <c r="M29" s="120" t="n">
        <f aca="false">MIN(B29:L29)</f>
        <v>0.0328205128205124</v>
      </c>
      <c r="N29" s="121" t="n">
        <f aca="false">SUMPRODUCT(($M$5:$M$115&gt;M29)*1)+SUMPRODUCT(($M$5:$M$115=M29)*(ROW($M$5:$M$115)&lt;ROW(M29)))+1</f>
        <v>44</v>
      </c>
      <c r="O29" s="122" t="str">
        <f aca="false">IF(M29&gt;=0.2,"★★★ EXCELLENT",IF(M29&gt;=0.12,"★★  GOOD",IF(M29&gt;=0.07,"★  FAIR",IF(M29&gt;=0.025,"⚠  MARGINAL","✗  AVOID"))))</f>
        <v>⚠  MARGINAL</v>
      </c>
    </row>
    <row r="30" customFormat="false" ht="15" hidden="false" customHeight="true" outlineLevel="0" collapsed="false">
      <c r="A30" s="118" t="n">
        <v>17.5</v>
      </c>
      <c r="B30" s="119" t="n">
        <f aca="false">IF(Calculator!$E$11="YES",IF(A30&lt;Calculator!$G$11,0,MIN(MIN(MOD(A30/Calculator!$F$11,1),1-MOD(A30/Calculator!$F$11,1)),ABS(MOD(A30/Calculator!$F$11,1)-0.5))),1)</f>
        <v>1</v>
      </c>
      <c r="C30" s="119" t="n">
        <f aca="false">IF(Calculator!$E$12="YES",IF(A30&lt;Calculator!$G$12,0,MIN(MIN(MOD(A30/Calculator!$F$12,1),1-MOD(A30/Calculator!$F$12,1)),ABS(MOD(A30/Calculator!$F$12,1)-0.5))),1)</f>
        <v>1</v>
      </c>
      <c r="D30" s="119" t="n">
        <f aca="false">IF(Calculator!$E$13="YES",IF(A30&lt;Calculator!$G$13,0,MIN(MIN(MOD(A30/Calculator!$F$13,1),1-MOD(A30/Calculator!$F$13,1)),ABS(MOD(A30/Calculator!$F$13,1)-0.5))),1)</f>
        <v>1</v>
      </c>
      <c r="E30" s="119" t="n">
        <f aca="false">IF(Calculator!$E$14="YES",IF(A30&lt;Calculator!$G$14,0,MIN(MIN(MOD(A30/Calculator!$F$14,1),1-MOD(A30/Calculator!$F$14,1)),ABS(MOD(A30/Calculator!$F$14,1)-0.5))),1)</f>
        <v>0.144444444444446</v>
      </c>
      <c r="F30" s="119" t="n">
        <f aca="false">IF(Calculator!$E$15="YES",IF(A30&lt;Calculator!$G$15,0,MIN(MIN(MOD(A30/Calculator!$F$15,1),1-MOD(A30/Calculator!$F$15,1)),ABS(MOD(A30/Calculator!$F$15,1)-0.5))),1)</f>
        <v>0.211538461538465</v>
      </c>
      <c r="G30" s="119" t="n">
        <f aca="false">IF(Calculator!$E$16="YES",IF(A30&lt;Calculator!$G$16,0,MIN(MIN(MOD(A30/Calculator!$F$16,1),1-MOD(A30/Calculator!$F$16,1)),ABS(MOD(A30/Calculator!$F$16,1)-0.5))),1)</f>
        <v>0.196153846153846</v>
      </c>
      <c r="H30" s="119" t="n">
        <f aca="false">IF(Calculator!$E$17="YES",IF(A30&lt;Calculator!$G$17,0,MIN(MIN(MOD(A30/Calculator!$F$17,1),1-MOD(A30/Calculator!$F$17,1)),ABS(MOD(A30/Calculator!$F$17,1)-0.5))),1)</f>
        <v>0.167965811965812</v>
      </c>
      <c r="I30" s="119" t="n">
        <f aca="false">IF(Calculator!$E$18="YES",IF(A30&lt;Calculator!$G$18,0,MIN(MIN(MOD(A30/Calculator!$F$18,1),1-MOD(A30/Calculator!$F$18,1)),ABS(MOD(A30/Calculator!$F$18,1)-0.5))),1)</f>
        <v>0.03974358974359</v>
      </c>
      <c r="J30" s="119" t="n">
        <f aca="false">IF(Calculator!$E$19="YES",IF(A30&lt;Calculator!$G$19,0,MIN(MIN(MOD(A30/Calculator!$F$19,1),1-MOD(A30/Calculator!$F$19,1)),ABS(MOD(A30/Calculator!$F$19,1)-0.5))),1)</f>
        <v>0.0157264957264962</v>
      </c>
      <c r="K30" s="119" t="n">
        <f aca="false">IF(Calculator!$E$20="YES",IF(A30&lt;Calculator!$G$20,0,MIN(MIN(MOD(A30/Calculator!$F$20,1),1-MOD(A30/Calculator!$F$20,1)),ABS(MOD(A30/Calculator!$F$20,1)-0.5))),1)</f>
        <v>0.0478632478632473</v>
      </c>
      <c r="L30" s="119" t="n">
        <f aca="false">IF(Calculator!$E$21="YES",IF(A30&lt;Calculator!$G$21,0,MIN(MIN(MOD(A30/Calculator!$F$21,1),1-MOD(A30/Calculator!$F$21,1)),ABS(MOD(A30/Calculator!$F$21,1)-0.5))),1)</f>
        <v>1</v>
      </c>
      <c r="M30" s="120" t="n">
        <f aca="false">MIN(B30:L30)</f>
        <v>0.0157264957264962</v>
      </c>
      <c r="N30" s="121" t="n">
        <f aca="false">SUMPRODUCT(($M$5:$M$115&gt;M30)*1)+SUMPRODUCT(($M$5:$M$115=M30)*(ROW($M$5:$M$115)&lt;ROW(M30)))+1</f>
        <v>69</v>
      </c>
      <c r="O30" s="122" t="str">
        <f aca="false">IF(M30&gt;=0.2,"★★★ EXCELLENT",IF(M30&gt;=0.12,"★★  GOOD",IF(M30&gt;=0.07,"★  FAIR",IF(M30&gt;=0.025,"⚠  MARGINAL","✗  AVOID"))))</f>
        <v>✗  AVOID</v>
      </c>
    </row>
    <row r="31" customFormat="false" ht="15" hidden="false" customHeight="true" outlineLevel="0" collapsed="false">
      <c r="A31" s="118" t="n">
        <v>18</v>
      </c>
      <c r="B31" s="119" t="n">
        <f aca="false">IF(Calculator!$E$11="YES",IF(A31&lt;Calculator!$G$11,0,MIN(MIN(MOD(A31/Calculator!$F$11,1),1-MOD(A31/Calculator!$F$11,1)),ABS(MOD(A31/Calculator!$F$11,1)-0.5))),1)</f>
        <v>1</v>
      </c>
      <c r="C31" s="119" t="n">
        <f aca="false">IF(Calculator!$E$12="YES",IF(A31&lt;Calculator!$G$12,0,MIN(MIN(MOD(A31/Calculator!$F$12,1),1-MOD(A31/Calculator!$F$12,1)),ABS(MOD(A31/Calculator!$F$12,1)-0.5))),1)</f>
        <v>1</v>
      </c>
      <c r="D31" s="119" t="n">
        <f aca="false">IF(Calculator!$E$13="YES",IF(A31&lt;Calculator!$G$13,0,MIN(MIN(MOD(A31/Calculator!$F$13,1),1-MOD(A31/Calculator!$F$13,1)),ABS(MOD(A31/Calculator!$F$13,1)-0.5))),1)</f>
        <v>1</v>
      </c>
      <c r="E31" s="119" t="n">
        <f aca="false">IF(Calculator!$E$14="YES",IF(A31&lt;Calculator!$G$14,0,MIN(MIN(MOD(A31/Calculator!$F$14,1),1-MOD(A31/Calculator!$F$14,1)),ABS(MOD(A31/Calculator!$F$14,1)-0.5))),1)</f>
        <v>0.120000000000002</v>
      </c>
      <c r="F31" s="119" t="n">
        <f aca="false">IF(Calculator!$E$15="YES",IF(A31&lt;Calculator!$G$15,0,MIN(MIN(MOD(A31/Calculator!$F$15,1),1-MOD(A31/Calculator!$F$15,1)),ABS(MOD(A31/Calculator!$F$15,1)-0.5))),1)</f>
        <v>0.24615384615385</v>
      </c>
      <c r="G31" s="119" t="n">
        <f aca="false">IF(Calculator!$E$16="YES",IF(A31&lt;Calculator!$G$16,0,MIN(MIN(MOD(A31/Calculator!$F$16,1),1-MOD(A31/Calculator!$F$16,1)),ABS(MOD(A31/Calculator!$F$16,1)-0.5))),1)</f>
        <v>0.244615384615385</v>
      </c>
      <c r="H31" s="119" t="n">
        <f aca="false">IF(Calculator!$E$17="YES",IF(A31&lt;Calculator!$G$17,0,MIN(MIN(MOD(A31/Calculator!$F$17,1),1-MOD(A31/Calculator!$F$17,1)),ABS(MOD(A31/Calculator!$F$17,1)-0.5))),1)</f>
        <v>0.229907692307692</v>
      </c>
      <c r="I31" s="119" t="n">
        <f aca="false">IF(Calculator!$E$18="YES",IF(A31&lt;Calculator!$G$18,0,MIN(MIN(MOD(A31/Calculator!$F$18,1),1-MOD(A31/Calculator!$F$18,1)),ABS(MOD(A31/Calculator!$F$18,1)-0.5))),1)</f>
        <v>0.112307692307692</v>
      </c>
      <c r="J31" s="119" t="n">
        <f aca="false">IF(Calculator!$E$19="YES",IF(A31&lt;Calculator!$G$19,0,MIN(MIN(MOD(A31/Calculator!$F$19,1),1-MOD(A31/Calculator!$F$19,1)),ABS(MOD(A31/Calculator!$F$19,1)-0.5))),1)</f>
        <v>0.0695384615384613</v>
      </c>
      <c r="K31" s="119" t="n">
        <f aca="false">IF(Calculator!$E$20="YES",IF(A31&lt;Calculator!$G$20,0,MIN(MIN(MOD(A31/Calculator!$F$20,1),1-MOD(A31/Calculator!$F$20,1)),ABS(MOD(A31/Calculator!$F$20,1)-0.5))),1)</f>
        <v>0.0507692307692311</v>
      </c>
      <c r="L31" s="119" t="n">
        <f aca="false">IF(Calculator!$E$21="YES",IF(A31&lt;Calculator!$G$21,0,MIN(MIN(MOD(A31/Calculator!$F$21,1),1-MOD(A31/Calculator!$F$21,1)),ABS(MOD(A31/Calculator!$F$21,1)-0.5))),1)</f>
        <v>1</v>
      </c>
      <c r="M31" s="120" t="n">
        <f aca="false">MIN(B31:L31)</f>
        <v>0.0507692307692311</v>
      </c>
      <c r="N31" s="121" t="n">
        <f aca="false">SUMPRODUCT(($M$5:$M$115&gt;M31)*1)+SUMPRODUCT(($M$5:$M$115=M31)*(ROW($M$5:$M$115)&lt;ROW(M31)))+1</f>
        <v>25</v>
      </c>
      <c r="O31" s="122" t="str">
        <f aca="false">IF(M31&gt;=0.2,"★★★ EXCELLENT",IF(M31&gt;=0.12,"★★  GOOD",IF(M31&gt;=0.07,"★  FAIR",IF(M31&gt;=0.025,"⚠  MARGINAL","✗  AVOID"))))</f>
        <v>⚠  MARGINAL</v>
      </c>
    </row>
    <row r="32" customFormat="false" ht="15" hidden="false" customHeight="true" outlineLevel="0" collapsed="false">
      <c r="A32" s="118" t="n">
        <v>18.5</v>
      </c>
      <c r="B32" s="119" t="n">
        <f aca="false">IF(Calculator!$E$11="YES",IF(A32&lt;Calculator!$G$11,0,MIN(MIN(MOD(A32/Calculator!$F$11,1),1-MOD(A32/Calculator!$F$11,1)),ABS(MOD(A32/Calculator!$F$11,1)-0.5))),1)</f>
        <v>1</v>
      </c>
      <c r="C32" s="119" t="n">
        <f aca="false">IF(Calculator!$E$12="YES",IF(A32&lt;Calculator!$G$12,0,MIN(MIN(MOD(A32/Calculator!$F$12,1),1-MOD(A32/Calculator!$F$12,1)),ABS(MOD(A32/Calculator!$F$12,1)-0.5))),1)</f>
        <v>1</v>
      </c>
      <c r="D32" s="119" t="n">
        <f aca="false">IF(Calculator!$E$13="YES",IF(A32&lt;Calculator!$G$13,0,MIN(MIN(MOD(A32/Calculator!$F$13,1),1-MOD(A32/Calculator!$F$13,1)),ABS(MOD(A32/Calculator!$F$13,1)-0.5))),1)</f>
        <v>1</v>
      </c>
      <c r="E32" s="119" t="n">
        <f aca="false">IF(Calculator!$E$14="YES",IF(A32&lt;Calculator!$G$14,0,MIN(MIN(MOD(A32/Calculator!$F$14,1),1-MOD(A32/Calculator!$F$14,1)),ABS(MOD(A32/Calculator!$F$14,1)-0.5))),1)</f>
        <v>0.0955555555555575</v>
      </c>
      <c r="F32" s="119" t="n">
        <f aca="false">IF(Calculator!$E$15="YES",IF(A32&lt;Calculator!$G$15,0,MIN(MIN(MOD(A32/Calculator!$F$15,1),1-MOD(A32/Calculator!$F$15,1)),ABS(MOD(A32/Calculator!$F$15,1)-0.5))),1)</f>
        <v>0.219230769230765</v>
      </c>
      <c r="G32" s="119" t="n">
        <f aca="false">IF(Calculator!$E$16="YES",IF(A32&lt;Calculator!$G$16,0,MIN(MIN(MOD(A32/Calculator!$F$16,1),1-MOD(A32/Calculator!$F$16,1)),ABS(MOD(A32/Calculator!$F$16,1)-0.5))),1)</f>
        <v>0.206923076923077</v>
      </c>
      <c r="H32" s="119" t="n">
        <f aca="false">IF(Calculator!$E$17="YES",IF(A32&lt;Calculator!$G$17,0,MIN(MIN(MOD(A32/Calculator!$F$17,1),1-MOD(A32/Calculator!$F$17,1)),ABS(MOD(A32/Calculator!$F$17,1)-0.5))),1)</f>
        <v>0.208150427350428</v>
      </c>
      <c r="I32" s="119" t="n">
        <f aca="false">IF(Calculator!$E$18="YES",IF(A32&lt;Calculator!$G$18,0,MIN(MIN(MOD(A32/Calculator!$F$18,1),1-MOD(A32/Calculator!$F$18,1)),ABS(MOD(A32/Calculator!$F$18,1)-0.5))),1)</f>
        <v>0.184871794871795</v>
      </c>
      <c r="J32" s="119" t="n">
        <f aca="false">IF(Calculator!$E$19="YES",IF(A32&lt;Calculator!$G$19,0,MIN(MIN(MOD(A32/Calculator!$F$19,1),1-MOD(A32/Calculator!$F$19,1)),ABS(MOD(A32/Calculator!$F$19,1)-0.5))),1)</f>
        <v>0.154803418803418</v>
      </c>
      <c r="K32" s="119" t="n">
        <f aca="false">IF(Calculator!$E$20="YES",IF(A32&lt;Calculator!$G$20,0,MIN(MIN(MOD(A32/Calculator!$F$20,1),1-MOD(A32/Calculator!$F$20,1)),ABS(MOD(A32/Calculator!$F$20,1)-0.5))),1)</f>
        <v>0.14940170940171</v>
      </c>
      <c r="L32" s="119" t="n">
        <f aca="false">IF(Calculator!$E$21="YES",IF(A32&lt;Calculator!$G$21,0,MIN(MIN(MOD(A32/Calculator!$F$21,1),1-MOD(A32/Calculator!$F$21,1)),ABS(MOD(A32/Calculator!$F$21,1)-0.5))),1)</f>
        <v>1</v>
      </c>
      <c r="M32" s="120" t="n">
        <f aca="false">MIN(B32:L32)</f>
        <v>0.0955555555555575</v>
      </c>
      <c r="N32" s="121" t="n">
        <f aca="false">SUMPRODUCT(($M$5:$M$115&gt;M32)*1)+SUMPRODUCT(($M$5:$M$115=M32)*(ROW($M$5:$M$115)&lt;ROW(M32)))+1</f>
        <v>4</v>
      </c>
      <c r="O32" s="122" t="str">
        <f aca="false">IF(M32&gt;=0.2,"★★★ EXCELLENT",IF(M32&gt;=0.12,"★★  GOOD",IF(M32&gt;=0.07,"★  FAIR",IF(M32&gt;=0.025,"⚠  MARGINAL","✗  AVOID"))))</f>
        <v>★  FAIR</v>
      </c>
    </row>
    <row r="33" customFormat="false" ht="15" hidden="false" customHeight="true" outlineLevel="0" collapsed="false">
      <c r="A33" s="118" t="n">
        <v>19</v>
      </c>
      <c r="B33" s="119" t="n">
        <f aca="false">IF(Calculator!$E$11="YES",IF(A33&lt;Calculator!$G$11,0,MIN(MIN(MOD(A33/Calculator!$F$11,1),1-MOD(A33/Calculator!$F$11,1)),ABS(MOD(A33/Calculator!$F$11,1)-0.5))),1)</f>
        <v>1</v>
      </c>
      <c r="C33" s="119" t="n">
        <f aca="false">IF(Calculator!$E$12="YES",IF(A33&lt;Calculator!$G$12,0,MIN(MIN(MOD(A33/Calculator!$F$12,1),1-MOD(A33/Calculator!$F$12,1)),ABS(MOD(A33/Calculator!$F$12,1)-0.5))),1)</f>
        <v>1</v>
      </c>
      <c r="D33" s="119" t="n">
        <f aca="false">IF(Calculator!$E$13="YES",IF(A33&lt;Calculator!$G$13,0,MIN(MIN(MOD(A33/Calculator!$F$13,1),1-MOD(A33/Calculator!$F$13,1)),ABS(MOD(A33/Calculator!$F$13,1)-0.5))),1)</f>
        <v>1</v>
      </c>
      <c r="E33" s="119" t="n">
        <f aca="false">IF(Calculator!$E$14="YES",IF(A33&lt;Calculator!$G$14,0,MIN(MIN(MOD(A33/Calculator!$F$14,1),1-MOD(A33/Calculator!$F$14,1)),ABS(MOD(A33/Calculator!$F$14,1)-0.5))),1)</f>
        <v>0.0711111111111131</v>
      </c>
      <c r="F33" s="119" t="n">
        <f aca="false">IF(Calculator!$E$15="YES",IF(A33&lt;Calculator!$G$15,0,MIN(MIN(MOD(A33/Calculator!$F$15,1),1-MOD(A33/Calculator!$F$15,1)),ABS(MOD(A33/Calculator!$F$15,1)-0.5))),1)</f>
        <v>0.184615384615381</v>
      </c>
      <c r="G33" s="119" t="n">
        <f aca="false">IF(Calculator!$E$16="YES",IF(A33&lt;Calculator!$G$16,0,MIN(MIN(MOD(A33/Calculator!$F$16,1),1-MOD(A33/Calculator!$F$16,1)),ABS(MOD(A33/Calculator!$F$16,1)-0.5))),1)</f>
        <v>0.158461538461538</v>
      </c>
      <c r="H33" s="119" t="n">
        <f aca="false">IF(Calculator!$E$17="YES",IF(A33&lt;Calculator!$G$17,0,MIN(MIN(MOD(A33/Calculator!$F$17,1),1-MOD(A33/Calculator!$F$17,1)),ABS(MOD(A33/Calculator!$F$17,1)-0.5))),1)</f>
        <v>0.146208547008547</v>
      </c>
      <c r="I33" s="119" t="n">
        <f aca="false">IF(Calculator!$E$18="YES",IF(A33&lt;Calculator!$G$18,0,MIN(MIN(MOD(A33/Calculator!$F$18,1),1-MOD(A33/Calculator!$F$18,1)),ABS(MOD(A33/Calculator!$F$18,1)-0.5))),1)</f>
        <v>0.242564102564102</v>
      </c>
      <c r="J33" s="119" t="n">
        <f aca="false">IF(Calculator!$E$19="YES",IF(A33&lt;Calculator!$G$19,0,MIN(MIN(MOD(A33/Calculator!$F$19,1),1-MOD(A33/Calculator!$F$19,1)),ABS(MOD(A33/Calculator!$F$19,1)-0.5))),1)</f>
        <v>0.240068376068376</v>
      </c>
      <c r="K33" s="119" t="n">
        <f aca="false">IF(Calculator!$E$20="YES",IF(A33&lt;Calculator!$G$20,0,MIN(MIN(MOD(A33/Calculator!$F$20,1),1-MOD(A33/Calculator!$F$20,1)),ABS(MOD(A33/Calculator!$F$20,1)-0.5))),1)</f>
        <v>0.248034188034188</v>
      </c>
      <c r="L33" s="119" t="n">
        <f aca="false">IF(Calculator!$E$21="YES",IF(A33&lt;Calculator!$G$21,0,MIN(MIN(MOD(A33/Calculator!$F$21,1),1-MOD(A33/Calculator!$F$21,1)),ABS(MOD(A33/Calculator!$F$21,1)-0.5))),1)</f>
        <v>1</v>
      </c>
      <c r="M33" s="120" t="n">
        <f aca="false">MIN(B33:L33)</f>
        <v>0.0711111111111131</v>
      </c>
      <c r="N33" s="121" t="n">
        <f aca="false">SUMPRODUCT(($M$5:$M$115&gt;M33)*1)+SUMPRODUCT(($M$5:$M$115=M33)*(ROW($M$5:$M$115)&lt;ROW(M33)))+1</f>
        <v>9</v>
      </c>
      <c r="O33" s="122" t="str">
        <f aca="false">IF(M33&gt;=0.2,"★★★ EXCELLENT",IF(M33&gt;=0.12,"★★  GOOD",IF(M33&gt;=0.07,"★  FAIR",IF(M33&gt;=0.025,"⚠  MARGINAL","✗  AVOID"))))</f>
        <v>★  FAIR</v>
      </c>
    </row>
    <row r="34" customFormat="false" ht="15" hidden="false" customHeight="true" outlineLevel="0" collapsed="false">
      <c r="A34" s="118" t="n">
        <v>19.5</v>
      </c>
      <c r="B34" s="119" t="n">
        <f aca="false">IF(Calculator!$E$11="YES",IF(A34&lt;Calculator!$G$11,0,MIN(MIN(MOD(A34/Calculator!$F$11,1),1-MOD(A34/Calculator!$F$11,1)),ABS(MOD(A34/Calculator!$F$11,1)-0.5))),1)</f>
        <v>1</v>
      </c>
      <c r="C34" s="119" t="n">
        <f aca="false">IF(Calculator!$E$12="YES",IF(A34&lt;Calculator!$G$12,0,MIN(MIN(MOD(A34/Calculator!$F$12,1),1-MOD(A34/Calculator!$F$12,1)),ABS(MOD(A34/Calculator!$F$12,1)-0.5))),1)</f>
        <v>1</v>
      </c>
      <c r="D34" s="119" t="n">
        <f aca="false">IF(Calculator!$E$13="YES",IF(A34&lt;Calculator!$G$13,0,MIN(MIN(MOD(A34/Calculator!$F$13,1),1-MOD(A34/Calculator!$F$13,1)),ABS(MOD(A34/Calculator!$F$13,1)-0.5))),1)</f>
        <v>1</v>
      </c>
      <c r="E34" s="119" t="n">
        <f aca="false">IF(Calculator!$E$14="YES",IF(A34&lt;Calculator!$G$14,0,MIN(MIN(MOD(A34/Calculator!$F$14,1),1-MOD(A34/Calculator!$F$14,1)),ABS(MOD(A34/Calculator!$F$14,1)-0.5))),1)</f>
        <v>0.0466666666666687</v>
      </c>
      <c r="F34" s="119" t="n">
        <f aca="false">IF(Calculator!$E$15="YES",IF(A34&lt;Calculator!$G$15,0,MIN(MIN(MOD(A34/Calculator!$F$15,1),1-MOD(A34/Calculator!$F$15,1)),ABS(MOD(A34/Calculator!$F$15,1)-0.5))),1)</f>
        <v>0.149999999999996</v>
      </c>
      <c r="G34" s="119" t="n">
        <f aca="false">IF(Calculator!$E$16="YES",IF(A34&lt;Calculator!$G$16,0,MIN(MIN(MOD(A34/Calculator!$F$16,1),1-MOD(A34/Calculator!$F$16,1)),ABS(MOD(A34/Calculator!$F$16,1)-0.5))),1)</f>
        <v>0.11</v>
      </c>
      <c r="H34" s="119" t="n">
        <f aca="false">IF(Calculator!$E$17="YES",IF(A34&lt;Calculator!$G$17,0,MIN(MIN(MOD(A34/Calculator!$F$17,1),1-MOD(A34/Calculator!$F$17,1)),ABS(MOD(A34/Calculator!$F$17,1)-0.5))),1)</f>
        <v>0.0842666666666672</v>
      </c>
      <c r="I34" s="119" t="n">
        <f aca="false">IF(Calculator!$E$18="YES",IF(A34&lt;Calculator!$G$18,0,MIN(MIN(MOD(A34/Calculator!$F$18,1),1-MOD(A34/Calculator!$F$18,1)),ABS(MOD(A34/Calculator!$F$18,1)-0.5))),1)</f>
        <v>0.169999999999999</v>
      </c>
      <c r="J34" s="119" t="n">
        <f aca="false">IF(Calculator!$E$19="YES",IF(A34&lt;Calculator!$G$19,0,MIN(MIN(MOD(A34/Calculator!$F$19,1),1-MOD(A34/Calculator!$F$19,1)),ABS(MOD(A34/Calculator!$F$19,1)-0.5))),1)</f>
        <v>0.174666666666667</v>
      </c>
      <c r="K34" s="119" t="n">
        <f aca="false">IF(Calculator!$E$20="YES",IF(A34&lt;Calculator!$G$20,0,MIN(MIN(MOD(A34/Calculator!$F$20,1),1-MOD(A34/Calculator!$F$20,1)),ABS(MOD(A34/Calculator!$F$20,1)-0.5))),1)</f>
        <v>0.153333333333333</v>
      </c>
      <c r="L34" s="119" t="n">
        <f aca="false">IF(Calculator!$E$21="YES",IF(A34&lt;Calculator!$G$21,0,MIN(MIN(MOD(A34/Calculator!$F$21,1),1-MOD(A34/Calculator!$F$21,1)),ABS(MOD(A34/Calculator!$F$21,1)-0.5))),1)</f>
        <v>1</v>
      </c>
      <c r="M34" s="120" t="n">
        <f aca="false">MIN(B34:L34)</f>
        <v>0.0466666666666687</v>
      </c>
      <c r="N34" s="121" t="n">
        <f aca="false">SUMPRODUCT(($M$5:$M$115&gt;M34)*1)+SUMPRODUCT(($M$5:$M$115=M34)*(ROW($M$5:$M$115)&lt;ROW(M34)))+1</f>
        <v>27</v>
      </c>
      <c r="O34" s="122" t="str">
        <f aca="false">IF(M34&gt;=0.2,"★★★ EXCELLENT",IF(M34&gt;=0.12,"★★  GOOD",IF(M34&gt;=0.07,"★  FAIR",IF(M34&gt;=0.025,"⚠  MARGINAL","✗  AVOID"))))</f>
        <v>⚠  MARGINAL</v>
      </c>
    </row>
    <row r="35" customFormat="false" ht="15" hidden="false" customHeight="true" outlineLevel="0" collapsed="false">
      <c r="A35" s="118" t="n">
        <v>20</v>
      </c>
      <c r="B35" s="119" t="n">
        <f aca="false">IF(Calculator!$E$11="YES",IF(A35&lt;Calculator!$G$11,0,MIN(MIN(MOD(A35/Calculator!$F$11,1),1-MOD(A35/Calculator!$F$11,1)),ABS(MOD(A35/Calculator!$F$11,1)-0.5))),1)</f>
        <v>1</v>
      </c>
      <c r="C35" s="119" t="n">
        <f aca="false">IF(Calculator!$E$12="YES",IF(A35&lt;Calculator!$G$12,0,MIN(MIN(MOD(A35/Calculator!$F$12,1),1-MOD(A35/Calculator!$F$12,1)),ABS(MOD(A35/Calculator!$F$12,1)-0.5))),1)</f>
        <v>1</v>
      </c>
      <c r="D35" s="119" t="n">
        <f aca="false">IF(Calculator!$E$13="YES",IF(A35&lt;Calculator!$G$13,0,MIN(MIN(MOD(A35/Calculator!$F$13,1),1-MOD(A35/Calculator!$F$13,1)),ABS(MOD(A35/Calculator!$F$13,1)-0.5))),1)</f>
        <v>1</v>
      </c>
      <c r="E35" s="119" t="n">
        <f aca="false">IF(Calculator!$E$14="YES",IF(A35&lt;Calculator!$G$14,0,MIN(MIN(MOD(A35/Calculator!$F$14,1),1-MOD(A35/Calculator!$F$14,1)),ABS(MOD(A35/Calculator!$F$14,1)-0.5))),1)</f>
        <v>0.0222222222222244</v>
      </c>
      <c r="F35" s="119" t="n">
        <f aca="false">IF(Calculator!$E$15="YES",IF(A35&lt;Calculator!$G$15,0,MIN(MIN(MOD(A35/Calculator!$F$15,1),1-MOD(A35/Calculator!$F$15,1)),ABS(MOD(A35/Calculator!$F$15,1)-0.5))),1)</f>
        <v>0.115384615384611</v>
      </c>
      <c r="G35" s="119" t="n">
        <f aca="false">IF(Calculator!$E$16="YES",IF(A35&lt;Calculator!$G$16,0,MIN(MIN(MOD(A35/Calculator!$F$16,1),1-MOD(A35/Calculator!$F$16,1)),ABS(MOD(A35/Calculator!$F$16,1)-0.5))),1)</f>
        <v>0.0615384615384613</v>
      </c>
      <c r="H35" s="119" t="n">
        <f aca="false">IF(Calculator!$E$17="YES",IF(A35&lt;Calculator!$G$17,0,MIN(MIN(MOD(A35/Calculator!$F$17,1),1-MOD(A35/Calculator!$F$17,1)),ABS(MOD(A35/Calculator!$F$17,1)-0.5))),1)</f>
        <v>0.0223247863247869</v>
      </c>
      <c r="I35" s="119" t="n">
        <f aca="false">IF(Calculator!$E$18="YES",IF(A35&lt;Calculator!$G$18,0,MIN(MIN(MOD(A35/Calculator!$F$18,1),1-MOD(A35/Calculator!$F$18,1)),ABS(MOD(A35/Calculator!$F$18,1)-0.5))),1)</f>
        <v>0.0974358974358971</v>
      </c>
      <c r="J35" s="119" t="n">
        <f aca="false">IF(Calculator!$E$19="YES",IF(A35&lt;Calculator!$G$19,0,MIN(MIN(MOD(A35/Calculator!$F$19,1),1-MOD(A35/Calculator!$F$19,1)),ABS(MOD(A35/Calculator!$F$19,1)-0.5))),1)</f>
        <v>0.0894017094017099</v>
      </c>
      <c r="K35" s="119" t="n">
        <f aca="false">IF(Calculator!$E$20="YES",IF(A35&lt;Calculator!$G$20,0,MIN(MIN(MOD(A35/Calculator!$F$20,1),1-MOD(A35/Calculator!$F$20,1)),ABS(MOD(A35/Calculator!$F$20,1)-0.5))),1)</f>
        <v>0.0547008547008541</v>
      </c>
      <c r="L35" s="119" t="n">
        <f aca="false">IF(Calculator!$E$21="YES",IF(A35&lt;Calculator!$G$21,0,MIN(MIN(MOD(A35/Calculator!$F$21,1),1-MOD(A35/Calculator!$F$21,1)),ABS(MOD(A35/Calculator!$F$21,1)-0.5))),1)</f>
        <v>1</v>
      </c>
      <c r="M35" s="120" t="n">
        <f aca="false">MIN(B35:L35)</f>
        <v>0.0222222222222244</v>
      </c>
      <c r="N35" s="121" t="n">
        <f aca="false">SUMPRODUCT(($M$5:$M$115&gt;M35)*1)+SUMPRODUCT(($M$5:$M$115=M35)*(ROW($M$5:$M$115)&lt;ROW(M35)))+1</f>
        <v>60</v>
      </c>
      <c r="O35" s="122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true" outlineLevel="0" collapsed="false">
      <c r="A36" s="118" t="n">
        <v>20.5</v>
      </c>
      <c r="B36" s="119" t="n">
        <f aca="false">IF(Calculator!$E$11="YES",IF(A36&lt;Calculator!$G$11,0,MIN(MIN(MOD(A36/Calculator!$F$11,1),1-MOD(A36/Calculator!$F$11,1)),ABS(MOD(A36/Calculator!$F$11,1)-0.5))),1)</f>
        <v>1</v>
      </c>
      <c r="C36" s="119" t="n">
        <f aca="false">IF(Calculator!$E$12="YES",IF(A36&lt;Calculator!$G$12,0,MIN(MIN(MOD(A36/Calculator!$F$12,1),1-MOD(A36/Calculator!$F$12,1)),ABS(MOD(A36/Calculator!$F$12,1)-0.5))),1)</f>
        <v>1</v>
      </c>
      <c r="D36" s="119" t="n">
        <f aca="false">IF(Calculator!$E$13="YES",IF(A36&lt;Calculator!$G$13,0,MIN(MIN(MOD(A36/Calculator!$F$13,1),1-MOD(A36/Calculator!$F$13,1)),ABS(MOD(A36/Calculator!$F$13,1)-0.5))),1)</f>
        <v>1</v>
      </c>
      <c r="E36" s="119" t="n">
        <f aca="false">IF(Calculator!$E$14="YES",IF(A36&lt;Calculator!$G$14,0,MIN(MIN(MOD(A36/Calculator!$F$14,1),1-MOD(A36/Calculator!$F$14,1)),ABS(MOD(A36/Calculator!$F$14,1)-0.5))),1)</f>
        <v>0.00222222222222013</v>
      </c>
      <c r="F36" s="119" t="n">
        <f aca="false">IF(Calculator!$E$15="YES",IF(A36&lt;Calculator!$G$15,0,MIN(MIN(MOD(A36/Calculator!$F$15,1),1-MOD(A36/Calculator!$F$15,1)),ABS(MOD(A36/Calculator!$F$15,1)-0.5))),1)</f>
        <v>0.0807692307692265</v>
      </c>
      <c r="G36" s="119" t="n">
        <f aca="false">IF(Calculator!$E$16="YES",IF(A36&lt;Calculator!$G$16,0,MIN(MIN(MOD(A36/Calculator!$F$16,1),1-MOD(A36/Calculator!$F$16,1)),ABS(MOD(A36/Calculator!$F$16,1)-0.5))),1)</f>
        <v>0.0130769230769228</v>
      </c>
      <c r="H36" s="119" t="n">
        <f aca="false">IF(Calculator!$E$17="YES",IF(A36&lt;Calculator!$G$17,0,MIN(MIN(MOD(A36/Calculator!$F$17,1),1-MOD(A36/Calculator!$F$17,1)),ABS(MOD(A36/Calculator!$F$17,1)-0.5))),1)</f>
        <v>0.0396170940170935</v>
      </c>
      <c r="I36" s="119" t="n">
        <f aca="false">IF(Calculator!$E$18="YES",IF(A36&lt;Calculator!$G$18,0,MIN(MIN(MOD(A36/Calculator!$F$18,1),1-MOD(A36/Calculator!$F$18,1)),ABS(MOD(A36/Calculator!$F$18,1)-0.5))),1)</f>
        <v>0.0248717948717947</v>
      </c>
      <c r="J36" s="119" t="n">
        <f aca="false">IF(Calculator!$E$19="YES",IF(A36&lt;Calculator!$G$19,0,MIN(MIN(MOD(A36/Calculator!$F$19,1),1-MOD(A36/Calculator!$F$19,1)),ABS(MOD(A36/Calculator!$F$19,1)-0.5))),1)</f>
        <v>0.0041367521367528</v>
      </c>
      <c r="K36" s="119" t="n">
        <f aca="false">IF(Calculator!$E$20="YES",IF(A36&lt;Calculator!$G$20,0,MIN(MIN(MOD(A36/Calculator!$F$20,1),1-MOD(A36/Calculator!$F$20,1)),ABS(MOD(A36/Calculator!$F$20,1)-0.5))),1)</f>
        <v>0.0439316239316243</v>
      </c>
      <c r="L36" s="119" t="n">
        <f aca="false">IF(Calculator!$E$21="YES",IF(A36&lt;Calculator!$G$21,0,MIN(MIN(MOD(A36/Calculator!$F$21,1),1-MOD(A36/Calculator!$F$21,1)),ABS(MOD(A36/Calculator!$F$21,1)-0.5))),1)</f>
        <v>1</v>
      </c>
      <c r="M36" s="120" t="n">
        <f aca="false">MIN(B36:L36)</f>
        <v>0.00222222222222013</v>
      </c>
      <c r="N36" s="121" t="n">
        <f aca="false">SUMPRODUCT(($M$5:$M$115&gt;M36)*1)+SUMPRODUCT(($M$5:$M$115=M36)*(ROW($M$5:$M$115)&lt;ROW(M36)))+1</f>
        <v>98</v>
      </c>
      <c r="O36" s="122" t="str">
        <f aca="false">IF(M36&gt;=0.2,"★★★ EXCELLENT",IF(M36&gt;=0.12,"★★  GOOD",IF(M36&gt;=0.07,"★  FAIR",IF(M36&gt;=0.025,"⚠  MARGINAL","✗  AVOID"))))</f>
        <v>✗  AVOID</v>
      </c>
    </row>
    <row r="37" customFormat="false" ht="15" hidden="false" customHeight="true" outlineLevel="0" collapsed="false">
      <c r="A37" s="118" t="n">
        <v>21</v>
      </c>
      <c r="B37" s="119" t="n">
        <f aca="false">IF(Calculator!$E$11="YES",IF(A37&lt;Calculator!$G$11,0,MIN(MIN(MOD(A37/Calculator!$F$11,1),1-MOD(A37/Calculator!$F$11,1)),ABS(MOD(A37/Calculator!$F$11,1)-0.5))),1)</f>
        <v>1</v>
      </c>
      <c r="C37" s="119" t="n">
        <f aca="false">IF(Calculator!$E$12="YES",IF(A37&lt;Calculator!$G$12,0,MIN(MIN(MOD(A37/Calculator!$F$12,1),1-MOD(A37/Calculator!$F$12,1)),ABS(MOD(A37/Calculator!$F$12,1)-0.5))),1)</f>
        <v>1</v>
      </c>
      <c r="D37" s="119" t="n">
        <f aca="false">IF(Calculator!$E$13="YES",IF(A37&lt;Calculator!$G$13,0,MIN(MIN(MOD(A37/Calculator!$F$13,1),1-MOD(A37/Calculator!$F$13,1)),ABS(MOD(A37/Calculator!$F$13,1)-0.5))),1)</f>
        <v>1</v>
      </c>
      <c r="E37" s="119" t="n">
        <f aca="false">IF(Calculator!$E$14="YES",IF(A37&lt;Calculator!$G$14,0,MIN(MIN(MOD(A37/Calculator!$F$14,1),1-MOD(A37/Calculator!$F$14,1)),ABS(MOD(A37/Calculator!$F$14,1)-0.5))),1)</f>
        <v>0.0266666666666644</v>
      </c>
      <c r="F37" s="119" t="n">
        <f aca="false">IF(Calculator!$E$15="YES",IF(A37&lt;Calculator!$G$15,0,MIN(MIN(MOD(A37/Calculator!$F$15,1),1-MOD(A37/Calculator!$F$15,1)),ABS(MOD(A37/Calculator!$F$15,1)-0.5))),1)</f>
        <v>0.0461538461538418</v>
      </c>
      <c r="G37" s="119" t="n">
        <f aca="false">IF(Calculator!$E$16="YES",IF(A37&lt;Calculator!$G$16,0,MIN(MIN(MOD(A37/Calculator!$F$16,1),1-MOD(A37/Calculator!$F$16,1)),ABS(MOD(A37/Calculator!$F$16,1)-0.5))),1)</f>
        <v>0.0353846153846158</v>
      </c>
      <c r="H37" s="119" t="n">
        <f aca="false">IF(Calculator!$E$17="YES",IF(A37&lt;Calculator!$G$17,0,MIN(MIN(MOD(A37/Calculator!$F$17,1),1-MOD(A37/Calculator!$F$17,1)),ABS(MOD(A37/Calculator!$F$17,1)-0.5))),1)</f>
        <v>0.101558974358974</v>
      </c>
      <c r="I37" s="119" t="n">
        <f aca="false">IF(Calculator!$E$18="YES",IF(A37&lt;Calculator!$G$18,0,MIN(MIN(MOD(A37/Calculator!$F$18,1),1-MOD(A37/Calculator!$F$18,1)),ABS(MOD(A37/Calculator!$F$18,1)-0.5))),1)</f>
        <v>0.0476923076923081</v>
      </c>
      <c r="J37" s="119" t="n">
        <f aca="false">IF(Calculator!$E$19="YES",IF(A37&lt;Calculator!$G$19,0,MIN(MIN(MOD(A37/Calculator!$F$19,1),1-MOD(A37/Calculator!$F$19,1)),ABS(MOD(A37/Calculator!$F$19,1)-0.5))),1)</f>
        <v>0.0811282051282047</v>
      </c>
      <c r="K37" s="119" t="n">
        <f aca="false">IF(Calculator!$E$20="YES",IF(A37&lt;Calculator!$G$20,0,MIN(MIN(MOD(A37/Calculator!$F$20,1),1-MOD(A37/Calculator!$F$20,1)),ABS(MOD(A37/Calculator!$F$20,1)-0.5))),1)</f>
        <v>0.142564102564103</v>
      </c>
      <c r="L37" s="119" t="n">
        <f aca="false">IF(Calculator!$E$21="YES",IF(A37&lt;Calculator!$G$21,0,MIN(MIN(MOD(A37/Calculator!$F$21,1),1-MOD(A37/Calculator!$F$21,1)),ABS(MOD(A37/Calculator!$F$21,1)-0.5))),1)</f>
        <v>1</v>
      </c>
      <c r="M37" s="120" t="n">
        <f aca="false">MIN(B37:L37)</f>
        <v>0.0266666666666644</v>
      </c>
      <c r="N37" s="121" t="n">
        <f aca="false">SUMPRODUCT(($M$5:$M$115&gt;M37)*1)+SUMPRODUCT(($M$5:$M$115=M37)*(ROW($M$5:$M$115)&lt;ROW(M37)))+1</f>
        <v>52</v>
      </c>
      <c r="O37" s="122" t="str">
        <f aca="false">IF(M37&gt;=0.2,"★★★ EXCELLENT",IF(M37&gt;=0.12,"★★  GOOD",IF(M37&gt;=0.07,"★  FAIR",IF(M37&gt;=0.025,"⚠  MARGINAL","✗  AVOID"))))</f>
        <v>⚠  MARGINAL</v>
      </c>
    </row>
    <row r="38" customFormat="false" ht="15" hidden="false" customHeight="true" outlineLevel="0" collapsed="false">
      <c r="A38" s="118" t="n">
        <v>21.5</v>
      </c>
      <c r="B38" s="119" t="n">
        <f aca="false">IF(Calculator!$E$11="YES",IF(A38&lt;Calculator!$G$11,0,MIN(MIN(MOD(A38/Calculator!$F$11,1),1-MOD(A38/Calculator!$F$11,1)),ABS(MOD(A38/Calculator!$F$11,1)-0.5))),1)</f>
        <v>1</v>
      </c>
      <c r="C38" s="119" t="n">
        <f aca="false">IF(Calculator!$E$12="YES",IF(A38&lt;Calculator!$G$12,0,MIN(MIN(MOD(A38/Calculator!$F$12,1),1-MOD(A38/Calculator!$F$12,1)),ABS(MOD(A38/Calculator!$F$12,1)-0.5))),1)</f>
        <v>1</v>
      </c>
      <c r="D38" s="119" t="n">
        <f aca="false">IF(Calculator!$E$13="YES",IF(A38&lt;Calculator!$G$13,0,MIN(MIN(MOD(A38/Calculator!$F$13,1),1-MOD(A38/Calculator!$F$13,1)),ABS(MOD(A38/Calculator!$F$13,1)-0.5))),1)</f>
        <v>1</v>
      </c>
      <c r="E38" s="119" t="n">
        <f aca="false">IF(Calculator!$E$14="YES",IF(A38&lt;Calculator!$G$14,0,MIN(MIN(MOD(A38/Calculator!$F$14,1),1-MOD(A38/Calculator!$F$14,1)),ABS(MOD(A38/Calculator!$F$14,1)-0.5))),1)</f>
        <v>0.0511111111111089</v>
      </c>
      <c r="F38" s="119" t="n">
        <f aca="false">IF(Calculator!$E$15="YES",IF(A38&lt;Calculator!$G$15,0,MIN(MIN(MOD(A38/Calculator!$F$15,1),1-MOD(A38/Calculator!$F$15,1)),ABS(MOD(A38/Calculator!$F$15,1)-0.5))),1)</f>
        <v>0.0115384615384571</v>
      </c>
      <c r="G38" s="119" t="n">
        <f aca="false">IF(Calculator!$E$16="YES",IF(A38&lt;Calculator!$G$16,0,MIN(MIN(MOD(A38/Calculator!$F$16,1),1-MOD(A38/Calculator!$F$16,1)),ABS(MOD(A38/Calculator!$F$16,1)-0.5))),1)</f>
        <v>0.0838461538461539</v>
      </c>
      <c r="H38" s="119" t="n">
        <f aca="false">IF(Calculator!$E$17="YES",IF(A38&lt;Calculator!$G$17,0,MIN(MIN(MOD(A38/Calculator!$F$17,1),1-MOD(A38/Calculator!$F$17,1)),ABS(MOD(A38/Calculator!$F$17,1)-0.5))),1)</f>
        <v>0.163500854700854</v>
      </c>
      <c r="I38" s="119" t="n">
        <f aca="false">IF(Calculator!$E$18="YES",IF(A38&lt;Calculator!$G$18,0,MIN(MIN(MOD(A38/Calculator!$F$18,1),1-MOD(A38/Calculator!$F$18,1)),ABS(MOD(A38/Calculator!$F$18,1)-0.5))),1)</f>
        <v>0.120256410256411</v>
      </c>
      <c r="J38" s="119" t="n">
        <f aca="false">IF(Calculator!$E$19="YES",IF(A38&lt;Calculator!$G$19,0,MIN(MIN(MOD(A38/Calculator!$F$19,1),1-MOD(A38/Calculator!$F$19,1)),ABS(MOD(A38/Calculator!$F$19,1)-0.5))),1)</f>
        <v>0.166393162393162</v>
      </c>
      <c r="K38" s="119" t="n">
        <f aca="false">IF(Calculator!$E$20="YES",IF(A38&lt;Calculator!$G$20,0,MIN(MIN(MOD(A38/Calculator!$F$20,1),1-MOD(A38/Calculator!$F$20,1)),ABS(MOD(A38/Calculator!$F$20,1)-0.5))),1)</f>
        <v>0.241196581196582</v>
      </c>
      <c r="L38" s="119" t="n">
        <f aca="false">IF(Calculator!$E$21="YES",IF(A38&lt;Calculator!$G$21,0,MIN(MIN(MOD(A38/Calculator!$F$21,1),1-MOD(A38/Calculator!$F$21,1)),ABS(MOD(A38/Calculator!$F$21,1)-0.5))),1)</f>
        <v>1</v>
      </c>
      <c r="M38" s="120" t="n">
        <f aca="false">MIN(B38:L38)</f>
        <v>0.0115384615384571</v>
      </c>
      <c r="N38" s="121" t="n">
        <f aca="false">SUMPRODUCT(($M$5:$M$115&gt;M38)*1)+SUMPRODUCT(($M$5:$M$115=M38)*(ROW($M$5:$M$115)&lt;ROW(M38)))+1</f>
        <v>76</v>
      </c>
      <c r="O38" s="122" t="str">
        <f aca="false">IF(M38&gt;=0.2,"★★★ EXCELLENT",IF(M38&gt;=0.12,"★★  GOOD",IF(M38&gt;=0.07,"★  FAIR",IF(M38&gt;=0.025,"⚠  MARGINAL","✗  AVOID"))))</f>
        <v>✗  AVOID</v>
      </c>
    </row>
    <row r="39" customFormat="false" ht="15" hidden="false" customHeight="true" outlineLevel="0" collapsed="false">
      <c r="A39" s="118" t="n">
        <v>22</v>
      </c>
      <c r="B39" s="119" t="n">
        <f aca="false">IF(Calculator!$E$11="YES",IF(A39&lt;Calculator!$G$11,0,MIN(MIN(MOD(A39/Calculator!$F$11,1),1-MOD(A39/Calculator!$F$11,1)),ABS(MOD(A39/Calculator!$F$11,1)-0.5))),1)</f>
        <v>1</v>
      </c>
      <c r="C39" s="119" t="n">
        <f aca="false">IF(Calculator!$E$12="YES",IF(A39&lt;Calculator!$G$12,0,MIN(MIN(MOD(A39/Calculator!$F$12,1),1-MOD(A39/Calculator!$F$12,1)),ABS(MOD(A39/Calculator!$F$12,1)-0.5))),1)</f>
        <v>1</v>
      </c>
      <c r="D39" s="119" t="n">
        <f aca="false">IF(Calculator!$E$13="YES",IF(A39&lt;Calculator!$G$13,0,MIN(MIN(MOD(A39/Calculator!$F$13,1),1-MOD(A39/Calculator!$F$13,1)),ABS(MOD(A39/Calculator!$F$13,1)-0.5))),1)</f>
        <v>1</v>
      </c>
      <c r="E39" s="119" t="n">
        <f aca="false">IF(Calculator!$E$14="YES",IF(A39&lt;Calculator!$G$14,0,MIN(MIN(MOD(A39/Calculator!$F$14,1),1-MOD(A39/Calculator!$F$14,1)),ABS(MOD(A39/Calculator!$F$14,1)-0.5))),1)</f>
        <v>0.0755555555555532</v>
      </c>
      <c r="F39" s="119" t="n">
        <f aca="false">IF(Calculator!$E$15="YES",IF(A39&lt;Calculator!$G$15,0,MIN(MIN(MOD(A39/Calculator!$F$15,1),1-MOD(A39/Calculator!$F$15,1)),ABS(MOD(A39/Calculator!$F$15,1)-0.5))),1)</f>
        <v>0.0230769230769277</v>
      </c>
      <c r="G39" s="119" t="n">
        <f aca="false">IF(Calculator!$E$16="YES",IF(A39&lt;Calculator!$G$16,0,MIN(MIN(MOD(A39/Calculator!$F$16,1),1-MOD(A39/Calculator!$F$16,1)),ABS(MOD(A39/Calculator!$F$16,1)-0.5))),1)</f>
        <v>0.132307692307692</v>
      </c>
      <c r="H39" s="119" t="n">
        <f aca="false">IF(Calculator!$E$17="YES",IF(A39&lt;Calculator!$G$17,0,MIN(MIN(MOD(A39/Calculator!$F$17,1),1-MOD(A39/Calculator!$F$17,1)),ABS(MOD(A39/Calculator!$F$17,1)-0.5))),1)</f>
        <v>0.225442735042734</v>
      </c>
      <c r="I39" s="119" t="n">
        <f aca="false">IF(Calculator!$E$18="YES",IF(A39&lt;Calculator!$G$18,0,MIN(MIN(MOD(A39/Calculator!$F$18,1),1-MOD(A39/Calculator!$F$18,1)),ABS(MOD(A39/Calculator!$F$18,1)-0.5))),1)</f>
        <v>0.192820512820513</v>
      </c>
      <c r="J39" s="119" t="n">
        <f aca="false">IF(Calculator!$E$19="YES",IF(A39&lt;Calculator!$G$19,0,MIN(MIN(MOD(A39/Calculator!$F$19,1),1-MOD(A39/Calculator!$F$19,1)),ABS(MOD(A39/Calculator!$F$19,1)-0.5))),1)</f>
        <v>0.248341880341881</v>
      </c>
      <c r="K39" s="119" t="n">
        <f aca="false">IF(Calculator!$E$20="YES",IF(A39&lt;Calculator!$G$20,0,MIN(MIN(MOD(A39/Calculator!$F$20,1),1-MOD(A39/Calculator!$F$20,1)),ABS(MOD(A39/Calculator!$F$20,1)-0.5))),1)</f>
        <v>0.160170940170939</v>
      </c>
      <c r="L39" s="119" t="n">
        <f aca="false">IF(Calculator!$E$21="YES",IF(A39&lt;Calculator!$G$21,0,MIN(MIN(MOD(A39/Calculator!$F$21,1),1-MOD(A39/Calculator!$F$21,1)),ABS(MOD(A39/Calculator!$F$21,1)-0.5))),1)</f>
        <v>1</v>
      </c>
      <c r="M39" s="120" t="n">
        <f aca="false">MIN(B39:L39)</f>
        <v>0.0230769230769277</v>
      </c>
      <c r="N39" s="121" t="n">
        <f aca="false">SUMPRODUCT(($M$5:$M$115&gt;M39)*1)+SUMPRODUCT(($M$5:$M$115=M39)*(ROW($M$5:$M$115)&lt;ROW(M39)))+1</f>
        <v>58</v>
      </c>
      <c r="O39" s="122" t="str">
        <f aca="false">IF(M39&gt;=0.2,"★★★ EXCELLENT",IF(M39&gt;=0.12,"★★  GOOD",IF(M39&gt;=0.07,"★  FAIR",IF(M39&gt;=0.025,"⚠  MARGINAL","✗  AVOID"))))</f>
        <v>✗  AVOID</v>
      </c>
    </row>
    <row r="40" customFormat="false" ht="15" hidden="false" customHeight="true" outlineLevel="0" collapsed="false">
      <c r="A40" s="118" t="n">
        <v>22.5</v>
      </c>
      <c r="B40" s="119" t="n">
        <f aca="false">IF(Calculator!$E$11="YES",IF(A40&lt;Calculator!$G$11,0,MIN(MIN(MOD(A40/Calculator!$F$11,1),1-MOD(A40/Calculator!$F$11,1)),ABS(MOD(A40/Calculator!$F$11,1)-0.5))),1)</f>
        <v>1</v>
      </c>
      <c r="C40" s="119" t="n">
        <f aca="false">IF(Calculator!$E$12="YES",IF(A40&lt;Calculator!$G$12,0,MIN(MIN(MOD(A40/Calculator!$F$12,1),1-MOD(A40/Calculator!$F$12,1)),ABS(MOD(A40/Calculator!$F$12,1)-0.5))),1)</f>
        <v>1</v>
      </c>
      <c r="D40" s="119" t="n">
        <f aca="false">IF(Calculator!$E$13="YES",IF(A40&lt;Calculator!$G$13,0,MIN(MIN(MOD(A40/Calculator!$F$13,1),1-MOD(A40/Calculator!$F$13,1)),ABS(MOD(A40/Calculator!$F$13,1)-0.5))),1)</f>
        <v>1</v>
      </c>
      <c r="E40" s="119" t="n">
        <f aca="false">IF(Calculator!$E$14="YES",IF(A40&lt;Calculator!$G$14,0,MIN(MIN(MOD(A40/Calculator!$F$14,1),1-MOD(A40/Calculator!$F$14,1)),ABS(MOD(A40/Calculator!$F$14,1)-0.5))),1)</f>
        <v>0.0999999999999977</v>
      </c>
      <c r="F40" s="119" t="n">
        <f aca="false">IF(Calculator!$E$15="YES",IF(A40&lt;Calculator!$G$15,0,MIN(MIN(MOD(A40/Calculator!$F$15,1),1-MOD(A40/Calculator!$F$15,1)),ABS(MOD(A40/Calculator!$F$15,1)-0.5))),1)</f>
        <v>0.0576923076923124</v>
      </c>
      <c r="G40" s="119" t="n">
        <f aca="false">IF(Calculator!$E$16="YES",IF(A40&lt;Calculator!$G$16,0,MIN(MIN(MOD(A40/Calculator!$F$16,1),1-MOD(A40/Calculator!$F$16,1)),ABS(MOD(A40/Calculator!$F$16,1)-0.5))),1)</f>
        <v>0.180769230769231</v>
      </c>
      <c r="H40" s="119" t="n">
        <f aca="false">IF(Calculator!$E$17="YES",IF(A40&lt;Calculator!$G$17,0,MIN(MIN(MOD(A40/Calculator!$F$17,1),1-MOD(A40/Calculator!$F$17,1)),ABS(MOD(A40/Calculator!$F$17,1)-0.5))),1)</f>
        <v>0.212615384615385</v>
      </c>
      <c r="I40" s="119" t="n">
        <f aca="false">IF(Calculator!$E$18="YES",IF(A40&lt;Calculator!$G$18,0,MIN(MIN(MOD(A40/Calculator!$F$18,1),1-MOD(A40/Calculator!$F$18,1)),ABS(MOD(A40/Calculator!$F$18,1)-0.5))),1)</f>
        <v>0.234615384615384</v>
      </c>
      <c r="J40" s="119" t="n">
        <f aca="false">IF(Calculator!$E$19="YES",IF(A40&lt;Calculator!$G$19,0,MIN(MIN(MOD(A40/Calculator!$F$19,1),1-MOD(A40/Calculator!$F$19,1)),ABS(MOD(A40/Calculator!$F$19,1)-0.5))),1)</f>
        <v>0.163076923076924</v>
      </c>
      <c r="K40" s="119" t="n">
        <f aca="false">IF(Calculator!$E$20="YES",IF(A40&lt;Calculator!$G$20,0,MIN(MIN(MOD(A40/Calculator!$F$20,1),1-MOD(A40/Calculator!$F$20,1)),ABS(MOD(A40/Calculator!$F$20,1)-0.5))),1)</f>
        <v>0.0615384615384613</v>
      </c>
      <c r="L40" s="119" t="n">
        <f aca="false">IF(Calculator!$E$21="YES",IF(A40&lt;Calculator!$G$21,0,MIN(MIN(MOD(A40/Calculator!$F$21,1),1-MOD(A40/Calculator!$F$21,1)),ABS(MOD(A40/Calculator!$F$21,1)-0.5))),1)</f>
        <v>1</v>
      </c>
      <c r="M40" s="120" t="n">
        <f aca="false">MIN(B40:L40)</f>
        <v>0.0576923076923124</v>
      </c>
      <c r="N40" s="121" t="n">
        <f aca="false">SUMPRODUCT(($M$5:$M$115&gt;M40)*1)+SUMPRODUCT(($M$5:$M$115=M40)*(ROW($M$5:$M$115)&lt;ROW(M40)))+1</f>
        <v>20</v>
      </c>
      <c r="O40" s="122" t="str">
        <f aca="false">IF(M40&gt;=0.2,"★★★ EXCELLENT",IF(M40&gt;=0.12,"★★  GOOD",IF(M40&gt;=0.07,"★  FAIR",IF(M40&gt;=0.025,"⚠  MARGINAL","✗  AVOID"))))</f>
        <v>⚠  MARGINAL</v>
      </c>
    </row>
    <row r="41" customFormat="false" ht="15" hidden="false" customHeight="true" outlineLevel="0" collapsed="false">
      <c r="A41" s="118" t="n">
        <v>23</v>
      </c>
      <c r="B41" s="119" t="n">
        <f aca="false">IF(Calculator!$E$11="YES",IF(A41&lt;Calculator!$G$11,0,MIN(MIN(MOD(A41/Calculator!$F$11,1),1-MOD(A41/Calculator!$F$11,1)),ABS(MOD(A41/Calculator!$F$11,1)-0.5))),1)</f>
        <v>1</v>
      </c>
      <c r="C41" s="119" t="n">
        <f aca="false">IF(Calculator!$E$12="YES",IF(A41&lt;Calculator!$G$12,0,MIN(MIN(MOD(A41/Calculator!$F$12,1),1-MOD(A41/Calculator!$F$12,1)),ABS(MOD(A41/Calculator!$F$12,1)-0.5))),1)</f>
        <v>1</v>
      </c>
      <c r="D41" s="119" t="n">
        <f aca="false">IF(Calculator!$E$13="YES",IF(A41&lt;Calculator!$G$13,0,MIN(MIN(MOD(A41/Calculator!$F$13,1),1-MOD(A41/Calculator!$F$13,1)),ABS(MOD(A41/Calculator!$F$13,1)-0.5))),1)</f>
        <v>1</v>
      </c>
      <c r="E41" s="119" t="n">
        <f aca="false">IF(Calculator!$E$14="YES",IF(A41&lt;Calculator!$G$14,0,MIN(MIN(MOD(A41/Calculator!$F$14,1),1-MOD(A41/Calculator!$F$14,1)),ABS(MOD(A41/Calculator!$F$14,1)-0.5))),1)</f>
        <v>0.124444444444442</v>
      </c>
      <c r="F41" s="119" t="n">
        <f aca="false">IF(Calculator!$E$15="YES",IF(A41&lt;Calculator!$G$15,0,MIN(MIN(MOD(A41/Calculator!$F$15,1),1-MOD(A41/Calculator!$F$15,1)),ABS(MOD(A41/Calculator!$F$15,1)-0.5))),1)</f>
        <v>0.0923076923076971</v>
      </c>
      <c r="G41" s="119" t="n">
        <f aca="false">IF(Calculator!$E$16="YES",IF(A41&lt;Calculator!$G$16,0,MIN(MIN(MOD(A41/Calculator!$F$16,1),1-MOD(A41/Calculator!$F$16,1)),ABS(MOD(A41/Calculator!$F$16,1)-0.5))),1)</f>
        <v>0.22923076923077</v>
      </c>
      <c r="H41" s="119" t="n">
        <f aca="false">IF(Calculator!$E$17="YES",IF(A41&lt;Calculator!$G$17,0,MIN(MIN(MOD(A41/Calculator!$F$17,1),1-MOD(A41/Calculator!$F$17,1)),ABS(MOD(A41/Calculator!$F$17,1)-0.5))),1)</f>
        <v>0.150673504273505</v>
      </c>
      <c r="I41" s="119" t="n">
        <f aca="false">IF(Calculator!$E$18="YES",IF(A41&lt;Calculator!$G$18,0,MIN(MIN(MOD(A41/Calculator!$F$18,1),1-MOD(A41/Calculator!$F$18,1)),ABS(MOD(A41/Calculator!$F$18,1)-0.5))),1)</f>
        <v>0.162051282051282</v>
      </c>
      <c r="J41" s="119" t="n">
        <f aca="false">IF(Calculator!$E$19="YES",IF(A41&lt;Calculator!$G$19,0,MIN(MIN(MOD(A41/Calculator!$F$19,1),1-MOD(A41/Calculator!$F$19,1)),ABS(MOD(A41/Calculator!$F$19,1)-0.5))),1)</f>
        <v>0.0778119658119665</v>
      </c>
      <c r="K41" s="119" t="n">
        <f aca="false">IF(Calculator!$E$20="YES",IF(A41&lt;Calculator!$G$20,0,MIN(MIN(MOD(A41/Calculator!$F$20,1),1-MOD(A41/Calculator!$F$20,1)),ABS(MOD(A41/Calculator!$F$20,1)-0.5))),1)</f>
        <v>0.0370940170940175</v>
      </c>
      <c r="L41" s="119" t="n">
        <f aca="false">IF(Calculator!$E$21="YES",IF(A41&lt;Calculator!$G$21,0,MIN(MIN(MOD(A41/Calculator!$F$21,1),1-MOD(A41/Calculator!$F$21,1)),ABS(MOD(A41/Calculator!$F$21,1)-0.5))),1)</f>
        <v>1</v>
      </c>
      <c r="M41" s="120" t="n">
        <f aca="false">MIN(B41:L41)</f>
        <v>0.0370940170940175</v>
      </c>
      <c r="N41" s="121" t="n">
        <f aca="false">SUMPRODUCT(($M$5:$M$115&gt;M41)*1)+SUMPRODUCT(($M$5:$M$115=M41)*(ROW($M$5:$M$115)&lt;ROW(M41)))+1</f>
        <v>38</v>
      </c>
      <c r="O41" s="122" t="str">
        <f aca="false">IF(M41&gt;=0.2,"★★★ EXCELLENT",IF(M41&gt;=0.12,"★★  GOOD",IF(M41&gt;=0.07,"★  FAIR",IF(M41&gt;=0.025,"⚠  MARGINAL","✗  AVOID"))))</f>
        <v>⚠  MARGINAL</v>
      </c>
    </row>
    <row r="42" customFormat="false" ht="15" hidden="false" customHeight="true" outlineLevel="0" collapsed="false">
      <c r="A42" s="118" t="n">
        <v>23.5</v>
      </c>
      <c r="B42" s="119" t="n">
        <f aca="false">IF(Calculator!$E$11="YES",IF(A42&lt;Calculator!$G$11,0,MIN(MIN(MOD(A42/Calculator!$F$11,1),1-MOD(A42/Calculator!$F$11,1)),ABS(MOD(A42/Calculator!$F$11,1)-0.5))),1)</f>
        <v>1</v>
      </c>
      <c r="C42" s="119" t="n">
        <f aca="false">IF(Calculator!$E$12="YES",IF(A42&lt;Calculator!$G$12,0,MIN(MIN(MOD(A42/Calculator!$F$12,1),1-MOD(A42/Calculator!$F$12,1)),ABS(MOD(A42/Calculator!$F$12,1)-0.5))),1)</f>
        <v>1</v>
      </c>
      <c r="D42" s="119" t="n">
        <f aca="false">IF(Calculator!$E$13="YES",IF(A42&lt;Calculator!$G$13,0,MIN(MIN(MOD(A42/Calculator!$F$13,1),1-MOD(A42/Calculator!$F$13,1)),ABS(MOD(A42/Calculator!$F$13,1)-0.5))),1)</f>
        <v>1</v>
      </c>
      <c r="E42" s="119" t="n">
        <f aca="false">IF(Calculator!$E$14="YES",IF(A42&lt;Calculator!$G$14,0,MIN(MIN(MOD(A42/Calculator!$F$14,1),1-MOD(A42/Calculator!$F$14,1)),ABS(MOD(A42/Calculator!$F$14,1)-0.5))),1)</f>
        <v>0.148888888888886</v>
      </c>
      <c r="F42" s="119" t="n">
        <f aca="false">IF(Calculator!$E$15="YES",IF(A42&lt;Calculator!$G$15,0,MIN(MIN(MOD(A42/Calculator!$F$15,1),1-MOD(A42/Calculator!$F$15,1)),ABS(MOD(A42/Calculator!$F$15,1)-0.5))),1)</f>
        <v>0.126923076923082</v>
      </c>
      <c r="G42" s="119" t="n">
        <f aca="false">IF(Calculator!$E$16="YES",IF(A42&lt;Calculator!$G$16,0,MIN(MIN(MOD(A42/Calculator!$F$16,1),1-MOD(A42/Calculator!$F$16,1)),ABS(MOD(A42/Calculator!$F$16,1)-0.5))),1)</f>
        <v>0.222307692307692</v>
      </c>
      <c r="H42" s="119" t="n">
        <f aca="false">IF(Calculator!$E$17="YES",IF(A42&lt;Calculator!$G$17,0,MIN(MIN(MOD(A42/Calculator!$F$17,1),1-MOD(A42/Calculator!$F$17,1)),ABS(MOD(A42/Calculator!$F$17,1)-0.5))),1)</f>
        <v>0.0887316239316247</v>
      </c>
      <c r="I42" s="119" t="n">
        <f aca="false">IF(Calculator!$E$18="YES",IF(A42&lt;Calculator!$G$18,0,MIN(MIN(MOD(A42/Calculator!$F$18,1),1-MOD(A42/Calculator!$F$18,1)),ABS(MOD(A42/Calculator!$F$18,1)-0.5))),1)</f>
        <v>0.089487179487179</v>
      </c>
      <c r="J42" s="119" t="n">
        <f aca="false">IF(Calculator!$E$19="YES",IF(A42&lt;Calculator!$G$19,0,MIN(MIN(MOD(A42/Calculator!$F$19,1),1-MOD(A42/Calculator!$F$19,1)),ABS(MOD(A42/Calculator!$F$19,1)-0.5))),1)</f>
        <v>0.00745299145299061</v>
      </c>
      <c r="K42" s="119" t="n">
        <f aca="false">IF(Calculator!$E$20="YES",IF(A42&lt;Calculator!$G$20,0,MIN(MIN(MOD(A42/Calculator!$F$20,1),1-MOD(A42/Calculator!$F$20,1)),ABS(MOD(A42/Calculator!$F$20,1)-0.5))),1)</f>
        <v>0.135726495726496</v>
      </c>
      <c r="L42" s="119" t="n">
        <f aca="false">IF(Calculator!$E$21="YES",IF(A42&lt;Calculator!$G$21,0,MIN(MIN(MOD(A42/Calculator!$F$21,1),1-MOD(A42/Calculator!$F$21,1)),ABS(MOD(A42/Calculator!$F$21,1)-0.5))),1)</f>
        <v>1</v>
      </c>
      <c r="M42" s="120" t="n">
        <f aca="false">MIN(B42:L42)</f>
        <v>0.00745299145299061</v>
      </c>
      <c r="N42" s="121" t="n">
        <f aca="false">SUMPRODUCT(($M$5:$M$115&gt;M42)*1)+SUMPRODUCT(($M$5:$M$115=M42)*(ROW($M$5:$M$115)&lt;ROW(M42)))+1</f>
        <v>86</v>
      </c>
      <c r="O42" s="122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true" outlineLevel="0" collapsed="false">
      <c r="A43" s="118" t="n">
        <v>24</v>
      </c>
      <c r="B43" s="119" t="n">
        <f aca="false">IF(Calculator!$E$11="YES",IF(A43&lt;Calculator!$G$11,0,MIN(MIN(MOD(A43/Calculator!$F$11,1),1-MOD(A43/Calculator!$F$11,1)),ABS(MOD(A43/Calculator!$F$11,1)-0.5))),1)</f>
        <v>1</v>
      </c>
      <c r="C43" s="119" t="n">
        <f aca="false">IF(Calculator!$E$12="YES",IF(A43&lt;Calculator!$G$12,0,MIN(MIN(MOD(A43/Calculator!$F$12,1),1-MOD(A43/Calculator!$F$12,1)),ABS(MOD(A43/Calculator!$F$12,1)-0.5))),1)</f>
        <v>1</v>
      </c>
      <c r="D43" s="119" t="n">
        <f aca="false">IF(Calculator!$E$13="YES",IF(A43&lt;Calculator!$G$13,0,MIN(MIN(MOD(A43/Calculator!$F$13,1),1-MOD(A43/Calculator!$F$13,1)),ABS(MOD(A43/Calculator!$F$13,1)-0.5))),1)</f>
        <v>1</v>
      </c>
      <c r="E43" s="119" t="n">
        <f aca="false">IF(Calculator!$E$14="YES",IF(A43&lt;Calculator!$G$14,0,MIN(MIN(MOD(A43/Calculator!$F$14,1),1-MOD(A43/Calculator!$F$14,1)),ABS(MOD(A43/Calculator!$F$14,1)-0.5))),1)</f>
        <v>0.173333333333331</v>
      </c>
      <c r="F43" s="119" t="n">
        <f aca="false">IF(Calculator!$E$15="YES",IF(A43&lt;Calculator!$G$15,0,MIN(MIN(MOD(A43/Calculator!$F$15,1),1-MOD(A43/Calculator!$F$15,1)),ABS(MOD(A43/Calculator!$F$15,1)-0.5))),1)</f>
        <v>0.161538461538467</v>
      </c>
      <c r="G43" s="119" t="n">
        <f aca="false">IF(Calculator!$E$16="YES",IF(A43&lt;Calculator!$G$16,0,MIN(MIN(MOD(A43/Calculator!$F$16,1),1-MOD(A43/Calculator!$F$16,1)),ABS(MOD(A43/Calculator!$F$16,1)-0.5))),1)</f>
        <v>0.173846153846154</v>
      </c>
      <c r="H43" s="119" t="n">
        <f aca="false">IF(Calculator!$E$17="YES",IF(A43&lt;Calculator!$G$17,0,MIN(MIN(MOD(A43/Calculator!$F$17,1),1-MOD(A43/Calculator!$F$17,1)),ABS(MOD(A43/Calculator!$F$17,1)-0.5))),1)</f>
        <v>0.0267897435897444</v>
      </c>
      <c r="I43" s="119" t="n">
        <f aca="false">IF(Calculator!$E$18="YES",IF(A43&lt;Calculator!$G$18,0,MIN(MIN(MOD(A43/Calculator!$F$18,1),1-MOD(A43/Calculator!$F$18,1)),ABS(MOD(A43/Calculator!$F$18,1)-0.5))),1)</f>
        <v>0.0169230769230766</v>
      </c>
      <c r="J43" s="119" t="n">
        <f aca="false">IF(Calculator!$E$19="YES",IF(A43&lt;Calculator!$G$19,0,MIN(MIN(MOD(A43/Calculator!$F$19,1),1-MOD(A43/Calculator!$F$19,1)),ABS(MOD(A43/Calculator!$F$19,1)-0.5))),1)</f>
        <v>0.0927179487179481</v>
      </c>
      <c r="K43" s="119" t="n">
        <f aca="false">IF(Calculator!$E$20="YES",IF(A43&lt;Calculator!$G$20,0,MIN(MIN(MOD(A43/Calculator!$F$20,1),1-MOD(A43/Calculator!$F$20,1)),ABS(MOD(A43/Calculator!$F$20,1)-0.5))),1)</f>
        <v>0.234358974358975</v>
      </c>
      <c r="L43" s="119" t="n">
        <f aca="false">IF(Calculator!$E$21="YES",IF(A43&lt;Calculator!$G$21,0,MIN(MIN(MOD(A43/Calculator!$F$21,1),1-MOD(A43/Calculator!$F$21,1)),ABS(MOD(A43/Calculator!$F$21,1)-0.5))),1)</f>
        <v>1</v>
      </c>
      <c r="M43" s="120" t="n">
        <f aca="false">MIN(B43:L43)</f>
        <v>0.0169230769230766</v>
      </c>
      <c r="N43" s="121" t="n">
        <f aca="false">SUMPRODUCT(($M$5:$M$115&gt;M43)*1)+SUMPRODUCT(($M$5:$M$115=M43)*(ROW($M$5:$M$115)&lt;ROW(M43)))+1</f>
        <v>68</v>
      </c>
      <c r="O43" s="122" t="str">
        <f aca="false">IF(M43&gt;=0.2,"★★★ EXCELLENT",IF(M43&gt;=0.12,"★★  GOOD",IF(M43&gt;=0.07,"★  FAIR",IF(M43&gt;=0.025,"⚠  MARGINAL","✗  AVOID"))))</f>
        <v>✗  AVOID</v>
      </c>
    </row>
    <row r="44" customFormat="false" ht="15" hidden="false" customHeight="true" outlineLevel="0" collapsed="false">
      <c r="A44" s="118" t="n">
        <v>24.5</v>
      </c>
      <c r="B44" s="119" t="n">
        <f aca="false">IF(Calculator!$E$11="YES",IF(A44&lt;Calculator!$G$11,0,MIN(MIN(MOD(A44/Calculator!$F$11,1),1-MOD(A44/Calculator!$F$11,1)),ABS(MOD(A44/Calculator!$F$11,1)-0.5))),1)</f>
        <v>1</v>
      </c>
      <c r="C44" s="119" t="n">
        <f aca="false">IF(Calculator!$E$12="YES",IF(A44&lt;Calculator!$G$12,0,MIN(MIN(MOD(A44/Calculator!$F$12,1),1-MOD(A44/Calculator!$F$12,1)),ABS(MOD(A44/Calculator!$F$12,1)-0.5))),1)</f>
        <v>1</v>
      </c>
      <c r="D44" s="119" t="n">
        <f aca="false">IF(Calculator!$E$13="YES",IF(A44&lt;Calculator!$G$13,0,MIN(MIN(MOD(A44/Calculator!$F$13,1),1-MOD(A44/Calculator!$F$13,1)),ABS(MOD(A44/Calculator!$F$13,1)-0.5))),1)</f>
        <v>1</v>
      </c>
      <c r="E44" s="119" t="n">
        <f aca="false">IF(Calculator!$E$14="YES",IF(A44&lt;Calculator!$G$14,0,MIN(MIN(MOD(A44/Calculator!$F$14,1),1-MOD(A44/Calculator!$F$14,1)),ABS(MOD(A44/Calculator!$F$14,1)-0.5))),1)</f>
        <v>0.197777777777775</v>
      </c>
      <c r="F44" s="119" t="n">
        <f aca="false">IF(Calculator!$E$15="YES",IF(A44&lt;Calculator!$G$15,0,MIN(MIN(MOD(A44/Calculator!$F$15,1),1-MOD(A44/Calculator!$F$15,1)),ABS(MOD(A44/Calculator!$F$15,1)-0.5))),1)</f>
        <v>0.196153846153851</v>
      </c>
      <c r="G44" s="119" t="n">
        <f aca="false">IF(Calculator!$E$16="YES",IF(A44&lt;Calculator!$G$16,0,MIN(MIN(MOD(A44/Calculator!$F$16,1),1-MOD(A44/Calculator!$F$16,1)),ABS(MOD(A44/Calculator!$F$16,1)-0.5))),1)</f>
        <v>0.125384615384615</v>
      </c>
      <c r="H44" s="119" t="n">
        <f aca="false">IF(Calculator!$E$17="YES",IF(A44&lt;Calculator!$G$17,0,MIN(MIN(MOD(A44/Calculator!$F$17,1),1-MOD(A44/Calculator!$F$17,1)),ABS(MOD(A44/Calculator!$F$17,1)-0.5))),1)</f>
        <v>0.0351521367521359</v>
      </c>
      <c r="I44" s="119" t="n">
        <f aca="false">IF(Calculator!$E$18="YES",IF(A44&lt;Calculator!$G$18,0,MIN(MIN(MOD(A44/Calculator!$F$18,1),1-MOD(A44/Calculator!$F$18,1)),ABS(MOD(A44/Calculator!$F$18,1)-0.5))),1)</f>
        <v>0.0556410256410262</v>
      </c>
      <c r="J44" s="119" t="n">
        <f aca="false">IF(Calculator!$E$19="YES",IF(A44&lt;Calculator!$G$19,0,MIN(MIN(MOD(A44/Calculator!$F$19,1),1-MOD(A44/Calculator!$F$19,1)),ABS(MOD(A44/Calculator!$F$19,1)-0.5))),1)</f>
        <v>0.177982905982906</v>
      </c>
      <c r="K44" s="119" t="n">
        <f aca="false">IF(Calculator!$E$20="YES",IF(A44&lt;Calculator!$G$20,0,MIN(MIN(MOD(A44/Calculator!$F$20,1),1-MOD(A44/Calculator!$F$20,1)),ABS(MOD(A44/Calculator!$F$20,1)-0.5))),1)</f>
        <v>0.167008547008546</v>
      </c>
      <c r="L44" s="119" t="n">
        <f aca="false">IF(Calculator!$E$21="YES",IF(A44&lt;Calculator!$G$21,0,MIN(MIN(MOD(A44/Calculator!$F$21,1),1-MOD(A44/Calculator!$F$21,1)),ABS(MOD(A44/Calculator!$F$21,1)-0.5))),1)</f>
        <v>1</v>
      </c>
      <c r="M44" s="120" t="n">
        <f aca="false">MIN(B44:L44)</f>
        <v>0.0351521367521359</v>
      </c>
      <c r="N44" s="121" t="n">
        <f aca="false">SUMPRODUCT(($M$5:$M$115&gt;M44)*1)+SUMPRODUCT(($M$5:$M$115=M44)*(ROW($M$5:$M$115)&lt;ROW(M44)))+1</f>
        <v>41</v>
      </c>
      <c r="O44" s="122" t="str">
        <f aca="false">IF(M44&gt;=0.2,"★★★ EXCELLENT",IF(M44&gt;=0.12,"★★  GOOD",IF(M44&gt;=0.07,"★  FAIR",IF(M44&gt;=0.025,"⚠  MARGINAL","✗  AVOID"))))</f>
        <v>⚠  MARGINAL</v>
      </c>
    </row>
    <row r="45" customFormat="false" ht="15" hidden="false" customHeight="true" outlineLevel="0" collapsed="false">
      <c r="A45" s="118" t="n">
        <v>25</v>
      </c>
      <c r="B45" s="119" t="n">
        <f aca="false">IF(Calculator!$E$11="YES",IF(A45&lt;Calculator!$G$11,0,MIN(MIN(MOD(A45/Calculator!$F$11,1),1-MOD(A45/Calculator!$F$11,1)),ABS(MOD(A45/Calculator!$F$11,1)-0.5))),1)</f>
        <v>1</v>
      </c>
      <c r="C45" s="119" t="n">
        <f aca="false">IF(Calculator!$E$12="YES",IF(A45&lt;Calculator!$G$12,0,MIN(MIN(MOD(A45/Calculator!$F$12,1),1-MOD(A45/Calculator!$F$12,1)),ABS(MOD(A45/Calculator!$F$12,1)-0.5))),1)</f>
        <v>1</v>
      </c>
      <c r="D45" s="119" t="n">
        <f aca="false">IF(Calculator!$E$13="YES",IF(A45&lt;Calculator!$G$13,0,MIN(MIN(MOD(A45/Calculator!$F$13,1),1-MOD(A45/Calculator!$F$13,1)),ABS(MOD(A45/Calculator!$F$13,1)-0.5))),1)</f>
        <v>1</v>
      </c>
      <c r="E45" s="119" t="n">
        <f aca="false">IF(Calculator!$E$14="YES",IF(A45&lt;Calculator!$G$14,0,MIN(MIN(MOD(A45/Calculator!$F$14,1),1-MOD(A45/Calculator!$F$14,1)),ABS(MOD(A45/Calculator!$F$14,1)-0.5))),1)</f>
        <v>0.222222222222219</v>
      </c>
      <c r="F45" s="119" t="n">
        <f aca="false">IF(Calculator!$E$15="YES",IF(A45&lt;Calculator!$G$15,0,MIN(MIN(MOD(A45/Calculator!$F$15,1),1-MOD(A45/Calculator!$F$15,1)),ABS(MOD(A45/Calculator!$F$15,1)-0.5))),1)</f>
        <v>0.230769230769236</v>
      </c>
      <c r="G45" s="119" t="n">
        <f aca="false">IF(Calculator!$E$16="YES",IF(A45&lt;Calculator!$G$16,0,MIN(MIN(MOD(A45/Calculator!$F$16,1),1-MOD(A45/Calculator!$F$16,1)),ABS(MOD(A45/Calculator!$F$16,1)-0.5))),1)</f>
        <v>0.0769230769230767</v>
      </c>
      <c r="H45" s="119" t="n">
        <f aca="false">IF(Calculator!$E$17="YES",IF(A45&lt;Calculator!$G$17,0,MIN(MIN(MOD(A45/Calculator!$F$17,1),1-MOD(A45/Calculator!$F$17,1)),ABS(MOD(A45/Calculator!$F$17,1)-0.5))),1)</f>
        <v>0.0970940170940162</v>
      </c>
      <c r="I45" s="119" t="n">
        <f aca="false">IF(Calculator!$E$18="YES",IF(A45&lt;Calculator!$G$18,0,MIN(MIN(MOD(A45/Calculator!$F$18,1),1-MOD(A45/Calculator!$F$18,1)),ABS(MOD(A45/Calculator!$F$18,1)-0.5))),1)</f>
        <v>0.128205128205129</v>
      </c>
      <c r="J45" s="119" t="n">
        <f aca="false">IF(Calculator!$E$19="YES",IF(A45&lt;Calculator!$G$19,0,MIN(MIN(MOD(A45/Calculator!$F$19,1),1-MOD(A45/Calculator!$F$19,1)),ABS(MOD(A45/Calculator!$F$19,1)-0.5))),1)</f>
        <v>0.236752136752138</v>
      </c>
      <c r="K45" s="119" t="n">
        <f aca="false">IF(Calculator!$E$20="YES",IF(A45&lt;Calculator!$G$20,0,MIN(MIN(MOD(A45/Calculator!$F$20,1),1-MOD(A45/Calculator!$F$20,1)),ABS(MOD(A45/Calculator!$F$20,1)-0.5))),1)</f>
        <v>0.0683760683760681</v>
      </c>
      <c r="L45" s="119" t="n">
        <f aca="false">IF(Calculator!$E$21="YES",IF(A45&lt;Calculator!$G$21,0,MIN(MIN(MOD(A45/Calculator!$F$21,1),1-MOD(A45/Calculator!$F$21,1)),ABS(MOD(A45/Calculator!$F$21,1)-0.5))),1)</f>
        <v>1</v>
      </c>
      <c r="M45" s="120" t="n">
        <f aca="false">MIN(B45:L45)</f>
        <v>0.0683760683760681</v>
      </c>
      <c r="N45" s="121" t="n">
        <f aca="false">SUMPRODUCT(($M$5:$M$115&gt;M45)*1)+SUMPRODUCT(($M$5:$M$115=M45)*(ROW($M$5:$M$115)&lt;ROW(M45)))+1</f>
        <v>12</v>
      </c>
      <c r="O45" s="122" t="str">
        <f aca="false">IF(M45&gt;=0.2,"★★★ EXCELLENT",IF(M45&gt;=0.12,"★★  GOOD",IF(M45&gt;=0.07,"★  FAIR",IF(M45&gt;=0.025,"⚠  MARGINAL","✗  AVOID"))))</f>
        <v>⚠  MARGINAL</v>
      </c>
    </row>
    <row r="46" customFormat="false" ht="15" hidden="false" customHeight="true" outlineLevel="0" collapsed="false">
      <c r="A46" s="118" t="n">
        <v>25.5</v>
      </c>
      <c r="B46" s="119" t="n">
        <f aca="false">IF(Calculator!$E$11="YES",IF(A46&lt;Calculator!$G$11,0,MIN(MIN(MOD(A46/Calculator!$F$11,1),1-MOD(A46/Calculator!$F$11,1)),ABS(MOD(A46/Calculator!$F$11,1)-0.5))),1)</f>
        <v>1</v>
      </c>
      <c r="C46" s="119" t="n">
        <f aca="false">IF(Calculator!$E$12="YES",IF(A46&lt;Calculator!$G$12,0,MIN(MIN(MOD(A46/Calculator!$F$12,1),1-MOD(A46/Calculator!$F$12,1)),ABS(MOD(A46/Calculator!$F$12,1)-0.5))),1)</f>
        <v>1</v>
      </c>
      <c r="D46" s="119" t="n">
        <f aca="false">IF(Calculator!$E$13="YES",IF(A46&lt;Calculator!$G$13,0,MIN(MIN(MOD(A46/Calculator!$F$13,1),1-MOD(A46/Calculator!$F$13,1)),ABS(MOD(A46/Calculator!$F$13,1)-0.5))),1)</f>
        <v>1</v>
      </c>
      <c r="E46" s="119" t="n">
        <f aca="false">IF(Calculator!$E$14="YES",IF(A46&lt;Calculator!$G$14,0,MIN(MIN(MOD(A46/Calculator!$F$14,1),1-MOD(A46/Calculator!$F$14,1)),ABS(MOD(A46/Calculator!$F$14,1)-0.5))),1)</f>
        <v>0.246666666666664</v>
      </c>
      <c r="F46" s="119" t="n">
        <f aca="false">IF(Calculator!$E$15="YES",IF(A46&lt;Calculator!$G$15,0,MIN(MIN(MOD(A46/Calculator!$F$15,1),1-MOD(A46/Calculator!$F$15,1)),ABS(MOD(A46/Calculator!$F$15,1)-0.5))),1)</f>
        <v>0.234615384615379</v>
      </c>
      <c r="G46" s="119" t="n">
        <f aca="false">IF(Calculator!$E$16="YES",IF(A46&lt;Calculator!$G$16,0,MIN(MIN(MOD(A46/Calculator!$F$16,1),1-MOD(A46/Calculator!$F$16,1)),ABS(MOD(A46/Calculator!$F$16,1)-0.5))),1)</f>
        <v>0.0284615384615381</v>
      </c>
      <c r="H46" s="119" t="n">
        <f aca="false">IF(Calculator!$E$17="YES",IF(A46&lt;Calculator!$G$17,0,MIN(MIN(MOD(A46/Calculator!$F$17,1),1-MOD(A46/Calculator!$F$17,1)),ABS(MOD(A46/Calculator!$F$17,1)-0.5))),1)</f>
        <v>0.159035897435897</v>
      </c>
      <c r="I46" s="119" t="n">
        <f aca="false">IF(Calculator!$E$18="YES",IF(A46&lt;Calculator!$G$18,0,MIN(MIN(MOD(A46/Calculator!$F$18,1),1-MOD(A46/Calculator!$F$18,1)),ABS(MOD(A46/Calculator!$F$18,1)-0.5))),1)</f>
        <v>0.200769230769231</v>
      </c>
      <c r="J46" s="119" t="n">
        <f aca="false">IF(Calculator!$E$19="YES",IF(A46&lt;Calculator!$G$19,0,MIN(MIN(MOD(A46/Calculator!$F$19,1),1-MOD(A46/Calculator!$F$19,1)),ABS(MOD(A46/Calculator!$F$19,1)-0.5))),1)</f>
        <v>0.15148717948718</v>
      </c>
      <c r="K46" s="119" t="n">
        <f aca="false">IF(Calculator!$E$20="YES",IF(A46&lt;Calculator!$G$20,0,MIN(MIN(MOD(A46/Calculator!$F$20,1),1-MOD(A46/Calculator!$F$20,1)),ABS(MOD(A46/Calculator!$F$20,1)-0.5))),1)</f>
        <v>0.0302564102564107</v>
      </c>
      <c r="L46" s="119" t="n">
        <f aca="false">IF(Calculator!$E$21="YES",IF(A46&lt;Calculator!$G$21,0,MIN(MIN(MOD(A46/Calculator!$F$21,1),1-MOD(A46/Calculator!$F$21,1)),ABS(MOD(A46/Calculator!$F$21,1)-0.5))),1)</f>
        <v>1</v>
      </c>
      <c r="M46" s="120" t="n">
        <f aca="false">MIN(B46:L46)</f>
        <v>0.0284615384615381</v>
      </c>
      <c r="N46" s="121" t="n">
        <f aca="false">SUMPRODUCT(($M$5:$M$115&gt;M46)*1)+SUMPRODUCT(($M$5:$M$115=M46)*(ROW($M$5:$M$115)&lt;ROW(M46)))+1</f>
        <v>50</v>
      </c>
      <c r="O46" s="122" t="str">
        <f aca="false">IF(M46&gt;=0.2,"★★★ EXCELLENT",IF(M46&gt;=0.12,"★★  GOOD",IF(M46&gt;=0.07,"★  FAIR",IF(M46&gt;=0.025,"⚠  MARGINAL","✗  AVOID"))))</f>
        <v>⚠  MARGINAL</v>
      </c>
    </row>
    <row r="47" customFormat="false" ht="15" hidden="false" customHeight="true" outlineLevel="0" collapsed="false">
      <c r="A47" s="118" t="n">
        <v>26</v>
      </c>
      <c r="B47" s="119" t="n">
        <f aca="false">IF(Calculator!$E$11="YES",IF(A47&lt;Calculator!$G$11,0,MIN(MIN(MOD(A47/Calculator!$F$11,1),1-MOD(A47/Calculator!$F$11,1)),ABS(MOD(A47/Calculator!$F$11,1)-0.5))),1)</f>
        <v>1</v>
      </c>
      <c r="C47" s="119" t="n">
        <f aca="false">IF(Calculator!$E$12="YES",IF(A47&lt;Calculator!$G$12,0,MIN(MIN(MOD(A47/Calculator!$F$12,1),1-MOD(A47/Calculator!$F$12,1)),ABS(MOD(A47/Calculator!$F$12,1)-0.5))),1)</f>
        <v>1</v>
      </c>
      <c r="D47" s="119" t="n">
        <f aca="false">IF(Calculator!$E$13="YES",IF(A47&lt;Calculator!$G$13,0,MIN(MIN(MOD(A47/Calculator!$F$13,1),1-MOD(A47/Calculator!$F$13,1)),ABS(MOD(A47/Calculator!$F$13,1)-0.5))),1)</f>
        <v>1</v>
      </c>
      <c r="E47" s="119" t="n">
        <f aca="false">IF(Calculator!$E$14="YES",IF(A47&lt;Calculator!$G$14,0,MIN(MIN(MOD(A47/Calculator!$F$14,1),1-MOD(A47/Calculator!$F$14,1)),ABS(MOD(A47/Calculator!$F$14,1)-0.5))),1)</f>
        <v>0.228888888888892</v>
      </c>
      <c r="F47" s="119" t="n">
        <f aca="false">IF(Calculator!$E$15="YES",IF(A47&lt;Calculator!$G$15,0,MIN(MIN(MOD(A47/Calculator!$F$15,1),1-MOD(A47/Calculator!$F$15,1)),ABS(MOD(A47/Calculator!$F$15,1)-0.5))),1)</f>
        <v>0.199999999999994</v>
      </c>
      <c r="G47" s="119" t="n">
        <f aca="false">IF(Calculator!$E$16="YES",IF(A47&lt;Calculator!$G$16,0,MIN(MIN(MOD(A47/Calculator!$F$16,1),1-MOD(A47/Calculator!$F$16,1)),ABS(MOD(A47/Calculator!$F$16,1)-0.5))),1)</f>
        <v>0.0200000000000005</v>
      </c>
      <c r="H47" s="119" t="n">
        <f aca="false">IF(Calculator!$E$17="YES",IF(A47&lt;Calculator!$G$17,0,MIN(MIN(MOD(A47/Calculator!$F$17,1),1-MOD(A47/Calculator!$F$17,1)),ABS(MOD(A47/Calculator!$F$17,1)-0.5))),1)</f>
        <v>0.220977777777777</v>
      </c>
      <c r="I47" s="119" t="n">
        <f aca="false">IF(Calculator!$E$18="YES",IF(A47&lt;Calculator!$G$18,0,MIN(MIN(MOD(A47/Calculator!$F$18,1),1-MOD(A47/Calculator!$F$18,1)),ABS(MOD(A47/Calculator!$F$18,1)-0.5))),1)</f>
        <v>0.226666666666666</v>
      </c>
      <c r="J47" s="119" t="n">
        <f aca="false">IF(Calculator!$E$19="YES",IF(A47&lt;Calculator!$G$19,0,MIN(MIN(MOD(A47/Calculator!$F$19,1),1-MOD(A47/Calculator!$F$19,1)),ABS(MOD(A47/Calculator!$F$19,1)-0.5))),1)</f>
        <v>0.0662222222222226</v>
      </c>
      <c r="K47" s="119" t="n">
        <f aca="false">IF(Calculator!$E$20="YES",IF(A47&lt;Calculator!$G$20,0,MIN(MIN(MOD(A47/Calculator!$F$20,1),1-MOD(A47/Calculator!$F$20,1)),ABS(MOD(A47/Calculator!$F$20,1)-0.5))),1)</f>
        <v>0.12888888888889</v>
      </c>
      <c r="L47" s="119" t="n">
        <f aca="false">IF(Calculator!$E$21="YES",IF(A47&lt;Calculator!$G$21,0,MIN(MIN(MOD(A47/Calculator!$F$21,1),1-MOD(A47/Calculator!$F$21,1)),ABS(MOD(A47/Calculator!$F$21,1)-0.5))),1)</f>
        <v>1</v>
      </c>
      <c r="M47" s="120" t="n">
        <f aca="false">MIN(B47:L47)</f>
        <v>0.0200000000000005</v>
      </c>
      <c r="N47" s="121" t="n">
        <f aca="false">SUMPRODUCT(($M$5:$M$115&gt;M47)*1)+SUMPRODUCT(($M$5:$M$115=M47)*(ROW($M$5:$M$115)&lt;ROW(M47)))+1</f>
        <v>62</v>
      </c>
      <c r="O47" s="122" t="str">
        <f aca="false">IF(M47&gt;=0.2,"★★★ EXCELLENT",IF(M47&gt;=0.12,"★★  GOOD",IF(M47&gt;=0.07,"★  FAIR",IF(M47&gt;=0.025,"⚠  MARGINAL","✗  AVOID"))))</f>
        <v>✗  AVOID</v>
      </c>
    </row>
    <row r="48" customFormat="false" ht="15" hidden="false" customHeight="true" outlineLevel="0" collapsed="false">
      <c r="A48" s="118" t="n">
        <v>26.5</v>
      </c>
      <c r="B48" s="119" t="n">
        <f aca="false">IF(Calculator!$E$11="YES",IF(A48&lt;Calculator!$G$11,0,MIN(MIN(MOD(A48/Calculator!$F$11,1),1-MOD(A48/Calculator!$F$11,1)),ABS(MOD(A48/Calculator!$F$11,1)-0.5))),1)</f>
        <v>1</v>
      </c>
      <c r="C48" s="119" t="n">
        <f aca="false">IF(Calculator!$E$12="YES",IF(A48&lt;Calculator!$G$12,0,MIN(MIN(MOD(A48/Calculator!$F$12,1),1-MOD(A48/Calculator!$F$12,1)),ABS(MOD(A48/Calculator!$F$12,1)-0.5))),1)</f>
        <v>1</v>
      </c>
      <c r="D48" s="119" t="n">
        <f aca="false">IF(Calculator!$E$13="YES",IF(A48&lt;Calculator!$G$13,0,MIN(MIN(MOD(A48/Calculator!$F$13,1),1-MOD(A48/Calculator!$F$13,1)),ABS(MOD(A48/Calculator!$F$13,1)-0.5))),1)</f>
        <v>1</v>
      </c>
      <c r="E48" s="119" t="n">
        <f aca="false">IF(Calculator!$E$14="YES",IF(A48&lt;Calculator!$G$14,0,MIN(MIN(MOD(A48/Calculator!$F$14,1),1-MOD(A48/Calculator!$F$14,1)),ABS(MOD(A48/Calculator!$F$14,1)-0.5))),1)</f>
        <v>0.204444444444447</v>
      </c>
      <c r="F48" s="119" t="n">
        <f aca="false">IF(Calculator!$E$15="YES",IF(A48&lt;Calculator!$G$15,0,MIN(MIN(MOD(A48/Calculator!$F$15,1),1-MOD(A48/Calculator!$F$15,1)),ABS(MOD(A48/Calculator!$F$15,1)-0.5))),1)</f>
        <v>0.16538461538461</v>
      </c>
      <c r="G48" s="119" t="n">
        <f aca="false">IF(Calculator!$E$16="YES",IF(A48&lt;Calculator!$G$16,0,MIN(MIN(MOD(A48/Calculator!$F$16,1),1-MOD(A48/Calculator!$F$16,1)),ABS(MOD(A48/Calculator!$F$16,1)-0.5))),1)</f>
        <v>0.0684615384615386</v>
      </c>
      <c r="H48" s="119" t="n">
        <f aca="false">IF(Calculator!$E$17="YES",IF(A48&lt;Calculator!$G$17,0,MIN(MIN(MOD(A48/Calculator!$F$17,1),1-MOD(A48/Calculator!$F$17,1)),ABS(MOD(A48/Calculator!$F$17,1)-0.5))),1)</f>
        <v>0.217080341880343</v>
      </c>
      <c r="I48" s="119" t="n">
        <f aca="false">IF(Calculator!$E$18="YES",IF(A48&lt;Calculator!$G$18,0,MIN(MIN(MOD(A48/Calculator!$F$18,1),1-MOD(A48/Calculator!$F$18,1)),ABS(MOD(A48/Calculator!$F$18,1)-0.5))),1)</f>
        <v>0.154102564102564</v>
      </c>
      <c r="J48" s="119" t="n">
        <f aca="false">IF(Calculator!$E$19="YES",IF(A48&lt;Calculator!$G$19,0,MIN(MIN(MOD(A48/Calculator!$F$19,1),1-MOD(A48/Calculator!$F$19,1)),ABS(MOD(A48/Calculator!$F$19,1)-0.5))),1)</f>
        <v>0.019042735042734</v>
      </c>
      <c r="K48" s="119" t="n">
        <f aca="false">IF(Calculator!$E$20="YES",IF(A48&lt;Calculator!$G$20,0,MIN(MIN(MOD(A48/Calculator!$F$20,1),1-MOD(A48/Calculator!$F$20,1)),ABS(MOD(A48/Calculator!$F$20,1)-0.5))),1)</f>
        <v>0.227521367521368</v>
      </c>
      <c r="L48" s="119" t="n">
        <f aca="false">IF(Calculator!$E$21="YES",IF(A48&lt;Calculator!$G$21,0,MIN(MIN(MOD(A48/Calculator!$F$21,1),1-MOD(A48/Calculator!$F$21,1)),ABS(MOD(A48/Calculator!$F$21,1)-0.5))),1)</f>
        <v>1</v>
      </c>
      <c r="M48" s="120" t="n">
        <f aca="false">MIN(B48:L48)</f>
        <v>0.019042735042734</v>
      </c>
      <c r="N48" s="121" t="n">
        <f aca="false">SUMPRODUCT(($M$5:$M$115&gt;M48)*1)+SUMPRODUCT(($M$5:$M$115=M48)*(ROW($M$5:$M$115)&lt;ROW(M48)))+1</f>
        <v>64</v>
      </c>
      <c r="O48" s="122" t="str">
        <f aca="false">IF(M48&gt;=0.2,"★★★ EXCELLENT",IF(M48&gt;=0.12,"★★  GOOD",IF(M48&gt;=0.07,"★  FAIR",IF(M48&gt;=0.025,"⚠  MARGINAL","✗  AVOID"))))</f>
        <v>✗  AVOID</v>
      </c>
    </row>
    <row r="49" customFormat="false" ht="15" hidden="false" customHeight="true" outlineLevel="0" collapsed="false">
      <c r="A49" s="118" t="n">
        <v>27</v>
      </c>
      <c r="B49" s="119" t="n">
        <f aca="false">IF(Calculator!$E$11="YES",IF(A49&lt;Calculator!$G$11,0,MIN(MIN(MOD(A49/Calculator!$F$11,1),1-MOD(A49/Calculator!$F$11,1)),ABS(MOD(A49/Calculator!$F$11,1)-0.5))),1)</f>
        <v>1</v>
      </c>
      <c r="C49" s="119" t="n">
        <f aca="false">IF(Calculator!$E$12="YES",IF(A49&lt;Calculator!$G$12,0,MIN(MIN(MOD(A49/Calculator!$F$12,1),1-MOD(A49/Calculator!$F$12,1)),ABS(MOD(A49/Calculator!$F$12,1)-0.5))),1)</f>
        <v>1</v>
      </c>
      <c r="D49" s="119" t="n">
        <f aca="false">IF(Calculator!$E$13="YES",IF(A49&lt;Calculator!$G$13,0,MIN(MIN(MOD(A49/Calculator!$F$13,1),1-MOD(A49/Calculator!$F$13,1)),ABS(MOD(A49/Calculator!$F$13,1)-0.5))),1)</f>
        <v>1</v>
      </c>
      <c r="E49" s="119" t="n">
        <f aca="false">IF(Calculator!$E$14="YES",IF(A49&lt;Calculator!$G$14,0,MIN(MIN(MOD(A49/Calculator!$F$14,1),1-MOD(A49/Calculator!$F$14,1)),ABS(MOD(A49/Calculator!$F$14,1)-0.5))),1)</f>
        <v>0.180000000000003</v>
      </c>
      <c r="F49" s="119" t="n">
        <f aca="false">IF(Calculator!$E$15="YES",IF(A49&lt;Calculator!$G$15,0,MIN(MIN(MOD(A49/Calculator!$F$15,1),1-MOD(A49/Calculator!$F$15,1)),ABS(MOD(A49/Calculator!$F$15,1)-0.5))),1)</f>
        <v>0.130769230769225</v>
      </c>
      <c r="G49" s="119" t="n">
        <f aca="false">IF(Calculator!$E$16="YES",IF(A49&lt;Calculator!$G$16,0,MIN(MIN(MOD(A49/Calculator!$F$16,1),1-MOD(A49/Calculator!$F$16,1)),ABS(MOD(A49/Calculator!$F$16,1)-0.5))),1)</f>
        <v>0.116923076923077</v>
      </c>
      <c r="H49" s="119" t="n">
        <f aca="false">IF(Calculator!$E$17="YES",IF(A49&lt;Calculator!$G$17,0,MIN(MIN(MOD(A49/Calculator!$F$17,1),1-MOD(A49/Calculator!$F$17,1)),ABS(MOD(A49/Calculator!$F$17,1)-0.5))),1)</f>
        <v>0.155138461538463</v>
      </c>
      <c r="I49" s="119" t="n">
        <f aca="false">IF(Calculator!$E$18="YES",IF(A49&lt;Calculator!$G$18,0,MIN(MIN(MOD(A49/Calculator!$F$18,1),1-MOD(A49/Calculator!$F$18,1)),ABS(MOD(A49/Calculator!$F$18,1)-0.5))),1)</f>
        <v>0.0815384615384609</v>
      </c>
      <c r="J49" s="119" t="n">
        <f aca="false">IF(Calculator!$E$19="YES",IF(A49&lt;Calculator!$G$19,0,MIN(MIN(MOD(A49/Calculator!$F$19,1),1-MOD(A49/Calculator!$F$19,1)),ABS(MOD(A49/Calculator!$F$19,1)-0.5))),1)</f>
        <v>0.104307692307692</v>
      </c>
      <c r="K49" s="119" t="n">
        <f aca="false">IF(Calculator!$E$20="YES",IF(A49&lt;Calculator!$G$20,0,MIN(MIN(MOD(A49/Calculator!$F$20,1),1-MOD(A49/Calculator!$F$20,1)),ABS(MOD(A49/Calculator!$F$20,1)-0.5))),1)</f>
        <v>0.173846153846153</v>
      </c>
      <c r="L49" s="119" t="n">
        <f aca="false">IF(Calculator!$E$21="YES",IF(A49&lt;Calculator!$G$21,0,MIN(MIN(MOD(A49/Calculator!$F$21,1),1-MOD(A49/Calculator!$F$21,1)),ABS(MOD(A49/Calculator!$F$21,1)-0.5))),1)</f>
        <v>1</v>
      </c>
      <c r="M49" s="120" t="n">
        <f aca="false">MIN(B49:L49)</f>
        <v>0.0815384615384609</v>
      </c>
      <c r="N49" s="121" t="n">
        <f aca="false">SUMPRODUCT(($M$5:$M$115&gt;M49)*1)+SUMPRODUCT(($M$5:$M$115=M49)*(ROW($M$5:$M$115)&lt;ROW(M49)))+1</f>
        <v>8</v>
      </c>
      <c r="O49" s="122" t="str">
        <f aca="false">IF(M49&gt;=0.2,"★★★ EXCELLENT",IF(M49&gt;=0.12,"★★  GOOD",IF(M49&gt;=0.07,"★  FAIR",IF(M49&gt;=0.025,"⚠  MARGINAL","✗  AVOID"))))</f>
        <v>★  FAIR</v>
      </c>
    </row>
    <row r="50" customFormat="false" ht="15" hidden="false" customHeight="true" outlineLevel="0" collapsed="false">
      <c r="A50" s="118" t="n">
        <v>27.5</v>
      </c>
      <c r="B50" s="119" t="n">
        <f aca="false">IF(Calculator!$E$11="YES",IF(A50&lt;Calculator!$G$11,0,MIN(MIN(MOD(A50/Calculator!$F$11,1),1-MOD(A50/Calculator!$F$11,1)),ABS(MOD(A50/Calculator!$F$11,1)-0.5))),1)</f>
        <v>1</v>
      </c>
      <c r="C50" s="119" t="n">
        <f aca="false">IF(Calculator!$E$12="YES",IF(A50&lt;Calculator!$G$12,0,MIN(MIN(MOD(A50/Calculator!$F$12,1),1-MOD(A50/Calculator!$F$12,1)),ABS(MOD(A50/Calculator!$F$12,1)-0.5))),1)</f>
        <v>1</v>
      </c>
      <c r="D50" s="119" t="n">
        <f aca="false">IF(Calculator!$E$13="YES",IF(A50&lt;Calculator!$G$13,0,MIN(MIN(MOD(A50/Calculator!$F$13,1),1-MOD(A50/Calculator!$F$13,1)),ABS(MOD(A50/Calculator!$F$13,1)-0.5))),1)</f>
        <v>1</v>
      </c>
      <c r="E50" s="119" t="n">
        <f aca="false">IF(Calculator!$E$14="YES",IF(A50&lt;Calculator!$G$14,0,MIN(MIN(MOD(A50/Calculator!$F$14,1),1-MOD(A50/Calculator!$F$14,1)),ABS(MOD(A50/Calculator!$F$14,1)-0.5))),1)</f>
        <v>0.155555555555559</v>
      </c>
      <c r="F50" s="119" t="n">
        <f aca="false">IF(Calculator!$E$15="YES",IF(A50&lt;Calculator!$G$15,0,MIN(MIN(MOD(A50/Calculator!$F$15,1),1-MOD(A50/Calculator!$F$15,1)),ABS(MOD(A50/Calculator!$F$15,1)-0.5))),1)</f>
        <v>0.0961538461538403</v>
      </c>
      <c r="G50" s="119" t="n">
        <f aca="false">IF(Calculator!$E$16="YES",IF(A50&lt;Calculator!$G$16,0,MIN(MIN(MOD(A50/Calculator!$F$16,1),1-MOD(A50/Calculator!$F$16,1)),ABS(MOD(A50/Calculator!$F$16,1)-0.5))),1)</f>
        <v>0.165384615384616</v>
      </c>
      <c r="H50" s="119" t="n">
        <f aca="false">IF(Calculator!$E$17="YES",IF(A50&lt;Calculator!$G$17,0,MIN(MIN(MOD(A50/Calculator!$F$17,1),1-MOD(A50/Calculator!$F$17,1)),ABS(MOD(A50/Calculator!$F$17,1)-0.5))),1)</f>
        <v>0.0931965811965823</v>
      </c>
      <c r="I50" s="119" t="n">
        <f aca="false">IF(Calculator!$E$18="YES",IF(A50&lt;Calculator!$G$18,0,MIN(MIN(MOD(A50/Calculator!$F$18,1),1-MOD(A50/Calculator!$F$18,1)),ABS(MOD(A50/Calculator!$F$18,1)-0.5))),1)</f>
        <v>0.0089743589743585</v>
      </c>
      <c r="J50" s="119" t="n">
        <f aca="false">IF(Calculator!$E$19="YES",IF(A50&lt;Calculator!$G$19,0,MIN(MIN(MOD(A50/Calculator!$F$19,1),1-MOD(A50/Calculator!$F$19,1)),ABS(MOD(A50/Calculator!$F$19,1)-0.5))),1)</f>
        <v>0.189572649572649</v>
      </c>
      <c r="K50" s="119" t="n">
        <f aca="false">IF(Calculator!$E$20="YES",IF(A50&lt;Calculator!$G$20,0,MIN(MIN(MOD(A50/Calculator!$F$20,1),1-MOD(A50/Calculator!$F$20,1)),ABS(MOD(A50/Calculator!$F$20,1)-0.5))),1)</f>
        <v>0.075213675213675</v>
      </c>
      <c r="L50" s="119" t="n">
        <f aca="false">IF(Calculator!$E$21="YES",IF(A50&lt;Calculator!$G$21,0,MIN(MIN(MOD(A50/Calculator!$F$21,1),1-MOD(A50/Calculator!$F$21,1)),ABS(MOD(A50/Calculator!$F$21,1)-0.5))),1)</f>
        <v>1</v>
      </c>
      <c r="M50" s="120" t="n">
        <f aca="false">MIN(B50:L50)</f>
        <v>0.0089743589743585</v>
      </c>
      <c r="N50" s="121" t="n">
        <f aca="false">SUMPRODUCT(($M$5:$M$115&gt;M50)*1)+SUMPRODUCT(($M$5:$M$115=M50)*(ROW($M$5:$M$115)&lt;ROW(M50)))+1</f>
        <v>80</v>
      </c>
      <c r="O50" s="122" t="str">
        <f aca="false">IF(M50&gt;=0.2,"★★★ EXCELLENT",IF(M50&gt;=0.12,"★★  GOOD",IF(M50&gt;=0.07,"★  FAIR",IF(M50&gt;=0.025,"⚠  MARGINAL","✗  AVOID"))))</f>
        <v>✗  AVOID</v>
      </c>
    </row>
    <row r="51" customFormat="false" ht="15" hidden="false" customHeight="true" outlineLevel="0" collapsed="false">
      <c r="A51" s="118" t="n">
        <v>28</v>
      </c>
      <c r="B51" s="119" t="n">
        <f aca="false">IF(Calculator!$E$11="YES",IF(A51&lt;Calculator!$G$11,0,MIN(MIN(MOD(A51/Calculator!$F$11,1),1-MOD(A51/Calculator!$F$11,1)),ABS(MOD(A51/Calculator!$F$11,1)-0.5))),1)</f>
        <v>1</v>
      </c>
      <c r="C51" s="119" t="n">
        <f aca="false">IF(Calculator!$E$12="YES",IF(A51&lt;Calculator!$G$12,0,MIN(MIN(MOD(A51/Calculator!$F$12,1),1-MOD(A51/Calculator!$F$12,1)),ABS(MOD(A51/Calculator!$F$12,1)-0.5))),1)</f>
        <v>1</v>
      </c>
      <c r="D51" s="119" t="n">
        <f aca="false">IF(Calculator!$E$13="YES",IF(A51&lt;Calculator!$G$13,0,MIN(MIN(MOD(A51/Calculator!$F$13,1),1-MOD(A51/Calculator!$F$13,1)),ABS(MOD(A51/Calculator!$F$13,1)-0.5))),1)</f>
        <v>1</v>
      </c>
      <c r="E51" s="119" t="n">
        <f aca="false">IF(Calculator!$E$14="YES",IF(A51&lt;Calculator!$G$14,0,MIN(MIN(MOD(A51/Calculator!$F$14,1),1-MOD(A51/Calculator!$F$14,1)),ABS(MOD(A51/Calculator!$F$14,1)-0.5))),1)</f>
        <v>0.131111111111114</v>
      </c>
      <c r="F51" s="119" t="n">
        <f aca="false">IF(Calculator!$E$15="YES",IF(A51&lt;Calculator!$G$15,0,MIN(MIN(MOD(A51/Calculator!$F$15,1),1-MOD(A51/Calculator!$F$15,1)),ABS(MOD(A51/Calculator!$F$15,1)-0.5))),1)</f>
        <v>0.0615384615384556</v>
      </c>
      <c r="G51" s="119" t="n">
        <f aca="false">IF(Calculator!$E$16="YES",IF(A51&lt;Calculator!$G$16,0,MIN(MIN(MOD(A51/Calculator!$F$16,1),1-MOD(A51/Calculator!$F$16,1)),ABS(MOD(A51/Calculator!$F$16,1)-0.5))),1)</f>
        <v>0.213846153846154</v>
      </c>
      <c r="H51" s="119" t="n">
        <f aca="false">IF(Calculator!$E$17="YES",IF(A51&lt;Calculator!$G$17,0,MIN(MIN(MOD(A51/Calculator!$F$17,1),1-MOD(A51/Calculator!$F$17,1)),ABS(MOD(A51/Calculator!$F$17,1)-0.5))),1)</f>
        <v>0.0312547008547019</v>
      </c>
      <c r="I51" s="119" t="n">
        <f aca="false">IF(Calculator!$E$18="YES",IF(A51&lt;Calculator!$G$18,0,MIN(MIN(MOD(A51/Calculator!$F$18,1),1-MOD(A51/Calculator!$F$18,1)),ABS(MOD(A51/Calculator!$F$18,1)-0.5))),1)</f>
        <v>0.0635897435897439</v>
      </c>
      <c r="J51" s="119" t="n">
        <f aca="false">IF(Calculator!$E$19="YES",IF(A51&lt;Calculator!$G$19,0,MIN(MIN(MOD(A51/Calculator!$F$19,1),1-MOD(A51/Calculator!$F$19,1)),ABS(MOD(A51/Calculator!$F$19,1)-0.5))),1)</f>
        <v>0.225162393162393</v>
      </c>
      <c r="K51" s="119" t="n">
        <f aca="false">IF(Calculator!$E$20="YES",IF(A51&lt;Calculator!$G$20,0,MIN(MIN(MOD(A51/Calculator!$F$20,1),1-MOD(A51/Calculator!$F$20,1)),ABS(MOD(A51/Calculator!$F$20,1)-0.5))),1)</f>
        <v>0.0234188034188039</v>
      </c>
      <c r="L51" s="119" t="n">
        <f aca="false">IF(Calculator!$E$21="YES",IF(A51&lt;Calculator!$G$21,0,MIN(MIN(MOD(A51/Calculator!$F$21,1),1-MOD(A51/Calculator!$F$21,1)),ABS(MOD(A51/Calculator!$F$21,1)-0.5))),1)</f>
        <v>1</v>
      </c>
      <c r="M51" s="120" t="n">
        <f aca="false">MIN(B51:L51)</f>
        <v>0.0234188034188039</v>
      </c>
      <c r="N51" s="121" t="n">
        <f aca="false">SUMPRODUCT(($M$5:$M$115&gt;M51)*1)+SUMPRODUCT(($M$5:$M$115=M51)*(ROW($M$5:$M$115)&lt;ROW(M51)))+1</f>
        <v>57</v>
      </c>
      <c r="O51" s="122" t="str">
        <f aca="false">IF(M51&gt;=0.2,"★★★ EXCELLENT",IF(M51&gt;=0.12,"★★  GOOD",IF(M51&gt;=0.07,"★  FAIR",IF(M51&gt;=0.025,"⚠  MARGINAL","✗  AVOID"))))</f>
        <v>✗  AVOID</v>
      </c>
    </row>
    <row r="52" customFormat="false" ht="15" hidden="false" customHeight="true" outlineLevel="0" collapsed="false">
      <c r="A52" s="118" t="n">
        <v>28.5</v>
      </c>
      <c r="B52" s="119" t="n">
        <f aca="false">IF(Calculator!$E$11="YES",IF(A52&lt;Calculator!$G$11,0,MIN(MIN(MOD(A52/Calculator!$F$11,1),1-MOD(A52/Calculator!$F$11,1)),ABS(MOD(A52/Calculator!$F$11,1)-0.5))),1)</f>
        <v>1</v>
      </c>
      <c r="C52" s="119" t="n">
        <f aca="false">IF(Calculator!$E$12="YES",IF(A52&lt;Calculator!$G$12,0,MIN(MIN(MOD(A52/Calculator!$F$12,1),1-MOD(A52/Calculator!$F$12,1)),ABS(MOD(A52/Calculator!$F$12,1)-0.5))),1)</f>
        <v>1</v>
      </c>
      <c r="D52" s="119" t="n">
        <f aca="false">IF(Calculator!$E$13="YES",IF(A52&lt;Calculator!$G$13,0,MIN(MIN(MOD(A52/Calculator!$F$13,1),1-MOD(A52/Calculator!$F$13,1)),ABS(MOD(A52/Calculator!$F$13,1)-0.5))),1)</f>
        <v>1</v>
      </c>
      <c r="E52" s="119" t="n">
        <f aca="false">IF(Calculator!$E$14="YES",IF(A52&lt;Calculator!$G$14,0,MIN(MIN(MOD(A52/Calculator!$F$14,1),1-MOD(A52/Calculator!$F$14,1)),ABS(MOD(A52/Calculator!$F$14,1)-0.5))),1)</f>
        <v>0.10666666666667</v>
      </c>
      <c r="F52" s="119" t="n">
        <f aca="false">IF(Calculator!$E$15="YES",IF(A52&lt;Calculator!$G$15,0,MIN(MIN(MOD(A52/Calculator!$F$15,1),1-MOD(A52/Calculator!$F$15,1)),ABS(MOD(A52/Calculator!$F$15,1)-0.5))),1)</f>
        <v>0.0269230769230708</v>
      </c>
      <c r="G52" s="119" t="n">
        <f aca="false">IF(Calculator!$E$16="YES",IF(A52&lt;Calculator!$G$16,0,MIN(MIN(MOD(A52/Calculator!$F$16,1),1-MOD(A52/Calculator!$F$16,1)),ABS(MOD(A52/Calculator!$F$16,1)-0.5))),1)</f>
        <v>0.237692307692307</v>
      </c>
      <c r="H52" s="119" t="n">
        <f aca="false">IF(Calculator!$E$17="YES",IF(A52&lt;Calculator!$G$17,0,MIN(MIN(MOD(A52/Calculator!$F$17,1),1-MOD(A52/Calculator!$F$17,1)),ABS(MOD(A52/Calculator!$F$17,1)-0.5))),1)</f>
        <v>0.0306871794871784</v>
      </c>
      <c r="I52" s="119" t="n">
        <f aca="false">IF(Calculator!$E$18="YES",IF(A52&lt;Calculator!$G$18,0,MIN(MIN(MOD(A52/Calculator!$F$18,1),1-MOD(A52/Calculator!$F$18,1)),ABS(MOD(A52/Calculator!$F$18,1)-0.5))),1)</f>
        <v>0.136153846153847</v>
      </c>
      <c r="J52" s="119" t="n">
        <f aca="false">IF(Calculator!$E$19="YES",IF(A52&lt;Calculator!$G$19,0,MIN(MIN(MOD(A52/Calculator!$F$19,1),1-MOD(A52/Calculator!$F$19,1)),ABS(MOD(A52/Calculator!$F$19,1)-0.5))),1)</f>
        <v>0.139897435897437</v>
      </c>
      <c r="K52" s="119" t="n">
        <f aca="false">IF(Calculator!$E$20="YES",IF(A52&lt;Calculator!$G$20,0,MIN(MIN(MOD(A52/Calculator!$F$20,1),1-MOD(A52/Calculator!$F$20,1)),ABS(MOD(A52/Calculator!$F$20,1)-0.5))),1)</f>
        <v>0.122051282051283</v>
      </c>
      <c r="L52" s="119" t="n">
        <f aca="false">IF(Calculator!$E$21="YES",IF(A52&lt;Calculator!$G$21,0,MIN(MIN(MOD(A52/Calculator!$F$21,1),1-MOD(A52/Calculator!$F$21,1)),ABS(MOD(A52/Calculator!$F$21,1)-0.5))),1)</f>
        <v>1</v>
      </c>
      <c r="M52" s="120" t="n">
        <f aca="false">MIN(B52:L52)</f>
        <v>0.0269230769230708</v>
      </c>
      <c r="N52" s="121" t="n">
        <f aca="false">SUMPRODUCT(($M$5:$M$115&gt;M52)*1)+SUMPRODUCT(($M$5:$M$115=M52)*(ROW($M$5:$M$115)&lt;ROW(M52)))+1</f>
        <v>51</v>
      </c>
      <c r="O52" s="122" t="str">
        <f aca="false">IF(M52&gt;=0.2,"★★★ EXCELLENT",IF(M52&gt;=0.12,"★★  GOOD",IF(M52&gt;=0.07,"★  FAIR",IF(M52&gt;=0.025,"⚠  MARGINAL","✗  AVOID"))))</f>
        <v>⚠  MARGINAL</v>
      </c>
    </row>
    <row r="53" customFormat="false" ht="15" hidden="false" customHeight="true" outlineLevel="0" collapsed="false">
      <c r="A53" s="118" t="n">
        <v>29</v>
      </c>
      <c r="B53" s="119" t="n">
        <f aca="false">IF(Calculator!$E$11="YES",IF(A53&lt;Calculator!$G$11,0,MIN(MIN(MOD(A53/Calculator!$F$11,1),1-MOD(A53/Calculator!$F$11,1)),ABS(MOD(A53/Calculator!$F$11,1)-0.5))),1)</f>
        <v>1</v>
      </c>
      <c r="C53" s="119" t="n">
        <f aca="false">IF(Calculator!$E$12="YES",IF(A53&lt;Calculator!$G$12,0,MIN(MIN(MOD(A53/Calculator!$F$12,1),1-MOD(A53/Calculator!$F$12,1)),ABS(MOD(A53/Calculator!$F$12,1)-0.5))),1)</f>
        <v>1</v>
      </c>
      <c r="D53" s="119" t="n">
        <f aca="false">IF(Calculator!$E$13="YES",IF(A53&lt;Calculator!$G$13,0,MIN(MIN(MOD(A53/Calculator!$F$13,1),1-MOD(A53/Calculator!$F$13,1)),ABS(MOD(A53/Calculator!$F$13,1)-0.5))),1)</f>
        <v>1</v>
      </c>
      <c r="E53" s="119" t="n">
        <f aca="false">IF(Calculator!$E$14="YES",IF(A53&lt;Calculator!$G$14,0,MIN(MIN(MOD(A53/Calculator!$F$14,1),1-MOD(A53/Calculator!$F$14,1)),ABS(MOD(A53/Calculator!$F$14,1)-0.5))),1)</f>
        <v>0.0822222222222253</v>
      </c>
      <c r="F53" s="119" t="n">
        <f aca="false">IF(Calculator!$E$15="YES",IF(A53&lt;Calculator!$G$15,0,MIN(MIN(MOD(A53/Calculator!$F$15,1),1-MOD(A53/Calculator!$F$15,1)),ABS(MOD(A53/Calculator!$F$15,1)-0.5))),1)</f>
        <v>0.00769230769231388</v>
      </c>
      <c r="G53" s="119" t="n">
        <f aca="false">IF(Calculator!$E$16="YES",IF(A53&lt;Calculator!$G$16,0,MIN(MIN(MOD(A53/Calculator!$F$16,1),1-MOD(A53/Calculator!$F$16,1)),ABS(MOD(A53/Calculator!$F$16,1)-0.5))),1)</f>
        <v>0.189230769230769</v>
      </c>
      <c r="H53" s="119" t="n">
        <f aca="false">IF(Calculator!$E$17="YES",IF(A53&lt;Calculator!$G$17,0,MIN(MIN(MOD(A53/Calculator!$F$17,1),1-MOD(A53/Calculator!$F$17,1)),ABS(MOD(A53/Calculator!$F$17,1)-0.5))),1)</f>
        <v>0.0926290598290591</v>
      </c>
      <c r="I53" s="119" t="n">
        <f aca="false">IF(Calculator!$E$18="YES",IF(A53&lt;Calculator!$G$18,0,MIN(MIN(MOD(A53/Calculator!$F$18,1),1-MOD(A53/Calculator!$F$18,1)),ABS(MOD(A53/Calculator!$F$18,1)-0.5))),1)</f>
        <v>0.20871794871795</v>
      </c>
      <c r="J53" s="119" t="n">
        <f aca="false">IF(Calculator!$E$19="YES",IF(A53&lt;Calculator!$G$19,0,MIN(MIN(MOD(A53/Calculator!$F$19,1),1-MOD(A53/Calculator!$F$19,1)),ABS(MOD(A53/Calculator!$F$19,1)-0.5))),1)</f>
        <v>0.0546324786324792</v>
      </c>
      <c r="K53" s="119" t="n">
        <f aca="false">IF(Calculator!$E$20="YES",IF(A53&lt;Calculator!$G$20,0,MIN(MIN(MOD(A53/Calculator!$F$20,1),1-MOD(A53/Calculator!$F$20,1)),ABS(MOD(A53/Calculator!$F$20,1)-0.5))),1)</f>
        <v>0.220683760683762</v>
      </c>
      <c r="L53" s="119" t="n">
        <f aca="false">IF(Calculator!$E$21="YES",IF(A53&lt;Calculator!$G$21,0,MIN(MIN(MOD(A53/Calculator!$F$21,1),1-MOD(A53/Calculator!$F$21,1)),ABS(MOD(A53/Calculator!$F$21,1)-0.5))),1)</f>
        <v>1</v>
      </c>
      <c r="M53" s="120" t="n">
        <f aca="false">MIN(B53:L53)</f>
        <v>0.00769230769231388</v>
      </c>
      <c r="N53" s="121" t="n">
        <f aca="false">SUMPRODUCT(($M$5:$M$115&gt;M53)*1)+SUMPRODUCT(($M$5:$M$115=M53)*(ROW($M$5:$M$115)&lt;ROW(M53)))+1</f>
        <v>84</v>
      </c>
      <c r="O53" s="122" t="str">
        <f aca="false">IF(M53&gt;=0.2,"★★★ EXCELLENT",IF(M53&gt;=0.12,"★★  GOOD",IF(M53&gt;=0.07,"★  FAIR",IF(M53&gt;=0.025,"⚠  MARGINAL","✗  AVOID"))))</f>
        <v>✗  AVOID</v>
      </c>
    </row>
    <row r="54" customFormat="false" ht="15" hidden="false" customHeight="true" outlineLevel="0" collapsed="false">
      <c r="A54" s="118" t="n">
        <v>29.5</v>
      </c>
      <c r="B54" s="119" t="n">
        <f aca="false">IF(Calculator!$E$11="YES",IF(A54&lt;Calculator!$G$11,0,MIN(MIN(MOD(A54/Calculator!$F$11,1),1-MOD(A54/Calculator!$F$11,1)),ABS(MOD(A54/Calculator!$F$11,1)-0.5))),1)</f>
        <v>1</v>
      </c>
      <c r="C54" s="119" t="n">
        <f aca="false">IF(Calculator!$E$12="YES",IF(A54&lt;Calculator!$G$12,0,MIN(MIN(MOD(A54/Calculator!$F$12,1),1-MOD(A54/Calculator!$F$12,1)),ABS(MOD(A54/Calculator!$F$12,1)-0.5))),1)</f>
        <v>1</v>
      </c>
      <c r="D54" s="119" t="n">
        <f aca="false">IF(Calculator!$E$13="YES",IF(A54&lt;Calculator!$G$13,0,MIN(MIN(MOD(A54/Calculator!$F$13,1),1-MOD(A54/Calculator!$F$13,1)),ABS(MOD(A54/Calculator!$F$13,1)-0.5))),1)</f>
        <v>1</v>
      </c>
      <c r="E54" s="119" t="n">
        <f aca="false">IF(Calculator!$E$14="YES",IF(A54&lt;Calculator!$G$14,0,MIN(MIN(MOD(A54/Calculator!$F$14,1),1-MOD(A54/Calculator!$F$14,1)),ABS(MOD(A54/Calculator!$F$14,1)-0.5))),1)</f>
        <v>0.057777777777781</v>
      </c>
      <c r="F54" s="119" t="n">
        <f aca="false">IF(Calculator!$E$15="YES",IF(A54&lt;Calculator!$G$15,0,MIN(MIN(MOD(A54/Calculator!$F$15,1),1-MOD(A54/Calculator!$F$15,1)),ABS(MOD(A54/Calculator!$F$15,1)-0.5))),1)</f>
        <v>0.0423076923076984</v>
      </c>
      <c r="G54" s="119" t="n">
        <f aca="false">IF(Calculator!$E$16="YES",IF(A54&lt;Calculator!$G$16,0,MIN(MIN(MOD(A54/Calculator!$F$16,1),1-MOD(A54/Calculator!$F$16,1)),ABS(MOD(A54/Calculator!$F$16,1)-0.5))),1)</f>
        <v>0.140769230769231</v>
      </c>
      <c r="H54" s="119" t="n">
        <f aca="false">IF(Calculator!$E$17="YES",IF(A54&lt;Calculator!$G$17,0,MIN(MIN(MOD(A54/Calculator!$F$17,1),1-MOD(A54/Calculator!$F$17,1)),ABS(MOD(A54/Calculator!$F$17,1)-0.5))),1)</f>
        <v>0.154570940170939</v>
      </c>
      <c r="I54" s="119" t="n">
        <f aca="false">IF(Calculator!$E$18="YES",IF(A54&lt;Calculator!$G$18,0,MIN(MIN(MOD(A54/Calculator!$F$18,1),1-MOD(A54/Calculator!$F$18,1)),ABS(MOD(A54/Calculator!$F$18,1)-0.5))),1)</f>
        <v>0.218717948717948</v>
      </c>
      <c r="J54" s="119" t="n">
        <f aca="false">IF(Calculator!$E$19="YES",IF(A54&lt;Calculator!$G$19,0,MIN(MIN(MOD(A54/Calculator!$F$19,1),1-MOD(A54/Calculator!$F$19,1)),ABS(MOD(A54/Calculator!$F$19,1)-0.5))),1)</f>
        <v>0.0306324786324783</v>
      </c>
      <c r="K54" s="119" t="n">
        <f aca="false">IF(Calculator!$E$20="YES",IF(A54&lt;Calculator!$G$20,0,MIN(MIN(MOD(A54/Calculator!$F$20,1),1-MOD(A54/Calculator!$F$20,1)),ABS(MOD(A54/Calculator!$F$20,1)-0.5))),1)</f>
        <v>0.18068376068376</v>
      </c>
      <c r="L54" s="119" t="n">
        <f aca="false">IF(Calculator!$E$21="YES",IF(A54&lt;Calculator!$G$21,0,MIN(MIN(MOD(A54/Calculator!$F$21,1),1-MOD(A54/Calculator!$F$21,1)),ABS(MOD(A54/Calculator!$F$21,1)-0.5))),1)</f>
        <v>1</v>
      </c>
      <c r="M54" s="120" t="n">
        <f aca="false">MIN(B54:L54)</f>
        <v>0.0306324786324783</v>
      </c>
      <c r="N54" s="121" t="n">
        <f aca="false">SUMPRODUCT(($M$5:$M$115&gt;M54)*1)+SUMPRODUCT(($M$5:$M$115=M54)*(ROW($M$5:$M$115)&lt;ROW(M54)))+1</f>
        <v>49</v>
      </c>
      <c r="O54" s="122" t="str">
        <f aca="false">IF(M54&gt;=0.2,"★★★ EXCELLENT",IF(M54&gt;=0.12,"★★  GOOD",IF(M54&gt;=0.07,"★  FAIR",IF(M54&gt;=0.025,"⚠  MARGINAL","✗  AVOID"))))</f>
        <v>⚠  MARGINAL</v>
      </c>
    </row>
    <row r="55" customFormat="false" ht="15" hidden="false" customHeight="true" outlineLevel="0" collapsed="false">
      <c r="A55" s="118" t="n">
        <v>30</v>
      </c>
      <c r="B55" s="119" t="n">
        <f aca="false">IF(Calculator!$E$11="YES",IF(A55&lt;Calculator!$G$11,0,MIN(MIN(MOD(A55/Calculator!$F$11,1),1-MOD(A55/Calculator!$F$11,1)),ABS(MOD(A55/Calculator!$F$11,1)-0.5))),1)</f>
        <v>1</v>
      </c>
      <c r="C55" s="119" t="n">
        <f aca="false">IF(Calculator!$E$12="YES",IF(A55&lt;Calculator!$G$12,0,MIN(MIN(MOD(A55/Calculator!$F$12,1),1-MOD(A55/Calculator!$F$12,1)),ABS(MOD(A55/Calculator!$F$12,1)-0.5))),1)</f>
        <v>1</v>
      </c>
      <c r="D55" s="119" t="n">
        <f aca="false">IF(Calculator!$E$13="YES",IF(A55&lt;Calculator!$G$13,0,MIN(MIN(MOD(A55/Calculator!$F$13,1),1-MOD(A55/Calculator!$F$13,1)),ABS(MOD(A55/Calculator!$F$13,1)-0.5))),1)</f>
        <v>1</v>
      </c>
      <c r="E55" s="119" t="n">
        <f aca="false">IF(Calculator!$E$14="YES",IF(A55&lt;Calculator!$G$14,0,MIN(MIN(MOD(A55/Calculator!$F$14,1),1-MOD(A55/Calculator!$F$14,1)),ABS(MOD(A55/Calculator!$F$14,1)-0.5))),1)</f>
        <v>0.0333333333333365</v>
      </c>
      <c r="F55" s="119" t="n">
        <f aca="false">IF(Calculator!$E$15="YES",IF(A55&lt;Calculator!$G$15,0,MIN(MIN(MOD(A55/Calculator!$F$15,1),1-MOD(A55/Calculator!$F$15,1)),ABS(MOD(A55/Calculator!$F$15,1)-0.5))),1)</f>
        <v>0.0769230769230833</v>
      </c>
      <c r="G55" s="119" t="n">
        <f aca="false">IF(Calculator!$E$16="YES",IF(A55&lt;Calculator!$G$16,0,MIN(MIN(MOD(A55/Calculator!$F$16,1),1-MOD(A55/Calculator!$F$16,1)),ABS(MOD(A55/Calculator!$F$16,1)-0.5))),1)</f>
        <v>0.092307692307692</v>
      </c>
      <c r="H55" s="119" t="n">
        <f aca="false">IF(Calculator!$E$17="YES",IF(A55&lt;Calculator!$G$17,0,MIN(MIN(MOD(A55/Calculator!$F$17,1),1-MOD(A55/Calculator!$F$17,1)),ABS(MOD(A55/Calculator!$F$17,1)-0.5))),1)</f>
        <v>0.21651282051282</v>
      </c>
      <c r="I55" s="119" t="n">
        <f aca="false">IF(Calculator!$E$18="YES",IF(A55&lt;Calculator!$G$18,0,MIN(MIN(MOD(A55/Calculator!$F$18,1),1-MOD(A55/Calculator!$F$18,1)),ABS(MOD(A55/Calculator!$F$18,1)-0.5))),1)</f>
        <v>0.146153846153846</v>
      </c>
      <c r="J55" s="119" t="n">
        <f aca="false">IF(Calculator!$E$19="YES",IF(A55&lt;Calculator!$G$19,0,MIN(MIN(MOD(A55/Calculator!$F$19,1),1-MOD(A55/Calculator!$F$19,1)),ABS(MOD(A55/Calculator!$F$19,1)-0.5))),1)</f>
        <v>0.115897435897435</v>
      </c>
      <c r="K55" s="119" t="n">
        <f aca="false">IF(Calculator!$E$20="YES",IF(A55&lt;Calculator!$G$20,0,MIN(MIN(MOD(A55/Calculator!$F$20,1),1-MOD(A55/Calculator!$F$20,1)),ABS(MOD(A55/Calculator!$F$20,1)-0.5))),1)</f>
        <v>0.0820512820512818</v>
      </c>
      <c r="L55" s="119" t="n">
        <f aca="false">IF(Calculator!$E$21="YES",IF(A55&lt;Calculator!$G$21,0,MIN(MIN(MOD(A55/Calculator!$F$21,1),1-MOD(A55/Calculator!$F$21,1)),ABS(MOD(A55/Calculator!$F$21,1)-0.5))),1)</f>
        <v>1</v>
      </c>
      <c r="M55" s="120" t="n">
        <f aca="false">MIN(B55:L55)</f>
        <v>0.0333333333333365</v>
      </c>
      <c r="N55" s="121" t="n">
        <f aca="false">SUMPRODUCT(($M$5:$M$115&gt;M55)*1)+SUMPRODUCT(($M$5:$M$115=M55)*(ROW($M$5:$M$115)&lt;ROW(M55)))+1</f>
        <v>43</v>
      </c>
      <c r="O55" s="122" t="str">
        <f aca="false">IF(M55&gt;=0.2,"★★★ EXCELLENT",IF(M55&gt;=0.12,"★★  GOOD",IF(M55&gt;=0.07,"★  FAIR",IF(M55&gt;=0.025,"⚠  MARGINAL","✗  AVOID"))))</f>
        <v>⚠  MARGINAL</v>
      </c>
    </row>
    <row r="56" customFormat="false" ht="15" hidden="false" customHeight="true" outlineLevel="0" collapsed="false">
      <c r="A56" s="118" t="n">
        <v>30.5</v>
      </c>
      <c r="B56" s="119" t="n">
        <f aca="false">IF(Calculator!$E$11="YES",IF(A56&lt;Calculator!$G$11,0,MIN(MIN(MOD(A56/Calculator!$F$11,1),1-MOD(A56/Calculator!$F$11,1)),ABS(MOD(A56/Calculator!$F$11,1)-0.5))),1)</f>
        <v>1</v>
      </c>
      <c r="C56" s="119" t="n">
        <f aca="false">IF(Calculator!$E$12="YES",IF(A56&lt;Calculator!$G$12,0,MIN(MIN(MOD(A56/Calculator!$F$12,1),1-MOD(A56/Calculator!$F$12,1)),ABS(MOD(A56/Calculator!$F$12,1)-0.5))),1)</f>
        <v>1</v>
      </c>
      <c r="D56" s="119" t="n">
        <f aca="false">IF(Calculator!$E$13="YES",IF(A56&lt;Calculator!$G$13,0,MIN(MIN(MOD(A56/Calculator!$F$13,1),1-MOD(A56/Calculator!$F$13,1)),ABS(MOD(A56/Calculator!$F$13,1)-0.5))),1)</f>
        <v>1</v>
      </c>
      <c r="E56" s="119" t="n">
        <f aca="false">IF(Calculator!$E$14="YES",IF(A56&lt;Calculator!$G$14,0,MIN(MIN(MOD(A56/Calculator!$F$14,1),1-MOD(A56/Calculator!$F$14,1)),ABS(MOD(A56/Calculator!$F$14,1)-0.5))),1)</f>
        <v>0.00888888888889206</v>
      </c>
      <c r="F56" s="119" t="n">
        <f aca="false">IF(Calculator!$E$15="YES",IF(A56&lt;Calculator!$G$15,0,MIN(MIN(MOD(A56/Calculator!$F$15,1),1-MOD(A56/Calculator!$F$15,1)),ABS(MOD(A56/Calculator!$F$15,1)-0.5))),1)</f>
        <v>0.111538461538468</v>
      </c>
      <c r="G56" s="119" t="n">
        <f aca="false">IF(Calculator!$E$16="YES",IF(A56&lt;Calculator!$G$16,0,MIN(MIN(MOD(A56/Calculator!$F$16,1),1-MOD(A56/Calculator!$F$16,1)),ABS(MOD(A56/Calculator!$F$16,1)-0.5))),1)</f>
        <v>0.0438461538461534</v>
      </c>
      <c r="H56" s="119" t="n">
        <f aca="false">IF(Calculator!$E$17="YES",IF(A56&lt;Calculator!$G$17,0,MIN(MIN(MOD(A56/Calculator!$F$17,1),1-MOD(A56/Calculator!$F$17,1)),ABS(MOD(A56/Calculator!$F$17,1)-0.5))),1)</f>
        <v>0.2215452991453</v>
      </c>
      <c r="I56" s="119" t="n">
        <f aca="false">IF(Calculator!$E$18="YES",IF(A56&lt;Calculator!$G$18,0,MIN(MIN(MOD(A56/Calculator!$F$18,1),1-MOD(A56/Calculator!$F$18,1)),ABS(MOD(A56/Calculator!$F$18,1)-0.5))),1)</f>
        <v>0.0735897435897428</v>
      </c>
      <c r="J56" s="119" t="n">
        <f aca="false">IF(Calculator!$E$19="YES",IF(A56&lt;Calculator!$G$19,0,MIN(MIN(MOD(A56/Calculator!$F$19,1),1-MOD(A56/Calculator!$F$19,1)),ABS(MOD(A56/Calculator!$F$19,1)-0.5))),1)</f>
        <v>0.201162393162392</v>
      </c>
      <c r="K56" s="119" t="n">
        <f aca="false">IF(Calculator!$E$20="YES",IF(A56&lt;Calculator!$G$20,0,MIN(MIN(MOD(A56/Calculator!$F$20,1),1-MOD(A56/Calculator!$F$20,1)),ABS(MOD(A56/Calculator!$F$20,1)-0.5))),1)</f>
        <v>0.0165811965811971</v>
      </c>
      <c r="L56" s="119" t="n">
        <f aca="false">IF(Calculator!$E$21="YES",IF(A56&lt;Calculator!$G$21,0,MIN(MIN(MOD(A56/Calculator!$F$21,1),1-MOD(A56/Calculator!$F$21,1)),ABS(MOD(A56/Calculator!$F$21,1)-0.5))),1)</f>
        <v>1</v>
      </c>
      <c r="M56" s="120" t="n">
        <f aca="false">MIN(B56:L56)</f>
        <v>0.00888888888889206</v>
      </c>
      <c r="N56" s="121" t="n">
        <f aca="false">SUMPRODUCT(($M$5:$M$115&gt;M56)*1)+SUMPRODUCT(($M$5:$M$115=M56)*(ROW($M$5:$M$115)&lt;ROW(M56)))+1</f>
        <v>81</v>
      </c>
      <c r="O56" s="122" t="str">
        <f aca="false">IF(M56&gt;=0.2,"★★★ EXCELLENT",IF(M56&gt;=0.12,"★★  GOOD",IF(M56&gt;=0.07,"★  FAIR",IF(M56&gt;=0.025,"⚠  MARGINAL","✗  AVOID"))))</f>
        <v>✗  AVOID</v>
      </c>
    </row>
    <row r="57" customFormat="false" ht="15" hidden="false" customHeight="true" outlineLevel="0" collapsed="false">
      <c r="A57" s="118" t="n">
        <v>31</v>
      </c>
      <c r="B57" s="119" t="n">
        <f aca="false">IF(Calculator!$E$11="YES",IF(A57&lt;Calculator!$G$11,0,MIN(MIN(MOD(A57/Calculator!$F$11,1),1-MOD(A57/Calculator!$F$11,1)),ABS(MOD(A57/Calculator!$F$11,1)-0.5))),1)</f>
        <v>1</v>
      </c>
      <c r="C57" s="119" t="n">
        <f aca="false">IF(Calculator!$E$12="YES",IF(A57&lt;Calculator!$G$12,0,MIN(MIN(MOD(A57/Calculator!$F$12,1),1-MOD(A57/Calculator!$F$12,1)),ABS(MOD(A57/Calculator!$F$12,1)-0.5))),1)</f>
        <v>1</v>
      </c>
      <c r="D57" s="119" t="n">
        <f aca="false">IF(Calculator!$E$13="YES",IF(A57&lt;Calculator!$G$13,0,MIN(MIN(MOD(A57/Calculator!$F$13,1),1-MOD(A57/Calculator!$F$13,1)),ABS(MOD(A57/Calculator!$F$13,1)-0.5))),1)</f>
        <v>1</v>
      </c>
      <c r="E57" s="119" t="n">
        <f aca="false">IF(Calculator!$E$14="YES",IF(A57&lt;Calculator!$G$14,0,MIN(MIN(MOD(A57/Calculator!$F$14,1),1-MOD(A57/Calculator!$F$14,1)),ABS(MOD(A57/Calculator!$F$14,1)-0.5))),1)</f>
        <v>0.0155555555555522</v>
      </c>
      <c r="F57" s="119" t="n">
        <f aca="false">IF(Calculator!$E$15="YES",IF(A57&lt;Calculator!$G$15,0,MIN(MIN(MOD(A57/Calculator!$F$15,1),1-MOD(A57/Calculator!$F$15,1)),ABS(MOD(A57/Calculator!$F$15,1)-0.5))),1)</f>
        <v>0.146153846153853</v>
      </c>
      <c r="G57" s="119" t="n">
        <f aca="false">IF(Calculator!$E$16="YES",IF(A57&lt;Calculator!$G$16,0,MIN(MIN(MOD(A57/Calculator!$F$16,1),1-MOD(A57/Calculator!$F$16,1)),ABS(MOD(A57/Calculator!$F$16,1)-0.5))),1)</f>
        <v>0.00461538461538513</v>
      </c>
      <c r="H57" s="119" t="n">
        <f aca="false">IF(Calculator!$E$17="YES",IF(A57&lt;Calculator!$G$17,0,MIN(MIN(MOD(A57/Calculator!$F$17,1),1-MOD(A57/Calculator!$F$17,1)),ABS(MOD(A57/Calculator!$F$17,1)-0.5))),1)</f>
        <v>0.15960341880342</v>
      </c>
      <c r="I57" s="119" t="n">
        <f aca="false">IF(Calculator!$E$18="YES",IF(A57&lt;Calculator!$G$18,0,MIN(MIN(MOD(A57/Calculator!$F$18,1),1-MOD(A57/Calculator!$F$18,1)),ABS(MOD(A57/Calculator!$F$18,1)-0.5))),1)</f>
        <v>0.00102564102564084</v>
      </c>
      <c r="J57" s="119" t="n">
        <f aca="false">IF(Calculator!$E$19="YES",IF(A57&lt;Calculator!$G$19,0,MIN(MIN(MOD(A57/Calculator!$F$19,1),1-MOD(A57/Calculator!$F$19,1)),ABS(MOD(A57/Calculator!$F$19,1)-0.5))),1)</f>
        <v>0.21357264957265</v>
      </c>
      <c r="K57" s="119" t="n">
        <f aca="false">IF(Calculator!$E$20="YES",IF(A57&lt;Calculator!$G$20,0,MIN(MIN(MOD(A57/Calculator!$F$20,1),1-MOD(A57/Calculator!$F$20,1)),ABS(MOD(A57/Calculator!$F$20,1)-0.5))),1)</f>
        <v>0.115213675213676</v>
      </c>
      <c r="L57" s="119" t="n">
        <f aca="false">IF(Calculator!$E$21="YES",IF(A57&lt;Calculator!$G$21,0,MIN(MIN(MOD(A57/Calculator!$F$21,1),1-MOD(A57/Calculator!$F$21,1)),ABS(MOD(A57/Calculator!$F$21,1)-0.5))),1)</f>
        <v>1</v>
      </c>
      <c r="M57" s="120" t="n">
        <f aca="false">MIN(B57:L57)</f>
        <v>0.00102564102564084</v>
      </c>
      <c r="N57" s="121" t="n">
        <f aca="false">SUMPRODUCT(($M$5:$M$115&gt;M57)*1)+SUMPRODUCT(($M$5:$M$115=M57)*(ROW($M$5:$M$115)&lt;ROW(M57)))+1</f>
        <v>99</v>
      </c>
      <c r="O57" s="122" t="str">
        <f aca="false">IF(M57&gt;=0.2,"★★★ EXCELLENT",IF(M57&gt;=0.12,"★★  GOOD",IF(M57&gt;=0.07,"★  FAIR",IF(M57&gt;=0.025,"⚠  MARGINAL","✗  AVOID"))))</f>
        <v>✗  AVOID</v>
      </c>
    </row>
    <row r="58" customFormat="false" ht="15" hidden="false" customHeight="true" outlineLevel="0" collapsed="false">
      <c r="A58" s="118" t="n">
        <v>31.5</v>
      </c>
      <c r="B58" s="119" t="n">
        <f aca="false">IF(Calculator!$E$11="YES",IF(A58&lt;Calculator!$G$11,0,MIN(MIN(MOD(A58/Calculator!$F$11,1),1-MOD(A58/Calculator!$F$11,1)),ABS(MOD(A58/Calculator!$F$11,1)-0.5))),1)</f>
        <v>1</v>
      </c>
      <c r="C58" s="119" t="n">
        <f aca="false">IF(Calculator!$E$12="YES",IF(A58&lt;Calculator!$G$12,0,MIN(MIN(MOD(A58/Calculator!$F$12,1),1-MOD(A58/Calculator!$F$12,1)),ABS(MOD(A58/Calculator!$F$12,1)-0.5))),1)</f>
        <v>1</v>
      </c>
      <c r="D58" s="119" t="n">
        <f aca="false">IF(Calculator!$E$13="YES",IF(A58&lt;Calculator!$G$13,0,MIN(MIN(MOD(A58/Calculator!$F$13,1),1-MOD(A58/Calculator!$F$13,1)),ABS(MOD(A58/Calculator!$F$13,1)-0.5))),1)</f>
        <v>1</v>
      </c>
      <c r="E58" s="119" t="n">
        <f aca="false">IF(Calculator!$E$14="YES",IF(A58&lt;Calculator!$G$14,0,MIN(MIN(MOD(A58/Calculator!$F$14,1),1-MOD(A58/Calculator!$F$14,1)),ABS(MOD(A58/Calculator!$F$14,1)-0.5))),1)</f>
        <v>0.0399999999999967</v>
      </c>
      <c r="F58" s="119" t="n">
        <f aca="false">IF(Calculator!$E$15="YES",IF(A58&lt;Calculator!$G$15,0,MIN(MIN(MOD(A58/Calculator!$F$15,1),1-MOD(A58/Calculator!$F$15,1)),ABS(MOD(A58/Calculator!$F$15,1)-0.5))),1)</f>
        <v>0.180769230769237</v>
      </c>
      <c r="G58" s="119" t="n">
        <f aca="false">IF(Calculator!$E$16="YES",IF(A58&lt;Calculator!$G$16,0,MIN(MIN(MOD(A58/Calculator!$F$16,1),1-MOD(A58/Calculator!$F$16,1)),ABS(MOD(A58/Calculator!$F$16,1)-0.5))),1)</f>
        <v>0.0530769230769232</v>
      </c>
      <c r="H58" s="119" t="n">
        <f aca="false">IF(Calculator!$E$17="YES",IF(A58&lt;Calculator!$G$17,0,MIN(MIN(MOD(A58/Calculator!$F$17,1),1-MOD(A58/Calculator!$F$17,1)),ABS(MOD(A58/Calculator!$F$17,1)-0.5))),1)</f>
        <v>0.0976615384615394</v>
      </c>
      <c r="I58" s="119" t="n">
        <f aca="false">IF(Calculator!$E$18="YES",IF(A58&lt;Calculator!$G$18,0,MIN(MIN(MOD(A58/Calculator!$F$18,1),1-MOD(A58/Calculator!$F$18,1)),ABS(MOD(A58/Calculator!$F$18,1)-0.5))),1)</f>
        <v>0.071538461538462</v>
      </c>
      <c r="J58" s="119" t="n">
        <f aca="false">IF(Calculator!$E$19="YES",IF(A58&lt;Calculator!$G$19,0,MIN(MIN(MOD(A58/Calculator!$F$19,1),1-MOD(A58/Calculator!$F$19,1)),ABS(MOD(A58/Calculator!$F$19,1)-0.5))),1)</f>
        <v>0.128307692307693</v>
      </c>
      <c r="K58" s="119" t="n">
        <f aca="false">IF(Calculator!$E$20="YES",IF(A58&lt;Calculator!$G$20,0,MIN(MIN(MOD(A58/Calculator!$F$20,1),1-MOD(A58/Calculator!$F$20,1)),ABS(MOD(A58/Calculator!$F$20,1)-0.5))),1)</f>
        <v>0.213846153846155</v>
      </c>
      <c r="L58" s="119" t="n">
        <f aca="false">IF(Calculator!$E$21="YES",IF(A58&lt;Calculator!$G$21,0,MIN(MIN(MOD(A58/Calculator!$F$21,1),1-MOD(A58/Calculator!$F$21,1)),ABS(MOD(A58/Calculator!$F$21,1)-0.5))),1)</f>
        <v>1</v>
      </c>
      <c r="M58" s="120" t="n">
        <f aca="false">MIN(B58:L58)</f>
        <v>0.0399999999999967</v>
      </c>
      <c r="N58" s="121" t="n">
        <f aca="false">SUMPRODUCT(($M$5:$M$115&gt;M58)*1)+SUMPRODUCT(($M$5:$M$115=M58)*(ROW($M$5:$M$115)&lt;ROW(M58)))+1</f>
        <v>33</v>
      </c>
      <c r="O58" s="122" t="str">
        <f aca="false">IF(M58&gt;=0.2,"★★★ EXCELLENT",IF(M58&gt;=0.12,"★★  GOOD",IF(M58&gt;=0.07,"★  FAIR",IF(M58&gt;=0.025,"⚠  MARGINAL","✗  AVOID"))))</f>
        <v>⚠  MARGINAL</v>
      </c>
    </row>
    <row r="59" customFormat="false" ht="15" hidden="false" customHeight="true" outlineLevel="0" collapsed="false">
      <c r="A59" s="118" t="n">
        <v>32</v>
      </c>
      <c r="B59" s="119" t="n">
        <f aca="false">IF(Calculator!$E$11="YES",IF(A59&lt;Calculator!$G$11,0,MIN(MIN(MOD(A59/Calculator!$F$11,1),1-MOD(A59/Calculator!$F$11,1)),ABS(MOD(A59/Calculator!$F$11,1)-0.5))),1)</f>
        <v>1</v>
      </c>
      <c r="C59" s="119" t="n">
        <f aca="false">IF(Calculator!$E$12="YES",IF(A59&lt;Calculator!$G$12,0,MIN(MIN(MOD(A59/Calculator!$F$12,1),1-MOD(A59/Calculator!$F$12,1)),ABS(MOD(A59/Calculator!$F$12,1)-0.5))),1)</f>
        <v>1</v>
      </c>
      <c r="D59" s="119" t="n">
        <f aca="false">IF(Calculator!$E$13="YES",IF(A59&lt;Calculator!$G$13,0,MIN(MIN(MOD(A59/Calculator!$F$13,1),1-MOD(A59/Calculator!$F$13,1)),ABS(MOD(A59/Calculator!$F$13,1)-0.5))),1)</f>
        <v>1</v>
      </c>
      <c r="E59" s="119" t="n">
        <f aca="false">IF(Calculator!$E$14="YES",IF(A59&lt;Calculator!$G$14,0,MIN(MIN(MOD(A59/Calculator!$F$14,1),1-MOD(A59/Calculator!$F$14,1)),ABS(MOD(A59/Calculator!$F$14,1)-0.5))),1)</f>
        <v>0.064444444444441</v>
      </c>
      <c r="F59" s="119" t="n">
        <f aca="false">IF(Calculator!$E$15="YES",IF(A59&lt;Calculator!$G$15,0,MIN(MIN(MOD(A59/Calculator!$F$15,1),1-MOD(A59/Calculator!$F$15,1)),ABS(MOD(A59/Calculator!$F$15,1)-0.5))),1)</f>
        <v>0.215384615384622</v>
      </c>
      <c r="G59" s="119" t="n">
        <f aca="false">IF(Calculator!$E$16="YES",IF(A59&lt;Calculator!$G$16,0,MIN(MIN(MOD(A59/Calculator!$F$16,1),1-MOD(A59/Calculator!$F$16,1)),ABS(MOD(A59/Calculator!$F$16,1)-0.5))),1)</f>
        <v>0.101538461538462</v>
      </c>
      <c r="H59" s="119" t="n">
        <f aca="false">IF(Calculator!$E$17="YES",IF(A59&lt;Calculator!$G$17,0,MIN(MIN(MOD(A59/Calculator!$F$17,1),1-MOD(A59/Calculator!$F$17,1)),ABS(MOD(A59/Calculator!$F$17,1)-0.5))),1)</f>
        <v>0.0357196581196591</v>
      </c>
      <c r="I59" s="119" t="n">
        <f aca="false">IF(Calculator!$E$18="YES",IF(A59&lt;Calculator!$G$18,0,MIN(MIN(MOD(A59/Calculator!$F$18,1),1-MOD(A59/Calculator!$F$18,1)),ABS(MOD(A59/Calculator!$F$18,1)-0.5))),1)</f>
        <v>0.144102564102565</v>
      </c>
      <c r="J59" s="119" t="n">
        <f aca="false">IF(Calculator!$E$19="YES",IF(A59&lt;Calculator!$G$19,0,MIN(MIN(MOD(A59/Calculator!$F$19,1),1-MOD(A59/Calculator!$F$19,1)),ABS(MOD(A59/Calculator!$F$19,1)-0.5))),1)</f>
        <v>0.0430427350427358</v>
      </c>
      <c r="K59" s="119" t="n">
        <f aca="false">IF(Calculator!$E$20="YES",IF(A59&lt;Calculator!$G$20,0,MIN(MIN(MOD(A59/Calculator!$F$20,1),1-MOD(A59/Calculator!$F$20,1)),ABS(MOD(A59/Calculator!$F$20,1)-0.5))),1)</f>
        <v>0.187521367521367</v>
      </c>
      <c r="L59" s="119" t="n">
        <f aca="false">IF(Calculator!$E$21="YES",IF(A59&lt;Calculator!$G$21,0,MIN(MIN(MOD(A59/Calculator!$F$21,1),1-MOD(A59/Calculator!$F$21,1)),ABS(MOD(A59/Calculator!$F$21,1)-0.5))),1)</f>
        <v>1</v>
      </c>
      <c r="M59" s="120" t="n">
        <f aca="false">MIN(B59:L59)</f>
        <v>0.0357196581196591</v>
      </c>
      <c r="N59" s="121" t="n">
        <f aca="false">SUMPRODUCT(($M$5:$M$115&gt;M59)*1)+SUMPRODUCT(($M$5:$M$115=M59)*(ROW($M$5:$M$115)&lt;ROW(M59)))+1</f>
        <v>39</v>
      </c>
      <c r="O59" s="122" t="str">
        <f aca="false">IF(M59&gt;=0.2,"★★★ EXCELLENT",IF(M59&gt;=0.12,"★★  GOOD",IF(M59&gt;=0.07,"★  FAIR",IF(M59&gt;=0.025,"⚠  MARGINAL","✗  AVOID"))))</f>
        <v>⚠  MARGINAL</v>
      </c>
    </row>
    <row r="60" customFormat="false" ht="15" hidden="false" customHeight="true" outlineLevel="0" collapsed="false">
      <c r="A60" s="118" t="n">
        <v>32.5</v>
      </c>
      <c r="B60" s="119" t="n">
        <f aca="false">IF(Calculator!$E$11="YES",IF(A60&lt;Calculator!$G$11,0,MIN(MIN(MOD(A60/Calculator!$F$11,1),1-MOD(A60/Calculator!$F$11,1)),ABS(MOD(A60/Calculator!$F$11,1)-0.5))),1)</f>
        <v>1</v>
      </c>
      <c r="C60" s="119" t="n">
        <f aca="false">IF(Calculator!$E$12="YES",IF(A60&lt;Calculator!$G$12,0,MIN(MIN(MOD(A60/Calculator!$F$12,1),1-MOD(A60/Calculator!$F$12,1)),ABS(MOD(A60/Calculator!$F$12,1)-0.5))),1)</f>
        <v>1</v>
      </c>
      <c r="D60" s="119" t="n">
        <f aca="false">IF(Calculator!$E$13="YES",IF(A60&lt;Calculator!$G$13,0,MIN(MIN(MOD(A60/Calculator!$F$13,1),1-MOD(A60/Calculator!$F$13,1)),ABS(MOD(A60/Calculator!$F$13,1)-0.5))),1)</f>
        <v>1</v>
      </c>
      <c r="E60" s="119" t="n">
        <f aca="false">IF(Calculator!$E$14="YES",IF(A60&lt;Calculator!$G$14,0,MIN(MIN(MOD(A60/Calculator!$F$14,1),1-MOD(A60/Calculator!$F$14,1)),ABS(MOD(A60/Calculator!$F$14,1)-0.5))),1)</f>
        <v>0.0888888888888855</v>
      </c>
      <c r="F60" s="119" t="n">
        <f aca="false">IF(Calculator!$E$15="YES",IF(A60&lt;Calculator!$G$15,0,MIN(MIN(MOD(A60/Calculator!$F$15,1),1-MOD(A60/Calculator!$F$15,1)),ABS(MOD(A60/Calculator!$F$15,1)-0.5))),1)</f>
        <v>0.249999999999993</v>
      </c>
      <c r="G60" s="119" t="n">
        <f aca="false">IF(Calculator!$E$16="YES",IF(A60&lt;Calculator!$G$16,0,MIN(MIN(MOD(A60/Calculator!$F$16,1),1-MOD(A60/Calculator!$F$16,1)),ABS(MOD(A60/Calculator!$F$16,1)-0.5))),1)</f>
        <v>0.15</v>
      </c>
      <c r="H60" s="119" t="n">
        <f aca="false">IF(Calculator!$E$17="YES",IF(A60&lt;Calculator!$G$17,0,MIN(MIN(MOD(A60/Calculator!$F$17,1),1-MOD(A60/Calculator!$F$17,1)),ABS(MOD(A60/Calculator!$F$17,1)-0.5))),1)</f>
        <v>0.0262222222222208</v>
      </c>
      <c r="I60" s="119" t="n">
        <f aca="false">IF(Calculator!$E$18="YES",IF(A60&lt;Calculator!$G$18,0,MIN(MIN(MOD(A60/Calculator!$F$18,1),1-MOD(A60/Calculator!$F$18,1)),ABS(MOD(A60/Calculator!$F$18,1)-0.5))),1)</f>
        <v>0.216666666666667</v>
      </c>
      <c r="J60" s="119" t="n">
        <f aca="false">IF(Calculator!$E$19="YES",IF(A60&lt;Calculator!$G$19,0,MIN(MIN(MOD(A60/Calculator!$F$19,1),1-MOD(A60/Calculator!$F$19,1)),ABS(MOD(A60/Calculator!$F$19,1)-0.5))),1)</f>
        <v>0.0422222222222217</v>
      </c>
      <c r="K60" s="119" t="n">
        <f aca="false">IF(Calculator!$E$20="YES",IF(A60&lt;Calculator!$G$20,0,MIN(MIN(MOD(A60/Calculator!$F$20,1),1-MOD(A60/Calculator!$F$20,1)),ABS(MOD(A60/Calculator!$F$20,1)-0.5))),1)</f>
        <v>0.0888888888888886</v>
      </c>
      <c r="L60" s="119" t="n">
        <f aca="false">IF(Calculator!$E$21="YES",IF(A60&lt;Calculator!$G$21,0,MIN(MIN(MOD(A60/Calculator!$F$21,1),1-MOD(A60/Calculator!$F$21,1)),ABS(MOD(A60/Calculator!$F$21,1)-0.5))),1)</f>
        <v>1</v>
      </c>
      <c r="M60" s="120" t="n">
        <f aca="false">MIN(B60:L60)</f>
        <v>0.0262222222222208</v>
      </c>
      <c r="N60" s="121" t="n">
        <f aca="false">SUMPRODUCT(($M$5:$M$115&gt;M60)*1)+SUMPRODUCT(($M$5:$M$115=M60)*(ROW($M$5:$M$115)&lt;ROW(M60)))+1</f>
        <v>54</v>
      </c>
      <c r="O60" s="122" t="str">
        <f aca="false">IF(M60&gt;=0.2,"★★★ EXCELLENT",IF(M60&gt;=0.12,"★★  GOOD",IF(M60&gt;=0.07,"★  FAIR",IF(M60&gt;=0.025,"⚠  MARGINAL","✗  AVOID"))))</f>
        <v>⚠  MARGINAL</v>
      </c>
    </row>
    <row r="61" customFormat="false" ht="15" hidden="false" customHeight="true" outlineLevel="0" collapsed="false">
      <c r="A61" s="118" t="n">
        <v>33</v>
      </c>
      <c r="B61" s="119" t="n">
        <f aca="false">IF(Calculator!$E$11="YES",IF(A61&lt;Calculator!$G$11,0,MIN(MIN(MOD(A61/Calculator!$F$11,1),1-MOD(A61/Calculator!$F$11,1)),ABS(MOD(A61/Calculator!$F$11,1)-0.5))),1)</f>
        <v>1</v>
      </c>
      <c r="C61" s="119" t="n">
        <f aca="false">IF(Calculator!$E$12="YES",IF(A61&lt;Calculator!$G$12,0,MIN(MIN(MOD(A61/Calculator!$F$12,1),1-MOD(A61/Calculator!$F$12,1)),ABS(MOD(A61/Calculator!$F$12,1)-0.5))),1)</f>
        <v>1</v>
      </c>
      <c r="D61" s="119" t="n">
        <f aca="false">IF(Calculator!$E$13="YES",IF(A61&lt;Calculator!$G$13,0,MIN(MIN(MOD(A61/Calculator!$F$13,1),1-MOD(A61/Calculator!$F$13,1)),ABS(MOD(A61/Calculator!$F$13,1)-0.5))),1)</f>
        <v>1</v>
      </c>
      <c r="E61" s="119" t="n">
        <f aca="false">IF(Calculator!$E$14="YES",IF(A61&lt;Calculator!$G$14,0,MIN(MIN(MOD(A61/Calculator!$F$14,1),1-MOD(A61/Calculator!$F$14,1)),ABS(MOD(A61/Calculator!$F$14,1)-0.5))),1)</f>
        <v>0.11333333333333</v>
      </c>
      <c r="F61" s="119" t="n">
        <f aca="false">IF(Calculator!$E$15="YES",IF(A61&lt;Calculator!$G$15,0,MIN(MIN(MOD(A61/Calculator!$F$15,1),1-MOD(A61/Calculator!$F$15,1)),ABS(MOD(A61/Calculator!$F$15,1)-0.5))),1)</f>
        <v>0.215384615384608</v>
      </c>
      <c r="G61" s="119" t="n">
        <f aca="false">IF(Calculator!$E$16="YES",IF(A61&lt;Calculator!$G$16,0,MIN(MIN(MOD(A61/Calculator!$F$16,1),1-MOD(A61/Calculator!$F$16,1)),ABS(MOD(A61/Calculator!$F$16,1)-0.5))),1)</f>
        <v>0.198461538461539</v>
      </c>
      <c r="H61" s="119" t="n">
        <f aca="false">IF(Calculator!$E$17="YES",IF(A61&lt;Calculator!$G$17,0,MIN(MIN(MOD(A61/Calculator!$F$17,1),1-MOD(A61/Calculator!$F$17,1)),ABS(MOD(A61/Calculator!$F$17,1)-0.5))),1)</f>
        <v>0.0881641025641011</v>
      </c>
      <c r="I61" s="119" t="n">
        <f aca="false">IF(Calculator!$E$18="YES",IF(A61&lt;Calculator!$G$18,0,MIN(MIN(MOD(A61/Calculator!$F$18,1),1-MOD(A61/Calculator!$F$18,1)),ABS(MOD(A61/Calculator!$F$18,1)-0.5))),1)</f>
        <v>0.21076923076923</v>
      </c>
      <c r="J61" s="119" t="n">
        <f aca="false">IF(Calculator!$E$19="YES",IF(A61&lt;Calculator!$G$19,0,MIN(MIN(MOD(A61/Calculator!$F$19,1),1-MOD(A61/Calculator!$F$19,1)),ABS(MOD(A61/Calculator!$F$19,1)-0.5))),1)</f>
        <v>0.127487179487178</v>
      </c>
      <c r="K61" s="119" t="n">
        <f aca="false">IF(Calculator!$E$20="YES",IF(A61&lt;Calculator!$G$20,0,MIN(MIN(MOD(A61/Calculator!$F$20,1),1-MOD(A61/Calculator!$F$20,1)),ABS(MOD(A61/Calculator!$F$20,1)-0.5))),1)</f>
        <v>0.00974358974359024</v>
      </c>
      <c r="L61" s="119" t="n">
        <f aca="false">IF(Calculator!$E$21="YES",IF(A61&lt;Calculator!$G$21,0,MIN(MIN(MOD(A61/Calculator!$F$21,1),1-MOD(A61/Calculator!$F$21,1)),ABS(MOD(A61/Calculator!$F$21,1)-0.5))),1)</f>
        <v>1</v>
      </c>
      <c r="M61" s="120" t="n">
        <f aca="false">MIN(B61:L61)</f>
        <v>0.00974358974359024</v>
      </c>
      <c r="N61" s="121" t="n">
        <f aca="false">SUMPRODUCT(($M$5:$M$115&gt;M61)*1)+SUMPRODUCT(($M$5:$M$115=M61)*(ROW($M$5:$M$115)&lt;ROW(M61)))+1</f>
        <v>79</v>
      </c>
      <c r="O61" s="122" t="str">
        <f aca="false">IF(M61&gt;=0.2,"★★★ EXCELLENT",IF(M61&gt;=0.12,"★★  GOOD",IF(M61&gt;=0.07,"★  FAIR",IF(M61&gt;=0.025,"⚠  MARGINAL","✗  AVOID"))))</f>
        <v>✗  AVOID</v>
      </c>
    </row>
    <row r="62" customFormat="false" ht="15" hidden="false" customHeight="true" outlineLevel="0" collapsed="false">
      <c r="A62" s="118" t="n">
        <v>33.5</v>
      </c>
      <c r="B62" s="119" t="n">
        <f aca="false">IF(Calculator!$E$11="YES",IF(A62&lt;Calculator!$G$11,0,MIN(MIN(MOD(A62/Calculator!$F$11,1),1-MOD(A62/Calculator!$F$11,1)),ABS(MOD(A62/Calculator!$F$11,1)-0.5))),1)</f>
        <v>1</v>
      </c>
      <c r="C62" s="119" t="n">
        <f aca="false">IF(Calculator!$E$12="YES",IF(A62&lt;Calculator!$G$12,0,MIN(MIN(MOD(A62/Calculator!$F$12,1),1-MOD(A62/Calculator!$F$12,1)),ABS(MOD(A62/Calculator!$F$12,1)-0.5))),1)</f>
        <v>1</v>
      </c>
      <c r="D62" s="119" t="n">
        <f aca="false">IF(Calculator!$E$13="YES",IF(A62&lt;Calculator!$G$13,0,MIN(MIN(MOD(A62/Calculator!$F$13,1),1-MOD(A62/Calculator!$F$13,1)),ABS(MOD(A62/Calculator!$F$13,1)-0.5))),1)</f>
        <v>1</v>
      </c>
      <c r="E62" s="119" t="n">
        <f aca="false">IF(Calculator!$E$14="YES",IF(A62&lt;Calculator!$G$14,0,MIN(MIN(MOD(A62/Calculator!$F$14,1),1-MOD(A62/Calculator!$F$14,1)),ABS(MOD(A62/Calculator!$F$14,1)-0.5))),1)</f>
        <v>0.137777777777774</v>
      </c>
      <c r="F62" s="119" t="n">
        <f aca="false">IF(Calculator!$E$15="YES",IF(A62&lt;Calculator!$G$15,0,MIN(MIN(MOD(A62/Calculator!$F$15,1),1-MOD(A62/Calculator!$F$15,1)),ABS(MOD(A62/Calculator!$F$15,1)-0.5))),1)</f>
        <v>0.180769230769223</v>
      </c>
      <c r="G62" s="119" t="n">
        <f aca="false">IF(Calculator!$E$16="YES",IF(A62&lt;Calculator!$G$16,0,MIN(MIN(MOD(A62/Calculator!$F$16,1),1-MOD(A62/Calculator!$F$16,1)),ABS(MOD(A62/Calculator!$F$16,1)-0.5))),1)</f>
        <v>0.246923076923077</v>
      </c>
      <c r="H62" s="119" t="n">
        <f aca="false">IF(Calculator!$E$17="YES",IF(A62&lt;Calculator!$G$17,0,MIN(MIN(MOD(A62/Calculator!$F$17,1),1-MOD(A62/Calculator!$F$17,1)),ABS(MOD(A62/Calculator!$F$17,1)-0.5))),1)</f>
        <v>0.150105982905981</v>
      </c>
      <c r="I62" s="119" t="n">
        <f aca="false">IF(Calculator!$E$18="YES",IF(A62&lt;Calculator!$G$18,0,MIN(MIN(MOD(A62/Calculator!$F$18,1),1-MOD(A62/Calculator!$F$18,1)),ABS(MOD(A62/Calculator!$F$18,1)-0.5))),1)</f>
        <v>0.138205128205128</v>
      </c>
      <c r="J62" s="119" t="n">
        <f aca="false">IF(Calculator!$E$19="YES",IF(A62&lt;Calculator!$G$19,0,MIN(MIN(MOD(A62/Calculator!$F$19,1),1-MOD(A62/Calculator!$F$19,1)),ABS(MOD(A62/Calculator!$F$19,1)-0.5))),1)</f>
        <v>0.212752136752136</v>
      </c>
      <c r="K62" s="119" t="n">
        <f aca="false">IF(Calculator!$E$20="YES",IF(A62&lt;Calculator!$G$20,0,MIN(MIN(MOD(A62/Calculator!$F$20,1),1-MOD(A62/Calculator!$F$20,1)),ABS(MOD(A62/Calculator!$F$20,1)-0.5))),1)</f>
        <v>0.108376068376069</v>
      </c>
      <c r="L62" s="119" t="n">
        <f aca="false">IF(Calculator!$E$21="YES",IF(A62&lt;Calculator!$G$21,0,MIN(MIN(MOD(A62/Calculator!$F$21,1),1-MOD(A62/Calculator!$F$21,1)),ABS(MOD(A62/Calculator!$F$21,1)-0.5))),1)</f>
        <v>1</v>
      </c>
      <c r="M62" s="120" t="n">
        <f aca="false">MIN(B62:L62)</f>
        <v>0.108376068376069</v>
      </c>
      <c r="N62" s="121" t="n">
        <f aca="false">SUMPRODUCT(($M$5:$M$115&gt;M62)*1)+SUMPRODUCT(($M$5:$M$115=M62)*(ROW($M$5:$M$115)&lt;ROW(M62)))+1</f>
        <v>2</v>
      </c>
      <c r="O62" s="122" t="str">
        <f aca="false">IF(M62&gt;=0.2,"★★★ EXCELLENT",IF(M62&gt;=0.12,"★★  GOOD",IF(M62&gt;=0.07,"★  FAIR",IF(M62&gt;=0.025,"⚠  MARGINAL","✗  AVOID"))))</f>
        <v>★  FAIR</v>
      </c>
    </row>
    <row r="63" customFormat="false" ht="15" hidden="false" customHeight="true" outlineLevel="0" collapsed="false">
      <c r="A63" s="118" t="n">
        <v>34</v>
      </c>
      <c r="B63" s="119" t="n">
        <f aca="false">IF(Calculator!$E$11="YES",IF(A63&lt;Calculator!$G$11,0,MIN(MIN(MOD(A63/Calculator!$F$11,1),1-MOD(A63/Calculator!$F$11,1)),ABS(MOD(A63/Calculator!$F$11,1)-0.5))),1)</f>
        <v>1</v>
      </c>
      <c r="C63" s="119" t="n">
        <f aca="false">IF(Calculator!$E$12="YES",IF(A63&lt;Calculator!$G$12,0,MIN(MIN(MOD(A63/Calculator!$F$12,1),1-MOD(A63/Calculator!$F$12,1)),ABS(MOD(A63/Calculator!$F$12,1)-0.5))),1)</f>
        <v>1</v>
      </c>
      <c r="D63" s="119" t="n">
        <f aca="false">IF(Calculator!$E$13="YES",IF(A63&lt;Calculator!$G$13,0,MIN(MIN(MOD(A63/Calculator!$F$13,1),1-MOD(A63/Calculator!$F$13,1)),ABS(MOD(A63/Calculator!$F$13,1)-0.5))),1)</f>
        <v>1</v>
      </c>
      <c r="E63" s="119" t="n">
        <f aca="false">IF(Calculator!$E$14="YES",IF(A63&lt;Calculator!$G$14,0,MIN(MIN(MOD(A63/Calculator!$F$14,1),1-MOD(A63/Calculator!$F$14,1)),ABS(MOD(A63/Calculator!$F$14,1)-0.5))),1)</f>
        <v>0.162222222222219</v>
      </c>
      <c r="F63" s="119" t="n">
        <f aca="false">IF(Calculator!$E$15="YES",IF(A63&lt;Calculator!$G$15,0,MIN(MIN(MOD(A63/Calculator!$F$15,1),1-MOD(A63/Calculator!$F$15,1)),ABS(MOD(A63/Calculator!$F$15,1)-0.5))),1)</f>
        <v>0.146153846153839</v>
      </c>
      <c r="G63" s="119" t="n">
        <f aca="false">IF(Calculator!$E$16="YES",IF(A63&lt;Calculator!$G$16,0,MIN(MIN(MOD(A63/Calculator!$F$16,1),1-MOD(A63/Calculator!$F$16,1)),ABS(MOD(A63/Calculator!$F$16,1)-0.5))),1)</f>
        <v>0.204615384615384</v>
      </c>
      <c r="H63" s="119" t="n">
        <f aca="false">IF(Calculator!$E$17="YES",IF(A63&lt;Calculator!$G$17,0,MIN(MIN(MOD(A63/Calculator!$F$17,1),1-MOD(A63/Calculator!$F$17,1)),ABS(MOD(A63/Calculator!$F$17,1)-0.5))),1)</f>
        <v>0.212047863247862</v>
      </c>
      <c r="I63" s="119" t="n">
        <f aca="false">IF(Calculator!$E$18="YES",IF(A63&lt;Calculator!$G$18,0,MIN(MIN(MOD(A63/Calculator!$F$18,1),1-MOD(A63/Calculator!$F$18,1)),ABS(MOD(A63/Calculator!$F$18,1)-0.5))),1)</f>
        <v>0.0656410256410247</v>
      </c>
      <c r="J63" s="119" t="n">
        <f aca="false">IF(Calculator!$E$19="YES",IF(A63&lt;Calculator!$G$19,0,MIN(MIN(MOD(A63/Calculator!$F$19,1),1-MOD(A63/Calculator!$F$19,1)),ABS(MOD(A63/Calculator!$F$19,1)-0.5))),1)</f>
        <v>0.201982905982907</v>
      </c>
      <c r="K63" s="119" t="n">
        <f aca="false">IF(Calculator!$E$20="YES",IF(A63&lt;Calculator!$G$20,0,MIN(MIN(MOD(A63/Calculator!$F$20,1),1-MOD(A63/Calculator!$F$20,1)),ABS(MOD(A63/Calculator!$F$20,1)-0.5))),1)</f>
        <v>0.207008547008548</v>
      </c>
      <c r="L63" s="119" t="n">
        <f aca="false">IF(Calculator!$E$21="YES",IF(A63&lt;Calculator!$G$21,0,MIN(MIN(MOD(A63/Calculator!$F$21,1),1-MOD(A63/Calculator!$F$21,1)),ABS(MOD(A63/Calculator!$F$21,1)-0.5))),1)</f>
        <v>1</v>
      </c>
      <c r="M63" s="120" t="n">
        <f aca="false">MIN(B63:L63)</f>
        <v>0.0656410256410247</v>
      </c>
      <c r="N63" s="121" t="n">
        <f aca="false">SUMPRODUCT(($M$5:$M$115&gt;M63)*1)+SUMPRODUCT(($M$5:$M$115=M63)*(ROW($M$5:$M$115)&lt;ROW(M63)))+1</f>
        <v>14</v>
      </c>
      <c r="O63" s="122" t="str">
        <f aca="false">IF(M63&gt;=0.2,"★★★ EXCELLENT",IF(M63&gt;=0.12,"★★  GOOD",IF(M63&gt;=0.07,"★  FAIR",IF(M63&gt;=0.025,"⚠  MARGINAL","✗  AVOID"))))</f>
        <v>⚠  MARGINAL</v>
      </c>
    </row>
    <row r="64" customFormat="false" ht="15" hidden="false" customHeight="true" outlineLevel="0" collapsed="false">
      <c r="A64" s="118" t="n">
        <v>34.5</v>
      </c>
      <c r="B64" s="119" t="n">
        <f aca="false">IF(Calculator!$E$11="YES",IF(A64&lt;Calculator!$G$11,0,MIN(MIN(MOD(A64/Calculator!$F$11,1),1-MOD(A64/Calculator!$F$11,1)),ABS(MOD(A64/Calculator!$F$11,1)-0.5))),1)</f>
        <v>1</v>
      </c>
      <c r="C64" s="119" t="n">
        <f aca="false">IF(Calculator!$E$12="YES",IF(A64&lt;Calculator!$G$12,0,MIN(MIN(MOD(A64/Calculator!$F$12,1),1-MOD(A64/Calculator!$F$12,1)),ABS(MOD(A64/Calculator!$F$12,1)-0.5))),1)</f>
        <v>1</v>
      </c>
      <c r="D64" s="119" t="n">
        <f aca="false">IF(Calculator!$E$13="YES",IF(A64&lt;Calculator!$G$13,0,MIN(MIN(MOD(A64/Calculator!$F$13,1),1-MOD(A64/Calculator!$F$13,1)),ABS(MOD(A64/Calculator!$F$13,1)-0.5))),1)</f>
        <v>1</v>
      </c>
      <c r="E64" s="119" t="n">
        <f aca="false">IF(Calculator!$E$14="YES",IF(A64&lt;Calculator!$G$14,0,MIN(MIN(MOD(A64/Calculator!$F$14,1),1-MOD(A64/Calculator!$F$14,1)),ABS(MOD(A64/Calculator!$F$14,1)-0.5))),1)</f>
        <v>0.186666666666663</v>
      </c>
      <c r="F64" s="119" t="n">
        <f aca="false">IF(Calculator!$E$15="YES",IF(A64&lt;Calculator!$G$15,0,MIN(MIN(MOD(A64/Calculator!$F$15,1),1-MOD(A64/Calculator!$F$15,1)),ABS(MOD(A64/Calculator!$F$15,1)-0.5))),1)</f>
        <v>0.111538461538454</v>
      </c>
      <c r="G64" s="119" t="n">
        <f aca="false">IF(Calculator!$E$16="YES",IF(A64&lt;Calculator!$G$16,0,MIN(MIN(MOD(A64/Calculator!$F$16,1),1-MOD(A64/Calculator!$F$16,1)),ABS(MOD(A64/Calculator!$F$16,1)-0.5))),1)</f>
        <v>0.156153846153846</v>
      </c>
      <c r="H64" s="119" t="n">
        <f aca="false">IF(Calculator!$E$17="YES",IF(A64&lt;Calculator!$G$17,0,MIN(MIN(MOD(A64/Calculator!$F$17,1),1-MOD(A64/Calculator!$F$17,1)),ABS(MOD(A64/Calculator!$F$17,1)-0.5))),1)</f>
        <v>0.226010256410258</v>
      </c>
      <c r="I64" s="119" t="n">
        <f aca="false">IF(Calculator!$E$18="YES",IF(A64&lt;Calculator!$G$18,0,MIN(MIN(MOD(A64/Calculator!$F$18,1),1-MOD(A64/Calculator!$F$18,1)),ABS(MOD(A64/Calculator!$F$18,1)-0.5))),1)</f>
        <v>0.00692307692307725</v>
      </c>
      <c r="J64" s="119" t="n">
        <f aca="false">IF(Calculator!$E$19="YES",IF(A64&lt;Calculator!$G$19,0,MIN(MIN(MOD(A64/Calculator!$F$19,1),1-MOD(A64/Calculator!$F$19,1)),ABS(MOD(A64/Calculator!$F$19,1)-0.5))),1)</f>
        <v>0.11671794871795</v>
      </c>
      <c r="K64" s="119" t="n">
        <f aca="false">IF(Calculator!$E$20="YES",IF(A64&lt;Calculator!$G$20,0,MIN(MIN(MOD(A64/Calculator!$F$20,1),1-MOD(A64/Calculator!$F$20,1)),ABS(MOD(A64/Calculator!$F$20,1)-0.5))),1)</f>
        <v>0.194358974358973</v>
      </c>
      <c r="L64" s="119" t="n">
        <f aca="false">IF(Calculator!$E$21="YES",IF(A64&lt;Calculator!$G$21,0,MIN(MIN(MOD(A64/Calculator!$F$21,1),1-MOD(A64/Calculator!$F$21,1)),ABS(MOD(A64/Calculator!$F$21,1)-0.5))),1)</f>
        <v>1</v>
      </c>
      <c r="M64" s="120" t="n">
        <f aca="false">MIN(B64:L64)</f>
        <v>0.00692307692307725</v>
      </c>
      <c r="N64" s="121" t="n">
        <f aca="false">SUMPRODUCT(($M$5:$M$115&gt;M64)*1)+SUMPRODUCT(($M$5:$M$115=M64)*(ROW($M$5:$M$115)&lt;ROW(M64)))+1</f>
        <v>87</v>
      </c>
      <c r="O64" s="122" t="str">
        <f aca="false">IF(M64&gt;=0.2,"★★★ EXCELLENT",IF(M64&gt;=0.12,"★★  GOOD",IF(M64&gt;=0.07,"★  FAIR",IF(M64&gt;=0.025,"⚠  MARGINAL","✗  AVOID"))))</f>
        <v>✗  AVOID</v>
      </c>
    </row>
    <row r="65" customFormat="false" ht="15" hidden="false" customHeight="true" outlineLevel="0" collapsed="false">
      <c r="A65" s="118" t="n">
        <v>35</v>
      </c>
      <c r="B65" s="119" t="n">
        <f aca="false">IF(Calculator!$E$11="YES",IF(A65&lt;Calculator!$G$11,0,MIN(MIN(MOD(A65/Calculator!$F$11,1),1-MOD(A65/Calculator!$F$11,1)),ABS(MOD(A65/Calculator!$F$11,1)-0.5))),1)</f>
        <v>1</v>
      </c>
      <c r="C65" s="119" t="n">
        <f aca="false">IF(Calculator!$E$12="YES",IF(A65&lt;Calculator!$G$12,0,MIN(MIN(MOD(A65/Calculator!$F$12,1),1-MOD(A65/Calculator!$F$12,1)),ABS(MOD(A65/Calculator!$F$12,1)-0.5))),1)</f>
        <v>1</v>
      </c>
      <c r="D65" s="119" t="n">
        <f aca="false">IF(Calculator!$E$13="YES",IF(A65&lt;Calculator!$G$13,0,MIN(MIN(MOD(A65/Calculator!$F$13,1),1-MOD(A65/Calculator!$F$13,1)),ABS(MOD(A65/Calculator!$F$13,1)-0.5))),1)</f>
        <v>1</v>
      </c>
      <c r="E65" s="119" t="n">
        <f aca="false">IF(Calculator!$E$14="YES",IF(A65&lt;Calculator!$G$14,0,MIN(MIN(MOD(A65/Calculator!$F$14,1),1-MOD(A65/Calculator!$F$14,1)),ABS(MOD(A65/Calculator!$F$14,1)-0.5))),1)</f>
        <v>0.211111111111107</v>
      </c>
      <c r="F65" s="119" t="n">
        <f aca="false">IF(Calculator!$E$15="YES",IF(A65&lt;Calculator!$G$15,0,MIN(MIN(MOD(A65/Calculator!$F$15,1),1-MOD(A65/Calculator!$F$15,1)),ABS(MOD(A65/Calculator!$F$15,1)-0.5))),1)</f>
        <v>0.0769230769230695</v>
      </c>
      <c r="G65" s="119" t="n">
        <f aca="false">IF(Calculator!$E$16="YES",IF(A65&lt;Calculator!$G$16,0,MIN(MIN(MOD(A65/Calculator!$F$16,1),1-MOD(A65/Calculator!$F$16,1)),ABS(MOD(A65/Calculator!$F$16,1)-0.5))),1)</f>
        <v>0.107692307692307</v>
      </c>
      <c r="H65" s="119" t="n">
        <f aca="false">IF(Calculator!$E$17="YES",IF(A65&lt;Calculator!$G$17,0,MIN(MIN(MOD(A65/Calculator!$F$17,1),1-MOD(A65/Calculator!$F$17,1)),ABS(MOD(A65/Calculator!$F$17,1)-0.5))),1)</f>
        <v>0.164068376068377</v>
      </c>
      <c r="I65" s="119" t="n">
        <f aca="false">IF(Calculator!$E$18="YES",IF(A65&lt;Calculator!$G$18,0,MIN(MIN(MOD(A65/Calculator!$F$18,1),1-MOD(A65/Calculator!$F$18,1)),ABS(MOD(A65/Calculator!$F$18,1)-0.5))),1)</f>
        <v>0.0794871794871801</v>
      </c>
      <c r="J65" s="119" t="n">
        <f aca="false">IF(Calculator!$E$19="YES",IF(A65&lt;Calculator!$G$19,0,MIN(MIN(MOD(A65/Calculator!$F$19,1),1-MOD(A65/Calculator!$F$19,1)),ABS(MOD(A65/Calculator!$F$19,1)-0.5))),1)</f>
        <v>0.0314529914529924</v>
      </c>
      <c r="K65" s="119" t="n">
        <f aca="false">IF(Calculator!$E$20="YES",IF(A65&lt;Calculator!$G$20,0,MIN(MIN(MOD(A65/Calculator!$F$20,1),1-MOD(A65/Calculator!$F$20,1)),ABS(MOD(A65/Calculator!$F$20,1)-0.5))),1)</f>
        <v>0.0957264957264945</v>
      </c>
      <c r="L65" s="119" t="n">
        <f aca="false">IF(Calculator!$E$21="YES",IF(A65&lt;Calculator!$G$21,0,MIN(MIN(MOD(A65/Calculator!$F$21,1),1-MOD(A65/Calculator!$F$21,1)),ABS(MOD(A65/Calculator!$F$21,1)-0.5))),1)</f>
        <v>1</v>
      </c>
      <c r="M65" s="120" t="n">
        <f aca="false">MIN(B65:L65)</f>
        <v>0.0314529914529924</v>
      </c>
      <c r="N65" s="121" t="n">
        <f aca="false">SUMPRODUCT(($M$5:$M$115&gt;M65)*1)+SUMPRODUCT(($M$5:$M$115=M65)*(ROW($M$5:$M$115)&lt;ROW(M65)))+1</f>
        <v>45</v>
      </c>
      <c r="O65" s="122" t="str">
        <f aca="false">IF(M65&gt;=0.2,"★★★ EXCELLENT",IF(M65&gt;=0.12,"★★  GOOD",IF(M65&gt;=0.07,"★  FAIR",IF(M65&gt;=0.025,"⚠  MARGINAL","✗  AVOID"))))</f>
        <v>⚠  MARGINAL</v>
      </c>
    </row>
    <row r="66" customFormat="false" ht="15" hidden="false" customHeight="true" outlineLevel="0" collapsed="false">
      <c r="A66" s="118" t="n">
        <v>35.5</v>
      </c>
      <c r="B66" s="119" t="n">
        <f aca="false">IF(Calculator!$E$11="YES",IF(A66&lt;Calculator!$G$11,0,MIN(MIN(MOD(A66/Calculator!$F$11,1),1-MOD(A66/Calculator!$F$11,1)),ABS(MOD(A66/Calculator!$F$11,1)-0.5))),1)</f>
        <v>1</v>
      </c>
      <c r="C66" s="119" t="n">
        <f aca="false">IF(Calculator!$E$12="YES",IF(A66&lt;Calculator!$G$12,0,MIN(MIN(MOD(A66/Calculator!$F$12,1),1-MOD(A66/Calculator!$F$12,1)),ABS(MOD(A66/Calculator!$F$12,1)-0.5))),1)</f>
        <v>1</v>
      </c>
      <c r="D66" s="119" t="n">
        <f aca="false">IF(Calculator!$E$13="YES",IF(A66&lt;Calculator!$G$13,0,MIN(MIN(MOD(A66/Calculator!$F$13,1),1-MOD(A66/Calculator!$F$13,1)),ABS(MOD(A66/Calculator!$F$13,1)-0.5))),1)</f>
        <v>1</v>
      </c>
      <c r="E66" s="119" t="n">
        <f aca="false">IF(Calculator!$E$14="YES",IF(A66&lt;Calculator!$G$14,0,MIN(MIN(MOD(A66/Calculator!$F$14,1),1-MOD(A66/Calculator!$F$14,1)),ABS(MOD(A66/Calculator!$F$14,1)-0.5))),1)</f>
        <v>0.235555555555552</v>
      </c>
      <c r="F66" s="119" t="n">
        <f aca="false">IF(Calculator!$E$15="YES",IF(A66&lt;Calculator!$G$15,0,MIN(MIN(MOD(A66/Calculator!$F$15,1),1-MOD(A66/Calculator!$F$15,1)),ABS(MOD(A66/Calculator!$F$15,1)-0.5))),1)</f>
        <v>0.0423076923076846</v>
      </c>
      <c r="G66" s="119" t="n">
        <f aca="false">IF(Calculator!$E$16="YES",IF(A66&lt;Calculator!$G$16,0,MIN(MIN(MOD(A66/Calculator!$F$16,1),1-MOD(A66/Calculator!$F$16,1)),ABS(MOD(A66/Calculator!$F$16,1)-0.5))),1)</f>
        <v>0.0592307692307688</v>
      </c>
      <c r="H66" s="119" t="n">
        <f aca="false">IF(Calculator!$E$17="YES",IF(A66&lt;Calculator!$G$17,0,MIN(MIN(MOD(A66/Calculator!$F$17,1),1-MOD(A66/Calculator!$F$17,1)),ABS(MOD(A66/Calculator!$F$17,1)-0.5))),1)</f>
        <v>0.102126495726496</v>
      </c>
      <c r="I66" s="119" t="n">
        <f aca="false">IF(Calculator!$E$18="YES",IF(A66&lt;Calculator!$G$18,0,MIN(MIN(MOD(A66/Calculator!$F$18,1),1-MOD(A66/Calculator!$F$18,1)),ABS(MOD(A66/Calculator!$F$18,1)-0.5))),1)</f>
        <v>0.152051282051283</v>
      </c>
      <c r="J66" s="119" t="n">
        <f aca="false">IF(Calculator!$E$19="YES",IF(A66&lt;Calculator!$G$19,0,MIN(MIN(MOD(A66/Calculator!$F$19,1),1-MOD(A66/Calculator!$F$19,1)),ABS(MOD(A66/Calculator!$F$19,1)-0.5))),1)</f>
        <v>0.0538119658119651</v>
      </c>
      <c r="K66" s="119" t="n">
        <f aca="false">IF(Calculator!$E$20="YES",IF(A66&lt;Calculator!$G$20,0,MIN(MIN(MOD(A66/Calculator!$F$20,1),1-MOD(A66/Calculator!$F$20,1)),ABS(MOD(A66/Calculator!$F$20,1)-0.5))),1)</f>
        <v>0.00290598290598343</v>
      </c>
      <c r="L66" s="119" t="n">
        <f aca="false">IF(Calculator!$E$21="YES",IF(A66&lt;Calculator!$G$21,0,MIN(MIN(MOD(A66/Calculator!$F$21,1),1-MOD(A66/Calculator!$F$21,1)),ABS(MOD(A66/Calculator!$F$21,1)-0.5))),1)</f>
        <v>1</v>
      </c>
      <c r="M66" s="120" t="n">
        <f aca="false">MIN(B66:L66)</f>
        <v>0.00290598290598343</v>
      </c>
      <c r="N66" s="121" t="n">
        <f aca="false">SUMPRODUCT(($M$5:$M$115&gt;M66)*1)+SUMPRODUCT(($M$5:$M$115=M66)*(ROW($M$5:$M$115)&lt;ROW(M66)))+1</f>
        <v>96</v>
      </c>
      <c r="O66" s="122" t="str">
        <f aca="false">IF(M66&gt;=0.2,"★★★ EXCELLENT",IF(M66&gt;=0.12,"★★  GOOD",IF(M66&gt;=0.07,"★  FAIR",IF(M66&gt;=0.025,"⚠  MARGINAL","✗  AVOID"))))</f>
        <v>✗  AVOID</v>
      </c>
    </row>
    <row r="67" customFormat="false" ht="15" hidden="false" customHeight="true" outlineLevel="0" collapsed="false">
      <c r="A67" s="118" t="n">
        <v>36</v>
      </c>
      <c r="B67" s="119" t="n">
        <f aca="false">IF(Calculator!$E$11="YES",IF(A67&lt;Calculator!$G$11,0,MIN(MIN(MOD(A67/Calculator!$F$11,1),1-MOD(A67/Calculator!$F$11,1)),ABS(MOD(A67/Calculator!$F$11,1)-0.5))),1)</f>
        <v>1</v>
      </c>
      <c r="C67" s="119" t="n">
        <f aca="false">IF(Calculator!$E$12="YES",IF(A67&lt;Calculator!$G$12,0,MIN(MIN(MOD(A67/Calculator!$F$12,1),1-MOD(A67/Calculator!$F$12,1)),ABS(MOD(A67/Calculator!$F$12,1)-0.5))),1)</f>
        <v>1</v>
      </c>
      <c r="D67" s="119" t="n">
        <f aca="false">IF(Calculator!$E$13="YES",IF(A67&lt;Calculator!$G$13,0,MIN(MIN(MOD(A67/Calculator!$F$13,1),1-MOD(A67/Calculator!$F$13,1)),ABS(MOD(A67/Calculator!$F$13,1)-0.5))),1)</f>
        <v>1</v>
      </c>
      <c r="E67" s="119" t="n">
        <f aca="false">IF(Calculator!$E$14="YES",IF(A67&lt;Calculator!$G$14,0,MIN(MIN(MOD(A67/Calculator!$F$14,1),1-MOD(A67/Calculator!$F$14,1)),ABS(MOD(A67/Calculator!$F$14,1)-0.5))),1)</f>
        <v>0.240000000000004</v>
      </c>
      <c r="F67" s="119" t="n">
        <f aca="false">IF(Calculator!$E$15="YES",IF(A67&lt;Calculator!$G$15,0,MIN(MIN(MOD(A67/Calculator!$F$15,1),1-MOD(A67/Calculator!$F$15,1)),ABS(MOD(A67/Calculator!$F$15,1)-0.5))),1)</f>
        <v>0.00769230769230012</v>
      </c>
      <c r="G67" s="119" t="n">
        <f aca="false">IF(Calculator!$E$16="YES",IF(A67&lt;Calculator!$G$16,0,MIN(MIN(MOD(A67/Calculator!$F$16,1),1-MOD(A67/Calculator!$F$16,1)),ABS(MOD(A67/Calculator!$F$16,1)-0.5))),1)</f>
        <v>0.0107692307692302</v>
      </c>
      <c r="H67" s="119" t="n">
        <f aca="false">IF(Calculator!$E$17="YES",IF(A67&lt;Calculator!$G$17,0,MIN(MIN(MOD(A67/Calculator!$F$17,1),1-MOD(A67/Calculator!$F$17,1)),ABS(MOD(A67/Calculator!$F$17,1)-0.5))),1)</f>
        <v>0.0401846153846162</v>
      </c>
      <c r="I67" s="119" t="n">
        <f aca="false">IF(Calculator!$E$18="YES",IF(A67&lt;Calculator!$G$18,0,MIN(MIN(MOD(A67/Calculator!$F$18,1),1-MOD(A67/Calculator!$F$18,1)),ABS(MOD(A67/Calculator!$F$18,1)-0.5))),1)</f>
        <v>0.224615384615385</v>
      </c>
      <c r="J67" s="119" t="n">
        <f aca="false">IF(Calculator!$E$19="YES",IF(A67&lt;Calculator!$G$19,0,MIN(MIN(MOD(A67/Calculator!$F$19,1),1-MOD(A67/Calculator!$F$19,1)),ABS(MOD(A67/Calculator!$F$19,1)-0.5))),1)</f>
        <v>0.139076923076923</v>
      </c>
      <c r="K67" s="119" t="n">
        <f aca="false">IF(Calculator!$E$20="YES",IF(A67&lt;Calculator!$G$20,0,MIN(MIN(MOD(A67/Calculator!$F$20,1),1-MOD(A67/Calculator!$F$20,1)),ABS(MOD(A67/Calculator!$F$20,1)-0.5))),1)</f>
        <v>0.101538461538462</v>
      </c>
      <c r="L67" s="119" t="n">
        <f aca="false">IF(Calculator!$E$21="YES",IF(A67&lt;Calculator!$G$21,0,MIN(MIN(MOD(A67/Calculator!$F$21,1),1-MOD(A67/Calculator!$F$21,1)),ABS(MOD(A67/Calculator!$F$21,1)-0.5))),1)</f>
        <v>1</v>
      </c>
      <c r="M67" s="120" t="n">
        <f aca="false">MIN(B67:L67)</f>
        <v>0.00769230769230012</v>
      </c>
      <c r="N67" s="121" t="n">
        <f aca="false">SUMPRODUCT(($M$5:$M$115&gt;M67)*1)+SUMPRODUCT(($M$5:$M$115=M67)*(ROW($M$5:$M$115)&lt;ROW(M67)))+1</f>
        <v>85</v>
      </c>
      <c r="O67" s="122" t="str">
        <f aca="false">IF(M67&gt;=0.2,"★★★ EXCELLENT",IF(M67&gt;=0.12,"★★  GOOD",IF(M67&gt;=0.07,"★  FAIR",IF(M67&gt;=0.025,"⚠  MARGINAL","✗  AVOID"))))</f>
        <v>✗  AVOID</v>
      </c>
    </row>
    <row r="68" customFormat="false" ht="15" hidden="false" customHeight="true" outlineLevel="0" collapsed="false">
      <c r="A68" s="118" t="n">
        <v>36.5</v>
      </c>
      <c r="B68" s="119" t="n">
        <f aca="false">IF(Calculator!$E$11="YES",IF(A68&lt;Calculator!$G$11,0,MIN(MIN(MOD(A68/Calculator!$F$11,1),1-MOD(A68/Calculator!$F$11,1)),ABS(MOD(A68/Calculator!$F$11,1)-0.5))),1)</f>
        <v>1</v>
      </c>
      <c r="C68" s="119" t="n">
        <f aca="false">IF(Calculator!$E$12="YES",IF(A68&lt;Calculator!$G$12,0,MIN(MIN(MOD(A68/Calculator!$F$12,1),1-MOD(A68/Calculator!$F$12,1)),ABS(MOD(A68/Calculator!$F$12,1)-0.5))),1)</f>
        <v>1</v>
      </c>
      <c r="D68" s="119" t="n">
        <f aca="false">IF(Calculator!$E$13="YES",IF(A68&lt;Calculator!$G$13,0,MIN(MIN(MOD(A68/Calculator!$F$13,1),1-MOD(A68/Calculator!$F$13,1)),ABS(MOD(A68/Calculator!$F$13,1)-0.5))),1)</f>
        <v>1</v>
      </c>
      <c r="E68" s="119" t="n">
        <f aca="false">IF(Calculator!$E$14="YES",IF(A68&lt;Calculator!$G$14,0,MIN(MIN(MOD(A68/Calculator!$F$14,1),1-MOD(A68/Calculator!$F$14,1)),ABS(MOD(A68/Calculator!$F$14,1)-0.5))),1)</f>
        <v>0.21555555555556</v>
      </c>
      <c r="F68" s="119" t="n">
        <f aca="false">IF(Calculator!$E$15="YES",IF(A68&lt;Calculator!$G$15,0,MIN(MIN(MOD(A68/Calculator!$F$15,1),1-MOD(A68/Calculator!$F$15,1)),ABS(MOD(A68/Calculator!$F$15,1)-0.5))),1)</f>
        <v>0.0269230769230848</v>
      </c>
      <c r="G68" s="119" t="n">
        <f aca="false">IF(Calculator!$E$16="YES",IF(A68&lt;Calculator!$G$16,0,MIN(MIN(MOD(A68/Calculator!$F$16,1),1-MOD(A68/Calculator!$F$16,1)),ABS(MOD(A68/Calculator!$F$16,1)-0.5))),1)</f>
        <v>0.0376923076923079</v>
      </c>
      <c r="H68" s="119" t="n">
        <f aca="false">IF(Calculator!$E$17="YES",IF(A68&lt;Calculator!$G$17,0,MIN(MIN(MOD(A68/Calculator!$F$17,1),1-MOD(A68/Calculator!$F$17,1)),ABS(MOD(A68/Calculator!$F$17,1)-0.5))),1)</f>
        <v>0.0217572649572642</v>
      </c>
      <c r="I68" s="119" t="n">
        <f aca="false">IF(Calculator!$E$18="YES",IF(A68&lt;Calculator!$G$18,0,MIN(MIN(MOD(A68/Calculator!$F$18,1),1-MOD(A68/Calculator!$F$18,1)),ABS(MOD(A68/Calculator!$F$18,1)-0.5))),1)</f>
        <v>0.202820512820512</v>
      </c>
      <c r="J68" s="119" t="n">
        <f aca="false">IF(Calculator!$E$19="YES",IF(A68&lt;Calculator!$G$19,0,MIN(MIN(MOD(A68/Calculator!$F$19,1),1-MOD(A68/Calculator!$F$19,1)),ABS(MOD(A68/Calculator!$F$19,1)-0.5))),1)</f>
        <v>0.224341880341879</v>
      </c>
      <c r="K68" s="119" t="n">
        <f aca="false">IF(Calculator!$E$20="YES",IF(A68&lt;Calculator!$G$20,0,MIN(MIN(MOD(A68/Calculator!$F$20,1),1-MOD(A68/Calculator!$F$20,1)),ABS(MOD(A68/Calculator!$F$20,1)-0.5))),1)</f>
        <v>0.200170940170941</v>
      </c>
      <c r="L68" s="119" t="n">
        <f aca="false">IF(Calculator!$E$21="YES",IF(A68&lt;Calculator!$G$21,0,MIN(MIN(MOD(A68/Calculator!$F$21,1),1-MOD(A68/Calculator!$F$21,1)),ABS(MOD(A68/Calculator!$F$21,1)-0.5))),1)</f>
        <v>1</v>
      </c>
      <c r="M68" s="120" t="n">
        <f aca="false">MIN(B68:L68)</f>
        <v>0.0217572649572642</v>
      </c>
      <c r="N68" s="121" t="n">
        <f aca="false">SUMPRODUCT(($M$5:$M$115&gt;M68)*1)+SUMPRODUCT(($M$5:$M$115=M68)*(ROW($M$5:$M$115)&lt;ROW(M68)))+1</f>
        <v>61</v>
      </c>
      <c r="O68" s="122" t="str">
        <f aca="false">IF(M68&gt;=0.2,"★★★ EXCELLENT",IF(M68&gt;=0.12,"★★  GOOD",IF(M68&gt;=0.07,"★  FAIR",IF(M68&gt;=0.025,"⚠  MARGINAL","✗  AVOID"))))</f>
        <v>✗  AVOID</v>
      </c>
    </row>
    <row r="69" customFormat="false" ht="15" hidden="false" customHeight="true" outlineLevel="0" collapsed="false">
      <c r="A69" s="118" t="n">
        <v>37</v>
      </c>
      <c r="B69" s="119" t="n">
        <f aca="false">IF(Calculator!$E$11="YES",IF(A69&lt;Calculator!$G$11,0,MIN(MIN(MOD(A69/Calculator!$F$11,1),1-MOD(A69/Calculator!$F$11,1)),ABS(MOD(A69/Calculator!$F$11,1)-0.5))),1)</f>
        <v>1</v>
      </c>
      <c r="C69" s="119" t="n">
        <f aca="false">IF(Calculator!$E$12="YES",IF(A69&lt;Calculator!$G$12,0,MIN(MIN(MOD(A69/Calculator!$F$12,1),1-MOD(A69/Calculator!$F$12,1)),ABS(MOD(A69/Calculator!$F$12,1)-0.5))),1)</f>
        <v>1</v>
      </c>
      <c r="D69" s="119" t="n">
        <f aca="false">IF(Calculator!$E$13="YES",IF(A69&lt;Calculator!$G$13,0,MIN(MIN(MOD(A69/Calculator!$F$13,1),1-MOD(A69/Calculator!$F$13,1)),ABS(MOD(A69/Calculator!$F$13,1)-0.5))),1)</f>
        <v>1</v>
      </c>
      <c r="E69" s="119" t="n">
        <f aca="false">IF(Calculator!$E$14="YES",IF(A69&lt;Calculator!$G$14,0,MIN(MIN(MOD(A69/Calculator!$F$14,1),1-MOD(A69/Calculator!$F$14,1)),ABS(MOD(A69/Calculator!$F$14,1)-0.5))),1)</f>
        <v>0.191111111111115</v>
      </c>
      <c r="F69" s="119" t="n">
        <f aca="false">IF(Calculator!$E$15="YES",IF(A69&lt;Calculator!$G$15,0,MIN(MIN(MOD(A69/Calculator!$F$15,1),1-MOD(A69/Calculator!$F$15,1)),ABS(MOD(A69/Calculator!$F$15,1)-0.5))),1)</f>
        <v>0.0615384615384693</v>
      </c>
      <c r="G69" s="119" t="n">
        <f aca="false">IF(Calculator!$E$16="YES",IF(A69&lt;Calculator!$G$16,0,MIN(MIN(MOD(A69/Calculator!$F$16,1),1-MOD(A69/Calculator!$F$16,1)),ABS(MOD(A69/Calculator!$F$16,1)-0.5))),1)</f>
        <v>0.0861538461538465</v>
      </c>
      <c r="H69" s="119" t="n">
        <f aca="false">IF(Calculator!$E$17="YES",IF(A69&lt;Calculator!$G$17,0,MIN(MIN(MOD(A69/Calculator!$F$17,1),1-MOD(A69/Calculator!$F$17,1)),ABS(MOD(A69/Calculator!$F$17,1)-0.5))),1)</f>
        <v>0.0836991452991445</v>
      </c>
      <c r="I69" s="119" t="n">
        <f aca="false">IF(Calculator!$E$18="YES",IF(A69&lt;Calculator!$G$18,0,MIN(MIN(MOD(A69/Calculator!$F$18,1),1-MOD(A69/Calculator!$F$18,1)),ABS(MOD(A69/Calculator!$F$18,1)-0.5))),1)</f>
        <v>0.130256410256409</v>
      </c>
      <c r="J69" s="119" t="n">
        <f aca="false">IF(Calculator!$E$19="YES",IF(A69&lt;Calculator!$G$19,0,MIN(MIN(MOD(A69/Calculator!$F$19,1),1-MOD(A69/Calculator!$F$19,1)),ABS(MOD(A69/Calculator!$F$19,1)-0.5))),1)</f>
        <v>0.190393162393163</v>
      </c>
      <c r="K69" s="119" t="n">
        <f aca="false">IF(Calculator!$E$20="YES",IF(A69&lt;Calculator!$G$20,0,MIN(MIN(MOD(A69/Calculator!$F$20,1),1-MOD(A69/Calculator!$F$20,1)),ABS(MOD(A69/Calculator!$F$20,1)-0.5))),1)</f>
        <v>0.20119658119658</v>
      </c>
      <c r="L69" s="119" t="n">
        <f aca="false">IF(Calculator!$E$21="YES",IF(A69&lt;Calculator!$G$21,0,MIN(MIN(MOD(A69/Calculator!$F$21,1),1-MOD(A69/Calculator!$F$21,1)),ABS(MOD(A69/Calculator!$F$21,1)-0.5))),1)</f>
        <v>1</v>
      </c>
      <c r="M69" s="120" t="n">
        <f aca="false">MIN(B69:L69)</f>
        <v>0.0615384615384693</v>
      </c>
      <c r="N69" s="121" t="n">
        <f aca="false">SUMPRODUCT(($M$5:$M$115&gt;M69)*1)+SUMPRODUCT(($M$5:$M$115=M69)*(ROW($M$5:$M$115)&lt;ROW(M69)))+1</f>
        <v>17</v>
      </c>
      <c r="O69" s="122" t="str">
        <f aca="false">IF(M69&gt;=0.2,"★★★ EXCELLENT",IF(M69&gt;=0.12,"★★  GOOD",IF(M69&gt;=0.07,"★  FAIR",IF(M69&gt;=0.025,"⚠  MARGINAL","✗  AVOID"))))</f>
        <v>⚠  MARGINAL</v>
      </c>
    </row>
    <row r="70" customFormat="false" ht="15" hidden="false" customHeight="true" outlineLevel="0" collapsed="false">
      <c r="A70" s="118" t="n">
        <v>37.5</v>
      </c>
      <c r="B70" s="119" t="n">
        <f aca="false">IF(Calculator!$E$11="YES",IF(A70&lt;Calculator!$G$11,0,MIN(MIN(MOD(A70/Calculator!$F$11,1),1-MOD(A70/Calculator!$F$11,1)),ABS(MOD(A70/Calculator!$F$11,1)-0.5))),1)</f>
        <v>1</v>
      </c>
      <c r="C70" s="119" t="n">
        <f aca="false">IF(Calculator!$E$12="YES",IF(A70&lt;Calculator!$G$12,0,MIN(MIN(MOD(A70/Calculator!$F$12,1),1-MOD(A70/Calculator!$F$12,1)),ABS(MOD(A70/Calculator!$F$12,1)-0.5))),1)</f>
        <v>1</v>
      </c>
      <c r="D70" s="119" t="n">
        <f aca="false">IF(Calculator!$E$13="YES",IF(A70&lt;Calculator!$G$13,0,MIN(MIN(MOD(A70/Calculator!$F$13,1),1-MOD(A70/Calculator!$F$13,1)),ABS(MOD(A70/Calculator!$F$13,1)-0.5))),1)</f>
        <v>1</v>
      </c>
      <c r="E70" s="119" t="n">
        <f aca="false">IF(Calculator!$E$14="YES",IF(A70&lt;Calculator!$G$14,0,MIN(MIN(MOD(A70/Calculator!$F$14,1),1-MOD(A70/Calculator!$F$14,1)),ABS(MOD(A70/Calculator!$F$14,1)-0.5))),1)</f>
        <v>0.166666666666671</v>
      </c>
      <c r="F70" s="119" t="n">
        <f aca="false">IF(Calculator!$E$15="YES",IF(A70&lt;Calculator!$G$15,0,MIN(MIN(MOD(A70/Calculator!$F$15,1),1-MOD(A70/Calculator!$F$15,1)),ABS(MOD(A70/Calculator!$F$15,1)-0.5))),1)</f>
        <v>0.0961538461538543</v>
      </c>
      <c r="G70" s="119" t="n">
        <f aca="false">IF(Calculator!$E$16="YES",IF(A70&lt;Calculator!$G$16,0,MIN(MIN(MOD(A70/Calculator!$F$16,1),1-MOD(A70/Calculator!$F$16,1)),ABS(MOD(A70/Calculator!$F$16,1)-0.5))),1)</f>
        <v>0.134615384615385</v>
      </c>
      <c r="H70" s="119" t="n">
        <f aca="false">IF(Calculator!$E$17="YES",IF(A70&lt;Calculator!$G$17,0,MIN(MIN(MOD(A70/Calculator!$F$17,1),1-MOD(A70/Calculator!$F$17,1)),ABS(MOD(A70/Calculator!$F$17,1)-0.5))),1)</f>
        <v>0.145641025641025</v>
      </c>
      <c r="I70" s="119" t="n">
        <f aca="false">IF(Calculator!$E$18="YES",IF(A70&lt;Calculator!$G$18,0,MIN(MIN(MOD(A70/Calculator!$F$18,1),1-MOD(A70/Calculator!$F$18,1)),ABS(MOD(A70/Calculator!$F$18,1)-0.5))),1)</f>
        <v>0.0576923076923075</v>
      </c>
      <c r="J70" s="119" t="n">
        <f aca="false">IF(Calculator!$E$19="YES",IF(A70&lt;Calculator!$G$19,0,MIN(MIN(MOD(A70/Calculator!$F$19,1),1-MOD(A70/Calculator!$F$19,1)),ABS(MOD(A70/Calculator!$F$19,1)-0.5))),1)</f>
        <v>0.105128205128206</v>
      </c>
      <c r="K70" s="119" t="n">
        <f aca="false">IF(Calculator!$E$20="YES",IF(A70&lt;Calculator!$G$20,0,MIN(MIN(MOD(A70/Calculator!$F$20,1),1-MOD(A70/Calculator!$F$20,1)),ABS(MOD(A70/Calculator!$F$20,1)-0.5))),1)</f>
        <v>0.102564102564101</v>
      </c>
      <c r="L70" s="119" t="n">
        <f aca="false">IF(Calculator!$E$21="YES",IF(A70&lt;Calculator!$G$21,0,MIN(MIN(MOD(A70/Calculator!$F$21,1),1-MOD(A70/Calculator!$F$21,1)),ABS(MOD(A70/Calculator!$F$21,1)-0.5))),1)</f>
        <v>1</v>
      </c>
      <c r="M70" s="120" t="n">
        <f aca="false">MIN(B70:L70)</f>
        <v>0.0576923076923075</v>
      </c>
      <c r="N70" s="121" t="n">
        <f aca="false">SUMPRODUCT(($M$5:$M$115&gt;M70)*1)+SUMPRODUCT(($M$5:$M$115=M70)*(ROW($M$5:$M$115)&lt;ROW(M70)))+1</f>
        <v>21</v>
      </c>
      <c r="O70" s="122" t="str">
        <f aca="false">IF(M70&gt;=0.2,"★★★ EXCELLENT",IF(M70&gt;=0.12,"★★  GOOD",IF(M70&gt;=0.07,"★  FAIR",IF(M70&gt;=0.025,"⚠  MARGINAL","✗  AVOID"))))</f>
        <v>⚠  MARGINAL</v>
      </c>
    </row>
    <row r="71" customFormat="false" ht="15" hidden="false" customHeight="true" outlineLevel="0" collapsed="false">
      <c r="A71" s="118" t="n">
        <v>38</v>
      </c>
      <c r="B71" s="119" t="n">
        <f aca="false">IF(Calculator!$E$11="YES",IF(A71&lt;Calculator!$G$11,0,MIN(MIN(MOD(A71/Calculator!$F$11,1),1-MOD(A71/Calculator!$F$11,1)),ABS(MOD(A71/Calculator!$F$11,1)-0.5))),1)</f>
        <v>1</v>
      </c>
      <c r="C71" s="119" t="n">
        <f aca="false">IF(Calculator!$E$12="YES",IF(A71&lt;Calculator!$G$12,0,MIN(MIN(MOD(A71/Calculator!$F$12,1),1-MOD(A71/Calculator!$F$12,1)),ABS(MOD(A71/Calculator!$F$12,1)-0.5))),1)</f>
        <v>1</v>
      </c>
      <c r="D71" s="119" t="n">
        <f aca="false">IF(Calculator!$E$13="YES",IF(A71&lt;Calculator!$G$13,0,MIN(MIN(MOD(A71/Calculator!$F$13,1),1-MOD(A71/Calculator!$F$13,1)),ABS(MOD(A71/Calculator!$F$13,1)-0.5))),1)</f>
        <v>1</v>
      </c>
      <c r="E71" s="119" t="n">
        <f aca="false">IF(Calculator!$E$14="YES",IF(A71&lt;Calculator!$G$14,0,MIN(MIN(MOD(A71/Calculator!$F$14,1),1-MOD(A71/Calculator!$F$14,1)),ABS(MOD(A71/Calculator!$F$14,1)-0.5))),1)</f>
        <v>0.142222222222226</v>
      </c>
      <c r="F71" s="119" t="n">
        <f aca="false">IF(Calculator!$E$15="YES",IF(A71&lt;Calculator!$G$15,0,MIN(MIN(MOD(A71/Calculator!$F$15,1),1-MOD(A71/Calculator!$F$15,1)),ABS(MOD(A71/Calculator!$F$15,1)-0.5))),1)</f>
        <v>0.130769230769239</v>
      </c>
      <c r="G71" s="119" t="n">
        <f aca="false">IF(Calculator!$E$16="YES",IF(A71&lt;Calculator!$G$16,0,MIN(MIN(MOD(A71/Calculator!$F$16,1),1-MOD(A71/Calculator!$F$16,1)),ABS(MOD(A71/Calculator!$F$16,1)-0.5))),1)</f>
        <v>0.183076923076924</v>
      </c>
      <c r="H71" s="119" t="n">
        <f aca="false">IF(Calculator!$E$17="YES",IF(A71&lt;Calculator!$G$17,0,MIN(MIN(MOD(A71/Calculator!$F$17,1),1-MOD(A71/Calculator!$F$17,1)),ABS(MOD(A71/Calculator!$F$17,1)-0.5))),1)</f>
        <v>0.207582905982905</v>
      </c>
      <c r="I71" s="119" t="n">
        <f aca="false">IF(Calculator!$E$18="YES",IF(A71&lt;Calculator!$G$18,0,MIN(MIN(MOD(A71/Calculator!$F$18,1),1-MOD(A71/Calculator!$F$18,1)),ABS(MOD(A71/Calculator!$F$18,1)-0.5))),1)</f>
        <v>0.0148717948717954</v>
      </c>
      <c r="J71" s="119" t="n">
        <f aca="false">IF(Calculator!$E$19="YES",IF(A71&lt;Calculator!$G$19,0,MIN(MIN(MOD(A71/Calculator!$F$19,1),1-MOD(A71/Calculator!$F$19,1)),ABS(MOD(A71/Calculator!$F$19,1)-0.5))),1)</f>
        <v>0.019863247863249</v>
      </c>
      <c r="K71" s="119" t="n">
        <f aca="false">IF(Calculator!$E$20="YES",IF(A71&lt;Calculator!$G$20,0,MIN(MIN(MOD(A71/Calculator!$F$20,1),1-MOD(A71/Calculator!$F$20,1)),ABS(MOD(A71/Calculator!$F$20,1)-0.5))),1)</f>
        <v>0.00393162393162339</v>
      </c>
      <c r="L71" s="119" t="n">
        <f aca="false">IF(Calculator!$E$21="YES",IF(A71&lt;Calculator!$G$21,0,MIN(MIN(MOD(A71/Calculator!$F$21,1),1-MOD(A71/Calculator!$F$21,1)),ABS(MOD(A71/Calculator!$F$21,1)-0.5))),1)</f>
        <v>1</v>
      </c>
      <c r="M71" s="120" t="n">
        <f aca="false">MIN(B71:L71)</f>
        <v>0.00393162393162339</v>
      </c>
      <c r="N71" s="121" t="n">
        <f aca="false">SUMPRODUCT(($M$5:$M$115&gt;M71)*1)+SUMPRODUCT(($M$5:$M$115=M71)*(ROW($M$5:$M$115)&lt;ROW(M71)))+1</f>
        <v>91</v>
      </c>
      <c r="O71" s="122" t="str">
        <f aca="false">IF(M71&gt;=0.2,"★★★ EXCELLENT",IF(M71&gt;=0.12,"★★  GOOD",IF(M71&gt;=0.07,"★  FAIR",IF(M71&gt;=0.025,"⚠  MARGINAL","✗  AVOID"))))</f>
        <v>✗  AVOID</v>
      </c>
    </row>
    <row r="72" customFormat="false" ht="15" hidden="false" customHeight="true" outlineLevel="0" collapsed="false">
      <c r="A72" s="118" t="n">
        <v>38.5</v>
      </c>
      <c r="B72" s="119" t="n">
        <f aca="false">IF(Calculator!$E$11="YES",IF(A72&lt;Calculator!$G$11,0,MIN(MIN(MOD(A72/Calculator!$F$11,1),1-MOD(A72/Calculator!$F$11,1)),ABS(MOD(A72/Calculator!$F$11,1)-0.5))),1)</f>
        <v>1</v>
      </c>
      <c r="C72" s="119" t="n">
        <f aca="false">IF(Calculator!$E$12="YES",IF(A72&lt;Calculator!$G$12,0,MIN(MIN(MOD(A72/Calculator!$F$12,1),1-MOD(A72/Calculator!$F$12,1)),ABS(MOD(A72/Calculator!$F$12,1)-0.5))),1)</f>
        <v>1</v>
      </c>
      <c r="D72" s="119" t="n">
        <f aca="false">IF(Calculator!$E$13="YES",IF(A72&lt;Calculator!$G$13,0,MIN(MIN(MOD(A72/Calculator!$F$13,1),1-MOD(A72/Calculator!$F$13,1)),ABS(MOD(A72/Calculator!$F$13,1)-0.5))),1)</f>
        <v>1</v>
      </c>
      <c r="E72" s="119" t="n">
        <f aca="false">IF(Calculator!$E$14="YES",IF(A72&lt;Calculator!$G$14,0,MIN(MIN(MOD(A72/Calculator!$F$14,1),1-MOD(A72/Calculator!$F$14,1)),ABS(MOD(A72/Calculator!$F$14,1)-0.5))),1)</f>
        <v>0.117777777777782</v>
      </c>
      <c r="F72" s="119" t="n">
        <f aca="false">IF(Calculator!$E$15="YES",IF(A72&lt;Calculator!$G$15,0,MIN(MIN(MOD(A72/Calculator!$F$15,1),1-MOD(A72/Calculator!$F$15,1)),ABS(MOD(A72/Calculator!$F$15,1)-0.5))),1)</f>
        <v>0.165384615384624</v>
      </c>
      <c r="G72" s="119" t="n">
        <f aca="false">IF(Calculator!$E$16="YES",IF(A72&lt;Calculator!$G$16,0,MIN(MIN(MOD(A72/Calculator!$F$16,1),1-MOD(A72/Calculator!$F$16,1)),ABS(MOD(A72/Calculator!$F$16,1)-0.5))),1)</f>
        <v>0.231538461538462</v>
      </c>
      <c r="H72" s="119" t="n">
        <f aca="false">IF(Calculator!$E$17="YES",IF(A72&lt;Calculator!$G$17,0,MIN(MIN(MOD(A72/Calculator!$F$17,1),1-MOD(A72/Calculator!$F$17,1)),ABS(MOD(A72/Calculator!$F$17,1)-0.5))),1)</f>
        <v>0.230475213675215</v>
      </c>
      <c r="I72" s="119" t="n">
        <f aca="false">IF(Calculator!$E$18="YES",IF(A72&lt;Calculator!$G$18,0,MIN(MIN(MOD(A72/Calculator!$F$18,1),1-MOD(A72/Calculator!$F$18,1)),ABS(MOD(A72/Calculator!$F$18,1)-0.5))),1)</f>
        <v>0.0874358974358982</v>
      </c>
      <c r="J72" s="119" t="n">
        <f aca="false">IF(Calculator!$E$19="YES",IF(A72&lt;Calculator!$G$19,0,MIN(MIN(MOD(A72/Calculator!$F$19,1),1-MOD(A72/Calculator!$F$19,1)),ABS(MOD(A72/Calculator!$F$19,1)-0.5))),1)</f>
        <v>0.0654017094017085</v>
      </c>
      <c r="K72" s="119" t="n">
        <f aca="false">IF(Calculator!$E$20="YES",IF(A72&lt;Calculator!$G$20,0,MIN(MIN(MOD(A72/Calculator!$F$20,1),1-MOD(A72/Calculator!$F$20,1)),ABS(MOD(A72/Calculator!$F$20,1)-0.5))),1)</f>
        <v>0.0947008547008554</v>
      </c>
      <c r="L72" s="119" t="n">
        <f aca="false">IF(Calculator!$E$21="YES",IF(A72&lt;Calculator!$G$21,0,MIN(MIN(MOD(A72/Calculator!$F$21,1),1-MOD(A72/Calculator!$F$21,1)),ABS(MOD(A72/Calculator!$F$21,1)-0.5))),1)</f>
        <v>1</v>
      </c>
      <c r="M72" s="120" t="n">
        <f aca="false">MIN(B72:L72)</f>
        <v>0.0654017094017085</v>
      </c>
      <c r="N72" s="121" t="n">
        <f aca="false">SUMPRODUCT(($M$5:$M$115&gt;M72)*1)+SUMPRODUCT(($M$5:$M$115=M72)*(ROW($M$5:$M$115)&lt;ROW(M72)))+1</f>
        <v>15</v>
      </c>
      <c r="O72" s="122" t="str">
        <f aca="false">IF(M72&gt;=0.2,"★★★ EXCELLENT",IF(M72&gt;=0.12,"★★  GOOD",IF(M72&gt;=0.07,"★  FAIR",IF(M72&gt;=0.025,"⚠  MARGINAL","✗  AVOID"))))</f>
        <v>⚠  MARGINAL</v>
      </c>
    </row>
    <row r="73" customFormat="false" ht="15" hidden="false" customHeight="true" outlineLevel="0" collapsed="false">
      <c r="A73" s="118" t="n">
        <v>39</v>
      </c>
      <c r="B73" s="119" t="n">
        <f aca="false">IF(Calculator!$E$11="YES",IF(A73&lt;Calculator!$G$11,0,MIN(MIN(MOD(A73/Calculator!$F$11,1),1-MOD(A73/Calculator!$F$11,1)),ABS(MOD(A73/Calculator!$F$11,1)-0.5))),1)</f>
        <v>1</v>
      </c>
      <c r="C73" s="119" t="n">
        <f aca="false">IF(Calculator!$E$12="YES",IF(A73&lt;Calculator!$G$12,0,MIN(MIN(MOD(A73/Calculator!$F$12,1),1-MOD(A73/Calculator!$F$12,1)),ABS(MOD(A73/Calculator!$F$12,1)-0.5))),1)</f>
        <v>1</v>
      </c>
      <c r="D73" s="119" t="n">
        <f aca="false">IF(Calculator!$E$13="YES",IF(A73&lt;Calculator!$G$13,0,MIN(MIN(MOD(A73/Calculator!$F$13,1),1-MOD(A73/Calculator!$F$13,1)),ABS(MOD(A73/Calculator!$F$13,1)-0.5))),1)</f>
        <v>1</v>
      </c>
      <c r="E73" s="119" t="n">
        <f aca="false">IF(Calculator!$E$14="YES",IF(A73&lt;Calculator!$G$14,0,MIN(MIN(MOD(A73/Calculator!$F$14,1),1-MOD(A73/Calculator!$F$14,1)),ABS(MOD(A73/Calculator!$F$14,1)-0.5))),1)</f>
        <v>0.0933333333333375</v>
      </c>
      <c r="F73" s="119" t="n">
        <f aca="false">IF(Calculator!$E$15="YES",IF(A73&lt;Calculator!$G$15,0,MIN(MIN(MOD(A73/Calculator!$F$15,1),1-MOD(A73/Calculator!$F$15,1)),ABS(MOD(A73/Calculator!$F$15,1)-0.5))),1)</f>
        <v>0.200000000000008</v>
      </c>
      <c r="G73" s="119" t="n">
        <f aca="false">IF(Calculator!$E$16="YES",IF(A73&lt;Calculator!$G$16,0,MIN(MIN(MOD(A73/Calculator!$F$16,1),1-MOD(A73/Calculator!$F$16,1)),ABS(MOD(A73/Calculator!$F$16,1)-0.5))),1)</f>
        <v>0.22</v>
      </c>
      <c r="H73" s="119" t="n">
        <f aca="false">IF(Calculator!$E$17="YES",IF(A73&lt;Calculator!$G$17,0,MIN(MIN(MOD(A73/Calculator!$F$17,1),1-MOD(A73/Calculator!$F$17,1)),ABS(MOD(A73/Calculator!$F$17,1)-0.5))),1)</f>
        <v>0.168533333333334</v>
      </c>
      <c r="I73" s="119" t="n">
        <f aca="false">IF(Calculator!$E$18="YES",IF(A73&lt;Calculator!$G$18,0,MIN(MIN(MOD(A73/Calculator!$F$18,1),1-MOD(A73/Calculator!$F$18,1)),ABS(MOD(A73/Calculator!$F$18,1)-0.5))),1)</f>
        <v>0.160000000000001</v>
      </c>
      <c r="J73" s="119" t="n">
        <f aca="false">IF(Calculator!$E$19="YES",IF(A73&lt;Calculator!$G$19,0,MIN(MIN(MOD(A73/Calculator!$F$19,1),1-MOD(A73/Calculator!$F$19,1)),ABS(MOD(A73/Calculator!$F$19,1)-0.5))),1)</f>
        <v>0.150666666666666</v>
      </c>
      <c r="K73" s="119" t="n">
        <f aca="false">IF(Calculator!$E$20="YES",IF(A73&lt;Calculator!$G$20,0,MIN(MIN(MOD(A73/Calculator!$F$20,1),1-MOD(A73/Calculator!$F$20,1)),ABS(MOD(A73/Calculator!$F$20,1)-0.5))),1)</f>
        <v>0.193333333333334</v>
      </c>
      <c r="L73" s="119" t="n">
        <f aca="false">IF(Calculator!$E$21="YES",IF(A73&lt;Calculator!$G$21,0,MIN(MIN(MOD(A73/Calculator!$F$21,1),1-MOD(A73/Calculator!$F$21,1)),ABS(MOD(A73/Calculator!$F$21,1)-0.5))),1)</f>
        <v>1</v>
      </c>
      <c r="M73" s="120" t="n">
        <f aca="false">MIN(B73:L73)</f>
        <v>0.0933333333333375</v>
      </c>
      <c r="N73" s="121" t="n">
        <f aca="false">SUMPRODUCT(($M$5:$M$115&gt;M73)*1)+SUMPRODUCT(($M$5:$M$115=M73)*(ROW($M$5:$M$115)&lt;ROW(M73)))+1</f>
        <v>5</v>
      </c>
      <c r="O73" s="122" t="str">
        <f aca="false">IF(M73&gt;=0.2,"★★★ EXCELLENT",IF(M73&gt;=0.12,"★★  GOOD",IF(M73&gt;=0.07,"★  FAIR",IF(M73&gt;=0.025,"⚠  MARGINAL","✗  AVOID"))))</f>
        <v>★  FAIR</v>
      </c>
    </row>
    <row r="74" customFormat="false" ht="15" hidden="false" customHeight="true" outlineLevel="0" collapsed="false">
      <c r="A74" s="118" t="n">
        <v>39.5</v>
      </c>
      <c r="B74" s="119" t="n">
        <f aca="false">IF(Calculator!$E$11="YES",IF(A74&lt;Calculator!$G$11,0,MIN(MIN(MOD(A74/Calculator!$F$11,1),1-MOD(A74/Calculator!$F$11,1)),ABS(MOD(A74/Calculator!$F$11,1)-0.5))),1)</f>
        <v>1</v>
      </c>
      <c r="C74" s="119" t="n">
        <f aca="false">IF(Calculator!$E$12="YES",IF(A74&lt;Calculator!$G$12,0,MIN(MIN(MOD(A74/Calculator!$F$12,1),1-MOD(A74/Calculator!$F$12,1)),ABS(MOD(A74/Calculator!$F$12,1)-0.5))),1)</f>
        <v>1</v>
      </c>
      <c r="D74" s="119" t="n">
        <f aca="false">IF(Calculator!$E$13="YES",IF(A74&lt;Calculator!$G$13,0,MIN(MIN(MOD(A74/Calculator!$F$13,1),1-MOD(A74/Calculator!$F$13,1)),ABS(MOD(A74/Calculator!$F$13,1)-0.5))),1)</f>
        <v>1</v>
      </c>
      <c r="E74" s="119" t="n">
        <f aca="false">IF(Calculator!$E$14="YES",IF(A74&lt;Calculator!$G$14,0,MIN(MIN(MOD(A74/Calculator!$F$14,1),1-MOD(A74/Calculator!$F$14,1)),ABS(MOD(A74/Calculator!$F$14,1)-0.5))),1)</f>
        <v>0.0688888888888932</v>
      </c>
      <c r="F74" s="119" t="n">
        <f aca="false">IF(Calculator!$E$15="YES",IF(A74&lt;Calculator!$G$15,0,MIN(MIN(MOD(A74/Calculator!$F$15,1),1-MOD(A74/Calculator!$F$15,1)),ABS(MOD(A74/Calculator!$F$15,1)-0.5))),1)</f>
        <v>0.234615384615393</v>
      </c>
      <c r="G74" s="119" t="n">
        <f aca="false">IF(Calculator!$E$16="YES",IF(A74&lt;Calculator!$G$16,0,MIN(MIN(MOD(A74/Calculator!$F$16,1),1-MOD(A74/Calculator!$F$16,1)),ABS(MOD(A74/Calculator!$F$16,1)-0.5))),1)</f>
        <v>0.171538461538461</v>
      </c>
      <c r="H74" s="119" t="n">
        <f aca="false">IF(Calculator!$E$17="YES",IF(A74&lt;Calculator!$G$17,0,MIN(MIN(MOD(A74/Calculator!$F$17,1),1-MOD(A74/Calculator!$F$17,1)),ABS(MOD(A74/Calculator!$F$17,1)-0.5))),1)</f>
        <v>0.106591452991454</v>
      </c>
      <c r="I74" s="119" t="n">
        <f aca="false">IF(Calculator!$E$18="YES",IF(A74&lt;Calculator!$G$18,0,MIN(MIN(MOD(A74/Calculator!$F$18,1),1-MOD(A74/Calculator!$F$18,1)),ABS(MOD(A74/Calculator!$F$18,1)-0.5))),1)</f>
        <v>0.232564102564103</v>
      </c>
      <c r="J74" s="119" t="n">
        <f aca="false">IF(Calculator!$E$19="YES",IF(A74&lt;Calculator!$G$19,0,MIN(MIN(MOD(A74/Calculator!$F$19,1),1-MOD(A74/Calculator!$F$19,1)),ABS(MOD(A74/Calculator!$F$19,1)-0.5))),1)</f>
        <v>0.235931623931623</v>
      </c>
      <c r="K74" s="119" t="n">
        <f aca="false">IF(Calculator!$E$20="YES",IF(A74&lt;Calculator!$G$20,0,MIN(MIN(MOD(A74/Calculator!$F$20,1),1-MOD(A74/Calculator!$F$20,1)),ABS(MOD(A74/Calculator!$F$20,1)-0.5))),1)</f>
        <v>0.208034188034187</v>
      </c>
      <c r="L74" s="119" t="n">
        <f aca="false">IF(Calculator!$E$21="YES",IF(A74&lt;Calculator!$G$21,0,MIN(MIN(MOD(A74/Calculator!$F$21,1),1-MOD(A74/Calculator!$F$21,1)),ABS(MOD(A74/Calculator!$F$21,1)-0.5))),1)</f>
        <v>1</v>
      </c>
      <c r="M74" s="120" t="n">
        <f aca="false">MIN(B74:L74)</f>
        <v>0.0688888888888932</v>
      </c>
      <c r="N74" s="121" t="n">
        <f aca="false">SUMPRODUCT(($M$5:$M$115&gt;M74)*1)+SUMPRODUCT(($M$5:$M$115=M74)*(ROW($M$5:$M$115)&lt;ROW(M74)))+1</f>
        <v>11</v>
      </c>
      <c r="O74" s="122" t="str">
        <f aca="false">IF(M74&gt;=0.2,"★★★ EXCELLENT",IF(M74&gt;=0.12,"★★  GOOD",IF(M74&gt;=0.07,"★  FAIR",IF(M74&gt;=0.025,"⚠  MARGINAL","✗  AVOID"))))</f>
        <v>⚠  MARGINAL</v>
      </c>
    </row>
    <row r="75" customFormat="false" ht="15" hidden="false" customHeight="true" outlineLevel="0" collapsed="false">
      <c r="A75" s="118" t="n">
        <v>40</v>
      </c>
      <c r="B75" s="119" t="n">
        <f aca="false">IF(Calculator!$E$11="YES",IF(A75&lt;Calculator!$G$11,0,MIN(MIN(MOD(A75/Calculator!$F$11,1),1-MOD(A75/Calculator!$F$11,1)),ABS(MOD(A75/Calculator!$F$11,1)-0.5))),1)</f>
        <v>1</v>
      </c>
      <c r="C75" s="119" t="n">
        <f aca="false">IF(Calculator!$E$12="YES",IF(A75&lt;Calculator!$G$12,0,MIN(MIN(MOD(A75/Calculator!$F$12,1),1-MOD(A75/Calculator!$F$12,1)),ABS(MOD(A75/Calculator!$F$12,1)-0.5))),1)</f>
        <v>1</v>
      </c>
      <c r="D75" s="119" t="n">
        <f aca="false">IF(Calculator!$E$13="YES",IF(A75&lt;Calculator!$G$13,0,MIN(MIN(MOD(A75/Calculator!$F$13,1),1-MOD(A75/Calculator!$F$13,1)),ABS(MOD(A75/Calculator!$F$13,1)-0.5))),1)</f>
        <v>1</v>
      </c>
      <c r="E75" s="119" t="n">
        <f aca="false">IF(Calculator!$E$14="YES",IF(A75&lt;Calculator!$G$14,0,MIN(MIN(MOD(A75/Calculator!$F$14,1),1-MOD(A75/Calculator!$F$14,1)),ABS(MOD(A75/Calculator!$F$14,1)-0.5))),1)</f>
        <v>0.0444444444444487</v>
      </c>
      <c r="F75" s="119" t="n">
        <f aca="false">IF(Calculator!$E$15="YES",IF(A75&lt;Calculator!$G$15,0,MIN(MIN(MOD(A75/Calculator!$F$15,1),1-MOD(A75/Calculator!$F$15,1)),ABS(MOD(A75/Calculator!$F$15,1)-0.5))),1)</f>
        <v>0.230769230769222</v>
      </c>
      <c r="G75" s="119" t="n">
        <f aca="false">IF(Calculator!$E$16="YES",IF(A75&lt;Calculator!$G$16,0,MIN(MIN(MOD(A75/Calculator!$F$16,1),1-MOD(A75/Calculator!$F$16,1)),ABS(MOD(A75/Calculator!$F$16,1)-0.5))),1)</f>
        <v>0.123076923076923</v>
      </c>
      <c r="H75" s="119" t="n">
        <f aca="false">IF(Calculator!$E$17="YES",IF(A75&lt;Calculator!$G$17,0,MIN(MIN(MOD(A75/Calculator!$F$17,1),1-MOD(A75/Calculator!$F$17,1)),ABS(MOD(A75/Calculator!$F$17,1)-0.5))),1)</f>
        <v>0.0446495726495737</v>
      </c>
      <c r="I75" s="119" t="n">
        <f aca="false">IF(Calculator!$E$18="YES",IF(A75&lt;Calculator!$G$18,0,MIN(MIN(MOD(A75/Calculator!$F$18,1),1-MOD(A75/Calculator!$F$18,1)),ABS(MOD(A75/Calculator!$F$18,1)-0.5))),1)</f>
        <v>0.194871794871794</v>
      </c>
      <c r="J75" s="119" t="n">
        <f aca="false">IF(Calculator!$E$19="YES",IF(A75&lt;Calculator!$G$19,0,MIN(MIN(MOD(A75/Calculator!$F$19,1),1-MOD(A75/Calculator!$F$19,1)),ABS(MOD(A75/Calculator!$F$19,1)-0.5))),1)</f>
        <v>0.17880341880342</v>
      </c>
      <c r="K75" s="119" t="n">
        <f aca="false">IF(Calculator!$E$20="YES",IF(A75&lt;Calculator!$G$20,0,MIN(MIN(MOD(A75/Calculator!$F$20,1),1-MOD(A75/Calculator!$F$20,1)),ABS(MOD(A75/Calculator!$F$20,1)-0.5))),1)</f>
        <v>0.109401709401708</v>
      </c>
      <c r="L75" s="119" t="n">
        <f aca="false">IF(Calculator!$E$21="YES",IF(A75&lt;Calculator!$G$21,0,MIN(MIN(MOD(A75/Calculator!$F$21,1),1-MOD(A75/Calculator!$F$21,1)),ABS(MOD(A75/Calculator!$F$21,1)-0.5))),1)</f>
        <v>1</v>
      </c>
      <c r="M75" s="120" t="n">
        <f aca="false">MIN(B75:L75)</f>
        <v>0.0444444444444487</v>
      </c>
      <c r="N75" s="121" t="n">
        <f aca="false">SUMPRODUCT(($M$5:$M$115&gt;M75)*1)+SUMPRODUCT(($M$5:$M$115=M75)*(ROW($M$5:$M$115)&lt;ROW(M75)))+1</f>
        <v>28</v>
      </c>
      <c r="O75" s="122" t="str">
        <f aca="false">IF(M75&gt;=0.2,"★★★ EXCELLENT",IF(M75&gt;=0.12,"★★  GOOD",IF(M75&gt;=0.07,"★  FAIR",IF(M75&gt;=0.025,"⚠  MARGINAL","✗  AVOID"))))</f>
        <v>⚠  MARGINAL</v>
      </c>
    </row>
    <row r="76" customFormat="false" ht="15" hidden="false" customHeight="true" outlineLevel="0" collapsed="false">
      <c r="A76" s="118" t="n">
        <v>40.5</v>
      </c>
      <c r="B76" s="119" t="n">
        <f aca="false">IF(Calculator!$E$11="YES",IF(A76&lt;Calculator!$G$11,0,MIN(MIN(MOD(A76/Calculator!$F$11,1),1-MOD(A76/Calculator!$F$11,1)),ABS(MOD(A76/Calculator!$F$11,1)-0.5))),1)</f>
        <v>1</v>
      </c>
      <c r="C76" s="119" t="n">
        <f aca="false">IF(Calculator!$E$12="YES",IF(A76&lt;Calculator!$G$12,0,MIN(MIN(MOD(A76/Calculator!$F$12,1),1-MOD(A76/Calculator!$F$12,1)),ABS(MOD(A76/Calculator!$F$12,1)-0.5))),1)</f>
        <v>1</v>
      </c>
      <c r="D76" s="119" t="n">
        <f aca="false">IF(Calculator!$E$13="YES",IF(A76&lt;Calculator!$G$13,0,MIN(MIN(MOD(A76/Calculator!$F$13,1),1-MOD(A76/Calculator!$F$13,1)),ABS(MOD(A76/Calculator!$F$13,1)-0.5))),1)</f>
        <v>1</v>
      </c>
      <c r="E76" s="119" t="n">
        <f aca="false">IF(Calculator!$E$14="YES",IF(A76&lt;Calculator!$G$14,0,MIN(MIN(MOD(A76/Calculator!$F$14,1),1-MOD(A76/Calculator!$F$14,1)),ABS(MOD(A76/Calculator!$F$14,1)-0.5))),1)</f>
        <v>0.0200000000000042</v>
      </c>
      <c r="F76" s="119" t="n">
        <f aca="false">IF(Calculator!$E$15="YES",IF(A76&lt;Calculator!$G$15,0,MIN(MIN(MOD(A76/Calculator!$F$15,1),1-MOD(A76/Calculator!$F$15,1)),ABS(MOD(A76/Calculator!$F$15,1)-0.5))),1)</f>
        <v>0.196153846153837</v>
      </c>
      <c r="G76" s="119" t="n">
        <f aca="false">IF(Calculator!$E$16="YES",IF(A76&lt;Calculator!$G$16,0,MIN(MIN(MOD(A76/Calculator!$F$16,1),1-MOD(A76/Calculator!$F$16,1)),ABS(MOD(A76/Calculator!$F$16,1)-0.5))),1)</f>
        <v>0.0746153846153841</v>
      </c>
      <c r="H76" s="119" t="n">
        <f aca="false">IF(Calculator!$E$17="YES",IF(A76&lt;Calculator!$G$17,0,MIN(MIN(MOD(A76/Calculator!$F$17,1),1-MOD(A76/Calculator!$F$17,1)),ABS(MOD(A76/Calculator!$F$17,1)-0.5))),1)</f>
        <v>0.0172923076923066</v>
      </c>
      <c r="I76" s="119" t="n">
        <f aca="false">IF(Calculator!$E$18="YES",IF(A76&lt;Calculator!$G$18,0,MIN(MIN(MOD(A76/Calculator!$F$18,1),1-MOD(A76/Calculator!$F$18,1)),ABS(MOD(A76/Calculator!$F$18,1)-0.5))),1)</f>
        <v>0.122307692307691</v>
      </c>
      <c r="J76" s="119" t="n">
        <f aca="false">IF(Calculator!$E$19="YES",IF(A76&lt;Calculator!$G$19,0,MIN(MIN(MOD(A76/Calculator!$F$19,1),1-MOD(A76/Calculator!$F$19,1)),ABS(MOD(A76/Calculator!$F$19,1)-0.5))),1)</f>
        <v>0.0935384615384622</v>
      </c>
      <c r="K76" s="119" t="n">
        <f aca="false">IF(Calculator!$E$20="YES",IF(A76&lt;Calculator!$G$20,0,MIN(MIN(MOD(A76/Calculator!$F$20,1),1-MOD(A76/Calculator!$F$20,1)),ABS(MOD(A76/Calculator!$F$20,1)-0.5))),1)</f>
        <v>0.0107692307692302</v>
      </c>
      <c r="L76" s="119" t="n">
        <f aca="false">IF(Calculator!$E$21="YES",IF(A76&lt;Calculator!$G$21,0,MIN(MIN(MOD(A76/Calculator!$F$21,1),1-MOD(A76/Calculator!$F$21,1)),ABS(MOD(A76/Calculator!$F$21,1)-0.5))),1)</f>
        <v>1</v>
      </c>
      <c r="M76" s="120" t="n">
        <f aca="false">MIN(B76:L76)</f>
        <v>0.0107692307692302</v>
      </c>
      <c r="N76" s="121" t="n">
        <f aca="false">SUMPRODUCT(($M$5:$M$115&gt;M76)*1)+SUMPRODUCT(($M$5:$M$115=M76)*(ROW($M$5:$M$115)&lt;ROW(M76)))+1</f>
        <v>77</v>
      </c>
      <c r="O76" s="122" t="str">
        <f aca="false">IF(M76&gt;=0.2,"★★★ EXCELLENT",IF(M76&gt;=0.12,"★★  GOOD",IF(M76&gt;=0.07,"★  FAIR",IF(M76&gt;=0.025,"⚠  MARGINAL","✗  AVOID"))))</f>
        <v>✗  AVOID</v>
      </c>
    </row>
    <row r="77" customFormat="false" ht="15" hidden="false" customHeight="true" outlineLevel="0" collapsed="false">
      <c r="A77" s="118" t="n">
        <v>41</v>
      </c>
      <c r="B77" s="119" t="n">
        <f aca="false">IF(Calculator!$E$11="YES",IF(A77&lt;Calculator!$G$11,0,MIN(MIN(MOD(A77/Calculator!$F$11,1),1-MOD(A77/Calculator!$F$11,1)),ABS(MOD(A77/Calculator!$F$11,1)-0.5))),1)</f>
        <v>1</v>
      </c>
      <c r="C77" s="119" t="n">
        <f aca="false">IF(Calculator!$E$12="YES",IF(A77&lt;Calculator!$G$12,0,MIN(MIN(MOD(A77/Calculator!$F$12,1),1-MOD(A77/Calculator!$F$12,1)),ABS(MOD(A77/Calculator!$F$12,1)-0.5))),1)</f>
        <v>1</v>
      </c>
      <c r="D77" s="119" t="n">
        <f aca="false">IF(Calculator!$E$13="YES",IF(A77&lt;Calculator!$G$13,0,MIN(MIN(MOD(A77/Calculator!$F$13,1),1-MOD(A77/Calculator!$F$13,1)),ABS(MOD(A77/Calculator!$F$13,1)-0.5))),1)</f>
        <v>1</v>
      </c>
      <c r="E77" s="119" t="n">
        <f aca="false">IF(Calculator!$E$14="YES",IF(A77&lt;Calculator!$G$14,0,MIN(MIN(MOD(A77/Calculator!$F$14,1),1-MOD(A77/Calculator!$F$14,1)),ABS(MOD(A77/Calculator!$F$14,1)-0.5))),1)</f>
        <v>0.00444444444444025</v>
      </c>
      <c r="F77" s="119" t="n">
        <f aca="false">IF(Calculator!$E$15="YES",IF(A77&lt;Calculator!$G$15,0,MIN(MIN(MOD(A77/Calculator!$F$15,1),1-MOD(A77/Calculator!$F$15,1)),ABS(MOD(A77/Calculator!$F$15,1)-0.5))),1)</f>
        <v>0.161538461538453</v>
      </c>
      <c r="G77" s="119" t="n">
        <f aca="false">IF(Calculator!$E$16="YES",IF(A77&lt;Calculator!$G$16,0,MIN(MIN(MOD(A77/Calculator!$F$16,1),1-MOD(A77/Calculator!$F$16,1)),ABS(MOD(A77/Calculator!$F$16,1)-0.5))),1)</f>
        <v>0.0261538461538455</v>
      </c>
      <c r="H77" s="119" t="n">
        <f aca="false">IF(Calculator!$E$17="YES",IF(A77&lt;Calculator!$G$17,0,MIN(MIN(MOD(A77/Calculator!$F$17,1),1-MOD(A77/Calculator!$F$17,1)),ABS(MOD(A77/Calculator!$F$17,1)-0.5))),1)</f>
        <v>0.0792341880341869</v>
      </c>
      <c r="I77" s="119" t="n">
        <f aca="false">IF(Calculator!$E$18="YES",IF(A77&lt;Calculator!$G$18,0,MIN(MIN(MOD(A77/Calculator!$F$18,1),1-MOD(A77/Calculator!$F$18,1)),ABS(MOD(A77/Calculator!$F$18,1)-0.5))),1)</f>
        <v>0.0497435897435894</v>
      </c>
      <c r="J77" s="119" t="n">
        <f aca="false">IF(Calculator!$E$19="YES",IF(A77&lt;Calculator!$G$19,0,MIN(MIN(MOD(A77/Calculator!$F$19,1),1-MOD(A77/Calculator!$F$19,1)),ABS(MOD(A77/Calculator!$F$19,1)-0.5))),1)</f>
        <v>0.00827350427350559</v>
      </c>
      <c r="K77" s="119" t="n">
        <f aca="false">IF(Calculator!$E$20="YES",IF(A77&lt;Calculator!$G$20,0,MIN(MIN(MOD(A77/Calculator!$F$20,1),1-MOD(A77/Calculator!$F$20,1)),ABS(MOD(A77/Calculator!$F$20,1)-0.5))),1)</f>
        <v>0.0878632478632486</v>
      </c>
      <c r="L77" s="119" t="n">
        <f aca="false">IF(Calculator!$E$21="YES",IF(A77&lt;Calculator!$G$21,0,MIN(MIN(MOD(A77/Calculator!$F$21,1),1-MOD(A77/Calculator!$F$21,1)),ABS(MOD(A77/Calculator!$F$21,1)-0.5))),1)</f>
        <v>1</v>
      </c>
      <c r="M77" s="120" t="n">
        <f aca="false">MIN(B77:L77)</f>
        <v>0.00444444444444025</v>
      </c>
      <c r="N77" s="121" t="n">
        <f aca="false">SUMPRODUCT(($M$5:$M$115&gt;M77)*1)+SUMPRODUCT(($M$5:$M$115=M77)*(ROW($M$5:$M$115)&lt;ROW(M77)))+1</f>
        <v>90</v>
      </c>
      <c r="O77" s="122" t="str">
        <f aca="false">IF(M77&gt;=0.2,"★★★ EXCELLENT",IF(M77&gt;=0.12,"★★  GOOD",IF(M77&gt;=0.07,"★  FAIR",IF(M77&gt;=0.025,"⚠  MARGINAL","✗  AVOID"))))</f>
        <v>✗  AVOID</v>
      </c>
    </row>
    <row r="78" customFormat="false" ht="15" hidden="false" customHeight="true" outlineLevel="0" collapsed="false">
      <c r="A78" s="118" t="n">
        <v>41.5</v>
      </c>
      <c r="B78" s="119" t="n">
        <f aca="false">IF(Calculator!$E$11="YES",IF(A78&lt;Calculator!$G$11,0,MIN(MIN(MOD(A78/Calculator!$F$11,1),1-MOD(A78/Calculator!$F$11,1)),ABS(MOD(A78/Calculator!$F$11,1)-0.5))),1)</f>
        <v>1</v>
      </c>
      <c r="C78" s="119" t="n">
        <f aca="false">IF(Calculator!$E$12="YES",IF(A78&lt;Calculator!$G$12,0,MIN(MIN(MOD(A78/Calculator!$F$12,1),1-MOD(A78/Calculator!$F$12,1)),ABS(MOD(A78/Calculator!$F$12,1)-0.5))),1)</f>
        <v>1</v>
      </c>
      <c r="D78" s="119" t="n">
        <f aca="false">IF(Calculator!$E$13="YES",IF(A78&lt;Calculator!$G$13,0,MIN(MIN(MOD(A78/Calculator!$F$13,1),1-MOD(A78/Calculator!$F$13,1)),ABS(MOD(A78/Calculator!$F$13,1)-0.5))),1)</f>
        <v>1</v>
      </c>
      <c r="E78" s="119" t="n">
        <f aca="false">IF(Calculator!$E$14="YES",IF(A78&lt;Calculator!$G$14,0,MIN(MIN(MOD(A78/Calculator!$F$14,1),1-MOD(A78/Calculator!$F$14,1)),ABS(MOD(A78/Calculator!$F$14,1)-0.5))),1)</f>
        <v>0.0288888888888845</v>
      </c>
      <c r="F78" s="119" t="n">
        <f aca="false">IF(Calculator!$E$15="YES",IF(A78&lt;Calculator!$G$15,0,MIN(MIN(MOD(A78/Calculator!$F$15,1),1-MOD(A78/Calculator!$F$15,1)),ABS(MOD(A78/Calculator!$F$15,1)-0.5))),1)</f>
        <v>0.126923076923068</v>
      </c>
      <c r="G78" s="119" t="n">
        <f aca="false">IF(Calculator!$E$16="YES",IF(A78&lt;Calculator!$G$16,0,MIN(MIN(MOD(A78/Calculator!$F$16,1),1-MOD(A78/Calculator!$F$16,1)),ABS(MOD(A78/Calculator!$F$16,1)-0.5))),1)</f>
        <v>0.0223076923076926</v>
      </c>
      <c r="H78" s="119" t="n">
        <f aca="false">IF(Calculator!$E$17="YES",IF(A78&lt;Calculator!$G$17,0,MIN(MIN(MOD(A78/Calculator!$F$17,1),1-MOD(A78/Calculator!$F$17,1)),ABS(MOD(A78/Calculator!$F$17,1)-0.5))),1)</f>
        <v>0.141176068376067</v>
      </c>
      <c r="I78" s="119" t="n">
        <f aca="false">IF(Calculator!$E$18="YES",IF(A78&lt;Calculator!$G$18,0,MIN(MIN(MOD(A78/Calculator!$F$18,1),1-MOD(A78/Calculator!$F$18,1)),ABS(MOD(A78/Calculator!$F$18,1)-0.5))),1)</f>
        <v>0.0228205128205135</v>
      </c>
      <c r="J78" s="119" t="n">
        <f aca="false">IF(Calculator!$E$19="YES",IF(A78&lt;Calculator!$G$19,0,MIN(MIN(MOD(A78/Calculator!$F$19,1),1-MOD(A78/Calculator!$F$19,1)),ABS(MOD(A78/Calculator!$F$19,1)-0.5))),1)</f>
        <v>0.0769914529914519</v>
      </c>
      <c r="K78" s="119" t="n">
        <f aca="false">IF(Calculator!$E$20="YES",IF(A78&lt;Calculator!$G$20,0,MIN(MIN(MOD(A78/Calculator!$F$20,1),1-MOD(A78/Calculator!$F$20,1)),ABS(MOD(A78/Calculator!$F$20,1)-0.5))),1)</f>
        <v>0.186495726495728</v>
      </c>
      <c r="L78" s="119" t="n">
        <f aca="false">IF(Calculator!$E$21="YES",IF(A78&lt;Calculator!$G$21,0,MIN(MIN(MOD(A78/Calculator!$F$21,1),1-MOD(A78/Calculator!$F$21,1)),ABS(MOD(A78/Calculator!$F$21,1)-0.5))),1)</f>
        <v>1</v>
      </c>
      <c r="M78" s="120" t="n">
        <f aca="false">MIN(B78:L78)</f>
        <v>0.0223076923076926</v>
      </c>
      <c r="N78" s="121" t="n">
        <f aca="false">SUMPRODUCT(($M$5:$M$115&gt;M78)*1)+SUMPRODUCT(($M$5:$M$115=M78)*(ROW($M$5:$M$115)&lt;ROW(M78)))+1</f>
        <v>59</v>
      </c>
      <c r="O78" s="122" t="str">
        <f aca="false">IF(M78&gt;=0.2,"★★★ EXCELLENT",IF(M78&gt;=0.12,"★★  GOOD",IF(M78&gt;=0.07,"★  FAIR",IF(M78&gt;=0.025,"⚠  MARGINAL","✗  AVOID"))))</f>
        <v>✗  AVOID</v>
      </c>
    </row>
    <row r="79" customFormat="false" ht="15" hidden="false" customHeight="true" outlineLevel="0" collapsed="false">
      <c r="A79" s="118" t="n">
        <v>42</v>
      </c>
      <c r="B79" s="119" t="n">
        <f aca="false">IF(Calculator!$E$11="YES",IF(A79&lt;Calculator!$G$11,0,MIN(MIN(MOD(A79/Calculator!$F$11,1),1-MOD(A79/Calculator!$F$11,1)),ABS(MOD(A79/Calculator!$F$11,1)-0.5))),1)</f>
        <v>1</v>
      </c>
      <c r="C79" s="119" t="n">
        <f aca="false">IF(Calculator!$E$12="YES",IF(A79&lt;Calculator!$G$12,0,MIN(MIN(MOD(A79/Calculator!$F$12,1),1-MOD(A79/Calculator!$F$12,1)),ABS(MOD(A79/Calculator!$F$12,1)-0.5))),1)</f>
        <v>1</v>
      </c>
      <c r="D79" s="119" t="n">
        <f aca="false">IF(Calculator!$E$13="YES",IF(A79&lt;Calculator!$G$13,0,MIN(MIN(MOD(A79/Calculator!$F$13,1),1-MOD(A79/Calculator!$F$13,1)),ABS(MOD(A79/Calculator!$F$13,1)-0.5))),1)</f>
        <v>1</v>
      </c>
      <c r="E79" s="119" t="n">
        <f aca="false">IF(Calculator!$E$14="YES",IF(A79&lt;Calculator!$G$14,0,MIN(MIN(MOD(A79/Calculator!$F$14,1),1-MOD(A79/Calculator!$F$14,1)),ABS(MOD(A79/Calculator!$F$14,1)-0.5))),1)</f>
        <v>0.0533333333333288</v>
      </c>
      <c r="F79" s="119" t="n">
        <f aca="false">IF(Calculator!$E$15="YES",IF(A79&lt;Calculator!$G$15,0,MIN(MIN(MOD(A79/Calculator!$F$15,1),1-MOD(A79/Calculator!$F$15,1)),ABS(MOD(A79/Calculator!$F$15,1)-0.5))),1)</f>
        <v>0.0923076923076835</v>
      </c>
      <c r="G79" s="119" t="n">
        <f aca="false">IF(Calculator!$E$16="YES",IF(A79&lt;Calculator!$G$16,0,MIN(MIN(MOD(A79/Calculator!$F$16,1),1-MOD(A79/Calculator!$F$16,1)),ABS(MOD(A79/Calculator!$F$16,1)-0.5))),1)</f>
        <v>0.0707692307692316</v>
      </c>
      <c r="H79" s="119" t="n">
        <f aca="false">IF(Calculator!$E$17="YES",IF(A79&lt;Calculator!$G$17,0,MIN(MIN(MOD(A79/Calculator!$F$17,1),1-MOD(A79/Calculator!$F$17,1)),ABS(MOD(A79/Calculator!$F$17,1)-0.5))),1)</f>
        <v>0.203117948717948</v>
      </c>
      <c r="I79" s="119" t="n">
        <f aca="false">IF(Calculator!$E$18="YES",IF(A79&lt;Calculator!$G$18,0,MIN(MIN(MOD(A79/Calculator!$F$18,1),1-MOD(A79/Calculator!$F$18,1)),ABS(MOD(A79/Calculator!$F$18,1)-0.5))),1)</f>
        <v>0.0953846153846163</v>
      </c>
      <c r="J79" s="119" t="n">
        <f aca="false">IF(Calculator!$E$19="YES",IF(A79&lt;Calculator!$G$19,0,MIN(MIN(MOD(A79/Calculator!$F$19,1),1-MOD(A79/Calculator!$F$19,1)),ABS(MOD(A79/Calculator!$F$19,1)-0.5))),1)</f>
        <v>0.162256410256409</v>
      </c>
      <c r="K79" s="119" t="n">
        <f aca="false">IF(Calculator!$E$20="YES",IF(A79&lt;Calculator!$G$20,0,MIN(MIN(MOD(A79/Calculator!$F$20,1),1-MOD(A79/Calculator!$F$20,1)),ABS(MOD(A79/Calculator!$F$20,1)-0.5))),1)</f>
        <v>0.214871794871794</v>
      </c>
      <c r="L79" s="119" t="n">
        <f aca="false">IF(Calculator!$E$21="YES",IF(A79&lt;Calculator!$G$21,0,MIN(MIN(MOD(A79/Calculator!$F$21,1),1-MOD(A79/Calculator!$F$21,1)),ABS(MOD(A79/Calculator!$F$21,1)-0.5))),1)</f>
        <v>1</v>
      </c>
      <c r="M79" s="120" t="n">
        <f aca="false">MIN(B79:L79)</f>
        <v>0.0533333333333288</v>
      </c>
      <c r="N79" s="121" t="n">
        <f aca="false">SUMPRODUCT(($M$5:$M$115&gt;M79)*1)+SUMPRODUCT(($M$5:$M$115=M79)*(ROW($M$5:$M$115)&lt;ROW(M79)))+1</f>
        <v>24</v>
      </c>
      <c r="O79" s="122" t="str">
        <f aca="false">IF(M79&gt;=0.2,"★★★ EXCELLENT",IF(M79&gt;=0.12,"★★  GOOD",IF(M79&gt;=0.07,"★  FAIR",IF(M79&gt;=0.025,"⚠  MARGINAL","✗  AVOID"))))</f>
        <v>⚠  MARGINAL</v>
      </c>
    </row>
    <row r="80" customFormat="false" ht="15" hidden="false" customHeight="true" outlineLevel="0" collapsed="false">
      <c r="A80" s="118" t="n">
        <v>42.5</v>
      </c>
      <c r="B80" s="119" t="n">
        <f aca="false">IF(Calculator!$E$11="YES",IF(A80&lt;Calculator!$G$11,0,MIN(MIN(MOD(A80/Calculator!$F$11,1),1-MOD(A80/Calculator!$F$11,1)),ABS(MOD(A80/Calculator!$F$11,1)-0.5))),1)</f>
        <v>1</v>
      </c>
      <c r="C80" s="119" t="n">
        <f aca="false">IF(Calculator!$E$12="YES",IF(A80&lt;Calculator!$G$12,0,MIN(MIN(MOD(A80/Calculator!$F$12,1),1-MOD(A80/Calculator!$F$12,1)),ABS(MOD(A80/Calculator!$F$12,1)-0.5))),1)</f>
        <v>1</v>
      </c>
      <c r="D80" s="119" t="n">
        <f aca="false">IF(Calculator!$E$13="YES",IF(A80&lt;Calculator!$G$13,0,MIN(MIN(MOD(A80/Calculator!$F$13,1),1-MOD(A80/Calculator!$F$13,1)),ABS(MOD(A80/Calculator!$F$13,1)-0.5))),1)</f>
        <v>1</v>
      </c>
      <c r="E80" s="119" t="n">
        <f aca="false">IF(Calculator!$E$14="YES",IF(A80&lt;Calculator!$G$14,0,MIN(MIN(MOD(A80/Calculator!$F$14,1),1-MOD(A80/Calculator!$F$14,1)),ABS(MOD(A80/Calculator!$F$14,1)-0.5))),1)</f>
        <v>0.0777777777777731</v>
      </c>
      <c r="F80" s="119" t="n">
        <f aca="false">IF(Calculator!$E$15="YES",IF(A80&lt;Calculator!$G$15,0,MIN(MIN(MOD(A80/Calculator!$F$15,1),1-MOD(A80/Calculator!$F$15,1)),ABS(MOD(A80/Calculator!$F$15,1)-0.5))),1)</f>
        <v>0.0576923076922986</v>
      </c>
      <c r="G80" s="119" t="n">
        <f aca="false">IF(Calculator!$E$16="YES",IF(A80&lt;Calculator!$G$16,0,MIN(MIN(MOD(A80/Calculator!$F$16,1),1-MOD(A80/Calculator!$F$16,1)),ABS(MOD(A80/Calculator!$F$16,1)-0.5))),1)</f>
        <v>0.11923076923077</v>
      </c>
      <c r="H80" s="119" t="n">
        <f aca="false">IF(Calculator!$E$17="YES",IF(A80&lt;Calculator!$G$17,0,MIN(MIN(MOD(A80/Calculator!$F$17,1),1-MOD(A80/Calculator!$F$17,1)),ABS(MOD(A80/Calculator!$F$17,1)-0.5))),1)</f>
        <v>0.234940170940172</v>
      </c>
      <c r="I80" s="119" t="n">
        <f aca="false">IF(Calculator!$E$18="YES",IF(A80&lt;Calculator!$G$18,0,MIN(MIN(MOD(A80/Calculator!$F$18,1),1-MOD(A80/Calculator!$F$18,1)),ABS(MOD(A80/Calculator!$F$18,1)-0.5))),1)</f>
        <v>0.167948717948718</v>
      </c>
      <c r="J80" s="119" t="n">
        <f aca="false">IF(Calculator!$E$19="YES",IF(A80&lt;Calculator!$G$19,0,MIN(MIN(MOD(A80/Calculator!$F$19,1),1-MOD(A80/Calculator!$F$19,1)),ABS(MOD(A80/Calculator!$F$19,1)-0.5))),1)</f>
        <v>0.247521367521366</v>
      </c>
      <c r="K80" s="119" t="n">
        <f aca="false">IF(Calculator!$E$20="YES",IF(A80&lt;Calculator!$G$20,0,MIN(MIN(MOD(A80/Calculator!$F$20,1),1-MOD(A80/Calculator!$F$20,1)),ABS(MOD(A80/Calculator!$F$20,1)-0.5))),1)</f>
        <v>0.116239316239316</v>
      </c>
      <c r="L80" s="119" t="n">
        <f aca="false">IF(Calculator!$E$21="YES",IF(A80&lt;Calculator!$G$21,0,MIN(MIN(MOD(A80/Calculator!$F$21,1),1-MOD(A80/Calculator!$F$21,1)),ABS(MOD(A80/Calculator!$F$21,1)-0.5))),1)</f>
        <v>1</v>
      </c>
      <c r="M80" s="120" t="n">
        <f aca="false">MIN(B80:L80)</f>
        <v>0.0576923076922986</v>
      </c>
      <c r="N80" s="121" t="n">
        <f aca="false">SUMPRODUCT(($M$5:$M$115&gt;M80)*1)+SUMPRODUCT(($M$5:$M$115=M80)*(ROW($M$5:$M$115)&lt;ROW(M80)))+1</f>
        <v>22</v>
      </c>
      <c r="O80" s="122" t="str">
        <f aca="false">IF(M80&gt;=0.2,"★★★ EXCELLENT",IF(M80&gt;=0.12,"★★  GOOD",IF(M80&gt;=0.07,"★  FAIR",IF(M80&gt;=0.025,"⚠  MARGINAL","✗  AVOID"))))</f>
        <v>⚠  MARGINAL</v>
      </c>
    </row>
    <row r="81" customFormat="false" ht="15" hidden="false" customHeight="true" outlineLevel="0" collapsed="false">
      <c r="A81" s="118" t="n">
        <v>43</v>
      </c>
      <c r="B81" s="119" t="n">
        <f aca="false">IF(Calculator!$E$11="YES",IF(A81&lt;Calculator!$G$11,0,MIN(MIN(MOD(A81/Calculator!$F$11,1),1-MOD(A81/Calculator!$F$11,1)),ABS(MOD(A81/Calculator!$F$11,1)-0.5))),1)</f>
        <v>1</v>
      </c>
      <c r="C81" s="119" t="n">
        <f aca="false">IF(Calculator!$E$12="YES",IF(A81&lt;Calculator!$G$12,0,MIN(MIN(MOD(A81/Calculator!$F$12,1),1-MOD(A81/Calculator!$F$12,1)),ABS(MOD(A81/Calculator!$F$12,1)-0.5))),1)</f>
        <v>1</v>
      </c>
      <c r="D81" s="119" t="n">
        <f aca="false">IF(Calculator!$E$13="YES",IF(A81&lt;Calculator!$G$13,0,MIN(MIN(MOD(A81/Calculator!$F$13,1),1-MOD(A81/Calculator!$F$13,1)),ABS(MOD(A81/Calculator!$F$13,1)-0.5))),1)</f>
        <v>1</v>
      </c>
      <c r="E81" s="119" t="n">
        <f aca="false">IF(Calculator!$E$14="YES",IF(A81&lt;Calculator!$G$14,0,MIN(MIN(MOD(A81/Calculator!$F$14,1),1-MOD(A81/Calculator!$F$14,1)),ABS(MOD(A81/Calculator!$F$14,1)-0.5))),1)</f>
        <v>0.102222222222218</v>
      </c>
      <c r="F81" s="119" t="n">
        <f aca="false">IF(Calculator!$E$15="YES",IF(A81&lt;Calculator!$G$15,0,MIN(MIN(MOD(A81/Calculator!$F$15,1),1-MOD(A81/Calculator!$F$15,1)),ABS(MOD(A81/Calculator!$F$15,1)-0.5))),1)</f>
        <v>0.0230769230769141</v>
      </c>
      <c r="G81" s="119" t="n">
        <f aca="false">IF(Calculator!$E$16="YES",IF(A81&lt;Calculator!$G$16,0,MIN(MIN(MOD(A81/Calculator!$F$16,1),1-MOD(A81/Calculator!$F$16,1)),ABS(MOD(A81/Calculator!$F$16,1)-0.5))),1)</f>
        <v>0.167692307692308</v>
      </c>
      <c r="H81" s="119" t="n">
        <f aca="false">IF(Calculator!$E$17="YES",IF(A81&lt;Calculator!$G$17,0,MIN(MIN(MOD(A81/Calculator!$F$17,1),1-MOD(A81/Calculator!$F$17,1)),ABS(MOD(A81/Calculator!$F$17,1)-0.5))),1)</f>
        <v>0.172998290598292</v>
      </c>
      <c r="I81" s="119" t="n">
        <f aca="false">IF(Calculator!$E$18="YES",IF(A81&lt;Calculator!$G$18,0,MIN(MIN(MOD(A81/Calculator!$F$18,1),1-MOD(A81/Calculator!$F$18,1)),ABS(MOD(A81/Calculator!$F$18,1)-0.5))),1)</f>
        <v>0.240512820512821</v>
      </c>
      <c r="J81" s="119" t="n">
        <f aca="false">IF(Calculator!$E$19="YES",IF(A81&lt;Calculator!$G$19,0,MIN(MIN(MOD(A81/Calculator!$F$19,1),1-MOD(A81/Calculator!$F$19,1)),ABS(MOD(A81/Calculator!$F$19,1)-0.5))),1)</f>
        <v>0.167213675213676</v>
      </c>
      <c r="K81" s="119" t="n">
        <f aca="false">IF(Calculator!$E$20="YES",IF(A81&lt;Calculator!$G$20,0,MIN(MIN(MOD(A81/Calculator!$F$20,1),1-MOD(A81/Calculator!$F$20,1)),ABS(MOD(A81/Calculator!$F$20,1)-0.5))),1)</f>
        <v>0.0176068376068361</v>
      </c>
      <c r="L81" s="119" t="n">
        <f aca="false">IF(Calculator!$E$21="YES",IF(A81&lt;Calculator!$G$21,0,MIN(MIN(MOD(A81/Calculator!$F$21,1),1-MOD(A81/Calculator!$F$21,1)),ABS(MOD(A81/Calculator!$F$21,1)-0.5))),1)</f>
        <v>1</v>
      </c>
      <c r="M81" s="120" t="n">
        <f aca="false">MIN(B81:L81)</f>
        <v>0.0176068376068361</v>
      </c>
      <c r="N81" s="121" t="n">
        <f aca="false">SUMPRODUCT(($M$5:$M$115&gt;M81)*1)+SUMPRODUCT(($M$5:$M$115=M81)*(ROW($M$5:$M$115)&lt;ROW(M81)))+1</f>
        <v>67</v>
      </c>
      <c r="O81" s="122" t="str">
        <f aca="false">IF(M81&gt;=0.2,"★★★ EXCELLENT",IF(M81&gt;=0.12,"★★  GOOD",IF(M81&gt;=0.07,"★  FAIR",IF(M81&gt;=0.025,"⚠  MARGINAL","✗  AVOID"))))</f>
        <v>✗  AVOID</v>
      </c>
    </row>
    <row r="82" customFormat="false" ht="15" hidden="false" customHeight="true" outlineLevel="0" collapsed="false">
      <c r="A82" s="118" t="n">
        <v>43.5</v>
      </c>
      <c r="B82" s="119" t="n">
        <f aca="false">IF(Calculator!$E$11="YES",IF(A82&lt;Calculator!$G$11,0,MIN(MIN(MOD(A82/Calculator!$F$11,1),1-MOD(A82/Calculator!$F$11,1)),ABS(MOD(A82/Calculator!$F$11,1)-0.5))),1)</f>
        <v>1</v>
      </c>
      <c r="C82" s="119" t="n">
        <f aca="false">IF(Calculator!$E$12="YES",IF(A82&lt;Calculator!$G$12,0,MIN(MIN(MOD(A82/Calculator!$F$12,1),1-MOD(A82/Calculator!$F$12,1)),ABS(MOD(A82/Calculator!$F$12,1)-0.5))),1)</f>
        <v>1</v>
      </c>
      <c r="D82" s="119" t="n">
        <f aca="false">IF(Calculator!$E$13="YES",IF(A82&lt;Calculator!$G$13,0,MIN(MIN(MOD(A82/Calculator!$F$13,1),1-MOD(A82/Calculator!$F$13,1)),ABS(MOD(A82/Calculator!$F$13,1)-0.5))),1)</f>
        <v>1</v>
      </c>
      <c r="E82" s="119" t="n">
        <f aca="false">IF(Calculator!$E$14="YES",IF(A82&lt;Calculator!$G$14,0,MIN(MIN(MOD(A82/Calculator!$F$14,1),1-MOD(A82/Calculator!$F$14,1)),ABS(MOD(A82/Calculator!$F$14,1)-0.5))),1)</f>
        <v>0.126666666666662</v>
      </c>
      <c r="F82" s="119" t="n">
        <f aca="false">IF(Calculator!$E$15="YES",IF(A82&lt;Calculator!$G$15,0,MIN(MIN(MOD(A82/Calculator!$F$15,1),1-MOD(A82/Calculator!$F$15,1)),ABS(MOD(A82/Calculator!$F$15,1)-0.5))),1)</f>
        <v>0.0115384615384708</v>
      </c>
      <c r="G82" s="119" t="n">
        <f aca="false">IF(Calculator!$E$16="YES",IF(A82&lt;Calculator!$G$16,0,MIN(MIN(MOD(A82/Calculator!$F$16,1),1-MOD(A82/Calculator!$F$16,1)),ABS(MOD(A82/Calculator!$F$16,1)-0.5))),1)</f>
        <v>0.216153846153847</v>
      </c>
      <c r="H82" s="119" t="n">
        <f aca="false">IF(Calculator!$E$17="YES",IF(A82&lt;Calculator!$G$17,0,MIN(MIN(MOD(A82/Calculator!$F$17,1),1-MOD(A82/Calculator!$F$17,1)),ABS(MOD(A82/Calculator!$F$17,1)-0.5))),1)</f>
        <v>0.111056410256412</v>
      </c>
      <c r="I82" s="119" t="n">
        <f aca="false">IF(Calculator!$E$18="YES",IF(A82&lt;Calculator!$G$18,0,MIN(MIN(MOD(A82/Calculator!$F$18,1),1-MOD(A82/Calculator!$F$18,1)),ABS(MOD(A82/Calculator!$F$18,1)-0.5))),1)</f>
        <v>0.186923076923076</v>
      </c>
      <c r="J82" s="119" t="n">
        <f aca="false">IF(Calculator!$E$19="YES",IF(A82&lt;Calculator!$G$19,0,MIN(MIN(MOD(A82/Calculator!$F$19,1),1-MOD(A82/Calculator!$F$19,1)),ABS(MOD(A82/Calculator!$F$19,1)-0.5))),1)</f>
        <v>0.0819487179487188</v>
      </c>
      <c r="K82" s="119" t="n">
        <f aca="false">IF(Calculator!$E$20="YES",IF(A82&lt;Calculator!$G$20,0,MIN(MIN(MOD(A82/Calculator!$F$20,1),1-MOD(A82/Calculator!$F$20,1)),ABS(MOD(A82/Calculator!$F$20,1)-0.5))),1)</f>
        <v>0.0810256410256418</v>
      </c>
      <c r="L82" s="119" t="n">
        <f aca="false">IF(Calculator!$E$21="YES",IF(A82&lt;Calculator!$G$21,0,MIN(MIN(MOD(A82/Calculator!$F$21,1),1-MOD(A82/Calculator!$F$21,1)),ABS(MOD(A82/Calculator!$F$21,1)-0.5))),1)</f>
        <v>1</v>
      </c>
      <c r="M82" s="120" t="n">
        <f aca="false">MIN(B82:L82)</f>
        <v>0.0115384615384708</v>
      </c>
      <c r="N82" s="121" t="n">
        <f aca="false">SUMPRODUCT(($M$5:$M$115&gt;M82)*1)+SUMPRODUCT(($M$5:$M$115=M82)*(ROW($M$5:$M$115)&lt;ROW(M82)))+1</f>
        <v>75</v>
      </c>
      <c r="O82" s="122" t="str">
        <f aca="false">IF(M82&gt;=0.2,"★★★ EXCELLENT",IF(M82&gt;=0.12,"★★  GOOD",IF(M82&gt;=0.07,"★  FAIR",IF(M82&gt;=0.025,"⚠  MARGINAL","✗  AVOID"))))</f>
        <v>✗  AVOID</v>
      </c>
    </row>
    <row r="83" customFormat="false" ht="15" hidden="false" customHeight="true" outlineLevel="0" collapsed="false">
      <c r="A83" s="118" t="n">
        <v>44</v>
      </c>
      <c r="B83" s="119" t="n">
        <f aca="false">IF(Calculator!$E$11="YES",IF(A83&lt;Calculator!$G$11,0,MIN(MIN(MOD(A83/Calculator!$F$11,1),1-MOD(A83/Calculator!$F$11,1)),ABS(MOD(A83/Calculator!$F$11,1)-0.5))),1)</f>
        <v>1</v>
      </c>
      <c r="C83" s="119" t="n">
        <f aca="false">IF(Calculator!$E$12="YES",IF(A83&lt;Calculator!$G$12,0,MIN(MIN(MOD(A83/Calculator!$F$12,1),1-MOD(A83/Calculator!$F$12,1)),ABS(MOD(A83/Calculator!$F$12,1)-0.5))),1)</f>
        <v>1</v>
      </c>
      <c r="D83" s="119" t="n">
        <f aca="false">IF(Calculator!$E$13="YES",IF(A83&lt;Calculator!$G$13,0,MIN(MIN(MOD(A83/Calculator!$F$13,1),1-MOD(A83/Calculator!$F$13,1)),ABS(MOD(A83/Calculator!$F$13,1)-0.5))),1)</f>
        <v>1</v>
      </c>
      <c r="E83" s="119" t="n">
        <f aca="false">IF(Calculator!$E$14="YES",IF(A83&lt;Calculator!$G$14,0,MIN(MIN(MOD(A83/Calculator!$F$14,1),1-MOD(A83/Calculator!$F$14,1)),ABS(MOD(A83/Calculator!$F$14,1)-0.5))),1)</f>
        <v>0.151111111111106</v>
      </c>
      <c r="F83" s="119" t="n">
        <f aca="false">IF(Calculator!$E$15="YES",IF(A83&lt;Calculator!$G$15,0,MIN(MIN(MOD(A83/Calculator!$F$15,1),1-MOD(A83/Calculator!$F$15,1)),ABS(MOD(A83/Calculator!$F$15,1)-0.5))),1)</f>
        <v>0.0461538461538553</v>
      </c>
      <c r="G83" s="119" t="n">
        <f aca="false">IF(Calculator!$E$16="YES",IF(A83&lt;Calculator!$G$16,0,MIN(MIN(MOD(A83/Calculator!$F$16,1),1-MOD(A83/Calculator!$F$16,1)),ABS(MOD(A83/Calculator!$F$16,1)-0.5))),1)</f>
        <v>0.235384615384615</v>
      </c>
      <c r="H83" s="119" t="n">
        <f aca="false">IF(Calculator!$E$17="YES",IF(A83&lt;Calculator!$G$17,0,MIN(MIN(MOD(A83/Calculator!$F$17,1),1-MOD(A83/Calculator!$F$17,1)),ABS(MOD(A83/Calculator!$F$17,1)-0.5))),1)</f>
        <v>0.0491145299145312</v>
      </c>
      <c r="I83" s="119" t="n">
        <f aca="false">IF(Calculator!$E$18="YES",IF(A83&lt;Calculator!$G$18,0,MIN(MIN(MOD(A83/Calculator!$F$18,1),1-MOD(A83/Calculator!$F$18,1)),ABS(MOD(A83/Calculator!$F$18,1)-0.5))),1)</f>
        <v>0.114358974358973</v>
      </c>
      <c r="J83" s="119" t="n">
        <f aca="false">IF(Calculator!$E$19="YES",IF(A83&lt;Calculator!$G$19,0,MIN(MIN(MOD(A83/Calculator!$F$19,1),1-MOD(A83/Calculator!$F$19,1)),ABS(MOD(A83/Calculator!$F$19,1)-0.5))),1)</f>
        <v>0.0033162393162387</v>
      </c>
      <c r="K83" s="119" t="n">
        <f aca="false">IF(Calculator!$E$20="YES",IF(A83&lt;Calculator!$G$20,0,MIN(MIN(MOD(A83/Calculator!$F$20,1),1-MOD(A83/Calculator!$F$20,1)),ABS(MOD(A83/Calculator!$F$20,1)-0.5))),1)</f>
        <v>0.179658119658122</v>
      </c>
      <c r="L83" s="119" t="n">
        <f aca="false">IF(Calculator!$E$21="YES",IF(A83&lt;Calculator!$G$21,0,MIN(MIN(MOD(A83/Calculator!$F$21,1),1-MOD(A83/Calculator!$F$21,1)),ABS(MOD(A83/Calculator!$F$21,1)-0.5))),1)</f>
        <v>1</v>
      </c>
      <c r="M83" s="120" t="n">
        <f aca="false">MIN(B83:L83)</f>
        <v>0.0033162393162387</v>
      </c>
      <c r="N83" s="121" t="n">
        <f aca="false">SUMPRODUCT(($M$5:$M$115&gt;M83)*1)+SUMPRODUCT(($M$5:$M$115=M83)*(ROW($M$5:$M$115)&lt;ROW(M83)))+1</f>
        <v>95</v>
      </c>
      <c r="O83" s="122" t="str">
        <f aca="false">IF(M83&gt;=0.2,"★★★ EXCELLENT",IF(M83&gt;=0.12,"★★  GOOD",IF(M83&gt;=0.07,"★  FAIR",IF(M83&gt;=0.025,"⚠  MARGINAL","✗  AVOID"))))</f>
        <v>✗  AVOID</v>
      </c>
    </row>
    <row r="84" customFormat="false" ht="15" hidden="false" customHeight="true" outlineLevel="0" collapsed="false">
      <c r="A84" s="118" t="n">
        <v>44.5</v>
      </c>
      <c r="B84" s="119" t="n">
        <f aca="false">IF(Calculator!$E$11="YES",IF(A84&lt;Calculator!$G$11,0,MIN(MIN(MOD(A84/Calculator!$F$11,1),1-MOD(A84/Calculator!$F$11,1)),ABS(MOD(A84/Calculator!$F$11,1)-0.5))),1)</f>
        <v>1</v>
      </c>
      <c r="C84" s="119" t="n">
        <f aca="false">IF(Calculator!$E$12="YES",IF(A84&lt;Calculator!$G$12,0,MIN(MIN(MOD(A84/Calculator!$F$12,1),1-MOD(A84/Calculator!$F$12,1)),ABS(MOD(A84/Calculator!$F$12,1)-0.5))),1)</f>
        <v>1</v>
      </c>
      <c r="D84" s="119" t="n">
        <f aca="false">IF(Calculator!$E$13="YES",IF(A84&lt;Calculator!$G$13,0,MIN(MIN(MOD(A84/Calculator!$F$13,1),1-MOD(A84/Calculator!$F$13,1)),ABS(MOD(A84/Calculator!$F$13,1)-0.5))),1)</f>
        <v>1</v>
      </c>
      <c r="E84" s="119" t="n">
        <f aca="false">IF(Calculator!$E$14="YES",IF(A84&lt;Calculator!$G$14,0,MIN(MIN(MOD(A84/Calculator!$F$14,1),1-MOD(A84/Calculator!$F$14,1)),ABS(MOD(A84/Calculator!$F$14,1)-0.5))),1)</f>
        <v>0.175555555555551</v>
      </c>
      <c r="F84" s="119" t="n">
        <f aca="false">IF(Calculator!$E$15="YES",IF(A84&lt;Calculator!$G$15,0,MIN(MIN(MOD(A84/Calculator!$F$15,1),1-MOD(A84/Calculator!$F$15,1)),ABS(MOD(A84/Calculator!$F$15,1)-0.5))),1)</f>
        <v>0.0807692307692403</v>
      </c>
      <c r="G84" s="119" t="n">
        <f aca="false">IF(Calculator!$E$16="YES",IF(A84&lt;Calculator!$G$16,0,MIN(MIN(MOD(A84/Calculator!$F$16,1),1-MOD(A84/Calculator!$F$16,1)),ABS(MOD(A84/Calculator!$F$16,1)-0.5))),1)</f>
        <v>0.186923076923076</v>
      </c>
      <c r="H84" s="119" t="n">
        <f aca="false">IF(Calculator!$E$17="YES",IF(A84&lt;Calculator!$G$17,0,MIN(MIN(MOD(A84/Calculator!$F$17,1),1-MOD(A84/Calculator!$F$17,1)),ABS(MOD(A84/Calculator!$F$17,1)-0.5))),1)</f>
        <v>0.0128273504273491</v>
      </c>
      <c r="I84" s="119" t="n">
        <f aca="false">IF(Calculator!$E$18="YES",IF(A84&lt;Calculator!$G$18,0,MIN(MIN(MOD(A84/Calculator!$F$18,1),1-MOD(A84/Calculator!$F$18,1)),ABS(MOD(A84/Calculator!$F$18,1)-0.5))),1)</f>
        <v>0.0417948717948713</v>
      </c>
      <c r="J84" s="119" t="n">
        <f aca="false">IF(Calculator!$E$19="YES",IF(A84&lt;Calculator!$G$19,0,MIN(MIN(MOD(A84/Calculator!$F$19,1),1-MOD(A84/Calculator!$F$19,1)),ABS(MOD(A84/Calculator!$F$19,1)-0.5))),1)</f>
        <v>0.0885811965811953</v>
      </c>
      <c r="K84" s="119" t="n">
        <f aca="false">IF(Calculator!$E$20="YES",IF(A84&lt;Calculator!$G$20,0,MIN(MIN(MOD(A84/Calculator!$F$20,1),1-MOD(A84/Calculator!$F$20,1)),ABS(MOD(A84/Calculator!$F$20,1)-0.5))),1)</f>
        <v>0.221709401709401</v>
      </c>
      <c r="L84" s="119" t="n">
        <f aca="false">IF(Calculator!$E$21="YES",IF(A84&lt;Calculator!$G$21,0,MIN(MIN(MOD(A84/Calculator!$F$21,1),1-MOD(A84/Calculator!$F$21,1)),ABS(MOD(A84/Calculator!$F$21,1)-0.5))),1)</f>
        <v>1</v>
      </c>
      <c r="M84" s="120" t="n">
        <f aca="false">MIN(B84:L84)</f>
        <v>0.0128273504273491</v>
      </c>
      <c r="N84" s="121" t="n">
        <f aca="false">SUMPRODUCT(($M$5:$M$115&gt;M84)*1)+SUMPRODUCT(($M$5:$M$115=M84)*(ROW($M$5:$M$115)&lt;ROW(M84)))+1</f>
        <v>74</v>
      </c>
      <c r="O84" s="122" t="str">
        <f aca="false">IF(M84&gt;=0.2,"★★★ EXCELLENT",IF(M84&gt;=0.12,"★★  GOOD",IF(M84&gt;=0.07,"★  FAIR",IF(M84&gt;=0.025,"⚠  MARGINAL","✗  AVOID"))))</f>
        <v>✗  AVOID</v>
      </c>
    </row>
    <row r="85" customFormat="false" ht="15" hidden="false" customHeight="true" outlineLevel="0" collapsed="false">
      <c r="A85" s="118" t="n">
        <v>45</v>
      </c>
      <c r="B85" s="119" t="n">
        <f aca="false">IF(Calculator!$E$11="YES",IF(A85&lt;Calculator!$G$11,0,MIN(MIN(MOD(A85/Calculator!$F$11,1),1-MOD(A85/Calculator!$F$11,1)),ABS(MOD(A85/Calculator!$F$11,1)-0.5))),1)</f>
        <v>1</v>
      </c>
      <c r="C85" s="119" t="n">
        <f aca="false">IF(Calculator!$E$12="YES",IF(A85&lt;Calculator!$G$12,0,MIN(MIN(MOD(A85/Calculator!$F$12,1),1-MOD(A85/Calculator!$F$12,1)),ABS(MOD(A85/Calculator!$F$12,1)-0.5))),1)</f>
        <v>1</v>
      </c>
      <c r="D85" s="119" t="n">
        <f aca="false">IF(Calculator!$E$13="YES",IF(A85&lt;Calculator!$G$13,0,MIN(MIN(MOD(A85/Calculator!$F$13,1),1-MOD(A85/Calculator!$F$13,1)),ABS(MOD(A85/Calculator!$F$13,1)-0.5))),1)</f>
        <v>1</v>
      </c>
      <c r="E85" s="119" t="n">
        <f aca="false">IF(Calculator!$E$14="YES",IF(A85&lt;Calculator!$G$14,0,MIN(MIN(MOD(A85/Calculator!$F$14,1),1-MOD(A85/Calculator!$F$14,1)),ABS(MOD(A85/Calculator!$F$14,1)-0.5))),1)</f>
        <v>0.199999999999995</v>
      </c>
      <c r="F85" s="119" t="n">
        <f aca="false">IF(Calculator!$E$15="YES",IF(A85&lt;Calculator!$G$15,0,MIN(MIN(MOD(A85/Calculator!$F$15,1),1-MOD(A85/Calculator!$F$15,1)),ABS(MOD(A85/Calculator!$F$15,1)-0.5))),1)</f>
        <v>0.115384615384625</v>
      </c>
      <c r="G85" s="119" t="n">
        <f aca="false">IF(Calculator!$E$16="YES",IF(A85&lt;Calculator!$G$16,0,MIN(MIN(MOD(A85/Calculator!$F$16,1),1-MOD(A85/Calculator!$F$16,1)),ABS(MOD(A85/Calculator!$F$16,1)-0.5))),1)</f>
        <v>0.138461538461538</v>
      </c>
      <c r="H85" s="119" t="n">
        <f aca="false">IF(Calculator!$E$17="YES",IF(A85&lt;Calculator!$G$17,0,MIN(MIN(MOD(A85/Calculator!$F$17,1),1-MOD(A85/Calculator!$F$17,1)),ABS(MOD(A85/Calculator!$F$17,1)-0.5))),1)</f>
        <v>0.0747692307692294</v>
      </c>
      <c r="I85" s="119" t="n">
        <f aca="false">IF(Calculator!$E$18="YES",IF(A85&lt;Calculator!$G$18,0,MIN(MIN(MOD(A85/Calculator!$F$18,1),1-MOD(A85/Calculator!$F$18,1)),ABS(MOD(A85/Calculator!$F$18,1)-0.5))),1)</f>
        <v>0.0307692307692315</v>
      </c>
      <c r="J85" s="119" t="n">
        <f aca="false">IF(Calculator!$E$19="YES",IF(A85&lt;Calculator!$G$19,0,MIN(MIN(MOD(A85/Calculator!$F$19,1),1-MOD(A85/Calculator!$F$19,1)),ABS(MOD(A85/Calculator!$F$19,1)-0.5))),1)</f>
        <v>0.173846153846153</v>
      </c>
      <c r="K85" s="119" t="n">
        <f aca="false">IF(Calculator!$E$20="YES",IF(A85&lt;Calculator!$G$20,0,MIN(MIN(MOD(A85/Calculator!$F$20,1),1-MOD(A85/Calculator!$F$20,1)),ABS(MOD(A85/Calculator!$F$20,1)-0.5))),1)</f>
        <v>0.123076923076923</v>
      </c>
      <c r="L85" s="119" t="n">
        <f aca="false">IF(Calculator!$E$21="YES",IF(A85&lt;Calculator!$G$21,0,MIN(MIN(MOD(A85/Calculator!$F$21,1),1-MOD(A85/Calculator!$F$21,1)),ABS(MOD(A85/Calculator!$F$21,1)-0.5))),1)</f>
        <v>1</v>
      </c>
      <c r="M85" s="120" t="n">
        <f aca="false">MIN(B85:L85)</f>
        <v>0.0307692307692315</v>
      </c>
      <c r="N85" s="121" t="n">
        <f aca="false">SUMPRODUCT(($M$5:$M$115&gt;M85)*1)+SUMPRODUCT(($M$5:$M$115=M85)*(ROW($M$5:$M$115)&lt;ROW(M85)))+1</f>
        <v>47</v>
      </c>
      <c r="O85" s="122" t="str">
        <f aca="false">IF(M85&gt;=0.2,"★★★ EXCELLENT",IF(M85&gt;=0.12,"★★  GOOD",IF(M85&gt;=0.07,"★  FAIR",IF(M85&gt;=0.025,"⚠  MARGINAL","✗  AVOID"))))</f>
        <v>⚠  MARGINAL</v>
      </c>
    </row>
    <row r="86" customFormat="false" ht="15" hidden="false" customHeight="true" outlineLevel="0" collapsed="false">
      <c r="A86" s="118" t="n">
        <v>45.5</v>
      </c>
      <c r="B86" s="119" t="n">
        <f aca="false">IF(Calculator!$E$11="YES",IF(A86&lt;Calculator!$G$11,0,MIN(MIN(MOD(A86/Calculator!$F$11,1),1-MOD(A86/Calculator!$F$11,1)),ABS(MOD(A86/Calculator!$F$11,1)-0.5))),1)</f>
        <v>1</v>
      </c>
      <c r="C86" s="119" t="n">
        <f aca="false">IF(Calculator!$E$12="YES",IF(A86&lt;Calculator!$G$12,0,MIN(MIN(MOD(A86/Calculator!$F$12,1),1-MOD(A86/Calculator!$F$12,1)),ABS(MOD(A86/Calculator!$F$12,1)-0.5))),1)</f>
        <v>1</v>
      </c>
      <c r="D86" s="119" t="n">
        <f aca="false">IF(Calculator!$E$13="YES",IF(A86&lt;Calculator!$G$13,0,MIN(MIN(MOD(A86/Calculator!$F$13,1),1-MOD(A86/Calculator!$F$13,1)),ABS(MOD(A86/Calculator!$F$13,1)-0.5))),1)</f>
        <v>1</v>
      </c>
      <c r="E86" s="119" t="n">
        <f aca="false">IF(Calculator!$E$14="YES",IF(A86&lt;Calculator!$G$14,0,MIN(MIN(MOD(A86/Calculator!$F$14,1),1-MOD(A86/Calculator!$F$14,1)),ABS(MOD(A86/Calculator!$F$14,1)-0.5))),1)</f>
        <v>0.22444444444444</v>
      </c>
      <c r="F86" s="119" t="n">
        <f aca="false">IF(Calculator!$E$15="YES",IF(A86&lt;Calculator!$G$15,0,MIN(MIN(MOD(A86/Calculator!$F$15,1),1-MOD(A86/Calculator!$F$15,1)),ABS(MOD(A86/Calculator!$F$15,1)-0.5))),1)</f>
        <v>0.15000000000001</v>
      </c>
      <c r="G86" s="119" t="n">
        <f aca="false">IF(Calculator!$E$16="YES",IF(A86&lt;Calculator!$G$16,0,MIN(MIN(MOD(A86/Calculator!$F$16,1),1-MOD(A86/Calculator!$F$16,1)),ABS(MOD(A86/Calculator!$F$16,1)-0.5))),1)</f>
        <v>0.0899999999999999</v>
      </c>
      <c r="H86" s="119" t="n">
        <f aca="false">IF(Calculator!$E$17="YES",IF(A86&lt;Calculator!$G$17,0,MIN(MIN(MOD(A86/Calculator!$F$17,1),1-MOD(A86/Calculator!$F$17,1)),ABS(MOD(A86/Calculator!$F$17,1)-0.5))),1)</f>
        <v>0.13671111111111</v>
      </c>
      <c r="I86" s="119" t="n">
        <f aca="false">IF(Calculator!$E$18="YES",IF(A86&lt;Calculator!$G$18,0,MIN(MIN(MOD(A86/Calculator!$F$18,1),1-MOD(A86/Calculator!$F$18,1)),ABS(MOD(A86/Calculator!$F$18,1)-0.5))),1)</f>
        <v>0.103333333333334</v>
      </c>
      <c r="J86" s="119" t="n">
        <f aca="false">IF(Calculator!$E$19="YES",IF(A86&lt;Calculator!$G$19,0,MIN(MIN(MOD(A86/Calculator!$F$19,1),1-MOD(A86/Calculator!$F$19,1)),ABS(MOD(A86/Calculator!$F$19,1)-0.5))),1)</f>
        <v>0.24088888888889</v>
      </c>
      <c r="K86" s="119" t="n">
        <f aca="false">IF(Calculator!$E$20="YES",IF(A86&lt;Calculator!$G$20,0,MIN(MIN(MOD(A86/Calculator!$F$20,1),1-MOD(A86/Calculator!$F$20,1)),ABS(MOD(A86/Calculator!$F$20,1)-0.5))),1)</f>
        <v>0.0244444444444429</v>
      </c>
      <c r="L86" s="119" t="n">
        <f aca="false">IF(Calculator!$E$21="YES",IF(A86&lt;Calculator!$G$21,0,MIN(MIN(MOD(A86/Calculator!$F$21,1),1-MOD(A86/Calculator!$F$21,1)),ABS(MOD(A86/Calculator!$F$21,1)-0.5))),1)</f>
        <v>1</v>
      </c>
      <c r="M86" s="120" t="n">
        <f aca="false">MIN(B86:L86)</f>
        <v>0.0244444444444429</v>
      </c>
      <c r="N86" s="121" t="n">
        <f aca="false">SUMPRODUCT(($M$5:$M$115&gt;M86)*1)+SUMPRODUCT(($M$5:$M$115=M86)*(ROW($M$5:$M$115)&lt;ROW(M86)))+1</f>
        <v>56</v>
      </c>
      <c r="O86" s="122" t="str">
        <f aca="false">IF(M86&gt;=0.2,"★★★ EXCELLENT",IF(M86&gt;=0.12,"★★  GOOD",IF(M86&gt;=0.07,"★  FAIR",IF(M86&gt;=0.025,"⚠  MARGINAL","✗  AVOID"))))</f>
        <v>✗  AVOID</v>
      </c>
    </row>
    <row r="87" customFormat="false" ht="15" hidden="false" customHeight="true" outlineLevel="0" collapsed="false">
      <c r="A87" s="118" t="n">
        <v>46</v>
      </c>
      <c r="B87" s="119" t="n">
        <f aca="false">IF(Calculator!$E$11="YES",IF(A87&lt;Calculator!$G$11,0,MIN(MIN(MOD(A87/Calculator!$F$11,1),1-MOD(A87/Calculator!$F$11,1)),ABS(MOD(A87/Calculator!$F$11,1)-0.5))),1)</f>
        <v>1</v>
      </c>
      <c r="C87" s="119" t="n">
        <f aca="false">IF(Calculator!$E$12="YES",IF(A87&lt;Calculator!$G$12,0,MIN(MIN(MOD(A87/Calculator!$F$12,1),1-MOD(A87/Calculator!$F$12,1)),ABS(MOD(A87/Calculator!$F$12,1)-0.5))),1)</f>
        <v>1</v>
      </c>
      <c r="D87" s="119" t="n">
        <f aca="false">IF(Calculator!$E$13="YES",IF(A87&lt;Calculator!$G$13,0,MIN(MIN(MOD(A87/Calculator!$F$13,1),1-MOD(A87/Calculator!$F$13,1)),ABS(MOD(A87/Calculator!$F$13,1)-0.5))),1)</f>
        <v>1</v>
      </c>
      <c r="E87" s="119" t="n">
        <f aca="false">IF(Calculator!$E$14="YES",IF(A87&lt;Calculator!$G$14,0,MIN(MIN(MOD(A87/Calculator!$F$14,1),1-MOD(A87/Calculator!$F$14,1)),ABS(MOD(A87/Calculator!$F$14,1)-0.5))),1)</f>
        <v>0.248888888888884</v>
      </c>
      <c r="F87" s="119" t="n">
        <f aca="false">IF(Calculator!$E$15="YES",IF(A87&lt;Calculator!$G$15,0,MIN(MIN(MOD(A87/Calculator!$F$15,1),1-MOD(A87/Calculator!$F$15,1)),ABS(MOD(A87/Calculator!$F$15,1)-0.5))),1)</f>
        <v>0.184615384615394</v>
      </c>
      <c r="G87" s="119" t="n">
        <f aca="false">IF(Calculator!$E$16="YES",IF(A87&lt;Calculator!$G$16,0,MIN(MIN(MOD(A87/Calculator!$F$16,1),1-MOD(A87/Calculator!$F$16,1)),ABS(MOD(A87/Calculator!$F$16,1)-0.5))),1)</f>
        <v>0.0415384615384609</v>
      </c>
      <c r="H87" s="119" t="n">
        <f aca="false">IF(Calculator!$E$17="YES",IF(A87&lt;Calculator!$G$17,0,MIN(MIN(MOD(A87/Calculator!$F$17,1),1-MOD(A87/Calculator!$F$17,1)),ABS(MOD(A87/Calculator!$F$17,1)-0.5))),1)</f>
        <v>0.19865299145299</v>
      </c>
      <c r="I87" s="119" t="n">
        <f aca="false">IF(Calculator!$E$18="YES",IF(A87&lt;Calculator!$G$18,0,MIN(MIN(MOD(A87/Calculator!$F$18,1),1-MOD(A87/Calculator!$F$18,1)),ABS(MOD(A87/Calculator!$F$18,1)-0.5))),1)</f>
        <v>0.175897435897436</v>
      </c>
      <c r="J87" s="119" t="n">
        <f aca="false">IF(Calculator!$E$19="YES",IF(A87&lt;Calculator!$G$19,0,MIN(MIN(MOD(A87/Calculator!$F$19,1),1-MOD(A87/Calculator!$F$19,1)),ABS(MOD(A87/Calculator!$F$19,1)-0.5))),1)</f>
        <v>0.155623931623933</v>
      </c>
      <c r="K87" s="119" t="n">
        <f aca="false">IF(Calculator!$E$20="YES",IF(A87&lt;Calculator!$G$20,0,MIN(MIN(MOD(A87/Calculator!$F$20,1),1-MOD(A87/Calculator!$F$20,1)),ABS(MOD(A87/Calculator!$F$20,1)-0.5))),1)</f>
        <v>0.074188034188035</v>
      </c>
      <c r="L87" s="119" t="n">
        <f aca="false">IF(Calculator!$E$21="YES",IF(A87&lt;Calculator!$G$21,0,MIN(MIN(MOD(A87/Calculator!$F$21,1),1-MOD(A87/Calculator!$F$21,1)),ABS(MOD(A87/Calculator!$F$21,1)-0.5))),1)</f>
        <v>1</v>
      </c>
      <c r="M87" s="120" t="n">
        <f aca="false">MIN(B87:L87)</f>
        <v>0.0415384615384609</v>
      </c>
      <c r="N87" s="121" t="n">
        <f aca="false">SUMPRODUCT(($M$5:$M$115&gt;M87)*1)+SUMPRODUCT(($M$5:$M$115=M87)*(ROW($M$5:$M$115)&lt;ROW(M87)))+1</f>
        <v>30</v>
      </c>
      <c r="O87" s="122" t="str">
        <f aca="false">IF(M87&gt;=0.2,"★★★ EXCELLENT",IF(M87&gt;=0.12,"★★  GOOD",IF(M87&gt;=0.07,"★  FAIR",IF(M87&gt;=0.025,"⚠  MARGINAL","✗  AVOID"))))</f>
        <v>⚠  MARGINAL</v>
      </c>
    </row>
    <row r="88" customFormat="false" ht="15" hidden="false" customHeight="true" outlineLevel="0" collapsed="false">
      <c r="A88" s="118" t="n">
        <v>46.5</v>
      </c>
      <c r="B88" s="119" t="n">
        <f aca="false">IF(Calculator!$E$11="YES",IF(A88&lt;Calculator!$G$11,0,MIN(MIN(MOD(A88/Calculator!$F$11,1),1-MOD(A88/Calculator!$F$11,1)),ABS(MOD(A88/Calculator!$F$11,1)-0.5))),1)</f>
        <v>1</v>
      </c>
      <c r="C88" s="119" t="n">
        <f aca="false">IF(Calculator!$E$12="YES",IF(A88&lt;Calculator!$G$12,0,MIN(MIN(MOD(A88/Calculator!$F$12,1),1-MOD(A88/Calculator!$F$12,1)),ABS(MOD(A88/Calculator!$F$12,1)-0.5))),1)</f>
        <v>1</v>
      </c>
      <c r="D88" s="119" t="n">
        <f aca="false">IF(Calculator!$E$13="YES",IF(A88&lt;Calculator!$G$13,0,MIN(MIN(MOD(A88/Calculator!$F$13,1),1-MOD(A88/Calculator!$F$13,1)),ABS(MOD(A88/Calculator!$F$13,1)-0.5))),1)</f>
        <v>1</v>
      </c>
      <c r="E88" s="119" t="n">
        <f aca="false">IF(Calculator!$E$14="YES",IF(A88&lt;Calculator!$G$14,0,MIN(MIN(MOD(A88/Calculator!$F$14,1),1-MOD(A88/Calculator!$F$14,1)),ABS(MOD(A88/Calculator!$F$14,1)-0.5))),1)</f>
        <v>0.226666666666671</v>
      </c>
      <c r="F88" s="119" t="n">
        <f aca="false">IF(Calculator!$E$15="YES",IF(A88&lt;Calculator!$G$15,0,MIN(MIN(MOD(A88/Calculator!$F$15,1),1-MOD(A88/Calculator!$F$15,1)),ABS(MOD(A88/Calculator!$F$15,1)-0.5))),1)</f>
        <v>0.219230769230779</v>
      </c>
      <c r="G88" s="119" t="n">
        <f aca="false">IF(Calculator!$E$16="YES",IF(A88&lt;Calculator!$G$16,0,MIN(MIN(MOD(A88/Calculator!$F$16,1),1-MOD(A88/Calculator!$F$16,1)),ABS(MOD(A88/Calculator!$F$16,1)-0.5))),1)</f>
        <v>0.00692307692307725</v>
      </c>
      <c r="H88" s="119" t="n">
        <f aca="false">IF(Calculator!$E$17="YES",IF(A88&lt;Calculator!$G$17,0,MIN(MIN(MOD(A88/Calculator!$F$17,1),1-MOD(A88/Calculator!$F$17,1)),ABS(MOD(A88/Calculator!$F$17,1)-0.5))),1)</f>
        <v>0.23940512820513</v>
      </c>
      <c r="I88" s="119" t="n">
        <f aca="false">IF(Calculator!$E$18="YES",IF(A88&lt;Calculator!$G$18,0,MIN(MIN(MOD(A88/Calculator!$F$18,1),1-MOD(A88/Calculator!$F$18,1)),ABS(MOD(A88/Calculator!$F$18,1)-0.5))),1)</f>
        <v>0.248461538461539</v>
      </c>
      <c r="J88" s="119" t="n">
        <f aca="false">IF(Calculator!$E$19="YES",IF(A88&lt;Calculator!$G$19,0,MIN(MIN(MOD(A88/Calculator!$F$19,1),1-MOD(A88/Calculator!$F$19,1)),ABS(MOD(A88/Calculator!$F$19,1)-0.5))),1)</f>
        <v>0.0703589743589754</v>
      </c>
      <c r="K88" s="119" t="n">
        <f aca="false">IF(Calculator!$E$20="YES",IF(A88&lt;Calculator!$G$20,0,MIN(MIN(MOD(A88/Calculator!$F$20,1),1-MOD(A88/Calculator!$F$20,1)),ABS(MOD(A88/Calculator!$F$20,1)-0.5))),1)</f>
        <v>0.172820512820515</v>
      </c>
      <c r="L88" s="119" t="n">
        <f aca="false">IF(Calculator!$E$21="YES",IF(A88&lt;Calculator!$G$21,0,MIN(MIN(MOD(A88/Calculator!$F$21,1),1-MOD(A88/Calculator!$F$21,1)),ABS(MOD(A88/Calculator!$F$21,1)-0.5))),1)</f>
        <v>1</v>
      </c>
      <c r="M88" s="120" t="n">
        <f aca="false">MIN(B88:L88)</f>
        <v>0.00692307692307725</v>
      </c>
      <c r="N88" s="121" t="n">
        <f aca="false">SUMPRODUCT(($M$5:$M$115&gt;M88)*1)+SUMPRODUCT(($M$5:$M$115=M88)*(ROW($M$5:$M$115)&lt;ROW(M88)))+1</f>
        <v>88</v>
      </c>
      <c r="O88" s="122" t="str">
        <f aca="false">IF(M88&gt;=0.2,"★★★ EXCELLENT",IF(M88&gt;=0.12,"★★  GOOD",IF(M88&gt;=0.07,"★  FAIR",IF(M88&gt;=0.025,"⚠  MARGINAL","✗  AVOID"))))</f>
        <v>✗  AVOID</v>
      </c>
    </row>
    <row r="89" customFormat="false" ht="15" hidden="false" customHeight="true" outlineLevel="0" collapsed="false">
      <c r="A89" s="118" t="n">
        <v>47</v>
      </c>
      <c r="B89" s="119" t="n">
        <f aca="false">IF(Calculator!$E$11="YES",IF(A89&lt;Calculator!$G$11,0,MIN(MIN(MOD(A89/Calculator!$F$11,1),1-MOD(A89/Calculator!$F$11,1)),ABS(MOD(A89/Calculator!$F$11,1)-0.5))),1)</f>
        <v>1</v>
      </c>
      <c r="C89" s="119" t="n">
        <f aca="false">IF(Calculator!$E$12="YES",IF(A89&lt;Calculator!$G$12,0,MIN(MIN(MOD(A89/Calculator!$F$12,1),1-MOD(A89/Calculator!$F$12,1)),ABS(MOD(A89/Calculator!$F$12,1)-0.5))),1)</f>
        <v>1</v>
      </c>
      <c r="D89" s="119" t="n">
        <f aca="false">IF(Calculator!$E$13="YES",IF(A89&lt;Calculator!$G$13,0,MIN(MIN(MOD(A89/Calculator!$F$13,1),1-MOD(A89/Calculator!$F$13,1)),ABS(MOD(A89/Calculator!$F$13,1)-0.5))),1)</f>
        <v>1</v>
      </c>
      <c r="E89" s="119" t="n">
        <f aca="false">IF(Calculator!$E$14="YES",IF(A89&lt;Calculator!$G$14,0,MIN(MIN(MOD(A89/Calculator!$F$14,1),1-MOD(A89/Calculator!$F$14,1)),ABS(MOD(A89/Calculator!$F$14,1)-0.5))),1)</f>
        <v>0.202222222222227</v>
      </c>
      <c r="F89" s="119" t="n">
        <f aca="false">IF(Calculator!$E$15="YES",IF(A89&lt;Calculator!$G$15,0,MIN(MIN(MOD(A89/Calculator!$F$15,1),1-MOD(A89/Calculator!$F$15,1)),ABS(MOD(A89/Calculator!$F$15,1)-0.5))),1)</f>
        <v>0.246153846153836</v>
      </c>
      <c r="G89" s="119" t="n">
        <f aca="false">IF(Calculator!$E$16="YES",IF(A89&lt;Calculator!$G$16,0,MIN(MIN(MOD(A89/Calculator!$F$16,1),1-MOD(A89/Calculator!$F$16,1)),ABS(MOD(A89/Calculator!$F$16,1)-0.5))),1)</f>
        <v>0.0553846153846163</v>
      </c>
      <c r="H89" s="119" t="n">
        <f aca="false">IF(Calculator!$E$17="YES",IF(A89&lt;Calculator!$G$17,0,MIN(MIN(MOD(A89/Calculator!$F$17,1),1-MOD(A89/Calculator!$F$17,1)),ABS(MOD(A89/Calculator!$F$17,1)-0.5))),1)</f>
        <v>0.177463247863249</v>
      </c>
      <c r="I89" s="119" t="n">
        <f aca="false">IF(Calculator!$E$18="YES",IF(A89&lt;Calculator!$G$18,0,MIN(MIN(MOD(A89/Calculator!$F$18,1),1-MOD(A89/Calculator!$F$18,1)),ABS(MOD(A89/Calculator!$F$18,1)-0.5))),1)</f>
        <v>0.178974358974358</v>
      </c>
      <c r="J89" s="119" t="n">
        <f aca="false">IF(Calculator!$E$19="YES",IF(A89&lt;Calculator!$G$19,0,MIN(MIN(MOD(A89/Calculator!$F$19,1),1-MOD(A89/Calculator!$F$19,1)),ABS(MOD(A89/Calculator!$F$19,1)-0.5))),1)</f>
        <v>0.0149059829059812</v>
      </c>
      <c r="K89" s="119" t="n">
        <f aca="false">IF(Calculator!$E$20="YES",IF(A89&lt;Calculator!$G$20,0,MIN(MIN(MOD(A89/Calculator!$F$20,1),1-MOD(A89/Calculator!$F$20,1)),ABS(MOD(A89/Calculator!$F$20,1)-0.5))),1)</f>
        <v>0.228547008547007</v>
      </c>
      <c r="L89" s="119" t="n">
        <f aca="false">IF(Calculator!$E$21="YES",IF(A89&lt;Calculator!$G$21,0,MIN(MIN(MOD(A89/Calculator!$F$21,1),1-MOD(A89/Calculator!$F$21,1)),ABS(MOD(A89/Calculator!$F$21,1)-0.5))),1)</f>
        <v>1</v>
      </c>
      <c r="M89" s="120" t="n">
        <f aca="false">MIN(B89:L89)</f>
        <v>0.0149059829059812</v>
      </c>
      <c r="N89" s="121" t="n">
        <f aca="false">SUMPRODUCT(($M$5:$M$115&gt;M89)*1)+SUMPRODUCT(($M$5:$M$115=M89)*(ROW($M$5:$M$115)&lt;ROW(M89)))+1</f>
        <v>71</v>
      </c>
      <c r="O89" s="122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true" outlineLevel="0" collapsed="false">
      <c r="A90" s="118" t="n">
        <v>47.5</v>
      </c>
      <c r="B90" s="119" t="n">
        <f aca="false">IF(Calculator!$E$11="YES",IF(A90&lt;Calculator!$G$11,0,MIN(MIN(MOD(A90/Calculator!$F$11,1),1-MOD(A90/Calculator!$F$11,1)),ABS(MOD(A90/Calculator!$F$11,1)-0.5))),1)</f>
        <v>1</v>
      </c>
      <c r="C90" s="119" t="n">
        <f aca="false">IF(Calculator!$E$12="YES",IF(A90&lt;Calculator!$G$12,0,MIN(MIN(MOD(A90/Calculator!$F$12,1),1-MOD(A90/Calculator!$F$12,1)),ABS(MOD(A90/Calculator!$F$12,1)-0.5))),1)</f>
        <v>1</v>
      </c>
      <c r="D90" s="119" t="n">
        <f aca="false">IF(Calculator!$E$13="YES",IF(A90&lt;Calculator!$G$13,0,MIN(MIN(MOD(A90/Calculator!$F$13,1),1-MOD(A90/Calculator!$F$13,1)),ABS(MOD(A90/Calculator!$F$13,1)-0.5))),1)</f>
        <v>1</v>
      </c>
      <c r="E90" s="119" t="n">
        <f aca="false">IF(Calculator!$E$14="YES",IF(A90&lt;Calculator!$G$14,0,MIN(MIN(MOD(A90/Calculator!$F$14,1),1-MOD(A90/Calculator!$F$14,1)),ABS(MOD(A90/Calculator!$F$14,1)-0.5))),1)</f>
        <v>0.177777777777783</v>
      </c>
      <c r="F90" s="119" t="n">
        <f aca="false">IF(Calculator!$E$15="YES",IF(A90&lt;Calculator!$G$15,0,MIN(MIN(MOD(A90/Calculator!$F$15,1),1-MOD(A90/Calculator!$F$15,1)),ABS(MOD(A90/Calculator!$F$15,1)-0.5))),1)</f>
        <v>0.211538461538451</v>
      </c>
      <c r="G90" s="119" t="n">
        <f aca="false">IF(Calculator!$E$16="YES",IF(A90&lt;Calculator!$G$16,0,MIN(MIN(MOD(A90/Calculator!$F$16,1),1-MOD(A90/Calculator!$F$16,1)),ABS(MOD(A90/Calculator!$F$16,1)-0.5))),1)</f>
        <v>0.103846153846154</v>
      </c>
      <c r="H90" s="119" t="n">
        <f aca="false">IF(Calculator!$E$17="YES",IF(A90&lt;Calculator!$G$17,0,MIN(MIN(MOD(A90/Calculator!$F$17,1),1-MOD(A90/Calculator!$F$17,1)),ABS(MOD(A90/Calculator!$F$17,1)-0.5))),1)</f>
        <v>0.115521367521369</v>
      </c>
      <c r="I90" s="119" t="n">
        <f aca="false">IF(Calculator!$E$18="YES",IF(A90&lt;Calculator!$G$18,0,MIN(MIN(MOD(A90/Calculator!$F$18,1),1-MOD(A90/Calculator!$F$18,1)),ABS(MOD(A90/Calculator!$F$18,1)-0.5))),1)</f>
        <v>0.106410256410256</v>
      </c>
      <c r="J90" s="119" t="n">
        <f aca="false">IF(Calculator!$E$19="YES",IF(A90&lt;Calculator!$G$19,0,MIN(MIN(MOD(A90/Calculator!$F$19,1),1-MOD(A90/Calculator!$F$19,1)),ABS(MOD(A90/Calculator!$F$19,1)-0.5))),1)</f>
        <v>0.100170940170939</v>
      </c>
      <c r="K90" s="119" t="n">
        <f aca="false">IF(Calculator!$E$20="YES",IF(A90&lt;Calculator!$G$20,0,MIN(MIN(MOD(A90/Calculator!$F$20,1),1-MOD(A90/Calculator!$F$20,1)),ABS(MOD(A90/Calculator!$F$20,1)-0.5))),1)</f>
        <v>0.129914529914529</v>
      </c>
      <c r="L90" s="119" t="n">
        <f aca="false">IF(Calculator!$E$21="YES",IF(A90&lt;Calculator!$G$21,0,MIN(MIN(MOD(A90/Calculator!$F$21,1),1-MOD(A90/Calculator!$F$21,1)),ABS(MOD(A90/Calculator!$F$21,1)-0.5))),1)</f>
        <v>1</v>
      </c>
      <c r="M90" s="120" t="n">
        <f aca="false">MIN(B90:L90)</f>
        <v>0.100170940170939</v>
      </c>
      <c r="N90" s="121" t="n">
        <f aca="false">SUMPRODUCT(($M$5:$M$115&gt;M90)*1)+SUMPRODUCT(($M$5:$M$115=M90)*(ROW($M$5:$M$115)&lt;ROW(M90)))+1</f>
        <v>3</v>
      </c>
      <c r="O90" s="122" t="str">
        <f aca="false">IF(M90&gt;=0.2,"★★★ EXCELLENT",IF(M90&gt;=0.12,"★★  GOOD",IF(M90&gt;=0.07,"★  FAIR",IF(M90&gt;=0.025,"⚠  MARGINAL","✗  AVOID"))))</f>
        <v>★  FAIR</v>
      </c>
    </row>
    <row r="91" customFormat="false" ht="15" hidden="false" customHeight="true" outlineLevel="0" collapsed="false">
      <c r="A91" s="118" t="n">
        <v>48</v>
      </c>
      <c r="B91" s="119" t="n">
        <f aca="false">IF(Calculator!$E$11="YES",IF(A91&lt;Calculator!$G$11,0,MIN(MIN(MOD(A91/Calculator!$F$11,1),1-MOD(A91/Calculator!$F$11,1)),ABS(MOD(A91/Calculator!$F$11,1)-0.5))),1)</f>
        <v>1</v>
      </c>
      <c r="C91" s="119" t="n">
        <f aca="false">IF(Calculator!$E$12="YES",IF(A91&lt;Calculator!$G$12,0,MIN(MIN(MOD(A91/Calculator!$F$12,1),1-MOD(A91/Calculator!$F$12,1)),ABS(MOD(A91/Calculator!$F$12,1)-0.5))),1)</f>
        <v>1</v>
      </c>
      <c r="D91" s="119" t="n">
        <f aca="false">IF(Calculator!$E$13="YES",IF(A91&lt;Calculator!$G$13,0,MIN(MIN(MOD(A91/Calculator!$F$13,1),1-MOD(A91/Calculator!$F$13,1)),ABS(MOD(A91/Calculator!$F$13,1)-0.5))),1)</f>
        <v>1</v>
      </c>
      <c r="E91" s="119" t="n">
        <f aca="false">IF(Calculator!$E$14="YES",IF(A91&lt;Calculator!$G$14,0,MIN(MIN(MOD(A91/Calculator!$F$14,1),1-MOD(A91/Calculator!$F$14,1)),ABS(MOD(A91/Calculator!$F$14,1)-0.5))),1)</f>
        <v>0.153333333333339</v>
      </c>
      <c r="F91" s="119" t="n">
        <f aca="false">IF(Calculator!$E$15="YES",IF(A91&lt;Calculator!$G$15,0,MIN(MIN(MOD(A91/Calculator!$F$15,1),1-MOD(A91/Calculator!$F$15,1)),ABS(MOD(A91/Calculator!$F$15,1)-0.5))),1)</f>
        <v>0.176923076923067</v>
      </c>
      <c r="G91" s="119" t="n">
        <f aca="false">IF(Calculator!$E$16="YES",IF(A91&lt;Calculator!$G$16,0,MIN(MIN(MOD(A91/Calculator!$F$16,1),1-MOD(A91/Calculator!$F$16,1)),ABS(MOD(A91/Calculator!$F$16,1)-0.5))),1)</f>
        <v>0.152307692307692</v>
      </c>
      <c r="H91" s="119" t="n">
        <f aca="false">IF(Calculator!$E$17="YES",IF(A91&lt;Calculator!$G$17,0,MIN(MIN(MOD(A91/Calculator!$F$17,1),1-MOD(A91/Calculator!$F$17,1)),ABS(MOD(A91/Calculator!$F$17,1)-0.5))),1)</f>
        <v>0.0535794871794888</v>
      </c>
      <c r="I91" s="119" t="n">
        <f aca="false">IF(Calculator!$E$18="YES",IF(A91&lt;Calculator!$G$18,0,MIN(MIN(MOD(A91/Calculator!$F$18,1),1-MOD(A91/Calculator!$F$18,1)),ABS(MOD(A91/Calculator!$F$18,1)-0.5))),1)</f>
        <v>0.0338461538461532</v>
      </c>
      <c r="J91" s="119" t="n">
        <f aca="false">IF(Calculator!$E$19="YES",IF(A91&lt;Calculator!$G$19,0,MIN(MIN(MOD(A91/Calculator!$F$19,1),1-MOD(A91/Calculator!$F$19,1)),ABS(MOD(A91/Calculator!$F$19,1)-0.5))),1)</f>
        <v>0.185435897435896</v>
      </c>
      <c r="K91" s="119" t="n">
        <f aca="false">IF(Calculator!$E$20="YES",IF(A91&lt;Calculator!$G$20,0,MIN(MIN(MOD(A91/Calculator!$F$20,1),1-MOD(A91/Calculator!$F$20,1)),ABS(MOD(A91/Calculator!$F$20,1)-0.5))),1)</f>
        <v>0.0312820512820498</v>
      </c>
      <c r="L91" s="119" t="n">
        <f aca="false">IF(Calculator!$E$21="YES",IF(A91&lt;Calculator!$G$21,0,MIN(MIN(MOD(A91/Calculator!$F$21,1),1-MOD(A91/Calculator!$F$21,1)),ABS(MOD(A91/Calculator!$F$21,1)-0.5))),1)</f>
        <v>1</v>
      </c>
      <c r="M91" s="120" t="n">
        <f aca="false">MIN(B91:L91)</f>
        <v>0.0312820512820498</v>
      </c>
      <c r="N91" s="121" t="n">
        <f aca="false">SUMPRODUCT(($M$5:$M$115&gt;M91)*1)+SUMPRODUCT(($M$5:$M$115=M91)*(ROW($M$5:$M$115)&lt;ROW(M91)))+1</f>
        <v>46</v>
      </c>
      <c r="O91" s="122" t="str">
        <f aca="false">IF(M91&gt;=0.2,"★★★ EXCELLENT",IF(M91&gt;=0.12,"★★  GOOD",IF(M91&gt;=0.07,"★  FAIR",IF(M91&gt;=0.025,"⚠  MARGINAL","✗  AVOID"))))</f>
        <v>⚠  MARGINAL</v>
      </c>
    </row>
    <row r="92" customFormat="false" ht="15" hidden="false" customHeight="true" outlineLevel="0" collapsed="false">
      <c r="A92" s="118" t="n">
        <v>48.5</v>
      </c>
      <c r="B92" s="119" t="n">
        <f aca="false">IF(Calculator!$E$11="YES",IF(A92&lt;Calculator!$G$11,0,MIN(MIN(MOD(A92/Calculator!$F$11,1),1-MOD(A92/Calculator!$F$11,1)),ABS(MOD(A92/Calculator!$F$11,1)-0.5))),1)</f>
        <v>1</v>
      </c>
      <c r="C92" s="119" t="n">
        <f aca="false">IF(Calculator!$E$12="YES",IF(A92&lt;Calculator!$G$12,0,MIN(MIN(MOD(A92/Calculator!$F$12,1),1-MOD(A92/Calculator!$F$12,1)),ABS(MOD(A92/Calculator!$F$12,1)-0.5))),1)</f>
        <v>1</v>
      </c>
      <c r="D92" s="119" t="n">
        <f aca="false">IF(Calculator!$E$13="YES",IF(A92&lt;Calculator!$G$13,0,MIN(MIN(MOD(A92/Calculator!$F$13,1),1-MOD(A92/Calculator!$F$13,1)),ABS(MOD(A92/Calculator!$F$13,1)-0.5))),1)</f>
        <v>1</v>
      </c>
      <c r="E92" s="119" t="n">
        <f aca="false">IF(Calculator!$E$14="YES",IF(A92&lt;Calculator!$G$14,0,MIN(MIN(MOD(A92/Calculator!$F$14,1),1-MOD(A92/Calculator!$F$14,1)),ABS(MOD(A92/Calculator!$F$14,1)-0.5))),1)</f>
        <v>0.128888888888894</v>
      </c>
      <c r="F92" s="119" t="n">
        <f aca="false">IF(Calculator!$E$15="YES",IF(A92&lt;Calculator!$G$15,0,MIN(MIN(MOD(A92/Calculator!$F$15,1),1-MOD(A92/Calculator!$F$15,1)),ABS(MOD(A92/Calculator!$F$15,1)-0.5))),1)</f>
        <v>0.142307692307682</v>
      </c>
      <c r="G92" s="119" t="n">
        <f aca="false">IF(Calculator!$E$16="YES",IF(A92&lt;Calculator!$G$16,0,MIN(MIN(MOD(A92/Calculator!$F$16,1),1-MOD(A92/Calculator!$F$16,1)),ABS(MOD(A92/Calculator!$F$16,1)-0.5))),1)</f>
        <v>0.200769230769231</v>
      </c>
      <c r="H92" s="119" t="n">
        <f aca="false">IF(Calculator!$E$17="YES",IF(A92&lt;Calculator!$G$17,0,MIN(MIN(MOD(A92/Calculator!$F$17,1),1-MOD(A92/Calculator!$F$17,1)),ABS(MOD(A92/Calculator!$F$17,1)-0.5))),1)</f>
        <v>0.00836239316239151</v>
      </c>
      <c r="I92" s="119" t="n">
        <f aca="false">IF(Calculator!$E$18="YES",IF(A92&lt;Calculator!$G$18,0,MIN(MIN(MOD(A92/Calculator!$F$18,1),1-MOD(A92/Calculator!$F$18,1)),ABS(MOD(A92/Calculator!$F$18,1)-0.5))),1)</f>
        <v>0.0387179487179496</v>
      </c>
      <c r="J92" s="119" t="n">
        <f aca="false">IF(Calculator!$E$19="YES",IF(A92&lt;Calculator!$G$19,0,MIN(MIN(MOD(A92/Calculator!$F$19,1),1-MOD(A92/Calculator!$F$19,1)),ABS(MOD(A92/Calculator!$F$19,1)-0.5))),1)</f>
        <v>0.229299145299146</v>
      </c>
      <c r="K92" s="119" t="n">
        <f aca="false">IF(Calculator!$E$20="YES",IF(A92&lt;Calculator!$G$20,0,MIN(MIN(MOD(A92/Calculator!$F$20,1),1-MOD(A92/Calculator!$F$20,1)),ABS(MOD(A92/Calculator!$F$20,1)-0.5))),1)</f>
        <v>0.0673504273504282</v>
      </c>
      <c r="L92" s="119" t="n">
        <f aca="false">IF(Calculator!$E$21="YES",IF(A92&lt;Calculator!$G$21,0,MIN(MIN(MOD(A92/Calculator!$F$21,1),1-MOD(A92/Calculator!$F$21,1)),ABS(MOD(A92/Calculator!$F$21,1)-0.5))),1)</f>
        <v>1</v>
      </c>
      <c r="M92" s="120" t="n">
        <f aca="false">MIN(B92:L92)</f>
        <v>0.00836239316239151</v>
      </c>
      <c r="N92" s="121" t="n">
        <f aca="false">SUMPRODUCT(($M$5:$M$115&gt;M92)*1)+SUMPRODUCT(($M$5:$M$115=M92)*(ROW($M$5:$M$115)&lt;ROW(M92)))+1</f>
        <v>83</v>
      </c>
      <c r="O92" s="122" t="str">
        <f aca="false">IF(M92&gt;=0.2,"★★★ EXCELLENT",IF(M92&gt;=0.12,"★★  GOOD",IF(M92&gt;=0.07,"★  FAIR",IF(M92&gt;=0.025,"⚠  MARGINAL","✗  AVOID"))))</f>
        <v>✗  AVOID</v>
      </c>
    </row>
    <row r="93" customFormat="false" ht="15" hidden="false" customHeight="true" outlineLevel="0" collapsed="false">
      <c r="A93" s="118" t="n">
        <v>49</v>
      </c>
      <c r="B93" s="119" t="n">
        <f aca="false">IF(Calculator!$E$11="YES",IF(A93&lt;Calculator!$G$11,0,MIN(MIN(MOD(A93/Calculator!$F$11,1),1-MOD(A93/Calculator!$F$11,1)),ABS(MOD(A93/Calculator!$F$11,1)-0.5))),1)</f>
        <v>1</v>
      </c>
      <c r="C93" s="119" t="n">
        <f aca="false">IF(Calculator!$E$12="YES",IF(A93&lt;Calculator!$G$12,0,MIN(MIN(MOD(A93/Calculator!$F$12,1),1-MOD(A93/Calculator!$F$12,1)),ABS(MOD(A93/Calculator!$F$12,1)-0.5))),1)</f>
        <v>1</v>
      </c>
      <c r="D93" s="119" t="n">
        <f aca="false">IF(Calculator!$E$13="YES",IF(A93&lt;Calculator!$G$13,0,MIN(MIN(MOD(A93/Calculator!$F$13,1),1-MOD(A93/Calculator!$F$13,1)),ABS(MOD(A93/Calculator!$F$13,1)-0.5))),1)</f>
        <v>1</v>
      </c>
      <c r="E93" s="119" t="n">
        <f aca="false">IF(Calculator!$E$14="YES",IF(A93&lt;Calculator!$G$14,0,MIN(MIN(MOD(A93/Calculator!$F$14,1),1-MOD(A93/Calculator!$F$14,1)),ABS(MOD(A93/Calculator!$F$14,1)-0.5))),1)</f>
        <v>0.10444444444445</v>
      </c>
      <c r="F93" s="119" t="n">
        <f aca="false">IF(Calculator!$E$15="YES",IF(A93&lt;Calculator!$G$15,0,MIN(MIN(MOD(A93/Calculator!$F$15,1),1-MOD(A93/Calculator!$F$15,1)),ABS(MOD(A93/Calculator!$F$15,1)-0.5))),1)</f>
        <v>0.107692307692297</v>
      </c>
      <c r="G93" s="119" t="n">
        <f aca="false">IF(Calculator!$E$16="YES",IF(A93&lt;Calculator!$G$16,0,MIN(MIN(MOD(A93/Calculator!$F$16,1),1-MOD(A93/Calculator!$F$16,1)),ABS(MOD(A93/Calculator!$F$16,1)-0.5))),1)</f>
        <v>0.24923076923077</v>
      </c>
      <c r="H93" s="119" t="n">
        <f aca="false">IF(Calculator!$E$17="YES",IF(A93&lt;Calculator!$G$17,0,MIN(MIN(MOD(A93/Calculator!$F$17,1),1-MOD(A93/Calculator!$F$17,1)),ABS(MOD(A93/Calculator!$F$17,1)-0.5))),1)</f>
        <v>0.0703042735042718</v>
      </c>
      <c r="I93" s="119" t="n">
        <f aca="false">IF(Calculator!$E$18="YES",IF(A93&lt;Calculator!$G$18,0,MIN(MIN(MOD(A93/Calculator!$F$18,1),1-MOD(A93/Calculator!$F$18,1)),ABS(MOD(A93/Calculator!$F$18,1)-0.5))),1)</f>
        <v>0.111282051282052</v>
      </c>
      <c r="J93" s="119" t="n">
        <f aca="false">IF(Calculator!$E$19="YES",IF(A93&lt;Calculator!$G$19,0,MIN(MIN(MOD(A93/Calculator!$F$19,1),1-MOD(A93/Calculator!$F$19,1)),ABS(MOD(A93/Calculator!$F$19,1)-0.5))),1)</f>
        <v>0.144034188034189</v>
      </c>
      <c r="K93" s="119" t="n">
        <f aca="false">IF(Calculator!$E$20="YES",IF(A93&lt;Calculator!$G$20,0,MIN(MIN(MOD(A93/Calculator!$F$20,1),1-MOD(A93/Calculator!$F$20,1)),ABS(MOD(A93/Calculator!$F$20,1)-0.5))),1)</f>
        <v>0.165982905982908</v>
      </c>
      <c r="L93" s="119" t="n">
        <f aca="false">IF(Calculator!$E$21="YES",IF(A93&lt;Calculator!$G$21,0,MIN(MIN(MOD(A93/Calculator!$F$21,1),1-MOD(A93/Calculator!$F$21,1)),ABS(MOD(A93/Calculator!$F$21,1)-0.5))),1)</f>
        <v>1</v>
      </c>
      <c r="M93" s="120" t="n">
        <f aca="false">MIN(B93:L93)</f>
        <v>0.0703042735042718</v>
      </c>
      <c r="N93" s="121" t="n">
        <f aca="false">SUMPRODUCT(($M$5:$M$115&gt;M93)*1)+SUMPRODUCT(($M$5:$M$115=M93)*(ROW($M$5:$M$115)&lt;ROW(M93)))+1</f>
        <v>10</v>
      </c>
      <c r="O93" s="122" t="str">
        <f aca="false">IF(M93&gt;=0.2,"★★★ EXCELLENT",IF(M93&gt;=0.12,"★★  GOOD",IF(M93&gt;=0.07,"★  FAIR",IF(M93&gt;=0.025,"⚠  MARGINAL","✗  AVOID"))))</f>
        <v>★  FAIR</v>
      </c>
    </row>
    <row r="94" customFormat="false" ht="15" hidden="false" customHeight="true" outlineLevel="0" collapsed="false">
      <c r="A94" s="118" t="n">
        <v>49.5</v>
      </c>
      <c r="B94" s="119" t="n">
        <f aca="false">IF(Calculator!$E$11="YES",IF(A94&lt;Calculator!$G$11,0,MIN(MIN(MOD(A94/Calculator!$F$11,1),1-MOD(A94/Calculator!$F$11,1)),ABS(MOD(A94/Calculator!$F$11,1)-0.5))),1)</f>
        <v>1</v>
      </c>
      <c r="C94" s="119" t="n">
        <f aca="false">IF(Calculator!$E$12="YES",IF(A94&lt;Calculator!$G$12,0,MIN(MIN(MOD(A94/Calculator!$F$12,1),1-MOD(A94/Calculator!$F$12,1)),ABS(MOD(A94/Calculator!$F$12,1)-0.5))),1)</f>
        <v>1</v>
      </c>
      <c r="D94" s="119" t="n">
        <f aca="false">IF(Calculator!$E$13="YES",IF(A94&lt;Calculator!$G$13,0,MIN(MIN(MOD(A94/Calculator!$F$13,1),1-MOD(A94/Calculator!$F$13,1)),ABS(MOD(A94/Calculator!$F$13,1)-0.5))),1)</f>
        <v>1</v>
      </c>
      <c r="E94" s="119" t="n">
        <f aca="false">IF(Calculator!$E$14="YES",IF(A94&lt;Calculator!$G$14,0,MIN(MIN(MOD(A94/Calculator!$F$14,1),1-MOD(A94/Calculator!$F$14,1)),ABS(MOD(A94/Calculator!$F$14,1)-0.5))),1)</f>
        <v>0.0800000000000054</v>
      </c>
      <c r="F94" s="119" t="n">
        <f aca="false">IF(Calculator!$E$15="YES",IF(A94&lt;Calculator!$G$15,0,MIN(MIN(MOD(A94/Calculator!$F$15,1),1-MOD(A94/Calculator!$F$15,1)),ABS(MOD(A94/Calculator!$F$15,1)-0.5))),1)</f>
        <v>0.0730769230769126</v>
      </c>
      <c r="G94" s="119" t="n">
        <f aca="false">IF(Calculator!$E$16="YES",IF(A94&lt;Calculator!$G$16,0,MIN(MIN(MOD(A94/Calculator!$F$16,1),1-MOD(A94/Calculator!$F$16,1)),ABS(MOD(A94/Calculator!$F$16,1)-0.5))),1)</f>
        <v>0.202307692307691</v>
      </c>
      <c r="H94" s="119" t="n">
        <f aca="false">IF(Calculator!$E$17="YES",IF(A94&lt;Calculator!$G$17,0,MIN(MIN(MOD(A94/Calculator!$F$17,1),1-MOD(A94/Calculator!$F$17,1)),ABS(MOD(A94/Calculator!$F$17,1)-0.5))),1)</f>
        <v>0.132246153846152</v>
      </c>
      <c r="I94" s="119" t="n">
        <f aca="false">IF(Calculator!$E$18="YES",IF(A94&lt;Calculator!$G$18,0,MIN(MIN(MOD(A94/Calculator!$F$18,1),1-MOD(A94/Calculator!$F$18,1)),ABS(MOD(A94/Calculator!$F$18,1)-0.5))),1)</f>
        <v>0.183846153846154</v>
      </c>
      <c r="J94" s="119" t="n">
        <f aca="false">IF(Calculator!$E$19="YES",IF(A94&lt;Calculator!$G$19,0,MIN(MIN(MOD(A94/Calculator!$F$19,1),1-MOD(A94/Calculator!$F$19,1)),ABS(MOD(A94/Calculator!$F$19,1)-0.5))),1)</f>
        <v>0.0587692307692311</v>
      </c>
      <c r="K94" s="119" t="n">
        <f aca="false">IF(Calculator!$E$20="YES",IF(A94&lt;Calculator!$G$20,0,MIN(MIN(MOD(A94/Calculator!$F$20,1),1-MOD(A94/Calculator!$F$20,1)),ABS(MOD(A94/Calculator!$F$20,1)-0.5))),1)</f>
        <v>0.235384615384614</v>
      </c>
      <c r="L94" s="119" t="n">
        <f aca="false">IF(Calculator!$E$21="YES",IF(A94&lt;Calculator!$G$21,0,MIN(MIN(MOD(A94/Calculator!$F$21,1),1-MOD(A94/Calculator!$F$21,1)),ABS(MOD(A94/Calculator!$F$21,1)-0.5))),1)</f>
        <v>1</v>
      </c>
      <c r="M94" s="120" t="n">
        <f aca="false">MIN(B94:L94)</f>
        <v>0.0587692307692311</v>
      </c>
      <c r="N94" s="121" t="n">
        <f aca="false">SUMPRODUCT(($M$5:$M$115&gt;M94)*1)+SUMPRODUCT(($M$5:$M$115=M94)*(ROW($M$5:$M$115)&lt;ROW(M94)))+1</f>
        <v>19</v>
      </c>
      <c r="O94" s="122" t="str">
        <f aca="false">IF(M94&gt;=0.2,"★★★ EXCELLENT",IF(M94&gt;=0.12,"★★  GOOD",IF(M94&gt;=0.07,"★  FAIR",IF(M94&gt;=0.025,"⚠  MARGINAL","✗  AVOID"))))</f>
        <v>⚠  MARGINAL</v>
      </c>
    </row>
    <row r="95" customFormat="false" ht="15" hidden="false" customHeight="true" outlineLevel="0" collapsed="false">
      <c r="A95" s="118" t="n">
        <v>50</v>
      </c>
      <c r="B95" s="119" t="n">
        <f aca="false">IF(Calculator!$E$11="YES",IF(A95&lt;Calculator!$G$11,0,MIN(MIN(MOD(A95/Calculator!$F$11,1),1-MOD(A95/Calculator!$F$11,1)),ABS(MOD(A95/Calculator!$F$11,1)-0.5))),1)</f>
        <v>1</v>
      </c>
      <c r="C95" s="119" t="n">
        <f aca="false">IF(Calculator!$E$12="YES",IF(A95&lt;Calculator!$G$12,0,MIN(MIN(MOD(A95/Calculator!$F$12,1),1-MOD(A95/Calculator!$F$12,1)),ABS(MOD(A95/Calculator!$F$12,1)-0.5))),1)</f>
        <v>1</v>
      </c>
      <c r="D95" s="119" t="n">
        <f aca="false">IF(Calculator!$E$13="YES",IF(A95&lt;Calculator!$G$13,0,MIN(MIN(MOD(A95/Calculator!$F$13,1),1-MOD(A95/Calculator!$F$13,1)),ABS(MOD(A95/Calculator!$F$13,1)-0.5))),1)</f>
        <v>1</v>
      </c>
      <c r="E95" s="119" t="n">
        <f aca="false">IF(Calculator!$E$14="YES",IF(A95&lt;Calculator!$G$14,0,MIN(MIN(MOD(A95/Calculator!$F$14,1),1-MOD(A95/Calculator!$F$14,1)),ABS(MOD(A95/Calculator!$F$14,1)-0.5))),1)</f>
        <v>0.0555555555555611</v>
      </c>
      <c r="F95" s="119" t="n">
        <f aca="false">IF(Calculator!$E$15="YES",IF(A95&lt;Calculator!$G$15,0,MIN(MIN(MOD(A95/Calculator!$F$15,1),1-MOD(A95/Calculator!$F$15,1)),ABS(MOD(A95/Calculator!$F$15,1)-0.5))),1)</f>
        <v>0.0384615384615277</v>
      </c>
      <c r="G95" s="119" t="n">
        <f aca="false">IF(Calculator!$E$16="YES",IF(A95&lt;Calculator!$G$16,0,MIN(MIN(MOD(A95/Calculator!$F$16,1),1-MOD(A95/Calculator!$F$16,1)),ABS(MOD(A95/Calculator!$F$16,1)-0.5))),1)</f>
        <v>0.153846153846153</v>
      </c>
      <c r="H95" s="119" t="n">
        <f aca="false">IF(Calculator!$E$17="YES",IF(A95&lt;Calculator!$G$17,0,MIN(MIN(MOD(A95/Calculator!$F$17,1),1-MOD(A95/Calculator!$F$17,1)),ABS(MOD(A95/Calculator!$F$17,1)-0.5))),1)</f>
        <v>0.194188034188032</v>
      </c>
      <c r="I95" s="119" t="n">
        <f aca="false">IF(Calculator!$E$18="YES",IF(A95&lt;Calculator!$G$18,0,MIN(MIN(MOD(A95/Calculator!$F$18,1),1-MOD(A95/Calculator!$F$18,1)),ABS(MOD(A95/Calculator!$F$18,1)-0.5))),1)</f>
        <v>0.243589743589743</v>
      </c>
      <c r="J95" s="119" t="n">
        <f aca="false">IF(Calculator!$E$19="YES",IF(A95&lt;Calculator!$G$19,0,MIN(MIN(MOD(A95/Calculator!$F$19,1),1-MOD(A95/Calculator!$F$19,1)),ABS(MOD(A95/Calculator!$F$19,1)-0.5))),1)</f>
        <v>0.0264957264957246</v>
      </c>
      <c r="K95" s="119" t="n">
        <f aca="false">IF(Calculator!$E$20="YES",IF(A95&lt;Calculator!$G$20,0,MIN(MIN(MOD(A95/Calculator!$F$20,1),1-MOD(A95/Calculator!$F$20,1)),ABS(MOD(A95/Calculator!$F$20,1)-0.5))),1)</f>
        <v>0.136752136752136</v>
      </c>
      <c r="L95" s="119" t="n">
        <f aca="false">IF(Calculator!$E$21="YES",IF(A95&lt;Calculator!$G$21,0,MIN(MIN(MOD(A95/Calculator!$F$21,1),1-MOD(A95/Calculator!$F$21,1)),ABS(MOD(A95/Calculator!$F$21,1)-0.5))),1)</f>
        <v>1</v>
      </c>
      <c r="M95" s="120" t="n">
        <f aca="false">MIN(B95:L95)</f>
        <v>0.0264957264957246</v>
      </c>
      <c r="N95" s="121" t="n">
        <f aca="false">SUMPRODUCT(($M$5:$M$115&gt;M95)*1)+SUMPRODUCT(($M$5:$M$115=M95)*(ROW($M$5:$M$115)&lt;ROW(M95)))+1</f>
        <v>53</v>
      </c>
      <c r="O95" s="122" t="str">
        <f aca="false">IF(M95&gt;=0.2,"★★★ EXCELLENT",IF(M95&gt;=0.12,"★★  GOOD",IF(M95&gt;=0.07,"★  FAIR",IF(M95&gt;=0.025,"⚠  MARGINAL","✗  AVOID"))))</f>
        <v>⚠  MARGINAL</v>
      </c>
    </row>
    <row r="96" customFormat="false" ht="15" hidden="false" customHeight="true" outlineLevel="0" collapsed="false">
      <c r="A96" s="118" t="n">
        <v>50.5</v>
      </c>
      <c r="B96" s="119" t="n">
        <f aca="false">IF(Calculator!$E$11="YES",IF(A96&lt;Calculator!$G$11,0,MIN(MIN(MOD(A96/Calculator!$F$11,1),1-MOD(A96/Calculator!$F$11,1)),ABS(MOD(A96/Calculator!$F$11,1)-0.5))),1)</f>
        <v>1</v>
      </c>
      <c r="C96" s="119" t="n">
        <f aca="false">IF(Calculator!$E$12="YES",IF(A96&lt;Calculator!$G$12,0,MIN(MIN(MOD(A96/Calculator!$F$12,1),1-MOD(A96/Calculator!$F$12,1)),ABS(MOD(A96/Calculator!$F$12,1)-0.5))),1)</f>
        <v>1</v>
      </c>
      <c r="D96" s="119" t="n">
        <f aca="false">IF(Calculator!$E$13="YES",IF(A96&lt;Calculator!$G$13,0,MIN(MIN(MOD(A96/Calculator!$F$13,1),1-MOD(A96/Calculator!$F$13,1)),ABS(MOD(A96/Calculator!$F$13,1)-0.5))),1)</f>
        <v>1</v>
      </c>
      <c r="E96" s="119" t="n">
        <f aca="false">IF(Calculator!$E$14="YES",IF(A96&lt;Calculator!$G$14,0,MIN(MIN(MOD(A96/Calculator!$F$14,1),1-MOD(A96/Calculator!$F$14,1)),ABS(MOD(A96/Calculator!$F$14,1)-0.5))),1)</f>
        <v>0.0311111111111164</v>
      </c>
      <c r="F96" s="119" t="n">
        <f aca="false">IF(Calculator!$E$15="YES",IF(A96&lt;Calculator!$G$15,0,MIN(MIN(MOD(A96/Calculator!$F$15,1),1-MOD(A96/Calculator!$F$15,1)),ABS(MOD(A96/Calculator!$F$15,1)-0.5))),1)</f>
        <v>0.00384615384614317</v>
      </c>
      <c r="G96" s="119" t="n">
        <f aca="false">IF(Calculator!$E$16="YES",IF(A96&lt;Calculator!$G$16,0,MIN(MIN(MOD(A96/Calculator!$F$16,1),1-MOD(A96/Calculator!$F$16,1)),ABS(MOD(A96/Calculator!$F$16,1)-0.5))),1)</f>
        <v>0.105384615384615</v>
      </c>
      <c r="H96" s="119" t="n">
        <f aca="false">IF(Calculator!$E$17="YES",IF(A96&lt;Calculator!$G$17,0,MIN(MIN(MOD(A96/Calculator!$F$17,1),1-MOD(A96/Calculator!$F$17,1)),ABS(MOD(A96/Calculator!$F$17,1)-0.5))),1)</f>
        <v>0.243870085470087</v>
      </c>
      <c r="I96" s="119" t="n">
        <f aca="false">IF(Calculator!$E$18="YES",IF(A96&lt;Calculator!$G$18,0,MIN(MIN(MOD(A96/Calculator!$F$18,1),1-MOD(A96/Calculator!$F$18,1)),ABS(MOD(A96/Calculator!$F$18,1)-0.5))),1)</f>
        <v>0.17102564102564</v>
      </c>
      <c r="J96" s="119" t="n">
        <f aca="false">IF(Calculator!$E$19="YES",IF(A96&lt;Calculator!$G$19,0,MIN(MIN(MOD(A96/Calculator!$F$19,1),1-MOD(A96/Calculator!$F$19,1)),ABS(MOD(A96/Calculator!$F$19,1)-0.5))),1)</f>
        <v>0.111760683760682</v>
      </c>
      <c r="K96" s="119" t="n">
        <f aca="false">IF(Calculator!$E$20="YES",IF(A96&lt;Calculator!$G$20,0,MIN(MIN(MOD(A96/Calculator!$F$20,1),1-MOD(A96/Calculator!$F$20,1)),ABS(MOD(A96/Calculator!$F$20,1)-0.5))),1)</f>
        <v>0.0381196581196566</v>
      </c>
      <c r="L96" s="119" t="n">
        <f aca="false">IF(Calculator!$E$21="YES",IF(A96&lt;Calculator!$G$21,0,MIN(MIN(MOD(A96/Calculator!$F$21,1),1-MOD(A96/Calculator!$F$21,1)),ABS(MOD(A96/Calculator!$F$21,1)-0.5))),1)</f>
        <v>1</v>
      </c>
      <c r="M96" s="120" t="n">
        <f aca="false">MIN(B96:L96)</f>
        <v>0.00384615384614317</v>
      </c>
      <c r="N96" s="121" t="n">
        <f aca="false">SUMPRODUCT(($M$5:$M$115&gt;M96)*1)+SUMPRODUCT(($M$5:$M$115=M96)*(ROW($M$5:$M$115)&lt;ROW(M96)))+1</f>
        <v>94</v>
      </c>
      <c r="O96" s="122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true" outlineLevel="0" collapsed="false">
      <c r="A97" s="118" t="n">
        <v>51</v>
      </c>
      <c r="B97" s="119" t="n">
        <f aca="false">IF(Calculator!$E$11="YES",IF(A97&lt;Calculator!$G$11,0,MIN(MIN(MOD(A97/Calculator!$F$11,1),1-MOD(A97/Calculator!$F$11,1)),ABS(MOD(A97/Calculator!$F$11,1)-0.5))),1)</f>
        <v>1</v>
      </c>
      <c r="C97" s="119" t="n">
        <f aca="false">IF(Calculator!$E$12="YES",IF(A97&lt;Calculator!$G$12,0,MIN(MIN(MOD(A97/Calculator!$F$12,1),1-MOD(A97/Calculator!$F$12,1)),ABS(MOD(A97/Calculator!$F$12,1)-0.5))),1)</f>
        <v>1</v>
      </c>
      <c r="D97" s="119" t="n">
        <f aca="false">IF(Calculator!$E$13="YES",IF(A97&lt;Calculator!$G$13,0,MIN(MIN(MOD(A97/Calculator!$F$13,1),1-MOD(A97/Calculator!$F$13,1)),ABS(MOD(A97/Calculator!$F$13,1)-0.5))),1)</f>
        <v>1</v>
      </c>
      <c r="E97" s="119" t="n">
        <f aca="false">IF(Calculator!$E$14="YES",IF(A97&lt;Calculator!$G$14,0,MIN(MIN(MOD(A97/Calculator!$F$14,1),1-MOD(A97/Calculator!$F$14,1)),ABS(MOD(A97/Calculator!$F$14,1)-0.5))),1)</f>
        <v>0.00666666666667215</v>
      </c>
      <c r="F97" s="119" t="n">
        <f aca="false">IF(Calculator!$E$15="YES",IF(A97&lt;Calculator!$G$15,0,MIN(MIN(MOD(A97/Calculator!$F$15,1),1-MOD(A97/Calculator!$F$15,1)),ABS(MOD(A97/Calculator!$F$15,1)-0.5))),1)</f>
        <v>0.0307692307692418</v>
      </c>
      <c r="G97" s="119" t="n">
        <f aca="false">IF(Calculator!$E$16="YES",IF(A97&lt;Calculator!$G$16,0,MIN(MIN(MOD(A97/Calculator!$F$16,1),1-MOD(A97/Calculator!$F$16,1)),ABS(MOD(A97/Calculator!$F$16,1)-0.5))),1)</f>
        <v>0.0569230769230762</v>
      </c>
      <c r="H97" s="119" t="n">
        <f aca="false">IF(Calculator!$E$17="YES",IF(A97&lt;Calculator!$G$17,0,MIN(MIN(MOD(A97/Calculator!$F$17,1),1-MOD(A97/Calculator!$F$17,1)),ABS(MOD(A97/Calculator!$F$17,1)-0.5))),1)</f>
        <v>0.181928205128207</v>
      </c>
      <c r="I97" s="119" t="n">
        <f aca="false">IF(Calculator!$E$18="YES",IF(A97&lt;Calculator!$G$18,0,MIN(MIN(MOD(A97/Calculator!$F$18,1),1-MOD(A97/Calculator!$F$18,1)),ABS(MOD(A97/Calculator!$F$18,1)-0.5))),1)</f>
        <v>0.0984615384615379</v>
      </c>
      <c r="J97" s="119" t="n">
        <f aca="false">IF(Calculator!$E$19="YES",IF(A97&lt;Calculator!$G$19,0,MIN(MIN(MOD(A97/Calculator!$F$19,1),1-MOD(A97/Calculator!$F$19,1)),ABS(MOD(A97/Calculator!$F$19,1)-0.5))),1)</f>
        <v>0.19702564102564</v>
      </c>
      <c r="K97" s="119" t="n">
        <f aca="false">IF(Calculator!$E$20="YES",IF(A97&lt;Calculator!$G$20,0,MIN(MIN(MOD(A97/Calculator!$F$20,1),1-MOD(A97/Calculator!$F$20,1)),ABS(MOD(A97/Calculator!$F$20,1)-0.5))),1)</f>
        <v>0.0605128205128214</v>
      </c>
      <c r="L97" s="119" t="n">
        <f aca="false">IF(Calculator!$E$21="YES",IF(A97&lt;Calculator!$G$21,0,MIN(MIN(MOD(A97/Calculator!$F$21,1),1-MOD(A97/Calculator!$F$21,1)),ABS(MOD(A97/Calculator!$F$21,1)-0.5))),1)</f>
        <v>1</v>
      </c>
      <c r="M97" s="120" t="n">
        <f aca="false">MIN(B97:L97)</f>
        <v>0.00666666666667215</v>
      </c>
      <c r="N97" s="121" t="n">
        <f aca="false">SUMPRODUCT(($M$5:$M$115&gt;M97)*1)+SUMPRODUCT(($M$5:$M$115=M97)*(ROW($M$5:$M$115)&lt;ROW(M97)))+1</f>
        <v>89</v>
      </c>
      <c r="O97" s="122" t="str">
        <f aca="false">IF(M97&gt;=0.2,"★★★ EXCELLENT",IF(M97&gt;=0.12,"★★  GOOD",IF(M97&gt;=0.07,"★  FAIR",IF(M97&gt;=0.025,"⚠  MARGINAL","✗  AVOID"))))</f>
        <v>✗  AVOID</v>
      </c>
    </row>
    <row r="98" customFormat="false" ht="15" hidden="false" customHeight="true" outlineLevel="0" collapsed="false">
      <c r="A98" s="118" t="n">
        <v>51.5</v>
      </c>
      <c r="B98" s="119" t="n">
        <f aca="false">IF(Calculator!$E$11="YES",IF(A98&lt;Calculator!$G$11,0,MIN(MIN(MOD(A98/Calculator!$F$11,1),1-MOD(A98/Calculator!$F$11,1)),ABS(MOD(A98/Calculator!$F$11,1)-0.5))),1)</f>
        <v>1</v>
      </c>
      <c r="C98" s="119" t="n">
        <f aca="false">IF(Calculator!$E$12="YES",IF(A98&lt;Calculator!$G$12,0,MIN(MIN(MOD(A98/Calculator!$F$12,1),1-MOD(A98/Calculator!$F$12,1)),ABS(MOD(A98/Calculator!$F$12,1)-0.5))),1)</f>
        <v>1</v>
      </c>
      <c r="D98" s="119" t="n">
        <f aca="false">IF(Calculator!$E$13="YES",IF(A98&lt;Calculator!$G$13,0,MIN(MIN(MOD(A98/Calculator!$F$13,1),1-MOD(A98/Calculator!$F$13,1)),ABS(MOD(A98/Calculator!$F$13,1)-0.5))),1)</f>
        <v>1</v>
      </c>
      <c r="E98" s="119" t="n">
        <f aca="false">IF(Calculator!$E$14="YES",IF(A98&lt;Calculator!$G$14,0,MIN(MIN(MOD(A98/Calculator!$F$14,1),1-MOD(A98/Calculator!$F$14,1)),ABS(MOD(A98/Calculator!$F$14,1)-0.5))),1)</f>
        <v>0.0177777777777721</v>
      </c>
      <c r="F98" s="119" t="n">
        <f aca="false">IF(Calculator!$E$15="YES",IF(A98&lt;Calculator!$G$15,0,MIN(MIN(MOD(A98/Calculator!$F$15,1),1-MOD(A98/Calculator!$F$15,1)),ABS(MOD(A98/Calculator!$F$15,1)-0.5))),1)</f>
        <v>0.0653846153846263</v>
      </c>
      <c r="G98" s="119" t="n">
        <f aca="false">IF(Calculator!$E$16="YES",IF(A98&lt;Calculator!$G$16,0,MIN(MIN(MOD(A98/Calculator!$F$16,1),1-MOD(A98/Calculator!$F$16,1)),ABS(MOD(A98/Calculator!$F$16,1)-0.5))),1)</f>
        <v>0.00846153846153808</v>
      </c>
      <c r="H98" s="119" t="n">
        <f aca="false">IF(Calculator!$E$17="YES",IF(A98&lt;Calculator!$G$17,0,MIN(MIN(MOD(A98/Calculator!$F$17,1),1-MOD(A98/Calculator!$F$17,1)),ABS(MOD(A98/Calculator!$F$17,1)-0.5))),1)</f>
        <v>0.119986324786327</v>
      </c>
      <c r="I98" s="119" t="n">
        <f aca="false">IF(Calculator!$E$18="YES",IF(A98&lt;Calculator!$G$18,0,MIN(MIN(MOD(A98/Calculator!$F$18,1),1-MOD(A98/Calculator!$F$18,1)),ABS(MOD(A98/Calculator!$F$18,1)-0.5))),1)</f>
        <v>0.0258974358974351</v>
      </c>
      <c r="J98" s="119" t="n">
        <f aca="false">IF(Calculator!$E$19="YES",IF(A98&lt;Calculator!$G$19,0,MIN(MIN(MOD(A98/Calculator!$F$19,1),1-MOD(A98/Calculator!$F$19,1)),ABS(MOD(A98/Calculator!$F$19,1)-0.5))),1)</f>
        <v>0.217709401709403</v>
      </c>
      <c r="K98" s="119" t="n">
        <f aca="false">IF(Calculator!$E$20="YES",IF(A98&lt;Calculator!$G$20,0,MIN(MIN(MOD(A98/Calculator!$F$20,1),1-MOD(A98/Calculator!$F$20,1)),ABS(MOD(A98/Calculator!$F$20,1)-0.5))),1)</f>
        <v>0.159145299145301</v>
      </c>
      <c r="L98" s="119" t="n">
        <f aca="false">IF(Calculator!$E$21="YES",IF(A98&lt;Calculator!$G$21,0,MIN(MIN(MOD(A98/Calculator!$F$21,1),1-MOD(A98/Calculator!$F$21,1)),ABS(MOD(A98/Calculator!$F$21,1)-0.5))),1)</f>
        <v>1</v>
      </c>
      <c r="M98" s="120" t="n">
        <f aca="false">MIN(B98:L98)</f>
        <v>0.00846153846153808</v>
      </c>
      <c r="N98" s="121" t="n">
        <f aca="false">SUMPRODUCT(($M$5:$M$115&gt;M98)*1)+SUMPRODUCT(($M$5:$M$115=M98)*(ROW($M$5:$M$115)&lt;ROW(M98)))+1</f>
        <v>82</v>
      </c>
      <c r="O98" s="122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true" outlineLevel="0" collapsed="false">
      <c r="A99" s="118" t="n">
        <v>52</v>
      </c>
      <c r="B99" s="119" t="n">
        <f aca="false">IF(Calculator!$E$11="YES",IF(A99&lt;Calculator!$G$11,0,MIN(MIN(MOD(A99/Calculator!$F$11,1),1-MOD(A99/Calculator!$F$11,1)),ABS(MOD(A99/Calculator!$F$11,1)-0.5))),1)</f>
        <v>1</v>
      </c>
      <c r="C99" s="119" t="n">
        <f aca="false">IF(Calculator!$E$12="YES",IF(A99&lt;Calculator!$G$12,0,MIN(MIN(MOD(A99/Calculator!$F$12,1),1-MOD(A99/Calculator!$F$12,1)),ABS(MOD(A99/Calculator!$F$12,1)-0.5))),1)</f>
        <v>1</v>
      </c>
      <c r="D99" s="119" t="n">
        <f aca="false">IF(Calculator!$E$13="YES",IF(A99&lt;Calculator!$G$13,0,MIN(MIN(MOD(A99/Calculator!$F$13,1),1-MOD(A99/Calculator!$F$13,1)),ABS(MOD(A99/Calculator!$F$13,1)-0.5))),1)</f>
        <v>1</v>
      </c>
      <c r="E99" s="119" t="n">
        <f aca="false">IF(Calculator!$E$14="YES",IF(A99&lt;Calculator!$G$14,0,MIN(MIN(MOD(A99/Calculator!$F$14,1),1-MOD(A99/Calculator!$F$14,1)),ABS(MOD(A99/Calculator!$F$14,1)-0.5))),1)</f>
        <v>0.0422222222222168</v>
      </c>
      <c r="F99" s="119" t="n">
        <f aca="false">IF(Calculator!$E$15="YES",IF(A99&lt;Calculator!$G$15,0,MIN(MIN(MOD(A99/Calculator!$F$15,1),1-MOD(A99/Calculator!$F$15,1)),ABS(MOD(A99/Calculator!$F$15,1)-0.5))),1)</f>
        <v>0.100000000000011</v>
      </c>
      <c r="G99" s="119" t="n">
        <f aca="false">IF(Calculator!$E$16="YES",IF(A99&lt;Calculator!$G$16,0,MIN(MIN(MOD(A99/Calculator!$F$16,1),1-MOD(A99/Calculator!$F$16,1)),ABS(MOD(A99/Calculator!$F$16,1)-0.5))),1)</f>
        <v>0.0400000000000009</v>
      </c>
      <c r="H99" s="119" t="n">
        <f aca="false">IF(Calculator!$E$17="YES",IF(A99&lt;Calculator!$G$17,0,MIN(MIN(MOD(A99/Calculator!$F$17,1),1-MOD(A99/Calculator!$F$17,1)),ABS(MOD(A99/Calculator!$F$17,1)-0.5))),1)</f>
        <v>0.0580444444444463</v>
      </c>
      <c r="I99" s="119" t="n">
        <f aca="false">IF(Calculator!$E$18="YES",IF(A99&lt;Calculator!$G$18,0,MIN(MIN(MOD(A99/Calculator!$F$18,1),1-MOD(A99/Calculator!$F$18,1)),ABS(MOD(A99/Calculator!$F$18,1)-0.5))),1)</f>
        <v>0.0466666666666677</v>
      </c>
      <c r="J99" s="119" t="n">
        <f aca="false">IF(Calculator!$E$19="YES",IF(A99&lt;Calculator!$G$19,0,MIN(MIN(MOD(A99/Calculator!$F$19,1),1-MOD(A99/Calculator!$F$19,1)),ABS(MOD(A99/Calculator!$F$19,1)-0.5))),1)</f>
        <v>0.132444444444445</v>
      </c>
      <c r="K99" s="119" t="n">
        <f aca="false">IF(Calculator!$E$20="YES",IF(A99&lt;Calculator!$G$20,0,MIN(MIN(MOD(A99/Calculator!$F$20,1),1-MOD(A99/Calculator!$F$20,1)),ABS(MOD(A99/Calculator!$F$20,1)-0.5))),1)</f>
        <v>0.242222222222221</v>
      </c>
      <c r="L99" s="119" t="n">
        <f aca="false">IF(Calculator!$E$21="YES",IF(A99&lt;Calculator!$G$21,0,MIN(MIN(MOD(A99/Calculator!$F$21,1),1-MOD(A99/Calculator!$F$21,1)),ABS(MOD(A99/Calculator!$F$21,1)-0.5))),1)</f>
        <v>1</v>
      </c>
      <c r="M99" s="120" t="n">
        <f aca="false">MIN(B99:L99)</f>
        <v>0.0400000000000009</v>
      </c>
      <c r="N99" s="121" t="n">
        <f aca="false">SUMPRODUCT(($M$5:$M$115&gt;M99)*1)+SUMPRODUCT(($M$5:$M$115=M99)*(ROW($M$5:$M$115)&lt;ROW(M99)))+1</f>
        <v>32</v>
      </c>
      <c r="O99" s="122" t="str">
        <f aca="false">IF(M99&gt;=0.2,"★★★ EXCELLENT",IF(M99&gt;=0.12,"★★  GOOD",IF(M99&gt;=0.07,"★  FAIR",IF(M99&gt;=0.025,"⚠  MARGINAL","✗  AVOID"))))</f>
        <v>⚠  MARGINAL</v>
      </c>
    </row>
    <row r="100" customFormat="false" ht="15" hidden="false" customHeight="true" outlineLevel="0" collapsed="false">
      <c r="A100" s="118" t="n">
        <v>52.5</v>
      </c>
      <c r="B100" s="119" t="n">
        <f aca="false">IF(Calculator!$E$11="YES",IF(A100&lt;Calculator!$G$11,0,MIN(MIN(MOD(A100/Calculator!$F$11,1),1-MOD(A100/Calculator!$F$11,1)),ABS(MOD(A100/Calculator!$F$11,1)-0.5))),1)</f>
        <v>1</v>
      </c>
      <c r="C100" s="119" t="n">
        <f aca="false">IF(Calculator!$E$12="YES",IF(A100&lt;Calculator!$G$12,0,MIN(MIN(MOD(A100/Calculator!$F$12,1),1-MOD(A100/Calculator!$F$12,1)),ABS(MOD(A100/Calculator!$F$12,1)-0.5))),1)</f>
        <v>1</v>
      </c>
      <c r="D100" s="119" t="n">
        <f aca="false">IF(Calculator!$E$13="YES",IF(A100&lt;Calculator!$G$13,0,MIN(MIN(MOD(A100/Calculator!$F$13,1),1-MOD(A100/Calculator!$F$13,1)),ABS(MOD(A100/Calculator!$F$13,1)-0.5))),1)</f>
        <v>1</v>
      </c>
      <c r="E100" s="119" t="n">
        <f aca="false">IF(Calculator!$E$14="YES",IF(A100&lt;Calculator!$G$14,0,MIN(MIN(MOD(A100/Calculator!$F$14,1),1-MOD(A100/Calculator!$F$14,1)),ABS(MOD(A100/Calculator!$F$14,1)-0.5))),1)</f>
        <v>0.0666666666666611</v>
      </c>
      <c r="F100" s="119" t="n">
        <f aca="false">IF(Calculator!$E$15="YES",IF(A100&lt;Calculator!$G$15,0,MIN(MIN(MOD(A100/Calculator!$F$15,1),1-MOD(A100/Calculator!$F$15,1)),ABS(MOD(A100/Calculator!$F$15,1)-0.5))),1)</f>
        <v>0.134615384615396</v>
      </c>
      <c r="G100" s="119" t="n">
        <f aca="false">IF(Calculator!$E$16="YES",IF(A100&lt;Calculator!$G$16,0,MIN(MIN(MOD(A100/Calculator!$F$16,1),1-MOD(A100/Calculator!$F$16,1)),ABS(MOD(A100/Calculator!$F$16,1)-0.5))),1)</f>
        <v>0.088461538461539</v>
      </c>
      <c r="H100" s="119" t="n">
        <f aca="false">IF(Calculator!$E$17="YES",IF(A100&lt;Calculator!$G$17,0,MIN(MIN(MOD(A100/Calculator!$F$17,1),1-MOD(A100/Calculator!$F$17,1)),ABS(MOD(A100/Calculator!$F$17,1)-0.5))),1)</f>
        <v>0.00389743589743397</v>
      </c>
      <c r="I100" s="119" t="n">
        <f aca="false">IF(Calculator!$E$18="YES",IF(A100&lt;Calculator!$G$18,0,MIN(MIN(MOD(A100/Calculator!$F$18,1),1-MOD(A100/Calculator!$F$18,1)),ABS(MOD(A100/Calculator!$F$18,1)-0.5))),1)</f>
        <v>0.11923076923077</v>
      </c>
      <c r="J100" s="119" t="n">
        <f aca="false">IF(Calculator!$E$19="YES",IF(A100&lt;Calculator!$G$19,0,MIN(MIN(MOD(A100/Calculator!$F$19,1),1-MOD(A100/Calculator!$F$19,1)),ABS(MOD(A100/Calculator!$F$19,1)-0.5))),1)</f>
        <v>0.0471794871794877</v>
      </c>
      <c r="K100" s="119" t="n">
        <f aca="false">IF(Calculator!$E$20="YES",IF(A100&lt;Calculator!$G$20,0,MIN(MIN(MOD(A100/Calculator!$F$20,1),1-MOD(A100/Calculator!$F$20,1)),ABS(MOD(A100/Calculator!$F$20,1)-0.5))),1)</f>
        <v>0.143589743589743</v>
      </c>
      <c r="L100" s="119" t="n">
        <f aca="false">IF(Calculator!$E$21="YES",IF(A100&lt;Calculator!$G$21,0,MIN(MIN(MOD(A100/Calculator!$F$21,1),1-MOD(A100/Calculator!$F$21,1)),ABS(MOD(A100/Calculator!$F$21,1)-0.5))),1)</f>
        <v>1</v>
      </c>
      <c r="M100" s="120" t="n">
        <f aca="false">MIN(B100:L100)</f>
        <v>0.00389743589743397</v>
      </c>
      <c r="N100" s="121" t="n">
        <f aca="false">SUMPRODUCT(($M$5:$M$115&gt;M100)*1)+SUMPRODUCT(($M$5:$M$115=M100)*(ROW($M$5:$M$115)&lt;ROW(M100)))+1</f>
        <v>92</v>
      </c>
      <c r="O100" s="122" t="str">
        <f aca="false">IF(M100&gt;=0.2,"★★★ EXCELLENT",IF(M100&gt;=0.12,"★★  GOOD",IF(M100&gt;=0.07,"★  FAIR",IF(M100&gt;=0.025,"⚠  MARGINAL","✗  AVOID"))))</f>
        <v>✗  AVOID</v>
      </c>
    </row>
    <row r="101" customFormat="false" ht="15" hidden="false" customHeight="true" outlineLevel="0" collapsed="false">
      <c r="A101" s="118" t="n">
        <v>53</v>
      </c>
      <c r="B101" s="119" t="n">
        <f aca="false">IF(Calculator!$E$11="YES",IF(A101&lt;Calculator!$G$11,0,MIN(MIN(MOD(A101/Calculator!$F$11,1),1-MOD(A101/Calculator!$F$11,1)),ABS(MOD(A101/Calculator!$F$11,1)-0.5))),1)</f>
        <v>1</v>
      </c>
      <c r="C101" s="119" t="n">
        <f aca="false">IF(Calculator!$E$12="YES",IF(A101&lt;Calculator!$G$12,0,MIN(MIN(MOD(A101/Calculator!$F$12,1),1-MOD(A101/Calculator!$F$12,1)),ABS(MOD(A101/Calculator!$F$12,1)-0.5))),1)</f>
        <v>1</v>
      </c>
      <c r="D101" s="119" t="n">
        <f aca="false">IF(Calculator!$E$13="YES",IF(A101&lt;Calculator!$G$13,0,MIN(MIN(MOD(A101/Calculator!$F$13,1),1-MOD(A101/Calculator!$F$13,1)),ABS(MOD(A101/Calculator!$F$13,1)-0.5))),1)</f>
        <v>1</v>
      </c>
      <c r="E101" s="119" t="n">
        <f aca="false">IF(Calculator!$E$14="YES",IF(A101&lt;Calculator!$G$14,0,MIN(MIN(MOD(A101/Calculator!$F$14,1),1-MOD(A101/Calculator!$F$14,1)),ABS(MOD(A101/Calculator!$F$14,1)-0.5))),1)</f>
        <v>0.0911111111111054</v>
      </c>
      <c r="F101" s="119" t="n">
        <f aca="false">IF(Calculator!$E$15="YES",IF(A101&lt;Calculator!$G$15,0,MIN(MIN(MOD(A101/Calculator!$F$15,1),1-MOD(A101/Calculator!$F$15,1)),ABS(MOD(A101/Calculator!$F$15,1)-0.5))),1)</f>
        <v>0.169230769230781</v>
      </c>
      <c r="G101" s="119" t="n">
        <f aca="false">IF(Calculator!$E$16="YES",IF(A101&lt;Calculator!$G$16,0,MIN(MIN(MOD(A101/Calculator!$F$16,1),1-MOD(A101/Calculator!$F$16,1)),ABS(MOD(A101/Calculator!$F$16,1)-0.5))),1)</f>
        <v>0.136923076923077</v>
      </c>
      <c r="H101" s="119" t="n">
        <f aca="false">IF(Calculator!$E$17="YES",IF(A101&lt;Calculator!$G$17,0,MIN(MIN(MOD(A101/Calculator!$F$17,1),1-MOD(A101/Calculator!$F$17,1)),ABS(MOD(A101/Calculator!$F$17,1)-0.5))),1)</f>
        <v>0.0658393162393143</v>
      </c>
      <c r="I101" s="119" t="n">
        <f aca="false">IF(Calculator!$E$18="YES",IF(A101&lt;Calculator!$G$18,0,MIN(MIN(MOD(A101/Calculator!$F$18,1),1-MOD(A101/Calculator!$F$18,1)),ABS(MOD(A101/Calculator!$F$18,1)-0.5))),1)</f>
        <v>0.191794871794873</v>
      </c>
      <c r="J101" s="119" t="n">
        <f aca="false">IF(Calculator!$E$19="YES",IF(A101&lt;Calculator!$G$19,0,MIN(MIN(MOD(A101/Calculator!$F$19,1),1-MOD(A101/Calculator!$F$19,1)),ABS(MOD(A101/Calculator!$F$19,1)-0.5))),1)</f>
        <v>0.038085470085468</v>
      </c>
      <c r="K101" s="119" t="n">
        <f aca="false">IF(Calculator!$E$20="YES",IF(A101&lt;Calculator!$G$20,0,MIN(MIN(MOD(A101/Calculator!$F$20,1),1-MOD(A101/Calculator!$F$20,1)),ABS(MOD(A101/Calculator!$F$20,1)-0.5))),1)</f>
        <v>0.0449572649572634</v>
      </c>
      <c r="L101" s="119" t="n">
        <f aca="false">IF(Calculator!$E$21="YES",IF(A101&lt;Calculator!$G$21,0,MIN(MIN(MOD(A101/Calculator!$F$21,1),1-MOD(A101/Calculator!$F$21,1)),ABS(MOD(A101/Calculator!$F$21,1)-0.5))),1)</f>
        <v>1</v>
      </c>
      <c r="M101" s="120" t="n">
        <f aca="false">MIN(B101:L101)</f>
        <v>0.038085470085468</v>
      </c>
      <c r="N101" s="121" t="n">
        <f aca="false">SUMPRODUCT(($M$5:$M$115&gt;M101)*1)+SUMPRODUCT(($M$5:$M$115=M101)*(ROW($M$5:$M$115)&lt;ROW(M101)))+1</f>
        <v>36</v>
      </c>
      <c r="O101" s="122" t="str">
        <f aca="false">IF(M101&gt;=0.2,"★★★ EXCELLENT",IF(M101&gt;=0.12,"★★  GOOD",IF(M101&gt;=0.07,"★  FAIR",IF(M101&gt;=0.025,"⚠  MARGINAL","✗  AVOID"))))</f>
        <v>⚠  MARGINAL</v>
      </c>
    </row>
    <row r="102" customFormat="false" ht="15" hidden="false" customHeight="true" outlineLevel="0" collapsed="false">
      <c r="A102" s="118" t="n">
        <v>53.5</v>
      </c>
      <c r="B102" s="119" t="n">
        <f aca="false">IF(Calculator!$E$11="YES",IF(A102&lt;Calculator!$G$11,0,MIN(MIN(MOD(A102/Calculator!$F$11,1),1-MOD(A102/Calculator!$F$11,1)),ABS(MOD(A102/Calculator!$F$11,1)-0.5))),1)</f>
        <v>1</v>
      </c>
      <c r="C102" s="119" t="n">
        <f aca="false">IF(Calculator!$E$12="YES",IF(A102&lt;Calculator!$G$12,0,MIN(MIN(MOD(A102/Calculator!$F$12,1),1-MOD(A102/Calculator!$F$12,1)),ABS(MOD(A102/Calculator!$F$12,1)-0.5))),1)</f>
        <v>1</v>
      </c>
      <c r="D102" s="119" t="n">
        <f aca="false">IF(Calculator!$E$13="YES",IF(A102&lt;Calculator!$G$13,0,MIN(MIN(MOD(A102/Calculator!$F$13,1),1-MOD(A102/Calculator!$F$13,1)),ABS(MOD(A102/Calculator!$F$13,1)-0.5))),1)</f>
        <v>1</v>
      </c>
      <c r="E102" s="119" t="n">
        <f aca="false">IF(Calculator!$E$14="YES",IF(A102&lt;Calculator!$G$14,0,MIN(MIN(MOD(A102/Calculator!$F$14,1),1-MOD(A102/Calculator!$F$14,1)),ABS(MOD(A102/Calculator!$F$14,1)-0.5))),1)</f>
        <v>0.11555555555555</v>
      </c>
      <c r="F102" s="119" t="n">
        <f aca="false">IF(Calculator!$E$15="YES",IF(A102&lt;Calculator!$G$15,0,MIN(MIN(MOD(A102/Calculator!$F$15,1),1-MOD(A102/Calculator!$F$15,1)),ABS(MOD(A102/Calculator!$F$15,1)-0.5))),1)</f>
        <v>0.203846153846165</v>
      </c>
      <c r="G102" s="119" t="n">
        <f aca="false">IF(Calculator!$E$16="YES",IF(A102&lt;Calculator!$G$16,0,MIN(MIN(MOD(A102/Calculator!$F$16,1),1-MOD(A102/Calculator!$F$16,1)),ABS(MOD(A102/Calculator!$F$16,1)-0.5))),1)</f>
        <v>0.185384615384616</v>
      </c>
      <c r="H102" s="119" t="n">
        <f aca="false">IF(Calculator!$E$17="YES",IF(A102&lt;Calculator!$G$17,0,MIN(MIN(MOD(A102/Calculator!$F$17,1),1-MOD(A102/Calculator!$F$17,1)),ABS(MOD(A102/Calculator!$F$17,1)-0.5))),1)</f>
        <v>0.127781196581195</v>
      </c>
      <c r="I102" s="119" t="n">
        <f aca="false">IF(Calculator!$E$18="YES",IF(A102&lt;Calculator!$G$18,0,MIN(MIN(MOD(A102/Calculator!$F$18,1),1-MOD(A102/Calculator!$F$18,1)),ABS(MOD(A102/Calculator!$F$18,1)-0.5))),1)</f>
        <v>0.235641025641025</v>
      </c>
      <c r="J102" s="119" t="n">
        <f aca="false">IF(Calculator!$E$19="YES",IF(A102&lt;Calculator!$G$19,0,MIN(MIN(MOD(A102/Calculator!$F$19,1),1-MOD(A102/Calculator!$F$19,1)),ABS(MOD(A102/Calculator!$F$19,1)-0.5))),1)</f>
        <v>0.123350427350426</v>
      </c>
      <c r="K102" s="119" t="n">
        <f aca="false">IF(Calculator!$E$20="YES",IF(A102&lt;Calculator!$G$20,0,MIN(MIN(MOD(A102/Calculator!$F$20,1),1-MOD(A102/Calculator!$F$20,1)),ABS(MOD(A102/Calculator!$F$20,1)-0.5))),1)</f>
        <v>0.0536752136752146</v>
      </c>
      <c r="L102" s="119" t="n">
        <f aca="false">IF(Calculator!$E$21="YES",IF(A102&lt;Calculator!$G$21,0,MIN(MIN(MOD(A102/Calculator!$F$21,1),1-MOD(A102/Calculator!$F$21,1)),ABS(MOD(A102/Calculator!$F$21,1)-0.5))),1)</f>
        <v>1</v>
      </c>
      <c r="M102" s="120" t="n">
        <f aca="false">MIN(B102:L102)</f>
        <v>0.0536752136752146</v>
      </c>
      <c r="N102" s="121" t="n">
        <f aca="false">SUMPRODUCT(($M$5:$M$115&gt;M102)*1)+SUMPRODUCT(($M$5:$M$115=M102)*(ROW($M$5:$M$115)&lt;ROW(M102)))+1</f>
        <v>23</v>
      </c>
      <c r="O102" s="122" t="str">
        <f aca="false">IF(M102&gt;=0.2,"★★★ EXCELLENT",IF(M102&gt;=0.12,"★★  GOOD",IF(M102&gt;=0.07,"★  FAIR",IF(M102&gt;=0.025,"⚠  MARGINAL","✗  AVOID"))))</f>
        <v>⚠  MARGINAL</v>
      </c>
    </row>
    <row r="103" customFormat="false" ht="15" hidden="false" customHeight="true" outlineLevel="0" collapsed="false">
      <c r="A103" s="118" t="n">
        <v>54</v>
      </c>
      <c r="B103" s="119" t="n">
        <f aca="false">IF(Calculator!$E$11="YES",IF(A103&lt;Calculator!$G$11,0,MIN(MIN(MOD(A103/Calculator!$F$11,1),1-MOD(A103/Calculator!$F$11,1)),ABS(MOD(A103/Calculator!$F$11,1)-0.5))),1)</f>
        <v>1</v>
      </c>
      <c r="C103" s="119" t="n">
        <f aca="false">IF(Calculator!$E$12="YES",IF(A103&lt;Calculator!$G$12,0,MIN(MIN(MOD(A103/Calculator!$F$12,1),1-MOD(A103/Calculator!$F$12,1)),ABS(MOD(A103/Calculator!$F$12,1)-0.5))),1)</f>
        <v>1</v>
      </c>
      <c r="D103" s="119" t="n">
        <f aca="false">IF(Calculator!$E$13="YES",IF(A103&lt;Calculator!$G$13,0,MIN(MIN(MOD(A103/Calculator!$F$13,1),1-MOD(A103/Calculator!$F$13,1)),ABS(MOD(A103/Calculator!$F$13,1)-0.5))),1)</f>
        <v>1</v>
      </c>
      <c r="E103" s="119" t="n">
        <f aca="false">IF(Calculator!$E$14="YES",IF(A103&lt;Calculator!$G$14,0,MIN(MIN(MOD(A103/Calculator!$F$14,1),1-MOD(A103/Calculator!$F$14,1)),ABS(MOD(A103/Calculator!$F$14,1)-0.5))),1)</f>
        <v>0.139999999999994</v>
      </c>
      <c r="F103" s="119" t="n">
        <f aca="false">IF(Calculator!$E$15="YES",IF(A103&lt;Calculator!$G$15,0,MIN(MIN(MOD(A103/Calculator!$F$15,1),1-MOD(A103/Calculator!$F$15,1)),ABS(MOD(A103/Calculator!$F$15,1)-0.5))),1)</f>
        <v>0.23846153846155</v>
      </c>
      <c r="G103" s="119" t="n">
        <f aca="false">IF(Calculator!$E$16="YES",IF(A103&lt;Calculator!$G$16,0,MIN(MIN(MOD(A103/Calculator!$F$16,1),1-MOD(A103/Calculator!$F$16,1)),ABS(MOD(A103/Calculator!$F$16,1)-0.5))),1)</f>
        <v>0.233846153846154</v>
      </c>
      <c r="H103" s="119" t="n">
        <f aca="false">IF(Calculator!$E$17="YES",IF(A103&lt;Calculator!$G$17,0,MIN(MIN(MOD(A103/Calculator!$F$17,1),1-MOD(A103/Calculator!$F$17,1)),ABS(MOD(A103/Calculator!$F$17,1)-0.5))),1)</f>
        <v>0.189723076923075</v>
      </c>
      <c r="I103" s="119" t="n">
        <f aca="false">IF(Calculator!$E$18="YES",IF(A103&lt;Calculator!$G$18,0,MIN(MIN(MOD(A103/Calculator!$F$18,1),1-MOD(A103/Calculator!$F$18,1)),ABS(MOD(A103/Calculator!$F$18,1)-0.5))),1)</f>
        <v>0.163076923076922</v>
      </c>
      <c r="J103" s="119" t="n">
        <f aca="false">IF(Calculator!$E$19="YES",IF(A103&lt;Calculator!$G$19,0,MIN(MIN(MOD(A103/Calculator!$F$19,1),1-MOD(A103/Calculator!$F$19,1)),ABS(MOD(A103/Calculator!$F$19,1)-0.5))),1)</f>
        <v>0.208615384615383</v>
      </c>
      <c r="K103" s="119" t="n">
        <f aca="false">IF(Calculator!$E$20="YES",IF(A103&lt;Calculator!$G$20,0,MIN(MIN(MOD(A103/Calculator!$F$20,1),1-MOD(A103/Calculator!$F$20,1)),ABS(MOD(A103/Calculator!$F$20,1)-0.5))),1)</f>
        <v>0.152307692307694</v>
      </c>
      <c r="L103" s="119" t="n">
        <f aca="false">IF(Calculator!$E$21="YES",IF(A103&lt;Calculator!$G$21,0,MIN(MIN(MOD(A103/Calculator!$F$21,1),1-MOD(A103/Calculator!$F$21,1)),ABS(MOD(A103/Calculator!$F$21,1)-0.5))),1)</f>
        <v>1</v>
      </c>
      <c r="M103" s="120" t="n">
        <f aca="false">MIN(B103:L103)</f>
        <v>0.139999999999994</v>
      </c>
      <c r="N103" s="121" t="n">
        <f aca="false">SUMPRODUCT(($M$5:$M$115&gt;M103)*1)+SUMPRODUCT(($M$5:$M$115=M103)*(ROW($M$5:$M$115)&lt;ROW(M103)))+1</f>
        <v>1</v>
      </c>
      <c r="O103" s="122" t="str">
        <f aca="false">IF(M103&gt;=0.2,"★★★ EXCELLENT",IF(M103&gt;=0.12,"★★  GOOD",IF(M103&gt;=0.07,"★  FAIR",IF(M103&gt;=0.025,"⚠  MARGINAL","✗  AVOID"))))</f>
        <v>★★  GOOD</v>
      </c>
    </row>
    <row r="104" customFormat="false" ht="15" hidden="false" customHeight="true" outlineLevel="0" collapsed="false">
      <c r="A104" s="118" t="n">
        <v>54.5</v>
      </c>
      <c r="B104" s="119" t="n">
        <f aca="false">IF(Calculator!$E$11="YES",IF(A104&lt;Calculator!$G$11,0,MIN(MIN(MOD(A104/Calculator!$F$11,1),1-MOD(A104/Calculator!$F$11,1)),ABS(MOD(A104/Calculator!$F$11,1)-0.5))),1)</f>
        <v>1</v>
      </c>
      <c r="C104" s="119" t="n">
        <f aca="false">IF(Calculator!$E$12="YES",IF(A104&lt;Calculator!$G$12,0,MIN(MIN(MOD(A104/Calculator!$F$12,1),1-MOD(A104/Calculator!$F$12,1)),ABS(MOD(A104/Calculator!$F$12,1)-0.5))),1)</f>
        <v>1</v>
      </c>
      <c r="D104" s="119" t="n">
        <f aca="false">IF(Calculator!$E$13="YES",IF(A104&lt;Calculator!$G$13,0,MIN(MIN(MOD(A104/Calculator!$F$13,1),1-MOD(A104/Calculator!$F$13,1)),ABS(MOD(A104/Calculator!$F$13,1)-0.5))),1)</f>
        <v>1</v>
      </c>
      <c r="E104" s="119" t="n">
        <f aca="false">IF(Calculator!$E$14="YES",IF(A104&lt;Calculator!$G$14,0,MIN(MIN(MOD(A104/Calculator!$F$14,1),1-MOD(A104/Calculator!$F$14,1)),ABS(MOD(A104/Calculator!$F$14,1)-0.5))),1)</f>
        <v>0.164444444444439</v>
      </c>
      <c r="F104" s="119" t="n">
        <f aca="false">IF(Calculator!$E$15="YES",IF(A104&lt;Calculator!$G$15,0,MIN(MIN(MOD(A104/Calculator!$F$15,1),1-MOD(A104/Calculator!$F$15,1)),ABS(MOD(A104/Calculator!$F$15,1)-0.5))),1)</f>
        <v>0.226923076923065</v>
      </c>
      <c r="G104" s="119" t="n">
        <f aca="false">IF(Calculator!$E$16="YES",IF(A104&lt;Calculator!$G$16,0,MIN(MIN(MOD(A104/Calculator!$F$16,1),1-MOD(A104/Calculator!$F$16,1)),ABS(MOD(A104/Calculator!$F$16,1)-0.5))),1)</f>
        <v>0.217692307692307</v>
      </c>
      <c r="H104" s="119" t="n">
        <f aca="false">IF(Calculator!$E$17="YES",IF(A104&lt;Calculator!$G$17,0,MIN(MIN(MOD(A104/Calculator!$F$17,1),1-MOD(A104/Calculator!$F$17,1)),ABS(MOD(A104/Calculator!$F$17,1)-0.5))),1)</f>
        <v>0.248335042735045</v>
      </c>
      <c r="I104" s="119" t="n">
        <f aca="false">IF(Calculator!$E$18="YES",IF(A104&lt;Calculator!$G$18,0,MIN(MIN(MOD(A104/Calculator!$F$18,1),1-MOD(A104/Calculator!$F$18,1)),ABS(MOD(A104/Calculator!$F$18,1)-0.5))),1)</f>
        <v>0.0905128205128198</v>
      </c>
      <c r="J104" s="119" t="n">
        <f aca="false">IF(Calculator!$E$19="YES",IF(A104&lt;Calculator!$G$19,0,MIN(MIN(MOD(A104/Calculator!$F$19,1),1-MOD(A104/Calculator!$F$19,1)),ABS(MOD(A104/Calculator!$F$19,1)-0.5))),1)</f>
        <v>0.206119658119659</v>
      </c>
      <c r="K104" s="119" t="n">
        <f aca="false">IF(Calculator!$E$20="YES",IF(A104&lt;Calculator!$G$20,0,MIN(MIN(MOD(A104/Calculator!$F$20,1),1-MOD(A104/Calculator!$F$20,1)),ABS(MOD(A104/Calculator!$F$20,1)-0.5))),1)</f>
        <v>0.249059829059828</v>
      </c>
      <c r="L104" s="119" t="n">
        <f aca="false">IF(Calculator!$E$21="YES",IF(A104&lt;Calculator!$G$21,0,MIN(MIN(MOD(A104/Calculator!$F$21,1),1-MOD(A104/Calculator!$F$21,1)),ABS(MOD(A104/Calculator!$F$21,1)-0.5))),1)</f>
        <v>1</v>
      </c>
      <c r="M104" s="120" t="n">
        <f aca="false">MIN(B104:L104)</f>
        <v>0.0905128205128198</v>
      </c>
      <c r="N104" s="121" t="n">
        <f aca="false">SUMPRODUCT(($M$5:$M$115&gt;M104)*1)+SUMPRODUCT(($M$5:$M$115=M104)*(ROW($M$5:$M$115)&lt;ROW(M104)))+1</f>
        <v>7</v>
      </c>
      <c r="O104" s="122" t="str">
        <f aca="false">IF(M104&gt;=0.2,"★★★ EXCELLENT",IF(M104&gt;=0.12,"★★  GOOD",IF(M104&gt;=0.07,"★  FAIR",IF(M104&gt;=0.025,"⚠  MARGINAL","✗  AVOID"))))</f>
        <v>★  FAIR</v>
      </c>
    </row>
    <row r="105" customFormat="false" ht="15" hidden="false" customHeight="true" outlineLevel="0" collapsed="false">
      <c r="A105" s="118" t="n">
        <v>55</v>
      </c>
      <c r="B105" s="119" t="n">
        <f aca="false">IF(Calculator!$E$11="YES",IF(A105&lt;Calculator!$G$11,0,MIN(MIN(MOD(A105/Calculator!$F$11,1),1-MOD(A105/Calculator!$F$11,1)),ABS(MOD(A105/Calculator!$F$11,1)-0.5))),1)</f>
        <v>1</v>
      </c>
      <c r="C105" s="119" t="n">
        <f aca="false">IF(Calculator!$E$12="YES",IF(A105&lt;Calculator!$G$12,0,MIN(MIN(MOD(A105/Calculator!$F$12,1),1-MOD(A105/Calculator!$F$12,1)),ABS(MOD(A105/Calculator!$F$12,1)-0.5))),1)</f>
        <v>1</v>
      </c>
      <c r="D105" s="119" t="n">
        <f aca="false">IF(Calculator!$E$13="YES",IF(A105&lt;Calculator!$G$13,0,MIN(MIN(MOD(A105/Calculator!$F$13,1),1-MOD(A105/Calculator!$F$13,1)),ABS(MOD(A105/Calculator!$F$13,1)-0.5))),1)</f>
        <v>1</v>
      </c>
      <c r="E105" s="119" t="n">
        <f aca="false">IF(Calculator!$E$14="YES",IF(A105&lt;Calculator!$G$14,0,MIN(MIN(MOD(A105/Calculator!$F$14,1),1-MOD(A105/Calculator!$F$14,1)),ABS(MOD(A105/Calculator!$F$14,1)-0.5))),1)</f>
        <v>0.188888888888883</v>
      </c>
      <c r="F105" s="119" t="n">
        <f aca="false">IF(Calculator!$E$15="YES",IF(A105&lt;Calculator!$G$15,0,MIN(MIN(MOD(A105/Calculator!$F$15,1),1-MOD(A105/Calculator!$F$15,1)),ABS(MOD(A105/Calculator!$F$15,1)-0.5))),1)</f>
        <v>0.192307692307681</v>
      </c>
      <c r="G105" s="119" t="n">
        <f aca="false">IF(Calculator!$E$16="YES",IF(A105&lt;Calculator!$G$16,0,MIN(MIN(MOD(A105/Calculator!$F$16,1),1-MOD(A105/Calculator!$F$16,1)),ABS(MOD(A105/Calculator!$F$16,1)-0.5))),1)</f>
        <v>0.169230769230769</v>
      </c>
      <c r="H105" s="119" t="n">
        <f aca="false">IF(Calculator!$E$17="YES",IF(A105&lt;Calculator!$G$17,0,MIN(MIN(MOD(A105/Calculator!$F$17,1),1-MOD(A105/Calculator!$F$17,1)),ABS(MOD(A105/Calculator!$F$17,1)-0.5))),1)</f>
        <v>0.186393162393165</v>
      </c>
      <c r="I105" s="119" t="n">
        <f aca="false">IF(Calculator!$E$18="YES",IF(A105&lt;Calculator!$G$18,0,MIN(MIN(MOD(A105/Calculator!$F$18,1),1-MOD(A105/Calculator!$F$18,1)),ABS(MOD(A105/Calculator!$F$18,1)-0.5))),1)</f>
        <v>0.017948717948717</v>
      </c>
      <c r="J105" s="119" t="n">
        <f aca="false">IF(Calculator!$E$19="YES",IF(A105&lt;Calculator!$G$19,0,MIN(MIN(MOD(A105/Calculator!$F$19,1),1-MOD(A105/Calculator!$F$19,1)),ABS(MOD(A105/Calculator!$F$19,1)-0.5))),1)</f>
        <v>0.120854700854702</v>
      </c>
      <c r="K105" s="119" t="n">
        <f aca="false">IF(Calculator!$E$20="YES",IF(A105&lt;Calculator!$G$20,0,MIN(MIN(MOD(A105/Calculator!$F$20,1),1-MOD(A105/Calculator!$F$20,1)),ABS(MOD(A105/Calculator!$F$20,1)-0.5))),1)</f>
        <v>0.15042735042735</v>
      </c>
      <c r="L105" s="119" t="n">
        <f aca="false">IF(Calculator!$E$21="YES",IF(A105&lt;Calculator!$G$21,0,MIN(MIN(MOD(A105/Calculator!$F$21,1),1-MOD(A105/Calculator!$F$21,1)),ABS(MOD(A105/Calculator!$F$21,1)-0.5))),1)</f>
        <v>1</v>
      </c>
      <c r="M105" s="120" t="n">
        <f aca="false">MIN(B105:L105)</f>
        <v>0.017948717948717</v>
      </c>
      <c r="N105" s="121" t="n">
        <f aca="false">SUMPRODUCT(($M$5:$M$115&gt;M105)*1)+SUMPRODUCT(($M$5:$M$115=M105)*(ROW($M$5:$M$115)&lt;ROW(M105)))+1</f>
        <v>65</v>
      </c>
      <c r="O105" s="122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true" outlineLevel="0" collapsed="false">
      <c r="A106" s="118" t="n">
        <v>55.5</v>
      </c>
      <c r="B106" s="119" t="n">
        <f aca="false">IF(Calculator!$E$11="YES",IF(A106&lt;Calculator!$G$11,0,MIN(MIN(MOD(A106/Calculator!$F$11,1),1-MOD(A106/Calculator!$F$11,1)),ABS(MOD(A106/Calculator!$F$11,1)-0.5))),1)</f>
        <v>1</v>
      </c>
      <c r="C106" s="119" t="n">
        <f aca="false">IF(Calculator!$E$12="YES",IF(A106&lt;Calculator!$G$12,0,MIN(MIN(MOD(A106/Calculator!$F$12,1),1-MOD(A106/Calculator!$F$12,1)),ABS(MOD(A106/Calculator!$F$12,1)-0.5))),1)</f>
        <v>1</v>
      </c>
      <c r="D106" s="119" t="n">
        <f aca="false">IF(Calculator!$E$13="YES",IF(A106&lt;Calculator!$G$13,0,MIN(MIN(MOD(A106/Calculator!$F$13,1),1-MOD(A106/Calculator!$F$13,1)),ABS(MOD(A106/Calculator!$F$13,1)-0.5))),1)</f>
        <v>1</v>
      </c>
      <c r="E106" s="119" t="n">
        <f aca="false">IF(Calculator!$E$14="YES",IF(A106&lt;Calculator!$G$14,0,MIN(MIN(MOD(A106/Calculator!$F$14,1),1-MOD(A106/Calculator!$F$14,1)),ABS(MOD(A106/Calculator!$F$14,1)-0.5))),1)</f>
        <v>0.213333333333327</v>
      </c>
      <c r="F106" s="119" t="n">
        <f aca="false">IF(Calculator!$E$15="YES",IF(A106&lt;Calculator!$G$15,0,MIN(MIN(MOD(A106/Calculator!$F$15,1),1-MOD(A106/Calculator!$F$15,1)),ABS(MOD(A106/Calculator!$F$15,1)-0.5))),1)</f>
        <v>0.157692307692296</v>
      </c>
      <c r="G106" s="119" t="n">
        <f aca="false">IF(Calculator!$E$16="YES",IF(A106&lt;Calculator!$G$16,0,MIN(MIN(MOD(A106/Calculator!$F$16,1),1-MOD(A106/Calculator!$F$16,1)),ABS(MOD(A106/Calculator!$F$16,1)-0.5))),1)</f>
        <v>0.120769230769231</v>
      </c>
      <c r="H106" s="119" t="n">
        <f aca="false">IF(Calculator!$E$17="YES",IF(A106&lt;Calculator!$G$17,0,MIN(MIN(MOD(A106/Calculator!$F$17,1),1-MOD(A106/Calculator!$F$17,1)),ABS(MOD(A106/Calculator!$F$17,1)-0.5))),1)</f>
        <v>0.124451282051284</v>
      </c>
      <c r="I106" s="119" t="n">
        <f aca="false">IF(Calculator!$E$18="YES",IF(A106&lt;Calculator!$G$18,0,MIN(MIN(MOD(A106/Calculator!$F$18,1),1-MOD(A106/Calculator!$F$18,1)),ABS(MOD(A106/Calculator!$F$18,1)-0.5))),1)</f>
        <v>0.054615384615385</v>
      </c>
      <c r="J106" s="119" t="n">
        <f aca="false">IF(Calculator!$E$19="YES",IF(A106&lt;Calculator!$G$19,0,MIN(MIN(MOD(A106/Calculator!$F$19,1),1-MOD(A106/Calculator!$F$19,1)),ABS(MOD(A106/Calculator!$F$19,1)-0.5))),1)</f>
        <v>0.0355897435897443</v>
      </c>
      <c r="K106" s="119" t="n">
        <f aca="false">IF(Calculator!$E$20="YES",IF(A106&lt;Calculator!$G$20,0,MIN(MIN(MOD(A106/Calculator!$F$20,1),1-MOD(A106/Calculator!$F$20,1)),ABS(MOD(A106/Calculator!$F$20,1)-0.5))),1)</f>
        <v>0.0517948717948702</v>
      </c>
      <c r="L106" s="119" t="n">
        <f aca="false">IF(Calculator!$E$21="YES",IF(A106&lt;Calculator!$G$21,0,MIN(MIN(MOD(A106/Calculator!$F$21,1),1-MOD(A106/Calculator!$F$21,1)),ABS(MOD(A106/Calculator!$F$21,1)-0.5))),1)</f>
        <v>1</v>
      </c>
      <c r="M106" s="120" t="n">
        <f aca="false">MIN(B106:L106)</f>
        <v>0.0355897435897443</v>
      </c>
      <c r="N106" s="121" t="n">
        <f aca="false">SUMPRODUCT(($M$5:$M$115&gt;M106)*1)+SUMPRODUCT(($M$5:$M$115=M106)*(ROW($M$5:$M$115)&lt;ROW(M106)))+1</f>
        <v>40</v>
      </c>
      <c r="O106" s="122" t="str">
        <f aca="false">IF(M106&gt;=0.2,"★★★ EXCELLENT",IF(M106&gt;=0.12,"★★  GOOD",IF(M106&gt;=0.07,"★  FAIR",IF(M106&gt;=0.025,"⚠  MARGINAL","✗  AVOID"))))</f>
        <v>⚠  MARGINAL</v>
      </c>
    </row>
    <row r="107" customFormat="false" ht="15" hidden="false" customHeight="true" outlineLevel="0" collapsed="false">
      <c r="A107" s="118" t="n">
        <v>56</v>
      </c>
      <c r="B107" s="119" t="n">
        <f aca="false">IF(Calculator!$E$11="YES",IF(A107&lt;Calculator!$G$11,0,MIN(MIN(MOD(A107/Calculator!$F$11,1),1-MOD(A107/Calculator!$F$11,1)),ABS(MOD(A107/Calculator!$F$11,1)-0.5))),1)</f>
        <v>1</v>
      </c>
      <c r="C107" s="119" t="n">
        <f aca="false">IF(Calculator!$E$12="YES",IF(A107&lt;Calculator!$G$12,0,MIN(MIN(MOD(A107/Calculator!$F$12,1),1-MOD(A107/Calculator!$F$12,1)),ABS(MOD(A107/Calculator!$F$12,1)-0.5))),1)</f>
        <v>1</v>
      </c>
      <c r="D107" s="119" t="n">
        <f aca="false">IF(Calculator!$E$13="YES",IF(A107&lt;Calculator!$G$13,0,MIN(MIN(MOD(A107/Calculator!$F$13,1),1-MOD(A107/Calculator!$F$13,1)),ABS(MOD(A107/Calculator!$F$13,1)-0.5))),1)</f>
        <v>1</v>
      </c>
      <c r="E107" s="119" t="n">
        <f aca="false">IF(Calculator!$E$14="YES",IF(A107&lt;Calculator!$G$14,0,MIN(MIN(MOD(A107/Calculator!$F$14,1),1-MOD(A107/Calculator!$F$14,1)),ABS(MOD(A107/Calculator!$F$14,1)-0.5))),1)</f>
        <v>0.237777777777772</v>
      </c>
      <c r="F107" s="119" t="n">
        <f aca="false">IF(Calculator!$E$15="YES",IF(A107&lt;Calculator!$G$15,0,MIN(MIN(MOD(A107/Calculator!$F$15,1),1-MOD(A107/Calculator!$F$15,1)),ABS(MOD(A107/Calculator!$F$15,1)-0.5))),1)</f>
        <v>0.123076923076911</v>
      </c>
      <c r="G107" s="119" t="n">
        <f aca="false">IF(Calculator!$E$16="YES",IF(A107&lt;Calculator!$G$16,0,MIN(MIN(MOD(A107/Calculator!$F$16,1),1-MOD(A107/Calculator!$F$16,1)),ABS(MOD(A107/Calculator!$F$16,1)-0.5))),1)</f>
        <v>0.0723076923076915</v>
      </c>
      <c r="H107" s="119" t="n">
        <f aca="false">IF(Calculator!$E$17="YES",IF(A107&lt;Calculator!$G$17,0,MIN(MIN(MOD(A107/Calculator!$F$17,1),1-MOD(A107/Calculator!$F$17,1)),ABS(MOD(A107/Calculator!$F$17,1)-0.5))),1)</f>
        <v>0.0625094017094039</v>
      </c>
      <c r="I107" s="119" t="n">
        <f aca="false">IF(Calculator!$E$18="YES",IF(A107&lt;Calculator!$G$18,0,MIN(MIN(MOD(A107/Calculator!$F$18,1),1-MOD(A107/Calculator!$F$18,1)),ABS(MOD(A107/Calculator!$F$18,1)-0.5))),1)</f>
        <v>0.127179487179488</v>
      </c>
      <c r="J107" s="119" t="n">
        <f aca="false">IF(Calculator!$E$19="YES",IF(A107&lt;Calculator!$G$19,0,MIN(MIN(MOD(A107/Calculator!$F$19,1),1-MOD(A107/Calculator!$F$19,1)),ABS(MOD(A107/Calculator!$F$19,1)-0.5))),1)</f>
        <v>0.0496752136752132</v>
      </c>
      <c r="K107" s="119" t="n">
        <f aca="false">IF(Calculator!$E$20="YES",IF(A107&lt;Calculator!$G$20,0,MIN(MIN(MOD(A107/Calculator!$F$20,1),1-MOD(A107/Calculator!$F$20,1)),ABS(MOD(A107/Calculator!$F$20,1)-0.5))),1)</f>
        <v>0.0468376068376077</v>
      </c>
      <c r="L107" s="119" t="n">
        <f aca="false">IF(Calculator!$E$21="YES",IF(A107&lt;Calculator!$G$21,0,MIN(MIN(MOD(A107/Calculator!$F$21,1),1-MOD(A107/Calculator!$F$21,1)),ABS(MOD(A107/Calculator!$F$21,1)-0.5))),1)</f>
        <v>1</v>
      </c>
      <c r="M107" s="120" t="n">
        <f aca="false">MIN(B107:L107)</f>
        <v>0.0468376068376077</v>
      </c>
      <c r="N107" s="121" t="n">
        <f aca="false">SUMPRODUCT(($M$5:$M$115&gt;M107)*1)+SUMPRODUCT(($M$5:$M$115=M107)*(ROW($M$5:$M$115)&lt;ROW(M107)))+1</f>
        <v>26</v>
      </c>
      <c r="O107" s="122" t="str">
        <f aca="false">IF(M107&gt;=0.2,"★★★ EXCELLENT",IF(M107&gt;=0.12,"★★  GOOD",IF(M107&gt;=0.07,"★  FAIR",IF(M107&gt;=0.025,"⚠  MARGINAL","✗  AVOID"))))</f>
        <v>⚠  MARGINAL</v>
      </c>
    </row>
    <row r="108" customFormat="false" ht="15" hidden="false" customHeight="true" outlineLevel="0" collapsed="false">
      <c r="A108" s="118" t="n">
        <v>56.5</v>
      </c>
      <c r="B108" s="119" t="n">
        <f aca="false">IF(Calculator!$E$11="YES",IF(A108&lt;Calculator!$G$11,0,MIN(MIN(MOD(A108/Calculator!$F$11,1),1-MOD(A108/Calculator!$F$11,1)),ABS(MOD(A108/Calculator!$F$11,1)-0.5))),1)</f>
        <v>1</v>
      </c>
      <c r="C108" s="119" t="n">
        <f aca="false">IF(Calculator!$E$12="YES",IF(A108&lt;Calculator!$G$12,0,MIN(MIN(MOD(A108/Calculator!$F$12,1),1-MOD(A108/Calculator!$F$12,1)),ABS(MOD(A108/Calculator!$F$12,1)-0.5))),1)</f>
        <v>1</v>
      </c>
      <c r="D108" s="119" t="n">
        <f aca="false">IF(Calculator!$E$13="YES",IF(A108&lt;Calculator!$G$13,0,MIN(MIN(MOD(A108/Calculator!$F$13,1),1-MOD(A108/Calculator!$F$13,1)),ABS(MOD(A108/Calculator!$F$13,1)-0.5))),1)</f>
        <v>1</v>
      </c>
      <c r="E108" s="119" t="n">
        <f aca="false">IF(Calculator!$E$14="YES",IF(A108&lt;Calculator!$G$14,0,MIN(MIN(MOD(A108/Calculator!$F$14,1),1-MOD(A108/Calculator!$F$14,1)),ABS(MOD(A108/Calculator!$F$14,1)-0.5))),1)</f>
        <v>0.237777777777784</v>
      </c>
      <c r="F108" s="119" t="n">
        <f aca="false">IF(Calculator!$E$15="YES",IF(A108&lt;Calculator!$G$15,0,MIN(MIN(MOD(A108/Calculator!$F$15,1),1-MOD(A108/Calculator!$F$15,1)),ABS(MOD(A108/Calculator!$F$15,1)-0.5))),1)</f>
        <v>0.0884615384615266</v>
      </c>
      <c r="G108" s="119" t="n">
        <f aca="false">IF(Calculator!$E$16="YES",IF(A108&lt;Calculator!$G$16,0,MIN(MIN(MOD(A108/Calculator!$F$16,1),1-MOD(A108/Calculator!$F$16,1)),ABS(MOD(A108/Calculator!$F$16,1)-0.5))),1)</f>
        <v>0.0238461538461534</v>
      </c>
      <c r="H108" s="119" t="n">
        <f aca="false">IF(Calculator!$E$17="YES",IF(A108&lt;Calculator!$G$17,0,MIN(MIN(MOD(A108/Calculator!$F$17,1),1-MOD(A108/Calculator!$F$17,1)),ABS(MOD(A108/Calculator!$F$17,1)-0.5))),1)</f>
        <v>0.000567521367523582</v>
      </c>
      <c r="I108" s="119" t="n">
        <f aca="false">IF(Calculator!$E$18="YES",IF(A108&lt;Calculator!$G$18,0,MIN(MIN(MOD(A108/Calculator!$F$18,1),1-MOD(A108/Calculator!$F$18,1)),ABS(MOD(A108/Calculator!$F$18,1)-0.5))),1)</f>
        <v>0.199743589743591</v>
      </c>
      <c r="J108" s="119" t="n">
        <f aca="false">IF(Calculator!$E$19="YES",IF(A108&lt;Calculator!$G$19,0,MIN(MIN(MOD(A108/Calculator!$F$19,1),1-MOD(A108/Calculator!$F$19,1)),ABS(MOD(A108/Calculator!$F$19,1)-0.5))),1)</f>
        <v>0.134940170940169</v>
      </c>
      <c r="K108" s="119" t="n">
        <f aca="false">IF(Calculator!$E$20="YES",IF(A108&lt;Calculator!$G$20,0,MIN(MIN(MOD(A108/Calculator!$F$20,1),1-MOD(A108/Calculator!$F$20,1)),ABS(MOD(A108/Calculator!$F$20,1)-0.5))),1)</f>
        <v>0.145470085470087</v>
      </c>
      <c r="L108" s="119" t="n">
        <f aca="false">IF(Calculator!$E$21="YES",IF(A108&lt;Calculator!$G$21,0,MIN(MIN(MOD(A108/Calculator!$F$21,1),1-MOD(A108/Calculator!$F$21,1)),ABS(MOD(A108/Calculator!$F$21,1)-0.5))),1)</f>
        <v>1</v>
      </c>
      <c r="M108" s="120" t="n">
        <f aca="false">MIN(B108:L108)</f>
        <v>0.000567521367523582</v>
      </c>
      <c r="N108" s="121" t="n">
        <f aca="false">SUMPRODUCT(($M$5:$M$115&gt;M108)*1)+SUMPRODUCT(($M$5:$M$115=M108)*(ROW($M$5:$M$115)&lt;ROW(M108)))+1</f>
        <v>100</v>
      </c>
      <c r="O108" s="122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true" outlineLevel="0" collapsed="false">
      <c r="A109" s="118" t="n">
        <v>57</v>
      </c>
      <c r="B109" s="119" t="n">
        <f aca="false">IF(Calculator!$E$11="YES",IF(A109&lt;Calculator!$G$11,0,MIN(MIN(MOD(A109/Calculator!$F$11,1),1-MOD(A109/Calculator!$F$11,1)),ABS(MOD(A109/Calculator!$F$11,1)-0.5))),1)</f>
        <v>1</v>
      </c>
      <c r="C109" s="119" t="n">
        <f aca="false">IF(Calculator!$E$12="YES",IF(A109&lt;Calculator!$G$12,0,MIN(MIN(MOD(A109/Calculator!$F$12,1),1-MOD(A109/Calculator!$F$12,1)),ABS(MOD(A109/Calculator!$F$12,1)-0.5))),1)</f>
        <v>1</v>
      </c>
      <c r="D109" s="119" t="n">
        <f aca="false">IF(Calculator!$E$13="YES",IF(A109&lt;Calculator!$G$13,0,MIN(MIN(MOD(A109/Calculator!$F$13,1),1-MOD(A109/Calculator!$F$13,1)),ABS(MOD(A109/Calculator!$F$13,1)-0.5))),1)</f>
        <v>1</v>
      </c>
      <c r="E109" s="119" t="n">
        <f aca="false">IF(Calculator!$E$14="YES",IF(A109&lt;Calculator!$G$14,0,MIN(MIN(MOD(A109/Calculator!$F$14,1),1-MOD(A109/Calculator!$F$14,1)),ABS(MOD(A109/Calculator!$F$14,1)-0.5))),1)</f>
        <v>0.21333333333334</v>
      </c>
      <c r="F109" s="119" t="n">
        <f aca="false">IF(Calculator!$E$15="YES",IF(A109&lt;Calculator!$G$15,0,MIN(MIN(MOD(A109/Calculator!$F$15,1),1-MOD(A109/Calculator!$F$15,1)),ABS(MOD(A109/Calculator!$F$15,1)-0.5))),1)</f>
        <v>0.0538461538461417</v>
      </c>
      <c r="G109" s="119" t="n">
        <f aca="false">IF(Calculator!$E$16="YES",IF(A109&lt;Calculator!$G$16,0,MIN(MIN(MOD(A109/Calculator!$F$16,1),1-MOD(A109/Calculator!$F$16,1)),ABS(MOD(A109/Calculator!$F$16,1)-0.5))),1)</f>
        <v>0.0246153846153856</v>
      </c>
      <c r="H109" s="119" t="n">
        <f aca="false">IF(Calculator!$E$17="YES",IF(A109&lt;Calculator!$G$17,0,MIN(MIN(MOD(A109/Calculator!$F$17,1),1-MOD(A109/Calculator!$F$17,1)),ABS(MOD(A109/Calculator!$F$17,1)-0.5))),1)</f>
        <v>0.0613743589743567</v>
      </c>
      <c r="I109" s="119" t="n">
        <f aca="false">IF(Calculator!$E$18="YES",IF(A109&lt;Calculator!$G$18,0,MIN(MIN(MOD(A109/Calculator!$F$18,1),1-MOD(A109/Calculator!$F$18,1)),ABS(MOD(A109/Calculator!$F$18,1)-0.5))),1)</f>
        <v>0.227692307692307</v>
      </c>
      <c r="J109" s="119" t="n">
        <f aca="false">IF(Calculator!$E$19="YES",IF(A109&lt;Calculator!$G$19,0,MIN(MIN(MOD(A109/Calculator!$F$19,1),1-MOD(A109/Calculator!$F$19,1)),ABS(MOD(A109/Calculator!$F$19,1)-0.5))),1)</f>
        <v>0.220205128205127</v>
      </c>
      <c r="K109" s="119" t="n">
        <f aca="false">IF(Calculator!$E$20="YES",IF(A109&lt;Calculator!$G$20,0,MIN(MIN(MOD(A109/Calculator!$F$20,1),1-MOD(A109/Calculator!$F$20,1)),ABS(MOD(A109/Calculator!$F$20,1)-0.5))),1)</f>
        <v>0.244102564102565</v>
      </c>
      <c r="L109" s="119" t="n">
        <f aca="false">IF(Calculator!$E$21="YES",IF(A109&lt;Calculator!$G$21,0,MIN(MIN(MOD(A109/Calculator!$F$21,1),1-MOD(A109/Calculator!$F$21,1)),ABS(MOD(A109/Calculator!$F$21,1)-0.5))),1)</f>
        <v>1</v>
      </c>
      <c r="M109" s="120" t="n">
        <f aca="false">MIN(B109:L109)</f>
        <v>0.0246153846153856</v>
      </c>
      <c r="N109" s="121" t="n">
        <f aca="false">SUMPRODUCT(($M$5:$M$115&gt;M109)*1)+SUMPRODUCT(($M$5:$M$115=M109)*(ROW($M$5:$M$115)&lt;ROW(M109)))+1</f>
        <v>55</v>
      </c>
      <c r="O109" s="122" t="str">
        <f aca="false">IF(M109&gt;=0.2,"★★★ EXCELLENT",IF(M109&gt;=0.12,"★★  GOOD",IF(M109&gt;=0.07,"★  FAIR",IF(M109&gt;=0.025,"⚠  MARGINAL","✗  AVOID"))))</f>
        <v>✗  AVOID</v>
      </c>
    </row>
    <row r="110" customFormat="false" ht="15" hidden="false" customHeight="true" outlineLevel="0" collapsed="false">
      <c r="A110" s="118" t="n">
        <v>57.5</v>
      </c>
      <c r="B110" s="119" t="n">
        <f aca="false">IF(Calculator!$E$11="YES",IF(A110&lt;Calculator!$G$11,0,MIN(MIN(MOD(A110/Calculator!$F$11,1),1-MOD(A110/Calculator!$F$11,1)),ABS(MOD(A110/Calculator!$F$11,1)-0.5))),1)</f>
        <v>1</v>
      </c>
      <c r="C110" s="119" t="n">
        <f aca="false">IF(Calculator!$E$12="YES",IF(A110&lt;Calculator!$G$12,0,MIN(MIN(MOD(A110/Calculator!$F$12,1),1-MOD(A110/Calculator!$F$12,1)),ABS(MOD(A110/Calculator!$F$12,1)-0.5))),1)</f>
        <v>1</v>
      </c>
      <c r="D110" s="119" t="n">
        <f aca="false">IF(Calculator!$E$13="YES",IF(A110&lt;Calculator!$G$13,0,MIN(MIN(MOD(A110/Calculator!$F$13,1),1-MOD(A110/Calculator!$F$13,1)),ABS(MOD(A110/Calculator!$F$13,1)-0.5))),1)</f>
        <v>1</v>
      </c>
      <c r="E110" s="119" t="n">
        <f aca="false">IF(Calculator!$E$14="YES",IF(A110&lt;Calculator!$G$14,0,MIN(MIN(MOD(A110/Calculator!$F$14,1),1-MOD(A110/Calculator!$F$14,1)),ABS(MOD(A110/Calculator!$F$14,1)-0.5))),1)</f>
        <v>0.188888888888895</v>
      </c>
      <c r="F110" s="119" t="n">
        <f aca="false">IF(Calculator!$E$15="YES",IF(A110&lt;Calculator!$G$15,0,MIN(MIN(MOD(A110/Calculator!$F$15,1),1-MOD(A110/Calculator!$F$15,1)),ABS(MOD(A110/Calculator!$F$15,1)-0.5))),1)</f>
        <v>0.0192307692307572</v>
      </c>
      <c r="G110" s="119" t="n">
        <f aca="false">IF(Calculator!$E$16="YES",IF(A110&lt;Calculator!$G$16,0,MIN(MIN(MOD(A110/Calculator!$F$16,1),1-MOD(A110/Calculator!$F$16,1)),ABS(MOD(A110/Calculator!$F$16,1)-0.5))),1)</f>
        <v>0.0730769230769237</v>
      </c>
      <c r="H110" s="119" t="n">
        <f aca="false">IF(Calculator!$E$17="YES",IF(A110&lt;Calculator!$G$17,0,MIN(MIN(MOD(A110/Calculator!$F$17,1),1-MOD(A110/Calculator!$F$17,1)),ABS(MOD(A110/Calculator!$F$17,1)-0.5))),1)</f>
        <v>0.123316239316237</v>
      </c>
      <c r="I110" s="119" t="n">
        <f aca="false">IF(Calculator!$E$18="YES",IF(A110&lt;Calculator!$G$18,0,MIN(MIN(MOD(A110/Calculator!$F$18,1),1-MOD(A110/Calculator!$F$18,1)),ABS(MOD(A110/Calculator!$F$18,1)-0.5))),1)</f>
        <v>0.155128205128204</v>
      </c>
      <c r="J110" s="119" t="n">
        <f aca="false">IF(Calculator!$E$19="YES",IF(A110&lt;Calculator!$G$19,0,MIN(MIN(MOD(A110/Calculator!$F$19,1),1-MOD(A110/Calculator!$F$19,1)),ABS(MOD(A110/Calculator!$F$19,1)-0.5))),1)</f>
        <v>0.194529914529916</v>
      </c>
      <c r="K110" s="119" t="n">
        <f aca="false">IF(Calculator!$E$20="YES",IF(A110&lt;Calculator!$G$20,0,MIN(MIN(MOD(A110/Calculator!$F$20,1),1-MOD(A110/Calculator!$F$20,1)),ABS(MOD(A110/Calculator!$F$20,1)-0.5))),1)</f>
        <v>0.157264957264957</v>
      </c>
      <c r="L110" s="119" t="n">
        <f aca="false">IF(Calculator!$E$21="YES",IF(A110&lt;Calculator!$G$21,0,MIN(MIN(MOD(A110/Calculator!$F$21,1),1-MOD(A110/Calculator!$F$21,1)),ABS(MOD(A110/Calculator!$F$21,1)-0.5))),1)</f>
        <v>1</v>
      </c>
      <c r="M110" s="120" t="n">
        <f aca="false">MIN(B110:L110)</f>
        <v>0.0192307692307572</v>
      </c>
      <c r="N110" s="121" t="n">
        <f aca="false">SUMPRODUCT(($M$5:$M$115&gt;M110)*1)+SUMPRODUCT(($M$5:$M$115=M110)*(ROW($M$5:$M$115)&lt;ROW(M110)))+1</f>
        <v>63</v>
      </c>
      <c r="O110" s="122" t="str">
        <f aca="false">IF(M110&gt;=0.2,"★★★ EXCELLENT",IF(M110&gt;=0.12,"★★  GOOD",IF(M110&gt;=0.07,"★  FAIR",IF(M110&gt;=0.025,"⚠  MARGINAL","✗  AVOID"))))</f>
        <v>✗  AVOID</v>
      </c>
    </row>
    <row r="111" customFormat="false" ht="15" hidden="false" customHeight="true" outlineLevel="0" collapsed="false">
      <c r="A111" s="118" t="n">
        <v>58</v>
      </c>
      <c r="B111" s="119" t="n">
        <f aca="false">IF(Calculator!$E$11="YES",IF(A111&lt;Calculator!$G$11,0,MIN(MIN(MOD(A111/Calculator!$F$11,1),1-MOD(A111/Calculator!$F$11,1)),ABS(MOD(A111/Calculator!$F$11,1)-0.5))),1)</f>
        <v>1</v>
      </c>
      <c r="C111" s="119" t="n">
        <f aca="false">IF(Calculator!$E$12="YES",IF(A111&lt;Calculator!$G$12,0,MIN(MIN(MOD(A111/Calculator!$F$12,1),1-MOD(A111/Calculator!$F$12,1)),ABS(MOD(A111/Calculator!$F$12,1)-0.5))),1)</f>
        <v>1</v>
      </c>
      <c r="D111" s="119" t="n">
        <f aca="false">IF(Calculator!$E$13="YES",IF(A111&lt;Calculator!$G$13,0,MIN(MIN(MOD(A111/Calculator!$F$13,1),1-MOD(A111/Calculator!$F$13,1)),ABS(MOD(A111/Calculator!$F$13,1)-0.5))),1)</f>
        <v>1</v>
      </c>
      <c r="E111" s="119" t="n">
        <f aca="false">IF(Calculator!$E$14="YES",IF(A111&lt;Calculator!$G$14,0,MIN(MIN(MOD(A111/Calculator!$F$14,1),1-MOD(A111/Calculator!$F$14,1)),ABS(MOD(A111/Calculator!$F$14,1)-0.5))),1)</f>
        <v>0.164444444444451</v>
      </c>
      <c r="F111" s="119" t="n">
        <f aca="false">IF(Calculator!$E$15="YES",IF(A111&lt;Calculator!$G$15,0,MIN(MIN(MOD(A111/Calculator!$F$15,1),1-MOD(A111/Calculator!$F$15,1)),ABS(MOD(A111/Calculator!$F$15,1)-0.5))),1)</f>
        <v>0.0153846153846278</v>
      </c>
      <c r="G111" s="119" t="n">
        <f aca="false">IF(Calculator!$E$16="YES",IF(A111&lt;Calculator!$G$16,0,MIN(MIN(MOD(A111/Calculator!$F$16,1),1-MOD(A111/Calculator!$F$16,1)),ABS(MOD(A111/Calculator!$F$16,1)-0.5))),1)</f>
        <v>0.121538461538462</v>
      </c>
      <c r="H111" s="119" t="n">
        <f aca="false">IF(Calculator!$E$17="YES",IF(A111&lt;Calculator!$G$17,0,MIN(MIN(MOD(A111/Calculator!$F$17,1),1-MOD(A111/Calculator!$F$17,1)),ABS(MOD(A111/Calculator!$F$17,1)-0.5))),1)</f>
        <v>0.185258119658118</v>
      </c>
      <c r="I111" s="119" t="n">
        <f aca="false">IF(Calculator!$E$18="YES",IF(A111&lt;Calculator!$G$18,0,MIN(MIN(MOD(A111/Calculator!$F$18,1),1-MOD(A111/Calculator!$F$18,1)),ABS(MOD(A111/Calculator!$F$18,1)-0.5))),1)</f>
        <v>0.0825641025641009</v>
      </c>
      <c r="J111" s="119" t="n">
        <f aca="false">IF(Calculator!$E$19="YES",IF(A111&lt;Calculator!$G$19,0,MIN(MIN(MOD(A111/Calculator!$F$19,1),1-MOD(A111/Calculator!$F$19,1)),ABS(MOD(A111/Calculator!$F$19,1)-0.5))),1)</f>
        <v>0.109264957264958</v>
      </c>
      <c r="K111" s="119" t="n">
        <f aca="false">IF(Calculator!$E$20="YES",IF(A111&lt;Calculator!$G$20,0,MIN(MIN(MOD(A111/Calculator!$F$20,1),1-MOD(A111/Calculator!$F$20,1)),ABS(MOD(A111/Calculator!$F$20,1)-0.5))),1)</f>
        <v>0.058632478632477</v>
      </c>
      <c r="L111" s="119" t="n">
        <f aca="false">IF(Calculator!$E$21="YES",IF(A111&lt;Calculator!$G$21,0,MIN(MIN(MOD(A111/Calculator!$F$21,1),1-MOD(A111/Calculator!$F$21,1)),ABS(MOD(A111/Calculator!$F$21,1)-0.5))),1)</f>
        <v>1</v>
      </c>
      <c r="M111" s="120" t="n">
        <f aca="false">MIN(B111:L111)</f>
        <v>0.0153846153846278</v>
      </c>
      <c r="N111" s="121" t="n">
        <f aca="false">SUMPRODUCT(($M$5:$M$115&gt;M111)*1)+SUMPRODUCT(($M$5:$M$115=M111)*(ROW($M$5:$M$115)&lt;ROW(M111)))+1</f>
        <v>70</v>
      </c>
      <c r="O111" s="122" t="str">
        <f aca="false">IF(M111&gt;=0.2,"★★★ EXCELLENT",IF(M111&gt;=0.12,"★★  GOOD",IF(M111&gt;=0.07,"★  FAIR",IF(M111&gt;=0.025,"⚠  MARGINAL","✗  AVOID"))))</f>
        <v>✗  AVOID</v>
      </c>
    </row>
    <row r="112" customFormat="false" ht="15" hidden="false" customHeight="true" outlineLevel="0" collapsed="false">
      <c r="A112" s="118" t="n">
        <v>58.5</v>
      </c>
      <c r="B112" s="119" t="n">
        <f aca="false">IF(Calculator!$E$11="YES",IF(A112&lt;Calculator!$G$11,0,MIN(MIN(MOD(A112/Calculator!$F$11,1),1-MOD(A112/Calculator!$F$11,1)),ABS(MOD(A112/Calculator!$F$11,1)-0.5))),1)</f>
        <v>1</v>
      </c>
      <c r="C112" s="119" t="n">
        <f aca="false">IF(Calculator!$E$12="YES",IF(A112&lt;Calculator!$G$12,0,MIN(MIN(MOD(A112/Calculator!$F$12,1),1-MOD(A112/Calculator!$F$12,1)),ABS(MOD(A112/Calculator!$F$12,1)-0.5))),1)</f>
        <v>1</v>
      </c>
      <c r="D112" s="119" t="n">
        <f aca="false">IF(Calculator!$E$13="YES",IF(A112&lt;Calculator!$G$13,0,MIN(MIN(MOD(A112/Calculator!$F$13,1),1-MOD(A112/Calculator!$F$13,1)),ABS(MOD(A112/Calculator!$F$13,1)-0.5))),1)</f>
        <v>1</v>
      </c>
      <c r="E112" s="119" t="n">
        <f aca="false">IF(Calculator!$E$14="YES",IF(A112&lt;Calculator!$G$14,0,MIN(MIN(MOD(A112/Calculator!$F$14,1),1-MOD(A112/Calculator!$F$14,1)),ABS(MOD(A112/Calculator!$F$14,1)-0.5))),1)</f>
        <v>0.140000000000006</v>
      </c>
      <c r="F112" s="119" t="n">
        <f aca="false">IF(Calculator!$E$15="YES",IF(A112&lt;Calculator!$G$15,0,MIN(MIN(MOD(A112/Calculator!$F$15,1),1-MOD(A112/Calculator!$F$15,1)),ABS(MOD(A112/Calculator!$F$15,1)-0.5))),1)</f>
        <v>0.0500000000000123</v>
      </c>
      <c r="G112" s="119" t="n">
        <f aca="false">IF(Calculator!$E$16="YES",IF(A112&lt;Calculator!$G$16,0,MIN(MIN(MOD(A112/Calculator!$F$16,1),1-MOD(A112/Calculator!$F$16,1)),ABS(MOD(A112/Calculator!$F$16,1)-0.5))),1)</f>
        <v>0.170000000000001</v>
      </c>
      <c r="H112" s="119" t="n">
        <f aca="false">IF(Calculator!$E$17="YES",IF(A112&lt;Calculator!$G$17,0,MIN(MIN(MOD(A112/Calculator!$F$17,1),1-MOD(A112/Calculator!$F$17,1)),ABS(MOD(A112/Calculator!$F$17,1)-0.5))),1)</f>
        <v>0.247199999999999</v>
      </c>
      <c r="I112" s="119" t="n">
        <f aca="false">IF(Calculator!$E$18="YES",IF(A112&lt;Calculator!$G$18,0,MIN(MIN(MOD(A112/Calculator!$F$18,1),1-MOD(A112/Calculator!$F$18,1)),ABS(MOD(A112/Calculator!$F$18,1)-0.5))),1)</f>
        <v>0.00999999999999979</v>
      </c>
      <c r="J112" s="119" t="n">
        <f aca="false">IF(Calculator!$E$19="YES",IF(A112&lt;Calculator!$G$19,0,MIN(MIN(MOD(A112/Calculator!$F$19,1),1-MOD(A112/Calculator!$F$19,1)),ABS(MOD(A112/Calculator!$F$19,1)-0.5))),1)</f>
        <v>0.0240000000000009</v>
      </c>
      <c r="K112" s="119" t="n">
        <f aca="false">IF(Calculator!$E$20="YES",IF(A112&lt;Calculator!$G$20,0,MIN(MIN(MOD(A112/Calculator!$F$20,1),1-MOD(A112/Calculator!$F$20,1)),ABS(MOD(A112/Calculator!$F$20,1)-0.5))),1)</f>
        <v>0.0400000000000009</v>
      </c>
      <c r="L112" s="119" t="n">
        <f aca="false">IF(Calculator!$E$21="YES",IF(A112&lt;Calculator!$G$21,0,MIN(MIN(MOD(A112/Calculator!$F$21,1),1-MOD(A112/Calculator!$F$21,1)),ABS(MOD(A112/Calculator!$F$21,1)-0.5))),1)</f>
        <v>1</v>
      </c>
      <c r="M112" s="120" t="n">
        <f aca="false">MIN(B112:L112)</f>
        <v>0.00999999999999979</v>
      </c>
      <c r="N112" s="121" t="n">
        <f aca="false">SUMPRODUCT(($M$5:$M$115&gt;M112)*1)+SUMPRODUCT(($M$5:$M$115=M112)*(ROW($M$5:$M$115)&lt;ROW(M112)))+1</f>
        <v>78</v>
      </c>
      <c r="O112" s="122" t="str">
        <f aca="false">IF(M112&gt;=0.2,"★★★ EXCELLENT",IF(M112&gt;=0.12,"★★  GOOD",IF(M112&gt;=0.07,"★  FAIR",IF(M112&gt;=0.025,"⚠  MARGINAL","✗  AVOID"))))</f>
        <v>✗  AVOID</v>
      </c>
    </row>
    <row r="113" customFormat="false" ht="15" hidden="false" customHeight="true" outlineLevel="0" collapsed="false">
      <c r="A113" s="118" t="n">
        <v>59</v>
      </c>
      <c r="B113" s="119" t="n">
        <f aca="false">IF(Calculator!$E$11="YES",IF(A113&lt;Calculator!$G$11,0,MIN(MIN(MOD(A113/Calculator!$F$11,1),1-MOD(A113/Calculator!$F$11,1)),ABS(MOD(A113/Calculator!$F$11,1)-0.5))),1)</f>
        <v>1</v>
      </c>
      <c r="C113" s="119" t="n">
        <f aca="false">IF(Calculator!$E$12="YES",IF(A113&lt;Calculator!$G$12,0,MIN(MIN(MOD(A113/Calculator!$F$12,1),1-MOD(A113/Calculator!$F$12,1)),ABS(MOD(A113/Calculator!$F$12,1)-0.5))),1)</f>
        <v>1</v>
      </c>
      <c r="D113" s="119" t="n">
        <f aca="false">IF(Calculator!$E$13="YES",IF(A113&lt;Calculator!$G$13,0,MIN(MIN(MOD(A113/Calculator!$F$13,1),1-MOD(A113/Calculator!$F$13,1)),ABS(MOD(A113/Calculator!$F$13,1)-0.5))),1)</f>
        <v>1</v>
      </c>
      <c r="E113" s="119" t="n">
        <f aca="false">IF(Calculator!$E$14="YES",IF(A113&lt;Calculator!$G$14,0,MIN(MIN(MOD(A113/Calculator!$F$14,1),1-MOD(A113/Calculator!$F$14,1)),ABS(MOD(A113/Calculator!$F$14,1)-0.5))),1)</f>
        <v>0.115555555555562</v>
      </c>
      <c r="F113" s="119" t="n">
        <f aca="false">IF(Calculator!$E$15="YES",IF(A113&lt;Calculator!$G$15,0,MIN(MIN(MOD(A113/Calculator!$F$15,1),1-MOD(A113/Calculator!$F$15,1)),ABS(MOD(A113/Calculator!$F$15,1)-0.5))),1)</f>
        <v>0.0846153846153968</v>
      </c>
      <c r="G113" s="119" t="n">
        <f aca="false">IF(Calculator!$E$16="YES",IF(A113&lt;Calculator!$G$16,0,MIN(MIN(MOD(A113/Calculator!$F$16,1),1-MOD(A113/Calculator!$F$16,1)),ABS(MOD(A113/Calculator!$F$16,1)-0.5))),1)</f>
        <v>0.218461538461539</v>
      </c>
      <c r="H113" s="119" t="n">
        <f aca="false">IF(Calculator!$E$17="YES",IF(A113&lt;Calculator!$G$17,0,MIN(MIN(MOD(A113/Calculator!$F$17,1),1-MOD(A113/Calculator!$F$17,1)),ABS(MOD(A113/Calculator!$F$17,1)-0.5))),1)</f>
        <v>0.190858119658121</v>
      </c>
      <c r="I113" s="119" t="n">
        <f aca="false">IF(Calculator!$E$18="YES",IF(A113&lt;Calculator!$G$18,0,MIN(MIN(MOD(A113/Calculator!$F$18,1),1-MOD(A113/Calculator!$F$18,1)),ABS(MOD(A113/Calculator!$F$18,1)-0.5))),1)</f>
        <v>0.0625641025641031</v>
      </c>
      <c r="J113" s="119" t="n">
        <f aca="false">IF(Calculator!$E$19="YES",IF(A113&lt;Calculator!$G$19,0,MIN(MIN(MOD(A113/Calculator!$F$19,1),1-MOD(A113/Calculator!$F$19,1)),ABS(MOD(A113/Calculator!$F$19,1)-0.5))),1)</f>
        <v>0.0612649572649566</v>
      </c>
      <c r="K113" s="119" t="n">
        <f aca="false">IF(Calculator!$E$20="YES",IF(A113&lt;Calculator!$G$20,0,MIN(MIN(MOD(A113/Calculator!$F$20,1),1-MOD(A113/Calculator!$F$20,1)),ABS(MOD(A113/Calculator!$F$20,1)-0.5))),1)</f>
        <v>0.138632478632481</v>
      </c>
      <c r="L113" s="119" t="n">
        <f aca="false">IF(Calculator!$E$21="YES",IF(A113&lt;Calculator!$G$21,0,MIN(MIN(MOD(A113/Calculator!$F$21,1),1-MOD(A113/Calculator!$F$21,1)),ABS(MOD(A113/Calculator!$F$21,1)-0.5))),1)</f>
        <v>1</v>
      </c>
      <c r="M113" s="120" t="n">
        <f aca="false">MIN(B113:L113)</f>
        <v>0.0612649572649566</v>
      </c>
      <c r="N113" s="121" t="n">
        <f aca="false">SUMPRODUCT(($M$5:$M$115&gt;M113)*1)+SUMPRODUCT(($M$5:$M$115=M113)*(ROW($M$5:$M$115)&lt;ROW(M113)))+1</f>
        <v>18</v>
      </c>
      <c r="O113" s="122" t="str">
        <f aca="false">IF(M113&gt;=0.2,"★★★ EXCELLENT",IF(M113&gt;=0.12,"★★  GOOD",IF(M113&gt;=0.07,"★  FAIR",IF(M113&gt;=0.025,"⚠  MARGINAL","✗  AVOID"))))</f>
        <v>⚠  MARGINAL</v>
      </c>
    </row>
    <row r="114" customFormat="false" ht="15" hidden="false" customHeight="true" outlineLevel="0" collapsed="false">
      <c r="A114" s="118" t="n">
        <v>59.5</v>
      </c>
      <c r="B114" s="119" t="n">
        <f aca="false">IF(Calculator!$E$11="YES",IF(A114&lt;Calculator!$G$11,0,MIN(MIN(MOD(A114/Calculator!$F$11,1),1-MOD(A114/Calculator!$F$11,1)),ABS(MOD(A114/Calculator!$F$11,1)-0.5))),1)</f>
        <v>1</v>
      </c>
      <c r="C114" s="119" t="n">
        <f aca="false">IF(Calculator!$E$12="YES",IF(A114&lt;Calculator!$G$12,0,MIN(MIN(MOD(A114/Calculator!$F$12,1),1-MOD(A114/Calculator!$F$12,1)),ABS(MOD(A114/Calculator!$F$12,1)-0.5))),1)</f>
        <v>1</v>
      </c>
      <c r="D114" s="119" t="n">
        <f aca="false">IF(Calculator!$E$13="YES",IF(A114&lt;Calculator!$G$13,0,MIN(MIN(MOD(A114/Calculator!$F$13,1),1-MOD(A114/Calculator!$F$13,1)),ABS(MOD(A114/Calculator!$F$13,1)-0.5))),1)</f>
        <v>1</v>
      </c>
      <c r="E114" s="119" t="n">
        <f aca="false">IF(Calculator!$E$14="YES",IF(A114&lt;Calculator!$G$14,0,MIN(MIN(MOD(A114/Calculator!$F$14,1),1-MOD(A114/Calculator!$F$14,1)),ABS(MOD(A114/Calculator!$F$14,1)-0.5))),1)</f>
        <v>0.0911111111111174</v>
      </c>
      <c r="F114" s="119" t="n">
        <f aca="false">IF(Calculator!$E$15="YES",IF(A114&lt;Calculator!$G$15,0,MIN(MIN(MOD(A114/Calculator!$F$15,1),1-MOD(A114/Calculator!$F$15,1)),ABS(MOD(A114/Calculator!$F$15,1)-0.5))),1)</f>
        <v>0.119230769230782</v>
      </c>
      <c r="G114" s="119" t="n">
        <f aca="false">IF(Calculator!$E$16="YES",IF(A114&lt;Calculator!$G$16,0,MIN(MIN(MOD(A114/Calculator!$F$16,1),1-MOD(A114/Calculator!$F$16,1)),ABS(MOD(A114/Calculator!$F$16,1)-0.5))),1)</f>
        <v>0.233076923076922</v>
      </c>
      <c r="H114" s="119" t="n">
        <f aca="false">IF(Calculator!$E$17="YES",IF(A114&lt;Calculator!$G$17,0,MIN(MIN(MOD(A114/Calculator!$F$17,1),1-MOD(A114/Calculator!$F$17,1)),ABS(MOD(A114/Calculator!$F$17,1)-0.5))),1)</f>
        <v>0.128916239316241</v>
      </c>
      <c r="I114" s="119" t="n">
        <f aca="false">IF(Calculator!$E$18="YES",IF(A114&lt;Calculator!$G$18,0,MIN(MIN(MOD(A114/Calculator!$F$18,1),1-MOD(A114/Calculator!$F$18,1)),ABS(MOD(A114/Calculator!$F$18,1)-0.5))),1)</f>
        <v>0.135128205128206</v>
      </c>
      <c r="J114" s="119" t="n">
        <f aca="false">IF(Calculator!$E$19="YES",IF(A114&lt;Calculator!$G$19,0,MIN(MIN(MOD(A114/Calculator!$F$19,1),1-MOD(A114/Calculator!$F$19,1)),ABS(MOD(A114/Calculator!$F$19,1)-0.5))),1)</f>
        <v>0.146529914529912</v>
      </c>
      <c r="K114" s="119" t="n">
        <f aca="false">IF(Calculator!$E$20="YES",IF(A114&lt;Calculator!$G$20,0,MIN(MIN(MOD(A114/Calculator!$F$20,1),1-MOD(A114/Calculator!$F$20,1)),ABS(MOD(A114/Calculator!$F$20,1)-0.5))),1)</f>
        <v>0.237264957264959</v>
      </c>
      <c r="L114" s="119" t="n">
        <f aca="false">IF(Calculator!$E$21="YES",IF(A114&lt;Calculator!$G$21,0,MIN(MIN(MOD(A114/Calculator!$F$21,1),1-MOD(A114/Calculator!$F$21,1)),ABS(MOD(A114/Calculator!$F$21,1)-0.5))),1)</f>
        <v>1</v>
      </c>
      <c r="M114" s="120" t="n">
        <f aca="false">MIN(B114:L114)</f>
        <v>0.0911111111111174</v>
      </c>
      <c r="N114" s="121" t="n">
        <f aca="false">SUMPRODUCT(($M$5:$M$115&gt;M114)*1)+SUMPRODUCT(($M$5:$M$115=M114)*(ROW($M$5:$M$115)&lt;ROW(M114)))+1</f>
        <v>6</v>
      </c>
      <c r="O114" s="122" t="str">
        <f aca="false">IF(M114&gt;=0.2,"★★★ EXCELLENT",IF(M114&gt;=0.12,"★★  GOOD",IF(M114&gt;=0.07,"★  FAIR",IF(M114&gt;=0.025,"⚠  MARGINAL","✗  AVOID"))))</f>
        <v>★  FAIR</v>
      </c>
    </row>
    <row r="115" customFormat="false" ht="15" hidden="false" customHeight="true" outlineLevel="0" collapsed="false">
      <c r="A115" s="118" t="n">
        <v>60</v>
      </c>
      <c r="B115" s="119" t="n">
        <f aca="false">IF(Calculator!$E$11="YES",IF(A115&lt;Calculator!$G$11,0,MIN(MIN(MOD(A115/Calculator!$F$11,1),1-MOD(A115/Calculator!$F$11,1)),ABS(MOD(A115/Calculator!$F$11,1)-0.5))),1)</f>
        <v>1</v>
      </c>
      <c r="C115" s="119" t="n">
        <f aca="false">IF(Calculator!$E$12="YES",IF(A115&lt;Calculator!$G$12,0,MIN(MIN(MOD(A115/Calculator!$F$12,1),1-MOD(A115/Calculator!$F$12,1)),ABS(MOD(A115/Calculator!$F$12,1)-0.5))),1)</f>
        <v>1</v>
      </c>
      <c r="D115" s="119" t="n">
        <f aca="false">IF(Calculator!$E$13="YES",IF(A115&lt;Calculator!$G$13,0,MIN(MIN(MOD(A115/Calculator!$F$13,1),1-MOD(A115/Calculator!$F$13,1)),ABS(MOD(A115/Calculator!$F$13,1)-0.5))),1)</f>
        <v>1</v>
      </c>
      <c r="E115" s="119" t="n">
        <f aca="false">IF(Calculator!$E$14="YES",IF(A115&lt;Calculator!$G$14,0,MIN(MIN(MOD(A115/Calculator!$F$14,1),1-MOD(A115/Calculator!$F$14,1)),ABS(MOD(A115/Calculator!$F$14,1)-0.5))),1)</f>
        <v>0.0666666666666731</v>
      </c>
      <c r="F115" s="119" t="n">
        <f aca="false">IF(Calculator!$E$15="YES",IF(A115&lt;Calculator!$G$15,0,MIN(MIN(MOD(A115/Calculator!$F$15,1),1-MOD(A115/Calculator!$F$15,1)),ABS(MOD(A115/Calculator!$F$15,1)-0.5))),1)</f>
        <v>0.153846153846167</v>
      </c>
      <c r="G115" s="119" t="n">
        <f aca="false">IF(Calculator!$E$16="YES",IF(A115&lt;Calculator!$G$16,0,MIN(MIN(MOD(A115/Calculator!$F$16,1),1-MOD(A115/Calculator!$F$16,1)),ABS(MOD(A115/Calculator!$F$16,1)-0.5))),1)</f>
        <v>0.184615384615384</v>
      </c>
      <c r="H115" s="119" t="n">
        <f aca="false">IF(Calculator!$E$17="YES",IF(A115&lt;Calculator!$G$17,0,MIN(MIN(MOD(A115/Calculator!$F$17,1),1-MOD(A115/Calculator!$F$17,1)),ABS(MOD(A115/Calculator!$F$17,1)-0.5))),1)</f>
        <v>0.0669743589743606</v>
      </c>
      <c r="I115" s="119" t="n">
        <f aca="false">IF(Calculator!$E$18="YES",IF(A115&lt;Calculator!$G$18,0,MIN(MIN(MOD(A115/Calculator!$F$18,1),1-MOD(A115/Calculator!$F$18,1)),ABS(MOD(A115/Calculator!$F$18,1)-0.5))),1)</f>
        <v>0.207692307692309</v>
      </c>
      <c r="J115" s="119" t="n">
        <f aca="false">IF(Calculator!$E$19="YES",IF(A115&lt;Calculator!$G$19,0,MIN(MIN(MOD(A115/Calculator!$F$19,1),1-MOD(A115/Calculator!$F$19,1)),ABS(MOD(A115/Calculator!$F$19,1)-0.5))),1)</f>
        <v>0.23179487179487</v>
      </c>
      <c r="K115" s="119" t="n">
        <f aca="false">IF(Calculator!$E$20="YES",IF(A115&lt;Calculator!$G$20,0,MIN(MIN(MOD(A115/Calculator!$F$20,1),1-MOD(A115/Calculator!$F$20,1)),ABS(MOD(A115/Calculator!$F$20,1)-0.5))),1)</f>
        <v>0.164102564102564</v>
      </c>
      <c r="L115" s="119" t="n">
        <f aca="false">IF(Calculator!$E$21="YES",IF(A115&lt;Calculator!$G$21,0,MIN(MIN(MOD(A115/Calculator!$F$21,1),1-MOD(A115/Calculator!$F$21,1)),ABS(MOD(A115/Calculator!$F$21,1)-0.5))),1)</f>
        <v>1</v>
      </c>
      <c r="M115" s="120" t="n">
        <f aca="false">MIN(B115:L115)</f>
        <v>0.0666666666666731</v>
      </c>
      <c r="N115" s="121" t="n">
        <f aca="false">SUMPRODUCT(($M$5:$M$115&gt;M115)*1)+SUMPRODUCT(($M$5:$M$115=M115)*(ROW($M$5:$M$115)&lt;ROW(M115)))+1</f>
        <v>13</v>
      </c>
      <c r="O115" s="122" t="str">
        <f aca="false">IF(M115&gt;=0.2,"★★★ EXCELLENT",IF(M115&gt;=0.12,"★★  GOOD",IF(M115&gt;=0.07,"★  FAIR",IF(M115&gt;=0.025,"⚠  MARGINAL","✗  AVOID"))))</f>
        <v>⚠  MARGINAL</v>
      </c>
    </row>
  </sheetData>
  <mergeCells count="3">
    <mergeCell ref="A1:O1"/>
    <mergeCell ref="A2:O2"/>
    <mergeCell ref="A3:O3"/>
  </mergeCells>
  <conditionalFormatting sqref="M5:M11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11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2026-05-24T16:57:24Z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