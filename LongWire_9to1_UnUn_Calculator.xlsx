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VSWR Calculator" sheetId="2" state="visible" r:id="rId4"/>
    <sheet name="Length Sweep" sheetId="3" state="visible" r:id="rId5"/>
    <sheet name="9-1 UnUn 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<sst xmlns="http://schemas.openxmlformats.org/spreadsheetml/2006/main" count="282" uniqueCount="255">
  <si>
    <t xml:space="preserve">📡  Long Wire Antenna  +  9:1 UnUn  —  Multi-Band Optimizer</t>
  </si>
  <si>
    <t xml:space="preserve">Select YES/NO for each band  ·  Adjust Velocity Factor  ·  See 'Length Sweep' sheet for color-coded results  ·  All dimensions in METERS</t>
  </si>
  <si>
    <t xml:space="preserve">⚙  PARAMETERS  —  Blue cells are editable inputs</t>
  </si>
  <si>
    <t xml:space="preserve">Velocity Factor (VF):</t>
  </si>
  <si>
    <t xml:space="preserve">← Editable. Bare wire in free air ≈ 0.95–1.00. Default 0.975 (typical outdoor wire).</t>
  </si>
  <si>
    <t xml:space="preserve">Half-wave formula used:</t>
  </si>
  <si>
    <t xml:space="preserve">  λ/2 (m) = VF × 150 / f_center(MHz)     →     λ/4 (m) = λ/2 / 2</t>
  </si>
  <si>
    <t xml:space="preserve">📻  BAND SELECTION  —  Change 'ACTIVE?' column to YES or NO  (dropdown available)</t>
  </si>
  <si>
    <t xml:space="preserve">⚠  Lengths at an INTEGER multiple of λ/2 (very high feedpoint Z) OR at λ/4 multiples (very low feedpoint Z) cause poor UnUn matching — the algorithm AVOIDS both. Wires shorter than λ/4 of the lowest active band are also penalised (scored 0).</t>
  </si>
  <si>
    <t xml:space="preserve">Band</t>
  </si>
  <si>
    <t xml:space="preserve">f Low
(MHz)</t>
  </si>
  <si>
    <t xml:space="preserve">f High
(MHz)</t>
  </si>
  <si>
    <t xml:space="preserve">f Center
(MHz)</t>
  </si>
  <si>
    <t xml:space="preserve">ACTIVE?</t>
  </si>
  <si>
    <t xml:space="preserve">λ/2
(meters)</t>
  </si>
  <si>
    <t xml:space="preserve">λ/4
(meters)</t>
  </si>
  <si>
    <t xml:space="preserve">Min Wire
(meters)</t>
  </si>
  <si>
    <t xml:space="preserve">160m</t>
  </si>
  <si>
    <t xml:space="preserve">NO</t>
  </si>
  <si>
    <t xml:space="preserve">80m</t>
  </si>
  <si>
    <t xml:space="preserve">60m</t>
  </si>
  <si>
    <t xml:space="preserve">40m</t>
  </si>
  <si>
    <t xml:space="preserve">30m</t>
  </si>
  <si>
    <t xml:space="preserve">YES</t>
  </si>
  <si>
    <t xml:space="preserve">20m</t>
  </si>
  <si>
    <t xml:space="preserve">17m</t>
  </si>
  <si>
    <t xml:space="preserve">15m</t>
  </si>
  <si>
    <t xml:space="preserve">12m</t>
  </si>
  <si>
    <t xml:space="preserve">10m</t>
  </si>
  <si>
    <t xml:space="preserve">6m</t>
  </si>
  <si>
    <t xml:space="preserve">Active bands:</t>
  </si>
  <si>
    <t xml:space="preserve">Min. wire length needed (m):</t>
  </si>
  <si>
    <t xml:space="preserve">← λ/4 of lowest active band</t>
  </si>
  <si>
    <t xml:space="preserve">🔌  COUNTERPOISE  (Ground Reference Wire)</t>
  </si>
  <si>
    <t xml:space="preserve">Recommended counterpoise (m):</t>
  </si>
  <si>
    <t xml:space="preserve">λ/4 of lowest active band. Multiple radials also effective. Keep counterpoise as straight as possible.</t>
  </si>
  <si>
    <t xml:space="preserve">🏆  TOP 5 RECOMMENDED WIRE LENGTHS  (computed from 'Length Sweep' sheet — updates with band selection)</t>
  </si>
  <si>
    <t xml:space="preserve">Rank</t>
  </si>
  <si>
    <t xml:space="preserve">Wire Length
(meters)</t>
  </si>
  <si>
    <t xml:space="preserve">Wire Length
(cm)</t>
  </si>
  <si>
    <t xml:space="preserve">Avoidance
Score</t>
  </si>
  <si>
    <t xml:space="preserve">Quality Rating</t>
  </si>
  <si>
    <t xml:space="preserve">λ/2 check
(lowest active band;
ok = not integer
and not n+0.5)</t>
  </si>
  <si>
    <t xml:space="preserve">Counterpoise
(m)</t>
  </si>
  <si>
    <t xml:space="preserve">Practical Notes</t>
  </si>
  <si>
    <t xml:space="preserve"># 1</t>
  </si>
  <si>
    <t xml:space="preserve"># 2</t>
  </si>
  <si>
    <t xml:space="preserve"># 3</t>
  </si>
  <si>
    <t xml:space="preserve"># 4</t>
  </si>
  <si>
    <t xml:space="preserve"># 5</t>
  </si>
  <si>
    <t xml:space="preserve">ℹ  Avoidance Score explanation: 0.25 = wire is at maximum distance from ALL resonances (ideal: 3λ/8 or 5λ/8);  0.00 = wire IS resonant (half-wave or quarter-wave, extremely high or low impedance, avoid);  Score ≥ 0.20 = excellent;  Score ≥ 0.12 = good practice.</t>
  </si>
  <si>
    <t xml:space="preserve">📡  VSWR Estimator  —  Long Wire Antenna + 9:1 UnUn</t>
  </si>
  <si>
    <t xml:space="preserve">⚠  Simplified model: Z_wire ≈ 50 × 80^cos²(π·L/λ½) Ω  →  VSWR = max(Z_wire/450, 450/Z_wire)  |  Z_min ≈ 50 Ω at λ/4  ·  Z_max ≈ 4000 Ω at λ/2  ·  Z_target = 450 Ω at 3λ/8 (9:1 UnUn ideal).  Real-world values vary with wire height, soil, and coupling.</t>
  </si>
  <si>
    <t xml:space="preserve">Wire Length (m):</t>
  </si>
  <si>
    <t xml:space="preserve">← Enter wire length (m) above.   Top-5 recommended: see Calculator sheet.</t>
  </si>
  <si>
    <t xml:space="preserve">Active?</t>
  </si>
  <si>
    <t xml:space="preserve">λ/2 (m)</t>
  </si>
  <si>
    <t xml:space="preserve">λ/4 (m)</t>
  </si>
  <si>
    <t xml:space="preserve">L / λ½
(frac)</t>
  </si>
  <si>
    <t xml:space="preserve">Z_wire
(Ω, est.)</t>
  </si>
  <si>
    <t xml:space="preserve">VSWR
(chart data)</t>
  </si>
  <si>
    <t xml:space="preserve">VSWR</t>
  </si>
  <si>
    <t xml:space="preserve">Quality Assessment</t>
  </si>
  <si>
    <t xml:space="preserve">VSWR guide:</t>
  </si>
  <si>
    <t xml:space="preserve">&lt; 1.5: Excellent</t>
  </si>
  <si>
    <t xml:space="preserve">1.5–3.0: Good (tuner helpful)</t>
  </si>
  <si>
    <t xml:space="preserve">3.0–6.0: Marginal (tuner needed)</t>
  </si>
  <si>
    <t xml:space="preserve">&gt; 6.0: Poor (high-loss mismatch)</t>
  </si>
  <si>
    <t xml:space="preserve">📊  Chart below  —  Dashed reference thresholds: VSWR 1.5 = excellent boundary  ·  VSWR 3.0 = tuner boundary  ·  Bars absent = inactive band or wire too short for that band</t>
  </si>
  <si>
    <t xml:space="preserve">📊  Wire Length Sweep  5.0 – 60.0 m (step 0.5 m) — Resonance Avoidance Score  ·  GREEN rows = recommended</t>
  </si>
  <si>
    <t xml:space="preserve">Score = MIN fraction-away-from BOTH half-wave AND quarter-wave resonances across ALL active bands.  0.25 = perfect (mid-gap between λ/4 and λ/2),  0.00 = on resonance.  Inactive bands show 1.00 (not counted).  Formula: =MIN(MIN(MOD(L/λ₂,1), 1−MOD(L/λ₂,1)), |MOD(L/λ₂,1)−0.5|) per active band.  ⚠ Both λ/2 (very high Z, &gt;2000Ω) AND λ/4 (very low Z, ~50Ω→5.5Ω after UnUn) are penalized.</t>
  </si>
  <si>
    <t xml:space="preserve">⚠  Change band ACTIVE? selection on the 'Calculator' sheet — this table updates automatically!</t>
  </si>
  <si>
    <t xml:space="preserve">Wire
Length
(m)</t>
  </si>
  <si>
    <t xml:space="preserve">160m
score</t>
  </si>
  <si>
    <t xml:space="preserve">80m
score</t>
  </si>
  <si>
    <t xml:space="preserve">60m
score</t>
  </si>
  <si>
    <t xml:space="preserve">40m
score</t>
  </si>
  <si>
    <t xml:space="preserve">30m
score</t>
  </si>
  <si>
    <t xml:space="preserve">20m
score</t>
  </si>
  <si>
    <t xml:space="preserve">17m
score</t>
  </si>
  <si>
    <t xml:space="preserve">15m
score</t>
  </si>
  <si>
    <t xml:space="preserve">12m
score</t>
  </si>
  <si>
    <t xml:space="preserve">10m
score</t>
  </si>
  <si>
    <t xml:space="preserve">6m
score</t>
  </si>
  <si>
    <t xml:space="preserve">OVERALL
Score</t>
  </si>
  <si>
    <t xml:space="preserve">Quality
Rating</t>
  </si>
  <si>
    <t xml:space="preserve">📚  Technical Reference — Long Wire Antenna with 9:1 UnUn / Balun</t>
  </si>
  <si>
    <t xml:space="preserve">HOW THE 9:1 UnUn WORKS</t>
  </si>
  <si>
    <t xml:space="preserve">Parameter</t>
  </si>
  <si>
    <t xml:space="preserve">Value / Formula</t>
  </si>
  <si>
    <t xml:space="preserve">Example</t>
  </si>
  <si>
    <t xml:space="preserve">Notes</t>
  </si>
  <si>
    <t xml:space="preserve">Coax feedline impedance</t>
  </si>
  <si>
    <t xml:space="preserve">50 Ω</t>
  </si>
  <si>
    <t xml:space="preserve">Standard RG-58/RG-213</t>
  </si>
  <si>
    <t xml:space="preserve">Unbalanced</t>
  </si>
  <si>
    <t xml:space="preserve">Impedance transformation ratio</t>
  </si>
  <si>
    <t xml:space="preserve">9 : 1</t>
  </si>
  <si>
    <t xml:space="preserve">50 × 9 = 450 Ω</t>
  </si>
  <si>
    <t xml:space="preserve">Turns ratio 1:3, impedance = 1:9</t>
  </si>
  <si>
    <t xml:space="preserve">Target wire feedpoint impedance</t>
  </si>
  <si>
    <t xml:space="preserve">~450 Ω</t>
  </si>
  <si>
    <t xml:space="preserve">Varies 200–2000 Ω</t>
  </si>
  <si>
    <t xml:space="preserve">Aim for non-resonant wire</t>
  </si>
  <si>
    <t xml:space="preserve">Why called UnUn?</t>
  </si>
  <si>
    <t xml:space="preserve">Unbalanced-to-Unbalanced</t>
  </si>
  <si>
    <t xml:space="preserve">Both sides ground-referenced</t>
  </si>
  <si>
    <t xml:space="preserve">NOT a Balun (balanced–unbalanced)</t>
  </si>
  <si>
    <t xml:space="preserve">Core material</t>
  </si>
  <si>
    <t xml:space="preserve">FT-240-43 toroid (typical)</t>
  </si>
  <si>
    <t xml:space="preserve">43-mix = 1–30 MHz</t>
  </si>
  <si>
    <t xml:space="preserve">FT-240-31 also used</t>
  </si>
  <si>
    <t xml:space="preserve">Winding (common)</t>
  </si>
  <si>
    <t xml:space="preserve">Primary: 8 turns / Secondary: 24 turns</t>
  </si>
  <si>
    <t xml:space="preserve">Ratio = 1:3 → Z ratio 1:9</t>
  </si>
  <si>
    <t xml:space="preserve">Bifilar or trifilar winding</t>
  </si>
  <si>
    <t xml:space="preserve">Maximum recommended power (home build)</t>
  </si>
  <si>
    <t xml:space="preserve">200–500 W PEP</t>
  </si>
  <si>
    <t xml:space="preserve">Depends on core &amp; wire</t>
  </si>
  <si>
    <t xml:space="preserve">Commercial units to 1 kW+</t>
  </si>
  <si>
    <t xml:space="preserve">WIRE LENGTH SELECTION RULES</t>
  </si>
  <si>
    <t xml:space="preserve">Rule</t>
  </si>
  <si>
    <t xml:space="preserve">Explanation</t>
  </si>
  <si>
    <t xml:space="preserve">Good Example</t>
  </si>
  <si>
    <t xml:space="preserve">Bad Example</t>
  </si>
  <si>
    <t xml:space="preserve">Formula</t>
  </si>
  <si>
    <t xml:space="preserve">AVOID integer multiples of λ/2</t>
  </si>
  <si>
    <t xml:space="preserve">Creates very high (&gt;2000 Ω) or very low (&lt;5 Ω) feedpoint impedance</t>
  </si>
  <si>
    <t xml:space="preserve">20.3 m on 40m (not 1× λ/2 = 21.4 m)</t>
  </si>
  <si>
    <t xml:space="preserve">21.4 m on 40m (exactly λ/2)</t>
  </si>
  <si>
    <t xml:space="preserve">Avoid: L = n × (VF × 150 / f)</t>
  </si>
  <si>
    <t xml:space="preserve">Aim for 3λ/8 points (mid-gap between λ/4 and λ/2)</t>
  </si>
  <si>
    <t xml:space="preserve">Gives moderate impedance the 9:1 UnUn can transform</t>
  </si>
  <si>
    <t xml:space="preserve">15.3 m ≈ 3λ/8 at 7 MHz</t>
  </si>
  <si>
    <t xml:space="preserve">21.4 m = λ/2 at 7 MHz (very high Z)</t>
  </si>
  <si>
    <t xml:space="preserve">L = n × (VF × 150 / f) ± (VF × 37.5 / f)  [optimal: 3λ/8 or 5λ/8 points]</t>
  </si>
  <si>
    <t xml:space="preserve">Wire must be ≥ λ/4 at lowest band</t>
  </si>
  <si>
    <t xml:space="preserve">Below λ/4 the antenna becomes a very short radiator with high capacitive reactance</t>
  </si>
  <si>
    <t xml:space="preserve">40 m band → min 10.7 m wire</t>
  </si>
  <si>
    <t xml:space="preserve">5 m wire for 40m band</t>
  </si>
  <si>
    <t xml:space="preserve">L_min = VF × 75 / f_low</t>
  </si>
  <si>
    <t xml:space="preserve">Longer wire = better low-band performance</t>
  </si>
  <si>
    <t xml:space="preserve">More wire = more aperture for long wavelengths</t>
  </si>
  <si>
    <t xml:space="preserve">37.8 m excellent for 80m+</t>
  </si>
  <si>
    <t xml:space="preserve">5.3 m struggles on 40m</t>
  </si>
  <si>
    <t xml:space="preserve">No upper limit, practical max ~60 m</t>
  </si>
  <si>
    <t xml:space="preserve">Classic 'random' lengths (air wire)</t>
  </si>
  <si>
    <t xml:space="preserve">Practical non-resonant lengths proven by hams</t>
  </si>
  <si>
    <t xml:space="preserve">16.2 m, 20.1 m, 27.4 m, 37.8 m</t>
  </si>
  <si>
    <t xml:space="preserve">21.0 m, 42.0 m (half-waves at 7 MHz)</t>
  </si>
  <si>
    <t xml:space="preserve">See Length Sweep sheet for calculated values</t>
  </si>
  <si>
    <t xml:space="preserve">AMATEUR RADIO HF BANDS QUICK REFERENCE</t>
  </si>
  <si>
    <t xml:space="preserve">f Low (MHz)</t>
  </si>
  <si>
    <t xml:space="preserve">f High (MHz)</t>
  </si>
  <si>
    <t xml:space="preserve">λ/2 @ center (m)</t>
  </si>
  <si>
    <t xml:space="preserve">1.8</t>
  </si>
  <si>
    <t xml:space="preserve">2.0</t>
  </si>
  <si>
    <t xml:space="preserve">76.97</t>
  </si>
  <si>
    <t xml:space="preserve">NVIS – skip fills in at night</t>
  </si>
  <si>
    <t xml:space="preserve">3.5</t>
  </si>
  <si>
    <t xml:space="preserve">3.8</t>
  </si>
  <si>
    <t xml:space="preserve">40.07</t>
  </si>
  <si>
    <t xml:space="preserve">Best at night; regional/DX</t>
  </si>
  <si>
    <t xml:space="preserve">5.3515</t>
  </si>
  <si>
    <t xml:space="preserve">5.3665</t>
  </si>
  <si>
    <t xml:space="preserve">27.29</t>
  </si>
  <si>
    <t xml:space="preserve">Fixed channels (ITU), limited use</t>
  </si>
  <si>
    <t xml:space="preserve">7.0</t>
  </si>
  <si>
    <t xml:space="preserve">7.3</t>
  </si>
  <si>
    <t xml:space="preserve">20.45</t>
  </si>
  <si>
    <t xml:space="preserve">Day-regional, night-DX; most popular</t>
  </si>
  <si>
    <t xml:space="preserve">10.1</t>
  </si>
  <si>
    <t xml:space="preserve">10.15</t>
  </si>
  <si>
    <t xml:space="preserve">14.44</t>
  </si>
  <si>
    <t xml:space="preserve">CW/digital only (WARC band)</t>
  </si>
  <si>
    <t xml:space="preserve">14.0</t>
  </si>
  <si>
    <t xml:space="preserve">14.35</t>
  </si>
  <si>
    <t xml:space="preserve">10.32</t>
  </si>
  <si>
    <t xml:space="preserve">Best DX band worldwide</t>
  </si>
  <si>
    <t xml:space="preserve">18.068</t>
  </si>
  <si>
    <t xml:space="preserve">18.168</t>
  </si>
  <si>
    <t xml:space="preserve">8.07</t>
  </si>
  <si>
    <t xml:space="preserve">WARC band; excellent DX</t>
  </si>
  <si>
    <t xml:space="preserve">21.0</t>
  </si>
  <si>
    <t xml:space="preserve">21.45</t>
  </si>
  <si>
    <t xml:space="preserve">6.89</t>
  </si>
  <si>
    <t xml:space="preserve">Excellent DX when solar cycle high</t>
  </si>
  <si>
    <t xml:space="preserve">24.89</t>
  </si>
  <si>
    <t xml:space="preserve">24.99</t>
  </si>
  <si>
    <t xml:space="preserve">5.86</t>
  </si>
  <si>
    <t xml:space="preserve">WARC band; similar to 10m</t>
  </si>
  <si>
    <t xml:space="preserve">28.0</t>
  </si>
  <si>
    <t xml:space="preserve">29.7</t>
  </si>
  <si>
    <t xml:space="preserve">5.07</t>
  </si>
  <si>
    <t xml:space="preserve">Best when solar max; worldwide DX</t>
  </si>
  <si>
    <t xml:space="preserve">50.0</t>
  </si>
  <si>
    <t xml:space="preserve">54.0</t>
  </si>
  <si>
    <t xml:space="preserve">2.81</t>
  </si>
  <si>
    <t xml:space="preserve">Magic band; sporadic-E openings</t>
  </si>
  <si>
    <t xml:space="preserve">COUNTERPOISE / GROUND SYSTEM</t>
  </si>
  <si>
    <t xml:space="preserve">Method</t>
  </si>
  <si>
    <t xml:space="preserve">Description</t>
  </si>
  <si>
    <t xml:space="preserve">Recommended Length</t>
  </si>
  <si>
    <t xml:space="preserve">Pros</t>
  </si>
  <si>
    <t xml:space="preserve">Cons</t>
  </si>
  <si>
    <t xml:space="preserve">Single counterpoise wire</t>
  </si>
  <si>
    <t xml:space="preserve">Wire from UnUn ground terminal</t>
  </si>
  <si>
    <t xml:space="preserve">λ/4 of lowest active band</t>
  </si>
  <si>
    <t xml:space="preserve">Simple, effective</t>
  </si>
  <si>
    <t xml:space="preserve">Band-specific length</t>
  </si>
  <si>
    <t xml:space="preserve">Multiple radials</t>
  </si>
  <si>
    <t xml:space="preserve">2–4 wires at different angles</t>
  </si>
  <si>
    <t xml:space="preserve">λ/4 per target band</t>
  </si>
  <si>
    <t xml:space="preserve">Multi-band, improved efficiency</t>
  </si>
  <si>
    <t xml:space="preserve">More wire, more work</t>
  </si>
  <si>
    <t xml:space="preserve">RF earth ground</t>
  </si>
  <si>
    <t xml:space="preserve">Ground rod + clamp</t>
  </si>
  <si>
    <t xml:space="preserve">As short as possible to rod</t>
  </si>
  <si>
    <t xml:space="preserve">Simple at fixed station</t>
  </si>
  <si>
    <t xml:space="preserve">Variable effectiveness by soil</t>
  </si>
  <si>
    <t xml:space="preserve">Coax shield as counterpoise</t>
  </si>
  <si>
    <t xml:space="preserve">Leave outer shield connected to RF ground</t>
  </si>
  <si>
    <t xml:space="preserve">Long coax run helps</t>
  </si>
  <si>
    <t xml:space="preserve">No extra wire needed</t>
  </si>
  <si>
    <t xml:space="preserve">RFI in shack; need common-mode choke</t>
  </si>
  <si>
    <t xml:space="preserve">AVOIDANCE SCORE ALGORITHM (used in this calculator)</t>
  </si>
  <si>
    <t xml:space="preserve">Step</t>
  </si>
  <si>
    <t xml:space="preserve">Value range</t>
  </si>
  <si>
    <t xml:space="preserve">Meaning</t>
  </si>
  <si>
    <t xml:space="preserve">1 – Ratio</t>
  </si>
  <si>
    <t xml:space="preserve">R = Wire_Length / (VF × 150 / f_center)</t>
  </si>
  <si>
    <t xml:space="preserve">Any positive real</t>
  </si>
  <si>
    <t xml:space="preserve">How many half-waves fit in the wire</t>
  </si>
  <si>
    <t xml:space="preserve">2 – Fractional part</t>
  </si>
  <si>
    <t xml:space="preserve">frac = MOD(R, 1)</t>
  </si>
  <si>
    <t xml:space="preserve">0.0 to 1.0</t>
  </si>
  <si>
    <t xml:space="preserve">0 or 1.0 = on resonance</t>
  </si>
  <si>
    <t xml:space="preserve">3a – Distance from λ/2</t>
  </si>
  <si>
    <t xml:space="preserve">dist_half = MIN(frac, 1−frac)</t>
  </si>
  <si>
    <t xml:space="preserve">0.0 to 0.5</t>
  </si>
  <si>
    <t xml:space="preserve">0 = on λ/2 resonance, 0.5 = mid-gap</t>
  </si>
  <si>
    <t xml:space="preserve">3b – Distance from λ/4</t>
  </si>
  <si>
    <t xml:space="preserve">dist_qtr = ABS(frac − 0.5)</t>
  </si>
  <si>
    <t xml:space="preserve">0 = on λ/4 resonance (low Z), 0.5 = on λ/2 (high Z)</t>
  </si>
  <si>
    <t xml:space="preserve">4 – Per-band score</t>
  </si>
  <si>
    <t xml:space="preserve">score = MIN(dist_half, dist_qtr)  if ACTIVE, else 1.0</t>
  </si>
  <si>
    <t xml:space="preserve">0.0 to 0.25</t>
  </si>
  <si>
    <t xml:space="preserve">0 = resonant, 0.25 = perfectly mid-gap (3λ/8 from feed)</t>
  </si>
  <si>
    <t xml:space="preserve">5 – Overall score</t>
  </si>
  <si>
    <t xml:space="preserve">Overall = MIN of all 11 band scores</t>
  </si>
  <si>
    <t xml:space="preserve">Worst-case band determines final score</t>
  </si>
  <si>
    <t xml:space="preserve">GOAL</t>
  </si>
  <si>
    <t xml:space="preserve">Maximize overall score → choose wire lengths with score ≥ 0.20</t>
  </si>
  <si>
    <t xml:space="preserve">0.20–0.25 = excellent;  0.12–0.20 = good;  0.07–0.12 = fair;  0.025–0.07 = marginal;  &lt;0.025 = avoid</t>
  </si>
  <si>
    <t xml:space="preserve">Use Length Sweep sheet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</si>
</sst>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00"/>
    <numFmt numFmtId="167" formatCode="0.00"/>
    <numFmt numFmtId="168" formatCode="0"/>
    <numFmt numFmtId="169" formatCode="0.0"/>
    <numFmt numFmtId="170" formatCode="#,##0"/>
    <numFmt numFmtId="171" formatCode="#.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9"/>
      <color rgb="FF843C0C"/>
      <name val="Arial"/>
      <family val="0"/>
      <charset val="1"/>
    </font>
    <font>
      <sz val="10"/>
      <color rgb="FF0000C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000CC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ED7D31"/>
        <bgColor rgb="FF888888"/>
      </patternFill>
    </fill>
    <fill>
      <patternFill patternType="solid">
        <fgColor rgb="FFFFF2CC"/>
        <bgColor rgb="FFFFF9C4"/>
      </patternFill>
    </fill>
    <fill>
      <patternFill patternType="solid">
        <fgColor rgb="FF375623"/>
        <bgColor rgb="FF595959"/>
      </patternFill>
    </fill>
    <fill>
      <patternFill patternType="solid">
        <fgColor rgb="FFFCE4D6"/>
        <bgColor rgb="FFFFDDDD"/>
      </patternFill>
    </fill>
    <fill>
      <patternFill patternType="solid">
        <fgColor rgb="FF4472C4"/>
        <bgColor rgb="FF2E75B6"/>
      </patternFill>
    </fill>
    <fill>
      <patternFill patternType="solid">
        <fgColor rgb="FFF2F7FF"/>
        <bgColor rgb="FFF5F5F5"/>
      </patternFill>
    </fill>
    <fill>
      <patternFill patternType="solid">
        <fgColor rgb="FFEBF3FF"/>
        <bgColor rgb="FFF2F7FF"/>
      </patternFill>
    </fill>
    <fill>
      <patternFill patternType="solid">
        <fgColor rgb="FFC6EFCE"/>
        <bgColor rgb="FFD9F7D9"/>
      </patternFill>
    </fill>
    <fill>
      <patternFill patternType="solid">
        <fgColor rgb="FFFFFFFF"/>
        <bgColor rgb="FFFAFAFA"/>
      </patternFill>
    </fill>
    <fill>
      <patternFill patternType="solid">
        <fgColor rgb="FFFFC7CE"/>
        <bgColor rgb="FFFFCCCC"/>
      </patternFill>
    </fill>
    <fill>
      <patternFill patternType="solid">
        <fgColor rgb="FFD9D9D9"/>
        <bgColor rgb="FFD6E4F0"/>
      </patternFill>
    </fill>
    <fill>
      <patternFill patternType="solid">
        <fgColor rgb="FFE2EFDA"/>
        <bgColor rgb="FFEBF5D3"/>
      </patternFill>
    </fill>
    <fill>
      <patternFill patternType="solid">
        <fgColor rgb="FF7030A0"/>
        <bgColor rgb="FF993366"/>
      </patternFill>
    </fill>
    <fill>
      <patternFill patternType="solid">
        <fgColor rgb="FFEAD1F5"/>
        <bgColor rgb="FFD9D9D9"/>
      </patternFill>
    </fill>
    <fill>
      <patternFill patternType="solid">
        <fgColor rgb="FFE8F5E9"/>
        <bgColor rgb="FFEBF5D3"/>
      </patternFill>
    </fill>
    <fill>
      <patternFill patternType="solid">
        <fgColor rgb="FFFFF9C4"/>
        <bgColor rgb="FFFFF2CC"/>
      </patternFill>
    </fill>
    <fill>
      <patternFill patternType="solid">
        <fgColor rgb="FFFAFAFA"/>
        <bgColor rgb="FFFFFFFF"/>
      </patternFill>
    </fill>
    <fill>
      <patternFill patternType="solid">
        <fgColor rgb="FF595959"/>
        <bgColor rgb="FF375623"/>
      </patternFill>
    </fill>
    <fill>
      <patternFill patternType="solid">
        <fgColor rgb="FF888888"/>
        <bgColor rgb="FF4F81BD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rgb="FFB3B3B3"/>
      </patternFill>
    </fill>
    <fill>
      <patternFill patternType="solid">
        <fgColor rgb="FFFFEB9C"/>
        <bgColor rgb="FFFFF2CC"/>
      </patternFill>
    </fill>
    <fill>
      <patternFill patternType="solid">
        <fgColor rgb="FFFFCCCC"/>
        <bgColor rgb="FFFFC7CE"/>
      </patternFill>
    </fill>
    <fill>
      <patternFill patternType="solid">
        <fgColor rgb="FFD6E4F0"/>
        <bgColor rgb="FFD9D9D9"/>
      </patternFill>
    </fill>
    <fill>
      <patternFill patternType="solid">
        <fgColor rgb="FFF5F5F5"/>
        <bgColor rgb="FFF2F7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0D2540"/>
      </left>
      <right style="medium">
        <color rgb="FF0D2540"/>
      </right>
      <top style="medium">
        <color rgb="FF0D2540"/>
      </top>
      <bottom style="medium">
        <color rgb="FF0D25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1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16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1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7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3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1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1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3" fillId="1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1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1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2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3" fillId="2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2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2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1" fillId="1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3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2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2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D9F7D9"/>
        </patternFill>
      </fill>
    </dxf>
    <dxf>
      <fill>
        <patternFill>
          <bgColor rgb="FFEBF5D3"/>
        </patternFill>
      </fill>
    </dxf>
    <dxf>
      <fill>
        <patternFill>
          <bgColor rgb="FFFFFBE6"/>
        </patternFill>
      </fill>
    </dxf>
    <dxf>
      <fill>
        <patternFill>
          <bgColor rgb="FFFFDDDD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2CC"/>
      <rgbColor rgb="FFFF00FF"/>
      <rgbColor rgb="FFF5F5F5"/>
      <rgbColor rgb="FF9C0006"/>
      <rgbColor rgb="FF006100"/>
      <rgbColor rgb="FF000080"/>
      <rgbColor rgb="FFFFFBE6"/>
      <rgbColor rgb="FF800080"/>
      <rgbColor rgb="FF4F81BD"/>
      <rgbColor rgb="FFC0C0C0"/>
      <rgbColor rgb="FF888888"/>
      <rgbColor rgb="FFC6EFCE"/>
      <rgbColor rgb="FF7030A0"/>
      <rgbColor rgb="FFFFF9C4"/>
      <rgbColor rgb="FFE8F5E9"/>
      <rgbColor rgb="FF660066"/>
      <rgbColor rgb="FFFFDDDD"/>
      <rgbColor rgb="FF2E75B6"/>
      <rgbColor rgb="FFEAD1F5"/>
      <rgbColor rgb="FF000080"/>
      <rgbColor rgb="FFFF00FF"/>
      <rgbColor rgb="FFEBF5D3"/>
      <rgbColor rgb="FFFAFAFA"/>
      <rgbColor rgb="FF800080"/>
      <rgbColor rgb="FF800000"/>
      <rgbColor rgb="FF008080"/>
      <rgbColor rgb="FF0000FF"/>
      <rgbColor rgb="FF00CCFF"/>
      <rgbColor rgb="FFEBF3FF"/>
      <rgbColor rgb="FFD9F7D9"/>
      <rgbColor rgb="FFFFEB9C"/>
      <rgbColor rgb="FFD6E4F0"/>
      <rgbColor rgb="FFFFC7CE"/>
      <rgbColor rgb="FFD9D9D9"/>
      <rgbColor rgb="FFFFCCCC"/>
      <rgbColor rgb="FF4472C4"/>
      <rgbColor rgb="FFF2F7FF"/>
      <rgbColor rgb="FF92D050"/>
      <rgbColor rgb="FFFCE4D6"/>
      <rgbColor rgb="FFE2EFDA"/>
      <rgbColor rgb="FFED7D31"/>
      <rgbColor rgb="FF595959"/>
      <rgbColor rgb="FFB3B3B3"/>
      <rgbColor rgb="FF1F3864"/>
      <rgbColor rgb="FF00B050"/>
      <rgbColor rgb="FF003300"/>
      <rgbColor rgb="FF375623"/>
      <rgbColor rgb="FF843C0C"/>
      <rgbColor rgb="FF993366"/>
      <rgbColor rgb="FF333399"/>
      <rgbColor rgb="FF0D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Estimated VSWR by Band  (change wire length in cell C4)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"VSWR (estimated)"</c:f>
              <c:strCache>
                <c:ptCount val="1"/>
                <c:pt idx="0">
                  <c:v>VSWR (estimated)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'VSWR Calculator'!$A$7:$A$17</c:f>
              <c:strCache>
                <c:ptCount val="11"/>
                <c:pt idx="0">
                  <c:v>160m</c:v>
                </c:pt>
                <c:pt idx="1">
                  <c:v>80m</c:v>
                </c:pt>
                <c:pt idx="2">
                  <c:v>60m</c:v>
                </c:pt>
                <c:pt idx="3">
                  <c:v>40m</c:v>
                </c:pt>
                <c:pt idx="4">
                  <c:v>30m</c:v>
                </c:pt>
                <c:pt idx="5">
                  <c:v>20m</c:v>
                </c:pt>
                <c:pt idx="6">
                  <c:v>17m</c:v>
                </c:pt>
                <c:pt idx="7">
                  <c:v>15m</c:v>
                </c:pt>
                <c:pt idx="8">
                  <c:v>12m</c:v>
                </c:pt>
                <c:pt idx="9">
                  <c:v>10m</c:v>
                </c:pt>
                <c:pt idx="10">
                  <c:v>6m</c:v>
                </c:pt>
              </c:strCache>
            </c:strRef>
          </c:cat>
          <c:val>
            <c:numRef>
              <c:f>'VSWR Calculator'!$G$7:$G$17</c:f>
              <c:numCache>
                <c:formatCode>0.0</c:formatCode>
                <c:ptCount val="11"/>
                <c:pt idx="0">
                  <c:v>8.98259377948918</c:v>
                </c:pt>
                <c:pt idx="1">
                  <c:v>8.61956912211038</c:v>
                </c:pt>
                <c:pt idx="2">
                  <c:v>7.26713508322736</c:v>
                </c:pt>
                <c:pt idx="3">
                  <c:v>6.18392022806424</c:v>
                </c:pt>
                <c:pt idx="4">
                  <c:v>1.9588979010114</c:v>
                </c:pt>
                <c:pt idx="5">
                  <c:v>1.4795788691542</c:v>
                </c:pt>
                <c:pt idx="6">
                  <c:v>2.95028091206256</c:v>
                </c:pt>
                <c:pt idx="7">
                  <c:v>3.24081677870072</c:v>
                </c:pt>
                <c:pt idx="8">
                  <c:v>3.43644760508891</c:v>
                </c:pt>
                <c:pt idx="9">
                  <c:v>2.18836631354998</c:v>
                </c:pt>
                <c:pt idx="10">
                  <c:v>4.86247301271041</c:v>
                </c:pt>
              </c:numCache>
            </c:numRef>
          </c:val>
        </c:ser>
        <c:gapWidth val="100"/>
        <c:overlap val="0"/>
        <c:axId val="93293734"/>
        <c:axId val="83200353"/>
      </c:barChart>
      <c:catAx>
        <c:axId val="932937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200353"/>
        <c:crosses val="autoZero"/>
        <c:auto val="1"/>
        <c:lblAlgn val="ctr"/>
        <c:lblOffset val="100"/>
        <c:noMultiLvlLbl val="0"/>
      </c:catAx>
      <c:valAx>
        <c:axId val="83200353"/>
        <c:scaling>
          <c:orientation val="minMax"/>
          <c:max val="12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VSWR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293734"/>
        <c:crosses val="autoZero"/>
        <c:crossBetween val="between"/>
        <c:majorUnit val="1.5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9</xdr:col>
      <xdr:colOff>375840</xdr:colOff>
      <xdr:row>43</xdr:row>
      <xdr:rowOff>126360</xdr:rowOff>
    </xdr:to>
    <xdr:graphicFrame>
      <xdr:nvGraphicFramePr>
        <xdr:cNvPr id="1" name="Chart 1"/>
        <xdr:cNvGraphicFramePr/>
      </xdr:nvGraphicFramePr>
      <xdr:xfrm>
        <a:off x="0" y="5292720"/>
        <a:ext cx="7776720" cy="431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pane xSplit="0" ySplit="2" topLeftCell="A3" activePane="bottomLeft" state="frozen"/>
      <selection pane="topLeft" activeCell="A1" activeCellId="0" sqref="A1"/>
      <selection pane="bottomLeft" activeCell="K26" activeCellId="0" sqref="K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4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7" min="6" style="1" width="15"/>
    <col collapsed="false" customWidth="true" hidden="false" outlineLevel="0" max="8" min="8" style="1" width="22.1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5"/>
      <c r="C5" s="5"/>
      <c r="D5" s="6" t="n">
        <v>0.975</v>
      </c>
      <c r="E5" s="7" t="s">
        <v>4</v>
      </c>
      <c r="F5" s="7"/>
      <c r="G5" s="7"/>
      <c r="H5" s="7"/>
    </row>
    <row r="6" customFormat="false" ht="15" hidden="false" customHeight="true" outlineLevel="0" collapsed="false">
      <c r="A6" s="5" t="s">
        <v>5</v>
      </c>
      <c r="B6" s="5"/>
      <c r="C6" s="5"/>
      <c r="D6" s="8" t="s">
        <v>6</v>
      </c>
      <c r="E6" s="8"/>
      <c r="F6" s="8"/>
      <c r="G6" s="8"/>
      <c r="H6" s="8"/>
    </row>
    <row r="8" customFormat="false" ht="15" hidden="false" customHeight="true" outlineLevel="0" collapsed="false">
      <c r="A8" s="9" t="s">
        <v>7</v>
      </c>
      <c r="B8" s="9"/>
      <c r="C8" s="9"/>
      <c r="D8" s="9"/>
      <c r="E8" s="9"/>
      <c r="F8" s="9"/>
      <c r="G8" s="9"/>
      <c r="H8" s="9"/>
    </row>
    <row r="9" customFormat="false" ht="21.6" hidden="false" customHeight="true" outlineLevel="0" collapsed="false">
      <c r="A9" s="10" t="s">
        <v>8</v>
      </c>
      <c r="B9" s="10"/>
      <c r="C9" s="10"/>
      <c r="D9" s="10"/>
      <c r="E9" s="10"/>
      <c r="F9" s="10"/>
      <c r="G9" s="10"/>
      <c r="H9" s="10"/>
    </row>
    <row r="10" customFormat="false" ht="23.85" hidden="false" customHeight="false" outlineLevel="0" collapsed="false">
      <c r="A10" s="11" t="s">
        <v>9</v>
      </c>
      <c r="B10" s="11" t="s">
        <v>10</v>
      </c>
      <c r="C10" s="11" t="s">
        <v>11</v>
      </c>
      <c r="D10" s="11" t="s">
        <v>12</v>
      </c>
      <c r="E10" s="11" t="s">
        <v>13</v>
      </c>
      <c r="F10" s="11" t="s">
        <v>14</v>
      </c>
      <c r="G10" s="11" t="s">
        <v>15</v>
      </c>
      <c r="H10" s="11" t="s">
        <v>16</v>
      </c>
    </row>
    <row r="11" customFormat="false" ht="15" hidden="false" customHeight="false" outlineLevel="0" collapsed="false">
      <c r="A11" s="12" t="s">
        <v>17</v>
      </c>
      <c r="B11" s="13" t="n">
        <v>1.8</v>
      </c>
      <c r="C11" s="13" t="n">
        <v>2</v>
      </c>
      <c r="D11" s="14" t="n">
        <f aca="false">(B11+C11)/2</f>
        <v>1.9</v>
      </c>
      <c r="E11" s="15" t="s">
        <v>18</v>
      </c>
      <c r="F11" s="16" t="n">
        <f aca="false">$D$5*150/D11</f>
        <v>76.9736842105263</v>
      </c>
      <c r="G11" s="16" t="n">
        <f aca="false">F11/2</f>
        <v>38.4868421052632</v>
      </c>
      <c r="H11" s="16" t="n">
        <f aca="false">$D$5*75/B11</f>
        <v>40.625</v>
      </c>
    </row>
    <row r="12" customFormat="false" ht="15" hidden="false" customHeight="false" outlineLevel="0" collapsed="false">
      <c r="A12" s="17" t="s">
        <v>19</v>
      </c>
      <c r="B12" s="13" t="n">
        <v>3.5</v>
      </c>
      <c r="C12" s="13" t="n">
        <v>3.8</v>
      </c>
      <c r="D12" s="18" t="n">
        <f aca="false">(B12+C12)/2</f>
        <v>3.65</v>
      </c>
      <c r="E12" s="15" t="s">
        <v>18</v>
      </c>
      <c r="F12" s="19" t="n">
        <f aca="false">$D$5*150/D12</f>
        <v>40.0684931506849</v>
      </c>
      <c r="G12" s="19" t="n">
        <f aca="false">F12/2</f>
        <v>20.0342465753425</v>
      </c>
      <c r="H12" s="19" t="n">
        <f aca="false">$D$5*75/B12</f>
        <v>20.8928571428571</v>
      </c>
    </row>
    <row r="13" customFormat="false" ht="15" hidden="false" customHeight="false" outlineLevel="0" collapsed="false">
      <c r="A13" s="12" t="s">
        <v>20</v>
      </c>
      <c r="B13" s="13" t="n">
        <v>5.3515</v>
      </c>
      <c r="C13" s="13" t="n">
        <v>5.3665</v>
      </c>
      <c r="D13" s="14" t="n">
        <f aca="false">(B13+C13)/2</f>
        <v>5.359</v>
      </c>
      <c r="E13" s="20" t="s">
        <v>18</v>
      </c>
      <c r="F13" s="16" t="n">
        <f aca="false">$D$5*150/D13</f>
        <v>27.2905392797164</v>
      </c>
      <c r="G13" s="16" t="n">
        <f aca="false">F13/2</f>
        <v>13.6452696398582</v>
      </c>
      <c r="H13" s="16" t="n">
        <f aca="false">$D$5*75/B13</f>
        <v>13.664393160796</v>
      </c>
    </row>
    <row r="14" customFormat="false" ht="15" hidden="false" customHeight="false" outlineLevel="0" collapsed="false">
      <c r="A14" s="17" t="s">
        <v>21</v>
      </c>
      <c r="B14" s="13" t="n">
        <v>7</v>
      </c>
      <c r="C14" s="13" t="n">
        <v>7.3</v>
      </c>
      <c r="D14" s="18" t="n">
        <f aca="false">(B14+C14)/2</f>
        <v>7.15</v>
      </c>
      <c r="E14" s="15" t="s">
        <v>18</v>
      </c>
      <c r="F14" s="19" t="n">
        <f aca="false">$D$5*150/D14</f>
        <v>20.4545454545455</v>
      </c>
      <c r="G14" s="19" t="n">
        <f aca="false">F14/2</f>
        <v>10.2272727272727</v>
      </c>
      <c r="H14" s="19" t="n">
        <f aca="false">$D$5*75/B14</f>
        <v>10.4464285714286</v>
      </c>
    </row>
    <row r="15" customFormat="false" ht="15" hidden="false" customHeight="false" outlineLevel="0" collapsed="false">
      <c r="A15" s="12" t="s">
        <v>22</v>
      </c>
      <c r="B15" s="13" t="n">
        <v>10.1</v>
      </c>
      <c r="C15" s="13" t="n">
        <v>10.15</v>
      </c>
      <c r="D15" s="14" t="n">
        <f aca="false">(B15+C15)/2</f>
        <v>10.125</v>
      </c>
      <c r="E15" s="15" t="s">
        <v>23</v>
      </c>
      <c r="F15" s="16" t="n">
        <f aca="false">$D$5*150/D15</f>
        <v>14.4444444444444</v>
      </c>
      <c r="G15" s="16" t="n">
        <f aca="false">F15/2</f>
        <v>7.22222222222222</v>
      </c>
      <c r="H15" s="16" t="n">
        <f aca="false">$D$5*75/B15</f>
        <v>7.24009900990099</v>
      </c>
    </row>
    <row r="16" customFormat="false" ht="15" hidden="false" customHeight="false" outlineLevel="0" collapsed="false">
      <c r="A16" s="17" t="s">
        <v>24</v>
      </c>
      <c r="B16" s="13" t="n">
        <v>14</v>
      </c>
      <c r="C16" s="13" t="n">
        <v>14.35</v>
      </c>
      <c r="D16" s="18" t="n">
        <f aca="false">(B16+C16)/2</f>
        <v>14.175</v>
      </c>
      <c r="E16" s="15" t="s">
        <v>23</v>
      </c>
      <c r="F16" s="19" t="n">
        <f aca="false">$D$5*150/D16</f>
        <v>10.3174603174603</v>
      </c>
      <c r="G16" s="19" t="n">
        <f aca="false">F16/2</f>
        <v>5.15873015873016</v>
      </c>
      <c r="H16" s="19" t="n">
        <f aca="false">$D$5*75/B16</f>
        <v>5.22321428571429</v>
      </c>
    </row>
    <row r="17" customFormat="false" ht="15" hidden="false" customHeight="false" outlineLevel="0" collapsed="false">
      <c r="A17" s="12" t="s">
        <v>25</v>
      </c>
      <c r="B17" s="13" t="n">
        <v>18.068</v>
      </c>
      <c r="C17" s="13" t="n">
        <v>18.168</v>
      </c>
      <c r="D17" s="14" t="n">
        <f aca="false">(B17+C17)/2</f>
        <v>18.118</v>
      </c>
      <c r="E17" s="20" t="s">
        <v>23</v>
      </c>
      <c r="F17" s="16" t="n">
        <f aca="false">$D$5*150/D17</f>
        <v>8.07208301136991</v>
      </c>
      <c r="G17" s="16" t="n">
        <f aca="false">F17/2</f>
        <v>4.03604150568495</v>
      </c>
      <c r="H17" s="16" t="n">
        <f aca="false">$D$5*75/B17</f>
        <v>4.04721053796768</v>
      </c>
    </row>
    <row r="18" customFormat="false" ht="15" hidden="false" customHeight="false" outlineLevel="0" collapsed="false">
      <c r="A18" s="17" t="s">
        <v>26</v>
      </c>
      <c r="B18" s="13" t="n">
        <v>21</v>
      </c>
      <c r="C18" s="13" t="n">
        <v>21.45</v>
      </c>
      <c r="D18" s="18" t="n">
        <f aca="false">(B18+C18)/2</f>
        <v>21.225</v>
      </c>
      <c r="E18" s="15" t="s">
        <v>23</v>
      </c>
      <c r="F18" s="19" t="n">
        <f aca="false">$D$5*150/D18</f>
        <v>6.8904593639576</v>
      </c>
      <c r="G18" s="19" t="n">
        <f aca="false">F18/2</f>
        <v>3.4452296819788</v>
      </c>
      <c r="H18" s="19" t="n">
        <f aca="false">$D$5*75/B18</f>
        <v>3.48214285714286</v>
      </c>
    </row>
    <row r="19" customFormat="false" ht="15" hidden="false" customHeight="false" outlineLevel="0" collapsed="false">
      <c r="A19" s="12" t="s">
        <v>27</v>
      </c>
      <c r="B19" s="13" t="n">
        <v>24.89</v>
      </c>
      <c r="C19" s="13" t="n">
        <v>24.99</v>
      </c>
      <c r="D19" s="14" t="n">
        <f aca="false">(B19+C19)/2</f>
        <v>24.94</v>
      </c>
      <c r="E19" s="20" t="s">
        <v>23</v>
      </c>
      <c r="F19" s="16" t="n">
        <f aca="false">$D$5*150/D19</f>
        <v>5.86407377706496</v>
      </c>
      <c r="G19" s="16" t="n">
        <f aca="false">F19/2</f>
        <v>2.93203688853248</v>
      </c>
      <c r="H19" s="16" t="n">
        <f aca="false">$D$5*75/B19</f>
        <v>2.93792687826436</v>
      </c>
    </row>
    <row r="20" customFormat="false" ht="15" hidden="false" customHeight="false" outlineLevel="0" collapsed="false">
      <c r="A20" s="17" t="s">
        <v>28</v>
      </c>
      <c r="B20" s="13" t="n">
        <v>28</v>
      </c>
      <c r="C20" s="13" t="n">
        <v>29.7</v>
      </c>
      <c r="D20" s="18" t="n">
        <f aca="false">(B20+C20)/2</f>
        <v>28.85</v>
      </c>
      <c r="E20" s="15" t="s">
        <v>23</v>
      </c>
      <c r="F20" s="19" t="n">
        <f aca="false">$D$5*150/D20</f>
        <v>5.06932409012132</v>
      </c>
      <c r="G20" s="19" t="n">
        <f aca="false">F20/2</f>
        <v>2.53466204506066</v>
      </c>
      <c r="H20" s="19" t="n">
        <f aca="false">$D$5*75/B20</f>
        <v>2.61160714285714</v>
      </c>
    </row>
    <row r="21" customFormat="false" ht="15" hidden="false" customHeight="false" outlineLevel="0" collapsed="false">
      <c r="A21" s="12" t="s">
        <v>29</v>
      </c>
      <c r="B21" s="13" t="n">
        <v>50</v>
      </c>
      <c r="C21" s="13" t="n">
        <v>54</v>
      </c>
      <c r="D21" s="14" t="n">
        <f aca="false">(B21+C21)/2</f>
        <v>52</v>
      </c>
      <c r="E21" s="20" t="s">
        <v>18</v>
      </c>
      <c r="F21" s="16" t="n">
        <f aca="false">$D$5*150/D21</f>
        <v>2.8125</v>
      </c>
      <c r="G21" s="16" t="n">
        <f aca="false">F21/2</f>
        <v>1.40625</v>
      </c>
      <c r="H21" s="16" t="n">
        <f aca="false">$D$5*75/B21</f>
        <v>1.4625</v>
      </c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  <c r="G22" s="21"/>
      <c r="H22" s="21"/>
    </row>
    <row r="23" customFormat="false" ht="15" hidden="false" customHeight="true" outlineLevel="0" collapsed="false">
      <c r="A23" s="22" t="s">
        <v>30</v>
      </c>
      <c r="B23" s="22"/>
      <c r="C23" s="23" t="n">
        <f aca="false">COUNTIF(E11:E21,"YES")</f>
        <v>6</v>
      </c>
      <c r="D23" s="22" t="s">
        <v>31</v>
      </c>
      <c r="E23" s="22"/>
      <c r="F23" s="24" t="n">
        <f aca="false">IF(COUNTIF(E11:E21,"YES")=0,"N/A",SUMPRODUCT(MAX((E11:E21="YES")*H11:H21)))</f>
        <v>7.24009900990099</v>
      </c>
      <c r="G23" s="7" t="s">
        <v>32</v>
      </c>
      <c r="H23" s="7"/>
    </row>
    <row r="25" customFormat="false" ht="15" hidden="false" customHeight="true" outlineLevel="0" collapsed="false">
      <c r="A25" s="25" t="s">
        <v>33</v>
      </c>
      <c r="B25" s="25"/>
      <c r="C25" s="25"/>
      <c r="D25" s="25"/>
      <c r="E25" s="25"/>
      <c r="F25" s="25"/>
      <c r="G25" s="25"/>
      <c r="H25" s="25"/>
    </row>
    <row r="26" customFormat="false" ht="21.6" hidden="false" customHeight="true" outlineLevel="0" collapsed="false">
      <c r="A26" s="5" t="s">
        <v>34</v>
      </c>
      <c r="B26" s="5"/>
      <c r="C26" s="5"/>
      <c r="D26" s="26" t="n">
        <f aca="false">IF(COUNTIF(E11:E21,"YES")=0,"N/A",SUMPRODUCT(MAX((E11:E21="YES")*H11:H21)))</f>
        <v>7.24009900990099</v>
      </c>
      <c r="E26" s="7" t="s">
        <v>35</v>
      </c>
      <c r="F26" s="7"/>
      <c r="G26" s="7"/>
      <c r="H26" s="7"/>
    </row>
    <row r="28" customFormat="false" ht="15" hidden="false" customHeight="true" outlineLevel="0" collapsed="false">
      <c r="A28" s="27" t="s">
        <v>36</v>
      </c>
      <c r="B28" s="27"/>
      <c r="C28" s="27"/>
      <c r="D28" s="27"/>
      <c r="E28" s="27"/>
      <c r="F28" s="27"/>
      <c r="G28" s="27"/>
      <c r="H28" s="27"/>
    </row>
    <row r="29" customFormat="false" ht="57.45" hidden="false" customHeight="false" outlineLevel="0" collapsed="false">
      <c r="A29" s="28" t="s">
        <v>37</v>
      </c>
      <c r="B29" s="28" t="s">
        <v>38</v>
      </c>
      <c r="C29" s="28" t="s">
        <v>39</v>
      </c>
      <c r="D29" s="28" t="s">
        <v>40</v>
      </c>
      <c r="E29" s="28" t="s">
        <v>41</v>
      </c>
      <c r="F29" s="28" t="s">
        <v>42</v>
      </c>
      <c r="G29" s="28" t="s">
        <v>43</v>
      </c>
      <c r="H29" s="28" t="s">
        <v>44</v>
      </c>
    </row>
    <row r="30" customFormat="false" ht="21.6" hidden="false" customHeight="false" outlineLevel="0" collapsed="false">
      <c r="A30" s="29" t="s">
        <v>45</v>
      </c>
      <c r="B30" s="30" t="n">
        <f aca="false">IFERROR(INDEX('Length Sweep'!$A$5:$A$115,MATCH(1,'Length Sweep'!$N$5:$N$115,0)),"-")</f>
        <v>54</v>
      </c>
      <c r="C30" s="31" t="n">
        <f aca="false">IFERROR(B30*100,"-")</f>
        <v>5400</v>
      </c>
      <c r="D30" s="32" t="n">
        <f aca="false">IFERROR(LARGE('Length Sweep'!$M$5:$M$115,1),"-")</f>
        <v>0.152307692307694</v>
      </c>
      <c r="E30" s="29" t="str">
        <f aca="false">IF(ISNUMBER(D30),IF(D30&gt;=0.2,"★★★ EXCELLENT",IF(D30&gt;=0.12,"★★  GOOD",IF(D30&gt;=0.07,"★  FAIR",IF(D30&gt;=0.025,"⚠  MARGINAL","✗  AVOID")))),"—")</f>
        <v>★★  GOOD</v>
      </c>
      <c r="F30" s="33" t="str">
        <f aca="false">IFERROR(TEXT(B30/SUMPRODUCT(MAX((Calculator!$E$11:$E$21="YES")*Calculator!$F$11:$F$21)),"0.00")&amp;" × λ/2 @lowest band","—")</f>
        <v>3,74 × λ/2 @lowest band</v>
      </c>
      <c r="G30" s="30" t="n">
        <f aca="false">IF(COUNTIF(E11:E21,"YES")=0,"N/A",SUMPRODUCT(MAX((E11:E21="YES")*H11:H21)))</f>
        <v>7.24009900990099</v>
      </c>
      <c r="H30" s="34" t="str">
        <f aca="false">IF(ISNUMBER(B30),IF(B30&lt;10,"Short – portable use only",IF(B30&lt;18,"Portable / SOTA",IF(B30&lt;30,"Good portable/home",IF(B30&lt;45,"Excellent home station","Long wire – max performance")))),"-")</f>
        <v>Long wire – max performance</v>
      </c>
    </row>
    <row r="31" customFormat="false" ht="21.6" hidden="false" customHeight="false" outlineLevel="0" collapsed="false">
      <c r="A31" s="29" t="s">
        <v>46</v>
      </c>
      <c r="B31" s="30" t="n">
        <f aca="false">IFERROR(INDEX('Length Sweep'!$A$5:$A$115,MATCH(2,'Length Sweep'!$N$5:$N$115,0)),"-")</f>
        <v>39</v>
      </c>
      <c r="C31" s="31" t="n">
        <f aca="false">IFERROR(B31*100,"-")</f>
        <v>3900</v>
      </c>
      <c r="D31" s="32" t="n">
        <f aca="false">IFERROR(LARGE('Length Sweep'!$M$5:$M$115,2),"-")</f>
        <v>0.150666666666662</v>
      </c>
      <c r="E31" s="29" t="str">
        <f aca="false">IF(ISNUMBER(D31),IF(D31&gt;=0.2,"★★★ EXCELLENT",IF(D31&gt;=0.12,"★★  GOOD",IF(D31&gt;=0.07,"★  FAIR",IF(D31&gt;=0.025,"⚠  MARGINAL","✗  AVOID")))),"—")</f>
        <v>★★  GOOD</v>
      </c>
      <c r="F31" s="33" t="str">
        <f aca="false">IFERROR(TEXT(B31/SUMPRODUCT(MAX((Calculator!$E$11:$E$21="YES")*Calculator!$F$11:$F$21)),"0.00")&amp;" × λ/2 @lowest band","—")</f>
        <v>2,70 × λ/2 @lowest band</v>
      </c>
      <c r="G31" s="30" t="n">
        <f aca="false">IF(COUNTIF(E11:E21,"YES")=0,"N/A",SUMPRODUCT(MAX((E11:E21="YES")*H11:H21)))</f>
        <v>7.24009900990099</v>
      </c>
      <c r="H31" s="34" t="str">
        <f aca="false">IF(ISNUMBER(B31),IF(B31&lt;10,"Short – portable use only",IF(B31&lt;18,"Portable / SOTA",IF(B31&lt;30,"Good portable/home",IF(B31&lt;45,"Excellent home station","Long wire – max performance")))),"-")</f>
        <v>Excellent home station</v>
      </c>
    </row>
    <row r="32" customFormat="false" ht="21.6" hidden="false" customHeight="false" outlineLevel="0" collapsed="false">
      <c r="A32" s="35" t="s">
        <v>47</v>
      </c>
      <c r="B32" s="36" t="n">
        <f aca="false">IFERROR(INDEX('Length Sweep'!$A$5:$A$115,MATCH(3,'Length Sweep'!$N$5:$N$115,0)),"-")</f>
        <v>18.5</v>
      </c>
      <c r="C32" s="37" t="n">
        <f aca="false">IFERROR(B32*100,"-")</f>
        <v>1850</v>
      </c>
      <c r="D32" s="38" t="n">
        <f aca="false">IFERROR(LARGE('Length Sweep'!$M$5:$M$115,3),"-")</f>
        <v>0.14940170940171</v>
      </c>
      <c r="E32" s="35" t="str">
        <f aca="false">IF(ISNUMBER(D32),IF(D32&gt;=0.2,"★★★ EXCELLENT",IF(D32&gt;=0.12,"★★  GOOD",IF(D32&gt;=0.07,"★  FAIR",IF(D32&gt;=0.025,"⚠  MARGINAL","✗  AVOID")))),"—")</f>
        <v>★★  GOOD</v>
      </c>
      <c r="F32" s="39" t="str">
        <f aca="false">IFERROR(TEXT(B32/SUMPRODUCT(MAX((Calculator!$E$11:$E$21="YES")*Calculator!$F$11:$F$21)),"0.00")&amp;" × λ/2 @lowest band","—")</f>
        <v>1,28 × λ/2 @lowest band</v>
      </c>
      <c r="G32" s="36" t="n">
        <f aca="false">IF(COUNTIF(E11:E21,"YES")=0,"N/A",SUMPRODUCT(MAX((E11:E21="YES")*H11:H21)))</f>
        <v>7.24009900990099</v>
      </c>
      <c r="H32" s="40" t="str">
        <f aca="false">IF(ISNUMBER(B32),IF(B32&lt;10,"Short – portable use only",IF(B32&lt;18,"Portable / SOTA",IF(B32&lt;30,"Good portable/home",IF(B32&lt;45,"Excellent home station","Long wire – max performance")))),"-")</f>
        <v>Good portable/home</v>
      </c>
    </row>
    <row r="33" customFormat="false" ht="21.6" hidden="false" customHeight="false" outlineLevel="0" collapsed="false">
      <c r="A33" s="35" t="s">
        <v>48</v>
      </c>
      <c r="B33" s="36" t="n">
        <f aca="false">IFERROR(INDEX('Length Sweep'!$A$5:$A$115,MATCH(4,'Length Sweep'!$N$5:$N$115,0)),"-")</f>
        <v>19</v>
      </c>
      <c r="C33" s="37" t="n">
        <f aca="false">IFERROR(B33*100,"-")</f>
        <v>1900</v>
      </c>
      <c r="D33" s="38" t="n">
        <f aca="false">IFERROR(LARGE('Length Sweep'!$M$5:$M$115,4),"-")</f>
        <v>0.146208547008547</v>
      </c>
      <c r="E33" s="35" t="str">
        <f aca="false">IF(ISNUMBER(D33),IF(D33&gt;=0.2,"★★★ EXCELLENT",IF(D33&gt;=0.12,"★★  GOOD",IF(D33&gt;=0.07,"★  FAIR",IF(D33&gt;=0.025,"⚠  MARGINAL","✗  AVOID")))),"—")</f>
        <v>★★  GOOD</v>
      </c>
      <c r="F33" s="39" t="str">
        <f aca="false">IFERROR(TEXT(B33/SUMPRODUCT(MAX((Calculator!$E$11:$E$21="YES")*Calculator!$F$11:$F$21)),"0.00")&amp;" × λ/2 @lowest band","—")</f>
        <v>1,32 × λ/2 @lowest band</v>
      </c>
      <c r="G33" s="36" t="n">
        <f aca="false">IF(COUNTIF(E11:E21,"YES")=0,"N/A",SUMPRODUCT(MAX((E11:E21="YES")*H11:H21)))</f>
        <v>7.24009900990099</v>
      </c>
      <c r="H33" s="40" t="str">
        <f aca="false">IF(ISNUMBER(B33),IF(B33&lt;10,"Short – portable use only",IF(B33&lt;18,"Portable / SOTA",IF(B33&lt;30,"Good portable/home",IF(B33&lt;45,"Excellent home station","Long wire – max performance")))),"-")</f>
        <v>Good portable/home</v>
      </c>
    </row>
    <row r="34" customFormat="false" ht="21.6" hidden="false" customHeight="false" outlineLevel="0" collapsed="false">
      <c r="A34" s="41" t="s">
        <v>49</v>
      </c>
      <c r="B34" s="42" t="n">
        <f aca="false">IFERROR(INDEX('Length Sweep'!$A$5:$A$115,MATCH(5,'Length Sweep'!$N$5:$N$115,0)),"-")</f>
        <v>59.5</v>
      </c>
      <c r="C34" s="43" t="n">
        <f aca="false">IFERROR(B34*100,"-")</f>
        <v>5950</v>
      </c>
      <c r="D34" s="44" t="n">
        <f aca="false">IFERROR(LARGE('Length Sweep'!$M$5:$M$115,5),"-")</f>
        <v>0.119230769230769</v>
      </c>
      <c r="E34" s="41" t="str">
        <f aca="false">IF(ISNUMBER(D34),IF(D34&gt;=0.2,"★★★ EXCELLENT",IF(D34&gt;=0.12,"★★  GOOD",IF(D34&gt;=0.07,"★  FAIR",IF(D34&gt;=0.025,"⚠  MARGINAL","✗  AVOID")))),"—")</f>
        <v>★  FAIR</v>
      </c>
      <c r="F34" s="45" t="str">
        <f aca="false">IFERROR(TEXT(B34/SUMPRODUCT(MAX((Calculator!$E$11:$E$21="YES")*Calculator!$F$11:$F$21)),"0.00")&amp;" × λ/2 @lowest band","—")</f>
        <v>4,12 × λ/2 @lowest band</v>
      </c>
      <c r="G34" s="42" t="n">
        <f aca="false">IF(COUNTIF(E11:E21,"YES")=0,"N/A",SUMPRODUCT(MAX((E11:E21="YES")*H11:H21)))</f>
        <v>7.24009900990099</v>
      </c>
      <c r="H34" s="46" t="str">
        <f aca="false">IF(ISNUMBER(B34),IF(B34&lt;10,"Short – portable use only",IF(B34&lt;18,"Portable / SOTA",IF(B34&lt;30,"Good portable/home",IF(B34&lt;45,"Excellent home station","Long wire – max performance")))),"-")</f>
        <v>Long wire – max performance</v>
      </c>
    </row>
    <row r="35" customFormat="false" ht="21.6" hidden="false" customHeight="true" outlineLevel="0" collapsed="false">
      <c r="A35" s="47" t="s">
        <v>50</v>
      </c>
      <c r="B35" s="47"/>
      <c r="C35" s="47"/>
      <c r="D35" s="47"/>
      <c r="E35" s="47"/>
      <c r="F35" s="47"/>
      <c r="G35" s="47"/>
      <c r="H35" s="47"/>
    </row>
  </sheetData>
  <mergeCells count="18">
    <mergeCell ref="A1:H1"/>
    <mergeCell ref="A2:H2"/>
    <mergeCell ref="A4:H4"/>
    <mergeCell ref="A5:C5"/>
    <mergeCell ref="E5:H5"/>
    <mergeCell ref="A6:C6"/>
    <mergeCell ref="D6:H6"/>
    <mergeCell ref="A8:H8"/>
    <mergeCell ref="A9:H9"/>
    <mergeCell ref="A22:H22"/>
    <mergeCell ref="A23:B23"/>
    <mergeCell ref="D23:E23"/>
    <mergeCell ref="G23:H23"/>
    <mergeCell ref="A25:H25"/>
    <mergeCell ref="A26:C26"/>
    <mergeCell ref="E26:H26"/>
    <mergeCell ref="A28:H28"/>
    <mergeCell ref="A35:H35"/>
  </mergeCells>
  <conditionalFormatting sqref="E11:E21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dataValidations count="1">
    <dataValidation allowBlank="false" errorStyle="stop" operator="between" showDropDown="false" showErrorMessage="false" showInputMessage="false" sqref="E11:E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L21" activeCellId="0" sqref="L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9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8" min="7" style="1" width="8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48" t="s">
        <v>51</v>
      </c>
      <c r="B1" s="48"/>
      <c r="C1" s="48"/>
      <c r="D1" s="48"/>
      <c r="E1" s="48"/>
      <c r="F1" s="48"/>
      <c r="G1" s="48"/>
      <c r="H1" s="48"/>
      <c r="I1" s="48"/>
    </row>
    <row r="2" customFormat="false" ht="21.6" hidden="false" customHeight="true" outlineLevel="0" collapsed="false">
      <c r="A2" s="49" t="s">
        <v>52</v>
      </c>
      <c r="B2" s="49"/>
      <c r="C2" s="49"/>
      <c r="D2" s="49"/>
      <c r="E2" s="49"/>
      <c r="F2" s="49"/>
      <c r="G2" s="49"/>
      <c r="H2" s="49"/>
      <c r="I2" s="49"/>
    </row>
    <row r="4" customFormat="false" ht="15" hidden="false" customHeight="true" outlineLevel="0" collapsed="false">
      <c r="A4" s="50" t="s">
        <v>53</v>
      </c>
      <c r="B4" s="50"/>
      <c r="C4" s="51" t="n">
        <v>39</v>
      </c>
      <c r="D4" s="7" t="s">
        <v>54</v>
      </c>
      <c r="E4" s="7"/>
      <c r="F4" s="7"/>
      <c r="G4" s="7"/>
      <c r="H4" s="7"/>
      <c r="I4" s="7"/>
    </row>
    <row r="6" customFormat="false" ht="31.7" hidden="false" customHeight="false" outlineLevel="0" collapsed="false">
      <c r="A6" s="52" t="s">
        <v>9</v>
      </c>
      <c r="B6" s="52" t="s">
        <v>55</v>
      </c>
      <c r="C6" s="52" t="s">
        <v>56</v>
      </c>
      <c r="D6" s="52" t="s">
        <v>57</v>
      </c>
      <c r="E6" s="52" t="s">
        <v>58</v>
      </c>
      <c r="F6" s="52" t="s">
        <v>59</v>
      </c>
      <c r="G6" s="53" t="s">
        <v>60</v>
      </c>
      <c r="H6" s="52" t="s">
        <v>61</v>
      </c>
      <c r="I6" s="52" t="s">
        <v>62</v>
      </c>
    </row>
    <row r="7" customFormat="false" ht="15" hidden="false" customHeight="false" outlineLevel="0" collapsed="false">
      <c r="A7" s="54" t="str">
        <f aca="false">Calculator!A11</f>
        <v>160m</v>
      </c>
      <c r="B7" s="55" t="str">
        <f aca="false">Calculator!$E$11</f>
        <v>NO</v>
      </c>
      <c r="C7" s="56" t="n">
        <f aca="false">ROUND(Calculator!$F$11,2)</f>
        <v>76.97</v>
      </c>
      <c r="D7" s="56" t="n">
        <f aca="false">ROUND(Calculator!$G$11,2)</f>
        <v>38.49</v>
      </c>
      <c r="E7" s="57" t="str">
        <f aca="false">IF(AND(B7="YES",$C$4&gt;=D7),MOD($C$4/C7,1),"—")</f>
        <v>—</v>
      </c>
      <c r="F7" s="58" t="str">
        <f aca="false">IF(AND(B7="YES",$C$4&gt;=D7),ROUND(50*POWER(80,COS(PI()*MOD($C$4/C7,1))^2),0),"—")</f>
        <v>—</v>
      </c>
      <c r="G7" s="59" t="n">
        <f aca="false">IF($C$4&lt;D7,NA(),MAX(50*POWER(80,COS(PI()*MOD($C$4/C7,1))^2)/450,450/(50*POWER(80,COS(PI()*MOD($C$4/C7,1))^2))))</f>
        <v>8.98259377948918</v>
      </c>
      <c r="H7" s="60" t="str">
        <f aca="false">IF(B7&lt;&gt;"YES","—",IF($C$4&lt;D7,"&lt; λ/4",TEXT(G7,"0.0")))</f>
        <v>—</v>
      </c>
      <c r="I7" s="61" t="str">
        <f aca="false">IF(B7&lt;&gt;"YES","Inactive band",IF($C$4&lt;D7,"Wire too short for this band",IF(G7&lt;1.5,"✔  Excellent  — no tuner needed",IF(G7&lt;3,"✔  Good  — most tuners handle this",IF(G7&lt;6,"⚠  Marginal  — tuner required","✗  Poor  — high-loss mismatch")))))</f>
        <v>Inactive band</v>
      </c>
    </row>
    <row r="8" customFormat="false" ht="15" hidden="false" customHeight="false" outlineLevel="0" collapsed="false">
      <c r="A8" s="54" t="str">
        <f aca="false">Calculator!A12</f>
        <v>80m</v>
      </c>
      <c r="B8" s="55" t="str">
        <f aca="false">Calculator!$E$12</f>
        <v>NO</v>
      </c>
      <c r="C8" s="56" t="n">
        <f aca="false">ROUND(Calculator!$F$12,2)</f>
        <v>40.07</v>
      </c>
      <c r="D8" s="56" t="n">
        <f aca="false">ROUND(Calculator!$G$12,2)</f>
        <v>20.03</v>
      </c>
      <c r="E8" s="57" t="str">
        <f aca="false">IF(AND(B8="YES",$C$4&gt;=D8),MOD($C$4/C8,1),"—")</f>
        <v>—</v>
      </c>
      <c r="F8" s="58" t="str">
        <f aca="false">IF(AND(B8="YES",$C$4&gt;=D8),ROUND(50*POWER(80,COS(PI()*MOD($C$4/C8,1))^2),0),"—")</f>
        <v>—</v>
      </c>
      <c r="G8" s="59" t="n">
        <f aca="false">IF($C$4&lt;D8,NA(),MAX(50*POWER(80,COS(PI()*MOD($C$4/C8,1))^2)/450,450/(50*POWER(80,COS(PI()*MOD($C$4/C8,1))^2))))</f>
        <v>8.61956912211038</v>
      </c>
      <c r="H8" s="60" t="str">
        <f aca="false">IF(B8&lt;&gt;"YES","—",IF($C$4&lt;D8,"&lt; λ/4",TEXT(G8,"0.0")))</f>
        <v>—</v>
      </c>
      <c r="I8" s="61" t="str">
        <f aca="false">IF(B8&lt;&gt;"YES","Inactive band",IF($C$4&lt;D8,"Wire too short for this band",IF(G8&lt;1.5,"✔  Excellent  — no tuner needed",IF(G8&lt;3,"✔  Good  — most tuners handle this",IF(G8&lt;6,"⚠  Marginal  — tuner required","✗  Poor  — high-loss mismatch")))))</f>
        <v>Inactive band</v>
      </c>
    </row>
    <row r="9" customFormat="false" ht="15" hidden="false" customHeight="false" outlineLevel="0" collapsed="false">
      <c r="A9" s="54" t="str">
        <f aca="false">Calculator!A13</f>
        <v>60m</v>
      </c>
      <c r="B9" s="55" t="str">
        <f aca="false">Calculator!$E$13</f>
        <v>NO</v>
      </c>
      <c r="C9" s="56" t="n">
        <f aca="false">ROUND(Calculator!$F$13,2)</f>
        <v>27.29</v>
      </c>
      <c r="D9" s="56" t="n">
        <f aca="false">ROUND(Calculator!$G$13,2)</f>
        <v>13.65</v>
      </c>
      <c r="E9" s="57" t="str">
        <f aca="false">IF(AND(B9="YES",$C$4&gt;=D9),MOD($C$4/C9,1),"—")</f>
        <v>—</v>
      </c>
      <c r="F9" s="58" t="str">
        <f aca="false">IF(AND(B9="YES",$C$4&gt;=D9),ROUND(50*POWER(80,COS(PI()*MOD($C$4/C9,1))^2),0),"—")</f>
        <v>—</v>
      </c>
      <c r="G9" s="59" t="n">
        <f aca="false">IF($C$4&lt;D9,NA(),MAX(50*POWER(80,COS(PI()*MOD($C$4/C9,1))^2)/450,450/(50*POWER(80,COS(PI()*MOD($C$4/C9,1))^2))))</f>
        <v>7.26713508322736</v>
      </c>
      <c r="H9" s="60" t="str">
        <f aca="false">IF(B9&lt;&gt;"YES","—",IF($C$4&lt;D9,"&lt; λ/4",TEXT(G9,"0.0")))</f>
        <v>—</v>
      </c>
      <c r="I9" s="61" t="str">
        <f aca="false">IF(B9&lt;&gt;"YES","Inactive band",IF($C$4&lt;D9,"Wire too short for this band",IF(G9&lt;1.5,"✔  Excellent  — no tuner needed",IF(G9&lt;3,"✔  Good  — most tuners handle this",IF(G9&lt;6,"⚠  Marginal  — tuner required","✗  Poor  — high-loss mismatch")))))</f>
        <v>Inactive band</v>
      </c>
    </row>
    <row r="10" customFormat="false" ht="15" hidden="false" customHeight="false" outlineLevel="0" collapsed="false">
      <c r="A10" s="54" t="str">
        <f aca="false">Calculator!A14</f>
        <v>40m</v>
      </c>
      <c r="B10" s="55" t="str">
        <f aca="false">Calculator!$E$14</f>
        <v>NO</v>
      </c>
      <c r="C10" s="56" t="n">
        <f aca="false">ROUND(Calculator!$F$14,2)</f>
        <v>20.45</v>
      </c>
      <c r="D10" s="56" t="n">
        <f aca="false">ROUND(Calculator!$G$14,2)</f>
        <v>10.23</v>
      </c>
      <c r="E10" s="57" t="str">
        <f aca="false">IF(AND(B10="YES",$C$4&gt;=D10),MOD($C$4/C10,1),"—")</f>
        <v>—</v>
      </c>
      <c r="F10" s="58" t="str">
        <f aca="false">IF(AND(B10="YES",$C$4&gt;=D10),ROUND(50*POWER(80,COS(PI()*MOD($C$4/C10,1))^2),0),"—")</f>
        <v>—</v>
      </c>
      <c r="G10" s="59" t="n">
        <f aca="false">IF($C$4&lt;D10,NA(),MAX(50*POWER(80,COS(PI()*MOD($C$4/C10,1))^2)/450,450/(50*POWER(80,COS(PI()*MOD($C$4/C10,1))^2))))</f>
        <v>6.18392022806424</v>
      </c>
      <c r="H10" s="60" t="str">
        <f aca="false">IF(B10&lt;&gt;"YES","—",IF($C$4&lt;D10,"&lt; λ/4",TEXT(G10,"0.0")))</f>
        <v>—</v>
      </c>
      <c r="I10" s="61" t="str">
        <f aca="false">IF(B10&lt;&gt;"YES","Inactive band",IF($C$4&lt;D10,"Wire too short for this band",IF(G10&lt;1.5,"✔  Excellent  — no tuner needed",IF(G10&lt;3,"✔  Good  — most tuners handle this",IF(G10&lt;6,"⚠  Marginal  — tuner required","✗  Poor  — high-loss mismatch")))))</f>
        <v>Inactive band</v>
      </c>
    </row>
    <row r="11" customFormat="false" ht="23.85" hidden="false" customHeight="false" outlineLevel="0" collapsed="false">
      <c r="A11" s="54" t="str">
        <f aca="false">Calculator!A15</f>
        <v>30m</v>
      </c>
      <c r="B11" s="55" t="str">
        <f aca="false">Calculator!$E$15</f>
        <v>YES</v>
      </c>
      <c r="C11" s="56" t="n">
        <f aca="false">ROUND(Calculator!$F$15,2)</f>
        <v>14.44</v>
      </c>
      <c r="D11" s="56" t="n">
        <f aca="false">ROUND(Calculator!$G$15,2)</f>
        <v>7.22</v>
      </c>
      <c r="E11" s="57" t="n">
        <f aca="false">IF(AND(B11="YES",$C$4&gt;=D11),MOD($C$4/C11,1),"—")</f>
        <v>0.700831024930748</v>
      </c>
      <c r="F11" s="58" t="n">
        <f aca="false">IF(AND(B11="YES",$C$4&gt;=D11),ROUND(50*POWER(80,COS(PI()*MOD($C$4/C11,1))^2),0),"—")</f>
        <v>230</v>
      </c>
      <c r="G11" s="59" t="n">
        <f aca="false">IF($C$4&lt;D11,NA(),MAX(50*POWER(80,COS(PI()*MOD($C$4/C11,1))^2)/450,450/(50*POWER(80,COS(PI()*MOD($C$4/C11,1))^2))))</f>
        <v>1.9588979010114</v>
      </c>
      <c r="H11" s="60" t="str">
        <f aca="false">IF(B11&lt;&gt;"YES","—",IF($C$4&lt;D11,"&lt; λ/4",TEXT(G11,"0.0")))</f>
        <v>2.0</v>
      </c>
      <c r="I11" s="61" t="str">
        <f aca="false">IF(B11&lt;&gt;"YES","Inactive band",IF($C$4&lt;D11,"Wire too short for this band",IF(G11&lt;1.5,"✔  Excellent  — no tuner needed",IF(G11&lt;3,"✔  Good  — most tuners handle this",IF(G11&lt;6,"⚠  Marginal  — tuner required","✗  Poor  — high-loss mismatch")))))</f>
        <v>✔  Good  — most tuners handle this</v>
      </c>
    </row>
    <row r="12" customFormat="false" ht="23.85" hidden="false" customHeight="false" outlineLevel="0" collapsed="false">
      <c r="A12" s="54" t="str">
        <f aca="false">Calculator!A16</f>
        <v>20m</v>
      </c>
      <c r="B12" s="55" t="str">
        <f aca="false">Calculator!$E$16</f>
        <v>YES</v>
      </c>
      <c r="C12" s="56" t="n">
        <f aca="false">ROUND(Calculator!$F$16,2)</f>
        <v>10.32</v>
      </c>
      <c r="D12" s="56" t="n">
        <f aca="false">ROUND(Calculator!$G$16,2)</f>
        <v>5.16</v>
      </c>
      <c r="E12" s="57" t="n">
        <f aca="false">IF(AND(B12="YES",$C$4&gt;=D12),MOD($C$4/C12,1),"—")</f>
        <v>0.779069767441861</v>
      </c>
      <c r="F12" s="58" t="n">
        <f aca="false">IF(AND(B12="YES",$C$4&gt;=D12),ROUND(50*POWER(80,COS(PI()*MOD($C$4/C12,1))^2),0),"—")</f>
        <v>666</v>
      </c>
      <c r="G12" s="59" t="n">
        <f aca="false">IF($C$4&lt;D12,NA(),MAX(50*POWER(80,COS(PI()*MOD($C$4/C12,1))^2)/450,450/(50*POWER(80,COS(PI()*MOD($C$4/C12,1))^2))))</f>
        <v>1.4795788691542</v>
      </c>
      <c r="H12" s="60" t="str">
        <f aca="false">IF(B12&lt;&gt;"YES","—",IF($C$4&lt;D12,"&lt; λ/4",TEXT(G12,"0.0")))</f>
        <v>1.5</v>
      </c>
      <c r="I12" s="61" t="str">
        <f aca="false">IF(B12&lt;&gt;"YES","Inactive band",IF($C$4&lt;D12,"Wire too short for this band",IF(G12&lt;1.5,"✔  Excellent  — no tuner needed",IF(G12&lt;3,"✔  Good  — most tuners handle this",IF(G12&lt;6,"⚠  Marginal  — tuner required","✗  Poor  — high-loss mismatch")))))</f>
        <v>✔  Excellent  — no tuner needed</v>
      </c>
    </row>
    <row r="13" customFormat="false" ht="23.85" hidden="false" customHeight="false" outlineLevel="0" collapsed="false">
      <c r="A13" s="54" t="str">
        <f aca="false">Calculator!A17</f>
        <v>17m</v>
      </c>
      <c r="B13" s="55" t="str">
        <f aca="false">Calculator!$E$17</f>
        <v>YES</v>
      </c>
      <c r="C13" s="56" t="n">
        <f aca="false">ROUND(Calculator!$F$17,2)</f>
        <v>8.07</v>
      </c>
      <c r="D13" s="56" t="n">
        <f aca="false">ROUND(Calculator!$G$17,2)</f>
        <v>4.04</v>
      </c>
      <c r="E13" s="57" t="n">
        <f aca="false">IF(AND(B13="YES",$C$4&gt;=D13),MOD($C$4/C13,1),"—")</f>
        <v>0.83271375464684</v>
      </c>
      <c r="F13" s="58" t="n">
        <f aca="false">IF(AND(B13="YES",$C$4&gt;=D13),ROUND(50*POWER(80,COS(PI()*MOD($C$4/C13,1))^2),0),"—")</f>
        <v>1328</v>
      </c>
      <c r="G13" s="59" t="n">
        <f aca="false">IF($C$4&lt;D13,NA(),MAX(50*POWER(80,COS(PI()*MOD($C$4/C13,1))^2)/450,450/(50*POWER(80,COS(PI()*MOD($C$4/C13,1))^2))))</f>
        <v>2.95028091206256</v>
      </c>
      <c r="H13" s="60" t="str">
        <f aca="false">IF(B13&lt;&gt;"YES","—",IF($C$4&lt;D13,"&lt; λ/4",TEXT(G13,"0.0")))</f>
        <v>3.0</v>
      </c>
      <c r="I13" s="61" t="str">
        <f aca="false">IF(B13&lt;&gt;"YES","Inactive band",IF($C$4&lt;D13,"Wire too short for this band",IF(G13&lt;1.5,"✔  Excellent  — no tuner needed",IF(G13&lt;3,"✔  Good  — most tuners handle this",IF(G13&lt;6,"⚠  Marginal  — tuner required","✗  Poor  — high-loss mismatch")))))</f>
        <v>✔  Good  — most tuners handle this</v>
      </c>
    </row>
    <row r="14" customFormat="false" ht="23.85" hidden="false" customHeight="false" outlineLevel="0" collapsed="false">
      <c r="A14" s="54" t="str">
        <f aca="false">Calculator!A18</f>
        <v>15m</v>
      </c>
      <c r="B14" s="55" t="str">
        <f aca="false">Calculator!$E$18</f>
        <v>YES</v>
      </c>
      <c r="C14" s="56" t="n">
        <f aca="false">ROUND(Calculator!$F$18,2)</f>
        <v>6.89</v>
      </c>
      <c r="D14" s="56" t="n">
        <f aca="false">ROUND(Calculator!$G$18,2)</f>
        <v>3.45</v>
      </c>
      <c r="E14" s="57" t="n">
        <f aca="false">IF(AND(B14="YES",$C$4&gt;=D14),MOD($C$4/C14,1),"—")</f>
        <v>0.660377358490567</v>
      </c>
      <c r="F14" s="58" t="n">
        <f aca="false">IF(AND(B14="YES",$C$4&gt;=D14),ROUND(50*POWER(80,COS(PI()*MOD($C$4/C14,1))^2),0),"—")</f>
        <v>139</v>
      </c>
      <c r="G14" s="59" t="n">
        <f aca="false">IF($C$4&lt;D14,NA(),MAX(50*POWER(80,COS(PI()*MOD($C$4/C14,1))^2)/450,450/(50*POWER(80,COS(PI()*MOD($C$4/C14,1))^2))))</f>
        <v>3.24081677870072</v>
      </c>
      <c r="H14" s="60" t="str">
        <f aca="false">IF(B14&lt;&gt;"YES","—",IF($C$4&lt;D14,"&lt; λ/4",TEXT(G14,"0.0")))</f>
        <v>3.2</v>
      </c>
      <c r="I14" s="61" t="str">
        <f aca="false">IF(B14&lt;&gt;"YES","Inactive band",IF($C$4&lt;D14,"Wire too short for this band",IF(G14&lt;1.5,"✔  Excellent  — no tuner needed",IF(G14&lt;3,"✔  Good  — most tuners handle this",IF(G14&lt;6,"⚠  Marginal  — tuner required","✗  Poor  — high-loss mismatch")))))</f>
        <v>⚠  Marginal  — tuner required</v>
      </c>
    </row>
    <row r="15" customFormat="false" ht="23.85" hidden="false" customHeight="false" outlineLevel="0" collapsed="false">
      <c r="A15" s="54" t="str">
        <f aca="false">Calculator!A19</f>
        <v>12m</v>
      </c>
      <c r="B15" s="55" t="str">
        <f aca="false">Calculator!$E$19</f>
        <v>YES</v>
      </c>
      <c r="C15" s="56" t="n">
        <f aca="false">ROUND(Calculator!$F$19,2)</f>
        <v>5.86</v>
      </c>
      <c r="D15" s="56" t="n">
        <f aca="false">ROUND(Calculator!$G$19,2)</f>
        <v>2.93</v>
      </c>
      <c r="E15" s="57" t="n">
        <f aca="false">IF(AND(B15="YES",$C$4&gt;=D15),MOD($C$4/C15,1),"—")</f>
        <v>0.655290102389079</v>
      </c>
      <c r="F15" s="58" t="n">
        <f aca="false">IF(AND(B15="YES",$C$4&gt;=D15),ROUND(50*POWER(80,COS(PI()*MOD($C$4/C15,1))^2),0),"—")</f>
        <v>131</v>
      </c>
      <c r="G15" s="59" t="n">
        <f aca="false">IF($C$4&lt;D15,NA(),MAX(50*POWER(80,COS(PI()*MOD($C$4/C15,1))^2)/450,450/(50*POWER(80,COS(PI()*MOD($C$4/C15,1))^2))))</f>
        <v>3.43644760508891</v>
      </c>
      <c r="H15" s="60" t="str">
        <f aca="false">IF(B15&lt;&gt;"YES","—",IF($C$4&lt;D15,"&lt; λ/4",TEXT(G15,"0.0")))</f>
        <v>03</v>
      </c>
      <c r="I15" s="61" t="str">
        <f aca="false">IF(B15&lt;&gt;"YES","Inactive band",IF($C$4&lt;D15,"Wire too short for this band",IF(G15&lt;1.5,"✔  Excellent  — no tuner needed",IF(G15&lt;3,"✔  Good  — most tuners handle this",IF(G15&lt;6,"⚠  Marginal  — tuner required","✗  Poor  — high-loss mismatch")))))</f>
        <v>⚠  Marginal  — tuner required</v>
      </c>
    </row>
    <row r="16" customFormat="false" ht="23.85" hidden="false" customHeight="false" outlineLevel="0" collapsed="false">
      <c r="A16" s="54" t="str">
        <f aca="false">Calculator!A20</f>
        <v>10m</v>
      </c>
      <c r="B16" s="55" t="str">
        <f aca="false">Calculator!$E$20</f>
        <v>YES</v>
      </c>
      <c r="C16" s="56" t="n">
        <f aca="false">ROUND(Calculator!$F$20,2)</f>
        <v>5.07</v>
      </c>
      <c r="D16" s="56" t="n">
        <f aca="false">ROUND(Calculator!$G$20,2)</f>
        <v>2.53</v>
      </c>
      <c r="E16" s="57" t="n">
        <f aca="false">IF(AND(B16="YES",$C$4&gt;=D16),MOD($C$4/C16,1),"—")</f>
        <v>0.692307692307692</v>
      </c>
      <c r="F16" s="58" t="n">
        <f aca="false">IF(AND(B16="YES",$C$4&gt;=D16),ROUND(50*POWER(80,COS(PI()*MOD($C$4/C16,1))^2),0),"—")</f>
        <v>206</v>
      </c>
      <c r="G16" s="59" t="n">
        <f aca="false">IF($C$4&lt;D16,NA(),MAX(50*POWER(80,COS(PI()*MOD($C$4/C16,1))^2)/450,450/(50*POWER(80,COS(PI()*MOD($C$4/C16,1))^2))))</f>
        <v>2.18836631354998</v>
      </c>
      <c r="H16" s="60" t="str">
        <f aca="false">IF(B16&lt;&gt;"YES","—",IF($C$4&lt;D16,"&lt; λ/4",TEXT(G16,"0.0")))</f>
        <v>2.2</v>
      </c>
      <c r="I16" s="61" t="str">
        <f aca="false">IF(B16&lt;&gt;"YES","Inactive band",IF($C$4&lt;D16,"Wire too short for this band",IF(G16&lt;1.5,"✔  Excellent  — no tuner needed",IF(G16&lt;3,"✔  Good  — most tuners handle this",IF(G16&lt;6,"⚠  Marginal  — tuner required","✗  Poor  — high-loss mismatch")))))</f>
        <v>✔  Good  — most tuners handle this</v>
      </c>
    </row>
    <row r="17" customFormat="false" ht="15" hidden="false" customHeight="false" outlineLevel="0" collapsed="false">
      <c r="A17" s="54" t="str">
        <f aca="false">Calculator!A21</f>
        <v>6m</v>
      </c>
      <c r="B17" s="55" t="str">
        <f aca="false">Calculator!$E$21</f>
        <v>NO</v>
      </c>
      <c r="C17" s="56" t="n">
        <f aca="false">ROUND(Calculator!$F$21,2)</f>
        <v>2.81</v>
      </c>
      <c r="D17" s="56" t="n">
        <f aca="false">ROUND(Calculator!$G$21,2)</f>
        <v>1.41</v>
      </c>
      <c r="E17" s="57" t="str">
        <f aca="false">IF(AND(B17="YES",$C$4&gt;=D17),MOD($C$4/C17,1),"—")</f>
        <v>—</v>
      </c>
      <c r="F17" s="58" t="str">
        <f aca="false">IF(AND(B17="YES",$C$4&gt;=D17),ROUND(50*POWER(80,COS(PI()*MOD($C$4/C17,1))^2),0),"—")</f>
        <v>—</v>
      </c>
      <c r="G17" s="59" t="n">
        <f aca="false">IF($C$4&lt;D17,NA(),MAX(50*POWER(80,COS(PI()*MOD($C$4/C17,1))^2)/450,450/(50*POWER(80,COS(PI()*MOD($C$4/C17,1))^2))))</f>
        <v>4.86247301271041</v>
      </c>
      <c r="H17" s="60" t="str">
        <f aca="false">IF(B17&lt;&gt;"YES","—",IF($C$4&lt;D17,"&lt; λ/4",TEXT(G17,"0.0")))</f>
        <v>—</v>
      </c>
      <c r="I17" s="61" t="str">
        <f aca="false">IF(B17&lt;&gt;"YES","Inactive band",IF($C$4&lt;D17,"Wire too short for this band",IF(G17&lt;1.5,"✔  Excellent  — no tuner needed",IF(G17&lt;3,"✔  Good  — most tuners handle this",IF(G17&lt;6,"⚠  Marginal  — tuner required","✗  Poor  — high-loss mismatch")))))</f>
        <v>Inactive band</v>
      </c>
    </row>
    <row r="19" customFormat="false" ht="31.5" hidden="false" customHeight="true" outlineLevel="0" collapsed="false">
      <c r="A19" s="62" t="s">
        <v>63</v>
      </c>
      <c r="B19" s="62"/>
      <c r="C19" s="63" t="s">
        <v>64</v>
      </c>
      <c r="D19" s="64" t="s">
        <v>65</v>
      </c>
      <c r="E19" s="65" t="s">
        <v>66</v>
      </c>
      <c r="F19" s="66" t="s">
        <v>67</v>
      </c>
    </row>
    <row r="20" s="1" customFormat="true" ht="15" hidden="false" customHeight="false" outlineLevel="0" collapsed="false">
      <c r="A20" s="67"/>
      <c r="B20" s="67"/>
      <c r="C20" s="68"/>
      <c r="D20" s="68"/>
      <c r="E20" s="68"/>
      <c r="F20" s="68"/>
    </row>
    <row r="21" customFormat="false" ht="21.6" hidden="false" customHeight="true" outlineLevel="0" collapsed="false">
      <c r="A21" s="7" t="s">
        <v>68</v>
      </c>
      <c r="B21" s="7"/>
      <c r="C21" s="7"/>
      <c r="D21" s="7"/>
      <c r="E21" s="7"/>
      <c r="F21" s="7"/>
      <c r="G21" s="7"/>
      <c r="H21" s="7"/>
      <c r="I21" s="7"/>
    </row>
  </sheetData>
  <mergeCells count="6">
    <mergeCell ref="A1:I1"/>
    <mergeCell ref="A2:I2"/>
    <mergeCell ref="A4:B4"/>
    <mergeCell ref="D4:I4"/>
    <mergeCell ref="A19:B19"/>
    <mergeCell ref="A21:I21"/>
  </mergeCells>
  <conditionalFormatting sqref="A7:I17">
    <cfRule type="expression" priority="2" aboveAverage="0" equalAverage="0" bottom="0" percent="0" rank="0" text="" dxfId="2">
      <formula>AND(ISNUMBER(G7),G7&lt;1.5)</formula>
    </cfRule>
    <cfRule type="expression" priority="3" aboveAverage="0" equalAverage="0" bottom="0" percent="0" rank="0" text="" dxfId="3">
      <formula>AND(ISNUMBER(G7),G7&gt;=1.5,G7&lt;3)</formula>
    </cfRule>
    <cfRule type="expression" priority="4" aboveAverage="0" equalAverage="0" bottom="0" percent="0" rank="0" text="" dxfId="4">
      <formula>AND(ISNUMBER(G7),G7&gt;=3,G7&lt;6)</formula>
    </cfRule>
    <cfRule type="expression" priority="5" aboveAverage="0" equalAverage="0" bottom="0" percent="0" rank="0" text="" dxfId="5">
      <formula>AND(ISNUMBER(G7),G7&gt;=6)</formula>
    </cfRule>
  </conditionalFormatting>
  <dataValidations count="1">
    <dataValidation allowBlank="false" error="Please select one of the 5 recommended wire lengths." errorStyle="stop" errorTitle="Invalid Length" operator="between" prompt="Select from the Top-5 recommended lengths (from Calculator sheet)." promptTitle="Wire Length" showDropDown="false" showErrorMessage="true" showInputMessage="true" sqref="C4" type="list">
      <formula1>Calculator!$B$30:$B$34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5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Q72" activeCellId="0" sqref="Q7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12" min="2" style="1" width="9"/>
    <col collapsed="false" customWidth="true" hidden="false" outlineLevel="0" max="13" min="13" style="1" width="13"/>
    <col collapsed="false" customWidth="true" hidden="false" outlineLevel="0" max="14" min="14" style="1" width="8"/>
    <col collapsed="false" customWidth="true" hidden="false" outlineLevel="0" max="15" min="15" style="1" width="16"/>
  </cols>
  <sheetData>
    <row r="1" customFormat="false" ht="15" hidden="false" customHeight="true" outlineLevel="0" collapsed="false">
      <c r="A1" s="69" t="s">
        <v>69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customFormat="false" ht="31.5" hidden="false" customHeight="true" outlineLevel="0" collapsed="false">
      <c r="A2" s="70" t="s">
        <v>70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customFormat="false" ht="15" hidden="false" customHeight="true" outlineLevel="0" collapsed="false">
      <c r="A3" s="10" t="s">
        <v>71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customFormat="false" ht="34.5" hidden="false" customHeight="true" outlineLevel="0" collapsed="false">
      <c r="A4" s="71" t="s">
        <v>72</v>
      </c>
      <c r="B4" s="71" t="s">
        <v>73</v>
      </c>
      <c r="C4" s="71" t="s">
        <v>74</v>
      </c>
      <c r="D4" s="71" t="s">
        <v>75</v>
      </c>
      <c r="E4" s="71" t="s">
        <v>76</v>
      </c>
      <c r="F4" s="71" t="s">
        <v>77</v>
      </c>
      <c r="G4" s="71" t="s">
        <v>78</v>
      </c>
      <c r="H4" s="71" t="s">
        <v>79</v>
      </c>
      <c r="I4" s="71" t="s">
        <v>80</v>
      </c>
      <c r="J4" s="71" t="s">
        <v>81</v>
      </c>
      <c r="K4" s="71" t="s">
        <v>82</v>
      </c>
      <c r="L4" s="71" t="s">
        <v>83</v>
      </c>
      <c r="M4" s="71" t="s">
        <v>84</v>
      </c>
      <c r="N4" s="71" t="s">
        <v>37</v>
      </c>
      <c r="O4" s="71" t="s">
        <v>85</v>
      </c>
    </row>
    <row r="5" customFormat="false" ht="15" hidden="false" customHeight="true" outlineLevel="0" collapsed="false">
      <c r="A5" s="72" t="n">
        <v>5</v>
      </c>
      <c r="B5" s="73" t="n">
        <f aca="false">IF(Calculator!$E$11="YES",IF(A5&lt;Calculator!$G$11,0,MIN(MIN(MOD(A5/Calculator!$F$11,1),1-MOD(A5/Calculator!$F$11,1)),ABS(MOD(A5/Calculator!$F$11,1)-0.5))),1)</f>
        <v>1</v>
      </c>
      <c r="C5" s="73" t="n">
        <f aca="false">IF(Calculator!$E$12="YES",IF(A5&lt;Calculator!$G$12,0,MIN(MIN(MOD(A5/Calculator!$F$12,1),1-MOD(A5/Calculator!$F$12,1)),ABS(MOD(A5/Calculator!$F$12,1)-0.5))),1)</f>
        <v>1</v>
      </c>
      <c r="D5" s="73" t="n">
        <f aca="false">IF(Calculator!$E$13="YES",IF(A5&lt;Calculator!$G$13,0,MIN(MIN(MOD(A5/Calculator!$F$13,1),1-MOD(A5/Calculator!$F$13,1)),ABS(MOD(A5/Calculator!$F$13,1)-0.5))),1)</f>
        <v>1</v>
      </c>
      <c r="E5" s="73" t="n">
        <f aca="false">IF(Calculator!$E$14="YES",IF(A5&lt;Calculator!$G$14,0,MIN(MIN(MOD(A5/Calculator!$F$14,1),1-MOD(A5/Calculator!$F$14,1)),ABS(MOD(A5/Calculator!$F$14,1)-0.5))),1)</f>
        <v>1</v>
      </c>
      <c r="F5" s="73" t="n">
        <f aca="false">IF(Calculator!$E$15="YES",IF(A5&lt;Calculator!$G$15,0,MIN(MIN(MOD(A5/Calculator!$F$15,1),1-MOD(A5/Calculator!$F$15,1)),ABS(MOD(A5/Calculator!$F$15,1)-0.5))),1)</f>
        <v>0</v>
      </c>
      <c r="G5" s="73" t="n">
        <f aca="false">IF(Calculator!$E$16="YES",IF(A5&lt;Calculator!$G$16,0,MIN(MIN(MOD(A5/Calculator!$F$16,1),1-MOD(A5/Calculator!$F$16,1)),ABS(MOD(A5/Calculator!$F$16,1)-0.5))),1)</f>
        <v>0</v>
      </c>
      <c r="H5" s="73" t="n">
        <f aca="false">IF(Calculator!$E$17="YES",IF(A5&lt;Calculator!$G$17,0,MIN(MIN(MOD(A5/Calculator!$F$17,1),1-MOD(A5/Calculator!$F$17,1)),ABS(MOD(A5/Calculator!$F$17,1)-0.5))),1)</f>
        <v>0.119418803418804</v>
      </c>
      <c r="I5" s="73" t="n">
        <f aca="false">IF(Calculator!$E$18="YES",IF(A5&lt;Calculator!$G$18,0,MIN(MIN(MOD(A5/Calculator!$F$18,1),1-MOD(A5/Calculator!$F$18,1)),ABS(MOD(A5/Calculator!$F$18,1)-0.5))),1)</f>
        <v>0.225641025641026</v>
      </c>
      <c r="J5" s="73" t="n">
        <f aca="false">IF(Calculator!$E$19="YES",IF(A5&lt;Calculator!$G$19,0,MIN(MIN(MOD(A5/Calculator!$F$19,1),1-MOD(A5/Calculator!$F$19,1)),ABS(MOD(A5/Calculator!$F$19,1)-0.5))),1)</f>
        <v>0.147350427350428</v>
      </c>
      <c r="K5" s="73" t="n">
        <f aca="false">IF(Calculator!$E$20="YES",IF(A5&lt;Calculator!$G$20,0,MIN(MIN(MOD(A5/Calculator!$F$20,1),1-MOD(A5/Calculator!$F$20,1)),ABS(MOD(A5/Calculator!$F$20,1)-0.5))),1)</f>
        <v>0.0136752136752135</v>
      </c>
      <c r="L5" s="73" t="n">
        <f aca="false">IF(Calculator!$E$21="YES",IF(A5&lt;Calculator!$G$21,0,MIN(MIN(MOD(A5/Calculator!$F$21,1),1-MOD(A5/Calculator!$F$21,1)),ABS(MOD(A5/Calculator!$F$21,1)-0.5))),1)</f>
        <v>1</v>
      </c>
      <c r="M5" s="74" t="n">
        <f aca="false">MIN(B5:L5)</f>
        <v>0</v>
      </c>
      <c r="N5" s="75" t="n">
        <f aca="false">SUMPRODUCT(($M$5:$M$115&gt;M5)*1)+SUMPRODUCT(($M$5:$M$115=M5)*(ROW($M$5:$M$115)&lt;ROW(M5)))+1</f>
        <v>107</v>
      </c>
      <c r="O5" s="76" t="str">
        <f aca="false">IF(M5&gt;=0.2,"★★★ EXCELLENT",IF(M5&gt;=0.12,"★★  GOOD",IF(M5&gt;=0.07,"★  FAIR",IF(M5&gt;=0.025,"⚠  MARGINAL","✗  AVOID"))))</f>
        <v>✗  AVOID</v>
      </c>
    </row>
    <row r="6" customFormat="false" ht="15" hidden="false" customHeight="true" outlineLevel="0" collapsed="false">
      <c r="A6" s="72" t="n">
        <v>5.5</v>
      </c>
      <c r="B6" s="73" t="n">
        <f aca="false">IF(Calculator!$E$11="YES",IF(A6&lt;Calculator!$G$11,0,MIN(MIN(MOD(A6/Calculator!$F$11,1),1-MOD(A6/Calculator!$F$11,1)),ABS(MOD(A6/Calculator!$F$11,1)-0.5))),1)</f>
        <v>1</v>
      </c>
      <c r="C6" s="73" t="n">
        <f aca="false">IF(Calculator!$E$12="YES",IF(A6&lt;Calculator!$G$12,0,MIN(MIN(MOD(A6/Calculator!$F$12,1),1-MOD(A6/Calculator!$F$12,1)),ABS(MOD(A6/Calculator!$F$12,1)-0.5))),1)</f>
        <v>1</v>
      </c>
      <c r="D6" s="73" t="n">
        <f aca="false">IF(Calculator!$E$13="YES",IF(A6&lt;Calculator!$G$13,0,MIN(MIN(MOD(A6/Calculator!$F$13,1),1-MOD(A6/Calculator!$F$13,1)),ABS(MOD(A6/Calculator!$F$13,1)-0.5))),1)</f>
        <v>1</v>
      </c>
      <c r="E6" s="73" t="n">
        <f aca="false">IF(Calculator!$E$14="YES",IF(A6&lt;Calculator!$G$14,0,MIN(MIN(MOD(A6/Calculator!$F$14,1),1-MOD(A6/Calculator!$F$14,1)),ABS(MOD(A6/Calculator!$F$14,1)-0.5))),1)</f>
        <v>1</v>
      </c>
      <c r="F6" s="73" t="n">
        <f aca="false">IF(Calculator!$E$15="YES",IF(A6&lt;Calculator!$G$15,0,MIN(MIN(MOD(A6/Calculator!$F$15,1),1-MOD(A6/Calculator!$F$15,1)),ABS(MOD(A6/Calculator!$F$15,1)-0.5))),1)</f>
        <v>0</v>
      </c>
      <c r="G6" s="73" t="n">
        <f aca="false">IF(Calculator!$E$16="YES",IF(A6&lt;Calculator!$G$16,0,MIN(MIN(MOD(A6/Calculator!$F$16,1),1-MOD(A6/Calculator!$F$16,1)),ABS(MOD(A6/Calculator!$F$16,1)-0.5))),1)</f>
        <v>0.0330769230769231</v>
      </c>
      <c r="H6" s="73" t="n">
        <f aca="false">IF(Calculator!$E$17="YES",IF(A6&lt;Calculator!$G$17,0,MIN(MIN(MOD(A6/Calculator!$F$17,1),1-MOD(A6/Calculator!$F$17,1)),ABS(MOD(A6/Calculator!$F$17,1)-0.5))),1)</f>
        <v>0.181360683760684</v>
      </c>
      <c r="I6" s="73" t="n">
        <f aca="false">IF(Calculator!$E$18="YES",IF(A6&lt;Calculator!$G$18,0,MIN(MIN(MOD(A6/Calculator!$F$18,1),1-MOD(A6/Calculator!$F$18,1)),ABS(MOD(A6/Calculator!$F$18,1)-0.5))),1)</f>
        <v>0.201794871794872</v>
      </c>
      <c r="J6" s="73" t="n">
        <f aca="false">IF(Calculator!$E$19="YES",IF(A6&lt;Calculator!$G$19,0,MIN(MIN(MOD(A6/Calculator!$F$19,1),1-MOD(A6/Calculator!$F$19,1)),ABS(MOD(A6/Calculator!$F$19,1)-0.5))),1)</f>
        <v>0.0620854700854708</v>
      </c>
      <c r="K6" s="73" t="n">
        <f aca="false">IF(Calculator!$E$20="YES",IF(A6&lt;Calculator!$G$20,0,MIN(MIN(MOD(A6/Calculator!$F$20,1),1-MOD(A6/Calculator!$F$20,1)),ABS(MOD(A6/Calculator!$F$20,1)-0.5))),1)</f>
        <v>0.0849572649572652</v>
      </c>
      <c r="L6" s="73" t="n">
        <f aca="false">IF(Calculator!$E$21="YES",IF(A6&lt;Calculator!$G$21,0,MIN(MIN(MOD(A6/Calculator!$F$21,1),1-MOD(A6/Calculator!$F$21,1)),ABS(MOD(A6/Calculator!$F$21,1)-0.5))),1)</f>
        <v>1</v>
      </c>
      <c r="M6" s="74" t="n">
        <f aca="false">MIN(B6:L6)</f>
        <v>0</v>
      </c>
      <c r="N6" s="75" t="n">
        <f aca="false">SUMPRODUCT(($M$5:$M$115&gt;M6)*1)+SUMPRODUCT(($M$5:$M$115=M6)*(ROW($M$5:$M$115)&lt;ROW(M6)))+1</f>
        <v>108</v>
      </c>
      <c r="O6" s="76" t="str">
        <f aca="false">IF(M6&gt;=0.2,"★★★ EXCELLENT",IF(M6&gt;=0.12,"★★  GOOD",IF(M6&gt;=0.07,"★  FAIR",IF(M6&gt;=0.025,"⚠  MARGINAL","✗  AVOID"))))</f>
        <v>✗  AVOID</v>
      </c>
    </row>
    <row r="7" customFormat="false" ht="15" hidden="false" customHeight="true" outlineLevel="0" collapsed="false">
      <c r="A7" s="72" t="n">
        <v>6</v>
      </c>
      <c r="B7" s="73" t="n">
        <f aca="false">IF(Calculator!$E$11="YES",IF(A7&lt;Calculator!$G$11,0,MIN(MIN(MOD(A7/Calculator!$F$11,1),1-MOD(A7/Calculator!$F$11,1)),ABS(MOD(A7/Calculator!$F$11,1)-0.5))),1)</f>
        <v>1</v>
      </c>
      <c r="C7" s="73" t="n">
        <f aca="false">IF(Calculator!$E$12="YES",IF(A7&lt;Calculator!$G$12,0,MIN(MIN(MOD(A7/Calculator!$F$12,1),1-MOD(A7/Calculator!$F$12,1)),ABS(MOD(A7/Calculator!$F$12,1)-0.5))),1)</f>
        <v>1</v>
      </c>
      <c r="D7" s="73" t="n">
        <f aca="false">IF(Calculator!$E$13="YES",IF(A7&lt;Calculator!$G$13,0,MIN(MIN(MOD(A7/Calculator!$F$13,1),1-MOD(A7/Calculator!$F$13,1)),ABS(MOD(A7/Calculator!$F$13,1)-0.5))),1)</f>
        <v>1</v>
      </c>
      <c r="E7" s="73" t="n">
        <f aca="false">IF(Calculator!$E$14="YES",IF(A7&lt;Calculator!$G$14,0,MIN(MIN(MOD(A7/Calculator!$F$14,1),1-MOD(A7/Calculator!$F$14,1)),ABS(MOD(A7/Calculator!$F$14,1)-0.5))),1)</f>
        <v>1</v>
      </c>
      <c r="F7" s="73" t="n">
        <f aca="false">IF(Calculator!$E$15="YES",IF(A7&lt;Calculator!$G$15,0,MIN(MIN(MOD(A7/Calculator!$F$15,1),1-MOD(A7/Calculator!$F$15,1)),ABS(MOD(A7/Calculator!$F$15,1)-0.5))),1)</f>
        <v>0</v>
      </c>
      <c r="G7" s="73" t="n">
        <f aca="false">IF(Calculator!$E$16="YES",IF(A7&lt;Calculator!$G$16,0,MIN(MIN(MOD(A7/Calculator!$F$16,1),1-MOD(A7/Calculator!$F$16,1)),ABS(MOD(A7/Calculator!$F$16,1)-0.5))),1)</f>
        <v>0.0815384615384616</v>
      </c>
      <c r="H7" s="73" t="n">
        <f aca="false">IF(Calculator!$E$17="YES",IF(A7&lt;Calculator!$G$17,0,MIN(MIN(MOD(A7/Calculator!$F$17,1),1-MOD(A7/Calculator!$F$17,1)),ABS(MOD(A7/Calculator!$F$17,1)-0.5))),1)</f>
        <v>0.243302564102564</v>
      </c>
      <c r="I7" s="73" t="n">
        <f aca="false">IF(Calculator!$E$18="YES",IF(A7&lt;Calculator!$G$18,0,MIN(MIN(MOD(A7/Calculator!$F$18,1),1-MOD(A7/Calculator!$F$18,1)),ABS(MOD(A7/Calculator!$F$18,1)-0.5))),1)</f>
        <v>0.129230769230769</v>
      </c>
      <c r="J7" s="73" t="n">
        <f aca="false">IF(Calculator!$E$19="YES",IF(A7&lt;Calculator!$G$19,0,MIN(MIN(MOD(A7/Calculator!$F$19,1),1-MOD(A7/Calculator!$F$19,1)),ABS(MOD(A7/Calculator!$F$19,1)-0.5))),1)</f>
        <v>0.0231794871794864</v>
      </c>
      <c r="K7" s="73" t="n">
        <f aca="false">IF(Calculator!$E$20="YES",IF(A7&lt;Calculator!$G$20,0,MIN(MIN(MOD(A7/Calculator!$F$20,1),1-MOD(A7/Calculator!$F$20,1)),ABS(MOD(A7/Calculator!$F$20,1)-0.5))),1)</f>
        <v>0.183589743589744</v>
      </c>
      <c r="L7" s="73" t="n">
        <f aca="false">IF(Calculator!$E$21="YES",IF(A7&lt;Calculator!$G$21,0,MIN(MIN(MOD(A7/Calculator!$F$21,1),1-MOD(A7/Calculator!$F$21,1)),ABS(MOD(A7/Calculator!$F$21,1)-0.5))),1)</f>
        <v>1</v>
      </c>
      <c r="M7" s="74" t="n">
        <f aca="false">MIN(B7:L7)</f>
        <v>0</v>
      </c>
      <c r="N7" s="75" t="n">
        <f aca="false">SUMPRODUCT(($M$5:$M$115&gt;M7)*1)+SUMPRODUCT(($M$5:$M$115=M7)*(ROW($M$5:$M$115)&lt;ROW(M7)))+1</f>
        <v>109</v>
      </c>
      <c r="O7" s="76" t="str">
        <f aca="false">IF(M7&gt;=0.2,"★★★ EXCELLENT",IF(M7&gt;=0.12,"★★  GOOD",IF(M7&gt;=0.07,"★  FAIR",IF(M7&gt;=0.025,"⚠  MARGINAL","✗  AVOID"))))</f>
        <v>✗  AVOID</v>
      </c>
    </row>
    <row r="8" customFormat="false" ht="15" hidden="false" customHeight="true" outlineLevel="0" collapsed="false">
      <c r="A8" s="72" t="n">
        <v>6.5</v>
      </c>
      <c r="B8" s="73" t="n">
        <f aca="false">IF(Calculator!$E$11="YES",IF(A8&lt;Calculator!$G$11,0,MIN(MIN(MOD(A8/Calculator!$F$11,1),1-MOD(A8/Calculator!$F$11,1)),ABS(MOD(A8/Calculator!$F$11,1)-0.5))),1)</f>
        <v>1</v>
      </c>
      <c r="C8" s="73" t="n">
        <f aca="false">IF(Calculator!$E$12="YES",IF(A8&lt;Calculator!$G$12,0,MIN(MIN(MOD(A8/Calculator!$F$12,1),1-MOD(A8/Calculator!$F$12,1)),ABS(MOD(A8/Calculator!$F$12,1)-0.5))),1)</f>
        <v>1</v>
      </c>
      <c r="D8" s="73" t="n">
        <f aca="false">IF(Calculator!$E$13="YES",IF(A8&lt;Calculator!$G$13,0,MIN(MIN(MOD(A8/Calculator!$F$13,1),1-MOD(A8/Calculator!$F$13,1)),ABS(MOD(A8/Calculator!$F$13,1)-0.5))),1)</f>
        <v>1</v>
      </c>
      <c r="E8" s="73" t="n">
        <f aca="false">IF(Calculator!$E$14="YES",IF(A8&lt;Calculator!$G$14,0,MIN(MIN(MOD(A8/Calculator!$F$14,1),1-MOD(A8/Calculator!$F$14,1)),ABS(MOD(A8/Calculator!$F$14,1)-0.5))),1)</f>
        <v>1</v>
      </c>
      <c r="F8" s="73" t="n">
        <f aca="false">IF(Calculator!$E$15="YES",IF(A8&lt;Calculator!$G$15,0,MIN(MIN(MOD(A8/Calculator!$F$15,1),1-MOD(A8/Calculator!$F$15,1)),ABS(MOD(A8/Calculator!$F$15,1)-0.5))),1)</f>
        <v>0</v>
      </c>
      <c r="G8" s="73" t="n">
        <f aca="false">IF(Calculator!$E$16="YES",IF(A8&lt;Calculator!$G$16,0,MIN(MIN(MOD(A8/Calculator!$F$16,1),1-MOD(A8/Calculator!$F$16,1)),ABS(MOD(A8/Calculator!$F$16,1)-0.5))),1)</f>
        <v>0.13</v>
      </c>
      <c r="H8" s="73" t="n">
        <f aca="false">IF(Calculator!$E$17="YES",IF(A8&lt;Calculator!$G$17,0,MIN(MIN(MOD(A8/Calculator!$F$17,1),1-MOD(A8/Calculator!$F$17,1)),ABS(MOD(A8/Calculator!$F$17,1)-0.5))),1)</f>
        <v>0.194755555555555</v>
      </c>
      <c r="I8" s="73" t="n">
        <f aca="false">IF(Calculator!$E$18="YES",IF(A8&lt;Calculator!$G$18,0,MIN(MIN(MOD(A8/Calculator!$F$18,1),1-MOD(A8/Calculator!$F$18,1)),ABS(MOD(A8/Calculator!$F$18,1)-0.5))),1)</f>
        <v>0.0566666666666665</v>
      </c>
      <c r="J8" s="73" t="n">
        <f aca="false">IF(Calculator!$E$19="YES",IF(A8&lt;Calculator!$G$19,0,MIN(MIN(MOD(A8/Calculator!$F$19,1),1-MOD(A8/Calculator!$F$19,1)),ABS(MOD(A8/Calculator!$F$19,1)-0.5))),1)</f>
        <v>0.108444444444444</v>
      </c>
      <c r="K8" s="73" t="n">
        <f aca="false">IF(Calculator!$E$20="YES",IF(A8&lt;Calculator!$G$20,0,MIN(MIN(MOD(A8/Calculator!$F$20,1),1-MOD(A8/Calculator!$F$20,1)),ABS(MOD(A8/Calculator!$F$20,1)-0.5))),1)</f>
        <v>0.217777777777778</v>
      </c>
      <c r="L8" s="73" t="n">
        <f aca="false">IF(Calculator!$E$21="YES",IF(A8&lt;Calculator!$G$21,0,MIN(MIN(MOD(A8/Calculator!$F$21,1),1-MOD(A8/Calculator!$F$21,1)),ABS(MOD(A8/Calculator!$F$21,1)-0.5))),1)</f>
        <v>1</v>
      </c>
      <c r="M8" s="74" t="n">
        <f aca="false">MIN(B8:L8)</f>
        <v>0</v>
      </c>
      <c r="N8" s="75" t="n">
        <f aca="false">SUMPRODUCT(($M$5:$M$115&gt;M8)*1)+SUMPRODUCT(($M$5:$M$115=M8)*(ROW($M$5:$M$115)&lt;ROW(M8)))+1</f>
        <v>110</v>
      </c>
      <c r="O8" s="76" t="str">
        <f aca="false">IF(M8&gt;=0.2,"★★★ EXCELLENT",IF(M8&gt;=0.12,"★★  GOOD",IF(M8&gt;=0.07,"★  FAIR",IF(M8&gt;=0.025,"⚠  MARGINAL","✗  AVOID"))))</f>
        <v>✗  AVOID</v>
      </c>
    </row>
    <row r="9" customFormat="false" ht="15" hidden="false" customHeight="true" outlineLevel="0" collapsed="false">
      <c r="A9" s="72" t="n">
        <v>7</v>
      </c>
      <c r="B9" s="73" t="n">
        <f aca="false">IF(Calculator!$E$11="YES",IF(A9&lt;Calculator!$G$11,0,MIN(MIN(MOD(A9/Calculator!$F$11,1),1-MOD(A9/Calculator!$F$11,1)),ABS(MOD(A9/Calculator!$F$11,1)-0.5))),1)</f>
        <v>1</v>
      </c>
      <c r="C9" s="73" t="n">
        <f aca="false">IF(Calculator!$E$12="YES",IF(A9&lt;Calculator!$G$12,0,MIN(MIN(MOD(A9/Calculator!$F$12,1),1-MOD(A9/Calculator!$F$12,1)),ABS(MOD(A9/Calculator!$F$12,1)-0.5))),1)</f>
        <v>1</v>
      </c>
      <c r="D9" s="73" t="n">
        <f aca="false">IF(Calculator!$E$13="YES",IF(A9&lt;Calculator!$G$13,0,MIN(MIN(MOD(A9/Calculator!$F$13,1),1-MOD(A9/Calculator!$F$13,1)),ABS(MOD(A9/Calculator!$F$13,1)-0.5))),1)</f>
        <v>1</v>
      </c>
      <c r="E9" s="73" t="n">
        <f aca="false">IF(Calculator!$E$14="YES",IF(A9&lt;Calculator!$G$14,0,MIN(MIN(MOD(A9/Calculator!$F$14,1),1-MOD(A9/Calculator!$F$14,1)),ABS(MOD(A9/Calculator!$F$14,1)-0.5))),1)</f>
        <v>1</v>
      </c>
      <c r="F9" s="73" t="n">
        <f aca="false">IF(Calculator!$E$15="YES",IF(A9&lt;Calculator!$G$15,0,MIN(MIN(MOD(A9/Calculator!$F$15,1),1-MOD(A9/Calculator!$F$15,1)),ABS(MOD(A9/Calculator!$F$15,1)-0.5))),1)</f>
        <v>0</v>
      </c>
      <c r="G9" s="73" t="n">
        <f aca="false">IF(Calculator!$E$16="YES",IF(A9&lt;Calculator!$G$16,0,MIN(MIN(MOD(A9/Calculator!$F$16,1),1-MOD(A9/Calculator!$F$16,1)),ABS(MOD(A9/Calculator!$F$16,1)-0.5))),1)</f>
        <v>0.178461538461539</v>
      </c>
      <c r="H9" s="73" t="n">
        <f aca="false">IF(Calculator!$E$17="YES",IF(A9&lt;Calculator!$G$17,0,MIN(MIN(MOD(A9/Calculator!$F$17,1),1-MOD(A9/Calculator!$F$17,1)),ABS(MOD(A9/Calculator!$F$17,1)-0.5))),1)</f>
        <v>0.132813675213675</v>
      </c>
      <c r="I9" s="73" t="n">
        <f aca="false">IF(Calculator!$E$18="YES",IF(A9&lt;Calculator!$G$18,0,MIN(MIN(MOD(A9/Calculator!$F$18,1),1-MOD(A9/Calculator!$F$18,1)),ABS(MOD(A9/Calculator!$F$18,1)-0.5))),1)</f>
        <v>0.015897435897436</v>
      </c>
      <c r="J9" s="73" t="n">
        <f aca="false">IF(Calculator!$E$19="YES",IF(A9&lt;Calculator!$G$19,0,MIN(MIN(MOD(A9/Calculator!$F$19,1),1-MOD(A9/Calculator!$F$19,1)),ABS(MOD(A9/Calculator!$F$19,1)-0.5))),1)</f>
        <v>0.193709401709401</v>
      </c>
      <c r="K9" s="73" t="n">
        <f aca="false">IF(Calculator!$E$20="YES",IF(A9&lt;Calculator!$G$20,0,MIN(MIN(MOD(A9/Calculator!$F$20,1),1-MOD(A9/Calculator!$F$20,1)),ABS(MOD(A9/Calculator!$F$20,1)-0.5))),1)</f>
        <v>0.119145299145299</v>
      </c>
      <c r="L9" s="73" t="n">
        <f aca="false">IF(Calculator!$E$21="YES",IF(A9&lt;Calculator!$G$21,0,MIN(MIN(MOD(A9/Calculator!$F$21,1),1-MOD(A9/Calculator!$F$21,1)),ABS(MOD(A9/Calculator!$F$21,1)-0.5))),1)</f>
        <v>1</v>
      </c>
      <c r="M9" s="74" t="n">
        <f aca="false">MIN(B9:L9)</f>
        <v>0</v>
      </c>
      <c r="N9" s="75" t="n">
        <f aca="false">SUMPRODUCT(($M$5:$M$115&gt;M9)*1)+SUMPRODUCT(($M$5:$M$115=M9)*(ROW($M$5:$M$115)&lt;ROW(M9)))+1</f>
        <v>111</v>
      </c>
      <c r="O9" s="76" t="str">
        <f aca="false">IF(M9&gt;=0.2,"★★★ EXCELLENT",IF(M9&gt;=0.12,"★★  GOOD",IF(M9&gt;=0.07,"★  FAIR",IF(M9&gt;=0.025,"⚠  MARGINAL","✗  AVOID"))))</f>
        <v>✗  AVOID</v>
      </c>
    </row>
    <row r="10" customFormat="false" ht="15" hidden="false" customHeight="true" outlineLevel="0" collapsed="false">
      <c r="A10" s="72" t="n">
        <v>7.5</v>
      </c>
      <c r="B10" s="73" t="n">
        <f aca="false">IF(Calculator!$E$11="YES",IF(A10&lt;Calculator!$G$11,0,MIN(MIN(MOD(A10/Calculator!$F$11,1),1-MOD(A10/Calculator!$F$11,1)),ABS(MOD(A10/Calculator!$F$11,1)-0.5))),1)</f>
        <v>1</v>
      </c>
      <c r="C10" s="73" t="n">
        <f aca="false">IF(Calculator!$E$12="YES",IF(A10&lt;Calculator!$G$12,0,MIN(MIN(MOD(A10/Calculator!$F$12,1),1-MOD(A10/Calculator!$F$12,1)),ABS(MOD(A10/Calculator!$F$12,1)-0.5))),1)</f>
        <v>1</v>
      </c>
      <c r="D10" s="73" t="n">
        <f aca="false">IF(Calculator!$E$13="YES",IF(A10&lt;Calculator!$G$13,0,MIN(MIN(MOD(A10/Calculator!$F$13,1),1-MOD(A10/Calculator!$F$13,1)),ABS(MOD(A10/Calculator!$F$13,1)-0.5))),1)</f>
        <v>1</v>
      </c>
      <c r="E10" s="73" t="n">
        <f aca="false">IF(Calculator!$E$14="YES",IF(A10&lt;Calculator!$G$14,0,MIN(MIN(MOD(A10/Calculator!$F$14,1),1-MOD(A10/Calculator!$F$14,1)),ABS(MOD(A10/Calculator!$F$14,1)-0.5))),1)</f>
        <v>1</v>
      </c>
      <c r="F10" s="73" t="n">
        <f aca="false">IF(Calculator!$E$15="YES",IF(A10&lt;Calculator!$G$15,0,MIN(MIN(MOD(A10/Calculator!$F$15,1),1-MOD(A10/Calculator!$F$15,1)),ABS(MOD(A10/Calculator!$F$15,1)-0.5))),1)</f>
        <v>0.0192307692307693</v>
      </c>
      <c r="G10" s="73" t="n">
        <f aca="false">IF(Calculator!$E$16="YES",IF(A10&lt;Calculator!$G$16,0,MIN(MIN(MOD(A10/Calculator!$F$16,1),1-MOD(A10/Calculator!$F$16,1)),ABS(MOD(A10/Calculator!$F$16,1)-0.5))),1)</f>
        <v>0.226923076923077</v>
      </c>
      <c r="H10" s="73" t="n">
        <f aca="false">IF(Calculator!$E$17="YES",IF(A10&lt;Calculator!$G$17,0,MIN(MIN(MOD(A10/Calculator!$F$17,1),1-MOD(A10/Calculator!$F$17,1)),ABS(MOD(A10/Calculator!$F$17,1)-0.5))),1)</f>
        <v>0.0708717948717947</v>
      </c>
      <c r="I10" s="73" t="n">
        <f aca="false">IF(Calculator!$E$18="YES",IF(A10&lt;Calculator!$G$18,0,MIN(MIN(MOD(A10/Calculator!$F$18,1),1-MOD(A10/Calculator!$F$18,1)),ABS(MOD(A10/Calculator!$F$18,1)-0.5))),1)</f>
        <v>0.0884615384615386</v>
      </c>
      <c r="J10" s="73" t="n">
        <f aca="false">IF(Calculator!$E$19="YES",IF(A10&lt;Calculator!$G$19,0,MIN(MIN(MOD(A10/Calculator!$F$19,1),1-MOD(A10/Calculator!$F$19,1)),ABS(MOD(A10/Calculator!$F$19,1)-0.5))),1)</f>
        <v>0.221025641025642</v>
      </c>
      <c r="K10" s="73" t="n">
        <f aca="false">IF(Calculator!$E$20="YES",IF(A10&lt;Calculator!$G$20,0,MIN(MIN(MOD(A10/Calculator!$F$20,1),1-MOD(A10/Calculator!$F$20,1)),ABS(MOD(A10/Calculator!$F$20,1)-0.5))),1)</f>
        <v>0.0205128205128204</v>
      </c>
      <c r="L10" s="73" t="n">
        <f aca="false">IF(Calculator!$E$21="YES",IF(A10&lt;Calculator!$G$21,0,MIN(MIN(MOD(A10/Calculator!$F$21,1),1-MOD(A10/Calculator!$F$21,1)),ABS(MOD(A10/Calculator!$F$21,1)-0.5))),1)</f>
        <v>1</v>
      </c>
      <c r="M10" s="74" t="n">
        <f aca="false">MIN(B10:L10)</f>
        <v>0.0192307692307693</v>
      </c>
      <c r="N10" s="75" t="n">
        <f aca="false">SUMPRODUCT(($M$5:$M$115&gt;M10)*1)+SUMPRODUCT(($M$5:$M$115=M10)*(ROW($M$5:$M$115)&lt;ROW(M10)))+1</f>
        <v>68</v>
      </c>
      <c r="O10" s="76" t="str">
        <f aca="false">IF(M10&gt;=0.2,"★★★ EXCELLENT",IF(M10&gt;=0.12,"★★  GOOD",IF(M10&gt;=0.07,"★  FAIR",IF(M10&gt;=0.025,"⚠  MARGINAL","✗  AVOID"))))</f>
        <v>✗  AVOID</v>
      </c>
    </row>
    <row r="11" customFormat="false" ht="15" hidden="false" customHeight="true" outlineLevel="0" collapsed="false">
      <c r="A11" s="72" t="n">
        <v>8</v>
      </c>
      <c r="B11" s="73" t="n">
        <f aca="false">IF(Calculator!$E$11="YES",IF(A11&lt;Calculator!$G$11,0,MIN(MIN(MOD(A11/Calculator!$F$11,1),1-MOD(A11/Calculator!$F$11,1)),ABS(MOD(A11/Calculator!$F$11,1)-0.5))),1)</f>
        <v>1</v>
      </c>
      <c r="C11" s="73" t="n">
        <f aca="false">IF(Calculator!$E$12="YES",IF(A11&lt;Calculator!$G$12,0,MIN(MIN(MOD(A11/Calculator!$F$12,1),1-MOD(A11/Calculator!$F$12,1)),ABS(MOD(A11/Calculator!$F$12,1)-0.5))),1)</f>
        <v>1</v>
      </c>
      <c r="D11" s="73" t="n">
        <f aca="false">IF(Calculator!$E$13="YES",IF(A11&lt;Calculator!$G$13,0,MIN(MIN(MOD(A11/Calculator!$F$13,1),1-MOD(A11/Calculator!$F$13,1)),ABS(MOD(A11/Calculator!$F$13,1)-0.5))),1)</f>
        <v>1</v>
      </c>
      <c r="E11" s="73" t="n">
        <f aca="false">IF(Calculator!$E$14="YES",IF(A11&lt;Calculator!$G$14,0,MIN(MIN(MOD(A11/Calculator!$F$14,1),1-MOD(A11/Calculator!$F$14,1)),ABS(MOD(A11/Calculator!$F$14,1)-0.5))),1)</f>
        <v>1</v>
      </c>
      <c r="F11" s="73" t="n">
        <f aca="false">IF(Calculator!$E$15="YES",IF(A11&lt;Calculator!$G$15,0,MIN(MIN(MOD(A11/Calculator!$F$15,1),1-MOD(A11/Calculator!$F$15,1)),ABS(MOD(A11/Calculator!$F$15,1)-0.5))),1)</f>
        <v>0.0538461538461539</v>
      </c>
      <c r="G11" s="73" t="n">
        <f aca="false">IF(Calculator!$E$16="YES",IF(A11&lt;Calculator!$G$16,0,MIN(MIN(MOD(A11/Calculator!$F$16,1),1-MOD(A11/Calculator!$F$16,1)),ABS(MOD(A11/Calculator!$F$16,1)-0.5))),1)</f>
        <v>0.224615384615385</v>
      </c>
      <c r="H11" s="73" t="n">
        <f aca="false">IF(Calculator!$E$17="YES",IF(A11&lt;Calculator!$G$17,0,MIN(MIN(MOD(A11/Calculator!$F$17,1),1-MOD(A11/Calculator!$F$17,1)),ABS(MOD(A11/Calculator!$F$17,1)-0.5))),1)</f>
        <v>0.00892991452991432</v>
      </c>
      <c r="I11" s="73" t="n">
        <f aca="false">IF(Calculator!$E$18="YES",IF(A11&lt;Calculator!$G$18,0,MIN(MIN(MOD(A11/Calculator!$F$18,1),1-MOD(A11/Calculator!$F$18,1)),ABS(MOD(A11/Calculator!$F$18,1)-0.5))),1)</f>
        <v>0.161025641025641</v>
      </c>
      <c r="J11" s="73" t="n">
        <f aca="false">IF(Calculator!$E$19="YES",IF(A11&lt;Calculator!$G$19,0,MIN(MIN(MOD(A11/Calculator!$F$19,1),1-MOD(A11/Calculator!$F$19,1)),ABS(MOD(A11/Calculator!$F$19,1)-0.5))),1)</f>
        <v>0.135760683760685</v>
      </c>
      <c r="K11" s="73" t="n">
        <f aca="false">IF(Calculator!$E$20="YES",IF(A11&lt;Calculator!$G$20,0,MIN(MIN(MOD(A11/Calculator!$F$20,1),1-MOD(A11/Calculator!$F$20,1)),ABS(MOD(A11/Calculator!$F$20,1)-0.5))),1)</f>
        <v>0.0781196581196584</v>
      </c>
      <c r="L11" s="73" t="n">
        <f aca="false">IF(Calculator!$E$21="YES",IF(A11&lt;Calculator!$G$21,0,MIN(MIN(MOD(A11/Calculator!$F$21,1),1-MOD(A11/Calculator!$F$21,1)),ABS(MOD(A11/Calculator!$F$21,1)-0.5))),1)</f>
        <v>1</v>
      </c>
      <c r="M11" s="74" t="n">
        <f aca="false">MIN(B11:L11)</f>
        <v>0.00892991452991432</v>
      </c>
      <c r="N11" s="75" t="n">
        <f aca="false">SUMPRODUCT(($M$5:$M$115&gt;M11)*1)+SUMPRODUCT(($M$5:$M$115=M11)*(ROW($M$5:$M$115)&lt;ROW(M11)))+1</f>
        <v>88</v>
      </c>
      <c r="O11" s="76" t="str">
        <f aca="false">IF(M11&gt;=0.2,"★★★ EXCELLENT",IF(M11&gt;=0.12,"★★  GOOD",IF(M11&gt;=0.07,"★  FAIR",IF(M11&gt;=0.025,"⚠  MARGINAL","✗  AVOID"))))</f>
        <v>✗  AVOID</v>
      </c>
    </row>
    <row r="12" customFormat="false" ht="15" hidden="false" customHeight="true" outlineLevel="0" collapsed="false">
      <c r="A12" s="72" t="n">
        <v>8.5</v>
      </c>
      <c r="B12" s="73" t="n">
        <f aca="false">IF(Calculator!$E$11="YES",IF(A12&lt;Calculator!$G$11,0,MIN(MIN(MOD(A12/Calculator!$F$11,1),1-MOD(A12/Calculator!$F$11,1)),ABS(MOD(A12/Calculator!$F$11,1)-0.5))),1)</f>
        <v>1</v>
      </c>
      <c r="C12" s="73" t="n">
        <f aca="false">IF(Calculator!$E$12="YES",IF(A12&lt;Calculator!$G$12,0,MIN(MIN(MOD(A12/Calculator!$F$12,1),1-MOD(A12/Calculator!$F$12,1)),ABS(MOD(A12/Calculator!$F$12,1)-0.5))),1)</f>
        <v>1</v>
      </c>
      <c r="D12" s="73" t="n">
        <f aca="false">IF(Calculator!$E$13="YES",IF(A12&lt;Calculator!$G$13,0,MIN(MIN(MOD(A12/Calculator!$F$13,1),1-MOD(A12/Calculator!$F$13,1)),ABS(MOD(A12/Calculator!$F$13,1)-0.5))),1)</f>
        <v>1</v>
      </c>
      <c r="E12" s="73" t="n">
        <f aca="false">IF(Calculator!$E$14="YES",IF(A12&lt;Calculator!$G$14,0,MIN(MIN(MOD(A12/Calculator!$F$14,1),1-MOD(A12/Calculator!$F$14,1)),ABS(MOD(A12/Calculator!$F$14,1)-0.5))),1)</f>
        <v>1</v>
      </c>
      <c r="F12" s="73" t="n">
        <f aca="false">IF(Calculator!$E$15="YES",IF(A12&lt;Calculator!$G$15,0,MIN(MIN(MOD(A12/Calculator!$F$15,1),1-MOD(A12/Calculator!$F$15,1)),ABS(MOD(A12/Calculator!$F$15,1)-0.5))),1)</f>
        <v>0.0884615384615385</v>
      </c>
      <c r="G12" s="73" t="n">
        <f aca="false">IF(Calculator!$E$16="YES",IF(A12&lt;Calculator!$G$16,0,MIN(MIN(MOD(A12/Calculator!$F$16,1),1-MOD(A12/Calculator!$F$16,1)),ABS(MOD(A12/Calculator!$F$16,1)-0.5))),1)</f>
        <v>0.176153846153846</v>
      </c>
      <c r="H12" s="73" t="n">
        <f aca="false">IF(Calculator!$E$17="YES",IF(A12&lt;Calculator!$G$17,0,MIN(MIN(MOD(A12/Calculator!$F$17,1),1-MOD(A12/Calculator!$F$17,1)),ABS(MOD(A12/Calculator!$F$17,1)-0.5))),1)</f>
        <v>0.0530119658119661</v>
      </c>
      <c r="I12" s="73" t="n">
        <f aca="false">IF(Calculator!$E$18="YES",IF(A12&lt;Calculator!$G$18,0,MIN(MIN(MOD(A12/Calculator!$F$18,1),1-MOD(A12/Calculator!$F$18,1)),ABS(MOD(A12/Calculator!$F$18,1)-0.5))),1)</f>
        <v>0.233589743589744</v>
      </c>
      <c r="J12" s="73" t="n">
        <f aca="false">IF(Calculator!$E$19="YES",IF(A12&lt;Calculator!$G$19,0,MIN(MIN(MOD(A12/Calculator!$F$19,1),1-MOD(A12/Calculator!$F$19,1)),ABS(MOD(A12/Calculator!$F$19,1)-0.5))),1)</f>
        <v>0.0504957264957275</v>
      </c>
      <c r="K12" s="73" t="n">
        <f aca="false">IF(Calculator!$E$20="YES",IF(A12&lt;Calculator!$G$20,0,MIN(MIN(MOD(A12/Calculator!$F$20,1),1-MOD(A12/Calculator!$F$20,1)),ABS(MOD(A12/Calculator!$F$20,1)-0.5))),1)</f>
        <v>0.176752136752137</v>
      </c>
      <c r="L12" s="73" t="n">
        <f aca="false">IF(Calculator!$E$21="YES",IF(A12&lt;Calculator!$G$21,0,MIN(MIN(MOD(A12/Calculator!$F$21,1),1-MOD(A12/Calculator!$F$21,1)),ABS(MOD(A12/Calculator!$F$21,1)-0.5))),1)</f>
        <v>1</v>
      </c>
      <c r="M12" s="74" t="n">
        <f aca="false">MIN(B12:L12)</f>
        <v>0.0504957264957275</v>
      </c>
      <c r="N12" s="75" t="n">
        <f aca="false">SUMPRODUCT(($M$5:$M$115&gt;M12)*1)+SUMPRODUCT(($M$5:$M$115=M12)*(ROW($M$5:$M$115)&lt;ROW(M12)))+1</f>
        <v>31</v>
      </c>
      <c r="O12" s="76" t="str">
        <f aca="false">IF(M12&gt;=0.2,"★★★ EXCELLENT",IF(M12&gt;=0.12,"★★  GOOD",IF(M12&gt;=0.07,"★  FAIR",IF(M12&gt;=0.025,"⚠  MARGINAL","✗  AVOID"))))</f>
        <v>⚠  MARGINAL</v>
      </c>
    </row>
    <row r="13" customFormat="false" ht="15" hidden="false" customHeight="true" outlineLevel="0" collapsed="false">
      <c r="A13" s="72" t="n">
        <v>9</v>
      </c>
      <c r="B13" s="73" t="n">
        <f aca="false">IF(Calculator!$E$11="YES",IF(A13&lt;Calculator!$G$11,0,MIN(MIN(MOD(A13/Calculator!$F$11,1),1-MOD(A13/Calculator!$F$11,1)),ABS(MOD(A13/Calculator!$F$11,1)-0.5))),1)</f>
        <v>1</v>
      </c>
      <c r="C13" s="73" t="n">
        <f aca="false">IF(Calculator!$E$12="YES",IF(A13&lt;Calculator!$G$12,0,MIN(MIN(MOD(A13/Calculator!$F$12,1),1-MOD(A13/Calculator!$F$12,1)),ABS(MOD(A13/Calculator!$F$12,1)-0.5))),1)</f>
        <v>1</v>
      </c>
      <c r="D13" s="73" t="n">
        <f aca="false">IF(Calculator!$E$13="YES",IF(A13&lt;Calculator!$G$13,0,MIN(MIN(MOD(A13/Calculator!$F$13,1),1-MOD(A13/Calculator!$F$13,1)),ABS(MOD(A13/Calculator!$F$13,1)-0.5))),1)</f>
        <v>1</v>
      </c>
      <c r="E13" s="73" t="n">
        <f aca="false">IF(Calculator!$E$14="YES",IF(A13&lt;Calculator!$G$14,0,MIN(MIN(MOD(A13/Calculator!$F$14,1),1-MOD(A13/Calculator!$F$14,1)),ABS(MOD(A13/Calculator!$F$14,1)-0.5))),1)</f>
        <v>1</v>
      </c>
      <c r="F13" s="73" t="n">
        <f aca="false">IF(Calculator!$E$15="YES",IF(A13&lt;Calculator!$G$15,0,MIN(MIN(MOD(A13/Calculator!$F$15,1),1-MOD(A13/Calculator!$F$15,1)),ABS(MOD(A13/Calculator!$F$15,1)-0.5))),1)</f>
        <v>0.123076923076923</v>
      </c>
      <c r="G13" s="73" t="n">
        <f aca="false">IF(Calculator!$E$16="YES",IF(A13&lt;Calculator!$G$16,0,MIN(MIN(MOD(A13/Calculator!$F$16,1),1-MOD(A13/Calculator!$F$16,1)),ABS(MOD(A13/Calculator!$F$16,1)-0.5))),1)</f>
        <v>0.127692307692308</v>
      </c>
      <c r="H13" s="73" t="n">
        <f aca="false">IF(Calculator!$E$17="YES",IF(A13&lt;Calculator!$G$17,0,MIN(MIN(MOD(A13/Calculator!$F$17,1),1-MOD(A13/Calculator!$F$17,1)),ABS(MOD(A13/Calculator!$F$17,1)-0.5))),1)</f>
        <v>0.114953846153846</v>
      </c>
      <c r="I13" s="73" t="n">
        <f aca="false">IF(Calculator!$E$18="YES",IF(A13&lt;Calculator!$G$18,0,MIN(MIN(MOD(A13/Calculator!$F$18,1),1-MOD(A13/Calculator!$F$18,1)),ABS(MOD(A13/Calculator!$F$18,1)-0.5))),1)</f>
        <v>0.193846153846154</v>
      </c>
      <c r="J13" s="73" t="n">
        <f aca="false">IF(Calculator!$E$19="YES",IF(A13&lt;Calculator!$G$19,0,MIN(MIN(MOD(A13/Calculator!$F$19,1),1-MOD(A13/Calculator!$F$19,1)),ABS(MOD(A13/Calculator!$F$19,1)-0.5))),1)</f>
        <v>0.0347692307692296</v>
      </c>
      <c r="K13" s="73" t="n">
        <f aca="false">IF(Calculator!$E$20="YES",IF(A13&lt;Calculator!$G$20,0,MIN(MIN(MOD(A13/Calculator!$F$20,1),1-MOD(A13/Calculator!$F$20,1)),ABS(MOD(A13/Calculator!$F$20,1)-0.5))),1)</f>
        <v>0.224615384615384</v>
      </c>
      <c r="L13" s="73" t="n">
        <f aca="false">IF(Calculator!$E$21="YES",IF(A13&lt;Calculator!$G$21,0,MIN(MIN(MOD(A13/Calculator!$F$21,1),1-MOD(A13/Calculator!$F$21,1)),ABS(MOD(A13/Calculator!$F$21,1)-0.5))),1)</f>
        <v>1</v>
      </c>
      <c r="M13" s="74" t="n">
        <f aca="false">MIN(B13:L13)</f>
        <v>0.0347692307692296</v>
      </c>
      <c r="N13" s="75" t="n">
        <f aca="false">SUMPRODUCT(($M$5:$M$115&gt;M13)*1)+SUMPRODUCT(($M$5:$M$115=M13)*(ROW($M$5:$M$115)&lt;ROW(M13)))+1</f>
        <v>46</v>
      </c>
      <c r="O13" s="76" t="str">
        <f aca="false">IF(M13&gt;=0.2,"★★★ EXCELLENT",IF(M13&gt;=0.12,"★★  GOOD",IF(M13&gt;=0.07,"★  FAIR",IF(M13&gt;=0.025,"⚠  MARGINAL","✗  AVOID"))))</f>
        <v>⚠  MARGINAL</v>
      </c>
    </row>
    <row r="14" customFormat="false" ht="15" hidden="false" customHeight="true" outlineLevel="0" collapsed="false">
      <c r="A14" s="72" t="n">
        <v>9.5</v>
      </c>
      <c r="B14" s="73" t="n">
        <f aca="false">IF(Calculator!$E$11="YES",IF(A14&lt;Calculator!$G$11,0,MIN(MIN(MOD(A14/Calculator!$F$11,1),1-MOD(A14/Calculator!$F$11,1)),ABS(MOD(A14/Calculator!$F$11,1)-0.5))),1)</f>
        <v>1</v>
      </c>
      <c r="C14" s="73" t="n">
        <f aca="false">IF(Calculator!$E$12="YES",IF(A14&lt;Calculator!$G$12,0,MIN(MIN(MOD(A14/Calculator!$F$12,1),1-MOD(A14/Calculator!$F$12,1)),ABS(MOD(A14/Calculator!$F$12,1)-0.5))),1)</f>
        <v>1</v>
      </c>
      <c r="D14" s="73" t="n">
        <f aca="false">IF(Calculator!$E$13="YES",IF(A14&lt;Calculator!$G$13,0,MIN(MIN(MOD(A14/Calculator!$F$13,1),1-MOD(A14/Calculator!$F$13,1)),ABS(MOD(A14/Calculator!$F$13,1)-0.5))),1)</f>
        <v>1</v>
      </c>
      <c r="E14" s="73" t="n">
        <f aca="false">IF(Calculator!$E$14="YES",IF(A14&lt;Calculator!$G$14,0,MIN(MIN(MOD(A14/Calculator!$F$14,1),1-MOD(A14/Calculator!$F$14,1)),ABS(MOD(A14/Calculator!$F$14,1)-0.5))),1)</f>
        <v>1</v>
      </c>
      <c r="F14" s="73" t="n">
        <f aca="false">IF(Calculator!$E$15="YES",IF(A14&lt;Calculator!$G$15,0,MIN(MIN(MOD(A14/Calculator!$F$15,1),1-MOD(A14/Calculator!$F$15,1)),ABS(MOD(A14/Calculator!$F$15,1)-0.5))),1)</f>
        <v>0.157692307692308</v>
      </c>
      <c r="G14" s="73" t="n">
        <f aca="false">IF(Calculator!$E$16="YES",IF(A14&lt;Calculator!$G$16,0,MIN(MIN(MOD(A14/Calculator!$F$16,1),1-MOD(A14/Calculator!$F$16,1)),ABS(MOD(A14/Calculator!$F$16,1)-0.5))),1)</f>
        <v>0.0792307692307691</v>
      </c>
      <c r="H14" s="73" t="n">
        <f aca="false">IF(Calculator!$E$17="YES",IF(A14&lt;Calculator!$G$17,0,MIN(MIN(MOD(A14/Calculator!$F$17,1),1-MOD(A14/Calculator!$F$17,1)),ABS(MOD(A14/Calculator!$F$17,1)-0.5))),1)</f>
        <v>0.176895726495727</v>
      </c>
      <c r="I14" s="73" t="n">
        <f aca="false">IF(Calculator!$E$18="YES",IF(A14&lt;Calculator!$G$18,0,MIN(MIN(MOD(A14/Calculator!$F$18,1),1-MOD(A14/Calculator!$F$18,1)),ABS(MOD(A14/Calculator!$F$18,1)-0.5))),1)</f>
        <v>0.121282051282051</v>
      </c>
      <c r="J14" s="73" t="n">
        <f aca="false">IF(Calculator!$E$19="YES",IF(A14&lt;Calculator!$G$19,0,MIN(MIN(MOD(A14/Calculator!$F$19,1),1-MOD(A14/Calculator!$F$19,1)),ABS(MOD(A14/Calculator!$F$19,1)-0.5))),1)</f>
        <v>0.120034188034187</v>
      </c>
      <c r="K14" s="73" t="n">
        <f aca="false">IF(Calculator!$E$20="YES",IF(A14&lt;Calculator!$G$20,0,MIN(MIN(MOD(A14/Calculator!$F$20,1),1-MOD(A14/Calculator!$F$20,1)),ABS(MOD(A14/Calculator!$F$20,1)-0.5))),1)</f>
        <v>0.125982905982906</v>
      </c>
      <c r="L14" s="73" t="n">
        <f aca="false">IF(Calculator!$E$21="YES",IF(A14&lt;Calculator!$G$21,0,MIN(MIN(MOD(A14/Calculator!$F$21,1),1-MOD(A14/Calculator!$F$21,1)),ABS(MOD(A14/Calculator!$F$21,1)-0.5))),1)</f>
        <v>1</v>
      </c>
      <c r="M14" s="74" t="n">
        <f aca="false">MIN(B14:L14)</f>
        <v>0.0792307692307691</v>
      </c>
      <c r="N14" s="75" t="n">
        <f aca="false">SUMPRODUCT(($M$5:$M$115&gt;M14)*1)+SUMPRODUCT(($M$5:$M$115=M14)*(ROW($M$5:$M$115)&lt;ROW(M14)))+1</f>
        <v>12</v>
      </c>
      <c r="O14" s="76" t="str">
        <f aca="false">IF(M14&gt;=0.2,"★★★ EXCELLENT",IF(M14&gt;=0.12,"★★  GOOD",IF(M14&gt;=0.07,"★  FAIR",IF(M14&gt;=0.025,"⚠  MARGINAL","✗  AVOID"))))</f>
        <v>★  FAIR</v>
      </c>
    </row>
    <row r="15" customFormat="false" ht="15" hidden="false" customHeight="true" outlineLevel="0" collapsed="false">
      <c r="A15" s="72" t="n">
        <v>10</v>
      </c>
      <c r="B15" s="73" t="n">
        <f aca="false">IF(Calculator!$E$11="YES",IF(A15&lt;Calculator!$G$11,0,MIN(MIN(MOD(A15/Calculator!$F$11,1),1-MOD(A15/Calculator!$F$11,1)),ABS(MOD(A15/Calculator!$F$11,1)-0.5))),1)</f>
        <v>1</v>
      </c>
      <c r="C15" s="73" t="n">
        <f aca="false">IF(Calculator!$E$12="YES",IF(A15&lt;Calculator!$G$12,0,MIN(MIN(MOD(A15/Calculator!$F$12,1),1-MOD(A15/Calculator!$F$12,1)),ABS(MOD(A15/Calculator!$F$12,1)-0.5))),1)</f>
        <v>1</v>
      </c>
      <c r="D15" s="73" t="n">
        <f aca="false">IF(Calculator!$E$13="YES",IF(A15&lt;Calculator!$G$13,0,MIN(MIN(MOD(A15/Calculator!$F$13,1),1-MOD(A15/Calculator!$F$13,1)),ABS(MOD(A15/Calculator!$F$13,1)-0.5))),1)</f>
        <v>1</v>
      </c>
      <c r="E15" s="73" t="n">
        <f aca="false">IF(Calculator!$E$14="YES",IF(A15&lt;Calculator!$G$14,0,MIN(MIN(MOD(A15/Calculator!$F$14,1),1-MOD(A15/Calculator!$F$14,1)),ABS(MOD(A15/Calculator!$F$14,1)-0.5))),1)</f>
        <v>1</v>
      </c>
      <c r="F15" s="73" t="n">
        <f aca="false">IF(Calculator!$E$15="YES",IF(A15&lt;Calculator!$G$15,0,MIN(MIN(MOD(A15/Calculator!$F$15,1),1-MOD(A15/Calculator!$F$15,1)),ABS(MOD(A15/Calculator!$F$15,1)-0.5))),1)</f>
        <v>0.192307692307692</v>
      </c>
      <c r="G15" s="73" t="n">
        <f aca="false">IF(Calculator!$E$16="YES",IF(A15&lt;Calculator!$G$16,0,MIN(MIN(MOD(A15/Calculator!$F$16,1),1-MOD(A15/Calculator!$F$16,1)),ABS(MOD(A15/Calculator!$F$16,1)-0.5))),1)</f>
        <v>0.0307692307692307</v>
      </c>
      <c r="H15" s="73" t="n">
        <f aca="false">IF(Calculator!$E$17="YES",IF(A15&lt;Calculator!$G$17,0,MIN(MIN(MOD(A15/Calculator!$F$17,1),1-MOD(A15/Calculator!$F$17,1)),ABS(MOD(A15/Calculator!$F$17,1)-0.5))),1)</f>
        <v>0.238837606837607</v>
      </c>
      <c r="I15" s="73" t="n">
        <f aca="false">IF(Calculator!$E$18="YES",IF(A15&lt;Calculator!$G$18,0,MIN(MIN(MOD(A15/Calculator!$F$18,1),1-MOD(A15/Calculator!$F$18,1)),ABS(MOD(A15/Calculator!$F$18,1)-0.5))),1)</f>
        <v>0.0487179487179485</v>
      </c>
      <c r="J15" s="73" t="n">
        <f aca="false">IF(Calculator!$E$19="YES",IF(A15&lt;Calculator!$G$19,0,MIN(MIN(MOD(A15/Calculator!$F$19,1),1-MOD(A15/Calculator!$F$19,1)),ABS(MOD(A15/Calculator!$F$19,1)-0.5))),1)</f>
        <v>0.205299145299144</v>
      </c>
      <c r="K15" s="73" t="n">
        <f aca="false">IF(Calculator!$E$20="YES",IF(A15&lt;Calculator!$G$20,0,MIN(MIN(MOD(A15/Calculator!$F$20,1),1-MOD(A15/Calculator!$F$20,1)),ABS(MOD(A15/Calculator!$F$20,1)-0.5))),1)</f>
        <v>0.027350427350427</v>
      </c>
      <c r="L15" s="73" t="n">
        <f aca="false">IF(Calculator!$E$21="YES",IF(A15&lt;Calculator!$G$21,0,MIN(MIN(MOD(A15/Calculator!$F$21,1),1-MOD(A15/Calculator!$F$21,1)),ABS(MOD(A15/Calculator!$F$21,1)-0.5))),1)</f>
        <v>1</v>
      </c>
      <c r="M15" s="74" t="n">
        <f aca="false">MIN(B15:L15)</f>
        <v>0.027350427350427</v>
      </c>
      <c r="N15" s="75" t="n">
        <f aca="false">SUMPRODUCT(($M$5:$M$115&gt;M15)*1)+SUMPRODUCT(($M$5:$M$115=M15)*(ROW($M$5:$M$115)&lt;ROW(M15)))+1</f>
        <v>56</v>
      </c>
      <c r="O15" s="76" t="str">
        <f aca="false">IF(M15&gt;=0.2,"★★★ EXCELLENT",IF(M15&gt;=0.12,"★★  GOOD",IF(M15&gt;=0.07,"★  FAIR",IF(M15&gt;=0.025,"⚠  MARGINAL","✗  AVOID"))))</f>
        <v>⚠  MARGINAL</v>
      </c>
    </row>
    <row r="16" customFormat="false" ht="15" hidden="false" customHeight="true" outlineLevel="0" collapsed="false">
      <c r="A16" s="72" t="n">
        <v>10.5</v>
      </c>
      <c r="B16" s="73" t="n">
        <f aca="false">IF(Calculator!$E$11="YES",IF(A16&lt;Calculator!$G$11,0,MIN(MIN(MOD(A16/Calculator!$F$11,1),1-MOD(A16/Calculator!$F$11,1)),ABS(MOD(A16/Calculator!$F$11,1)-0.5))),1)</f>
        <v>1</v>
      </c>
      <c r="C16" s="73" t="n">
        <f aca="false">IF(Calculator!$E$12="YES",IF(A16&lt;Calculator!$G$12,0,MIN(MIN(MOD(A16/Calculator!$F$12,1),1-MOD(A16/Calculator!$F$12,1)),ABS(MOD(A16/Calculator!$F$12,1)-0.5))),1)</f>
        <v>1</v>
      </c>
      <c r="D16" s="73" t="n">
        <f aca="false">IF(Calculator!$E$13="YES",IF(A16&lt;Calculator!$G$13,0,MIN(MIN(MOD(A16/Calculator!$F$13,1),1-MOD(A16/Calculator!$F$13,1)),ABS(MOD(A16/Calculator!$F$13,1)-0.5))),1)</f>
        <v>1</v>
      </c>
      <c r="E16" s="73" t="n">
        <f aca="false">IF(Calculator!$E$14="YES",IF(A16&lt;Calculator!$G$14,0,MIN(MIN(MOD(A16/Calculator!$F$14,1),1-MOD(A16/Calculator!$F$14,1)),ABS(MOD(A16/Calculator!$F$14,1)-0.5))),1)</f>
        <v>1</v>
      </c>
      <c r="F16" s="73" t="n">
        <f aca="false">IF(Calculator!$E$15="YES",IF(A16&lt;Calculator!$G$15,0,MIN(MIN(MOD(A16/Calculator!$F$15,1),1-MOD(A16/Calculator!$F$15,1)),ABS(MOD(A16/Calculator!$F$15,1)-0.5))),1)</f>
        <v>0.226923076923077</v>
      </c>
      <c r="G16" s="73" t="n">
        <f aca="false">IF(Calculator!$E$16="YES",IF(A16&lt;Calculator!$G$16,0,MIN(MIN(MOD(A16/Calculator!$F$16,1),1-MOD(A16/Calculator!$F$16,1)),ABS(MOD(A16/Calculator!$F$16,1)-0.5))),1)</f>
        <v>0.0176923076923079</v>
      </c>
      <c r="H16" s="73" t="n">
        <f aca="false">IF(Calculator!$E$17="YES",IF(A16&lt;Calculator!$G$17,0,MIN(MIN(MOD(A16/Calculator!$F$17,1),1-MOD(A16/Calculator!$F$17,1)),ABS(MOD(A16/Calculator!$F$17,1)-0.5))),1)</f>
        <v>0.199220512820513</v>
      </c>
      <c r="I16" s="73" t="n">
        <f aca="false">IF(Calculator!$E$18="YES",IF(A16&lt;Calculator!$G$18,0,MIN(MIN(MOD(A16/Calculator!$F$18,1),1-MOD(A16/Calculator!$F$18,1)),ABS(MOD(A16/Calculator!$F$18,1)-0.5))),1)</f>
        <v>0.0238461538461541</v>
      </c>
      <c r="J16" s="73" t="n">
        <f aca="false">IF(Calculator!$E$19="YES",IF(A16&lt;Calculator!$G$19,0,MIN(MIN(MOD(A16/Calculator!$F$19,1),1-MOD(A16/Calculator!$F$19,1)),ABS(MOD(A16/Calculator!$F$19,1)-0.5))),1)</f>
        <v>0.209435897435899</v>
      </c>
      <c r="K16" s="73" t="n">
        <f aca="false">IF(Calculator!$E$20="YES",IF(A16&lt;Calculator!$G$20,0,MIN(MIN(MOD(A16/Calculator!$F$20,1),1-MOD(A16/Calculator!$F$20,1)),ABS(MOD(A16/Calculator!$F$20,1)-0.5))),1)</f>
        <v>0.0712820512820516</v>
      </c>
      <c r="L16" s="73" t="n">
        <f aca="false">IF(Calculator!$E$21="YES",IF(A16&lt;Calculator!$G$21,0,MIN(MIN(MOD(A16/Calculator!$F$21,1),1-MOD(A16/Calculator!$F$21,1)),ABS(MOD(A16/Calculator!$F$21,1)-0.5))),1)</f>
        <v>1</v>
      </c>
      <c r="M16" s="74" t="n">
        <f aca="false">MIN(B16:L16)</f>
        <v>0.0176923076923079</v>
      </c>
      <c r="N16" s="75" t="n">
        <f aca="false">SUMPRODUCT(($M$5:$M$115&gt;M16)*1)+SUMPRODUCT(($M$5:$M$115=M16)*(ROW($M$5:$M$115)&lt;ROW(M16)))+1</f>
        <v>73</v>
      </c>
      <c r="O16" s="76" t="str">
        <f aca="false">IF(M16&gt;=0.2,"★★★ EXCELLENT",IF(M16&gt;=0.12,"★★  GOOD",IF(M16&gt;=0.07,"★  FAIR",IF(M16&gt;=0.025,"⚠  MARGINAL","✗  AVOID"))))</f>
        <v>✗  AVOID</v>
      </c>
    </row>
    <row r="17" customFormat="false" ht="15" hidden="false" customHeight="true" outlineLevel="0" collapsed="false">
      <c r="A17" s="72" t="n">
        <v>11</v>
      </c>
      <c r="B17" s="73" t="n">
        <f aca="false">IF(Calculator!$E$11="YES",IF(A17&lt;Calculator!$G$11,0,MIN(MIN(MOD(A17/Calculator!$F$11,1),1-MOD(A17/Calculator!$F$11,1)),ABS(MOD(A17/Calculator!$F$11,1)-0.5))),1)</f>
        <v>1</v>
      </c>
      <c r="C17" s="73" t="n">
        <f aca="false">IF(Calculator!$E$12="YES",IF(A17&lt;Calculator!$G$12,0,MIN(MIN(MOD(A17/Calculator!$F$12,1),1-MOD(A17/Calculator!$F$12,1)),ABS(MOD(A17/Calculator!$F$12,1)-0.5))),1)</f>
        <v>1</v>
      </c>
      <c r="D17" s="73" t="n">
        <f aca="false">IF(Calculator!$E$13="YES",IF(A17&lt;Calculator!$G$13,0,MIN(MIN(MOD(A17/Calculator!$F$13,1),1-MOD(A17/Calculator!$F$13,1)),ABS(MOD(A17/Calculator!$F$13,1)-0.5))),1)</f>
        <v>1</v>
      </c>
      <c r="E17" s="73" t="n">
        <f aca="false">IF(Calculator!$E$14="YES",IF(A17&lt;Calculator!$G$14,0,MIN(MIN(MOD(A17/Calculator!$F$14,1),1-MOD(A17/Calculator!$F$14,1)),ABS(MOD(A17/Calculator!$F$14,1)-0.5))),1)</f>
        <v>1</v>
      </c>
      <c r="F17" s="73" t="n">
        <f aca="false">IF(Calculator!$E$15="YES",IF(A17&lt;Calculator!$G$15,0,MIN(MIN(MOD(A17/Calculator!$F$15,1),1-MOD(A17/Calculator!$F$15,1)),ABS(MOD(A17/Calculator!$F$15,1)-0.5))),1)</f>
        <v>0.238461538461539</v>
      </c>
      <c r="G17" s="73" t="n">
        <f aca="false">IF(Calculator!$E$16="YES",IF(A17&lt;Calculator!$G$16,0,MIN(MIN(MOD(A17/Calculator!$F$16,1),1-MOD(A17/Calculator!$F$16,1)),ABS(MOD(A17/Calculator!$F$16,1)-0.5))),1)</f>
        <v>0.0661538461538462</v>
      </c>
      <c r="H17" s="73" t="n">
        <f aca="false">IF(Calculator!$E$17="YES",IF(A17&lt;Calculator!$G$17,0,MIN(MIN(MOD(A17/Calculator!$F$17,1),1-MOD(A17/Calculator!$F$17,1)),ABS(MOD(A17/Calculator!$F$17,1)-0.5))),1)</f>
        <v>0.137278632478632</v>
      </c>
      <c r="I17" s="73" t="n">
        <f aca="false">IF(Calculator!$E$18="YES",IF(A17&lt;Calculator!$G$18,0,MIN(MIN(MOD(A17/Calculator!$F$18,1),1-MOD(A17/Calculator!$F$18,1)),ABS(MOD(A17/Calculator!$F$18,1)-0.5))),1)</f>
        <v>0.0964102564102567</v>
      </c>
      <c r="J17" s="73" t="n">
        <f aca="false">IF(Calculator!$E$19="YES",IF(A17&lt;Calculator!$G$19,0,MIN(MIN(MOD(A17/Calculator!$F$19,1),1-MOD(A17/Calculator!$F$19,1)),ABS(MOD(A17/Calculator!$F$19,1)-0.5))),1)</f>
        <v>0.124170940170942</v>
      </c>
      <c r="K17" s="73" t="n">
        <f aca="false">IF(Calculator!$E$20="YES",IF(A17&lt;Calculator!$G$20,0,MIN(MIN(MOD(A17/Calculator!$F$20,1),1-MOD(A17/Calculator!$F$20,1)),ABS(MOD(A17/Calculator!$F$20,1)-0.5))),1)</f>
        <v>0.16991452991453</v>
      </c>
      <c r="L17" s="73" t="n">
        <f aca="false">IF(Calculator!$E$21="YES",IF(A17&lt;Calculator!$G$21,0,MIN(MIN(MOD(A17/Calculator!$F$21,1),1-MOD(A17/Calculator!$F$21,1)),ABS(MOD(A17/Calculator!$F$21,1)-0.5))),1)</f>
        <v>1</v>
      </c>
      <c r="M17" s="74" t="n">
        <f aca="false">MIN(B17:L17)</f>
        <v>0.0661538461538462</v>
      </c>
      <c r="N17" s="75" t="n">
        <f aca="false">SUMPRODUCT(($M$5:$M$115&gt;M17)*1)+SUMPRODUCT(($M$5:$M$115=M17)*(ROW($M$5:$M$115)&lt;ROW(M17)))+1</f>
        <v>18</v>
      </c>
      <c r="O17" s="76" t="str">
        <f aca="false">IF(M17&gt;=0.2,"★★★ EXCELLENT",IF(M17&gt;=0.12,"★★  GOOD",IF(M17&gt;=0.07,"★  FAIR",IF(M17&gt;=0.025,"⚠  MARGINAL","✗  AVOID"))))</f>
        <v>⚠  MARGINAL</v>
      </c>
    </row>
    <row r="18" customFormat="false" ht="15" hidden="false" customHeight="true" outlineLevel="0" collapsed="false">
      <c r="A18" s="72" t="n">
        <v>11.5</v>
      </c>
      <c r="B18" s="73" t="n">
        <f aca="false">IF(Calculator!$E$11="YES",IF(A18&lt;Calculator!$G$11,0,MIN(MIN(MOD(A18/Calculator!$F$11,1),1-MOD(A18/Calculator!$F$11,1)),ABS(MOD(A18/Calculator!$F$11,1)-0.5))),1)</f>
        <v>1</v>
      </c>
      <c r="C18" s="73" t="n">
        <f aca="false">IF(Calculator!$E$12="YES",IF(A18&lt;Calculator!$G$12,0,MIN(MIN(MOD(A18/Calculator!$F$12,1),1-MOD(A18/Calculator!$F$12,1)),ABS(MOD(A18/Calculator!$F$12,1)-0.5))),1)</f>
        <v>1</v>
      </c>
      <c r="D18" s="73" t="n">
        <f aca="false">IF(Calculator!$E$13="YES",IF(A18&lt;Calculator!$G$13,0,MIN(MIN(MOD(A18/Calculator!$F$13,1),1-MOD(A18/Calculator!$F$13,1)),ABS(MOD(A18/Calculator!$F$13,1)-0.5))),1)</f>
        <v>1</v>
      </c>
      <c r="E18" s="73" t="n">
        <f aca="false">IF(Calculator!$E$14="YES",IF(A18&lt;Calculator!$G$14,0,MIN(MIN(MOD(A18/Calculator!$F$14,1),1-MOD(A18/Calculator!$F$14,1)),ABS(MOD(A18/Calculator!$F$14,1)-0.5))),1)</f>
        <v>1</v>
      </c>
      <c r="F18" s="73" t="n">
        <f aca="false">IF(Calculator!$E$15="YES",IF(A18&lt;Calculator!$G$15,0,MIN(MIN(MOD(A18/Calculator!$F$15,1),1-MOD(A18/Calculator!$F$15,1)),ABS(MOD(A18/Calculator!$F$15,1)-0.5))),1)</f>
        <v>0.203846153846154</v>
      </c>
      <c r="G18" s="73" t="n">
        <f aca="false">IF(Calculator!$E$16="YES",IF(A18&lt;Calculator!$G$16,0,MIN(MIN(MOD(A18/Calculator!$F$16,1),1-MOD(A18/Calculator!$F$16,1)),ABS(MOD(A18/Calculator!$F$16,1)-0.5))),1)</f>
        <v>0.114615384615385</v>
      </c>
      <c r="H18" s="73" t="n">
        <f aca="false">IF(Calculator!$E$17="YES",IF(A18&lt;Calculator!$G$17,0,MIN(MIN(MOD(A18/Calculator!$F$17,1),1-MOD(A18/Calculator!$F$17,1)),ABS(MOD(A18/Calculator!$F$17,1)-0.5))),1)</f>
        <v>0.0753367521367518</v>
      </c>
      <c r="I18" s="73" t="n">
        <f aca="false">IF(Calculator!$E$18="YES",IF(A18&lt;Calculator!$G$18,0,MIN(MIN(MOD(A18/Calculator!$F$18,1),1-MOD(A18/Calculator!$F$18,1)),ABS(MOD(A18/Calculator!$F$18,1)-0.5))),1)</f>
        <v>0.168974358974359</v>
      </c>
      <c r="J18" s="73" t="n">
        <f aca="false">IF(Calculator!$E$19="YES",IF(A18&lt;Calculator!$G$19,0,MIN(MIN(MOD(A18/Calculator!$F$19,1),1-MOD(A18/Calculator!$F$19,1)),ABS(MOD(A18/Calculator!$F$19,1)-0.5))),1)</f>
        <v>0.0389059829059844</v>
      </c>
      <c r="K18" s="73" t="n">
        <f aca="false">IF(Calculator!$E$20="YES",IF(A18&lt;Calculator!$G$20,0,MIN(MIN(MOD(A18/Calculator!$F$20,1),1-MOD(A18/Calculator!$F$20,1)),ABS(MOD(A18/Calculator!$F$20,1)-0.5))),1)</f>
        <v>0.231452991452991</v>
      </c>
      <c r="L18" s="73" t="n">
        <f aca="false">IF(Calculator!$E$21="YES",IF(A18&lt;Calculator!$G$21,0,MIN(MIN(MOD(A18/Calculator!$F$21,1),1-MOD(A18/Calculator!$F$21,1)),ABS(MOD(A18/Calculator!$F$21,1)-0.5))),1)</f>
        <v>1</v>
      </c>
      <c r="M18" s="74" t="n">
        <f aca="false">MIN(B18:L18)</f>
        <v>0.0389059829059844</v>
      </c>
      <c r="N18" s="75" t="n">
        <f aca="false">SUMPRODUCT(($M$5:$M$115&gt;M18)*1)+SUMPRODUCT(($M$5:$M$115=M18)*(ROW($M$5:$M$115)&lt;ROW(M18)))+1</f>
        <v>38</v>
      </c>
      <c r="O18" s="76" t="str">
        <f aca="false">IF(M18&gt;=0.2,"★★★ EXCELLENT",IF(M18&gt;=0.12,"★★  GOOD",IF(M18&gt;=0.07,"★  FAIR",IF(M18&gt;=0.025,"⚠  MARGINAL","✗  AVOID"))))</f>
        <v>⚠  MARGINAL</v>
      </c>
    </row>
    <row r="19" customFormat="false" ht="15" hidden="false" customHeight="true" outlineLevel="0" collapsed="false">
      <c r="A19" s="72" t="n">
        <v>12</v>
      </c>
      <c r="B19" s="73" t="n">
        <f aca="false">IF(Calculator!$E$11="YES",IF(A19&lt;Calculator!$G$11,0,MIN(MIN(MOD(A19/Calculator!$F$11,1),1-MOD(A19/Calculator!$F$11,1)),ABS(MOD(A19/Calculator!$F$11,1)-0.5))),1)</f>
        <v>1</v>
      </c>
      <c r="C19" s="73" t="n">
        <f aca="false">IF(Calculator!$E$12="YES",IF(A19&lt;Calculator!$G$12,0,MIN(MIN(MOD(A19/Calculator!$F$12,1),1-MOD(A19/Calculator!$F$12,1)),ABS(MOD(A19/Calculator!$F$12,1)-0.5))),1)</f>
        <v>1</v>
      </c>
      <c r="D19" s="73" t="n">
        <f aca="false">IF(Calculator!$E$13="YES",IF(A19&lt;Calculator!$G$13,0,MIN(MIN(MOD(A19/Calculator!$F$13,1),1-MOD(A19/Calculator!$F$13,1)),ABS(MOD(A19/Calculator!$F$13,1)-0.5))),1)</f>
        <v>1</v>
      </c>
      <c r="E19" s="73" t="n">
        <f aca="false">IF(Calculator!$E$14="YES",IF(A19&lt;Calculator!$G$14,0,MIN(MIN(MOD(A19/Calculator!$F$14,1),1-MOD(A19/Calculator!$F$14,1)),ABS(MOD(A19/Calculator!$F$14,1)-0.5))),1)</f>
        <v>1</v>
      </c>
      <c r="F19" s="73" t="n">
        <f aca="false">IF(Calculator!$E$15="YES",IF(A19&lt;Calculator!$G$15,0,MIN(MIN(MOD(A19/Calculator!$F$15,1),1-MOD(A19/Calculator!$F$15,1)),ABS(MOD(A19/Calculator!$F$15,1)-0.5))),1)</f>
        <v>0.169230769230769</v>
      </c>
      <c r="G19" s="73" t="n">
        <f aca="false">IF(Calculator!$E$16="YES",IF(A19&lt;Calculator!$G$16,0,MIN(MIN(MOD(A19/Calculator!$F$16,1),1-MOD(A19/Calculator!$F$16,1)),ABS(MOD(A19/Calculator!$F$16,1)-0.5))),1)</f>
        <v>0.163076923076923</v>
      </c>
      <c r="H19" s="73" t="n">
        <f aca="false">IF(Calculator!$E$17="YES",IF(A19&lt;Calculator!$G$17,0,MIN(MIN(MOD(A19/Calculator!$F$17,1),1-MOD(A19/Calculator!$F$17,1)),ABS(MOD(A19/Calculator!$F$17,1)-0.5))),1)</f>
        <v>0.0133948717948715</v>
      </c>
      <c r="I19" s="73" t="n">
        <f aca="false">IF(Calculator!$E$18="YES",IF(A19&lt;Calculator!$G$18,0,MIN(MIN(MOD(A19/Calculator!$F$18,1),1-MOD(A19/Calculator!$F$18,1)),ABS(MOD(A19/Calculator!$F$18,1)-0.5))),1)</f>
        <v>0.241538461538462</v>
      </c>
      <c r="J19" s="73" t="n">
        <f aca="false">IF(Calculator!$E$19="YES",IF(A19&lt;Calculator!$G$19,0,MIN(MIN(MOD(A19/Calculator!$F$19,1),1-MOD(A19/Calculator!$F$19,1)),ABS(MOD(A19/Calculator!$F$19,1)-0.5))),1)</f>
        <v>0.0463589743589727</v>
      </c>
      <c r="K19" s="73" t="n">
        <f aca="false">IF(Calculator!$E$20="YES",IF(A19&lt;Calculator!$G$20,0,MIN(MIN(MOD(A19/Calculator!$F$20,1),1-MOD(A19/Calculator!$F$20,1)),ABS(MOD(A19/Calculator!$F$20,1)-0.5))),1)</f>
        <v>0.132820512820512</v>
      </c>
      <c r="L19" s="73" t="n">
        <f aca="false">IF(Calculator!$E$21="YES",IF(A19&lt;Calculator!$G$21,0,MIN(MIN(MOD(A19/Calculator!$F$21,1),1-MOD(A19/Calculator!$F$21,1)),ABS(MOD(A19/Calculator!$F$21,1)-0.5))),1)</f>
        <v>1</v>
      </c>
      <c r="M19" s="74" t="n">
        <f aca="false">MIN(B19:L19)</f>
        <v>0.0133948717948715</v>
      </c>
      <c r="N19" s="75" t="n">
        <f aca="false">SUMPRODUCT(($M$5:$M$115&gt;M19)*1)+SUMPRODUCT(($M$5:$M$115=M19)*(ROW($M$5:$M$115)&lt;ROW(M19)))+1</f>
        <v>80</v>
      </c>
      <c r="O19" s="76" t="str">
        <f aca="false">IF(M19&gt;=0.2,"★★★ EXCELLENT",IF(M19&gt;=0.12,"★★  GOOD",IF(M19&gt;=0.07,"★  FAIR",IF(M19&gt;=0.025,"⚠  MARGINAL","✗  AVOID"))))</f>
        <v>✗  AVOID</v>
      </c>
    </row>
    <row r="20" customFormat="false" ht="15" hidden="false" customHeight="true" outlineLevel="0" collapsed="false">
      <c r="A20" s="72" t="n">
        <v>12.5</v>
      </c>
      <c r="B20" s="73" t="n">
        <f aca="false">IF(Calculator!$E$11="YES",IF(A20&lt;Calculator!$G$11,0,MIN(MIN(MOD(A20/Calculator!$F$11,1),1-MOD(A20/Calculator!$F$11,1)),ABS(MOD(A20/Calculator!$F$11,1)-0.5))),1)</f>
        <v>1</v>
      </c>
      <c r="C20" s="73" t="n">
        <f aca="false">IF(Calculator!$E$12="YES",IF(A20&lt;Calculator!$G$12,0,MIN(MIN(MOD(A20/Calculator!$F$12,1),1-MOD(A20/Calculator!$F$12,1)),ABS(MOD(A20/Calculator!$F$12,1)-0.5))),1)</f>
        <v>1</v>
      </c>
      <c r="D20" s="73" t="n">
        <f aca="false">IF(Calculator!$E$13="YES",IF(A20&lt;Calculator!$G$13,0,MIN(MIN(MOD(A20/Calculator!$F$13,1),1-MOD(A20/Calculator!$F$13,1)),ABS(MOD(A20/Calculator!$F$13,1)-0.5))),1)</f>
        <v>1</v>
      </c>
      <c r="E20" s="73" t="n">
        <f aca="false">IF(Calculator!$E$14="YES",IF(A20&lt;Calculator!$G$14,0,MIN(MIN(MOD(A20/Calculator!$F$14,1),1-MOD(A20/Calculator!$F$14,1)),ABS(MOD(A20/Calculator!$F$14,1)-0.5))),1)</f>
        <v>1</v>
      </c>
      <c r="F20" s="73" t="n">
        <f aca="false">IF(Calculator!$E$15="YES",IF(A20&lt;Calculator!$G$15,0,MIN(MIN(MOD(A20/Calculator!$F$15,1),1-MOD(A20/Calculator!$F$15,1)),ABS(MOD(A20/Calculator!$F$15,1)-0.5))),1)</f>
        <v>0.134615384615385</v>
      </c>
      <c r="G20" s="73" t="n">
        <f aca="false">IF(Calculator!$E$16="YES",IF(A20&lt;Calculator!$G$16,0,MIN(MIN(MOD(A20/Calculator!$F$16,1),1-MOD(A20/Calculator!$F$16,1)),ABS(MOD(A20/Calculator!$F$16,1)-0.5))),1)</f>
        <v>0.211538461538462</v>
      </c>
      <c r="H20" s="73" t="n">
        <f aca="false">IF(Calculator!$E$17="YES",IF(A20&lt;Calculator!$G$17,0,MIN(MIN(MOD(A20/Calculator!$F$17,1),1-MOD(A20/Calculator!$F$17,1)),ABS(MOD(A20/Calculator!$F$17,1)-0.5))),1)</f>
        <v>0.0485470085470088</v>
      </c>
      <c r="I20" s="73" t="n">
        <f aca="false">IF(Calculator!$E$18="YES",IF(A20&lt;Calculator!$G$18,0,MIN(MIN(MOD(A20/Calculator!$F$18,1),1-MOD(A20/Calculator!$F$18,1)),ABS(MOD(A20/Calculator!$F$18,1)-0.5))),1)</f>
        <v>0.185897435897436</v>
      </c>
      <c r="J20" s="73" t="n">
        <f aca="false">IF(Calculator!$E$19="YES",IF(A20&lt;Calculator!$G$19,0,MIN(MIN(MOD(A20/Calculator!$F$19,1),1-MOD(A20/Calculator!$F$19,1)),ABS(MOD(A20/Calculator!$F$19,1)-0.5))),1)</f>
        <v>0.13162393162393</v>
      </c>
      <c r="K20" s="73" t="n">
        <f aca="false">IF(Calculator!$E$20="YES",IF(A20&lt;Calculator!$G$20,0,MIN(MIN(MOD(A20/Calculator!$F$20,1),1-MOD(A20/Calculator!$F$20,1)),ABS(MOD(A20/Calculator!$F$20,1)-0.5))),1)</f>
        <v>0.0341880341880341</v>
      </c>
      <c r="L20" s="73" t="n">
        <f aca="false">IF(Calculator!$E$21="YES",IF(A20&lt;Calculator!$G$21,0,MIN(MIN(MOD(A20/Calculator!$F$21,1),1-MOD(A20/Calculator!$F$21,1)),ABS(MOD(A20/Calculator!$F$21,1)-0.5))),1)</f>
        <v>1</v>
      </c>
      <c r="M20" s="74" t="n">
        <f aca="false">MIN(B20:L20)</f>
        <v>0.0341880341880341</v>
      </c>
      <c r="N20" s="75" t="n">
        <f aca="false">SUMPRODUCT(($M$5:$M$115&gt;M20)*1)+SUMPRODUCT(($M$5:$M$115=M20)*(ROW($M$5:$M$115)&lt;ROW(M20)))+1</f>
        <v>47</v>
      </c>
      <c r="O20" s="76" t="str">
        <f aca="false">IF(M20&gt;=0.2,"★★★ EXCELLENT",IF(M20&gt;=0.12,"★★  GOOD",IF(M20&gt;=0.07,"★  FAIR",IF(M20&gt;=0.025,"⚠  MARGINAL","✗  AVOID"))))</f>
        <v>⚠  MARGINAL</v>
      </c>
    </row>
    <row r="21" customFormat="false" ht="15" hidden="false" customHeight="true" outlineLevel="0" collapsed="false">
      <c r="A21" s="72" t="n">
        <v>13</v>
      </c>
      <c r="B21" s="73" t="n">
        <f aca="false">IF(Calculator!$E$11="YES",IF(A21&lt;Calculator!$G$11,0,MIN(MIN(MOD(A21/Calculator!$F$11,1),1-MOD(A21/Calculator!$F$11,1)),ABS(MOD(A21/Calculator!$F$11,1)-0.5))),1)</f>
        <v>1</v>
      </c>
      <c r="C21" s="73" t="n">
        <f aca="false">IF(Calculator!$E$12="YES",IF(A21&lt;Calculator!$G$12,0,MIN(MIN(MOD(A21/Calculator!$F$12,1),1-MOD(A21/Calculator!$F$12,1)),ABS(MOD(A21/Calculator!$F$12,1)-0.5))),1)</f>
        <v>1</v>
      </c>
      <c r="D21" s="73" t="n">
        <f aca="false">IF(Calculator!$E$13="YES",IF(A21&lt;Calculator!$G$13,0,MIN(MIN(MOD(A21/Calculator!$F$13,1),1-MOD(A21/Calculator!$F$13,1)),ABS(MOD(A21/Calculator!$F$13,1)-0.5))),1)</f>
        <v>1</v>
      </c>
      <c r="E21" s="73" t="n">
        <f aca="false">IF(Calculator!$E$14="YES",IF(A21&lt;Calculator!$G$14,0,MIN(MIN(MOD(A21/Calculator!$F$14,1),1-MOD(A21/Calculator!$F$14,1)),ABS(MOD(A21/Calculator!$F$14,1)-0.5))),1)</f>
        <v>1</v>
      </c>
      <c r="F21" s="73" t="n">
        <f aca="false">IF(Calculator!$E$15="YES",IF(A21&lt;Calculator!$G$15,0,MIN(MIN(MOD(A21/Calculator!$F$15,1),1-MOD(A21/Calculator!$F$15,1)),ABS(MOD(A21/Calculator!$F$15,1)-0.5))),1)</f>
        <v>0.1</v>
      </c>
      <c r="G21" s="73" t="n">
        <f aca="false">IF(Calculator!$E$16="YES",IF(A21&lt;Calculator!$G$16,0,MIN(MIN(MOD(A21/Calculator!$F$16,1),1-MOD(A21/Calculator!$F$16,1)),ABS(MOD(A21/Calculator!$F$16,1)-0.5))),1)</f>
        <v>0.24</v>
      </c>
      <c r="H21" s="73" t="n">
        <f aca="false">IF(Calculator!$E$17="YES",IF(A21&lt;Calculator!$G$17,0,MIN(MIN(MOD(A21/Calculator!$F$17,1),1-MOD(A21/Calculator!$F$17,1)),ABS(MOD(A21/Calculator!$F$17,1)-0.5))),1)</f>
        <v>0.110488888888889</v>
      </c>
      <c r="I21" s="73" t="n">
        <f aca="false">IF(Calculator!$E$18="YES",IF(A21&lt;Calculator!$G$18,0,MIN(MIN(MOD(A21/Calculator!$F$18,1),1-MOD(A21/Calculator!$F$18,1)),ABS(MOD(A21/Calculator!$F$18,1)-0.5))),1)</f>
        <v>0.113333333333333</v>
      </c>
      <c r="J21" s="73" t="n">
        <f aca="false">IF(Calculator!$E$19="YES",IF(A21&lt;Calculator!$G$19,0,MIN(MIN(MOD(A21/Calculator!$F$19,1),1-MOD(A21/Calculator!$F$19,1)),ABS(MOD(A21/Calculator!$F$19,1)-0.5))),1)</f>
        <v>0.216888888888887</v>
      </c>
      <c r="K21" s="73" t="n">
        <f aca="false">IF(Calculator!$E$20="YES",IF(A21&lt;Calculator!$G$20,0,MIN(MIN(MOD(A21/Calculator!$F$20,1),1-MOD(A21/Calculator!$F$20,1)),ABS(MOD(A21/Calculator!$F$20,1)-0.5))),1)</f>
        <v>0.0644444444444448</v>
      </c>
      <c r="L21" s="73" t="n">
        <f aca="false">IF(Calculator!$E$21="YES",IF(A21&lt;Calculator!$G$21,0,MIN(MIN(MOD(A21/Calculator!$F$21,1),1-MOD(A21/Calculator!$F$21,1)),ABS(MOD(A21/Calculator!$F$21,1)-0.5))),1)</f>
        <v>1</v>
      </c>
      <c r="M21" s="74" t="n">
        <f aca="false">MIN(B21:L21)</f>
        <v>0.0644444444444448</v>
      </c>
      <c r="N21" s="75" t="n">
        <f aca="false">SUMPRODUCT(($M$5:$M$115&gt;M21)*1)+SUMPRODUCT(($M$5:$M$115=M21)*(ROW($M$5:$M$115)&lt;ROW(M21)))+1</f>
        <v>21</v>
      </c>
      <c r="O21" s="76" t="str">
        <f aca="false">IF(M21&gt;=0.2,"★★★ EXCELLENT",IF(M21&gt;=0.12,"★★  GOOD",IF(M21&gt;=0.07,"★  FAIR",IF(M21&gt;=0.025,"⚠  MARGINAL","✗  AVOID"))))</f>
        <v>⚠  MARGINAL</v>
      </c>
    </row>
    <row r="22" customFormat="false" ht="15" hidden="false" customHeight="true" outlineLevel="0" collapsed="false">
      <c r="A22" s="72" t="n">
        <v>13.5</v>
      </c>
      <c r="B22" s="73" t="n">
        <f aca="false">IF(Calculator!$E$11="YES",IF(A22&lt;Calculator!$G$11,0,MIN(MIN(MOD(A22/Calculator!$F$11,1),1-MOD(A22/Calculator!$F$11,1)),ABS(MOD(A22/Calculator!$F$11,1)-0.5))),1)</f>
        <v>1</v>
      </c>
      <c r="C22" s="73" t="n">
        <f aca="false">IF(Calculator!$E$12="YES",IF(A22&lt;Calculator!$G$12,0,MIN(MIN(MOD(A22/Calculator!$F$12,1),1-MOD(A22/Calculator!$F$12,1)),ABS(MOD(A22/Calculator!$F$12,1)-0.5))),1)</f>
        <v>1</v>
      </c>
      <c r="D22" s="73" t="n">
        <f aca="false">IF(Calculator!$E$13="YES",IF(A22&lt;Calculator!$G$13,0,MIN(MIN(MOD(A22/Calculator!$F$13,1),1-MOD(A22/Calculator!$F$13,1)),ABS(MOD(A22/Calculator!$F$13,1)-0.5))),1)</f>
        <v>1</v>
      </c>
      <c r="E22" s="73" t="n">
        <f aca="false">IF(Calculator!$E$14="YES",IF(A22&lt;Calculator!$G$14,0,MIN(MIN(MOD(A22/Calculator!$F$14,1),1-MOD(A22/Calculator!$F$14,1)),ABS(MOD(A22/Calculator!$F$14,1)-0.5))),1)</f>
        <v>1</v>
      </c>
      <c r="F22" s="73" t="n">
        <f aca="false">IF(Calculator!$E$15="YES",IF(A22&lt;Calculator!$G$15,0,MIN(MIN(MOD(A22/Calculator!$F$15,1),1-MOD(A22/Calculator!$F$15,1)),ABS(MOD(A22/Calculator!$F$15,1)-0.5))),1)</f>
        <v>0.0653846153846154</v>
      </c>
      <c r="G22" s="73" t="n">
        <f aca="false">IF(Calculator!$E$16="YES",IF(A22&lt;Calculator!$G$16,0,MIN(MIN(MOD(A22/Calculator!$F$16,1),1-MOD(A22/Calculator!$F$16,1)),ABS(MOD(A22/Calculator!$F$16,1)-0.5))),1)</f>
        <v>0.191538461538461</v>
      </c>
      <c r="H22" s="73" t="n">
        <f aca="false">IF(Calculator!$E$17="YES",IF(A22&lt;Calculator!$G$17,0,MIN(MIN(MOD(A22/Calculator!$F$17,1),1-MOD(A22/Calculator!$F$17,1)),ABS(MOD(A22/Calculator!$F$17,1)-0.5))),1)</f>
        <v>0.17243076923077</v>
      </c>
      <c r="I22" s="73" t="n">
        <f aca="false">IF(Calculator!$E$18="YES",IF(A22&lt;Calculator!$G$18,0,MIN(MIN(MOD(A22/Calculator!$F$18,1),1-MOD(A22/Calculator!$F$18,1)),ABS(MOD(A22/Calculator!$F$18,1)-0.5))),1)</f>
        <v>0.0407692307692305</v>
      </c>
      <c r="J22" s="73" t="n">
        <f aca="false">IF(Calculator!$E$19="YES",IF(A22&lt;Calculator!$G$19,0,MIN(MIN(MOD(A22/Calculator!$F$19,1),1-MOD(A22/Calculator!$F$19,1)),ABS(MOD(A22/Calculator!$F$19,1)-0.5))),1)</f>
        <v>0.197846153846156</v>
      </c>
      <c r="K22" s="73" t="n">
        <f aca="false">IF(Calculator!$E$20="YES",IF(A22&lt;Calculator!$G$20,0,MIN(MIN(MOD(A22/Calculator!$F$20,1),1-MOD(A22/Calculator!$F$20,1)),ABS(MOD(A22/Calculator!$F$20,1)-0.5))),1)</f>
        <v>0.163076923076924</v>
      </c>
      <c r="L22" s="73" t="n">
        <f aca="false">IF(Calculator!$E$21="YES",IF(A22&lt;Calculator!$G$21,0,MIN(MIN(MOD(A22/Calculator!$F$21,1),1-MOD(A22/Calculator!$F$21,1)),ABS(MOD(A22/Calculator!$F$21,1)-0.5))),1)</f>
        <v>1</v>
      </c>
      <c r="M22" s="74" t="n">
        <f aca="false">MIN(B22:L22)</f>
        <v>0.0407692307692305</v>
      </c>
      <c r="N22" s="75" t="n">
        <f aca="false">SUMPRODUCT(($M$5:$M$115&gt;M22)*1)+SUMPRODUCT(($M$5:$M$115=M22)*(ROW($M$5:$M$115)&lt;ROW(M22)))+1</f>
        <v>36</v>
      </c>
      <c r="O22" s="76" t="str">
        <f aca="false">IF(M22&gt;=0.2,"★★★ EXCELLENT",IF(M22&gt;=0.12,"★★  GOOD",IF(M22&gt;=0.07,"★  FAIR",IF(M22&gt;=0.025,"⚠  MARGINAL","✗  AVOID"))))</f>
        <v>⚠  MARGINAL</v>
      </c>
    </row>
    <row r="23" customFormat="false" ht="15" hidden="false" customHeight="true" outlineLevel="0" collapsed="false">
      <c r="A23" s="72" t="n">
        <v>14</v>
      </c>
      <c r="B23" s="73" t="n">
        <f aca="false">IF(Calculator!$E$11="YES",IF(A23&lt;Calculator!$G$11,0,MIN(MIN(MOD(A23/Calculator!$F$11,1),1-MOD(A23/Calculator!$F$11,1)),ABS(MOD(A23/Calculator!$F$11,1)-0.5))),1)</f>
        <v>1</v>
      </c>
      <c r="C23" s="73" t="n">
        <f aca="false">IF(Calculator!$E$12="YES",IF(A23&lt;Calculator!$G$12,0,MIN(MIN(MOD(A23/Calculator!$F$12,1),1-MOD(A23/Calculator!$F$12,1)),ABS(MOD(A23/Calculator!$F$12,1)-0.5))),1)</f>
        <v>1</v>
      </c>
      <c r="D23" s="73" t="n">
        <f aca="false">IF(Calculator!$E$13="YES",IF(A23&lt;Calculator!$G$13,0,MIN(MIN(MOD(A23/Calculator!$F$13,1),1-MOD(A23/Calculator!$F$13,1)),ABS(MOD(A23/Calculator!$F$13,1)-0.5))),1)</f>
        <v>1</v>
      </c>
      <c r="E23" s="73" t="n">
        <f aca="false">IF(Calculator!$E$14="YES",IF(A23&lt;Calculator!$G$14,0,MIN(MIN(MOD(A23/Calculator!$F$14,1),1-MOD(A23/Calculator!$F$14,1)),ABS(MOD(A23/Calculator!$F$14,1)-0.5))),1)</f>
        <v>1</v>
      </c>
      <c r="F23" s="73" t="n">
        <f aca="false">IF(Calculator!$E$15="YES",IF(A23&lt;Calculator!$G$15,0,MIN(MIN(MOD(A23/Calculator!$F$15,1),1-MOD(A23/Calculator!$F$15,1)),ABS(MOD(A23/Calculator!$F$15,1)-0.5))),1)</f>
        <v>0.0307692307692308</v>
      </c>
      <c r="G23" s="73" t="n">
        <f aca="false">IF(Calculator!$E$16="YES",IF(A23&lt;Calculator!$G$16,0,MIN(MIN(MOD(A23/Calculator!$F$16,1),1-MOD(A23/Calculator!$F$16,1)),ABS(MOD(A23/Calculator!$F$16,1)-0.5))),1)</f>
        <v>0.143076923076923</v>
      </c>
      <c r="H23" s="73" t="n">
        <f aca="false">IF(Calculator!$E$17="YES",IF(A23&lt;Calculator!$G$17,0,MIN(MIN(MOD(A23/Calculator!$F$17,1),1-MOD(A23/Calculator!$F$17,1)),ABS(MOD(A23/Calculator!$F$17,1)-0.5))),1)</f>
        <v>0.23437264957265</v>
      </c>
      <c r="I23" s="73" t="n">
        <f aca="false">IF(Calculator!$E$18="YES",IF(A23&lt;Calculator!$G$18,0,MIN(MIN(MOD(A23/Calculator!$F$18,1),1-MOD(A23/Calculator!$F$18,1)),ABS(MOD(A23/Calculator!$F$18,1)-0.5))),1)</f>
        <v>0.031794871794872</v>
      </c>
      <c r="J23" s="73" t="n">
        <f aca="false">IF(Calculator!$E$19="YES",IF(A23&lt;Calculator!$G$19,0,MIN(MIN(MOD(A23/Calculator!$F$19,1),1-MOD(A23/Calculator!$F$19,1)),ABS(MOD(A23/Calculator!$F$19,1)-0.5))),1)</f>
        <v>0.112581196581198</v>
      </c>
      <c r="K23" s="73" t="n">
        <f aca="false">IF(Calculator!$E$20="YES",IF(A23&lt;Calculator!$G$20,0,MIN(MIN(MOD(A23/Calculator!$F$20,1),1-MOD(A23/Calculator!$F$20,1)),ABS(MOD(A23/Calculator!$F$20,1)-0.5))),1)</f>
        <v>0.238290598290598</v>
      </c>
      <c r="L23" s="73" t="n">
        <f aca="false">IF(Calculator!$E$21="YES",IF(A23&lt;Calculator!$G$21,0,MIN(MIN(MOD(A23/Calculator!$F$21,1),1-MOD(A23/Calculator!$F$21,1)),ABS(MOD(A23/Calculator!$F$21,1)-0.5))),1)</f>
        <v>1</v>
      </c>
      <c r="M23" s="74" t="n">
        <f aca="false">MIN(B23:L23)</f>
        <v>0.0307692307692308</v>
      </c>
      <c r="N23" s="75" t="n">
        <f aca="false">SUMPRODUCT(($M$5:$M$115&gt;M23)*1)+SUMPRODUCT(($M$5:$M$115=M23)*(ROW($M$5:$M$115)&lt;ROW(M23)))+1</f>
        <v>52</v>
      </c>
      <c r="O23" s="76" t="str">
        <f aca="false">IF(M23&gt;=0.2,"★★★ EXCELLENT",IF(M23&gt;=0.12,"★★  GOOD",IF(M23&gt;=0.07,"★  FAIR",IF(M23&gt;=0.025,"⚠  MARGINAL","✗  AVOID"))))</f>
        <v>⚠  MARGINAL</v>
      </c>
    </row>
    <row r="24" customFormat="false" ht="15" hidden="false" customHeight="true" outlineLevel="0" collapsed="false">
      <c r="A24" s="72" t="n">
        <v>14.5</v>
      </c>
      <c r="B24" s="73" t="n">
        <f aca="false">IF(Calculator!$E$11="YES",IF(A24&lt;Calculator!$G$11,0,MIN(MIN(MOD(A24/Calculator!$F$11,1),1-MOD(A24/Calculator!$F$11,1)),ABS(MOD(A24/Calculator!$F$11,1)-0.5))),1)</f>
        <v>1</v>
      </c>
      <c r="C24" s="73" t="n">
        <f aca="false">IF(Calculator!$E$12="YES",IF(A24&lt;Calculator!$G$12,0,MIN(MIN(MOD(A24/Calculator!$F$12,1),1-MOD(A24/Calculator!$F$12,1)),ABS(MOD(A24/Calculator!$F$12,1)-0.5))),1)</f>
        <v>1</v>
      </c>
      <c r="D24" s="73" t="n">
        <f aca="false">IF(Calculator!$E$13="YES",IF(A24&lt;Calculator!$G$13,0,MIN(MIN(MOD(A24/Calculator!$F$13,1),1-MOD(A24/Calculator!$F$13,1)),ABS(MOD(A24/Calculator!$F$13,1)-0.5))),1)</f>
        <v>1</v>
      </c>
      <c r="E24" s="73" t="n">
        <f aca="false">IF(Calculator!$E$14="YES",IF(A24&lt;Calculator!$G$14,0,MIN(MIN(MOD(A24/Calculator!$F$14,1),1-MOD(A24/Calculator!$F$14,1)),ABS(MOD(A24/Calculator!$F$14,1)-0.5))),1)</f>
        <v>1</v>
      </c>
      <c r="F24" s="73" t="n">
        <f aca="false">IF(Calculator!$E$15="YES",IF(A24&lt;Calculator!$G$15,0,MIN(MIN(MOD(A24/Calculator!$F$15,1),1-MOD(A24/Calculator!$F$15,1)),ABS(MOD(A24/Calculator!$F$15,1)-0.5))),1)</f>
        <v>0.00384615384615383</v>
      </c>
      <c r="G24" s="73" t="n">
        <f aca="false">IF(Calculator!$E$16="YES",IF(A24&lt;Calculator!$G$16,0,MIN(MIN(MOD(A24/Calculator!$F$16,1),1-MOD(A24/Calculator!$F$16,1)),ABS(MOD(A24/Calculator!$F$16,1)-0.5))),1)</f>
        <v>0.0946153846153846</v>
      </c>
      <c r="H24" s="73" t="n">
        <f aca="false">IF(Calculator!$E$17="YES",IF(A24&lt;Calculator!$G$17,0,MIN(MIN(MOD(A24/Calculator!$F$17,1),1-MOD(A24/Calculator!$F$17,1)),ABS(MOD(A24/Calculator!$F$17,1)-0.5))),1)</f>
        <v>0.20368547008547</v>
      </c>
      <c r="I24" s="73" t="n">
        <f aca="false">IF(Calculator!$E$18="YES",IF(A24&lt;Calculator!$G$18,0,MIN(MIN(MOD(A24/Calculator!$F$18,1),1-MOD(A24/Calculator!$F$18,1)),ABS(MOD(A24/Calculator!$F$18,1)-0.5))),1)</f>
        <v>0.104358974358975</v>
      </c>
      <c r="J24" s="73" t="n">
        <f aca="false">IF(Calculator!$E$19="YES",IF(A24&lt;Calculator!$G$19,0,MIN(MIN(MOD(A24/Calculator!$F$19,1),1-MOD(A24/Calculator!$F$19,1)),ABS(MOD(A24/Calculator!$F$19,1)-0.5))),1)</f>
        <v>0.0273162393162409</v>
      </c>
      <c r="K24" s="73" t="n">
        <f aca="false">IF(Calculator!$E$20="YES",IF(A24&lt;Calculator!$G$20,0,MIN(MIN(MOD(A24/Calculator!$F$20,1),1-MOD(A24/Calculator!$F$20,1)),ABS(MOD(A24/Calculator!$F$20,1)-0.5))),1)</f>
        <v>0.139658119658119</v>
      </c>
      <c r="L24" s="73" t="n">
        <f aca="false">IF(Calculator!$E$21="YES",IF(A24&lt;Calculator!$G$21,0,MIN(MIN(MOD(A24/Calculator!$F$21,1),1-MOD(A24/Calculator!$F$21,1)),ABS(MOD(A24/Calculator!$F$21,1)-0.5))),1)</f>
        <v>1</v>
      </c>
      <c r="M24" s="74" t="n">
        <f aca="false">MIN(B24:L24)</f>
        <v>0.00384615384615383</v>
      </c>
      <c r="N24" s="75" t="n">
        <f aca="false">SUMPRODUCT(($M$5:$M$115&gt;M24)*1)+SUMPRODUCT(($M$5:$M$115=M24)*(ROW($M$5:$M$115)&lt;ROW(M24)))+1</f>
        <v>100</v>
      </c>
      <c r="O24" s="76" t="str">
        <f aca="false">IF(M24&gt;=0.2,"★★★ EXCELLENT",IF(M24&gt;=0.12,"★★  GOOD",IF(M24&gt;=0.07,"★  FAIR",IF(M24&gt;=0.025,"⚠  MARGINAL","✗  AVOID"))))</f>
        <v>✗  AVOID</v>
      </c>
    </row>
    <row r="25" customFormat="false" ht="15" hidden="false" customHeight="true" outlineLevel="0" collapsed="false">
      <c r="A25" s="72" t="n">
        <v>15</v>
      </c>
      <c r="B25" s="73" t="n">
        <f aca="false">IF(Calculator!$E$11="YES",IF(A25&lt;Calculator!$G$11,0,MIN(MIN(MOD(A25/Calculator!$F$11,1),1-MOD(A25/Calculator!$F$11,1)),ABS(MOD(A25/Calculator!$F$11,1)-0.5))),1)</f>
        <v>1</v>
      </c>
      <c r="C25" s="73" t="n">
        <f aca="false">IF(Calculator!$E$12="YES",IF(A25&lt;Calculator!$G$12,0,MIN(MIN(MOD(A25/Calculator!$F$12,1),1-MOD(A25/Calculator!$F$12,1)),ABS(MOD(A25/Calculator!$F$12,1)-0.5))),1)</f>
        <v>1</v>
      </c>
      <c r="D25" s="73" t="n">
        <f aca="false">IF(Calculator!$E$13="YES",IF(A25&lt;Calculator!$G$13,0,MIN(MIN(MOD(A25/Calculator!$F$13,1),1-MOD(A25/Calculator!$F$13,1)),ABS(MOD(A25/Calculator!$F$13,1)-0.5))),1)</f>
        <v>1</v>
      </c>
      <c r="E25" s="73" t="n">
        <f aca="false">IF(Calculator!$E$14="YES",IF(A25&lt;Calculator!$G$14,0,MIN(MIN(MOD(A25/Calculator!$F$14,1),1-MOD(A25/Calculator!$F$14,1)),ABS(MOD(A25/Calculator!$F$14,1)-0.5))),1)</f>
        <v>1</v>
      </c>
      <c r="F25" s="73" t="n">
        <f aca="false">IF(Calculator!$E$15="YES",IF(A25&lt;Calculator!$G$15,0,MIN(MIN(MOD(A25/Calculator!$F$15,1),1-MOD(A25/Calculator!$F$15,1)),ABS(MOD(A25/Calculator!$F$15,1)-0.5))),1)</f>
        <v>0.0384615384615386</v>
      </c>
      <c r="G25" s="73" t="n">
        <f aca="false">IF(Calculator!$E$16="YES",IF(A25&lt;Calculator!$G$16,0,MIN(MIN(MOD(A25/Calculator!$F$16,1),1-MOD(A25/Calculator!$F$16,1)),ABS(MOD(A25/Calculator!$F$16,1)-0.5))),1)</f>
        <v>0.046153846153846</v>
      </c>
      <c r="H25" s="73" t="n">
        <f aca="false">IF(Calculator!$E$17="YES",IF(A25&lt;Calculator!$G$17,0,MIN(MIN(MOD(A25/Calculator!$F$17,1),1-MOD(A25/Calculator!$F$17,1)),ABS(MOD(A25/Calculator!$F$17,1)-0.5))),1)</f>
        <v>0.141743589743589</v>
      </c>
      <c r="I25" s="73" t="n">
        <f aca="false">IF(Calculator!$E$18="YES",IF(A25&lt;Calculator!$G$18,0,MIN(MIN(MOD(A25/Calculator!$F$18,1),1-MOD(A25/Calculator!$F$18,1)),ABS(MOD(A25/Calculator!$F$18,1)-0.5))),1)</f>
        <v>0.176923076923077</v>
      </c>
      <c r="J25" s="73" t="n">
        <f aca="false">IF(Calculator!$E$19="YES",IF(A25&lt;Calculator!$G$19,0,MIN(MIN(MOD(A25/Calculator!$F$19,1),1-MOD(A25/Calculator!$F$19,1)),ABS(MOD(A25/Calculator!$F$19,1)-0.5))),1)</f>
        <v>0.0579487179487161</v>
      </c>
      <c r="K25" s="73" t="n">
        <f aca="false">IF(Calculator!$E$20="YES",IF(A25&lt;Calculator!$G$20,0,MIN(MIN(MOD(A25/Calculator!$F$20,1),1-MOD(A25/Calculator!$F$20,1)),ABS(MOD(A25/Calculator!$F$20,1)-0.5))),1)</f>
        <v>0.0410256410256409</v>
      </c>
      <c r="L25" s="73" t="n">
        <f aca="false">IF(Calculator!$E$21="YES",IF(A25&lt;Calculator!$G$21,0,MIN(MIN(MOD(A25/Calculator!$F$21,1),1-MOD(A25/Calculator!$F$21,1)),ABS(MOD(A25/Calculator!$F$21,1)-0.5))),1)</f>
        <v>1</v>
      </c>
      <c r="M25" s="74" t="n">
        <f aca="false">MIN(B25:L25)</f>
        <v>0.0384615384615386</v>
      </c>
      <c r="N25" s="75" t="n">
        <f aca="false">SUMPRODUCT(($M$5:$M$115&gt;M25)*1)+SUMPRODUCT(($M$5:$M$115=M25)*(ROW($M$5:$M$115)&lt;ROW(M25)))+1</f>
        <v>39</v>
      </c>
      <c r="O25" s="76" t="str">
        <f aca="false">IF(M25&gt;=0.2,"★★★ EXCELLENT",IF(M25&gt;=0.12,"★★  GOOD",IF(M25&gt;=0.07,"★  FAIR",IF(M25&gt;=0.025,"⚠  MARGINAL","✗  AVOID"))))</f>
        <v>⚠  MARGINAL</v>
      </c>
    </row>
    <row r="26" customFormat="false" ht="15" hidden="false" customHeight="true" outlineLevel="0" collapsed="false">
      <c r="A26" s="72" t="n">
        <v>15.5</v>
      </c>
      <c r="B26" s="73" t="n">
        <f aca="false">IF(Calculator!$E$11="YES",IF(A26&lt;Calculator!$G$11,0,MIN(MIN(MOD(A26/Calculator!$F$11,1),1-MOD(A26/Calculator!$F$11,1)),ABS(MOD(A26/Calculator!$F$11,1)-0.5))),1)</f>
        <v>1</v>
      </c>
      <c r="C26" s="73" t="n">
        <f aca="false">IF(Calculator!$E$12="YES",IF(A26&lt;Calculator!$G$12,0,MIN(MIN(MOD(A26/Calculator!$F$12,1),1-MOD(A26/Calculator!$F$12,1)),ABS(MOD(A26/Calculator!$F$12,1)-0.5))),1)</f>
        <v>1</v>
      </c>
      <c r="D26" s="73" t="n">
        <f aca="false">IF(Calculator!$E$13="YES",IF(A26&lt;Calculator!$G$13,0,MIN(MIN(MOD(A26/Calculator!$F$13,1),1-MOD(A26/Calculator!$F$13,1)),ABS(MOD(A26/Calculator!$F$13,1)-0.5))),1)</f>
        <v>1</v>
      </c>
      <c r="E26" s="73" t="n">
        <f aca="false">IF(Calculator!$E$14="YES",IF(A26&lt;Calculator!$G$14,0,MIN(MIN(MOD(A26/Calculator!$F$14,1),1-MOD(A26/Calculator!$F$14,1)),ABS(MOD(A26/Calculator!$F$14,1)-0.5))),1)</f>
        <v>1</v>
      </c>
      <c r="F26" s="73" t="n">
        <f aca="false">IF(Calculator!$E$15="YES",IF(A26&lt;Calculator!$G$15,0,MIN(MIN(MOD(A26/Calculator!$F$15,1),1-MOD(A26/Calculator!$F$15,1)),ABS(MOD(A26/Calculator!$F$15,1)-0.5))),1)</f>
        <v>0.073076923076923</v>
      </c>
      <c r="G26" s="73" t="n">
        <f aca="false">IF(Calculator!$E$16="YES",IF(A26&lt;Calculator!$G$16,0,MIN(MIN(MOD(A26/Calculator!$F$16,1),1-MOD(A26/Calculator!$F$16,1)),ABS(MOD(A26/Calculator!$F$16,1)-0.5))),1)</f>
        <v>0.00230769230769257</v>
      </c>
      <c r="H26" s="73" t="n">
        <f aca="false">IF(Calculator!$E$17="YES",IF(A26&lt;Calculator!$G$17,0,MIN(MIN(MOD(A26/Calculator!$F$17,1),1-MOD(A26/Calculator!$F$17,1)),ABS(MOD(A26/Calculator!$F$17,1)-0.5))),1)</f>
        <v>0.0798017094017089</v>
      </c>
      <c r="I26" s="73" t="n">
        <f aca="false">IF(Calculator!$E$18="YES",IF(A26&lt;Calculator!$G$18,0,MIN(MIN(MOD(A26/Calculator!$F$18,1),1-MOD(A26/Calculator!$F$18,1)),ABS(MOD(A26/Calculator!$F$18,1)-0.5))),1)</f>
        <v>0.24948717948718</v>
      </c>
      <c r="J26" s="73" t="n">
        <f aca="false">IF(Calculator!$E$19="YES",IF(A26&lt;Calculator!$G$19,0,MIN(MIN(MOD(A26/Calculator!$F$19,1),1-MOD(A26/Calculator!$F$19,1)),ABS(MOD(A26/Calculator!$F$19,1)-0.5))),1)</f>
        <v>0.143213675213673</v>
      </c>
      <c r="K26" s="73" t="n">
        <f aca="false">IF(Calculator!$E$20="YES",IF(A26&lt;Calculator!$G$20,0,MIN(MIN(MOD(A26/Calculator!$F$20,1),1-MOD(A26/Calculator!$F$20,1)),ABS(MOD(A26/Calculator!$F$20,1)-0.5))),1)</f>
        <v>0.0576068376068379</v>
      </c>
      <c r="L26" s="73" t="n">
        <f aca="false">IF(Calculator!$E$21="YES",IF(A26&lt;Calculator!$G$21,0,MIN(MIN(MOD(A26/Calculator!$F$21,1),1-MOD(A26/Calculator!$F$21,1)),ABS(MOD(A26/Calculator!$F$21,1)-0.5))),1)</f>
        <v>1</v>
      </c>
      <c r="M26" s="74" t="n">
        <f aca="false">MIN(B26:L26)</f>
        <v>0.00230769230769257</v>
      </c>
      <c r="N26" s="75" t="n">
        <f aca="false">SUMPRODUCT(($M$5:$M$115&gt;M26)*1)+SUMPRODUCT(($M$5:$M$115=M26)*(ROW($M$5:$M$115)&lt;ROW(M26)))+1</f>
        <v>104</v>
      </c>
      <c r="O26" s="76" t="str">
        <f aca="false">IF(M26&gt;=0.2,"★★★ EXCELLENT",IF(M26&gt;=0.12,"★★  GOOD",IF(M26&gt;=0.07,"★  FAIR",IF(M26&gt;=0.025,"⚠  MARGINAL","✗  AVOID"))))</f>
        <v>✗  AVOID</v>
      </c>
    </row>
    <row r="27" customFormat="false" ht="15" hidden="false" customHeight="true" outlineLevel="0" collapsed="false">
      <c r="A27" s="72" t="n">
        <v>16</v>
      </c>
      <c r="B27" s="73" t="n">
        <f aca="false">IF(Calculator!$E$11="YES",IF(A27&lt;Calculator!$G$11,0,MIN(MIN(MOD(A27/Calculator!$F$11,1),1-MOD(A27/Calculator!$F$11,1)),ABS(MOD(A27/Calculator!$F$11,1)-0.5))),1)</f>
        <v>1</v>
      </c>
      <c r="C27" s="73" t="n">
        <f aca="false">IF(Calculator!$E$12="YES",IF(A27&lt;Calculator!$G$12,0,MIN(MIN(MOD(A27/Calculator!$F$12,1),1-MOD(A27/Calculator!$F$12,1)),ABS(MOD(A27/Calculator!$F$12,1)-0.5))),1)</f>
        <v>1</v>
      </c>
      <c r="D27" s="73" t="n">
        <f aca="false">IF(Calculator!$E$13="YES",IF(A27&lt;Calculator!$G$13,0,MIN(MIN(MOD(A27/Calculator!$F$13,1),1-MOD(A27/Calculator!$F$13,1)),ABS(MOD(A27/Calculator!$F$13,1)-0.5))),1)</f>
        <v>1</v>
      </c>
      <c r="E27" s="73" t="n">
        <f aca="false">IF(Calculator!$E$14="YES",IF(A27&lt;Calculator!$G$14,0,MIN(MIN(MOD(A27/Calculator!$F$14,1),1-MOD(A27/Calculator!$F$14,1)),ABS(MOD(A27/Calculator!$F$14,1)-0.5))),1)</f>
        <v>1</v>
      </c>
      <c r="F27" s="73" t="n">
        <f aca="false">IF(Calculator!$E$15="YES",IF(A27&lt;Calculator!$G$15,0,MIN(MIN(MOD(A27/Calculator!$F$15,1),1-MOD(A27/Calculator!$F$15,1)),ABS(MOD(A27/Calculator!$F$15,1)-0.5))),1)</f>
        <v>0.107692307692308</v>
      </c>
      <c r="G27" s="73" t="n">
        <f aca="false">IF(Calculator!$E$16="YES",IF(A27&lt;Calculator!$G$16,0,MIN(MIN(MOD(A27/Calculator!$F$16,1),1-MOD(A27/Calculator!$F$16,1)),ABS(MOD(A27/Calculator!$F$16,1)-0.5))),1)</f>
        <v>0.0507692307692309</v>
      </c>
      <c r="H27" s="73" t="n">
        <f aca="false">IF(Calculator!$E$17="YES",IF(A27&lt;Calculator!$G$17,0,MIN(MIN(MOD(A27/Calculator!$F$17,1),1-MOD(A27/Calculator!$F$17,1)),ABS(MOD(A27/Calculator!$F$17,1)-0.5))),1)</f>
        <v>0.0178598290598286</v>
      </c>
      <c r="I27" s="73" t="n">
        <f aca="false">IF(Calculator!$E$18="YES",IF(A27&lt;Calculator!$G$18,0,MIN(MIN(MOD(A27/Calculator!$F$18,1),1-MOD(A27/Calculator!$F$18,1)),ABS(MOD(A27/Calculator!$F$18,1)-0.5))),1)</f>
        <v>0.177948717948718</v>
      </c>
      <c r="J27" s="73" t="n">
        <f aca="false">IF(Calculator!$E$19="YES",IF(A27&lt;Calculator!$G$19,0,MIN(MIN(MOD(A27/Calculator!$F$19,1),1-MOD(A27/Calculator!$F$19,1)),ABS(MOD(A27/Calculator!$F$19,1)-0.5))),1)</f>
        <v>0.22847863247863</v>
      </c>
      <c r="K27" s="73" t="n">
        <f aca="false">IF(Calculator!$E$20="YES",IF(A27&lt;Calculator!$G$20,0,MIN(MIN(MOD(A27/Calculator!$F$20,1),1-MOD(A27/Calculator!$F$20,1)),ABS(MOD(A27/Calculator!$F$20,1)-0.5))),1)</f>
        <v>0.156239316239317</v>
      </c>
      <c r="L27" s="73" t="n">
        <f aca="false">IF(Calculator!$E$21="YES",IF(A27&lt;Calculator!$G$21,0,MIN(MIN(MOD(A27/Calculator!$F$21,1),1-MOD(A27/Calculator!$F$21,1)),ABS(MOD(A27/Calculator!$F$21,1)-0.5))),1)</f>
        <v>1</v>
      </c>
      <c r="M27" s="74" t="n">
        <f aca="false">MIN(B27:L27)</f>
        <v>0.0178598290598286</v>
      </c>
      <c r="N27" s="75" t="n">
        <f aca="false">SUMPRODUCT(($M$5:$M$115&gt;M27)*1)+SUMPRODUCT(($M$5:$M$115=M27)*(ROW($M$5:$M$115)&lt;ROW(M27)))+1</f>
        <v>72</v>
      </c>
      <c r="O27" s="76" t="str">
        <f aca="false">IF(M27&gt;=0.2,"★★★ EXCELLENT",IF(M27&gt;=0.12,"★★  GOOD",IF(M27&gt;=0.07,"★  FAIR",IF(M27&gt;=0.025,"⚠  MARGINAL","✗  AVOID"))))</f>
        <v>✗  AVOID</v>
      </c>
    </row>
    <row r="28" customFormat="false" ht="15" hidden="false" customHeight="true" outlineLevel="0" collapsed="false">
      <c r="A28" s="72" t="n">
        <v>16.5</v>
      </c>
      <c r="B28" s="73" t="n">
        <f aca="false">IF(Calculator!$E$11="YES",IF(A28&lt;Calculator!$G$11,0,MIN(MIN(MOD(A28/Calculator!$F$11,1),1-MOD(A28/Calculator!$F$11,1)),ABS(MOD(A28/Calculator!$F$11,1)-0.5))),1)</f>
        <v>1</v>
      </c>
      <c r="C28" s="73" t="n">
        <f aca="false">IF(Calculator!$E$12="YES",IF(A28&lt;Calculator!$G$12,0,MIN(MIN(MOD(A28/Calculator!$F$12,1),1-MOD(A28/Calculator!$F$12,1)),ABS(MOD(A28/Calculator!$F$12,1)-0.5))),1)</f>
        <v>1</v>
      </c>
      <c r="D28" s="73" t="n">
        <f aca="false">IF(Calculator!$E$13="YES",IF(A28&lt;Calculator!$G$13,0,MIN(MIN(MOD(A28/Calculator!$F$13,1),1-MOD(A28/Calculator!$F$13,1)),ABS(MOD(A28/Calculator!$F$13,1)-0.5))),1)</f>
        <v>1</v>
      </c>
      <c r="E28" s="73" t="n">
        <f aca="false">IF(Calculator!$E$14="YES",IF(A28&lt;Calculator!$G$14,0,MIN(MIN(MOD(A28/Calculator!$F$14,1),1-MOD(A28/Calculator!$F$14,1)),ABS(MOD(A28/Calculator!$F$14,1)-0.5))),1)</f>
        <v>1</v>
      </c>
      <c r="F28" s="73" t="n">
        <f aca="false">IF(Calculator!$E$15="YES",IF(A28&lt;Calculator!$G$15,0,MIN(MIN(MOD(A28/Calculator!$F$15,1),1-MOD(A28/Calculator!$F$15,1)),ABS(MOD(A28/Calculator!$F$15,1)-0.5))),1)</f>
        <v>0.142307692307692</v>
      </c>
      <c r="G28" s="73" t="n">
        <f aca="false">IF(Calculator!$E$16="YES",IF(A28&lt;Calculator!$G$16,0,MIN(MIN(MOD(A28/Calculator!$F$16,1),1-MOD(A28/Calculator!$F$16,1)),ABS(MOD(A28/Calculator!$F$16,1)-0.5))),1)</f>
        <v>0.0992307692307695</v>
      </c>
      <c r="H28" s="73" t="n">
        <f aca="false">IF(Calculator!$E$17="YES",IF(A28&lt;Calculator!$G$17,0,MIN(MIN(MOD(A28/Calculator!$F$17,1),1-MOD(A28/Calculator!$F$17,1)),ABS(MOD(A28/Calculator!$F$17,1)-0.5))),1)</f>
        <v>0.0440820512820515</v>
      </c>
      <c r="I28" s="73" t="n">
        <f aca="false">IF(Calculator!$E$18="YES",IF(A28&lt;Calculator!$G$18,0,MIN(MIN(MOD(A28/Calculator!$F$18,1),1-MOD(A28/Calculator!$F$18,1)),ABS(MOD(A28/Calculator!$F$18,1)-0.5))),1)</f>
        <v>0.105384615384615</v>
      </c>
      <c r="J28" s="73" t="n">
        <f aca="false">IF(Calculator!$E$19="YES",IF(A28&lt;Calculator!$G$19,0,MIN(MIN(MOD(A28/Calculator!$F$19,1),1-MOD(A28/Calculator!$F$19,1)),ABS(MOD(A28/Calculator!$F$19,1)-0.5))),1)</f>
        <v>0.186256410256412</v>
      </c>
      <c r="K28" s="73" t="n">
        <f aca="false">IF(Calculator!$E$20="YES",IF(A28&lt;Calculator!$G$20,0,MIN(MIN(MOD(A28/Calculator!$F$20,1),1-MOD(A28/Calculator!$F$20,1)),ABS(MOD(A28/Calculator!$F$20,1)-0.5))),1)</f>
        <v>0.245128205128205</v>
      </c>
      <c r="L28" s="73" t="n">
        <f aca="false">IF(Calculator!$E$21="YES",IF(A28&lt;Calculator!$G$21,0,MIN(MIN(MOD(A28/Calculator!$F$21,1),1-MOD(A28/Calculator!$F$21,1)),ABS(MOD(A28/Calculator!$F$21,1)-0.5))),1)</f>
        <v>1</v>
      </c>
      <c r="M28" s="74" t="n">
        <f aca="false">MIN(B28:L28)</f>
        <v>0.0440820512820515</v>
      </c>
      <c r="N28" s="75" t="n">
        <f aca="false">SUMPRODUCT(($M$5:$M$115&gt;M28)*1)+SUMPRODUCT(($M$5:$M$115=M28)*(ROW($M$5:$M$115)&lt;ROW(M28)))+1</f>
        <v>34</v>
      </c>
      <c r="O28" s="76" t="str">
        <f aca="false">IF(M28&gt;=0.2,"★★★ EXCELLENT",IF(M28&gt;=0.12,"★★  GOOD",IF(M28&gt;=0.07,"★  FAIR",IF(M28&gt;=0.025,"⚠  MARGINAL","✗  AVOID"))))</f>
        <v>⚠  MARGINAL</v>
      </c>
    </row>
    <row r="29" customFormat="false" ht="15" hidden="false" customHeight="true" outlineLevel="0" collapsed="false">
      <c r="A29" s="72" t="n">
        <v>17</v>
      </c>
      <c r="B29" s="73" t="n">
        <f aca="false">IF(Calculator!$E$11="YES",IF(A29&lt;Calculator!$G$11,0,MIN(MIN(MOD(A29/Calculator!$F$11,1),1-MOD(A29/Calculator!$F$11,1)),ABS(MOD(A29/Calculator!$F$11,1)-0.5))),1)</f>
        <v>1</v>
      </c>
      <c r="C29" s="73" t="n">
        <f aca="false">IF(Calculator!$E$12="YES",IF(A29&lt;Calculator!$G$12,0,MIN(MIN(MOD(A29/Calculator!$F$12,1),1-MOD(A29/Calculator!$F$12,1)),ABS(MOD(A29/Calculator!$F$12,1)-0.5))),1)</f>
        <v>1</v>
      </c>
      <c r="D29" s="73" t="n">
        <f aca="false">IF(Calculator!$E$13="YES",IF(A29&lt;Calculator!$G$13,0,MIN(MIN(MOD(A29/Calculator!$F$13,1),1-MOD(A29/Calculator!$F$13,1)),ABS(MOD(A29/Calculator!$F$13,1)-0.5))),1)</f>
        <v>1</v>
      </c>
      <c r="E29" s="73" t="n">
        <f aca="false">IF(Calculator!$E$14="YES",IF(A29&lt;Calculator!$G$14,0,MIN(MIN(MOD(A29/Calculator!$F$14,1),1-MOD(A29/Calculator!$F$14,1)),ABS(MOD(A29/Calculator!$F$14,1)-0.5))),1)</f>
        <v>1</v>
      </c>
      <c r="F29" s="73" t="n">
        <f aca="false">IF(Calculator!$E$15="YES",IF(A29&lt;Calculator!$G$15,0,MIN(MIN(MOD(A29/Calculator!$F$15,1),1-MOD(A29/Calculator!$F$15,1)),ABS(MOD(A29/Calculator!$F$15,1)-0.5))),1)</f>
        <v>0.176923076923077</v>
      </c>
      <c r="G29" s="73" t="n">
        <f aca="false">IF(Calculator!$E$16="YES",IF(A29&lt;Calculator!$G$16,0,MIN(MIN(MOD(A29/Calculator!$F$16,1),1-MOD(A29/Calculator!$F$16,1)),ABS(MOD(A29/Calculator!$F$16,1)-0.5))),1)</f>
        <v>0.147692307692308</v>
      </c>
      <c r="H29" s="73" t="n">
        <f aca="false">IF(Calculator!$E$17="YES",IF(A29&lt;Calculator!$G$17,0,MIN(MIN(MOD(A29/Calculator!$F$17,1),1-MOD(A29/Calculator!$F$17,1)),ABS(MOD(A29/Calculator!$F$17,1)-0.5))),1)</f>
        <v>0.106023931623932</v>
      </c>
      <c r="I29" s="73" t="n">
        <f aca="false">IF(Calculator!$E$18="YES",IF(A29&lt;Calculator!$G$18,0,MIN(MIN(MOD(A29/Calculator!$F$18,1),1-MOD(A29/Calculator!$F$18,1)),ABS(MOD(A29/Calculator!$F$18,1)-0.5))),1)</f>
        <v>0.0328205128205124</v>
      </c>
      <c r="J29" s="73" t="n">
        <f aca="false">IF(Calculator!$E$19="YES",IF(A29&lt;Calculator!$G$19,0,MIN(MIN(MOD(A29/Calculator!$F$19,1),1-MOD(A29/Calculator!$F$19,1)),ABS(MOD(A29/Calculator!$F$19,1)-0.5))),1)</f>
        <v>0.100991452991455</v>
      </c>
      <c r="K29" s="73" t="n">
        <f aca="false">IF(Calculator!$E$20="YES",IF(A29&lt;Calculator!$G$20,0,MIN(MIN(MOD(A29/Calculator!$F$20,1),1-MOD(A29/Calculator!$F$20,1)),ABS(MOD(A29/Calculator!$F$20,1)-0.5))),1)</f>
        <v>0.146495726495726</v>
      </c>
      <c r="L29" s="73" t="n">
        <f aca="false">IF(Calculator!$E$21="YES",IF(A29&lt;Calculator!$G$21,0,MIN(MIN(MOD(A29/Calculator!$F$21,1),1-MOD(A29/Calculator!$F$21,1)),ABS(MOD(A29/Calculator!$F$21,1)-0.5))),1)</f>
        <v>1</v>
      </c>
      <c r="M29" s="74" t="n">
        <f aca="false">MIN(B29:L29)</f>
        <v>0.0328205128205124</v>
      </c>
      <c r="N29" s="75" t="n">
        <f aca="false">SUMPRODUCT(($M$5:$M$115&gt;M29)*1)+SUMPRODUCT(($M$5:$M$115=M29)*(ROW($M$5:$M$115)&lt;ROW(M29)))+1</f>
        <v>48</v>
      </c>
      <c r="O29" s="76" t="str">
        <f aca="false">IF(M29&gt;=0.2,"★★★ EXCELLENT",IF(M29&gt;=0.12,"★★  GOOD",IF(M29&gt;=0.07,"★  FAIR",IF(M29&gt;=0.025,"⚠  MARGINAL","✗  AVOID"))))</f>
        <v>⚠  MARGINAL</v>
      </c>
    </row>
    <row r="30" customFormat="false" ht="15" hidden="false" customHeight="true" outlineLevel="0" collapsed="false">
      <c r="A30" s="72" t="n">
        <v>17.5</v>
      </c>
      <c r="B30" s="73" t="n">
        <f aca="false">IF(Calculator!$E$11="YES",IF(A30&lt;Calculator!$G$11,0,MIN(MIN(MOD(A30/Calculator!$F$11,1),1-MOD(A30/Calculator!$F$11,1)),ABS(MOD(A30/Calculator!$F$11,1)-0.5))),1)</f>
        <v>1</v>
      </c>
      <c r="C30" s="73" t="n">
        <f aca="false">IF(Calculator!$E$12="YES",IF(A30&lt;Calculator!$G$12,0,MIN(MIN(MOD(A30/Calculator!$F$12,1),1-MOD(A30/Calculator!$F$12,1)),ABS(MOD(A30/Calculator!$F$12,1)-0.5))),1)</f>
        <v>1</v>
      </c>
      <c r="D30" s="73" t="n">
        <f aca="false">IF(Calculator!$E$13="YES",IF(A30&lt;Calculator!$G$13,0,MIN(MIN(MOD(A30/Calculator!$F$13,1),1-MOD(A30/Calculator!$F$13,1)),ABS(MOD(A30/Calculator!$F$13,1)-0.5))),1)</f>
        <v>1</v>
      </c>
      <c r="E30" s="73" t="n">
        <f aca="false">IF(Calculator!$E$14="YES",IF(A30&lt;Calculator!$G$14,0,MIN(MIN(MOD(A30/Calculator!$F$14,1),1-MOD(A30/Calculator!$F$14,1)),ABS(MOD(A30/Calculator!$F$14,1)-0.5))),1)</f>
        <v>1</v>
      </c>
      <c r="F30" s="73" t="n">
        <f aca="false">IF(Calculator!$E$15="YES",IF(A30&lt;Calculator!$G$15,0,MIN(MIN(MOD(A30/Calculator!$F$15,1),1-MOD(A30/Calculator!$F$15,1)),ABS(MOD(A30/Calculator!$F$15,1)-0.5))),1)</f>
        <v>0.211538461538461</v>
      </c>
      <c r="G30" s="73" t="n">
        <f aca="false">IF(Calculator!$E$16="YES",IF(A30&lt;Calculator!$G$16,0,MIN(MIN(MOD(A30/Calculator!$F$16,1),1-MOD(A30/Calculator!$F$16,1)),ABS(MOD(A30/Calculator!$F$16,1)-0.5))),1)</f>
        <v>0.196153846153846</v>
      </c>
      <c r="H30" s="73" t="n">
        <f aca="false">IF(Calculator!$E$17="YES",IF(A30&lt;Calculator!$G$17,0,MIN(MIN(MOD(A30/Calculator!$F$17,1),1-MOD(A30/Calculator!$F$17,1)),ABS(MOD(A30/Calculator!$F$17,1)-0.5))),1)</f>
        <v>0.167965811965813</v>
      </c>
      <c r="I30" s="73" t="n">
        <f aca="false">IF(Calculator!$E$18="YES",IF(A30&lt;Calculator!$G$18,0,MIN(MIN(MOD(A30/Calculator!$F$18,1),1-MOD(A30/Calculator!$F$18,1)),ABS(MOD(A30/Calculator!$F$18,1)-0.5))),1)</f>
        <v>0.03974358974359</v>
      </c>
      <c r="J30" s="73" t="n">
        <f aca="false">IF(Calculator!$E$19="YES",IF(A30&lt;Calculator!$G$19,0,MIN(MIN(MOD(A30/Calculator!$F$19,1),1-MOD(A30/Calculator!$F$19,1)),ABS(MOD(A30/Calculator!$F$19,1)-0.5))),1)</f>
        <v>0.015726495726498</v>
      </c>
      <c r="K30" s="73" t="n">
        <f aca="false">IF(Calculator!$E$20="YES",IF(A30&lt;Calculator!$G$20,0,MIN(MIN(MOD(A30/Calculator!$F$20,1),1-MOD(A30/Calculator!$F$20,1)),ABS(MOD(A30/Calculator!$F$20,1)-0.5))),1)</f>
        <v>0.0478632478632473</v>
      </c>
      <c r="L30" s="73" t="n">
        <f aca="false">IF(Calculator!$E$21="YES",IF(A30&lt;Calculator!$G$21,0,MIN(MIN(MOD(A30/Calculator!$F$21,1),1-MOD(A30/Calculator!$F$21,1)),ABS(MOD(A30/Calculator!$F$21,1)-0.5))),1)</f>
        <v>1</v>
      </c>
      <c r="M30" s="74" t="n">
        <f aca="false">MIN(B30:L30)</f>
        <v>0.015726495726498</v>
      </c>
      <c r="N30" s="75" t="n">
        <f aca="false">SUMPRODUCT(($M$5:$M$115&gt;M30)*1)+SUMPRODUCT(($M$5:$M$115=M30)*(ROW($M$5:$M$115)&lt;ROW(M30)))+1</f>
        <v>77</v>
      </c>
      <c r="O30" s="76" t="str">
        <f aca="false">IF(M30&gt;=0.2,"★★★ EXCELLENT",IF(M30&gt;=0.12,"★★  GOOD",IF(M30&gt;=0.07,"★  FAIR",IF(M30&gt;=0.025,"⚠  MARGINAL","✗  AVOID"))))</f>
        <v>✗  AVOID</v>
      </c>
    </row>
    <row r="31" customFormat="false" ht="15" hidden="false" customHeight="true" outlineLevel="0" collapsed="false">
      <c r="A31" s="72" t="n">
        <v>18</v>
      </c>
      <c r="B31" s="73" t="n">
        <f aca="false">IF(Calculator!$E$11="YES",IF(A31&lt;Calculator!$G$11,0,MIN(MIN(MOD(A31/Calculator!$F$11,1),1-MOD(A31/Calculator!$F$11,1)),ABS(MOD(A31/Calculator!$F$11,1)-0.5))),1)</f>
        <v>1</v>
      </c>
      <c r="C31" s="73" t="n">
        <f aca="false">IF(Calculator!$E$12="YES",IF(A31&lt;Calculator!$G$12,0,MIN(MIN(MOD(A31/Calculator!$F$12,1),1-MOD(A31/Calculator!$F$12,1)),ABS(MOD(A31/Calculator!$F$12,1)-0.5))),1)</f>
        <v>1</v>
      </c>
      <c r="D31" s="73" t="n">
        <f aca="false">IF(Calculator!$E$13="YES",IF(A31&lt;Calculator!$G$13,0,MIN(MIN(MOD(A31/Calculator!$F$13,1),1-MOD(A31/Calculator!$F$13,1)),ABS(MOD(A31/Calculator!$F$13,1)-0.5))),1)</f>
        <v>1</v>
      </c>
      <c r="E31" s="73" t="n">
        <f aca="false">IF(Calculator!$E$14="YES",IF(A31&lt;Calculator!$G$14,0,MIN(MIN(MOD(A31/Calculator!$F$14,1),1-MOD(A31/Calculator!$F$14,1)),ABS(MOD(A31/Calculator!$F$14,1)-0.5))),1)</f>
        <v>1</v>
      </c>
      <c r="F31" s="73" t="n">
        <f aca="false">IF(Calculator!$E$15="YES",IF(A31&lt;Calculator!$G$15,0,MIN(MIN(MOD(A31/Calculator!$F$15,1),1-MOD(A31/Calculator!$F$15,1)),ABS(MOD(A31/Calculator!$F$15,1)-0.5))),1)</f>
        <v>0.246153846153846</v>
      </c>
      <c r="G31" s="73" t="n">
        <f aca="false">IF(Calculator!$E$16="YES",IF(A31&lt;Calculator!$G$16,0,MIN(MIN(MOD(A31/Calculator!$F$16,1),1-MOD(A31/Calculator!$F$16,1)),ABS(MOD(A31/Calculator!$F$16,1)-0.5))),1)</f>
        <v>0.244615384615385</v>
      </c>
      <c r="H31" s="73" t="n">
        <f aca="false">IF(Calculator!$E$17="YES",IF(A31&lt;Calculator!$G$17,0,MIN(MIN(MOD(A31/Calculator!$F$17,1),1-MOD(A31/Calculator!$F$17,1)),ABS(MOD(A31/Calculator!$F$17,1)-0.5))),1)</f>
        <v>0.229907692307693</v>
      </c>
      <c r="I31" s="73" t="n">
        <f aca="false">IF(Calculator!$E$18="YES",IF(A31&lt;Calculator!$G$18,0,MIN(MIN(MOD(A31/Calculator!$F$18,1),1-MOD(A31/Calculator!$F$18,1)),ABS(MOD(A31/Calculator!$F$18,1)-0.5))),1)</f>
        <v>0.112307692307692</v>
      </c>
      <c r="J31" s="73" t="n">
        <f aca="false">IF(Calculator!$E$19="YES",IF(A31&lt;Calculator!$G$19,0,MIN(MIN(MOD(A31/Calculator!$F$19,1),1-MOD(A31/Calculator!$F$19,1)),ABS(MOD(A31/Calculator!$F$19,1)-0.5))),1)</f>
        <v>0.0695384615384591</v>
      </c>
      <c r="K31" s="73" t="n">
        <f aca="false">IF(Calculator!$E$20="YES",IF(A31&lt;Calculator!$G$20,0,MIN(MIN(MOD(A31/Calculator!$F$20,1),1-MOD(A31/Calculator!$F$20,1)),ABS(MOD(A31/Calculator!$F$20,1)-0.5))),1)</f>
        <v>0.0507692307692311</v>
      </c>
      <c r="L31" s="73" t="n">
        <f aca="false">IF(Calculator!$E$21="YES",IF(A31&lt;Calculator!$G$21,0,MIN(MIN(MOD(A31/Calculator!$F$21,1),1-MOD(A31/Calculator!$F$21,1)),ABS(MOD(A31/Calculator!$F$21,1)-0.5))),1)</f>
        <v>1</v>
      </c>
      <c r="M31" s="74" t="n">
        <f aca="false">MIN(B31:L31)</f>
        <v>0.0507692307692311</v>
      </c>
      <c r="N31" s="75" t="n">
        <f aca="false">SUMPRODUCT(($M$5:$M$115&gt;M31)*1)+SUMPRODUCT(($M$5:$M$115=M31)*(ROW($M$5:$M$115)&lt;ROW(M31)))+1</f>
        <v>30</v>
      </c>
      <c r="O31" s="76" t="str">
        <f aca="false">IF(M31&gt;=0.2,"★★★ EXCELLENT",IF(M31&gt;=0.12,"★★  GOOD",IF(M31&gt;=0.07,"★  FAIR",IF(M31&gt;=0.025,"⚠  MARGINAL","✗  AVOID"))))</f>
        <v>⚠  MARGINAL</v>
      </c>
    </row>
    <row r="32" customFormat="false" ht="15" hidden="false" customHeight="true" outlineLevel="0" collapsed="false">
      <c r="A32" s="72" t="n">
        <v>18.5</v>
      </c>
      <c r="B32" s="73" t="n">
        <f aca="false">IF(Calculator!$E$11="YES",IF(A32&lt;Calculator!$G$11,0,MIN(MIN(MOD(A32/Calculator!$F$11,1),1-MOD(A32/Calculator!$F$11,1)),ABS(MOD(A32/Calculator!$F$11,1)-0.5))),1)</f>
        <v>1</v>
      </c>
      <c r="C32" s="73" t="n">
        <f aca="false">IF(Calculator!$E$12="YES",IF(A32&lt;Calculator!$G$12,0,MIN(MIN(MOD(A32/Calculator!$F$12,1),1-MOD(A32/Calculator!$F$12,1)),ABS(MOD(A32/Calculator!$F$12,1)-0.5))),1)</f>
        <v>1</v>
      </c>
      <c r="D32" s="73" t="n">
        <f aca="false">IF(Calculator!$E$13="YES",IF(A32&lt;Calculator!$G$13,0,MIN(MIN(MOD(A32/Calculator!$F$13,1),1-MOD(A32/Calculator!$F$13,1)),ABS(MOD(A32/Calculator!$F$13,1)-0.5))),1)</f>
        <v>1</v>
      </c>
      <c r="E32" s="73" t="n">
        <f aca="false">IF(Calculator!$E$14="YES",IF(A32&lt;Calculator!$G$14,0,MIN(MIN(MOD(A32/Calculator!$F$14,1),1-MOD(A32/Calculator!$F$14,1)),ABS(MOD(A32/Calculator!$F$14,1)-0.5))),1)</f>
        <v>1</v>
      </c>
      <c r="F32" s="73" t="n">
        <f aca="false">IF(Calculator!$E$15="YES",IF(A32&lt;Calculator!$G$15,0,MIN(MIN(MOD(A32/Calculator!$F$15,1),1-MOD(A32/Calculator!$F$15,1)),ABS(MOD(A32/Calculator!$F$15,1)-0.5))),1)</f>
        <v>0.219230769230769</v>
      </c>
      <c r="G32" s="73" t="n">
        <f aca="false">IF(Calculator!$E$16="YES",IF(A32&lt;Calculator!$G$16,0,MIN(MIN(MOD(A32/Calculator!$F$16,1),1-MOD(A32/Calculator!$F$16,1)),ABS(MOD(A32/Calculator!$F$16,1)-0.5))),1)</f>
        <v>0.206923076923077</v>
      </c>
      <c r="H32" s="73" t="n">
        <f aca="false">IF(Calculator!$E$17="YES",IF(A32&lt;Calculator!$G$17,0,MIN(MIN(MOD(A32/Calculator!$F$17,1),1-MOD(A32/Calculator!$F$17,1)),ABS(MOD(A32/Calculator!$F$17,1)-0.5))),1)</f>
        <v>0.208150427350427</v>
      </c>
      <c r="I32" s="73" t="n">
        <f aca="false">IF(Calculator!$E$18="YES",IF(A32&lt;Calculator!$G$18,0,MIN(MIN(MOD(A32/Calculator!$F$18,1),1-MOD(A32/Calculator!$F$18,1)),ABS(MOD(A32/Calculator!$F$18,1)-0.5))),1)</f>
        <v>0.184871794871795</v>
      </c>
      <c r="J32" s="73" t="n">
        <f aca="false">IF(Calculator!$E$19="YES",IF(A32&lt;Calculator!$G$19,0,MIN(MIN(MOD(A32/Calculator!$F$19,1),1-MOD(A32/Calculator!$F$19,1)),ABS(MOD(A32/Calculator!$F$19,1)-0.5))),1)</f>
        <v>0.154803418803417</v>
      </c>
      <c r="K32" s="73" t="n">
        <f aca="false">IF(Calculator!$E$20="YES",IF(A32&lt;Calculator!$G$20,0,MIN(MIN(MOD(A32/Calculator!$F$20,1),1-MOD(A32/Calculator!$F$20,1)),ABS(MOD(A32/Calculator!$F$20,1)-0.5))),1)</f>
        <v>0.14940170940171</v>
      </c>
      <c r="L32" s="73" t="n">
        <f aca="false">IF(Calculator!$E$21="YES",IF(A32&lt;Calculator!$G$21,0,MIN(MIN(MOD(A32/Calculator!$F$21,1),1-MOD(A32/Calculator!$F$21,1)),ABS(MOD(A32/Calculator!$F$21,1)-0.5))),1)</f>
        <v>1</v>
      </c>
      <c r="M32" s="74" t="n">
        <f aca="false">MIN(B32:L32)</f>
        <v>0.14940170940171</v>
      </c>
      <c r="N32" s="75" t="n">
        <f aca="false">SUMPRODUCT(($M$5:$M$115&gt;M32)*1)+SUMPRODUCT(($M$5:$M$115=M32)*(ROW($M$5:$M$115)&lt;ROW(M32)))+1</f>
        <v>3</v>
      </c>
      <c r="O32" s="76" t="str">
        <f aca="false">IF(M32&gt;=0.2,"★★★ EXCELLENT",IF(M32&gt;=0.12,"★★  GOOD",IF(M32&gt;=0.07,"★  FAIR",IF(M32&gt;=0.025,"⚠  MARGINAL","✗  AVOID"))))</f>
        <v>★★  GOOD</v>
      </c>
    </row>
    <row r="33" customFormat="false" ht="15" hidden="false" customHeight="true" outlineLevel="0" collapsed="false">
      <c r="A33" s="72" t="n">
        <v>19</v>
      </c>
      <c r="B33" s="73" t="n">
        <f aca="false">IF(Calculator!$E$11="YES",IF(A33&lt;Calculator!$G$11,0,MIN(MIN(MOD(A33/Calculator!$F$11,1),1-MOD(A33/Calculator!$F$11,1)),ABS(MOD(A33/Calculator!$F$11,1)-0.5))),1)</f>
        <v>1</v>
      </c>
      <c r="C33" s="73" t="n">
        <f aca="false">IF(Calculator!$E$12="YES",IF(A33&lt;Calculator!$G$12,0,MIN(MIN(MOD(A33/Calculator!$F$12,1),1-MOD(A33/Calculator!$F$12,1)),ABS(MOD(A33/Calculator!$F$12,1)-0.5))),1)</f>
        <v>1</v>
      </c>
      <c r="D33" s="73" t="n">
        <f aca="false">IF(Calculator!$E$13="YES",IF(A33&lt;Calculator!$G$13,0,MIN(MIN(MOD(A33/Calculator!$F$13,1),1-MOD(A33/Calculator!$F$13,1)),ABS(MOD(A33/Calculator!$F$13,1)-0.5))),1)</f>
        <v>1</v>
      </c>
      <c r="E33" s="73" t="n">
        <f aca="false">IF(Calculator!$E$14="YES",IF(A33&lt;Calculator!$G$14,0,MIN(MIN(MOD(A33/Calculator!$F$14,1),1-MOD(A33/Calculator!$F$14,1)),ABS(MOD(A33/Calculator!$F$14,1)-0.5))),1)</f>
        <v>1</v>
      </c>
      <c r="F33" s="73" t="n">
        <f aca="false">IF(Calculator!$E$15="YES",IF(A33&lt;Calculator!$G$15,0,MIN(MIN(MOD(A33/Calculator!$F$15,1),1-MOD(A33/Calculator!$F$15,1)),ABS(MOD(A33/Calculator!$F$15,1)-0.5))),1)</f>
        <v>0.184615384615385</v>
      </c>
      <c r="G33" s="73" t="n">
        <f aca="false">IF(Calculator!$E$16="YES",IF(A33&lt;Calculator!$G$16,0,MIN(MIN(MOD(A33/Calculator!$F$16,1),1-MOD(A33/Calculator!$F$16,1)),ABS(MOD(A33/Calculator!$F$16,1)-0.5))),1)</f>
        <v>0.158461538461538</v>
      </c>
      <c r="H33" s="73" t="n">
        <f aca="false">IF(Calculator!$E$17="YES",IF(A33&lt;Calculator!$G$17,0,MIN(MIN(MOD(A33/Calculator!$F$17,1),1-MOD(A33/Calculator!$F$17,1)),ABS(MOD(A33/Calculator!$F$17,1)-0.5))),1)</f>
        <v>0.146208547008547</v>
      </c>
      <c r="I33" s="73" t="n">
        <f aca="false">IF(Calculator!$E$18="YES",IF(A33&lt;Calculator!$G$18,0,MIN(MIN(MOD(A33/Calculator!$F$18,1),1-MOD(A33/Calculator!$F$18,1)),ABS(MOD(A33/Calculator!$F$18,1)-0.5))),1)</f>
        <v>0.242564102564102</v>
      </c>
      <c r="J33" s="73" t="n">
        <f aca="false">IF(Calculator!$E$19="YES",IF(A33&lt;Calculator!$G$19,0,MIN(MIN(MOD(A33/Calculator!$F$19,1),1-MOD(A33/Calculator!$F$19,1)),ABS(MOD(A33/Calculator!$F$19,1)-0.5))),1)</f>
        <v>0.240068376068374</v>
      </c>
      <c r="K33" s="73" t="n">
        <f aca="false">IF(Calculator!$E$20="YES",IF(A33&lt;Calculator!$G$20,0,MIN(MIN(MOD(A33/Calculator!$F$20,1),1-MOD(A33/Calculator!$F$20,1)),ABS(MOD(A33/Calculator!$F$20,1)-0.5))),1)</f>
        <v>0.248034188034188</v>
      </c>
      <c r="L33" s="73" t="n">
        <f aca="false">IF(Calculator!$E$21="YES",IF(A33&lt;Calculator!$G$21,0,MIN(MIN(MOD(A33/Calculator!$F$21,1),1-MOD(A33/Calculator!$F$21,1)),ABS(MOD(A33/Calculator!$F$21,1)-0.5))),1)</f>
        <v>1</v>
      </c>
      <c r="M33" s="74" t="n">
        <f aca="false">MIN(B33:L33)</f>
        <v>0.146208547008547</v>
      </c>
      <c r="N33" s="75" t="n">
        <f aca="false">SUMPRODUCT(($M$5:$M$115&gt;M33)*1)+SUMPRODUCT(($M$5:$M$115=M33)*(ROW($M$5:$M$115)&lt;ROW(M33)))+1</f>
        <v>4</v>
      </c>
      <c r="O33" s="76" t="str">
        <f aca="false">IF(M33&gt;=0.2,"★★★ EXCELLENT",IF(M33&gt;=0.12,"★★  GOOD",IF(M33&gt;=0.07,"★  FAIR",IF(M33&gt;=0.025,"⚠  MARGINAL","✗  AVOID"))))</f>
        <v>★★  GOOD</v>
      </c>
    </row>
    <row r="34" customFormat="false" ht="15" hidden="false" customHeight="true" outlineLevel="0" collapsed="false">
      <c r="A34" s="72" t="n">
        <v>19.5</v>
      </c>
      <c r="B34" s="73" t="n">
        <f aca="false">IF(Calculator!$E$11="YES",IF(A34&lt;Calculator!$G$11,0,MIN(MIN(MOD(A34/Calculator!$F$11,1),1-MOD(A34/Calculator!$F$11,1)),ABS(MOD(A34/Calculator!$F$11,1)-0.5))),1)</f>
        <v>1</v>
      </c>
      <c r="C34" s="73" t="n">
        <f aca="false">IF(Calculator!$E$12="YES",IF(A34&lt;Calculator!$G$12,0,MIN(MIN(MOD(A34/Calculator!$F$12,1),1-MOD(A34/Calculator!$F$12,1)),ABS(MOD(A34/Calculator!$F$12,1)-0.5))),1)</f>
        <v>1</v>
      </c>
      <c r="D34" s="73" t="n">
        <f aca="false">IF(Calculator!$E$13="YES",IF(A34&lt;Calculator!$G$13,0,MIN(MIN(MOD(A34/Calculator!$F$13,1),1-MOD(A34/Calculator!$F$13,1)),ABS(MOD(A34/Calculator!$F$13,1)-0.5))),1)</f>
        <v>1</v>
      </c>
      <c r="E34" s="73" t="n">
        <f aca="false">IF(Calculator!$E$14="YES",IF(A34&lt;Calculator!$G$14,0,MIN(MIN(MOD(A34/Calculator!$F$14,1),1-MOD(A34/Calculator!$F$14,1)),ABS(MOD(A34/Calculator!$F$14,1)-0.5))),1)</f>
        <v>1</v>
      </c>
      <c r="F34" s="73" t="n">
        <f aca="false">IF(Calculator!$E$15="YES",IF(A34&lt;Calculator!$G$15,0,MIN(MIN(MOD(A34/Calculator!$F$15,1),1-MOD(A34/Calculator!$F$15,1)),ABS(MOD(A34/Calculator!$F$15,1)-0.5))),1)</f>
        <v>0.15</v>
      </c>
      <c r="G34" s="73" t="n">
        <f aca="false">IF(Calculator!$E$16="YES",IF(A34&lt;Calculator!$G$16,0,MIN(MIN(MOD(A34/Calculator!$F$16,1),1-MOD(A34/Calculator!$F$16,1)),ABS(MOD(A34/Calculator!$F$16,1)-0.5))),1)</f>
        <v>0.11</v>
      </c>
      <c r="H34" s="73" t="n">
        <f aca="false">IF(Calculator!$E$17="YES",IF(A34&lt;Calculator!$G$17,0,MIN(MIN(MOD(A34/Calculator!$F$17,1),1-MOD(A34/Calculator!$F$17,1)),ABS(MOD(A34/Calculator!$F$17,1)-0.5))),1)</f>
        <v>0.0842666666666663</v>
      </c>
      <c r="I34" s="73" t="n">
        <f aca="false">IF(Calculator!$E$18="YES",IF(A34&lt;Calculator!$G$18,0,MIN(MIN(MOD(A34/Calculator!$F$18,1),1-MOD(A34/Calculator!$F$18,1)),ABS(MOD(A34/Calculator!$F$18,1)-0.5))),1)</f>
        <v>0.169999999999999</v>
      </c>
      <c r="J34" s="73" t="n">
        <f aca="false">IF(Calculator!$E$19="YES",IF(A34&lt;Calculator!$G$19,0,MIN(MIN(MOD(A34/Calculator!$F$19,1),1-MOD(A34/Calculator!$F$19,1)),ABS(MOD(A34/Calculator!$F$19,1)-0.5))),1)</f>
        <v>0.174666666666669</v>
      </c>
      <c r="K34" s="73" t="n">
        <f aca="false">IF(Calculator!$E$20="YES",IF(A34&lt;Calculator!$G$20,0,MIN(MIN(MOD(A34/Calculator!$F$20,1),1-MOD(A34/Calculator!$F$20,1)),ABS(MOD(A34/Calculator!$F$20,1)-0.5))),1)</f>
        <v>0.153333333333333</v>
      </c>
      <c r="L34" s="73" t="n">
        <f aca="false">IF(Calculator!$E$21="YES",IF(A34&lt;Calculator!$G$21,0,MIN(MIN(MOD(A34/Calculator!$F$21,1),1-MOD(A34/Calculator!$F$21,1)),ABS(MOD(A34/Calculator!$F$21,1)-0.5))),1)</f>
        <v>1</v>
      </c>
      <c r="M34" s="74" t="n">
        <f aca="false">MIN(B34:L34)</f>
        <v>0.0842666666666663</v>
      </c>
      <c r="N34" s="75" t="n">
        <f aca="false">SUMPRODUCT(($M$5:$M$115&gt;M34)*1)+SUMPRODUCT(($M$5:$M$115=M34)*(ROW($M$5:$M$115)&lt;ROW(M34)))+1</f>
        <v>10</v>
      </c>
      <c r="O34" s="76" t="str">
        <f aca="false">IF(M34&gt;=0.2,"★★★ EXCELLENT",IF(M34&gt;=0.12,"★★  GOOD",IF(M34&gt;=0.07,"★  FAIR",IF(M34&gt;=0.025,"⚠  MARGINAL","✗  AVOID"))))</f>
        <v>★  FAIR</v>
      </c>
    </row>
    <row r="35" customFormat="false" ht="15" hidden="false" customHeight="true" outlineLevel="0" collapsed="false">
      <c r="A35" s="72" t="n">
        <v>20</v>
      </c>
      <c r="B35" s="73" t="n">
        <f aca="false">IF(Calculator!$E$11="YES",IF(A35&lt;Calculator!$G$11,0,MIN(MIN(MOD(A35/Calculator!$F$11,1),1-MOD(A35/Calculator!$F$11,1)),ABS(MOD(A35/Calculator!$F$11,1)-0.5))),1)</f>
        <v>1</v>
      </c>
      <c r="C35" s="73" t="n">
        <f aca="false">IF(Calculator!$E$12="YES",IF(A35&lt;Calculator!$G$12,0,MIN(MIN(MOD(A35/Calculator!$F$12,1),1-MOD(A35/Calculator!$F$12,1)),ABS(MOD(A35/Calculator!$F$12,1)-0.5))),1)</f>
        <v>1</v>
      </c>
      <c r="D35" s="73" t="n">
        <f aca="false">IF(Calculator!$E$13="YES",IF(A35&lt;Calculator!$G$13,0,MIN(MIN(MOD(A35/Calculator!$F$13,1),1-MOD(A35/Calculator!$F$13,1)),ABS(MOD(A35/Calculator!$F$13,1)-0.5))),1)</f>
        <v>1</v>
      </c>
      <c r="E35" s="73" t="n">
        <f aca="false">IF(Calculator!$E$14="YES",IF(A35&lt;Calculator!$G$14,0,MIN(MIN(MOD(A35/Calculator!$F$14,1),1-MOD(A35/Calculator!$F$14,1)),ABS(MOD(A35/Calculator!$F$14,1)-0.5))),1)</f>
        <v>1</v>
      </c>
      <c r="F35" s="73" t="n">
        <f aca="false">IF(Calculator!$E$15="YES",IF(A35&lt;Calculator!$G$15,0,MIN(MIN(MOD(A35/Calculator!$F$15,1),1-MOD(A35/Calculator!$F$15,1)),ABS(MOD(A35/Calculator!$F$15,1)-0.5))),1)</f>
        <v>0.115384615384615</v>
      </c>
      <c r="G35" s="73" t="n">
        <f aca="false">IF(Calculator!$E$16="YES",IF(A35&lt;Calculator!$G$16,0,MIN(MIN(MOD(A35/Calculator!$F$16,1),1-MOD(A35/Calculator!$F$16,1)),ABS(MOD(A35/Calculator!$F$16,1)-0.5))),1)</f>
        <v>0.0615384615384613</v>
      </c>
      <c r="H35" s="73" t="n">
        <f aca="false">IF(Calculator!$E$17="YES",IF(A35&lt;Calculator!$G$17,0,MIN(MIN(MOD(A35/Calculator!$F$17,1),1-MOD(A35/Calculator!$F$17,1)),ABS(MOD(A35/Calculator!$F$17,1)-0.5))),1)</f>
        <v>0.022324786324786</v>
      </c>
      <c r="I35" s="73" t="n">
        <f aca="false">IF(Calculator!$E$18="YES",IF(A35&lt;Calculator!$G$18,0,MIN(MIN(MOD(A35/Calculator!$F$18,1),1-MOD(A35/Calculator!$F$18,1)),ABS(MOD(A35/Calculator!$F$18,1)-0.5))),1)</f>
        <v>0.0974358974358971</v>
      </c>
      <c r="J35" s="73" t="n">
        <f aca="false">IF(Calculator!$E$19="YES",IF(A35&lt;Calculator!$G$19,0,MIN(MIN(MOD(A35/Calculator!$F$19,1),1-MOD(A35/Calculator!$F$19,1)),ABS(MOD(A35/Calculator!$F$19,1)-0.5))),1)</f>
        <v>0.0894017094017121</v>
      </c>
      <c r="K35" s="73" t="n">
        <f aca="false">IF(Calculator!$E$20="YES",IF(A35&lt;Calculator!$G$20,0,MIN(MIN(MOD(A35/Calculator!$F$20,1),1-MOD(A35/Calculator!$F$20,1)),ABS(MOD(A35/Calculator!$F$20,1)-0.5))),1)</f>
        <v>0.0547008547008541</v>
      </c>
      <c r="L35" s="73" t="n">
        <f aca="false">IF(Calculator!$E$21="YES",IF(A35&lt;Calculator!$G$21,0,MIN(MIN(MOD(A35/Calculator!$F$21,1),1-MOD(A35/Calculator!$F$21,1)),ABS(MOD(A35/Calculator!$F$21,1)-0.5))),1)</f>
        <v>1</v>
      </c>
      <c r="M35" s="74" t="n">
        <f aca="false">MIN(B35:L35)</f>
        <v>0.022324786324786</v>
      </c>
      <c r="N35" s="75" t="n">
        <f aca="false">SUMPRODUCT(($M$5:$M$115&gt;M35)*1)+SUMPRODUCT(($M$5:$M$115=M35)*(ROW($M$5:$M$115)&lt;ROW(M35)))+1</f>
        <v>64</v>
      </c>
      <c r="O35" s="76" t="str">
        <f aca="false">IF(M35&gt;=0.2,"★★★ EXCELLENT",IF(M35&gt;=0.12,"★★  GOOD",IF(M35&gt;=0.07,"★  FAIR",IF(M35&gt;=0.025,"⚠  MARGINAL","✗  AVOID"))))</f>
        <v>✗  AVOID</v>
      </c>
    </row>
    <row r="36" customFormat="false" ht="15" hidden="false" customHeight="true" outlineLevel="0" collapsed="false">
      <c r="A36" s="72" t="n">
        <v>20.5</v>
      </c>
      <c r="B36" s="73" t="n">
        <f aca="false">IF(Calculator!$E$11="YES",IF(A36&lt;Calculator!$G$11,0,MIN(MIN(MOD(A36/Calculator!$F$11,1),1-MOD(A36/Calculator!$F$11,1)),ABS(MOD(A36/Calculator!$F$11,1)-0.5))),1)</f>
        <v>1</v>
      </c>
      <c r="C36" s="73" t="n">
        <f aca="false">IF(Calculator!$E$12="YES",IF(A36&lt;Calculator!$G$12,0,MIN(MIN(MOD(A36/Calculator!$F$12,1),1-MOD(A36/Calculator!$F$12,1)),ABS(MOD(A36/Calculator!$F$12,1)-0.5))),1)</f>
        <v>1</v>
      </c>
      <c r="D36" s="73" t="n">
        <f aca="false">IF(Calculator!$E$13="YES",IF(A36&lt;Calculator!$G$13,0,MIN(MIN(MOD(A36/Calculator!$F$13,1),1-MOD(A36/Calculator!$F$13,1)),ABS(MOD(A36/Calculator!$F$13,1)-0.5))),1)</f>
        <v>1</v>
      </c>
      <c r="E36" s="73" t="n">
        <f aca="false">IF(Calculator!$E$14="YES",IF(A36&lt;Calculator!$G$14,0,MIN(MIN(MOD(A36/Calculator!$F$14,1),1-MOD(A36/Calculator!$F$14,1)),ABS(MOD(A36/Calculator!$F$14,1)-0.5))),1)</f>
        <v>1</v>
      </c>
      <c r="F36" s="73" t="n">
        <f aca="false">IF(Calculator!$E$15="YES",IF(A36&lt;Calculator!$G$15,0,MIN(MIN(MOD(A36/Calculator!$F$15,1),1-MOD(A36/Calculator!$F$15,1)),ABS(MOD(A36/Calculator!$F$15,1)-0.5))),1)</f>
        <v>0.0807692307692307</v>
      </c>
      <c r="G36" s="73" t="n">
        <f aca="false">IF(Calculator!$E$16="YES",IF(A36&lt;Calculator!$G$16,0,MIN(MIN(MOD(A36/Calculator!$F$16,1),1-MOD(A36/Calculator!$F$16,1)),ABS(MOD(A36/Calculator!$F$16,1)-0.5))),1)</f>
        <v>0.0130769230769228</v>
      </c>
      <c r="H36" s="73" t="n">
        <f aca="false">IF(Calculator!$E$17="YES",IF(A36&lt;Calculator!$G$17,0,MIN(MIN(MOD(A36/Calculator!$F$17,1),1-MOD(A36/Calculator!$F$17,1)),ABS(MOD(A36/Calculator!$F$17,1)-0.5))),1)</f>
        <v>0.0396170940170943</v>
      </c>
      <c r="I36" s="73" t="n">
        <f aca="false">IF(Calculator!$E$18="YES",IF(A36&lt;Calculator!$G$18,0,MIN(MIN(MOD(A36/Calculator!$F$18,1),1-MOD(A36/Calculator!$F$18,1)),ABS(MOD(A36/Calculator!$F$18,1)-0.5))),1)</f>
        <v>0.0248717948717947</v>
      </c>
      <c r="J36" s="73" t="n">
        <f aca="false">IF(Calculator!$E$19="YES",IF(A36&lt;Calculator!$G$19,0,MIN(MIN(MOD(A36/Calculator!$F$19,1),1-MOD(A36/Calculator!$F$19,1)),ABS(MOD(A36/Calculator!$F$19,1)-0.5))),1)</f>
        <v>0.00413675213675457</v>
      </c>
      <c r="K36" s="73" t="n">
        <f aca="false">IF(Calculator!$E$20="YES",IF(A36&lt;Calculator!$G$20,0,MIN(MIN(MOD(A36/Calculator!$F$20,1),1-MOD(A36/Calculator!$F$20,1)),ABS(MOD(A36/Calculator!$F$20,1)-0.5))),1)</f>
        <v>0.0439316239316243</v>
      </c>
      <c r="L36" s="73" t="n">
        <f aca="false">IF(Calculator!$E$21="YES",IF(A36&lt;Calculator!$G$21,0,MIN(MIN(MOD(A36/Calculator!$F$21,1),1-MOD(A36/Calculator!$F$21,1)),ABS(MOD(A36/Calculator!$F$21,1)-0.5))),1)</f>
        <v>1</v>
      </c>
      <c r="M36" s="74" t="n">
        <f aca="false">MIN(B36:L36)</f>
        <v>0.00413675213675457</v>
      </c>
      <c r="N36" s="75" t="n">
        <f aca="false">SUMPRODUCT(($M$5:$M$115&gt;M36)*1)+SUMPRODUCT(($M$5:$M$115=M36)*(ROW($M$5:$M$115)&lt;ROW(M36)))+1</f>
        <v>97</v>
      </c>
      <c r="O36" s="76" t="str">
        <f aca="false">IF(M36&gt;=0.2,"★★★ EXCELLENT",IF(M36&gt;=0.12,"★★  GOOD",IF(M36&gt;=0.07,"★  FAIR",IF(M36&gt;=0.025,"⚠  MARGINAL","✗  AVOID"))))</f>
        <v>✗  AVOID</v>
      </c>
    </row>
    <row r="37" customFormat="false" ht="15" hidden="false" customHeight="true" outlineLevel="0" collapsed="false">
      <c r="A37" s="72" t="n">
        <v>21</v>
      </c>
      <c r="B37" s="73" t="n">
        <f aca="false">IF(Calculator!$E$11="YES",IF(A37&lt;Calculator!$G$11,0,MIN(MIN(MOD(A37/Calculator!$F$11,1),1-MOD(A37/Calculator!$F$11,1)),ABS(MOD(A37/Calculator!$F$11,1)-0.5))),1)</f>
        <v>1</v>
      </c>
      <c r="C37" s="73" t="n">
        <f aca="false">IF(Calculator!$E$12="YES",IF(A37&lt;Calculator!$G$12,0,MIN(MIN(MOD(A37/Calculator!$F$12,1),1-MOD(A37/Calculator!$F$12,1)),ABS(MOD(A37/Calculator!$F$12,1)-0.5))),1)</f>
        <v>1</v>
      </c>
      <c r="D37" s="73" t="n">
        <f aca="false">IF(Calculator!$E$13="YES",IF(A37&lt;Calculator!$G$13,0,MIN(MIN(MOD(A37/Calculator!$F$13,1),1-MOD(A37/Calculator!$F$13,1)),ABS(MOD(A37/Calculator!$F$13,1)-0.5))),1)</f>
        <v>1</v>
      </c>
      <c r="E37" s="73" t="n">
        <f aca="false">IF(Calculator!$E$14="YES",IF(A37&lt;Calculator!$G$14,0,MIN(MIN(MOD(A37/Calculator!$F$14,1),1-MOD(A37/Calculator!$F$14,1)),ABS(MOD(A37/Calculator!$F$14,1)-0.5))),1)</f>
        <v>1</v>
      </c>
      <c r="F37" s="73" t="n">
        <f aca="false">IF(Calculator!$E$15="YES",IF(A37&lt;Calculator!$G$15,0,MIN(MIN(MOD(A37/Calculator!$F$15,1),1-MOD(A37/Calculator!$F$15,1)),ABS(MOD(A37/Calculator!$F$15,1)-0.5))),1)</f>
        <v>0.0461538461538462</v>
      </c>
      <c r="G37" s="73" t="n">
        <f aca="false">IF(Calculator!$E$16="YES",IF(A37&lt;Calculator!$G$16,0,MIN(MIN(MOD(A37/Calculator!$F$16,1),1-MOD(A37/Calculator!$F$16,1)),ABS(MOD(A37/Calculator!$F$16,1)-0.5))),1)</f>
        <v>0.0353846153846158</v>
      </c>
      <c r="H37" s="73" t="n">
        <f aca="false">IF(Calculator!$E$17="YES",IF(A37&lt;Calculator!$G$17,0,MIN(MIN(MOD(A37/Calculator!$F$17,1),1-MOD(A37/Calculator!$F$17,1)),ABS(MOD(A37/Calculator!$F$17,1)-0.5))),1)</f>
        <v>0.101558974358975</v>
      </c>
      <c r="I37" s="73" t="n">
        <f aca="false">IF(Calculator!$E$18="YES",IF(A37&lt;Calculator!$G$18,0,MIN(MIN(MOD(A37/Calculator!$F$18,1),1-MOD(A37/Calculator!$F$18,1)),ABS(MOD(A37/Calculator!$F$18,1)-0.5))),1)</f>
        <v>0.0476923076923081</v>
      </c>
      <c r="J37" s="73" t="n">
        <f aca="false">IF(Calculator!$E$19="YES",IF(A37&lt;Calculator!$G$19,0,MIN(MIN(MOD(A37/Calculator!$F$19,1),1-MOD(A37/Calculator!$F$19,1)),ABS(MOD(A37/Calculator!$F$19,1)-0.5))),1)</f>
        <v>0.0811282051282025</v>
      </c>
      <c r="K37" s="73" t="n">
        <f aca="false">IF(Calculator!$E$20="YES",IF(A37&lt;Calculator!$G$20,0,MIN(MIN(MOD(A37/Calculator!$F$20,1),1-MOD(A37/Calculator!$F$20,1)),ABS(MOD(A37/Calculator!$F$20,1)-0.5))),1)</f>
        <v>0.142564102564103</v>
      </c>
      <c r="L37" s="73" t="n">
        <f aca="false">IF(Calculator!$E$21="YES",IF(A37&lt;Calculator!$G$21,0,MIN(MIN(MOD(A37/Calculator!$F$21,1),1-MOD(A37/Calculator!$F$21,1)),ABS(MOD(A37/Calculator!$F$21,1)-0.5))),1)</f>
        <v>1</v>
      </c>
      <c r="M37" s="74" t="n">
        <f aca="false">MIN(B37:L37)</f>
        <v>0.0353846153846158</v>
      </c>
      <c r="N37" s="75" t="n">
        <f aca="false">SUMPRODUCT(($M$5:$M$115&gt;M37)*1)+SUMPRODUCT(($M$5:$M$115=M37)*(ROW($M$5:$M$115)&lt;ROW(M37)))+1</f>
        <v>44</v>
      </c>
      <c r="O37" s="76" t="str">
        <f aca="false">IF(M37&gt;=0.2,"★★★ EXCELLENT",IF(M37&gt;=0.12,"★★  GOOD",IF(M37&gt;=0.07,"★  FAIR",IF(M37&gt;=0.025,"⚠  MARGINAL","✗  AVOID"))))</f>
        <v>⚠  MARGINAL</v>
      </c>
    </row>
    <row r="38" customFormat="false" ht="15" hidden="false" customHeight="true" outlineLevel="0" collapsed="false">
      <c r="A38" s="72" t="n">
        <v>21.5</v>
      </c>
      <c r="B38" s="73" t="n">
        <f aca="false">IF(Calculator!$E$11="YES",IF(A38&lt;Calculator!$G$11,0,MIN(MIN(MOD(A38/Calculator!$F$11,1),1-MOD(A38/Calculator!$F$11,1)),ABS(MOD(A38/Calculator!$F$11,1)-0.5))),1)</f>
        <v>1</v>
      </c>
      <c r="C38" s="73" t="n">
        <f aca="false">IF(Calculator!$E$12="YES",IF(A38&lt;Calculator!$G$12,0,MIN(MIN(MOD(A38/Calculator!$F$12,1),1-MOD(A38/Calculator!$F$12,1)),ABS(MOD(A38/Calculator!$F$12,1)-0.5))),1)</f>
        <v>1</v>
      </c>
      <c r="D38" s="73" t="n">
        <f aca="false">IF(Calculator!$E$13="YES",IF(A38&lt;Calculator!$G$13,0,MIN(MIN(MOD(A38/Calculator!$F$13,1),1-MOD(A38/Calculator!$F$13,1)),ABS(MOD(A38/Calculator!$F$13,1)-0.5))),1)</f>
        <v>1</v>
      </c>
      <c r="E38" s="73" t="n">
        <f aca="false">IF(Calculator!$E$14="YES",IF(A38&lt;Calculator!$G$14,0,MIN(MIN(MOD(A38/Calculator!$F$14,1),1-MOD(A38/Calculator!$F$14,1)),ABS(MOD(A38/Calculator!$F$14,1)-0.5))),1)</f>
        <v>1</v>
      </c>
      <c r="F38" s="73" t="n">
        <f aca="false">IF(Calculator!$E$15="YES",IF(A38&lt;Calculator!$G$15,0,MIN(MIN(MOD(A38/Calculator!$F$15,1),1-MOD(A38/Calculator!$F$15,1)),ABS(MOD(A38/Calculator!$F$15,1)-0.5))),1)</f>
        <v>0.0115384615384615</v>
      </c>
      <c r="G38" s="73" t="n">
        <f aca="false">IF(Calculator!$E$16="YES",IF(A38&lt;Calculator!$G$16,0,MIN(MIN(MOD(A38/Calculator!$F$16,1),1-MOD(A38/Calculator!$F$16,1)),ABS(MOD(A38/Calculator!$F$16,1)-0.5))),1)</f>
        <v>0.0838461538461539</v>
      </c>
      <c r="H38" s="73" t="n">
        <f aca="false">IF(Calculator!$E$17="YES",IF(A38&lt;Calculator!$G$17,0,MIN(MIN(MOD(A38/Calculator!$F$17,1),1-MOD(A38/Calculator!$F$17,1)),ABS(MOD(A38/Calculator!$F$17,1)-0.5))),1)</f>
        <v>0.163500854700855</v>
      </c>
      <c r="I38" s="73" t="n">
        <f aca="false">IF(Calculator!$E$18="YES",IF(A38&lt;Calculator!$G$18,0,MIN(MIN(MOD(A38/Calculator!$F$18,1),1-MOD(A38/Calculator!$F$18,1)),ABS(MOD(A38/Calculator!$F$18,1)-0.5))),1)</f>
        <v>0.120256410256411</v>
      </c>
      <c r="J38" s="73" t="n">
        <f aca="false">IF(Calculator!$E$19="YES",IF(A38&lt;Calculator!$G$19,0,MIN(MIN(MOD(A38/Calculator!$F$19,1),1-MOD(A38/Calculator!$F$19,1)),ABS(MOD(A38/Calculator!$F$19,1)-0.5))),1)</f>
        <v>0.16639316239316</v>
      </c>
      <c r="K38" s="73" t="n">
        <f aca="false">IF(Calculator!$E$20="YES",IF(A38&lt;Calculator!$G$20,0,MIN(MIN(MOD(A38/Calculator!$F$20,1),1-MOD(A38/Calculator!$F$20,1)),ABS(MOD(A38/Calculator!$F$20,1)-0.5))),1)</f>
        <v>0.241196581196582</v>
      </c>
      <c r="L38" s="73" t="n">
        <f aca="false">IF(Calculator!$E$21="YES",IF(A38&lt;Calculator!$G$21,0,MIN(MIN(MOD(A38/Calculator!$F$21,1),1-MOD(A38/Calculator!$F$21,1)),ABS(MOD(A38/Calculator!$F$21,1)-0.5))),1)</f>
        <v>1</v>
      </c>
      <c r="M38" s="74" t="n">
        <f aca="false">MIN(B38:L38)</f>
        <v>0.0115384615384615</v>
      </c>
      <c r="N38" s="75" t="n">
        <f aca="false">SUMPRODUCT(($M$5:$M$115&gt;M38)*1)+SUMPRODUCT(($M$5:$M$115=M38)*(ROW($M$5:$M$115)&lt;ROW(M38)))+1</f>
        <v>82</v>
      </c>
      <c r="O38" s="76" t="str">
        <f aca="false">IF(M38&gt;=0.2,"★★★ EXCELLENT",IF(M38&gt;=0.12,"★★  GOOD",IF(M38&gt;=0.07,"★  FAIR",IF(M38&gt;=0.025,"⚠  MARGINAL","✗  AVOID"))))</f>
        <v>✗  AVOID</v>
      </c>
    </row>
    <row r="39" customFormat="false" ht="15" hidden="false" customHeight="true" outlineLevel="0" collapsed="false">
      <c r="A39" s="72" t="n">
        <v>22</v>
      </c>
      <c r="B39" s="73" t="n">
        <f aca="false">IF(Calculator!$E$11="YES",IF(A39&lt;Calculator!$G$11,0,MIN(MIN(MOD(A39/Calculator!$F$11,1),1-MOD(A39/Calculator!$F$11,1)),ABS(MOD(A39/Calculator!$F$11,1)-0.5))),1)</f>
        <v>1</v>
      </c>
      <c r="C39" s="73" t="n">
        <f aca="false">IF(Calculator!$E$12="YES",IF(A39&lt;Calculator!$G$12,0,MIN(MIN(MOD(A39/Calculator!$F$12,1),1-MOD(A39/Calculator!$F$12,1)),ABS(MOD(A39/Calculator!$F$12,1)-0.5))),1)</f>
        <v>1</v>
      </c>
      <c r="D39" s="73" t="n">
        <f aca="false">IF(Calculator!$E$13="YES",IF(A39&lt;Calculator!$G$13,0,MIN(MIN(MOD(A39/Calculator!$F$13,1),1-MOD(A39/Calculator!$F$13,1)),ABS(MOD(A39/Calculator!$F$13,1)-0.5))),1)</f>
        <v>1</v>
      </c>
      <c r="E39" s="73" t="n">
        <f aca="false">IF(Calculator!$E$14="YES",IF(A39&lt;Calculator!$G$14,0,MIN(MIN(MOD(A39/Calculator!$F$14,1),1-MOD(A39/Calculator!$F$14,1)),ABS(MOD(A39/Calculator!$F$14,1)-0.5))),1)</f>
        <v>1</v>
      </c>
      <c r="F39" s="73" t="n">
        <f aca="false">IF(Calculator!$E$15="YES",IF(A39&lt;Calculator!$G$15,0,MIN(MIN(MOD(A39/Calculator!$F$15,1),1-MOD(A39/Calculator!$F$15,1)),ABS(MOD(A39/Calculator!$F$15,1)-0.5))),1)</f>
        <v>0.023076923076923</v>
      </c>
      <c r="G39" s="73" t="n">
        <f aca="false">IF(Calculator!$E$16="YES",IF(A39&lt;Calculator!$G$16,0,MIN(MIN(MOD(A39/Calculator!$F$16,1),1-MOD(A39/Calculator!$F$16,1)),ABS(MOD(A39/Calculator!$F$16,1)-0.5))),1)</f>
        <v>0.132307692307692</v>
      </c>
      <c r="H39" s="73" t="n">
        <f aca="false">IF(Calculator!$E$17="YES",IF(A39&lt;Calculator!$G$17,0,MIN(MIN(MOD(A39/Calculator!$F$17,1),1-MOD(A39/Calculator!$F$17,1)),ABS(MOD(A39/Calculator!$F$17,1)-0.5))),1)</f>
        <v>0.225442735042736</v>
      </c>
      <c r="I39" s="73" t="n">
        <f aca="false">IF(Calculator!$E$18="YES",IF(A39&lt;Calculator!$G$18,0,MIN(MIN(MOD(A39/Calculator!$F$18,1),1-MOD(A39/Calculator!$F$18,1)),ABS(MOD(A39/Calculator!$F$18,1)-0.5))),1)</f>
        <v>0.192820512820513</v>
      </c>
      <c r="J39" s="73" t="n">
        <f aca="false">IF(Calculator!$E$19="YES",IF(A39&lt;Calculator!$G$19,0,MIN(MIN(MOD(A39/Calculator!$F$19,1),1-MOD(A39/Calculator!$F$19,1)),ABS(MOD(A39/Calculator!$F$19,1)-0.5))),1)</f>
        <v>0.248341880341883</v>
      </c>
      <c r="K39" s="73" t="n">
        <f aca="false">IF(Calculator!$E$20="YES",IF(A39&lt;Calculator!$G$20,0,MIN(MIN(MOD(A39/Calculator!$F$20,1),1-MOD(A39/Calculator!$F$20,1)),ABS(MOD(A39/Calculator!$F$20,1)-0.5))),1)</f>
        <v>0.160170940170939</v>
      </c>
      <c r="L39" s="73" t="n">
        <f aca="false">IF(Calculator!$E$21="YES",IF(A39&lt;Calculator!$G$21,0,MIN(MIN(MOD(A39/Calculator!$F$21,1),1-MOD(A39/Calculator!$F$21,1)),ABS(MOD(A39/Calculator!$F$21,1)-0.5))),1)</f>
        <v>1</v>
      </c>
      <c r="M39" s="74" t="n">
        <f aca="false">MIN(B39:L39)</f>
        <v>0.023076923076923</v>
      </c>
      <c r="N39" s="75" t="n">
        <f aca="false">SUMPRODUCT(($M$5:$M$115&gt;M39)*1)+SUMPRODUCT(($M$5:$M$115=M39)*(ROW($M$5:$M$115)&lt;ROW(M39)))+1</f>
        <v>63</v>
      </c>
      <c r="O39" s="76" t="str">
        <f aca="false">IF(M39&gt;=0.2,"★★★ EXCELLENT",IF(M39&gt;=0.12,"★★  GOOD",IF(M39&gt;=0.07,"★  FAIR",IF(M39&gt;=0.025,"⚠  MARGINAL","✗  AVOID"))))</f>
        <v>✗  AVOID</v>
      </c>
    </row>
    <row r="40" customFormat="false" ht="15" hidden="false" customHeight="true" outlineLevel="0" collapsed="false">
      <c r="A40" s="72" t="n">
        <v>22.5</v>
      </c>
      <c r="B40" s="73" t="n">
        <f aca="false">IF(Calculator!$E$11="YES",IF(A40&lt;Calculator!$G$11,0,MIN(MIN(MOD(A40/Calculator!$F$11,1),1-MOD(A40/Calculator!$F$11,1)),ABS(MOD(A40/Calculator!$F$11,1)-0.5))),1)</f>
        <v>1</v>
      </c>
      <c r="C40" s="73" t="n">
        <f aca="false">IF(Calculator!$E$12="YES",IF(A40&lt;Calculator!$G$12,0,MIN(MIN(MOD(A40/Calculator!$F$12,1),1-MOD(A40/Calculator!$F$12,1)),ABS(MOD(A40/Calculator!$F$12,1)-0.5))),1)</f>
        <v>1</v>
      </c>
      <c r="D40" s="73" t="n">
        <f aca="false">IF(Calculator!$E$13="YES",IF(A40&lt;Calculator!$G$13,0,MIN(MIN(MOD(A40/Calculator!$F$13,1),1-MOD(A40/Calculator!$F$13,1)),ABS(MOD(A40/Calculator!$F$13,1)-0.5))),1)</f>
        <v>1</v>
      </c>
      <c r="E40" s="73" t="n">
        <f aca="false">IF(Calculator!$E$14="YES",IF(A40&lt;Calculator!$G$14,0,MIN(MIN(MOD(A40/Calculator!$F$14,1),1-MOD(A40/Calculator!$F$14,1)),ABS(MOD(A40/Calculator!$F$14,1)-0.5))),1)</f>
        <v>1</v>
      </c>
      <c r="F40" s="73" t="n">
        <f aca="false">IF(Calculator!$E$15="YES",IF(A40&lt;Calculator!$G$15,0,MIN(MIN(MOD(A40/Calculator!$F$15,1),1-MOD(A40/Calculator!$F$15,1)),ABS(MOD(A40/Calculator!$F$15,1)-0.5))),1)</f>
        <v>0.0576923076923077</v>
      </c>
      <c r="G40" s="73" t="n">
        <f aca="false">IF(Calculator!$E$16="YES",IF(A40&lt;Calculator!$G$16,0,MIN(MIN(MOD(A40/Calculator!$F$16,1),1-MOD(A40/Calculator!$F$16,1)),ABS(MOD(A40/Calculator!$F$16,1)-0.5))),1)</f>
        <v>0.180769230769231</v>
      </c>
      <c r="H40" s="73" t="n">
        <f aca="false">IF(Calculator!$E$17="YES",IF(A40&lt;Calculator!$G$17,0,MIN(MIN(MOD(A40/Calculator!$F$17,1),1-MOD(A40/Calculator!$F$17,1)),ABS(MOD(A40/Calculator!$F$17,1)-0.5))),1)</f>
        <v>0.212615384615384</v>
      </c>
      <c r="I40" s="73" t="n">
        <f aca="false">IF(Calculator!$E$18="YES",IF(A40&lt;Calculator!$G$18,0,MIN(MIN(MOD(A40/Calculator!$F$18,1),1-MOD(A40/Calculator!$F$18,1)),ABS(MOD(A40/Calculator!$F$18,1)-0.5))),1)</f>
        <v>0.234615384615384</v>
      </c>
      <c r="J40" s="73" t="n">
        <f aca="false">IF(Calculator!$E$19="YES",IF(A40&lt;Calculator!$G$19,0,MIN(MIN(MOD(A40/Calculator!$F$19,1),1-MOD(A40/Calculator!$F$19,1)),ABS(MOD(A40/Calculator!$F$19,1)-0.5))),1)</f>
        <v>0.163076923076926</v>
      </c>
      <c r="K40" s="73" t="n">
        <f aca="false">IF(Calculator!$E$20="YES",IF(A40&lt;Calculator!$G$20,0,MIN(MIN(MOD(A40/Calculator!$F$20,1),1-MOD(A40/Calculator!$F$20,1)),ABS(MOD(A40/Calculator!$F$20,1)-0.5))),1)</f>
        <v>0.0615384615384613</v>
      </c>
      <c r="L40" s="73" t="n">
        <f aca="false">IF(Calculator!$E$21="YES",IF(A40&lt;Calculator!$G$21,0,MIN(MIN(MOD(A40/Calculator!$F$21,1),1-MOD(A40/Calculator!$F$21,1)),ABS(MOD(A40/Calculator!$F$21,1)-0.5))),1)</f>
        <v>1</v>
      </c>
      <c r="M40" s="74" t="n">
        <f aca="false">MIN(B40:L40)</f>
        <v>0.0576923076923077</v>
      </c>
      <c r="N40" s="75" t="n">
        <f aca="false">SUMPRODUCT(($M$5:$M$115&gt;M40)*1)+SUMPRODUCT(($M$5:$M$115=M40)*(ROW($M$5:$M$115)&lt;ROW(M40)))+1</f>
        <v>25</v>
      </c>
      <c r="O40" s="76" t="str">
        <f aca="false">IF(M40&gt;=0.2,"★★★ EXCELLENT",IF(M40&gt;=0.12,"★★  GOOD",IF(M40&gt;=0.07,"★  FAIR",IF(M40&gt;=0.025,"⚠  MARGINAL","✗  AVOID"))))</f>
        <v>⚠  MARGINAL</v>
      </c>
    </row>
    <row r="41" customFormat="false" ht="15" hidden="false" customHeight="true" outlineLevel="0" collapsed="false">
      <c r="A41" s="72" t="n">
        <v>23</v>
      </c>
      <c r="B41" s="73" t="n">
        <f aca="false">IF(Calculator!$E$11="YES",IF(A41&lt;Calculator!$G$11,0,MIN(MIN(MOD(A41/Calculator!$F$11,1),1-MOD(A41/Calculator!$F$11,1)),ABS(MOD(A41/Calculator!$F$11,1)-0.5))),1)</f>
        <v>1</v>
      </c>
      <c r="C41" s="73" t="n">
        <f aca="false">IF(Calculator!$E$12="YES",IF(A41&lt;Calculator!$G$12,0,MIN(MIN(MOD(A41/Calculator!$F$12,1),1-MOD(A41/Calculator!$F$12,1)),ABS(MOD(A41/Calculator!$F$12,1)-0.5))),1)</f>
        <v>1</v>
      </c>
      <c r="D41" s="73" t="n">
        <f aca="false">IF(Calculator!$E$13="YES",IF(A41&lt;Calculator!$G$13,0,MIN(MIN(MOD(A41/Calculator!$F$13,1),1-MOD(A41/Calculator!$F$13,1)),ABS(MOD(A41/Calculator!$F$13,1)-0.5))),1)</f>
        <v>1</v>
      </c>
      <c r="E41" s="73" t="n">
        <f aca="false">IF(Calculator!$E$14="YES",IF(A41&lt;Calculator!$G$14,0,MIN(MIN(MOD(A41/Calculator!$F$14,1),1-MOD(A41/Calculator!$F$14,1)),ABS(MOD(A41/Calculator!$F$14,1)-0.5))),1)</f>
        <v>1</v>
      </c>
      <c r="F41" s="73" t="n">
        <f aca="false">IF(Calculator!$E$15="YES",IF(A41&lt;Calculator!$G$15,0,MIN(MIN(MOD(A41/Calculator!$F$15,1),1-MOD(A41/Calculator!$F$15,1)),ABS(MOD(A41/Calculator!$F$15,1)-0.5))),1)</f>
        <v>0.0923076923076922</v>
      </c>
      <c r="G41" s="73" t="n">
        <f aca="false">IF(Calculator!$E$16="YES",IF(A41&lt;Calculator!$G$16,0,MIN(MIN(MOD(A41/Calculator!$F$16,1),1-MOD(A41/Calculator!$F$16,1)),ABS(MOD(A41/Calculator!$F$16,1)-0.5))),1)</f>
        <v>0.22923076923077</v>
      </c>
      <c r="H41" s="73" t="n">
        <f aca="false">IF(Calculator!$E$17="YES",IF(A41&lt;Calculator!$G$17,0,MIN(MIN(MOD(A41/Calculator!$F$17,1),1-MOD(A41/Calculator!$F$17,1)),ABS(MOD(A41/Calculator!$F$17,1)-0.5))),1)</f>
        <v>0.150673504273504</v>
      </c>
      <c r="I41" s="73" t="n">
        <f aca="false">IF(Calculator!$E$18="YES",IF(A41&lt;Calculator!$G$18,0,MIN(MIN(MOD(A41/Calculator!$F$18,1),1-MOD(A41/Calculator!$F$18,1)),ABS(MOD(A41/Calculator!$F$18,1)-0.5))),1)</f>
        <v>0.162051282051282</v>
      </c>
      <c r="J41" s="73" t="n">
        <f aca="false">IF(Calculator!$E$19="YES",IF(A41&lt;Calculator!$G$19,0,MIN(MIN(MOD(A41/Calculator!$F$19,1),1-MOD(A41/Calculator!$F$19,1)),ABS(MOD(A41/Calculator!$F$19,1)-0.5))),1)</f>
        <v>0.0778119658119687</v>
      </c>
      <c r="K41" s="73" t="n">
        <f aca="false">IF(Calculator!$E$20="YES",IF(A41&lt;Calculator!$G$20,0,MIN(MIN(MOD(A41/Calculator!$F$20,1),1-MOD(A41/Calculator!$F$20,1)),ABS(MOD(A41/Calculator!$F$20,1)-0.5))),1)</f>
        <v>0.0370940170940175</v>
      </c>
      <c r="L41" s="73" t="n">
        <f aca="false">IF(Calculator!$E$21="YES",IF(A41&lt;Calculator!$G$21,0,MIN(MIN(MOD(A41/Calculator!$F$21,1),1-MOD(A41/Calculator!$F$21,1)),ABS(MOD(A41/Calculator!$F$21,1)-0.5))),1)</f>
        <v>1</v>
      </c>
      <c r="M41" s="74" t="n">
        <f aca="false">MIN(B41:L41)</f>
        <v>0.0370940170940175</v>
      </c>
      <c r="N41" s="75" t="n">
        <f aca="false">SUMPRODUCT(($M$5:$M$115&gt;M41)*1)+SUMPRODUCT(($M$5:$M$115=M41)*(ROW($M$5:$M$115)&lt;ROW(M41)))+1</f>
        <v>41</v>
      </c>
      <c r="O41" s="76" t="str">
        <f aca="false">IF(M41&gt;=0.2,"★★★ EXCELLENT",IF(M41&gt;=0.12,"★★  GOOD",IF(M41&gt;=0.07,"★  FAIR",IF(M41&gt;=0.025,"⚠  MARGINAL","✗  AVOID"))))</f>
        <v>⚠  MARGINAL</v>
      </c>
    </row>
    <row r="42" customFormat="false" ht="15" hidden="false" customHeight="true" outlineLevel="0" collapsed="false">
      <c r="A42" s="72" t="n">
        <v>23.5</v>
      </c>
      <c r="B42" s="73" t="n">
        <f aca="false">IF(Calculator!$E$11="YES",IF(A42&lt;Calculator!$G$11,0,MIN(MIN(MOD(A42/Calculator!$F$11,1),1-MOD(A42/Calculator!$F$11,1)),ABS(MOD(A42/Calculator!$F$11,1)-0.5))),1)</f>
        <v>1</v>
      </c>
      <c r="C42" s="73" t="n">
        <f aca="false">IF(Calculator!$E$12="YES",IF(A42&lt;Calculator!$G$12,0,MIN(MIN(MOD(A42/Calculator!$F$12,1),1-MOD(A42/Calculator!$F$12,1)),ABS(MOD(A42/Calculator!$F$12,1)-0.5))),1)</f>
        <v>1</v>
      </c>
      <c r="D42" s="73" t="n">
        <f aca="false">IF(Calculator!$E$13="YES",IF(A42&lt;Calculator!$G$13,0,MIN(MIN(MOD(A42/Calculator!$F$13,1),1-MOD(A42/Calculator!$F$13,1)),ABS(MOD(A42/Calculator!$F$13,1)-0.5))),1)</f>
        <v>1</v>
      </c>
      <c r="E42" s="73" t="n">
        <f aca="false">IF(Calculator!$E$14="YES",IF(A42&lt;Calculator!$G$14,0,MIN(MIN(MOD(A42/Calculator!$F$14,1),1-MOD(A42/Calculator!$F$14,1)),ABS(MOD(A42/Calculator!$F$14,1)-0.5))),1)</f>
        <v>1</v>
      </c>
      <c r="F42" s="73" t="n">
        <f aca="false">IF(Calculator!$E$15="YES",IF(A42&lt;Calculator!$G$15,0,MIN(MIN(MOD(A42/Calculator!$F$15,1),1-MOD(A42/Calculator!$F$15,1)),ABS(MOD(A42/Calculator!$F$15,1)-0.5))),1)</f>
        <v>0.126923076923077</v>
      </c>
      <c r="G42" s="73" t="n">
        <f aca="false">IF(Calculator!$E$16="YES",IF(A42&lt;Calculator!$G$16,0,MIN(MIN(MOD(A42/Calculator!$F$16,1),1-MOD(A42/Calculator!$F$16,1)),ABS(MOD(A42/Calculator!$F$16,1)-0.5))),1)</f>
        <v>0.222307692307692</v>
      </c>
      <c r="H42" s="73" t="n">
        <f aca="false">IF(Calculator!$E$17="YES",IF(A42&lt;Calculator!$G$17,0,MIN(MIN(MOD(A42/Calculator!$F$17,1),1-MOD(A42/Calculator!$F$17,1)),ABS(MOD(A42/Calculator!$F$17,1)-0.5))),1)</f>
        <v>0.0887316239316234</v>
      </c>
      <c r="I42" s="73" t="n">
        <f aca="false">IF(Calculator!$E$18="YES",IF(A42&lt;Calculator!$G$18,0,MIN(MIN(MOD(A42/Calculator!$F$18,1),1-MOD(A42/Calculator!$F$18,1)),ABS(MOD(A42/Calculator!$F$18,1)-0.5))),1)</f>
        <v>0.089487179487179</v>
      </c>
      <c r="J42" s="73" t="n">
        <f aca="false">IF(Calculator!$E$19="YES",IF(A42&lt;Calculator!$G$19,0,MIN(MIN(MOD(A42/Calculator!$F$19,1),1-MOD(A42/Calculator!$F$19,1)),ABS(MOD(A42/Calculator!$F$19,1)-0.5))),1)</f>
        <v>0.00745299145298883</v>
      </c>
      <c r="K42" s="73" t="n">
        <f aca="false">IF(Calculator!$E$20="YES",IF(A42&lt;Calculator!$G$20,0,MIN(MIN(MOD(A42/Calculator!$F$20,1),1-MOD(A42/Calculator!$F$20,1)),ABS(MOD(A42/Calculator!$F$20,1)-0.5))),1)</f>
        <v>0.135726495726496</v>
      </c>
      <c r="L42" s="73" t="n">
        <f aca="false">IF(Calculator!$E$21="YES",IF(A42&lt;Calculator!$G$21,0,MIN(MIN(MOD(A42/Calculator!$F$21,1),1-MOD(A42/Calculator!$F$21,1)),ABS(MOD(A42/Calculator!$F$21,1)-0.5))),1)</f>
        <v>1</v>
      </c>
      <c r="M42" s="74" t="n">
        <f aca="false">MIN(B42:L42)</f>
        <v>0.00745299145298883</v>
      </c>
      <c r="N42" s="75" t="n">
        <f aca="false">SUMPRODUCT(($M$5:$M$115&gt;M42)*1)+SUMPRODUCT(($M$5:$M$115=M42)*(ROW($M$5:$M$115)&lt;ROW(M42)))+1</f>
        <v>94</v>
      </c>
      <c r="O42" s="76" t="str">
        <f aca="false">IF(M42&gt;=0.2,"★★★ EXCELLENT",IF(M42&gt;=0.12,"★★  GOOD",IF(M42&gt;=0.07,"★  FAIR",IF(M42&gt;=0.025,"⚠  MARGINAL","✗  AVOID"))))</f>
        <v>✗  AVOID</v>
      </c>
    </row>
    <row r="43" customFormat="false" ht="15" hidden="false" customHeight="true" outlineLevel="0" collapsed="false">
      <c r="A43" s="72" t="n">
        <v>24</v>
      </c>
      <c r="B43" s="73" t="n">
        <f aca="false">IF(Calculator!$E$11="YES",IF(A43&lt;Calculator!$G$11,0,MIN(MIN(MOD(A43/Calculator!$F$11,1),1-MOD(A43/Calculator!$F$11,1)),ABS(MOD(A43/Calculator!$F$11,1)-0.5))),1)</f>
        <v>1</v>
      </c>
      <c r="C43" s="73" t="n">
        <f aca="false">IF(Calculator!$E$12="YES",IF(A43&lt;Calculator!$G$12,0,MIN(MIN(MOD(A43/Calculator!$F$12,1),1-MOD(A43/Calculator!$F$12,1)),ABS(MOD(A43/Calculator!$F$12,1)-0.5))),1)</f>
        <v>1</v>
      </c>
      <c r="D43" s="73" t="n">
        <f aca="false">IF(Calculator!$E$13="YES",IF(A43&lt;Calculator!$G$13,0,MIN(MIN(MOD(A43/Calculator!$F$13,1),1-MOD(A43/Calculator!$F$13,1)),ABS(MOD(A43/Calculator!$F$13,1)-0.5))),1)</f>
        <v>1</v>
      </c>
      <c r="E43" s="73" t="n">
        <f aca="false">IF(Calculator!$E$14="YES",IF(A43&lt;Calculator!$G$14,0,MIN(MIN(MOD(A43/Calculator!$F$14,1),1-MOD(A43/Calculator!$F$14,1)),ABS(MOD(A43/Calculator!$F$14,1)-0.5))),1)</f>
        <v>1</v>
      </c>
      <c r="F43" s="73" t="n">
        <f aca="false">IF(Calculator!$E$15="YES",IF(A43&lt;Calculator!$G$15,0,MIN(MIN(MOD(A43/Calculator!$F$15,1),1-MOD(A43/Calculator!$F$15,1)),ABS(MOD(A43/Calculator!$F$15,1)-0.5))),1)</f>
        <v>0.161538461538461</v>
      </c>
      <c r="G43" s="73" t="n">
        <f aca="false">IF(Calculator!$E$16="YES",IF(A43&lt;Calculator!$G$16,0,MIN(MIN(MOD(A43/Calculator!$F$16,1),1-MOD(A43/Calculator!$F$16,1)),ABS(MOD(A43/Calculator!$F$16,1)-0.5))),1)</f>
        <v>0.173846153846154</v>
      </c>
      <c r="H43" s="73" t="n">
        <f aca="false">IF(Calculator!$E$17="YES",IF(A43&lt;Calculator!$G$17,0,MIN(MIN(MOD(A43/Calculator!$F$17,1),1-MOD(A43/Calculator!$F$17,1)),ABS(MOD(A43/Calculator!$F$17,1)-0.5))),1)</f>
        <v>0.0267897435897431</v>
      </c>
      <c r="I43" s="73" t="n">
        <f aca="false">IF(Calculator!$E$18="YES",IF(A43&lt;Calculator!$G$18,0,MIN(MIN(MOD(A43/Calculator!$F$18,1),1-MOD(A43/Calculator!$F$18,1)),ABS(MOD(A43/Calculator!$F$18,1)-0.5))),1)</f>
        <v>0.0169230769230766</v>
      </c>
      <c r="J43" s="73" t="n">
        <f aca="false">IF(Calculator!$E$19="YES",IF(A43&lt;Calculator!$G$19,0,MIN(MIN(MOD(A43/Calculator!$F$19,1),1-MOD(A43/Calculator!$F$19,1)),ABS(MOD(A43/Calculator!$F$19,1)-0.5))),1)</f>
        <v>0.0927179487179455</v>
      </c>
      <c r="K43" s="73" t="n">
        <f aca="false">IF(Calculator!$E$20="YES",IF(A43&lt;Calculator!$G$20,0,MIN(MIN(MOD(A43/Calculator!$F$20,1),1-MOD(A43/Calculator!$F$20,1)),ABS(MOD(A43/Calculator!$F$20,1)-0.5))),1)</f>
        <v>0.234358974358975</v>
      </c>
      <c r="L43" s="73" t="n">
        <f aca="false">IF(Calculator!$E$21="YES",IF(A43&lt;Calculator!$G$21,0,MIN(MIN(MOD(A43/Calculator!$F$21,1),1-MOD(A43/Calculator!$F$21,1)),ABS(MOD(A43/Calculator!$F$21,1)-0.5))),1)</f>
        <v>1</v>
      </c>
      <c r="M43" s="74" t="n">
        <f aca="false">MIN(B43:L43)</f>
        <v>0.0169230769230766</v>
      </c>
      <c r="N43" s="75" t="n">
        <f aca="false">SUMPRODUCT(($M$5:$M$115&gt;M43)*1)+SUMPRODUCT(($M$5:$M$115=M43)*(ROW($M$5:$M$115)&lt;ROW(M43)))+1</f>
        <v>75</v>
      </c>
      <c r="O43" s="76" t="str">
        <f aca="false">IF(M43&gt;=0.2,"★★★ EXCELLENT",IF(M43&gt;=0.12,"★★  GOOD",IF(M43&gt;=0.07,"★  FAIR",IF(M43&gt;=0.025,"⚠  MARGINAL","✗  AVOID"))))</f>
        <v>✗  AVOID</v>
      </c>
    </row>
    <row r="44" customFormat="false" ht="15" hidden="false" customHeight="true" outlineLevel="0" collapsed="false">
      <c r="A44" s="72" t="n">
        <v>24.5</v>
      </c>
      <c r="B44" s="73" t="n">
        <f aca="false">IF(Calculator!$E$11="YES",IF(A44&lt;Calculator!$G$11,0,MIN(MIN(MOD(A44/Calculator!$F$11,1),1-MOD(A44/Calculator!$F$11,1)),ABS(MOD(A44/Calculator!$F$11,1)-0.5))),1)</f>
        <v>1</v>
      </c>
      <c r="C44" s="73" t="n">
        <f aca="false">IF(Calculator!$E$12="YES",IF(A44&lt;Calculator!$G$12,0,MIN(MIN(MOD(A44/Calculator!$F$12,1),1-MOD(A44/Calculator!$F$12,1)),ABS(MOD(A44/Calculator!$F$12,1)-0.5))),1)</f>
        <v>1</v>
      </c>
      <c r="D44" s="73" t="n">
        <f aca="false">IF(Calculator!$E$13="YES",IF(A44&lt;Calculator!$G$13,0,MIN(MIN(MOD(A44/Calculator!$F$13,1),1-MOD(A44/Calculator!$F$13,1)),ABS(MOD(A44/Calculator!$F$13,1)-0.5))),1)</f>
        <v>1</v>
      </c>
      <c r="E44" s="73" t="n">
        <f aca="false">IF(Calculator!$E$14="YES",IF(A44&lt;Calculator!$G$14,0,MIN(MIN(MOD(A44/Calculator!$F$14,1),1-MOD(A44/Calculator!$F$14,1)),ABS(MOD(A44/Calculator!$F$14,1)-0.5))),1)</f>
        <v>1</v>
      </c>
      <c r="F44" s="73" t="n">
        <f aca="false">IF(Calculator!$E$15="YES",IF(A44&lt;Calculator!$G$15,0,MIN(MIN(MOD(A44/Calculator!$F$15,1),1-MOD(A44/Calculator!$F$15,1)),ABS(MOD(A44/Calculator!$F$15,1)-0.5))),1)</f>
        <v>0.196153846153846</v>
      </c>
      <c r="G44" s="73" t="n">
        <f aca="false">IF(Calculator!$E$16="YES",IF(A44&lt;Calculator!$G$16,0,MIN(MIN(MOD(A44/Calculator!$F$16,1),1-MOD(A44/Calculator!$F$16,1)),ABS(MOD(A44/Calculator!$F$16,1)-0.5))),1)</f>
        <v>0.125384615384615</v>
      </c>
      <c r="H44" s="73" t="n">
        <f aca="false">IF(Calculator!$E$17="YES",IF(A44&lt;Calculator!$G$17,0,MIN(MIN(MOD(A44/Calculator!$F$17,1),1-MOD(A44/Calculator!$F$17,1)),ABS(MOD(A44/Calculator!$F$17,1)-0.5))),1)</f>
        <v>0.0351521367521372</v>
      </c>
      <c r="I44" s="73" t="n">
        <f aca="false">IF(Calculator!$E$18="YES",IF(A44&lt;Calculator!$G$18,0,MIN(MIN(MOD(A44/Calculator!$F$18,1),1-MOD(A44/Calculator!$F$18,1)),ABS(MOD(A44/Calculator!$F$18,1)-0.5))),1)</f>
        <v>0.0556410256410262</v>
      </c>
      <c r="J44" s="73" t="n">
        <f aca="false">IF(Calculator!$E$19="YES",IF(A44&lt;Calculator!$G$19,0,MIN(MIN(MOD(A44/Calculator!$F$19,1),1-MOD(A44/Calculator!$F$19,1)),ABS(MOD(A44/Calculator!$F$19,1)-0.5))),1)</f>
        <v>0.177982905982903</v>
      </c>
      <c r="K44" s="73" t="n">
        <f aca="false">IF(Calculator!$E$20="YES",IF(A44&lt;Calculator!$G$20,0,MIN(MIN(MOD(A44/Calculator!$F$20,1),1-MOD(A44/Calculator!$F$20,1)),ABS(MOD(A44/Calculator!$F$20,1)-0.5))),1)</f>
        <v>0.167008547008546</v>
      </c>
      <c r="L44" s="73" t="n">
        <f aca="false">IF(Calculator!$E$21="YES",IF(A44&lt;Calculator!$G$21,0,MIN(MIN(MOD(A44/Calculator!$F$21,1),1-MOD(A44/Calculator!$F$21,1)),ABS(MOD(A44/Calculator!$F$21,1)-0.5))),1)</f>
        <v>1</v>
      </c>
      <c r="M44" s="74" t="n">
        <f aca="false">MIN(B44:L44)</f>
        <v>0.0351521367521372</v>
      </c>
      <c r="N44" s="75" t="n">
        <f aca="false">SUMPRODUCT(($M$5:$M$115&gt;M44)*1)+SUMPRODUCT(($M$5:$M$115=M44)*(ROW($M$5:$M$115)&lt;ROW(M44)))+1</f>
        <v>45</v>
      </c>
      <c r="O44" s="76" t="str">
        <f aca="false">IF(M44&gt;=0.2,"★★★ EXCELLENT",IF(M44&gt;=0.12,"★★  GOOD",IF(M44&gt;=0.07,"★  FAIR",IF(M44&gt;=0.025,"⚠  MARGINAL","✗  AVOID"))))</f>
        <v>⚠  MARGINAL</v>
      </c>
    </row>
    <row r="45" customFormat="false" ht="15" hidden="false" customHeight="true" outlineLevel="0" collapsed="false">
      <c r="A45" s="72" t="n">
        <v>25</v>
      </c>
      <c r="B45" s="73" t="n">
        <f aca="false">IF(Calculator!$E$11="YES",IF(A45&lt;Calculator!$G$11,0,MIN(MIN(MOD(A45/Calculator!$F$11,1),1-MOD(A45/Calculator!$F$11,1)),ABS(MOD(A45/Calculator!$F$11,1)-0.5))),1)</f>
        <v>1</v>
      </c>
      <c r="C45" s="73" t="n">
        <f aca="false">IF(Calculator!$E$12="YES",IF(A45&lt;Calculator!$G$12,0,MIN(MIN(MOD(A45/Calculator!$F$12,1),1-MOD(A45/Calculator!$F$12,1)),ABS(MOD(A45/Calculator!$F$12,1)-0.5))),1)</f>
        <v>1</v>
      </c>
      <c r="D45" s="73" t="n">
        <f aca="false">IF(Calculator!$E$13="YES",IF(A45&lt;Calculator!$G$13,0,MIN(MIN(MOD(A45/Calculator!$F$13,1),1-MOD(A45/Calculator!$F$13,1)),ABS(MOD(A45/Calculator!$F$13,1)-0.5))),1)</f>
        <v>1</v>
      </c>
      <c r="E45" s="73" t="n">
        <f aca="false">IF(Calculator!$E$14="YES",IF(A45&lt;Calculator!$G$14,0,MIN(MIN(MOD(A45/Calculator!$F$14,1),1-MOD(A45/Calculator!$F$14,1)),ABS(MOD(A45/Calculator!$F$14,1)-0.5))),1)</f>
        <v>1</v>
      </c>
      <c r="F45" s="73" t="n">
        <f aca="false">IF(Calculator!$E$15="YES",IF(A45&lt;Calculator!$G$15,0,MIN(MIN(MOD(A45/Calculator!$F$15,1),1-MOD(A45/Calculator!$F$15,1)),ABS(MOD(A45/Calculator!$F$15,1)-0.5))),1)</f>
        <v>0.230769230769231</v>
      </c>
      <c r="G45" s="73" t="n">
        <f aca="false">IF(Calculator!$E$16="YES",IF(A45&lt;Calculator!$G$16,0,MIN(MIN(MOD(A45/Calculator!$F$16,1),1-MOD(A45/Calculator!$F$16,1)),ABS(MOD(A45/Calculator!$F$16,1)-0.5))),1)</f>
        <v>0.0769230769230767</v>
      </c>
      <c r="H45" s="73" t="n">
        <f aca="false">IF(Calculator!$E$17="YES",IF(A45&lt;Calculator!$G$17,0,MIN(MIN(MOD(A45/Calculator!$F$17,1),1-MOD(A45/Calculator!$F$17,1)),ABS(MOD(A45/Calculator!$F$17,1)-0.5))),1)</f>
        <v>0.0970940170940176</v>
      </c>
      <c r="I45" s="73" t="n">
        <f aca="false">IF(Calculator!$E$18="YES",IF(A45&lt;Calculator!$G$18,0,MIN(MIN(MOD(A45/Calculator!$F$18,1),1-MOD(A45/Calculator!$F$18,1)),ABS(MOD(A45/Calculator!$F$18,1)-0.5))),1)</f>
        <v>0.128205128205129</v>
      </c>
      <c r="J45" s="73" t="n">
        <f aca="false">IF(Calculator!$E$19="YES",IF(A45&lt;Calculator!$G$19,0,MIN(MIN(MOD(A45/Calculator!$F$19,1),1-MOD(A45/Calculator!$F$19,1)),ABS(MOD(A45/Calculator!$F$19,1)-0.5))),1)</f>
        <v>0.23675213675214</v>
      </c>
      <c r="K45" s="73" t="n">
        <f aca="false">IF(Calculator!$E$20="YES",IF(A45&lt;Calculator!$G$20,0,MIN(MIN(MOD(A45/Calculator!$F$20,1),1-MOD(A45/Calculator!$F$20,1)),ABS(MOD(A45/Calculator!$F$20,1)-0.5))),1)</f>
        <v>0.0683760683760681</v>
      </c>
      <c r="L45" s="73" t="n">
        <f aca="false">IF(Calculator!$E$21="YES",IF(A45&lt;Calculator!$G$21,0,MIN(MIN(MOD(A45/Calculator!$F$21,1),1-MOD(A45/Calculator!$F$21,1)),ABS(MOD(A45/Calculator!$F$21,1)-0.5))),1)</f>
        <v>1</v>
      </c>
      <c r="M45" s="74" t="n">
        <f aca="false">MIN(B45:L45)</f>
        <v>0.0683760683760681</v>
      </c>
      <c r="N45" s="75" t="n">
        <f aca="false">SUMPRODUCT(($M$5:$M$115&gt;M45)*1)+SUMPRODUCT(($M$5:$M$115=M45)*(ROW($M$5:$M$115)&lt;ROW(M45)))+1</f>
        <v>16</v>
      </c>
      <c r="O45" s="76" t="str">
        <f aca="false">IF(M45&gt;=0.2,"★★★ EXCELLENT",IF(M45&gt;=0.12,"★★  GOOD",IF(M45&gt;=0.07,"★  FAIR",IF(M45&gt;=0.025,"⚠  MARGINAL","✗  AVOID"))))</f>
        <v>⚠  MARGINAL</v>
      </c>
    </row>
    <row r="46" customFormat="false" ht="15" hidden="false" customHeight="true" outlineLevel="0" collapsed="false">
      <c r="A46" s="72" t="n">
        <v>25.5</v>
      </c>
      <c r="B46" s="73" t="n">
        <f aca="false">IF(Calculator!$E$11="YES",IF(A46&lt;Calculator!$G$11,0,MIN(MIN(MOD(A46/Calculator!$F$11,1),1-MOD(A46/Calculator!$F$11,1)),ABS(MOD(A46/Calculator!$F$11,1)-0.5))),1)</f>
        <v>1</v>
      </c>
      <c r="C46" s="73" t="n">
        <f aca="false">IF(Calculator!$E$12="YES",IF(A46&lt;Calculator!$G$12,0,MIN(MIN(MOD(A46/Calculator!$F$12,1),1-MOD(A46/Calculator!$F$12,1)),ABS(MOD(A46/Calculator!$F$12,1)-0.5))),1)</f>
        <v>1</v>
      </c>
      <c r="D46" s="73" t="n">
        <f aca="false">IF(Calculator!$E$13="YES",IF(A46&lt;Calculator!$G$13,0,MIN(MIN(MOD(A46/Calculator!$F$13,1),1-MOD(A46/Calculator!$F$13,1)),ABS(MOD(A46/Calculator!$F$13,1)-0.5))),1)</f>
        <v>1</v>
      </c>
      <c r="E46" s="73" t="n">
        <f aca="false">IF(Calculator!$E$14="YES",IF(A46&lt;Calculator!$G$14,0,MIN(MIN(MOD(A46/Calculator!$F$14,1),1-MOD(A46/Calculator!$F$14,1)),ABS(MOD(A46/Calculator!$F$14,1)-0.5))),1)</f>
        <v>1</v>
      </c>
      <c r="F46" s="73" t="n">
        <f aca="false">IF(Calculator!$E$15="YES",IF(A46&lt;Calculator!$G$15,0,MIN(MIN(MOD(A46/Calculator!$F$15,1),1-MOD(A46/Calculator!$F$15,1)),ABS(MOD(A46/Calculator!$F$15,1)-0.5))),1)</f>
        <v>0.234615384615385</v>
      </c>
      <c r="G46" s="73" t="n">
        <f aca="false">IF(Calculator!$E$16="YES",IF(A46&lt;Calculator!$G$16,0,MIN(MIN(MOD(A46/Calculator!$F$16,1),1-MOD(A46/Calculator!$F$16,1)),ABS(MOD(A46/Calculator!$F$16,1)-0.5))),1)</f>
        <v>0.0284615384615381</v>
      </c>
      <c r="H46" s="73" t="n">
        <f aca="false">IF(Calculator!$E$17="YES",IF(A46&lt;Calculator!$G$17,0,MIN(MIN(MOD(A46/Calculator!$F$17,1),1-MOD(A46/Calculator!$F$17,1)),ABS(MOD(A46/Calculator!$F$17,1)-0.5))),1)</f>
        <v>0.159035897435898</v>
      </c>
      <c r="I46" s="73" t="n">
        <f aca="false">IF(Calculator!$E$18="YES",IF(A46&lt;Calculator!$G$18,0,MIN(MIN(MOD(A46/Calculator!$F$18,1),1-MOD(A46/Calculator!$F$18,1)),ABS(MOD(A46/Calculator!$F$18,1)-0.5))),1)</f>
        <v>0.200769230769231</v>
      </c>
      <c r="J46" s="73" t="n">
        <f aca="false">IF(Calculator!$E$19="YES",IF(A46&lt;Calculator!$G$19,0,MIN(MIN(MOD(A46/Calculator!$F$19,1),1-MOD(A46/Calculator!$F$19,1)),ABS(MOD(A46/Calculator!$F$19,1)-0.5))),1)</f>
        <v>0.151487179487183</v>
      </c>
      <c r="K46" s="73" t="n">
        <f aca="false">IF(Calculator!$E$20="YES",IF(A46&lt;Calculator!$G$20,0,MIN(MIN(MOD(A46/Calculator!$F$20,1),1-MOD(A46/Calculator!$F$20,1)),ABS(MOD(A46/Calculator!$F$20,1)-0.5))),1)</f>
        <v>0.0302564102564107</v>
      </c>
      <c r="L46" s="73" t="n">
        <f aca="false">IF(Calculator!$E$21="YES",IF(A46&lt;Calculator!$G$21,0,MIN(MIN(MOD(A46/Calculator!$F$21,1),1-MOD(A46/Calculator!$F$21,1)),ABS(MOD(A46/Calculator!$F$21,1)-0.5))),1)</f>
        <v>1</v>
      </c>
      <c r="M46" s="74" t="n">
        <f aca="false">MIN(B46:L46)</f>
        <v>0.0284615384615381</v>
      </c>
      <c r="N46" s="75" t="n">
        <f aca="false">SUMPRODUCT(($M$5:$M$115&gt;M46)*1)+SUMPRODUCT(($M$5:$M$115=M46)*(ROW($M$5:$M$115)&lt;ROW(M46)))+1</f>
        <v>55</v>
      </c>
      <c r="O46" s="76" t="str">
        <f aca="false">IF(M46&gt;=0.2,"★★★ EXCELLENT",IF(M46&gt;=0.12,"★★  GOOD",IF(M46&gt;=0.07,"★  FAIR",IF(M46&gt;=0.025,"⚠  MARGINAL","✗  AVOID"))))</f>
        <v>⚠  MARGINAL</v>
      </c>
    </row>
    <row r="47" customFormat="false" ht="15" hidden="false" customHeight="true" outlineLevel="0" collapsed="false">
      <c r="A47" s="72" t="n">
        <v>26</v>
      </c>
      <c r="B47" s="73" t="n">
        <f aca="false">IF(Calculator!$E$11="YES",IF(A47&lt;Calculator!$G$11,0,MIN(MIN(MOD(A47/Calculator!$F$11,1),1-MOD(A47/Calculator!$F$11,1)),ABS(MOD(A47/Calculator!$F$11,1)-0.5))),1)</f>
        <v>1</v>
      </c>
      <c r="C47" s="73" t="n">
        <f aca="false">IF(Calculator!$E$12="YES",IF(A47&lt;Calculator!$G$12,0,MIN(MIN(MOD(A47/Calculator!$F$12,1),1-MOD(A47/Calculator!$F$12,1)),ABS(MOD(A47/Calculator!$F$12,1)-0.5))),1)</f>
        <v>1</v>
      </c>
      <c r="D47" s="73" t="n">
        <f aca="false">IF(Calculator!$E$13="YES",IF(A47&lt;Calculator!$G$13,0,MIN(MIN(MOD(A47/Calculator!$F$13,1),1-MOD(A47/Calculator!$F$13,1)),ABS(MOD(A47/Calculator!$F$13,1)-0.5))),1)</f>
        <v>1</v>
      </c>
      <c r="E47" s="73" t="n">
        <f aca="false">IF(Calculator!$E$14="YES",IF(A47&lt;Calculator!$G$14,0,MIN(MIN(MOD(A47/Calculator!$F$14,1),1-MOD(A47/Calculator!$F$14,1)),ABS(MOD(A47/Calculator!$F$14,1)-0.5))),1)</f>
        <v>1</v>
      </c>
      <c r="F47" s="73" t="n">
        <f aca="false">IF(Calculator!$E$15="YES",IF(A47&lt;Calculator!$G$15,0,MIN(MIN(MOD(A47/Calculator!$F$15,1),1-MOD(A47/Calculator!$F$15,1)),ABS(MOD(A47/Calculator!$F$15,1)-0.5))),1)</f>
        <v>0.2</v>
      </c>
      <c r="G47" s="73" t="n">
        <f aca="false">IF(Calculator!$E$16="YES",IF(A47&lt;Calculator!$G$16,0,MIN(MIN(MOD(A47/Calculator!$F$16,1),1-MOD(A47/Calculator!$F$16,1)),ABS(MOD(A47/Calculator!$F$16,1)-0.5))),1)</f>
        <v>0.0200000000000005</v>
      </c>
      <c r="H47" s="73" t="n">
        <f aca="false">IF(Calculator!$E$17="YES",IF(A47&lt;Calculator!$G$17,0,MIN(MIN(MOD(A47/Calculator!$F$17,1),1-MOD(A47/Calculator!$F$17,1)),ABS(MOD(A47/Calculator!$F$17,1)-0.5))),1)</f>
        <v>0.220977777777778</v>
      </c>
      <c r="I47" s="73" t="n">
        <f aca="false">IF(Calculator!$E$18="YES",IF(A47&lt;Calculator!$G$18,0,MIN(MIN(MOD(A47/Calculator!$F$18,1),1-MOD(A47/Calculator!$F$18,1)),ABS(MOD(A47/Calculator!$F$18,1)-0.5))),1)</f>
        <v>0.226666666666666</v>
      </c>
      <c r="J47" s="73" t="n">
        <f aca="false">IF(Calculator!$E$19="YES",IF(A47&lt;Calculator!$G$19,0,MIN(MIN(MOD(A47/Calculator!$F$19,1),1-MOD(A47/Calculator!$F$19,1)),ABS(MOD(A47/Calculator!$F$19,1)-0.5))),1)</f>
        <v>0.0662222222222253</v>
      </c>
      <c r="K47" s="73" t="n">
        <f aca="false">IF(Calculator!$E$20="YES",IF(A47&lt;Calculator!$G$20,0,MIN(MIN(MOD(A47/Calculator!$F$20,1),1-MOD(A47/Calculator!$F$20,1)),ABS(MOD(A47/Calculator!$F$20,1)-0.5))),1)</f>
        <v>0.12888888888889</v>
      </c>
      <c r="L47" s="73" t="n">
        <f aca="false">IF(Calculator!$E$21="YES",IF(A47&lt;Calculator!$G$21,0,MIN(MIN(MOD(A47/Calculator!$F$21,1),1-MOD(A47/Calculator!$F$21,1)),ABS(MOD(A47/Calculator!$F$21,1)-0.5))),1)</f>
        <v>1</v>
      </c>
      <c r="M47" s="74" t="n">
        <f aca="false">MIN(B47:L47)</f>
        <v>0.0200000000000005</v>
      </c>
      <c r="N47" s="75" t="n">
        <f aca="false">SUMPRODUCT(($M$5:$M$115&gt;M47)*1)+SUMPRODUCT(($M$5:$M$115=M47)*(ROW($M$5:$M$115)&lt;ROW(M47)))+1</f>
        <v>67</v>
      </c>
      <c r="O47" s="76" t="str">
        <f aca="false">IF(M47&gt;=0.2,"★★★ EXCELLENT",IF(M47&gt;=0.12,"★★  GOOD",IF(M47&gt;=0.07,"★  FAIR",IF(M47&gt;=0.025,"⚠  MARGINAL","✗  AVOID"))))</f>
        <v>✗  AVOID</v>
      </c>
    </row>
    <row r="48" customFormat="false" ht="15" hidden="false" customHeight="true" outlineLevel="0" collapsed="false">
      <c r="A48" s="72" t="n">
        <v>26.5</v>
      </c>
      <c r="B48" s="73" t="n">
        <f aca="false">IF(Calculator!$E$11="YES",IF(A48&lt;Calculator!$G$11,0,MIN(MIN(MOD(A48/Calculator!$F$11,1),1-MOD(A48/Calculator!$F$11,1)),ABS(MOD(A48/Calculator!$F$11,1)-0.5))),1)</f>
        <v>1</v>
      </c>
      <c r="C48" s="73" t="n">
        <f aca="false">IF(Calculator!$E$12="YES",IF(A48&lt;Calculator!$G$12,0,MIN(MIN(MOD(A48/Calculator!$F$12,1),1-MOD(A48/Calculator!$F$12,1)),ABS(MOD(A48/Calculator!$F$12,1)-0.5))),1)</f>
        <v>1</v>
      </c>
      <c r="D48" s="73" t="n">
        <f aca="false">IF(Calculator!$E$13="YES",IF(A48&lt;Calculator!$G$13,0,MIN(MIN(MOD(A48/Calculator!$F$13,1),1-MOD(A48/Calculator!$F$13,1)),ABS(MOD(A48/Calculator!$F$13,1)-0.5))),1)</f>
        <v>1</v>
      </c>
      <c r="E48" s="73" t="n">
        <f aca="false">IF(Calculator!$E$14="YES",IF(A48&lt;Calculator!$G$14,0,MIN(MIN(MOD(A48/Calculator!$F$14,1),1-MOD(A48/Calculator!$F$14,1)),ABS(MOD(A48/Calculator!$F$14,1)-0.5))),1)</f>
        <v>1</v>
      </c>
      <c r="F48" s="73" t="n">
        <f aca="false">IF(Calculator!$E$15="YES",IF(A48&lt;Calculator!$G$15,0,MIN(MIN(MOD(A48/Calculator!$F$15,1),1-MOD(A48/Calculator!$F$15,1)),ABS(MOD(A48/Calculator!$F$15,1)-0.5))),1)</f>
        <v>0.165384615384615</v>
      </c>
      <c r="G48" s="73" t="n">
        <f aca="false">IF(Calculator!$E$16="YES",IF(A48&lt;Calculator!$G$16,0,MIN(MIN(MOD(A48/Calculator!$F$16,1),1-MOD(A48/Calculator!$F$16,1)),ABS(MOD(A48/Calculator!$F$16,1)-0.5))),1)</f>
        <v>0.0684615384615386</v>
      </c>
      <c r="H48" s="73" t="n">
        <f aca="false">IF(Calculator!$E$17="YES",IF(A48&lt;Calculator!$G$17,0,MIN(MIN(MOD(A48/Calculator!$F$17,1),1-MOD(A48/Calculator!$F$17,1)),ABS(MOD(A48/Calculator!$F$17,1)-0.5))),1)</f>
        <v>0.217080341880341</v>
      </c>
      <c r="I48" s="73" t="n">
        <f aca="false">IF(Calculator!$E$18="YES",IF(A48&lt;Calculator!$G$18,0,MIN(MIN(MOD(A48/Calculator!$F$18,1),1-MOD(A48/Calculator!$F$18,1)),ABS(MOD(A48/Calculator!$F$18,1)-0.5))),1)</f>
        <v>0.154102564102564</v>
      </c>
      <c r="J48" s="73" t="n">
        <f aca="false">IF(Calculator!$E$19="YES",IF(A48&lt;Calculator!$G$19,0,MIN(MIN(MOD(A48/Calculator!$F$19,1),1-MOD(A48/Calculator!$F$19,1)),ABS(MOD(A48/Calculator!$F$19,1)-0.5))),1)</f>
        <v>0.0190427350427314</v>
      </c>
      <c r="K48" s="73" t="n">
        <f aca="false">IF(Calculator!$E$20="YES",IF(A48&lt;Calculator!$G$20,0,MIN(MIN(MOD(A48/Calculator!$F$20,1),1-MOD(A48/Calculator!$F$20,1)),ABS(MOD(A48/Calculator!$F$20,1)-0.5))),1)</f>
        <v>0.227521367521368</v>
      </c>
      <c r="L48" s="73" t="n">
        <f aca="false">IF(Calculator!$E$21="YES",IF(A48&lt;Calculator!$G$21,0,MIN(MIN(MOD(A48/Calculator!$F$21,1),1-MOD(A48/Calculator!$F$21,1)),ABS(MOD(A48/Calculator!$F$21,1)-0.5))),1)</f>
        <v>1</v>
      </c>
      <c r="M48" s="74" t="n">
        <f aca="false">MIN(B48:L48)</f>
        <v>0.0190427350427314</v>
      </c>
      <c r="N48" s="75" t="n">
        <f aca="false">SUMPRODUCT(($M$5:$M$115&gt;M48)*1)+SUMPRODUCT(($M$5:$M$115=M48)*(ROW($M$5:$M$115)&lt;ROW(M48)))+1</f>
        <v>70</v>
      </c>
      <c r="O48" s="76" t="str">
        <f aca="false">IF(M48&gt;=0.2,"★★★ EXCELLENT",IF(M48&gt;=0.12,"★★  GOOD",IF(M48&gt;=0.07,"★  FAIR",IF(M48&gt;=0.025,"⚠  MARGINAL","✗  AVOID"))))</f>
        <v>✗  AVOID</v>
      </c>
    </row>
    <row r="49" customFormat="false" ht="15" hidden="false" customHeight="true" outlineLevel="0" collapsed="false">
      <c r="A49" s="72" t="n">
        <v>27</v>
      </c>
      <c r="B49" s="73" t="n">
        <f aca="false">IF(Calculator!$E$11="YES",IF(A49&lt;Calculator!$G$11,0,MIN(MIN(MOD(A49/Calculator!$F$11,1),1-MOD(A49/Calculator!$F$11,1)),ABS(MOD(A49/Calculator!$F$11,1)-0.5))),1)</f>
        <v>1</v>
      </c>
      <c r="C49" s="73" t="n">
        <f aca="false">IF(Calculator!$E$12="YES",IF(A49&lt;Calculator!$G$12,0,MIN(MIN(MOD(A49/Calculator!$F$12,1),1-MOD(A49/Calculator!$F$12,1)),ABS(MOD(A49/Calculator!$F$12,1)-0.5))),1)</f>
        <v>1</v>
      </c>
      <c r="D49" s="73" t="n">
        <f aca="false">IF(Calculator!$E$13="YES",IF(A49&lt;Calculator!$G$13,0,MIN(MIN(MOD(A49/Calculator!$F$13,1),1-MOD(A49/Calculator!$F$13,1)),ABS(MOD(A49/Calculator!$F$13,1)-0.5))),1)</f>
        <v>1</v>
      </c>
      <c r="E49" s="73" t="n">
        <f aca="false">IF(Calculator!$E$14="YES",IF(A49&lt;Calculator!$G$14,0,MIN(MIN(MOD(A49/Calculator!$F$14,1),1-MOD(A49/Calculator!$F$14,1)),ABS(MOD(A49/Calculator!$F$14,1)-0.5))),1)</f>
        <v>1</v>
      </c>
      <c r="F49" s="73" t="n">
        <f aca="false">IF(Calculator!$E$15="YES",IF(A49&lt;Calculator!$G$15,0,MIN(MIN(MOD(A49/Calculator!$F$15,1),1-MOD(A49/Calculator!$F$15,1)),ABS(MOD(A49/Calculator!$F$15,1)-0.5))),1)</f>
        <v>0.130769230769231</v>
      </c>
      <c r="G49" s="73" t="n">
        <f aca="false">IF(Calculator!$E$16="YES",IF(A49&lt;Calculator!$G$16,0,MIN(MIN(MOD(A49/Calculator!$F$16,1),1-MOD(A49/Calculator!$F$16,1)),ABS(MOD(A49/Calculator!$F$16,1)-0.5))),1)</f>
        <v>0.116923076923077</v>
      </c>
      <c r="H49" s="73" t="n">
        <f aca="false">IF(Calculator!$E$17="YES",IF(A49&lt;Calculator!$G$17,0,MIN(MIN(MOD(A49/Calculator!$F$17,1),1-MOD(A49/Calculator!$F$17,1)),ABS(MOD(A49/Calculator!$F$17,1)-0.5))),1)</f>
        <v>0.155138461538461</v>
      </c>
      <c r="I49" s="73" t="n">
        <f aca="false">IF(Calculator!$E$18="YES",IF(A49&lt;Calculator!$G$18,0,MIN(MIN(MOD(A49/Calculator!$F$18,1),1-MOD(A49/Calculator!$F$18,1)),ABS(MOD(A49/Calculator!$F$18,1)-0.5))),1)</f>
        <v>0.0815384615384609</v>
      </c>
      <c r="J49" s="73" t="n">
        <f aca="false">IF(Calculator!$E$19="YES",IF(A49&lt;Calculator!$G$19,0,MIN(MIN(MOD(A49/Calculator!$F$19,1),1-MOD(A49/Calculator!$F$19,1)),ABS(MOD(A49/Calculator!$F$19,1)-0.5))),1)</f>
        <v>0.104307692307689</v>
      </c>
      <c r="K49" s="73" t="n">
        <f aca="false">IF(Calculator!$E$20="YES",IF(A49&lt;Calculator!$G$20,0,MIN(MIN(MOD(A49/Calculator!$F$20,1),1-MOD(A49/Calculator!$F$20,1)),ABS(MOD(A49/Calculator!$F$20,1)-0.5))),1)</f>
        <v>0.173846153846153</v>
      </c>
      <c r="L49" s="73" t="n">
        <f aca="false">IF(Calculator!$E$21="YES",IF(A49&lt;Calculator!$G$21,0,MIN(MIN(MOD(A49/Calculator!$F$21,1),1-MOD(A49/Calculator!$F$21,1)),ABS(MOD(A49/Calculator!$F$21,1)-0.5))),1)</f>
        <v>1</v>
      </c>
      <c r="M49" s="74" t="n">
        <f aca="false">MIN(B49:L49)</f>
        <v>0.0815384615384609</v>
      </c>
      <c r="N49" s="75" t="n">
        <f aca="false">SUMPRODUCT(($M$5:$M$115&gt;M49)*1)+SUMPRODUCT(($M$5:$M$115=M49)*(ROW($M$5:$M$115)&lt;ROW(M49)))+1</f>
        <v>11</v>
      </c>
      <c r="O49" s="76" t="str">
        <f aca="false">IF(M49&gt;=0.2,"★★★ EXCELLENT",IF(M49&gt;=0.12,"★★  GOOD",IF(M49&gt;=0.07,"★  FAIR",IF(M49&gt;=0.025,"⚠  MARGINAL","✗  AVOID"))))</f>
        <v>★  FAIR</v>
      </c>
    </row>
    <row r="50" customFormat="false" ht="15" hidden="false" customHeight="true" outlineLevel="0" collapsed="false">
      <c r="A50" s="72" t="n">
        <v>27.5</v>
      </c>
      <c r="B50" s="73" t="n">
        <f aca="false">IF(Calculator!$E$11="YES",IF(A50&lt;Calculator!$G$11,0,MIN(MIN(MOD(A50/Calculator!$F$11,1),1-MOD(A50/Calculator!$F$11,1)),ABS(MOD(A50/Calculator!$F$11,1)-0.5))),1)</f>
        <v>1</v>
      </c>
      <c r="C50" s="73" t="n">
        <f aca="false">IF(Calculator!$E$12="YES",IF(A50&lt;Calculator!$G$12,0,MIN(MIN(MOD(A50/Calculator!$F$12,1),1-MOD(A50/Calculator!$F$12,1)),ABS(MOD(A50/Calculator!$F$12,1)-0.5))),1)</f>
        <v>1</v>
      </c>
      <c r="D50" s="73" t="n">
        <f aca="false">IF(Calculator!$E$13="YES",IF(A50&lt;Calculator!$G$13,0,MIN(MIN(MOD(A50/Calculator!$F$13,1),1-MOD(A50/Calculator!$F$13,1)),ABS(MOD(A50/Calculator!$F$13,1)-0.5))),1)</f>
        <v>1</v>
      </c>
      <c r="E50" s="73" t="n">
        <f aca="false">IF(Calculator!$E$14="YES",IF(A50&lt;Calculator!$G$14,0,MIN(MIN(MOD(A50/Calculator!$F$14,1),1-MOD(A50/Calculator!$F$14,1)),ABS(MOD(A50/Calculator!$F$14,1)-0.5))),1)</f>
        <v>1</v>
      </c>
      <c r="F50" s="73" t="n">
        <f aca="false">IF(Calculator!$E$15="YES",IF(A50&lt;Calculator!$G$15,0,MIN(MIN(MOD(A50/Calculator!$F$15,1),1-MOD(A50/Calculator!$F$15,1)),ABS(MOD(A50/Calculator!$F$15,1)-0.5))),1)</f>
        <v>0.0961538461538463</v>
      </c>
      <c r="G50" s="73" t="n">
        <f aca="false">IF(Calculator!$E$16="YES",IF(A50&lt;Calculator!$G$16,0,MIN(MIN(MOD(A50/Calculator!$F$16,1),1-MOD(A50/Calculator!$F$16,1)),ABS(MOD(A50/Calculator!$F$16,1)-0.5))),1)</f>
        <v>0.165384615384616</v>
      </c>
      <c r="H50" s="73" t="n">
        <f aca="false">IF(Calculator!$E$17="YES",IF(A50&lt;Calculator!$G$17,0,MIN(MIN(MOD(A50/Calculator!$F$17,1),1-MOD(A50/Calculator!$F$17,1)),ABS(MOD(A50/Calculator!$F$17,1)-0.5))),1)</f>
        <v>0.0931965811965805</v>
      </c>
      <c r="I50" s="73" t="n">
        <f aca="false">IF(Calculator!$E$18="YES",IF(A50&lt;Calculator!$G$18,0,MIN(MIN(MOD(A50/Calculator!$F$18,1),1-MOD(A50/Calculator!$F$18,1)),ABS(MOD(A50/Calculator!$F$18,1)-0.5))),1)</f>
        <v>0.0089743589743585</v>
      </c>
      <c r="J50" s="73" t="n">
        <f aca="false">IF(Calculator!$E$19="YES",IF(A50&lt;Calculator!$G$19,0,MIN(MIN(MOD(A50/Calculator!$F$19,1),1-MOD(A50/Calculator!$F$19,1)),ABS(MOD(A50/Calculator!$F$19,1)-0.5))),1)</f>
        <v>0.189572649572646</v>
      </c>
      <c r="K50" s="73" t="n">
        <f aca="false">IF(Calculator!$E$20="YES",IF(A50&lt;Calculator!$G$20,0,MIN(MIN(MOD(A50/Calculator!$F$20,1),1-MOD(A50/Calculator!$F$20,1)),ABS(MOD(A50/Calculator!$F$20,1)-0.5))),1)</f>
        <v>0.075213675213675</v>
      </c>
      <c r="L50" s="73" t="n">
        <f aca="false">IF(Calculator!$E$21="YES",IF(A50&lt;Calculator!$G$21,0,MIN(MIN(MOD(A50/Calculator!$F$21,1),1-MOD(A50/Calculator!$F$21,1)),ABS(MOD(A50/Calculator!$F$21,1)-0.5))),1)</f>
        <v>1</v>
      </c>
      <c r="M50" s="74" t="n">
        <f aca="false">MIN(B50:L50)</f>
        <v>0.0089743589743585</v>
      </c>
      <c r="N50" s="75" t="n">
        <f aca="false">SUMPRODUCT(($M$5:$M$115&gt;M50)*1)+SUMPRODUCT(($M$5:$M$115=M50)*(ROW($M$5:$M$115)&lt;ROW(M50)))+1</f>
        <v>87</v>
      </c>
      <c r="O50" s="76" t="str">
        <f aca="false">IF(M50&gt;=0.2,"★★★ EXCELLENT",IF(M50&gt;=0.12,"★★  GOOD",IF(M50&gt;=0.07,"★  FAIR",IF(M50&gt;=0.025,"⚠  MARGINAL","✗  AVOID"))))</f>
        <v>✗  AVOID</v>
      </c>
    </row>
    <row r="51" customFormat="false" ht="15" hidden="false" customHeight="true" outlineLevel="0" collapsed="false">
      <c r="A51" s="72" t="n">
        <v>28</v>
      </c>
      <c r="B51" s="73" t="n">
        <f aca="false">IF(Calculator!$E$11="YES",IF(A51&lt;Calculator!$G$11,0,MIN(MIN(MOD(A51/Calculator!$F$11,1),1-MOD(A51/Calculator!$F$11,1)),ABS(MOD(A51/Calculator!$F$11,1)-0.5))),1)</f>
        <v>1</v>
      </c>
      <c r="C51" s="73" t="n">
        <f aca="false">IF(Calculator!$E$12="YES",IF(A51&lt;Calculator!$G$12,0,MIN(MIN(MOD(A51/Calculator!$F$12,1),1-MOD(A51/Calculator!$F$12,1)),ABS(MOD(A51/Calculator!$F$12,1)-0.5))),1)</f>
        <v>1</v>
      </c>
      <c r="D51" s="73" t="n">
        <f aca="false">IF(Calculator!$E$13="YES",IF(A51&lt;Calculator!$G$13,0,MIN(MIN(MOD(A51/Calculator!$F$13,1),1-MOD(A51/Calculator!$F$13,1)),ABS(MOD(A51/Calculator!$F$13,1)-0.5))),1)</f>
        <v>1</v>
      </c>
      <c r="E51" s="73" t="n">
        <f aca="false">IF(Calculator!$E$14="YES",IF(A51&lt;Calculator!$G$14,0,MIN(MIN(MOD(A51/Calculator!$F$14,1),1-MOD(A51/Calculator!$F$14,1)),ABS(MOD(A51/Calculator!$F$14,1)-0.5))),1)</f>
        <v>1</v>
      </c>
      <c r="F51" s="73" t="n">
        <f aca="false">IF(Calculator!$E$15="YES",IF(A51&lt;Calculator!$G$15,0,MIN(MIN(MOD(A51/Calculator!$F$15,1),1-MOD(A51/Calculator!$F$15,1)),ABS(MOD(A51/Calculator!$F$15,1)-0.5))),1)</f>
        <v>0.0615384615384615</v>
      </c>
      <c r="G51" s="73" t="n">
        <f aca="false">IF(Calculator!$E$16="YES",IF(A51&lt;Calculator!$G$16,0,MIN(MIN(MOD(A51/Calculator!$F$16,1),1-MOD(A51/Calculator!$F$16,1)),ABS(MOD(A51/Calculator!$F$16,1)-0.5))),1)</f>
        <v>0.213846153846154</v>
      </c>
      <c r="H51" s="73" t="n">
        <f aca="false">IF(Calculator!$E$17="YES",IF(A51&lt;Calculator!$G$17,0,MIN(MIN(MOD(A51/Calculator!$F$17,1),1-MOD(A51/Calculator!$F$17,1)),ABS(MOD(A51/Calculator!$F$17,1)-0.5))),1)</f>
        <v>0.0312547008547002</v>
      </c>
      <c r="I51" s="73" t="n">
        <f aca="false">IF(Calculator!$E$18="YES",IF(A51&lt;Calculator!$G$18,0,MIN(MIN(MOD(A51/Calculator!$F$18,1),1-MOD(A51/Calculator!$F$18,1)),ABS(MOD(A51/Calculator!$F$18,1)-0.5))),1)</f>
        <v>0.0635897435897439</v>
      </c>
      <c r="J51" s="73" t="n">
        <f aca="false">IF(Calculator!$E$19="YES",IF(A51&lt;Calculator!$G$19,0,MIN(MIN(MOD(A51/Calculator!$F$19,1),1-MOD(A51/Calculator!$F$19,1)),ABS(MOD(A51/Calculator!$F$19,1)-0.5))),1)</f>
        <v>0.225162393162397</v>
      </c>
      <c r="K51" s="73" t="n">
        <f aca="false">IF(Calculator!$E$20="YES",IF(A51&lt;Calculator!$G$20,0,MIN(MIN(MOD(A51/Calculator!$F$20,1),1-MOD(A51/Calculator!$F$20,1)),ABS(MOD(A51/Calculator!$F$20,1)-0.5))),1)</f>
        <v>0.0234188034188039</v>
      </c>
      <c r="L51" s="73" t="n">
        <f aca="false">IF(Calculator!$E$21="YES",IF(A51&lt;Calculator!$G$21,0,MIN(MIN(MOD(A51/Calculator!$F$21,1),1-MOD(A51/Calculator!$F$21,1)),ABS(MOD(A51/Calculator!$F$21,1)-0.5))),1)</f>
        <v>1</v>
      </c>
      <c r="M51" s="74" t="n">
        <f aca="false">MIN(B51:L51)</f>
        <v>0.0234188034188039</v>
      </c>
      <c r="N51" s="75" t="n">
        <f aca="false">SUMPRODUCT(($M$5:$M$115&gt;M51)*1)+SUMPRODUCT(($M$5:$M$115=M51)*(ROW($M$5:$M$115)&lt;ROW(M51)))+1</f>
        <v>62</v>
      </c>
      <c r="O51" s="76" t="str">
        <f aca="false">IF(M51&gt;=0.2,"★★★ EXCELLENT",IF(M51&gt;=0.12,"★★  GOOD",IF(M51&gt;=0.07,"★  FAIR",IF(M51&gt;=0.025,"⚠  MARGINAL","✗  AVOID"))))</f>
        <v>✗  AVOID</v>
      </c>
    </row>
    <row r="52" customFormat="false" ht="15" hidden="false" customHeight="true" outlineLevel="0" collapsed="false">
      <c r="A52" s="72" t="n">
        <v>28.5</v>
      </c>
      <c r="B52" s="73" t="n">
        <f aca="false">IF(Calculator!$E$11="YES",IF(A52&lt;Calculator!$G$11,0,MIN(MIN(MOD(A52/Calculator!$F$11,1),1-MOD(A52/Calculator!$F$11,1)),ABS(MOD(A52/Calculator!$F$11,1)-0.5))),1)</f>
        <v>1</v>
      </c>
      <c r="C52" s="73" t="n">
        <f aca="false">IF(Calculator!$E$12="YES",IF(A52&lt;Calculator!$G$12,0,MIN(MIN(MOD(A52/Calculator!$F$12,1),1-MOD(A52/Calculator!$F$12,1)),ABS(MOD(A52/Calculator!$F$12,1)-0.5))),1)</f>
        <v>1</v>
      </c>
      <c r="D52" s="73" t="n">
        <f aca="false">IF(Calculator!$E$13="YES",IF(A52&lt;Calculator!$G$13,0,MIN(MIN(MOD(A52/Calculator!$F$13,1),1-MOD(A52/Calculator!$F$13,1)),ABS(MOD(A52/Calculator!$F$13,1)-0.5))),1)</f>
        <v>1</v>
      </c>
      <c r="E52" s="73" t="n">
        <f aca="false">IF(Calculator!$E$14="YES",IF(A52&lt;Calculator!$G$14,0,MIN(MIN(MOD(A52/Calculator!$F$14,1),1-MOD(A52/Calculator!$F$14,1)),ABS(MOD(A52/Calculator!$F$14,1)-0.5))),1)</f>
        <v>1</v>
      </c>
      <c r="F52" s="73" t="n">
        <f aca="false">IF(Calculator!$E$15="YES",IF(A52&lt;Calculator!$G$15,0,MIN(MIN(MOD(A52/Calculator!$F$15,1),1-MOD(A52/Calculator!$F$15,1)),ABS(MOD(A52/Calculator!$F$15,1)-0.5))),1)</f>
        <v>0.0269230769230771</v>
      </c>
      <c r="G52" s="73" t="n">
        <f aca="false">IF(Calculator!$E$16="YES",IF(A52&lt;Calculator!$G$16,0,MIN(MIN(MOD(A52/Calculator!$F$16,1),1-MOD(A52/Calculator!$F$16,1)),ABS(MOD(A52/Calculator!$F$16,1)-0.5))),1)</f>
        <v>0.237692307692307</v>
      </c>
      <c r="H52" s="73" t="n">
        <f aca="false">IF(Calculator!$E$17="YES",IF(A52&lt;Calculator!$G$17,0,MIN(MIN(MOD(A52/Calculator!$F$17,1),1-MOD(A52/Calculator!$F$17,1)),ABS(MOD(A52/Calculator!$F$17,1)-0.5))),1)</f>
        <v>0.0306871794871801</v>
      </c>
      <c r="I52" s="73" t="n">
        <f aca="false">IF(Calculator!$E$18="YES",IF(A52&lt;Calculator!$G$18,0,MIN(MIN(MOD(A52/Calculator!$F$18,1),1-MOD(A52/Calculator!$F$18,1)),ABS(MOD(A52/Calculator!$F$18,1)-0.5))),1)</f>
        <v>0.136153846153847</v>
      </c>
      <c r="J52" s="73" t="n">
        <f aca="false">IF(Calculator!$E$19="YES",IF(A52&lt;Calculator!$G$19,0,MIN(MIN(MOD(A52/Calculator!$F$19,1),1-MOD(A52/Calculator!$F$19,1)),ABS(MOD(A52/Calculator!$F$19,1)-0.5))),1)</f>
        <v>0.139897435897439</v>
      </c>
      <c r="K52" s="73" t="n">
        <f aca="false">IF(Calculator!$E$20="YES",IF(A52&lt;Calculator!$G$20,0,MIN(MIN(MOD(A52/Calculator!$F$20,1),1-MOD(A52/Calculator!$F$20,1)),ABS(MOD(A52/Calculator!$F$20,1)-0.5))),1)</f>
        <v>0.122051282051283</v>
      </c>
      <c r="L52" s="73" t="n">
        <f aca="false">IF(Calculator!$E$21="YES",IF(A52&lt;Calculator!$G$21,0,MIN(MIN(MOD(A52/Calculator!$F$21,1),1-MOD(A52/Calculator!$F$21,1)),ABS(MOD(A52/Calculator!$F$21,1)-0.5))),1)</f>
        <v>1</v>
      </c>
      <c r="M52" s="74" t="n">
        <f aca="false">MIN(B52:L52)</f>
        <v>0.0269230769230771</v>
      </c>
      <c r="N52" s="75" t="n">
        <f aca="false">SUMPRODUCT(($M$5:$M$115&gt;M52)*1)+SUMPRODUCT(($M$5:$M$115=M52)*(ROW($M$5:$M$115)&lt;ROW(M52)))+1</f>
        <v>57</v>
      </c>
      <c r="O52" s="76" t="str">
        <f aca="false">IF(M52&gt;=0.2,"★★★ EXCELLENT",IF(M52&gt;=0.12,"★★  GOOD",IF(M52&gt;=0.07,"★  FAIR",IF(M52&gt;=0.025,"⚠  MARGINAL","✗  AVOID"))))</f>
        <v>⚠  MARGINAL</v>
      </c>
    </row>
    <row r="53" customFormat="false" ht="15" hidden="false" customHeight="true" outlineLevel="0" collapsed="false">
      <c r="A53" s="72" t="n">
        <v>29</v>
      </c>
      <c r="B53" s="73" t="n">
        <f aca="false">IF(Calculator!$E$11="YES",IF(A53&lt;Calculator!$G$11,0,MIN(MIN(MOD(A53/Calculator!$F$11,1),1-MOD(A53/Calculator!$F$11,1)),ABS(MOD(A53/Calculator!$F$11,1)-0.5))),1)</f>
        <v>1</v>
      </c>
      <c r="C53" s="73" t="n">
        <f aca="false">IF(Calculator!$E$12="YES",IF(A53&lt;Calculator!$G$12,0,MIN(MIN(MOD(A53/Calculator!$F$12,1),1-MOD(A53/Calculator!$F$12,1)),ABS(MOD(A53/Calculator!$F$12,1)-0.5))),1)</f>
        <v>1</v>
      </c>
      <c r="D53" s="73" t="n">
        <f aca="false">IF(Calculator!$E$13="YES",IF(A53&lt;Calculator!$G$13,0,MIN(MIN(MOD(A53/Calculator!$F$13,1),1-MOD(A53/Calculator!$F$13,1)),ABS(MOD(A53/Calculator!$F$13,1)-0.5))),1)</f>
        <v>1</v>
      </c>
      <c r="E53" s="73" t="n">
        <f aca="false">IF(Calculator!$E$14="YES",IF(A53&lt;Calculator!$G$14,0,MIN(MIN(MOD(A53/Calculator!$F$14,1),1-MOD(A53/Calculator!$F$14,1)),ABS(MOD(A53/Calculator!$F$14,1)-0.5))),1)</f>
        <v>1</v>
      </c>
      <c r="F53" s="73" t="n">
        <f aca="false">IF(Calculator!$E$15="YES",IF(A53&lt;Calculator!$G$15,0,MIN(MIN(MOD(A53/Calculator!$F$15,1),1-MOD(A53/Calculator!$F$15,1)),ABS(MOD(A53/Calculator!$F$15,1)-0.5))),1)</f>
        <v>0.00769230769230767</v>
      </c>
      <c r="G53" s="73" t="n">
        <f aca="false">IF(Calculator!$E$16="YES",IF(A53&lt;Calculator!$G$16,0,MIN(MIN(MOD(A53/Calculator!$F$16,1),1-MOD(A53/Calculator!$F$16,1)),ABS(MOD(A53/Calculator!$F$16,1)-0.5))),1)</f>
        <v>0.189230769230769</v>
      </c>
      <c r="H53" s="73" t="n">
        <f aca="false">IF(Calculator!$E$17="YES",IF(A53&lt;Calculator!$G$17,0,MIN(MIN(MOD(A53/Calculator!$F$17,1),1-MOD(A53/Calculator!$F$17,1)),ABS(MOD(A53/Calculator!$F$17,1)-0.5))),1)</f>
        <v>0.0926290598290604</v>
      </c>
      <c r="I53" s="73" t="n">
        <f aca="false">IF(Calculator!$E$18="YES",IF(A53&lt;Calculator!$G$18,0,MIN(MIN(MOD(A53/Calculator!$F$18,1),1-MOD(A53/Calculator!$F$18,1)),ABS(MOD(A53/Calculator!$F$18,1)-0.5))),1)</f>
        <v>0.20871794871795</v>
      </c>
      <c r="J53" s="73" t="n">
        <f aca="false">IF(Calculator!$E$19="YES",IF(A53&lt;Calculator!$G$19,0,MIN(MIN(MOD(A53/Calculator!$F$19,1),1-MOD(A53/Calculator!$F$19,1)),ABS(MOD(A53/Calculator!$F$19,1)-0.5))),1)</f>
        <v>0.0546324786324819</v>
      </c>
      <c r="K53" s="73" t="n">
        <f aca="false">IF(Calculator!$E$20="YES",IF(A53&lt;Calculator!$G$20,0,MIN(MIN(MOD(A53/Calculator!$F$20,1),1-MOD(A53/Calculator!$F$20,1)),ABS(MOD(A53/Calculator!$F$20,1)-0.5))),1)</f>
        <v>0.220683760683762</v>
      </c>
      <c r="L53" s="73" t="n">
        <f aca="false">IF(Calculator!$E$21="YES",IF(A53&lt;Calculator!$G$21,0,MIN(MIN(MOD(A53/Calculator!$F$21,1),1-MOD(A53/Calculator!$F$21,1)),ABS(MOD(A53/Calculator!$F$21,1)-0.5))),1)</f>
        <v>1</v>
      </c>
      <c r="M53" s="74" t="n">
        <f aca="false">MIN(B53:L53)</f>
        <v>0.00769230769230767</v>
      </c>
      <c r="N53" s="75" t="n">
        <f aca="false">SUMPRODUCT(($M$5:$M$115&gt;M53)*1)+SUMPRODUCT(($M$5:$M$115=M53)*(ROW($M$5:$M$115)&lt;ROW(M53)))+1</f>
        <v>92</v>
      </c>
      <c r="O53" s="76" t="str">
        <f aca="false">IF(M53&gt;=0.2,"★★★ EXCELLENT",IF(M53&gt;=0.12,"★★  GOOD",IF(M53&gt;=0.07,"★  FAIR",IF(M53&gt;=0.025,"⚠  MARGINAL","✗  AVOID"))))</f>
        <v>✗  AVOID</v>
      </c>
    </row>
    <row r="54" customFormat="false" ht="15" hidden="false" customHeight="true" outlineLevel="0" collapsed="false">
      <c r="A54" s="72" t="n">
        <v>29.5</v>
      </c>
      <c r="B54" s="73" t="n">
        <f aca="false">IF(Calculator!$E$11="YES",IF(A54&lt;Calculator!$G$11,0,MIN(MIN(MOD(A54/Calculator!$F$11,1),1-MOD(A54/Calculator!$F$11,1)),ABS(MOD(A54/Calculator!$F$11,1)-0.5))),1)</f>
        <v>1</v>
      </c>
      <c r="C54" s="73" t="n">
        <f aca="false">IF(Calculator!$E$12="YES",IF(A54&lt;Calculator!$G$12,0,MIN(MIN(MOD(A54/Calculator!$F$12,1),1-MOD(A54/Calculator!$F$12,1)),ABS(MOD(A54/Calculator!$F$12,1)-0.5))),1)</f>
        <v>1</v>
      </c>
      <c r="D54" s="73" t="n">
        <f aca="false">IF(Calculator!$E$13="YES",IF(A54&lt;Calculator!$G$13,0,MIN(MIN(MOD(A54/Calculator!$F$13,1),1-MOD(A54/Calculator!$F$13,1)),ABS(MOD(A54/Calculator!$F$13,1)-0.5))),1)</f>
        <v>1</v>
      </c>
      <c r="E54" s="73" t="n">
        <f aca="false">IF(Calculator!$E$14="YES",IF(A54&lt;Calculator!$G$14,0,MIN(MIN(MOD(A54/Calculator!$F$14,1),1-MOD(A54/Calculator!$F$14,1)),ABS(MOD(A54/Calculator!$F$14,1)-0.5))),1)</f>
        <v>1</v>
      </c>
      <c r="F54" s="73" t="n">
        <f aca="false">IF(Calculator!$E$15="YES",IF(A54&lt;Calculator!$G$15,0,MIN(MIN(MOD(A54/Calculator!$F$15,1),1-MOD(A54/Calculator!$F$15,1)),ABS(MOD(A54/Calculator!$F$15,1)-0.5))),1)</f>
        <v>0.0423076923076922</v>
      </c>
      <c r="G54" s="73" t="n">
        <f aca="false">IF(Calculator!$E$16="YES",IF(A54&lt;Calculator!$G$16,0,MIN(MIN(MOD(A54/Calculator!$F$16,1),1-MOD(A54/Calculator!$F$16,1)),ABS(MOD(A54/Calculator!$F$16,1)-0.5))),1)</f>
        <v>0.140769230769231</v>
      </c>
      <c r="H54" s="73" t="n">
        <f aca="false">IF(Calculator!$E$17="YES",IF(A54&lt;Calculator!$G$17,0,MIN(MIN(MOD(A54/Calculator!$F$17,1),1-MOD(A54/Calculator!$F$17,1)),ABS(MOD(A54/Calculator!$F$17,1)-0.5))),1)</f>
        <v>0.154570940170941</v>
      </c>
      <c r="I54" s="73" t="n">
        <f aca="false">IF(Calculator!$E$18="YES",IF(A54&lt;Calculator!$G$18,0,MIN(MIN(MOD(A54/Calculator!$F$18,1),1-MOD(A54/Calculator!$F$18,1)),ABS(MOD(A54/Calculator!$F$18,1)-0.5))),1)</f>
        <v>0.218717948717948</v>
      </c>
      <c r="J54" s="73" t="n">
        <f aca="false">IF(Calculator!$E$19="YES",IF(A54&lt;Calculator!$G$19,0,MIN(MIN(MOD(A54/Calculator!$F$19,1),1-MOD(A54/Calculator!$F$19,1)),ABS(MOD(A54/Calculator!$F$19,1)-0.5))),1)</f>
        <v>0.0306324786324748</v>
      </c>
      <c r="K54" s="73" t="n">
        <f aca="false">IF(Calculator!$E$20="YES",IF(A54&lt;Calculator!$G$20,0,MIN(MIN(MOD(A54/Calculator!$F$20,1),1-MOD(A54/Calculator!$F$20,1)),ABS(MOD(A54/Calculator!$F$20,1)-0.5))),1)</f>
        <v>0.18068376068376</v>
      </c>
      <c r="L54" s="73" t="n">
        <f aca="false">IF(Calculator!$E$21="YES",IF(A54&lt;Calculator!$G$21,0,MIN(MIN(MOD(A54/Calculator!$F$21,1),1-MOD(A54/Calculator!$F$21,1)),ABS(MOD(A54/Calculator!$F$21,1)-0.5))),1)</f>
        <v>1</v>
      </c>
      <c r="M54" s="74" t="n">
        <f aca="false">MIN(B54:L54)</f>
        <v>0.0306324786324748</v>
      </c>
      <c r="N54" s="75" t="n">
        <f aca="false">SUMPRODUCT(($M$5:$M$115&gt;M54)*1)+SUMPRODUCT(($M$5:$M$115=M54)*(ROW($M$5:$M$115)&lt;ROW(M54)))+1</f>
        <v>54</v>
      </c>
      <c r="O54" s="76" t="str">
        <f aca="false">IF(M54&gt;=0.2,"★★★ EXCELLENT",IF(M54&gt;=0.12,"★★  GOOD",IF(M54&gt;=0.07,"★  FAIR",IF(M54&gt;=0.025,"⚠  MARGINAL","✗  AVOID"))))</f>
        <v>⚠  MARGINAL</v>
      </c>
    </row>
    <row r="55" customFormat="false" ht="15" hidden="false" customHeight="true" outlineLevel="0" collapsed="false">
      <c r="A55" s="72" t="n">
        <v>30</v>
      </c>
      <c r="B55" s="73" t="n">
        <f aca="false">IF(Calculator!$E$11="YES",IF(A55&lt;Calculator!$G$11,0,MIN(MIN(MOD(A55/Calculator!$F$11,1),1-MOD(A55/Calculator!$F$11,1)),ABS(MOD(A55/Calculator!$F$11,1)-0.5))),1)</f>
        <v>1</v>
      </c>
      <c r="C55" s="73" t="n">
        <f aca="false">IF(Calculator!$E$12="YES",IF(A55&lt;Calculator!$G$12,0,MIN(MIN(MOD(A55/Calculator!$F$12,1),1-MOD(A55/Calculator!$F$12,1)),ABS(MOD(A55/Calculator!$F$12,1)-0.5))),1)</f>
        <v>1</v>
      </c>
      <c r="D55" s="73" t="n">
        <f aca="false">IF(Calculator!$E$13="YES",IF(A55&lt;Calculator!$G$13,0,MIN(MIN(MOD(A55/Calculator!$F$13,1),1-MOD(A55/Calculator!$F$13,1)),ABS(MOD(A55/Calculator!$F$13,1)-0.5))),1)</f>
        <v>1</v>
      </c>
      <c r="E55" s="73" t="n">
        <f aca="false">IF(Calculator!$E$14="YES",IF(A55&lt;Calculator!$G$14,0,MIN(MIN(MOD(A55/Calculator!$F$14,1),1-MOD(A55/Calculator!$F$14,1)),ABS(MOD(A55/Calculator!$F$14,1)-0.5))),1)</f>
        <v>1</v>
      </c>
      <c r="F55" s="73" t="n">
        <f aca="false">IF(Calculator!$E$15="YES",IF(A55&lt;Calculator!$G$15,0,MIN(MIN(MOD(A55/Calculator!$F$15,1),1-MOD(A55/Calculator!$F$15,1)),ABS(MOD(A55/Calculator!$F$15,1)-0.5))),1)</f>
        <v>0.0769230769230771</v>
      </c>
      <c r="G55" s="73" t="n">
        <f aca="false">IF(Calculator!$E$16="YES",IF(A55&lt;Calculator!$G$16,0,MIN(MIN(MOD(A55/Calculator!$F$16,1),1-MOD(A55/Calculator!$F$16,1)),ABS(MOD(A55/Calculator!$F$16,1)-0.5))),1)</f>
        <v>0.092307692307692</v>
      </c>
      <c r="H55" s="73" t="n">
        <f aca="false">IF(Calculator!$E$17="YES",IF(A55&lt;Calculator!$G$17,0,MIN(MIN(MOD(A55/Calculator!$F$17,1),1-MOD(A55/Calculator!$F$17,1)),ABS(MOD(A55/Calculator!$F$17,1)-0.5))),1)</f>
        <v>0.216512820512821</v>
      </c>
      <c r="I55" s="73" t="n">
        <f aca="false">IF(Calculator!$E$18="YES",IF(A55&lt;Calculator!$G$18,0,MIN(MIN(MOD(A55/Calculator!$F$18,1),1-MOD(A55/Calculator!$F$18,1)),ABS(MOD(A55/Calculator!$F$18,1)-0.5))),1)</f>
        <v>0.146153846153846</v>
      </c>
      <c r="J55" s="73" t="n">
        <f aca="false">IF(Calculator!$E$19="YES",IF(A55&lt;Calculator!$G$19,0,MIN(MIN(MOD(A55/Calculator!$F$19,1),1-MOD(A55/Calculator!$F$19,1)),ABS(MOD(A55/Calculator!$F$19,1)-0.5))),1)</f>
        <v>0.115897435897432</v>
      </c>
      <c r="K55" s="73" t="n">
        <f aca="false">IF(Calculator!$E$20="YES",IF(A55&lt;Calculator!$G$20,0,MIN(MIN(MOD(A55/Calculator!$F$20,1),1-MOD(A55/Calculator!$F$20,1)),ABS(MOD(A55/Calculator!$F$20,1)-0.5))),1)</f>
        <v>0.0820512820512818</v>
      </c>
      <c r="L55" s="73" t="n">
        <f aca="false">IF(Calculator!$E$21="YES",IF(A55&lt;Calculator!$G$21,0,MIN(MIN(MOD(A55/Calculator!$F$21,1),1-MOD(A55/Calculator!$F$21,1)),ABS(MOD(A55/Calculator!$F$21,1)-0.5))),1)</f>
        <v>1</v>
      </c>
      <c r="M55" s="74" t="n">
        <f aca="false">MIN(B55:L55)</f>
        <v>0.0769230769230771</v>
      </c>
      <c r="N55" s="75" t="n">
        <f aca="false">SUMPRODUCT(($M$5:$M$115&gt;M55)*1)+SUMPRODUCT(($M$5:$M$115=M55)*(ROW($M$5:$M$115)&lt;ROW(M55)))+1</f>
        <v>13</v>
      </c>
      <c r="O55" s="76" t="str">
        <f aca="false">IF(M55&gt;=0.2,"★★★ EXCELLENT",IF(M55&gt;=0.12,"★★  GOOD",IF(M55&gt;=0.07,"★  FAIR",IF(M55&gt;=0.025,"⚠  MARGINAL","✗  AVOID"))))</f>
        <v>★  FAIR</v>
      </c>
    </row>
    <row r="56" customFormat="false" ht="15" hidden="false" customHeight="true" outlineLevel="0" collapsed="false">
      <c r="A56" s="72" t="n">
        <v>30.5</v>
      </c>
      <c r="B56" s="73" t="n">
        <f aca="false">IF(Calculator!$E$11="YES",IF(A56&lt;Calculator!$G$11,0,MIN(MIN(MOD(A56/Calculator!$F$11,1),1-MOD(A56/Calculator!$F$11,1)),ABS(MOD(A56/Calculator!$F$11,1)-0.5))),1)</f>
        <v>1</v>
      </c>
      <c r="C56" s="73" t="n">
        <f aca="false">IF(Calculator!$E$12="YES",IF(A56&lt;Calculator!$G$12,0,MIN(MIN(MOD(A56/Calculator!$F$12,1),1-MOD(A56/Calculator!$F$12,1)),ABS(MOD(A56/Calculator!$F$12,1)-0.5))),1)</f>
        <v>1</v>
      </c>
      <c r="D56" s="73" t="n">
        <f aca="false">IF(Calculator!$E$13="YES",IF(A56&lt;Calculator!$G$13,0,MIN(MIN(MOD(A56/Calculator!$F$13,1),1-MOD(A56/Calculator!$F$13,1)),ABS(MOD(A56/Calculator!$F$13,1)-0.5))),1)</f>
        <v>1</v>
      </c>
      <c r="E56" s="73" t="n">
        <f aca="false">IF(Calculator!$E$14="YES",IF(A56&lt;Calculator!$G$14,0,MIN(MIN(MOD(A56/Calculator!$F$14,1),1-MOD(A56/Calculator!$F$14,1)),ABS(MOD(A56/Calculator!$F$14,1)-0.5))),1)</f>
        <v>1</v>
      </c>
      <c r="F56" s="73" t="n">
        <f aca="false">IF(Calculator!$E$15="YES",IF(A56&lt;Calculator!$G$15,0,MIN(MIN(MOD(A56/Calculator!$F$15,1),1-MOD(A56/Calculator!$F$15,1)),ABS(MOD(A56/Calculator!$F$15,1)-0.5))),1)</f>
        <v>0.111538461538462</v>
      </c>
      <c r="G56" s="73" t="n">
        <f aca="false">IF(Calculator!$E$16="YES",IF(A56&lt;Calculator!$G$16,0,MIN(MIN(MOD(A56/Calculator!$F$16,1),1-MOD(A56/Calculator!$F$16,1)),ABS(MOD(A56/Calculator!$F$16,1)-0.5))),1)</f>
        <v>0.0438461538461534</v>
      </c>
      <c r="H56" s="73" t="n">
        <f aca="false">IF(Calculator!$E$17="YES",IF(A56&lt;Calculator!$G$17,0,MIN(MIN(MOD(A56/Calculator!$F$17,1),1-MOD(A56/Calculator!$F$17,1)),ABS(MOD(A56/Calculator!$F$17,1)-0.5))),1)</f>
        <v>0.221545299145299</v>
      </c>
      <c r="I56" s="73" t="n">
        <f aca="false">IF(Calculator!$E$18="YES",IF(A56&lt;Calculator!$G$18,0,MIN(MIN(MOD(A56/Calculator!$F$18,1),1-MOD(A56/Calculator!$F$18,1)),ABS(MOD(A56/Calculator!$F$18,1)-0.5))),1)</f>
        <v>0.0735897435897428</v>
      </c>
      <c r="J56" s="73" t="n">
        <f aca="false">IF(Calculator!$E$19="YES",IF(A56&lt;Calculator!$G$19,0,MIN(MIN(MOD(A56/Calculator!$F$19,1),1-MOD(A56/Calculator!$F$19,1)),ABS(MOD(A56/Calculator!$F$19,1)-0.5))),1)</f>
        <v>0.201162393162389</v>
      </c>
      <c r="K56" s="73" t="n">
        <f aca="false">IF(Calculator!$E$20="YES",IF(A56&lt;Calculator!$G$20,0,MIN(MIN(MOD(A56/Calculator!$F$20,1),1-MOD(A56/Calculator!$F$20,1)),ABS(MOD(A56/Calculator!$F$20,1)-0.5))),1)</f>
        <v>0.0165811965811971</v>
      </c>
      <c r="L56" s="73" t="n">
        <f aca="false">IF(Calculator!$E$21="YES",IF(A56&lt;Calculator!$G$21,0,MIN(MIN(MOD(A56/Calculator!$F$21,1),1-MOD(A56/Calculator!$F$21,1)),ABS(MOD(A56/Calculator!$F$21,1)-0.5))),1)</f>
        <v>1</v>
      </c>
      <c r="M56" s="74" t="n">
        <f aca="false">MIN(B56:L56)</f>
        <v>0.0165811965811971</v>
      </c>
      <c r="N56" s="75" t="n">
        <f aca="false">SUMPRODUCT(($M$5:$M$115&gt;M56)*1)+SUMPRODUCT(($M$5:$M$115=M56)*(ROW($M$5:$M$115)&lt;ROW(M56)))+1</f>
        <v>76</v>
      </c>
      <c r="O56" s="76" t="str">
        <f aca="false">IF(M56&gt;=0.2,"★★★ EXCELLENT",IF(M56&gt;=0.12,"★★  GOOD",IF(M56&gt;=0.07,"★  FAIR",IF(M56&gt;=0.025,"⚠  MARGINAL","✗  AVOID"))))</f>
        <v>✗  AVOID</v>
      </c>
    </row>
    <row r="57" customFormat="false" ht="15" hidden="false" customHeight="true" outlineLevel="0" collapsed="false">
      <c r="A57" s="72" t="n">
        <v>31</v>
      </c>
      <c r="B57" s="73" t="n">
        <f aca="false">IF(Calculator!$E$11="YES",IF(A57&lt;Calculator!$G$11,0,MIN(MIN(MOD(A57/Calculator!$F$11,1),1-MOD(A57/Calculator!$F$11,1)),ABS(MOD(A57/Calculator!$F$11,1)-0.5))),1)</f>
        <v>1</v>
      </c>
      <c r="C57" s="73" t="n">
        <f aca="false">IF(Calculator!$E$12="YES",IF(A57&lt;Calculator!$G$12,0,MIN(MIN(MOD(A57/Calculator!$F$12,1),1-MOD(A57/Calculator!$F$12,1)),ABS(MOD(A57/Calculator!$F$12,1)-0.5))),1)</f>
        <v>1</v>
      </c>
      <c r="D57" s="73" t="n">
        <f aca="false">IF(Calculator!$E$13="YES",IF(A57&lt;Calculator!$G$13,0,MIN(MIN(MOD(A57/Calculator!$F$13,1),1-MOD(A57/Calculator!$F$13,1)),ABS(MOD(A57/Calculator!$F$13,1)-0.5))),1)</f>
        <v>1</v>
      </c>
      <c r="E57" s="73" t="n">
        <f aca="false">IF(Calculator!$E$14="YES",IF(A57&lt;Calculator!$G$14,0,MIN(MIN(MOD(A57/Calculator!$F$14,1),1-MOD(A57/Calculator!$F$14,1)),ABS(MOD(A57/Calculator!$F$14,1)-0.5))),1)</f>
        <v>1</v>
      </c>
      <c r="F57" s="73" t="n">
        <f aca="false">IF(Calculator!$E$15="YES",IF(A57&lt;Calculator!$G$15,0,MIN(MIN(MOD(A57/Calculator!$F$15,1),1-MOD(A57/Calculator!$F$15,1)),ABS(MOD(A57/Calculator!$F$15,1)-0.5))),1)</f>
        <v>0.146153846153846</v>
      </c>
      <c r="G57" s="73" t="n">
        <f aca="false">IF(Calculator!$E$16="YES",IF(A57&lt;Calculator!$G$16,0,MIN(MIN(MOD(A57/Calculator!$F$16,1),1-MOD(A57/Calculator!$F$16,1)),ABS(MOD(A57/Calculator!$F$16,1)-0.5))),1)</f>
        <v>0.00461538461538513</v>
      </c>
      <c r="H57" s="73" t="n">
        <f aca="false">IF(Calculator!$E$17="YES",IF(A57&lt;Calculator!$G$17,0,MIN(MIN(MOD(A57/Calculator!$F$17,1),1-MOD(A57/Calculator!$F$17,1)),ABS(MOD(A57/Calculator!$F$17,1)-0.5))),1)</f>
        <v>0.159603418803418</v>
      </c>
      <c r="I57" s="73" t="n">
        <f aca="false">IF(Calculator!$E$18="YES",IF(A57&lt;Calculator!$G$18,0,MIN(MIN(MOD(A57/Calculator!$F$18,1),1-MOD(A57/Calculator!$F$18,1)),ABS(MOD(A57/Calculator!$F$18,1)-0.5))),1)</f>
        <v>0.00102564102564084</v>
      </c>
      <c r="J57" s="73" t="n">
        <f aca="false">IF(Calculator!$E$19="YES",IF(A57&lt;Calculator!$G$19,0,MIN(MIN(MOD(A57/Calculator!$F$19,1),1-MOD(A57/Calculator!$F$19,1)),ABS(MOD(A57/Calculator!$F$19,1)-0.5))),1)</f>
        <v>0.213572649572654</v>
      </c>
      <c r="K57" s="73" t="n">
        <f aca="false">IF(Calculator!$E$20="YES",IF(A57&lt;Calculator!$G$20,0,MIN(MIN(MOD(A57/Calculator!$F$20,1),1-MOD(A57/Calculator!$F$20,1)),ABS(MOD(A57/Calculator!$F$20,1)-0.5))),1)</f>
        <v>0.115213675213676</v>
      </c>
      <c r="L57" s="73" t="n">
        <f aca="false">IF(Calculator!$E$21="YES",IF(A57&lt;Calculator!$G$21,0,MIN(MIN(MOD(A57/Calculator!$F$21,1),1-MOD(A57/Calculator!$F$21,1)),ABS(MOD(A57/Calculator!$F$21,1)-0.5))),1)</f>
        <v>1</v>
      </c>
      <c r="M57" s="74" t="n">
        <f aca="false">MIN(B57:L57)</f>
        <v>0.00102564102564084</v>
      </c>
      <c r="N57" s="75" t="n">
        <f aca="false">SUMPRODUCT(($M$5:$M$115&gt;M57)*1)+SUMPRODUCT(($M$5:$M$115=M57)*(ROW($M$5:$M$115)&lt;ROW(M57)))+1</f>
        <v>105</v>
      </c>
      <c r="O57" s="76" t="str">
        <f aca="false">IF(M57&gt;=0.2,"★★★ EXCELLENT",IF(M57&gt;=0.12,"★★  GOOD",IF(M57&gt;=0.07,"★  FAIR",IF(M57&gt;=0.025,"⚠  MARGINAL","✗  AVOID"))))</f>
        <v>✗  AVOID</v>
      </c>
    </row>
    <row r="58" customFormat="false" ht="15" hidden="false" customHeight="true" outlineLevel="0" collapsed="false">
      <c r="A58" s="72" t="n">
        <v>31.5</v>
      </c>
      <c r="B58" s="73" t="n">
        <f aca="false">IF(Calculator!$E$11="YES",IF(A58&lt;Calculator!$G$11,0,MIN(MIN(MOD(A58/Calculator!$F$11,1),1-MOD(A58/Calculator!$F$11,1)),ABS(MOD(A58/Calculator!$F$11,1)-0.5))),1)</f>
        <v>1</v>
      </c>
      <c r="C58" s="73" t="n">
        <f aca="false">IF(Calculator!$E$12="YES",IF(A58&lt;Calculator!$G$12,0,MIN(MIN(MOD(A58/Calculator!$F$12,1),1-MOD(A58/Calculator!$F$12,1)),ABS(MOD(A58/Calculator!$F$12,1)-0.5))),1)</f>
        <v>1</v>
      </c>
      <c r="D58" s="73" t="n">
        <f aca="false">IF(Calculator!$E$13="YES",IF(A58&lt;Calculator!$G$13,0,MIN(MIN(MOD(A58/Calculator!$F$13,1),1-MOD(A58/Calculator!$F$13,1)),ABS(MOD(A58/Calculator!$F$13,1)-0.5))),1)</f>
        <v>1</v>
      </c>
      <c r="E58" s="73" t="n">
        <f aca="false">IF(Calculator!$E$14="YES",IF(A58&lt;Calculator!$G$14,0,MIN(MIN(MOD(A58/Calculator!$F$14,1),1-MOD(A58/Calculator!$F$14,1)),ABS(MOD(A58/Calculator!$F$14,1)-0.5))),1)</f>
        <v>1</v>
      </c>
      <c r="F58" s="73" t="n">
        <f aca="false">IF(Calculator!$E$15="YES",IF(A58&lt;Calculator!$G$15,0,MIN(MIN(MOD(A58/Calculator!$F$15,1),1-MOD(A58/Calculator!$F$15,1)),ABS(MOD(A58/Calculator!$F$15,1)-0.5))),1)</f>
        <v>0.180769230769231</v>
      </c>
      <c r="G58" s="73" t="n">
        <f aca="false">IF(Calculator!$E$16="YES",IF(A58&lt;Calculator!$G$16,0,MIN(MIN(MOD(A58/Calculator!$F$16,1),1-MOD(A58/Calculator!$F$16,1)),ABS(MOD(A58/Calculator!$F$16,1)-0.5))),1)</f>
        <v>0.0530769230769232</v>
      </c>
      <c r="H58" s="73" t="n">
        <f aca="false">IF(Calculator!$E$17="YES",IF(A58&lt;Calculator!$G$17,0,MIN(MIN(MOD(A58/Calculator!$F$17,1),1-MOD(A58/Calculator!$F$17,1)),ABS(MOD(A58/Calculator!$F$17,1)-0.5))),1)</f>
        <v>0.0976615384615376</v>
      </c>
      <c r="I58" s="73" t="n">
        <f aca="false">IF(Calculator!$E$18="YES",IF(A58&lt;Calculator!$G$18,0,MIN(MIN(MOD(A58/Calculator!$F$18,1),1-MOD(A58/Calculator!$F$18,1)),ABS(MOD(A58/Calculator!$F$18,1)-0.5))),1)</f>
        <v>0.071538461538462</v>
      </c>
      <c r="J58" s="73" t="n">
        <f aca="false">IF(Calculator!$E$19="YES",IF(A58&lt;Calculator!$G$19,0,MIN(MIN(MOD(A58/Calculator!$F$19,1),1-MOD(A58/Calculator!$F$19,1)),ABS(MOD(A58/Calculator!$F$19,1)-0.5))),1)</f>
        <v>0.128307692307696</v>
      </c>
      <c r="K58" s="73" t="n">
        <f aca="false">IF(Calculator!$E$20="YES",IF(A58&lt;Calculator!$G$20,0,MIN(MIN(MOD(A58/Calculator!$F$20,1),1-MOD(A58/Calculator!$F$20,1)),ABS(MOD(A58/Calculator!$F$20,1)-0.5))),1)</f>
        <v>0.213846153846155</v>
      </c>
      <c r="L58" s="73" t="n">
        <f aca="false">IF(Calculator!$E$21="YES",IF(A58&lt;Calculator!$G$21,0,MIN(MIN(MOD(A58/Calculator!$F$21,1),1-MOD(A58/Calculator!$F$21,1)),ABS(MOD(A58/Calculator!$F$21,1)-0.5))),1)</f>
        <v>1</v>
      </c>
      <c r="M58" s="74" t="n">
        <f aca="false">MIN(B58:L58)</f>
        <v>0.0530769230769232</v>
      </c>
      <c r="N58" s="75" t="n">
        <f aca="false">SUMPRODUCT(($M$5:$M$115&gt;M58)*1)+SUMPRODUCT(($M$5:$M$115=M58)*(ROW($M$5:$M$115)&lt;ROW(M58)))+1</f>
        <v>29</v>
      </c>
      <c r="O58" s="76" t="str">
        <f aca="false">IF(M58&gt;=0.2,"★★★ EXCELLENT",IF(M58&gt;=0.12,"★★  GOOD",IF(M58&gt;=0.07,"★  FAIR",IF(M58&gt;=0.025,"⚠  MARGINAL","✗  AVOID"))))</f>
        <v>⚠  MARGINAL</v>
      </c>
    </row>
    <row r="59" customFormat="false" ht="15" hidden="false" customHeight="true" outlineLevel="0" collapsed="false">
      <c r="A59" s="72" t="n">
        <v>32</v>
      </c>
      <c r="B59" s="73" t="n">
        <f aca="false">IF(Calculator!$E$11="YES",IF(A59&lt;Calculator!$G$11,0,MIN(MIN(MOD(A59/Calculator!$F$11,1),1-MOD(A59/Calculator!$F$11,1)),ABS(MOD(A59/Calculator!$F$11,1)-0.5))),1)</f>
        <v>1</v>
      </c>
      <c r="C59" s="73" t="n">
        <f aca="false">IF(Calculator!$E$12="YES",IF(A59&lt;Calculator!$G$12,0,MIN(MIN(MOD(A59/Calculator!$F$12,1),1-MOD(A59/Calculator!$F$12,1)),ABS(MOD(A59/Calculator!$F$12,1)-0.5))),1)</f>
        <v>1</v>
      </c>
      <c r="D59" s="73" t="n">
        <f aca="false">IF(Calculator!$E$13="YES",IF(A59&lt;Calculator!$G$13,0,MIN(MIN(MOD(A59/Calculator!$F$13,1),1-MOD(A59/Calculator!$F$13,1)),ABS(MOD(A59/Calculator!$F$13,1)-0.5))),1)</f>
        <v>1</v>
      </c>
      <c r="E59" s="73" t="n">
        <f aca="false">IF(Calculator!$E$14="YES",IF(A59&lt;Calculator!$G$14,0,MIN(MIN(MOD(A59/Calculator!$F$14,1),1-MOD(A59/Calculator!$F$14,1)),ABS(MOD(A59/Calculator!$F$14,1)-0.5))),1)</f>
        <v>1</v>
      </c>
      <c r="F59" s="73" t="n">
        <f aca="false">IF(Calculator!$E$15="YES",IF(A59&lt;Calculator!$G$15,0,MIN(MIN(MOD(A59/Calculator!$F$15,1),1-MOD(A59/Calculator!$F$15,1)),ABS(MOD(A59/Calculator!$F$15,1)-0.5))),1)</f>
        <v>0.215384615384616</v>
      </c>
      <c r="G59" s="73" t="n">
        <f aca="false">IF(Calculator!$E$16="YES",IF(A59&lt;Calculator!$G$16,0,MIN(MIN(MOD(A59/Calculator!$F$16,1),1-MOD(A59/Calculator!$F$16,1)),ABS(MOD(A59/Calculator!$F$16,1)-0.5))),1)</f>
        <v>0.101538461538462</v>
      </c>
      <c r="H59" s="73" t="n">
        <f aca="false">IF(Calculator!$E$17="YES",IF(A59&lt;Calculator!$G$17,0,MIN(MIN(MOD(A59/Calculator!$F$17,1),1-MOD(A59/Calculator!$F$17,1)),ABS(MOD(A59/Calculator!$F$17,1)-0.5))),1)</f>
        <v>0.0357196581196573</v>
      </c>
      <c r="I59" s="73" t="n">
        <f aca="false">IF(Calculator!$E$18="YES",IF(A59&lt;Calculator!$G$18,0,MIN(MIN(MOD(A59/Calculator!$F$18,1),1-MOD(A59/Calculator!$F$18,1)),ABS(MOD(A59/Calculator!$F$18,1)-0.5))),1)</f>
        <v>0.144102564102565</v>
      </c>
      <c r="J59" s="73" t="n">
        <f aca="false">IF(Calculator!$E$19="YES",IF(A59&lt;Calculator!$G$19,0,MIN(MIN(MOD(A59/Calculator!$F$19,1),1-MOD(A59/Calculator!$F$19,1)),ABS(MOD(A59/Calculator!$F$19,1)-0.5))),1)</f>
        <v>0.0430427350427394</v>
      </c>
      <c r="K59" s="73" t="n">
        <f aca="false">IF(Calculator!$E$20="YES",IF(A59&lt;Calculator!$G$20,0,MIN(MIN(MOD(A59/Calculator!$F$20,1),1-MOD(A59/Calculator!$F$20,1)),ABS(MOD(A59/Calculator!$F$20,1)-0.5))),1)</f>
        <v>0.187521367521367</v>
      </c>
      <c r="L59" s="73" t="n">
        <f aca="false">IF(Calculator!$E$21="YES",IF(A59&lt;Calculator!$G$21,0,MIN(MIN(MOD(A59/Calculator!$F$21,1),1-MOD(A59/Calculator!$F$21,1)),ABS(MOD(A59/Calculator!$F$21,1)-0.5))),1)</f>
        <v>1</v>
      </c>
      <c r="M59" s="74" t="n">
        <f aca="false">MIN(B59:L59)</f>
        <v>0.0357196581196573</v>
      </c>
      <c r="N59" s="75" t="n">
        <f aca="false">SUMPRODUCT(($M$5:$M$115&gt;M59)*1)+SUMPRODUCT(($M$5:$M$115=M59)*(ROW($M$5:$M$115)&lt;ROW(M59)))+1</f>
        <v>42</v>
      </c>
      <c r="O59" s="76" t="str">
        <f aca="false">IF(M59&gt;=0.2,"★★★ EXCELLENT",IF(M59&gt;=0.12,"★★  GOOD",IF(M59&gt;=0.07,"★  FAIR",IF(M59&gt;=0.025,"⚠  MARGINAL","✗  AVOID"))))</f>
        <v>⚠  MARGINAL</v>
      </c>
    </row>
    <row r="60" customFormat="false" ht="15" hidden="false" customHeight="true" outlineLevel="0" collapsed="false">
      <c r="A60" s="72" t="n">
        <v>32.5</v>
      </c>
      <c r="B60" s="73" t="n">
        <f aca="false">IF(Calculator!$E$11="YES",IF(A60&lt;Calculator!$G$11,0,MIN(MIN(MOD(A60/Calculator!$F$11,1),1-MOD(A60/Calculator!$F$11,1)),ABS(MOD(A60/Calculator!$F$11,1)-0.5))),1)</f>
        <v>1</v>
      </c>
      <c r="C60" s="73" t="n">
        <f aca="false">IF(Calculator!$E$12="YES",IF(A60&lt;Calculator!$G$12,0,MIN(MIN(MOD(A60/Calculator!$F$12,1),1-MOD(A60/Calculator!$F$12,1)),ABS(MOD(A60/Calculator!$F$12,1)-0.5))),1)</f>
        <v>1</v>
      </c>
      <c r="D60" s="73" t="n">
        <f aca="false">IF(Calculator!$E$13="YES",IF(A60&lt;Calculator!$G$13,0,MIN(MIN(MOD(A60/Calculator!$F$13,1),1-MOD(A60/Calculator!$F$13,1)),ABS(MOD(A60/Calculator!$F$13,1)-0.5))),1)</f>
        <v>1</v>
      </c>
      <c r="E60" s="73" t="n">
        <f aca="false">IF(Calculator!$E$14="YES",IF(A60&lt;Calculator!$G$14,0,MIN(MIN(MOD(A60/Calculator!$F$14,1),1-MOD(A60/Calculator!$F$14,1)),ABS(MOD(A60/Calculator!$F$14,1)-0.5))),1)</f>
        <v>1</v>
      </c>
      <c r="F60" s="73" t="n">
        <f aca="false">IF(Calculator!$E$15="YES",IF(A60&lt;Calculator!$G$15,0,MIN(MIN(MOD(A60/Calculator!$F$15,1),1-MOD(A60/Calculator!$F$15,1)),ABS(MOD(A60/Calculator!$F$15,1)-0.5))),1)</f>
        <v>0.25</v>
      </c>
      <c r="G60" s="73" t="n">
        <f aca="false">IF(Calculator!$E$16="YES",IF(A60&lt;Calculator!$G$16,0,MIN(MIN(MOD(A60/Calculator!$F$16,1),1-MOD(A60/Calculator!$F$16,1)),ABS(MOD(A60/Calculator!$F$16,1)-0.5))),1)</f>
        <v>0.15</v>
      </c>
      <c r="H60" s="73" t="n">
        <f aca="false">IF(Calculator!$E$17="YES",IF(A60&lt;Calculator!$G$17,0,MIN(MIN(MOD(A60/Calculator!$F$17,1),1-MOD(A60/Calculator!$F$17,1)),ABS(MOD(A60/Calculator!$F$17,1)-0.5))),1)</f>
        <v>0.0262222222222226</v>
      </c>
      <c r="I60" s="73" t="n">
        <f aca="false">IF(Calculator!$E$18="YES",IF(A60&lt;Calculator!$G$18,0,MIN(MIN(MOD(A60/Calculator!$F$18,1),1-MOD(A60/Calculator!$F$18,1)),ABS(MOD(A60/Calculator!$F$18,1)-0.5))),1)</f>
        <v>0.216666666666667</v>
      </c>
      <c r="J60" s="73" t="n">
        <f aca="false">IF(Calculator!$E$19="YES",IF(A60&lt;Calculator!$G$19,0,MIN(MIN(MOD(A60/Calculator!$F$19,1),1-MOD(A60/Calculator!$F$19,1)),ABS(MOD(A60/Calculator!$F$19,1)-0.5))),1)</f>
        <v>0.0422222222222182</v>
      </c>
      <c r="K60" s="73" t="n">
        <f aca="false">IF(Calculator!$E$20="YES",IF(A60&lt;Calculator!$G$20,0,MIN(MIN(MOD(A60/Calculator!$F$20,1),1-MOD(A60/Calculator!$F$20,1)),ABS(MOD(A60/Calculator!$F$20,1)-0.5))),1)</f>
        <v>0.0888888888888886</v>
      </c>
      <c r="L60" s="73" t="n">
        <f aca="false">IF(Calculator!$E$21="YES",IF(A60&lt;Calculator!$G$21,0,MIN(MIN(MOD(A60/Calculator!$F$21,1),1-MOD(A60/Calculator!$F$21,1)),ABS(MOD(A60/Calculator!$F$21,1)-0.5))),1)</f>
        <v>1</v>
      </c>
      <c r="M60" s="74" t="n">
        <f aca="false">MIN(B60:L60)</f>
        <v>0.0262222222222226</v>
      </c>
      <c r="N60" s="75" t="n">
        <f aca="false">SUMPRODUCT(($M$5:$M$115&gt;M60)*1)+SUMPRODUCT(($M$5:$M$115=M60)*(ROW($M$5:$M$115)&lt;ROW(M60)))+1</f>
        <v>59</v>
      </c>
      <c r="O60" s="76" t="str">
        <f aca="false">IF(M60&gt;=0.2,"★★★ EXCELLENT",IF(M60&gt;=0.12,"★★  GOOD",IF(M60&gt;=0.07,"★  FAIR",IF(M60&gt;=0.025,"⚠  MARGINAL","✗  AVOID"))))</f>
        <v>⚠  MARGINAL</v>
      </c>
    </row>
    <row r="61" customFormat="false" ht="15" hidden="false" customHeight="true" outlineLevel="0" collapsed="false">
      <c r="A61" s="72" t="n">
        <v>33</v>
      </c>
      <c r="B61" s="73" t="n">
        <f aca="false">IF(Calculator!$E$11="YES",IF(A61&lt;Calculator!$G$11,0,MIN(MIN(MOD(A61/Calculator!$F$11,1),1-MOD(A61/Calculator!$F$11,1)),ABS(MOD(A61/Calculator!$F$11,1)-0.5))),1)</f>
        <v>1</v>
      </c>
      <c r="C61" s="73" t="n">
        <f aca="false">IF(Calculator!$E$12="YES",IF(A61&lt;Calculator!$G$12,0,MIN(MIN(MOD(A61/Calculator!$F$12,1),1-MOD(A61/Calculator!$F$12,1)),ABS(MOD(A61/Calculator!$F$12,1)-0.5))),1)</f>
        <v>1</v>
      </c>
      <c r="D61" s="73" t="n">
        <f aca="false">IF(Calculator!$E$13="YES",IF(A61&lt;Calculator!$G$13,0,MIN(MIN(MOD(A61/Calculator!$F$13,1),1-MOD(A61/Calculator!$F$13,1)),ABS(MOD(A61/Calculator!$F$13,1)-0.5))),1)</f>
        <v>1</v>
      </c>
      <c r="E61" s="73" t="n">
        <f aca="false">IF(Calculator!$E$14="YES",IF(A61&lt;Calculator!$G$14,0,MIN(MIN(MOD(A61/Calculator!$F$14,1),1-MOD(A61/Calculator!$F$14,1)),ABS(MOD(A61/Calculator!$F$14,1)-0.5))),1)</f>
        <v>1</v>
      </c>
      <c r="F61" s="73" t="n">
        <f aca="false">IF(Calculator!$E$15="YES",IF(A61&lt;Calculator!$G$15,0,MIN(MIN(MOD(A61/Calculator!$F$15,1),1-MOD(A61/Calculator!$F$15,1)),ABS(MOD(A61/Calculator!$F$15,1)-0.5))),1)</f>
        <v>0.215384615384616</v>
      </c>
      <c r="G61" s="73" t="n">
        <f aca="false">IF(Calculator!$E$16="YES",IF(A61&lt;Calculator!$G$16,0,MIN(MIN(MOD(A61/Calculator!$F$16,1),1-MOD(A61/Calculator!$F$16,1)),ABS(MOD(A61/Calculator!$F$16,1)-0.5))),1)</f>
        <v>0.198461538461539</v>
      </c>
      <c r="H61" s="73" t="n">
        <f aca="false">IF(Calculator!$E$17="YES",IF(A61&lt;Calculator!$G$17,0,MIN(MIN(MOD(A61/Calculator!$F$17,1),1-MOD(A61/Calculator!$F$17,1)),ABS(MOD(A61/Calculator!$F$17,1)-0.5))),1)</f>
        <v>0.0881641025641029</v>
      </c>
      <c r="I61" s="73" t="n">
        <f aca="false">IF(Calculator!$E$18="YES",IF(A61&lt;Calculator!$G$18,0,MIN(MIN(MOD(A61/Calculator!$F$18,1),1-MOD(A61/Calculator!$F$18,1)),ABS(MOD(A61/Calculator!$F$18,1)-0.5))),1)</f>
        <v>0.21076923076923</v>
      </c>
      <c r="J61" s="73" t="n">
        <f aca="false">IF(Calculator!$E$19="YES",IF(A61&lt;Calculator!$G$19,0,MIN(MIN(MOD(A61/Calculator!$F$19,1),1-MOD(A61/Calculator!$F$19,1)),ABS(MOD(A61/Calculator!$F$19,1)-0.5))),1)</f>
        <v>0.127487179487176</v>
      </c>
      <c r="K61" s="73" t="n">
        <f aca="false">IF(Calculator!$E$20="YES",IF(A61&lt;Calculator!$G$20,0,MIN(MIN(MOD(A61/Calculator!$F$20,1),1-MOD(A61/Calculator!$F$20,1)),ABS(MOD(A61/Calculator!$F$20,1)-0.5))),1)</f>
        <v>0.00974358974359024</v>
      </c>
      <c r="L61" s="73" t="n">
        <f aca="false">IF(Calculator!$E$21="YES",IF(A61&lt;Calculator!$G$21,0,MIN(MIN(MOD(A61/Calculator!$F$21,1),1-MOD(A61/Calculator!$F$21,1)),ABS(MOD(A61/Calculator!$F$21,1)-0.5))),1)</f>
        <v>1</v>
      </c>
      <c r="M61" s="74" t="n">
        <f aca="false">MIN(B61:L61)</f>
        <v>0.00974358974359024</v>
      </c>
      <c r="N61" s="75" t="n">
        <f aca="false">SUMPRODUCT(($M$5:$M$115&gt;M61)*1)+SUMPRODUCT(($M$5:$M$115=M61)*(ROW($M$5:$M$115)&lt;ROW(M61)))+1</f>
        <v>86</v>
      </c>
      <c r="O61" s="76" t="str">
        <f aca="false">IF(M61&gt;=0.2,"★★★ EXCELLENT",IF(M61&gt;=0.12,"★★  GOOD",IF(M61&gt;=0.07,"★  FAIR",IF(M61&gt;=0.025,"⚠  MARGINAL","✗  AVOID"))))</f>
        <v>✗  AVOID</v>
      </c>
    </row>
    <row r="62" customFormat="false" ht="15" hidden="false" customHeight="true" outlineLevel="0" collapsed="false">
      <c r="A62" s="72" t="n">
        <v>33.5</v>
      </c>
      <c r="B62" s="73" t="n">
        <f aca="false">IF(Calculator!$E$11="YES",IF(A62&lt;Calculator!$G$11,0,MIN(MIN(MOD(A62/Calculator!$F$11,1),1-MOD(A62/Calculator!$F$11,1)),ABS(MOD(A62/Calculator!$F$11,1)-0.5))),1)</f>
        <v>1</v>
      </c>
      <c r="C62" s="73" t="n">
        <f aca="false">IF(Calculator!$E$12="YES",IF(A62&lt;Calculator!$G$12,0,MIN(MIN(MOD(A62/Calculator!$F$12,1),1-MOD(A62/Calculator!$F$12,1)),ABS(MOD(A62/Calculator!$F$12,1)-0.5))),1)</f>
        <v>1</v>
      </c>
      <c r="D62" s="73" t="n">
        <f aca="false">IF(Calculator!$E$13="YES",IF(A62&lt;Calculator!$G$13,0,MIN(MIN(MOD(A62/Calculator!$F$13,1),1-MOD(A62/Calculator!$F$13,1)),ABS(MOD(A62/Calculator!$F$13,1)-0.5))),1)</f>
        <v>1</v>
      </c>
      <c r="E62" s="73" t="n">
        <f aca="false">IF(Calculator!$E$14="YES",IF(A62&lt;Calculator!$G$14,0,MIN(MIN(MOD(A62/Calculator!$F$14,1),1-MOD(A62/Calculator!$F$14,1)),ABS(MOD(A62/Calculator!$F$14,1)-0.5))),1)</f>
        <v>1</v>
      </c>
      <c r="F62" s="73" t="n">
        <f aca="false">IF(Calculator!$E$15="YES",IF(A62&lt;Calculator!$G$15,0,MIN(MIN(MOD(A62/Calculator!$F$15,1),1-MOD(A62/Calculator!$F$15,1)),ABS(MOD(A62/Calculator!$F$15,1)-0.5))),1)</f>
        <v>0.180769230769231</v>
      </c>
      <c r="G62" s="73" t="n">
        <f aca="false">IF(Calculator!$E$16="YES",IF(A62&lt;Calculator!$G$16,0,MIN(MIN(MOD(A62/Calculator!$F$16,1),1-MOD(A62/Calculator!$F$16,1)),ABS(MOD(A62/Calculator!$F$16,1)-0.5))),1)</f>
        <v>0.246923076923077</v>
      </c>
      <c r="H62" s="73" t="n">
        <f aca="false">IF(Calculator!$E$17="YES",IF(A62&lt;Calculator!$G$17,0,MIN(MIN(MOD(A62/Calculator!$F$17,1),1-MOD(A62/Calculator!$F$17,1)),ABS(MOD(A62/Calculator!$F$17,1)-0.5))),1)</f>
        <v>0.150105982905984</v>
      </c>
      <c r="I62" s="73" t="n">
        <f aca="false">IF(Calculator!$E$18="YES",IF(A62&lt;Calculator!$G$18,0,MIN(MIN(MOD(A62/Calculator!$F$18,1),1-MOD(A62/Calculator!$F$18,1)),ABS(MOD(A62/Calculator!$F$18,1)-0.5))),1)</f>
        <v>0.138205128205128</v>
      </c>
      <c r="J62" s="73" t="n">
        <f aca="false">IF(Calculator!$E$19="YES",IF(A62&lt;Calculator!$G$19,0,MIN(MIN(MOD(A62/Calculator!$F$19,1),1-MOD(A62/Calculator!$F$19,1)),ABS(MOD(A62/Calculator!$F$19,1)-0.5))),1)</f>
        <v>0.212752136752132</v>
      </c>
      <c r="K62" s="73" t="n">
        <f aca="false">IF(Calculator!$E$20="YES",IF(A62&lt;Calculator!$G$20,0,MIN(MIN(MOD(A62/Calculator!$F$20,1),1-MOD(A62/Calculator!$F$20,1)),ABS(MOD(A62/Calculator!$F$20,1)-0.5))),1)</f>
        <v>0.108376068376069</v>
      </c>
      <c r="L62" s="73" t="n">
        <f aca="false">IF(Calculator!$E$21="YES",IF(A62&lt;Calculator!$G$21,0,MIN(MIN(MOD(A62/Calculator!$F$21,1),1-MOD(A62/Calculator!$F$21,1)),ABS(MOD(A62/Calculator!$F$21,1)-0.5))),1)</f>
        <v>1</v>
      </c>
      <c r="M62" s="74" t="n">
        <f aca="false">MIN(B62:L62)</f>
        <v>0.108376068376069</v>
      </c>
      <c r="N62" s="75" t="n">
        <f aca="false">SUMPRODUCT(($M$5:$M$115&gt;M62)*1)+SUMPRODUCT(($M$5:$M$115=M62)*(ROW($M$5:$M$115)&lt;ROW(M62)))+1</f>
        <v>6</v>
      </c>
      <c r="O62" s="76" t="str">
        <f aca="false">IF(M62&gt;=0.2,"★★★ EXCELLENT",IF(M62&gt;=0.12,"★★  GOOD",IF(M62&gt;=0.07,"★  FAIR",IF(M62&gt;=0.025,"⚠  MARGINAL","✗  AVOID"))))</f>
        <v>★  FAIR</v>
      </c>
    </row>
    <row r="63" customFormat="false" ht="15" hidden="false" customHeight="true" outlineLevel="0" collapsed="false">
      <c r="A63" s="72" t="n">
        <v>34</v>
      </c>
      <c r="B63" s="73" t="n">
        <f aca="false">IF(Calculator!$E$11="YES",IF(A63&lt;Calculator!$G$11,0,MIN(MIN(MOD(A63/Calculator!$F$11,1),1-MOD(A63/Calculator!$F$11,1)),ABS(MOD(A63/Calculator!$F$11,1)-0.5))),1)</f>
        <v>1</v>
      </c>
      <c r="C63" s="73" t="n">
        <f aca="false">IF(Calculator!$E$12="YES",IF(A63&lt;Calculator!$G$12,0,MIN(MIN(MOD(A63/Calculator!$F$12,1),1-MOD(A63/Calculator!$F$12,1)),ABS(MOD(A63/Calculator!$F$12,1)-0.5))),1)</f>
        <v>1</v>
      </c>
      <c r="D63" s="73" t="n">
        <f aca="false">IF(Calculator!$E$13="YES",IF(A63&lt;Calculator!$G$13,0,MIN(MIN(MOD(A63/Calculator!$F$13,1),1-MOD(A63/Calculator!$F$13,1)),ABS(MOD(A63/Calculator!$F$13,1)-0.5))),1)</f>
        <v>1</v>
      </c>
      <c r="E63" s="73" t="n">
        <f aca="false">IF(Calculator!$E$14="YES",IF(A63&lt;Calculator!$G$14,0,MIN(MIN(MOD(A63/Calculator!$F$14,1),1-MOD(A63/Calculator!$F$14,1)),ABS(MOD(A63/Calculator!$F$14,1)-0.5))),1)</f>
        <v>1</v>
      </c>
      <c r="F63" s="73" t="n">
        <f aca="false">IF(Calculator!$E$15="YES",IF(A63&lt;Calculator!$G$15,0,MIN(MIN(MOD(A63/Calculator!$F$15,1),1-MOD(A63/Calculator!$F$15,1)),ABS(MOD(A63/Calculator!$F$15,1)-0.5))),1)</f>
        <v>0.146153846153846</v>
      </c>
      <c r="G63" s="73" t="n">
        <f aca="false">IF(Calculator!$E$16="YES",IF(A63&lt;Calculator!$G$16,0,MIN(MIN(MOD(A63/Calculator!$F$16,1),1-MOD(A63/Calculator!$F$16,1)),ABS(MOD(A63/Calculator!$F$16,1)-0.5))),1)</f>
        <v>0.204615384615384</v>
      </c>
      <c r="H63" s="73" t="n">
        <f aca="false">IF(Calculator!$E$17="YES",IF(A63&lt;Calculator!$G$17,0,MIN(MIN(MOD(A63/Calculator!$F$17,1),1-MOD(A63/Calculator!$F$17,1)),ABS(MOD(A63/Calculator!$F$17,1)-0.5))),1)</f>
        <v>0.212047863247864</v>
      </c>
      <c r="I63" s="73" t="n">
        <f aca="false">IF(Calculator!$E$18="YES",IF(A63&lt;Calculator!$G$18,0,MIN(MIN(MOD(A63/Calculator!$F$18,1),1-MOD(A63/Calculator!$F$18,1)),ABS(MOD(A63/Calculator!$F$18,1)-0.5))),1)</f>
        <v>0.0656410256410247</v>
      </c>
      <c r="J63" s="73" t="n">
        <f aca="false">IF(Calculator!$E$19="YES",IF(A63&lt;Calculator!$G$19,0,MIN(MIN(MOD(A63/Calculator!$F$19,1),1-MOD(A63/Calculator!$F$19,1)),ABS(MOD(A63/Calculator!$F$19,1)-0.5))),1)</f>
        <v>0.20198290598291</v>
      </c>
      <c r="K63" s="73" t="n">
        <f aca="false">IF(Calculator!$E$20="YES",IF(A63&lt;Calculator!$G$20,0,MIN(MIN(MOD(A63/Calculator!$F$20,1),1-MOD(A63/Calculator!$F$20,1)),ABS(MOD(A63/Calculator!$F$20,1)-0.5))),1)</f>
        <v>0.207008547008548</v>
      </c>
      <c r="L63" s="73" t="n">
        <f aca="false">IF(Calculator!$E$21="YES",IF(A63&lt;Calculator!$G$21,0,MIN(MIN(MOD(A63/Calculator!$F$21,1),1-MOD(A63/Calculator!$F$21,1)),ABS(MOD(A63/Calculator!$F$21,1)-0.5))),1)</f>
        <v>1</v>
      </c>
      <c r="M63" s="74" t="n">
        <f aca="false">MIN(B63:L63)</f>
        <v>0.0656410256410247</v>
      </c>
      <c r="N63" s="75" t="n">
        <f aca="false">SUMPRODUCT(($M$5:$M$115&gt;M63)*1)+SUMPRODUCT(($M$5:$M$115=M63)*(ROW($M$5:$M$115)&lt;ROW(M63)))+1</f>
        <v>19</v>
      </c>
      <c r="O63" s="76" t="str">
        <f aca="false">IF(M63&gt;=0.2,"★★★ EXCELLENT",IF(M63&gt;=0.12,"★★  GOOD",IF(M63&gt;=0.07,"★  FAIR",IF(M63&gt;=0.025,"⚠  MARGINAL","✗  AVOID"))))</f>
        <v>⚠  MARGINAL</v>
      </c>
    </row>
    <row r="64" customFormat="false" ht="15" hidden="false" customHeight="true" outlineLevel="0" collapsed="false">
      <c r="A64" s="72" t="n">
        <v>34.5</v>
      </c>
      <c r="B64" s="73" t="n">
        <f aca="false">IF(Calculator!$E$11="YES",IF(A64&lt;Calculator!$G$11,0,MIN(MIN(MOD(A64/Calculator!$F$11,1),1-MOD(A64/Calculator!$F$11,1)),ABS(MOD(A64/Calculator!$F$11,1)-0.5))),1)</f>
        <v>1</v>
      </c>
      <c r="C64" s="73" t="n">
        <f aca="false">IF(Calculator!$E$12="YES",IF(A64&lt;Calculator!$G$12,0,MIN(MIN(MOD(A64/Calculator!$F$12,1),1-MOD(A64/Calculator!$F$12,1)),ABS(MOD(A64/Calculator!$F$12,1)-0.5))),1)</f>
        <v>1</v>
      </c>
      <c r="D64" s="73" t="n">
        <f aca="false">IF(Calculator!$E$13="YES",IF(A64&lt;Calculator!$G$13,0,MIN(MIN(MOD(A64/Calculator!$F$13,1),1-MOD(A64/Calculator!$F$13,1)),ABS(MOD(A64/Calculator!$F$13,1)-0.5))),1)</f>
        <v>1</v>
      </c>
      <c r="E64" s="73" t="n">
        <f aca="false">IF(Calculator!$E$14="YES",IF(A64&lt;Calculator!$G$14,0,MIN(MIN(MOD(A64/Calculator!$F$14,1),1-MOD(A64/Calculator!$F$14,1)),ABS(MOD(A64/Calculator!$F$14,1)-0.5))),1)</f>
        <v>1</v>
      </c>
      <c r="F64" s="73" t="n">
        <f aca="false">IF(Calculator!$E$15="YES",IF(A64&lt;Calculator!$G$15,0,MIN(MIN(MOD(A64/Calculator!$F$15,1),1-MOD(A64/Calculator!$F$15,1)),ABS(MOD(A64/Calculator!$F$15,1)-0.5))),1)</f>
        <v>0.111538461538462</v>
      </c>
      <c r="G64" s="73" t="n">
        <f aca="false">IF(Calculator!$E$16="YES",IF(A64&lt;Calculator!$G$16,0,MIN(MIN(MOD(A64/Calculator!$F$16,1),1-MOD(A64/Calculator!$F$16,1)),ABS(MOD(A64/Calculator!$F$16,1)-0.5))),1)</f>
        <v>0.156153846153846</v>
      </c>
      <c r="H64" s="73" t="n">
        <f aca="false">IF(Calculator!$E$17="YES",IF(A64&lt;Calculator!$G$17,0,MIN(MIN(MOD(A64/Calculator!$F$17,1),1-MOD(A64/Calculator!$F$17,1)),ABS(MOD(A64/Calculator!$F$17,1)-0.5))),1)</f>
        <v>0.226010256410255</v>
      </c>
      <c r="I64" s="73" t="n">
        <f aca="false">IF(Calculator!$E$18="YES",IF(A64&lt;Calculator!$G$18,0,MIN(MIN(MOD(A64/Calculator!$F$18,1),1-MOD(A64/Calculator!$F$18,1)),ABS(MOD(A64/Calculator!$F$18,1)-0.5))),1)</f>
        <v>0.00692307692307725</v>
      </c>
      <c r="J64" s="73" t="n">
        <f aca="false">IF(Calculator!$E$19="YES",IF(A64&lt;Calculator!$G$19,0,MIN(MIN(MOD(A64/Calculator!$F$19,1),1-MOD(A64/Calculator!$F$19,1)),ABS(MOD(A64/Calculator!$F$19,1)-0.5))),1)</f>
        <v>0.116717948717953</v>
      </c>
      <c r="K64" s="73" t="n">
        <f aca="false">IF(Calculator!$E$20="YES",IF(A64&lt;Calculator!$G$20,0,MIN(MIN(MOD(A64/Calculator!$F$20,1),1-MOD(A64/Calculator!$F$20,1)),ABS(MOD(A64/Calculator!$F$20,1)-0.5))),1)</f>
        <v>0.194358974358973</v>
      </c>
      <c r="L64" s="73" t="n">
        <f aca="false">IF(Calculator!$E$21="YES",IF(A64&lt;Calculator!$G$21,0,MIN(MIN(MOD(A64/Calculator!$F$21,1),1-MOD(A64/Calculator!$F$21,1)),ABS(MOD(A64/Calculator!$F$21,1)-0.5))),1)</f>
        <v>1</v>
      </c>
      <c r="M64" s="74" t="n">
        <f aca="false">MIN(B64:L64)</f>
        <v>0.00692307692307725</v>
      </c>
      <c r="N64" s="75" t="n">
        <f aca="false">SUMPRODUCT(($M$5:$M$115&gt;M64)*1)+SUMPRODUCT(($M$5:$M$115=M64)*(ROW($M$5:$M$115)&lt;ROW(M64)))+1</f>
        <v>95</v>
      </c>
      <c r="O64" s="76" t="str">
        <f aca="false">IF(M64&gt;=0.2,"★★★ EXCELLENT",IF(M64&gt;=0.12,"★★  GOOD",IF(M64&gt;=0.07,"★  FAIR",IF(M64&gt;=0.025,"⚠  MARGINAL","✗  AVOID"))))</f>
        <v>✗  AVOID</v>
      </c>
    </row>
    <row r="65" customFormat="false" ht="15" hidden="false" customHeight="true" outlineLevel="0" collapsed="false">
      <c r="A65" s="72" t="n">
        <v>35</v>
      </c>
      <c r="B65" s="73" t="n">
        <f aca="false">IF(Calculator!$E$11="YES",IF(A65&lt;Calculator!$G$11,0,MIN(MIN(MOD(A65/Calculator!$F$11,1),1-MOD(A65/Calculator!$F$11,1)),ABS(MOD(A65/Calculator!$F$11,1)-0.5))),1)</f>
        <v>1</v>
      </c>
      <c r="C65" s="73" t="n">
        <f aca="false">IF(Calculator!$E$12="YES",IF(A65&lt;Calculator!$G$12,0,MIN(MIN(MOD(A65/Calculator!$F$12,1),1-MOD(A65/Calculator!$F$12,1)),ABS(MOD(A65/Calculator!$F$12,1)-0.5))),1)</f>
        <v>1</v>
      </c>
      <c r="D65" s="73" t="n">
        <f aca="false">IF(Calculator!$E$13="YES",IF(A65&lt;Calculator!$G$13,0,MIN(MIN(MOD(A65/Calculator!$F$13,1),1-MOD(A65/Calculator!$F$13,1)),ABS(MOD(A65/Calculator!$F$13,1)-0.5))),1)</f>
        <v>1</v>
      </c>
      <c r="E65" s="73" t="n">
        <f aca="false">IF(Calculator!$E$14="YES",IF(A65&lt;Calculator!$G$14,0,MIN(MIN(MOD(A65/Calculator!$F$14,1),1-MOD(A65/Calculator!$F$14,1)),ABS(MOD(A65/Calculator!$F$14,1)-0.5))),1)</f>
        <v>1</v>
      </c>
      <c r="F65" s="73" t="n">
        <f aca="false">IF(Calculator!$E$15="YES",IF(A65&lt;Calculator!$G$15,0,MIN(MIN(MOD(A65/Calculator!$F$15,1),1-MOD(A65/Calculator!$F$15,1)),ABS(MOD(A65/Calculator!$F$15,1)-0.5))),1)</f>
        <v>0.0769230769230771</v>
      </c>
      <c r="G65" s="73" t="n">
        <f aca="false">IF(Calculator!$E$16="YES",IF(A65&lt;Calculator!$G$16,0,MIN(MIN(MOD(A65/Calculator!$F$16,1),1-MOD(A65/Calculator!$F$16,1)),ABS(MOD(A65/Calculator!$F$16,1)-0.5))),1)</f>
        <v>0.107692307692307</v>
      </c>
      <c r="H65" s="73" t="n">
        <f aca="false">IF(Calculator!$E$17="YES",IF(A65&lt;Calculator!$G$17,0,MIN(MIN(MOD(A65/Calculator!$F$17,1),1-MOD(A65/Calculator!$F$17,1)),ABS(MOD(A65/Calculator!$F$17,1)-0.5))),1)</f>
        <v>0.164068376068375</v>
      </c>
      <c r="I65" s="73" t="n">
        <f aca="false">IF(Calculator!$E$18="YES",IF(A65&lt;Calculator!$G$18,0,MIN(MIN(MOD(A65/Calculator!$F$18,1),1-MOD(A65/Calculator!$F$18,1)),ABS(MOD(A65/Calculator!$F$18,1)-0.5))),1)</f>
        <v>0.0794871794871801</v>
      </c>
      <c r="J65" s="73" t="n">
        <f aca="false">IF(Calculator!$E$19="YES",IF(A65&lt;Calculator!$G$19,0,MIN(MIN(MOD(A65/Calculator!$F$19,1),1-MOD(A65/Calculator!$F$19,1)),ABS(MOD(A65/Calculator!$F$19,1)-0.5))),1)</f>
        <v>0.031452991452996</v>
      </c>
      <c r="K65" s="73" t="n">
        <f aca="false">IF(Calculator!$E$20="YES",IF(A65&lt;Calculator!$G$20,0,MIN(MIN(MOD(A65/Calculator!$F$20,1),1-MOD(A65/Calculator!$F$20,1)),ABS(MOD(A65/Calculator!$F$20,1)-0.5))),1)</f>
        <v>0.0957264957264945</v>
      </c>
      <c r="L65" s="73" t="n">
        <f aca="false">IF(Calculator!$E$21="YES",IF(A65&lt;Calculator!$G$21,0,MIN(MIN(MOD(A65/Calculator!$F$21,1),1-MOD(A65/Calculator!$F$21,1)),ABS(MOD(A65/Calculator!$F$21,1)-0.5))),1)</f>
        <v>1</v>
      </c>
      <c r="M65" s="74" t="n">
        <f aca="false">MIN(B65:L65)</f>
        <v>0.031452991452996</v>
      </c>
      <c r="N65" s="75" t="n">
        <f aca="false">SUMPRODUCT(($M$5:$M$115&gt;M65)*1)+SUMPRODUCT(($M$5:$M$115=M65)*(ROW($M$5:$M$115)&lt;ROW(M65)))+1</f>
        <v>49</v>
      </c>
      <c r="O65" s="76" t="str">
        <f aca="false">IF(M65&gt;=0.2,"★★★ EXCELLENT",IF(M65&gt;=0.12,"★★  GOOD",IF(M65&gt;=0.07,"★  FAIR",IF(M65&gt;=0.025,"⚠  MARGINAL","✗  AVOID"))))</f>
        <v>⚠  MARGINAL</v>
      </c>
    </row>
    <row r="66" customFormat="false" ht="15" hidden="false" customHeight="true" outlineLevel="0" collapsed="false">
      <c r="A66" s="72" t="n">
        <v>35.5</v>
      </c>
      <c r="B66" s="73" t="n">
        <f aca="false">IF(Calculator!$E$11="YES",IF(A66&lt;Calculator!$G$11,0,MIN(MIN(MOD(A66/Calculator!$F$11,1),1-MOD(A66/Calculator!$F$11,1)),ABS(MOD(A66/Calculator!$F$11,1)-0.5))),1)</f>
        <v>1</v>
      </c>
      <c r="C66" s="73" t="n">
        <f aca="false">IF(Calculator!$E$12="YES",IF(A66&lt;Calculator!$G$12,0,MIN(MIN(MOD(A66/Calculator!$F$12,1),1-MOD(A66/Calculator!$F$12,1)),ABS(MOD(A66/Calculator!$F$12,1)-0.5))),1)</f>
        <v>1</v>
      </c>
      <c r="D66" s="73" t="n">
        <f aca="false">IF(Calculator!$E$13="YES",IF(A66&lt;Calculator!$G$13,0,MIN(MIN(MOD(A66/Calculator!$F$13,1),1-MOD(A66/Calculator!$F$13,1)),ABS(MOD(A66/Calculator!$F$13,1)-0.5))),1)</f>
        <v>1</v>
      </c>
      <c r="E66" s="73" t="n">
        <f aca="false">IF(Calculator!$E$14="YES",IF(A66&lt;Calculator!$G$14,0,MIN(MIN(MOD(A66/Calculator!$F$14,1),1-MOD(A66/Calculator!$F$14,1)),ABS(MOD(A66/Calculator!$F$14,1)-0.5))),1)</f>
        <v>1</v>
      </c>
      <c r="F66" s="73" t="n">
        <f aca="false">IF(Calculator!$E$15="YES",IF(A66&lt;Calculator!$G$15,0,MIN(MIN(MOD(A66/Calculator!$F$15,1),1-MOD(A66/Calculator!$F$15,1)),ABS(MOD(A66/Calculator!$F$15,1)-0.5))),1)</f>
        <v>0.0423076923076922</v>
      </c>
      <c r="G66" s="73" t="n">
        <f aca="false">IF(Calculator!$E$16="YES",IF(A66&lt;Calculator!$G$16,0,MIN(MIN(MOD(A66/Calculator!$F$16,1),1-MOD(A66/Calculator!$F$16,1)),ABS(MOD(A66/Calculator!$F$16,1)-0.5))),1)</f>
        <v>0.0592307692307688</v>
      </c>
      <c r="H66" s="73" t="n">
        <f aca="false">IF(Calculator!$E$17="YES",IF(A66&lt;Calculator!$G$17,0,MIN(MIN(MOD(A66/Calculator!$F$17,1),1-MOD(A66/Calculator!$F$17,1)),ABS(MOD(A66/Calculator!$F$17,1)-0.5))),1)</f>
        <v>0.102126495726495</v>
      </c>
      <c r="I66" s="73" t="n">
        <f aca="false">IF(Calculator!$E$18="YES",IF(A66&lt;Calculator!$G$18,0,MIN(MIN(MOD(A66/Calculator!$F$18,1),1-MOD(A66/Calculator!$F$18,1)),ABS(MOD(A66/Calculator!$F$18,1)-0.5))),1)</f>
        <v>0.152051282051283</v>
      </c>
      <c r="J66" s="73" t="n">
        <f aca="false">IF(Calculator!$E$19="YES",IF(A66&lt;Calculator!$G$19,0,MIN(MIN(MOD(A66/Calculator!$F$19,1),1-MOD(A66/Calculator!$F$19,1)),ABS(MOD(A66/Calculator!$F$19,1)-0.5))),1)</f>
        <v>0.0538119658119616</v>
      </c>
      <c r="K66" s="73" t="n">
        <f aca="false">IF(Calculator!$E$20="YES",IF(A66&lt;Calculator!$G$20,0,MIN(MIN(MOD(A66/Calculator!$F$20,1),1-MOD(A66/Calculator!$F$20,1)),ABS(MOD(A66/Calculator!$F$20,1)-0.5))),1)</f>
        <v>0.00290598290598343</v>
      </c>
      <c r="L66" s="73" t="n">
        <f aca="false">IF(Calculator!$E$21="YES",IF(A66&lt;Calculator!$G$21,0,MIN(MIN(MOD(A66/Calculator!$F$21,1),1-MOD(A66/Calculator!$F$21,1)),ABS(MOD(A66/Calculator!$F$21,1)-0.5))),1)</f>
        <v>1</v>
      </c>
      <c r="M66" s="74" t="n">
        <f aca="false">MIN(B66:L66)</f>
        <v>0.00290598290598343</v>
      </c>
      <c r="N66" s="75" t="n">
        <f aca="false">SUMPRODUCT(($M$5:$M$115&gt;M66)*1)+SUMPRODUCT(($M$5:$M$115=M66)*(ROW($M$5:$M$115)&lt;ROW(M66)))+1</f>
        <v>103</v>
      </c>
      <c r="O66" s="76" t="str">
        <f aca="false">IF(M66&gt;=0.2,"★★★ EXCELLENT",IF(M66&gt;=0.12,"★★  GOOD",IF(M66&gt;=0.07,"★  FAIR",IF(M66&gt;=0.025,"⚠  MARGINAL","✗  AVOID"))))</f>
        <v>✗  AVOID</v>
      </c>
    </row>
    <row r="67" customFormat="false" ht="15" hidden="false" customHeight="true" outlineLevel="0" collapsed="false">
      <c r="A67" s="72" t="n">
        <v>36</v>
      </c>
      <c r="B67" s="73" t="n">
        <f aca="false">IF(Calculator!$E$11="YES",IF(A67&lt;Calculator!$G$11,0,MIN(MIN(MOD(A67/Calculator!$F$11,1),1-MOD(A67/Calculator!$F$11,1)),ABS(MOD(A67/Calculator!$F$11,1)-0.5))),1)</f>
        <v>1</v>
      </c>
      <c r="C67" s="73" t="n">
        <f aca="false">IF(Calculator!$E$12="YES",IF(A67&lt;Calculator!$G$12,0,MIN(MIN(MOD(A67/Calculator!$F$12,1),1-MOD(A67/Calculator!$F$12,1)),ABS(MOD(A67/Calculator!$F$12,1)-0.5))),1)</f>
        <v>1</v>
      </c>
      <c r="D67" s="73" t="n">
        <f aca="false">IF(Calculator!$E$13="YES",IF(A67&lt;Calculator!$G$13,0,MIN(MIN(MOD(A67/Calculator!$F$13,1),1-MOD(A67/Calculator!$F$13,1)),ABS(MOD(A67/Calculator!$F$13,1)-0.5))),1)</f>
        <v>1</v>
      </c>
      <c r="E67" s="73" t="n">
        <f aca="false">IF(Calculator!$E$14="YES",IF(A67&lt;Calculator!$G$14,0,MIN(MIN(MOD(A67/Calculator!$F$14,1),1-MOD(A67/Calculator!$F$14,1)),ABS(MOD(A67/Calculator!$F$14,1)-0.5))),1)</f>
        <v>1</v>
      </c>
      <c r="F67" s="73" t="n">
        <f aca="false">IF(Calculator!$E$15="YES",IF(A67&lt;Calculator!$G$15,0,MIN(MIN(MOD(A67/Calculator!$F$15,1),1-MOD(A67/Calculator!$F$15,1)),ABS(MOD(A67/Calculator!$F$15,1)-0.5))),1)</f>
        <v>0.00769230769230767</v>
      </c>
      <c r="G67" s="73" t="n">
        <f aca="false">IF(Calculator!$E$16="YES",IF(A67&lt;Calculator!$G$16,0,MIN(MIN(MOD(A67/Calculator!$F$16,1),1-MOD(A67/Calculator!$F$16,1)),ABS(MOD(A67/Calculator!$F$16,1)-0.5))),1)</f>
        <v>0.0107692307692302</v>
      </c>
      <c r="H67" s="73" t="n">
        <f aca="false">IF(Calculator!$E$17="YES",IF(A67&lt;Calculator!$G$17,0,MIN(MIN(MOD(A67/Calculator!$F$17,1),1-MOD(A67/Calculator!$F$17,1)),ABS(MOD(A67/Calculator!$F$17,1)-0.5))),1)</f>
        <v>0.0401846153846144</v>
      </c>
      <c r="I67" s="73" t="n">
        <f aca="false">IF(Calculator!$E$18="YES",IF(A67&lt;Calculator!$G$18,0,MIN(MIN(MOD(A67/Calculator!$F$18,1),1-MOD(A67/Calculator!$F$18,1)),ABS(MOD(A67/Calculator!$F$18,1)-0.5))),1)</f>
        <v>0.224615384615385</v>
      </c>
      <c r="J67" s="73" t="n">
        <f aca="false">IF(Calculator!$E$19="YES",IF(A67&lt;Calculator!$G$19,0,MIN(MIN(MOD(A67/Calculator!$F$19,1),1-MOD(A67/Calculator!$F$19,1)),ABS(MOD(A67/Calculator!$F$19,1)-0.5))),1)</f>
        <v>0.139076923076918</v>
      </c>
      <c r="K67" s="73" t="n">
        <f aca="false">IF(Calculator!$E$20="YES",IF(A67&lt;Calculator!$G$20,0,MIN(MIN(MOD(A67/Calculator!$F$20,1),1-MOD(A67/Calculator!$F$20,1)),ABS(MOD(A67/Calculator!$F$20,1)-0.5))),1)</f>
        <v>0.101538461538462</v>
      </c>
      <c r="L67" s="73" t="n">
        <f aca="false">IF(Calculator!$E$21="YES",IF(A67&lt;Calculator!$G$21,0,MIN(MIN(MOD(A67/Calculator!$F$21,1),1-MOD(A67/Calculator!$F$21,1)),ABS(MOD(A67/Calculator!$F$21,1)-0.5))),1)</f>
        <v>1</v>
      </c>
      <c r="M67" s="74" t="n">
        <f aca="false">MIN(B67:L67)</f>
        <v>0.00769230769230767</v>
      </c>
      <c r="N67" s="75" t="n">
        <f aca="false">SUMPRODUCT(($M$5:$M$115&gt;M67)*1)+SUMPRODUCT(($M$5:$M$115=M67)*(ROW($M$5:$M$115)&lt;ROW(M67)))+1</f>
        <v>93</v>
      </c>
      <c r="O67" s="76" t="str">
        <f aca="false">IF(M67&gt;=0.2,"★★★ EXCELLENT",IF(M67&gt;=0.12,"★★  GOOD",IF(M67&gt;=0.07,"★  FAIR",IF(M67&gt;=0.025,"⚠  MARGINAL","✗  AVOID"))))</f>
        <v>✗  AVOID</v>
      </c>
    </row>
    <row r="68" customFormat="false" ht="15" hidden="false" customHeight="true" outlineLevel="0" collapsed="false">
      <c r="A68" s="72" t="n">
        <v>36.5</v>
      </c>
      <c r="B68" s="73" t="n">
        <f aca="false">IF(Calculator!$E$11="YES",IF(A68&lt;Calculator!$G$11,0,MIN(MIN(MOD(A68/Calculator!$F$11,1),1-MOD(A68/Calculator!$F$11,1)),ABS(MOD(A68/Calculator!$F$11,1)-0.5))),1)</f>
        <v>1</v>
      </c>
      <c r="C68" s="73" t="n">
        <f aca="false">IF(Calculator!$E$12="YES",IF(A68&lt;Calculator!$G$12,0,MIN(MIN(MOD(A68/Calculator!$F$12,1),1-MOD(A68/Calculator!$F$12,1)),ABS(MOD(A68/Calculator!$F$12,1)-0.5))),1)</f>
        <v>1</v>
      </c>
      <c r="D68" s="73" t="n">
        <f aca="false">IF(Calculator!$E$13="YES",IF(A68&lt;Calculator!$G$13,0,MIN(MIN(MOD(A68/Calculator!$F$13,1),1-MOD(A68/Calculator!$F$13,1)),ABS(MOD(A68/Calculator!$F$13,1)-0.5))),1)</f>
        <v>1</v>
      </c>
      <c r="E68" s="73" t="n">
        <f aca="false">IF(Calculator!$E$14="YES",IF(A68&lt;Calculator!$G$14,0,MIN(MIN(MOD(A68/Calculator!$F$14,1),1-MOD(A68/Calculator!$F$14,1)),ABS(MOD(A68/Calculator!$F$14,1)-0.5))),1)</f>
        <v>1</v>
      </c>
      <c r="F68" s="73" t="n">
        <f aca="false">IF(Calculator!$E$15="YES",IF(A68&lt;Calculator!$G$15,0,MIN(MIN(MOD(A68/Calculator!$F$15,1),1-MOD(A68/Calculator!$F$15,1)),ABS(MOD(A68/Calculator!$F$15,1)-0.5))),1)</f>
        <v>0.0269230769230768</v>
      </c>
      <c r="G68" s="73" t="n">
        <f aca="false">IF(Calculator!$E$16="YES",IF(A68&lt;Calculator!$G$16,0,MIN(MIN(MOD(A68/Calculator!$F$16,1),1-MOD(A68/Calculator!$F$16,1)),ABS(MOD(A68/Calculator!$F$16,1)-0.5))),1)</f>
        <v>0.0376923076923079</v>
      </c>
      <c r="H68" s="73" t="n">
        <f aca="false">IF(Calculator!$E$17="YES",IF(A68&lt;Calculator!$G$17,0,MIN(MIN(MOD(A68/Calculator!$F$17,1),1-MOD(A68/Calculator!$F$17,1)),ABS(MOD(A68/Calculator!$F$17,1)-0.5))),1)</f>
        <v>0.0217572649572659</v>
      </c>
      <c r="I68" s="73" t="n">
        <f aca="false">IF(Calculator!$E$18="YES",IF(A68&lt;Calculator!$G$18,0,MIN(MIN(MOD(A68/Calculator!$F$18,1),1-MOD(A68/Calculator!$F$18,1)),ABS(MOD(A68/Calculator!$F$18,1)-0.5))),1)</f>
        <v>0.202820512820512</v>
      </c>
      <c r="J68" s="73" t="n">
        <f aca="false">IF(Calculator!$E$19="YES",IF(A68&lt;Calculator!$G$19,0,MIN(MIN(MOD(A68/Calculator!$F$19,1),1-MOD(A68/Calculator!$F$19,1)),ABS(MOD(A68/Calculator!$F$19,1)-0.5))),1)</f>
        <v>0.224341880341876</v>
      </c>
      <c r="K68" s="73" t="n">
        <f aca="false">IF(Calculator!$E$20="YES",IF(A68&lt;Calculator!$G$20,0,MIN(MIN(MOD(A68/Calculator!$F$20,1),1-MOD(A68/Calculator!$F$20,1)),ABS(MOD(A68/Calculator!$F$20,1)-0.5))),1)</f>
        <v>0.200170940170941</v>
      </c>
      <c r="L68" s="73" t="n">
        <f aca="false">IF(Calculator!$E$21="YES",IF(A68&lt;Calculator!$G$21,0,MIN(MIN(MOD(A68/Calculator!$F$21,1),1-MOD(A68/Calculator!$F$21,1)),ABS(MOD(A68/Calculator!$F$21,1)-0.5))),1)</f>
        <v>1</v>
      </c>
      <c r="M68" s="74" t="n">
        <f aca="false">MIN(B68:L68)</f>
        <v>0.0217572649572659</v>
      </c>
      <c r="N68" s="75" t="n">
        <f aca="false">SUMPRODUCT(($M$5:$M$115&gt;M68)*1)+SUMPRODUCT(($M$5:$M$115=M68)*(ROW($M$5:$M$115)&lt;ROW(M68)))+1</f>
        <v>66</v>
      </c>
      <c r="O68" s="76" t="str">
        <f aca="false">IF(M68&gt;=0.2,"★★★ EXCELLENT",IF(M68&gt;=0.12,"★★  GOOD",IF(M68&gt;=0.07,"★  FAIR",IF(M68&gt;=0.025,"⚠  MARGINAL","✗  AVOID"))))</f>
        <v>✗  AVOID</v>
      </c>
    </row>
    <row r="69" customFormat="false" ht="15" hidden="false" customHeight="true" outlineLevel="0" collapsed="false">
      <c r="A69" s="72" t="n">
        <v>37</v>
      </c>
      <c r="B69" s="73" t="n">
        <f aca="false">IF(Calculator!$E$11="YES",IF(A69&lt;Calculator!$G$11,0,MIN(MIN(MOD(A69/Calculator!$F$11,1),1-MOD(A69/Calculator!$F$11,1)),ABS(MOD(A69/Calculator!$F$11,1)-0.5))),1)</f>
        <v>1</v>
      </c>
      <c r="C69" s="73" t="n">
        <f aca="false">IF(Calculator!$E$12="YES",IF(A69&lt;Calculator!$G$12,0,MIN(MIN(MOD(A69/Calculator!$F$12,1),1-MOD(A69/Calculator!$F$12,1)),ABS(MOD(A69/Calculator!$F$12,1)-0.5))),1)</f>
        <v>1</v>
      </c>
      <c r="D69" s="73" t="n">
        <f aca="false">IF(Calculator!$E$13="YES",IF(A69&lt;Calculator!$G$13,0,MIN(MIN(MOD(A69/Calculator!$F$13,1),1-MOD(A69/Calculator!$F$13,1)),ABS(MOD(A69/Calculator!$F$13,1)-0.5))),1)</f>
        <v>1</v>
      </c>
      <c r="E69" s="73" t="n">
        <f aca="false">IF(Calculator!$E$14="YES",IF(A69&lt;Calculator!$G$14,0,MIN(MIN(MOD(A69/Calculator!$F$14,1),1-MOD(A69/Calculator!$F$14,1)),ABS(MOD(A69/Calculator!$F$14,1)-0.5))),1)</f>
        <v>1</v>
      </c>
      <c r="F69" s="73" t="n">
        <f aca="false">IF(Calculator!$E$15="YES",IF(A69&lt;Calculator!$G$15,0,MIN(MIN(MOD(A69/Calculator!$F$15,1),1-MOD(A69/Calculator!$F$15,1)),ABS(MOD(A69/Calculator!$F$15,1)-0.5))),1)</f>
        <v>0.0615384615384613</v>
      </c>
      <c r="G69" s="73" t="n">
        <f aca="false">IF(Calculator!$E$16="YES",IF(A69&lt;Calculator!$G$16,0,MIN(MIN(MOD(A69/Calculator!$F$16,1),1-MOD(A69/Calculator!$F$16,1)),ABS(MOD(A69/Calculator!$F$16,1)-0.5))),1)</f>
        <v>0.0861538461538465</v>
      </c>
      <c r="H69" s="73" t="n">
        <f aca="false">IF(Calculator!$E$17="YES",IF(A69&lt;Calculator!$G$17,0,MIN(MIN(MOD(A69/Calculator!$F$17,1),1-MOD(A69/Calculator!$F$17,1)),ABS(MOD(A69/Calculator!$F$17,1)-0.5))),1)</f>
        <v>0.0836991452991462</v>
      </c>
      <c r="I69" s="73" t="n">
        <f aca="false">IF(Calculator!$E$18="YES",IF(A69&lt;Calculator!$G$18,0,MIN(MIN(MOD(A69/Calculator!$F$18,1),1-MOD(A69/Calculator!$F$18,1)),ABS(MOD(A69/Calculator!$F$18,1)-0.5))),1)</f>
        <v>0.130256410256409</v>
      </c>
      <c r="J69" s="73" t="n">
        <f aca="false">IF(Calculator!$E$19="YES",IF(A69&lt;Calculator!$G$19,0,MIN(MIN(MOD(A69/Calculator!$F$19,1),1-MOD(A69/Calculator!$F$19,1)),ABS(MOD(A69/Calculator!$F$19,1)-0.5))),1)</f>
        <v>0.190393162393167</v>
      </c>
      <c r="K69" s="73" t="n">
        <f aca="false">IF(Calculator!$E$20="YES",IF(A69&lt;Calculator!$G$20,0,MIN(MIN(MOD(A69/Calculator!$F$20,1),1-MOD(A69/Calculator!$F$20,1)),ABS(MOD(A69/Calculator!$F$20,1)-0.5))),1)</f>
        <v>0.20119658119658</v>
      </c>
      <c r="L69" s="73" t="n">
        <f aca="false">IF(Calculator!$E$21="YES",IF(A69&lt;Calculator!$G$21,0,MIN(MIN(MOD(A69/Calculator!$F$21,1),1-MOD(A69/Calculator!$F$21,1)),ABS(MOD(A69/Calculator!$F$21,1)-0.5))),1)</f>
        <v>1</v>
      </c>
      <c r="M69" s="74" t="n">
        <f aca="false">MIN(B69:L69)</f>
        <v>0.0615384615384613</v>
      </c>
      <c r="N69" s="75" t="n">
        <f aca="false">SUMPRODUCT(($M$5:$M$115&gt;M69)*1)+SUMPRODUCT(($M$5:$M$115=M69)*(ROW($M$5:$M$115)&lt;ROW(M69)))+1</f>
        <v>22</v>
      </c>
      <c r="O69" s="76" t="str">
        <f aca="false">IF(M69&gt;=0.2,"★★★ EXCELLENT",IF(M69&gt;=0.12,"★★  GOOD",IF(M69&gt;=0.07,"★  FAIR",IF(M69&gt;=0.025,"⚠  MARGINAL","✗  AVOID"))))</f>
        <v>⚠  MARGINAL</v>
      </c>
    </row>
    <row r="70" customFormat="false" ht="15" hidden="false" customHeight="true" outlineLevel="0" collapsed="false">
      <c r="A70" s="72" t="n">
        <v>37.5</v>
      </c>
      <c r="B70" s="73" t="n">
        <f aca="false">IF(Calculator!$E$11="YES",IF(A70&lt;Calculator!$G$11,0,MIN(MIN(MOD(A70/Calculator!$F$11,1),1-MOD(A70/Calculator!$F$11,1)),ABS(MOD(A70/Calculator!$F$11,1)-0.5))),1)</f>
        <v>1</v>
      </c>
      <c r="C70" s="73" t="n">
        <f aca="false">IF(Calculator!$E$12="YES",IF(A70&lt;Calculator!$G$12,0,MIN(MIN(MOD(A70/Calculator!$F$12,1),1-MOD(A70/Calculator!$F$12,1)),ABS(MOD(A70/Calculator!$F$12,1)-0.5))),1)</f>
        <v>1</v>
      </c>
      <c r="D70" s="73" t="n">
        <f aca="false">IF(Calculator!$E$13="YES",IF(A70&lt;Calculator!$G$13,0,MIN(MIN(MOD(A70/Calculator!$F$13,1),1-MOD(A70/Calculator!$F$13,1)),ABS(MOD(A70/Calculator!$F$13,1)-0.5))),1)</f>
        <v>1</v>
      </c>
      <c r="E70" s="73" t="n">
        <f aca="false">IF(Calculator!$E$14="YES",IF(A70&lt;Calculator!$G$14,0,MIN(MIN(MOD(A70/Calculator!$F$14,1),1-MOD(A70/Calculator!$F$14,1)),ABS(MOD(A70/Calculator!$F$14,1)-0.5))),1)</f>
        <v>1</v>
      </c>
      <c r="F70" s="73" t="n">
        <f aca="false">IF(Calculator!$E$15="YES",IF(A70&lt;Calculator!$G$15,0,MIN(MIN(MOD(A70/Calculator!$F$15,1),1-MOD(A70/Calculator!$F$15,1)),ABS(MOD(A70/Calculator!$F$15,1)-0.5))),1)</f>
        <v>0.0961538461538463</v>
      </c>
      <c r="G70" s="73" t="n">
        <f aca="false">IF(Calculator!$E$16="YES",IF(A70&lt;Calculator!$G$16,0,MIN(MIN(MOD(A70/Calculator!$F$16,1),1-MOD(A70/Calculator!$F$16,1)),ABS(MOD(A70/Calculator!$F$16,1)-0.5))),1)</f>
        <v>0.134615384615385</v>
      </c>
      <c r="H70" s="73" t="n">
        <f aca="false">IF(Calculator!$E$17="YES",IF(A70&lt;Calculator!$G$17,0,MIN(MIN(MOD(A70/Calculator!$F$17,1),1-MOD(A70/Calculator!$F$17,1)),ABS(MOD(A70/Calculator!$F$17,1)-0.5))),1)</f>
        <v>0.145641025641027</v>
      </c>
      <c r="I70" s="73" t="n">
        <f aca="false">IF(Calculator!$E$18="YES",IF(A70&lt;Calculator!$G$18,0,MIN(MIN(MOD(A70/Calculator!$F$18,1),1-MOD(A70/Calculator!$F$18,1)),ABS(MOD(A70/Calculator!$F$18,1)-0.5))),1)</f>
        <v>0.0576923076923075</v>
      </c>
      <c r="J70" s="73" t="n">
        <f aca="false">IF(Calculator!$E$19="YES",IF(A70&lt;Calculator!$G$19,0,MIN(MIN(MOD(A70/Calculator!$F$19,1),1-MOD(A70/Calculator!$F$19,1)),ABS(MOD(A70/Calculator!$F$19,1)-0.5))),1)</f>
        <v>0.10512820512821</v>
      </c>
      <c r="K70" s="73" t="n">
        <f aca="false">IF(Calculator!$E$20="YES",IF(A70&lt;Calculator!$G$20,0,MIN(MIN(MOD(A70/Calculator!$F$20,1),1-MOD(A70/Calculator!$F$20,1)),ABS(MOD(A70/Calculator!$F$20,1)-0.5))),1)</f>
        <v>0.102564102564101</v>
      </c>
      <c r="L70" s="73" t="n">
        <f aca="false">IF(Calculator!$E$21="YES",IF(A70&lt;Calculator!$G$21,0,MIN(MIN(MOD(A70/Calculator!$F$21,1),1-MOD(A70/Calculator!$F$21,1)),ABS(MOD(A70/Calculator!$F$21,1)-0.5))),1)</f>
        <v>1</v>
      </c>
      <c r="M70" s="74" t="n">
        <f aca="false">MIN(B70:L70)</f>
        <v>0.0576923076923075</v>
      </c>
      <c r="N70" s="75" t="n">
        <f aca="false">SUMPRODUCT(($M$5:$M$115&gt;M70)*1)+SUMPRODUCT(($M$5:$M$115=M70)*(ROW($M$5:$M$115)&lt;ROW(M70)))+1</f>
        <v>27</v>
      </c>
      <c r="O70" s="76" t="str">
        <f aca="false">IF(M70&gt;=0.2,"★★★ EXCELLENT",IF(M70&gt;=0.12,"★★  GOOD",IF(M70&gt;=0.07,"★  FAIR",IF(M70&gt;=0.025,"⚠  MARGINAL","✗  AVOID"))))</f>
        <v>⚠  MARGINAL</v>
      </c>
    </row>
    <row r="71" customFormat="false" ht="15" hidden="false" customHeight="true" outlineLevel="0" collapsed="false">
      <c r="A71" s="72" t="n">
        <v>38</v>
      </c>
      <c r="B71" s="73" t="n">
        <f aca="false">IF(Calculator!$E$11="YES",IF(A71&lt;Calculator!$G$11,0,MIN(MIN(MOD(A71/Calculator!$F$11,1),1-MOD(A71/Calculator!$F$11,1)),ABS(MOD(A71/Calculator!$F$11,1)-0.5))),1)</f>
        <v>1</v>
      </c>
      <c r="C71" s="73" t="n">
        <f aca="false">IF(Calculator!$E$12="YES",IF(A71&lt;Calculator!$G$12,0,MIN(MIN(MOD(A71/Calculator!$F$12,1),1-MOD(A71/Calculator!$F$12,1)),ABS(MOD(A71/Calculator!$F$12,1)-0.5))),1)</f>
        <v>1</v>
      </c>
      <c r="D71" s="73" t="n">
        <f aca="false">IF(Calculator!$E$13="YES",IF(A71&lt;Calculator!$G$13,0,MIN(MIN(MOD(A71/Calculator!$F$13,1),1-MOD(A71/Calculator!$F$13,1)),ABS(MOD(A71/Calculator!$F$13,1)-0.5))),1)</f>
        <v>1</v>
      </c>
      <c r="E71" s="73" t="n">
        <f aca="false">IF(Calculator!$E$14="YES",IF(A71&lt;Calculator!$G$14,0,MIN(MIN(MOD(A71/Calculator!$F$14,1),1-MOD(A71/Calculator!$F$14,1)),ABS(MOD(A71/Calculator!$F$14,1)-0.5))),1)</f>
        <v>1</v>
      </c>
      <c r="F71" s="73" t="n">
        <f aca="false">IF(Calculator!$E$15="YES",IF(A71&lt;Calculator!$G$15,0,MIN(MIN(MOD(A71/Calculator!$F$15,1),1-MOD(A71/Calculator!$F$15,1)),ABS(MOD(A71/Calculator!$F$15,1)-0.5))),1)</f>
        <v>0.130769230769231</v>
      </c>
      <c r="G71" s="73" t="n">
        <f aca="false">IF(Calculator!$E$16="YES",IF(A71&lt;Calculator!$G$16,0,MIN(MIN(MOD(A71/Calculator!$F$16,1),1-MOD(A71/Calculator!$F$16,1)),ABS(MOD(A71/Calculator!$F$16,1)-0.5))),1)</f>
        <v>0.183076923076924</v>
      </c>
      <c r="H71" s="73" t="n">
        <f aca="false">IF(Calculator!$E$17="YES",IF(A71&lt;Calculator!$G$17,0,MIN(MIN(MOD(A71/Calculator!$F$17,1),1-MOD(A71/Calculator!$F$17,1)),ABS(MOD(A71/Calculator!$F$17,1)-0.5))),1)</f>
        <v>0.207582905982907</v>
      </c>
      <c r="I71" s="73" t="n">
        <f aca="false">IF(Calculator!$E$18="YES",IF(A71&lt;Calculator!$G$18,0,MIN(MIN(MOD(A71/Calculator!$F$18,1),1-MOD(A71/Calculator!$F$18,1)),ABS(MOD(A71/Calculator!$F$18,1)-0.5))),1)</f>
        <v>0.0148717948717954</v>
      </c>
      <c r="J71" s="73" t="n">
        <f aca="false">IF(Calculator!$E$19="YES",IF(A71&lt;Calculator!$G$19,0,MIN(MIN(MOD(A71/Calculator!$F$19,1),1-MOD(A71/Calculator!$F$19,1)),ABS(MOD(A71/Calculator!$F$19,1)-0.5))),1)</f>
        <v>0.0198632478632526</v>
      </c>
      <c r="K71" s="73" t="n">
        <f aca="false">IF(Calculator!$E$20="YES",IF(A71&lt;Calculator!$G$20,0,MIN(MIN(MOD(A71/Calculator!$F$20,1),1-MOD(A71/Calculator!$F$20,1)),ABS(MOD(A71/Calculator!$F$20,1)-0.5))),1)</f>
        <v>0.00393162393162339</v>
      </c>
      <c r="L71" s="73" t="n">
        <f aca="false">IF(Calculator!$E$21="YES",IF(A71&lt;Calculator!$G$21,0,MIN(MIN(MOD(A71/Calculator!$F$21,1),1-MOD(A71/Calculator!$F$21,1)),ABS(MOD(A71/Calculator!$F$21,1)-0.5))),1)</f>
        <v>1</v>
      </c>
      <c r="M71" s="74" t="n">
        <f aca="false">MIN(B71:L71)</f>
        <v>0.00393162393162339</v>
      </c>
      <c r="N71" s="75" t="n">
        <f aca="false">SUMPRODUCT(($M$5:$M$115&gt;M71)*1)+SUMPRODUCT(($M$5:$M$115=M71)*(ROW($M$5:$M$115)&lt;ROW(M71)))+1</f>
        <v>98</v>
      </c>
      <c r="O71" s="76" t="str">
        <f aca="false">IF(M71&gt;=0.2,"★★★ EXCELLENT",IF(M71&gt;=0.12,"★★  GOOD",IF(M71&gt;=0.07,"★  FAIR",IF(M71&gt;=0.025,"⚠  MARGINAL","✗  AVOID"))))</f>
        <v>✗  AVOID</v>
      </c>
    </row>
    <row r="72" customFormat="false" ht="15" hidden="false" customHeight="true" outlineLevel="0" collapsed="false">
      <c r="A72" s="72" t="n">
        <v>38.5</v>
      </c>
      <c r="B72" s="73" t="n">
        <f aca="false">IF(Calculator!$E$11="YES",IF(A72&lt;Calculator!$G$11,0,MIN(MIN(MOD(A72/Calculator!$F$11,1),1-MOD(A72/Calculator!$F$11,1)),ABS(MOD(A72/Calculator!$F$11,1)-0.5))),1)</f>
        <v>1</v>
      </c>
      <c r="C72" s="73" t="n">
        <f aca="false">IF(Calculator!$E$12="YES",IF(A72&lt;Calculator!$G$12,0,MIN(MIN(MOD(A72/Calculator!$F$12,1),1-MOD(A72/Calculator!$F$12,1)),ABS(MOD(A72/Calculator!$F$12,1)-0.5))),1)</f>
        <v>1</v>
      </c>
      <c r="D72" s="73" t="n">
        <f aca="false">IF(Calculator!$E$13="YES",IF(A72&lt;Calculator!$G$13,0,MIN(MIN(MOD(A72/Calculator!$F$13,1),1-MOD(A72/Calculator!$F$13,1)),ABS(MOD(A72/Calculator!$F$13,1)-0.5))),1)</f>
        <v>1</v>
      </c>
      <c r="E72" s="73" t="n">
        <f aca="false">IF(Calculator!$E$14="YES",IF(A72&lt;Calculator!$G$14,0,MIN(MIN(MOD(A72/Calculator!$F$14,1),1-MOD(A72/Calculator!$F$14,1)),ABS(MOD(A72/Calculator!$F$14,1)-0.5))),1)</f>
        <v>1</v>
      </c>
      <c r="F72" s="73" t="n">
        <f aca="false">IF(Calculator!$E$15="YES",IF(A72&lt;Calculator!$G$15,0,MIN(MIN(MOD(A72/Calculator!$F$15,1),1-MOD(A72/Calculator!$F$15,1)),ABS(MOD(A72/Calculator!$F$15,1)-0.5))),1)</f>
        <v>0.165384615384615</v>
      </c>
      <c r="G72" s="73" t="n">
        <f aca="false">IF(Calculator!$E$16="YES",IF(A72&lt;Calculator!$G$16,0,MIN(MIN(MOD(A72/Calculator!$F$16,1),1-MOD(A72/Calculator!$F$16,1)),ABS(MOD(A72/Calculator!$F$16,1)-0.5))),1)</f>
        <v>0.231538461538462</v>
      </c>
      <c r="H72" s="73" t="n">
        <f aca="false">IF(Calculator!$E$17="YES",IF(A72&lt;Calculator!$G$17,0,MIN(MIN(MOD(A72/Calculator!$F$17,1),1-MOD(A72/Calculator!$F$17,1)),ABS(MOD(A72/Calculator!$F$17,1)-0.5))),1)</f>
        <v>0.230475213675213</v>
      </c>
      <c r="I72" s="73" t="n">
        <f aca="false">IF(Calculator!$E$18="YES",IF(A72&lt;Calculator!$G$18,0,MIN(MIN(MOD(A72/Calculator!$F$18,1),1-MOD(A72/Calculator!$F$18,1)),ABS(MOD(A72/Calculator!$F$18,1)-0.5))),1)</f>
        <v>0.0874358974358982</v>
      </c>
      <c r="J72" s="73" t="n">
        <f aca="false">IF(Calculator!$E$19="YES",IF(A72&lt;Calculator!$G$19,0,MIN(MIN(MOD(A72/Calculator!$F$19,1),1-MOD(A72/Calculator!$F$19,1)),ABS(MOD(A72/Calculator!$F$19,1)-0.5))),1)</f>
        <v>0.0654017094017041</v>
      </c>
      <c r="K72" s="73" t="n">
        <f aca="false">IF(Calculator!$E$20="YES",IF(A72&lt;Calculator!$G$20,0,MIN(MIN(MOD(A72/Calculator!$F$20,1),1-MOD(A72/Calculator!$F$20,1)),ABS(MOD(A72/Calculator!$F$20,1)-0.5))),1)</f>
        <v>0.0947008547008554</v>
      </c>
      <c r="L72" s="73" t="n">
        <f aca="false">IF(Calculator!$E$21="YES",IF(A72&lt;Calculator!$G$21,0,MIN(MIN(MOD(A72/Calculator!$F$21,1),1-MOD(A72/Calculator!$F$21,1)),ABS(MOD(A72/Calculator!$F$21,1)-0.5))),1)</f>
        <v>1</v>
      </c>
      <c r="M72" s="74" t="n">
        <f aca="false">MIN(B72:L72)</f>
        <v>0.0654017094017041</v>
      </c>
      <c r="N72" s="75" t="n">
        <f aca="false">SUMPRODUCT(($M$5:$M$115&gt;M72)*1)+SUMPRODUCT(($M$5:$M$115=M72)*(ROW($M$5:$M$115)&lt;ROW(M72)))+1</f>
        <v>20</v>
      </c>
      <c r="O72" s="76" t="str">
        <f aca="false">IF(M72&gt;=0.2,"★★★ EXCELLENT",IF(M72&gt;=0.12,"★★  GOOD",IF(M72&gt;=0.07,"★  FAIR",IF(M72&gt;=0.025,"⚠  MARGINAL","✗  AVOID"))))</f>
        <v>⚠  MARGINAL</v>
      </c>
    </row>
    <row r="73" customFormat="false" ht="15" hidden="false" customHeight="true" outlineLevel="0" collapsed="false">
      <c r="A73" s="72" t="n">
        <v>39</v>
      </c>
      <c r="B73" s="73" t="n">
        <f aca="false">IF(Calculator!$E$11="YES",IF(A73&lt;Calculator!$G$11,0,MIN(MIN(MOD(A73/Calculator!$F$11,1),1-MOD(A73/Calculator!$F$11,1)),ABS(MOD(A73/Calculator!$F$11,1)-0.5))),1)</f>
        <v>1</v>
      </c>
      <c r="C73" s="73" t="n">
        <f aca="false">IF(Calculator!$E$12="YES",IF(A73&lt;Calculator!$G$12,0,MIN(MIN(MOD(A73/Calculator!$F$12,1),1-MOD(A73/Calculator!$F$12,1)),ABS(MOD(A73/Calculator!$F$12,1)-0.5))),1)</f>
        <v>1</v>
      </c>
      <c r="D73" s="73" t="n">
        <f aca="false">IF(Calculator!$E$13="YES",IF(A73&lt;Calculator!$G$13,0,MIN(MIN(MOD(A73/Calculator!$F$13,1),1-MOD(A73/Calculator!$F$13,1)),ABS(MOD(A73/Calculator!$F$13,1)-0.5))),1)</f>
        <v>1</v>
      </c>
      <c r="E73" s="73" t="n">
        <f aca="false">IF(Calculator!$E$14="YES",IF(A73&lt;Calculator!$G$14,0,MIN(MIN(MOD(A73/Calculator!$F$14,1),1-MOD(A73/Calculator!$F$14,1)),ABS(MOD(A73/Calculator!$F$14,1)-0.5))),1)</f>
        <v>1</v>
      </c>
      <c r="F73" s="73" t="n">
        <f aca="false">IF(Calculator!$E$15="YES",IF(A73&lt;Calculator!$G$15,0,MIN(MIN(MOD(A73/Calculator!$F$15,1),1-MOD(A73/Calculator!$F$15,1)),ABS(MOD(A73/Calculator!$F$15,1)-0.5))),1)</f>
        <v>0.2</v>
      </c>
      <c r="G73" s="73" t="n">
        <f aca="false">IF(Calculator!$E$16="YES",IF(A73&lt;Calculator!$G$16,0,MIN(MIN(MOD(A73/Calculator!$F$16,1),1-MOD(A73/Calculator!$F$16,1)),ABS(MOD(A73/Calculator!$F$16,1)-0.5))),1)</f>
        <v>0.22</v>
      </c>
      <c r="H73" s="73" t="n">
        <f aca="false">IF(Calculator!$E$17="YES",IF(A73&lt;Calculator!$G$17,0,MIN(MIN(MOD(A73/Calculator!$F$17,1),1-MOD(A73/Calculator!$F$17,1)),ABS(MOD(A73/Calculator!$F$17,1)-0.5))),1)</f>
        <v>0.168533333333333</v>
      </c>
      <c r="I73" s="73" t="n">
        <f aca="false">IF(Calculator!$E$18="YES",IF(A73&lt;Calculator!$G$18,0,MIN(MIN(MOD(A73/Calculator!$F$18,1),1-MOD(A73/Calculator!$F$18,1)),ABS(MOD(A73/Calculator!$F$18,1)-0.5))),1)</f>
        <v>0.160000000000001</v>
      </c>
      <c r="J73" s="73" t="n">
        <f aca="false">IF(Calculator!$E$19="YES",IF(A73&lt;Calculator!$G$19,0,MIN(MIN(MOD(A73/Calculator!$F$19,1),1-MOD(A73/Calculator!$F$19,1)),ABS(MOD(A73/Calculator!$F$19,1)-0.5))),1)</f>
        <v>0.150666666666662</v>
      </c>
      <c r="K73" s="73" t="n">
        <f aca="false">IF(Calculator!$E$20="YES",IF(A73&lt;Calculator!$G$20,0,MIN(MIN(MOD(A73/Calculator!$F$20,1),1-MOD(A73/Calculator!$F$20,1)),ABS(MOD(A73/Calculator!$F$20,1)-0.5))),1)</f>
        <v>0.193333333333334</v>
      </c>
      <c r="L73" s="73" t="n">
        <f aca="false">IF(Calculator!$E$21="YES",IF(A73&lt;Calculator!$G$21,0,MIN(MIN(MOD(A73/Calculator!$F$21,1),1-MOD(A73/Calculator!$F$21,1)),ABS(MOD(A73/Calculator!$F$21,1)-0.5))),1)</f>
        <v>1</v>
      </c>
      <c r="M73" s="74" t="n">
        <f aca="false">MIN(B73:L73)</f>
        <v>0.150666666666662</v>
      </c>
      <c r="N73" s="75" t="n">
        <f aca="false">SUMPRODUCT(($M$5:$M$115&gt;M73)*1)+SUMPRODUCT(($M$5:$M$115=M73)*(ROW($M$5:$M$115)&lt;ROW(M73)))+1</f>
        <v>2</v>
      </c>
      <c r="O73" s="76" t="str">
        <f aca="false">IF(M73&gt;=0.2,"★★★ EXCELLENT",IF(M73&gt;=0.12,"★★  GOOD",IF(M73&gt;=0.07,"★  FAIR",IF(M73&gt;=0.025,"⚠  MARGINAL","✗  AVOID"))))</f>
        <v>★★  GOOD</v>
      </c>
    </row>
    <row r="74" customFormat="false" ht="15" hidden="false" customHeight="true" outlineLevel="0" collapsed="false">
      <c r="A74" s="72" t="n">
        <v>39.5</v>
      </c>
      <c r="B74" s="73" t="n">
        <f aca="false">IF(Calculator!$E$11="YES",IF(A74&lt;Calculator!$G$11,0,MIN(MIN(MOD(A74/Calculator!$F$11,1),1-MOD(A74/Calculator!$F$11,1)),ABS(MOD(A74/Calculator!$F$11,1)-0.5))),1)</f>
        <v>1</v>
      </c>
      <c r="C74" s="73" t="n">
        <f aca="false">IF(Calculator!$E$12="YES",IF(A74&lt;Calculator!$G$12,0,MIN(MIN(MOD(A74/Calculator!$F$12,1),1-MOD(A74/Calculator!$F$12,1)),ABS(MOD(A74/Calculator!$F$12,1)-0.5))),1)</f>
        <v>1</v>
      </c>
      <c r="D74" s="73" t="n">
        <f aca="false">IF(Calculator!$E$13="YES",IF(A74&lt;Calculator!$G$13,0,MIN(MIN(MOD(A74/Calculator!$F$13,1),1-MOD(A74/Calculator!$F$13,1)),ABS(MOD(A74/Calculator!$F$13,1)-0.5))),1)</f>
        <v>1</v>
      </c>
      <c r="E74" s="73" t="n">
        <f aca="false">IF(Calculator!$E$14="YES",IF(A74&lt;Calculator!$G$14,0,MIN(MIN(MOD(A74/Calculator!$F$14,1),1-MOD(A74/Calculator!$F$14,1)),ABS(MOD(A74/Calculator!$F$14,1)-0.5))),1)</f>
        <v>1</v>
      </c>
      <c r="F74" s="73" t="n">
        <f aca="false">IF(Calculator!$E$15="YES",IF(A74&lt;Calculator!$G$15,0,MIN(MIN(MOD(A74/Calculator!$F$15,1),1-MOD(A74/Calculator!$F$15,1)),ABS(MOD(A74/Calculator!$F$15,1)-0.5))),1)</f>
        <v>0.234615384615385</v>
      </c>
      <c r="G74" s="73" t="n">
        <f aca="false">IF(Calculator!$E$16="YES",IF(A74&lt;Calculator!$G$16,0,MIN(MIN(MOD(A74/Calculator!$F$16,1),1-MOD(A74/Calculator!$F$16,1)),ABS(MOD(A74/Calculator!$F$16,1)-0.5))),1)</f>
        <v>0.171538461538461</v>
      </c>
      <c r="H74" s="73" t="n">
        <f aca="false">IF(Calculator!$E$17="YES",IF(A74&lt;Calculator!$G$17,0,MIN(MIN(MOD(A74/Calculator!$F$17,1),1-MOD(A74/Calculator!$F$17,1)),ABS(MOD(A74/Calculator!$F$17,1)-0.5))),1)</f>
        <v>0.106591452991452</v>
      </c>
      <c r="I74" s="73" t="n">
        <f aca="false">IF(Calculator!$E$18="YES",IF(A74&lt;Calculator!$G$18,0,MIN(MIN(MOD(A74/Calculator!$F$18,1),1-MOD(A74/Calculator!$F$18,1)),ABS(MOD(A74/Calculator!$F$18,1)-0.5))),1)</f>
        <v>0.232564102564103</v>
      </c>
      <c r="J74" s="73" t="n">
        <f aca="false">IF(Calculator!$E$19="YES",IF(A74&lt;Calculator!$G$19,0,MIN(MIN(MOD(A74/Calculator!$F$19,1),1-MOD(A74/Calculator!$F$19,1)),ABS(MOD(A74/Calculator!$F$19,1)-0.5))),1)</f>
        <v>0.235931623931619</v>
      </c>
      <c r="K74" s="73" t="n">
        <f aca="false">IF(Calculator!$E$20="YES",IF(A74&lt;Calculator!$G$20,0,MIN(MIN(MOD(A74/Calculator!$F$20,1),1-MOD(A74/Calculator!$F$20,1)),ABS(MOD(A74/Calculator!$F$20,1)-0.5))),1)</f>
        <v>0.208034188034187</v>
      </c>
      <c r="L74" s="73" t="n">
        <f aca="false">IF(Calculator!$E$21="YES",IF(A74&lt;Calculator!$G$21,0,MIN(MIN(MOD(A74/Calculator!$F$21,1),1-MOD(A74/Calculator!$F$21,1)),ABS(MOD(A74/Calculator!$F$21,1)-0.5))),1)</f>
        <v>1</v>
      </c>
      <c r="M74" s="74" t="n">
        <f aca="false">MIN(B74:L74)</f>
        <v>0.106591452991452</v>
      </c>
      <c r="N74" s="75" t="n">
        <f aca="false">SUMPRODUCT(($M$5:$M$115&gt;M74)*1)+SUMPRODUCT(($M$5:$M$115=M74)*(ROW($M$5:$M$115)&lt;ROW(M74)))+1</f>
        <v>7</v>
      </c>
      <c r="O74" s="76" t="str">
        <f aca="false">IF(M74&gt;=0.2,"★★★ EXCELLENT",IF(M74&gt;=0.12,"★★  GOOD",IF(M74&gt;=0.07,"★  FAIR",IF(M74&gt;=0.025,"⚠  MARGINAL","✗  AVOID"))))</f>
        <v>★  FAIR</v>
      </c>
    </row>
    <row r="75" customFormat="false" ht="15" hidden="false" customHeight="true" outlineLevel="0" collapsed="false">
      <c r="A75" s="72" t="n">
        <v>40</v>
      </c>
      <c r="B75" s="73" t="n">
        <f aca="false">IF(Calculator!$E$11="YES",IF(A75&lt;Calculator!$G$11,0,MIN(MIN(MOD(A75/Calculator!$F$11,1),1-MOD(A75/Calculator!$F$11,1)),ABS(MOD(A75/Calculator!$F$11,1)-0.5))),1)</f>
        <v>1</v>
      </c>
      <c r="C75" s="73" t="n">
        <f aca="false">IF(Calculator!$E$12="YES",IF(A75&lt;Calculator!$G$12,0,MIN(MIN(MOD(A75/Calculator!$F$12,1),1-MOD(A75/Calculator!$F$12,1)),ABS(MOD(A75/Calculator!$F$12,1)-0.5))),1)</f>
        <v>1</v>
      </c>
      <c r="D75" s="73" t="n">
        <f aca="false">IF(Calculator!$E$13="YES",IF(A75&lt;Calculator!$G$13,0,MIN(MIN(MOD(A75/Calculator!$F$13,1),1-MOD(A75/Calculator!$F$13,1)),ABS(MOD(A75/Calculator!$F$13,1)-0.5))),1)</f>
        <v>1</v>
      </c>
      <c r="E75" s="73" t="n">
        <f aca="false">IF(Calculator!$E$14="YES",IF(A75&lt;Calculator!$G$14,0,MIN(MIN(MOD(A75/Calculator!$F$14,1),1-MOD(A75/Calculator!$F$14,1)),ABS(MOD(A75/Calculator!$F$14,1)-0.5))),1)</f>
        <v>1</v>
      </c>
      <c r="F75" s="73" t="n">
        <f aca="false">IF(Calculator!$E$15="YES",IF(A75&lt;Calculator!$G$15,0,MIN(MIN(MOD(A75/Calculator!$F$15,1),1-MOD(A75/Calculator!$F$15,1)),ABS(MOD(A75/Calculator!$F$15,1)-0.5))),1)</f>
        <v>0.230769230769231</v>
      </c>
      <c r="G75" s="73" t="n">
        <f aca="false">IF(Calculator!$E$16="YES",IF(A75&lt;Calculator!$G$16,0,MIN(MIN(MOD(A75/Calculator!$F$16,1),1-MOD(A75/Calculator!$F$16,1)),ABS(MOD(A75/Calculator!$F$16,1)-0.5))),1)</f>
        <v>0.123076923076923</v>
      </c>
      <c r="H75" s="73" t="n">
        <f aca="false">IF(Calculator!$E$17="YES",IF(A75&lt;Calculator!$G$17,0,MIN(MIN(MOD(A75/Calculator!$F$17,1),1-MOD(A75/Calculator!$F$17,1)),ABS(MOD(A75/Calculator!$F$17,1)-0.5))),1)</f>
        <v>0.0446495726495719</v>
      </c>
      <c r="I75" s="73" t="n">
        <f aca="false">IF(Calculator!$E$18="YES",IF(A75&lt;Calculator!$G$18,0,MIN(MIN(MOD(A75/Calculator!$F$18,1),1-MOD(A75/Calculator!$F$18,1)),ABS(MOD(A75/Calculator!$F$18,1)-0.5))),1)</f>
        <v>0.194871794871794</v>
      </c>
      <c r="J75" s="73" t="n">
        <f aca="false">IF(Calculator!$E$19="YES",IF(A75&lt;Calculator!$G$19,0,MIN(MIN(MOD(A75/Calculator!$F$19,1),1-MOD(A75/Calculator!$F$19,1)),ABS(MOD(A75/Calculator!$F$19,1)-0.5))),1)</f>
        <v>0.178803418803424</v>
      </c>
      <c r="K75" s="73" t="n">
        <f aca="false">IF(Calculator!$E$20="YES",IF(A75&lt;Calculator!$G$20,0,MIN(MIN(MOD(A75/Calculator!$F$20,1),1-MOD(A75/Calculator!$F$20,1)),ABS(MOD(A75/Calculator!$F$20,1)-0.5))),1)</f>
        <v>0.109401709401708</v>
      </c>
      <c r="L75" s="73" t="n">
        <f aca="false">IF(Calculator!$E$21="YES",IF(A75&lt;Calculator!$G$21,0,MIN(MIN(MOD(A75/Calculator!$F$21,1),1-MOD(A75/Calculator!$F$21,1)),ABS(MOD(A75/Calculator!$F$21,1)-0.5))),1)</f>
        <v>1</v>
      </c>
      <c r="M75" s="74" t="n">
        <f aca="false">MIN(B75:L75)</f>
        <v>0.0446495726495719</v>
      </c>
      <c r="N75" s="75" t="n">
        <f aca="false">SUMPRODUCT(($M$5:$M$115&gt;M75)*1)+SUMPRODUCT(($M$5:$M$115=M75)*(ROW($M$5:$M$115)&lt;ROW(M75)))+1</f>
        <v>33</v>
      </c>
      <c r="O75" s="76" t="str">
        <f aca="false">IF(M75&gt;=0.2,"★★★ EXCELLENT",IF(M75&gt;=0.12,"★★  GOOD",IF(M75&gt;=0.07,"★  FAIR",IF(M75&gt;=0.025,"⚠  MARGINAL","✗  AVOID"))))</f>
        <v>⚠  MARGINAL</v>
      </c>
    </row>
    <row r="76" customFormat="false" ht="15" hidden="false" customHeight="true" outlineLevel="0" collapsed="false">
      <c r="A76" s="72" t="n">
        <v>40.5</v>
      </c>
      <c r="B76" s="73" t="n">
        <f aca="false">IF(Calculator!$E$11="YES",IF(A76&lt;Calculator!$G$11,0,MIN(MIN(MOD(A76/Calculator!$F$11,1),1-MOD(A76/Calculator!$F$11,1)),ABS(MOD(A76/Calculator!$F$11,1)-0.5))),1)</f>
        <v>1</v>
      </c>
      <c r="C76" s="73" t="n">
        <f aca="false">IF(Calculator!$E$12="YES",IF(A76&lt;Calculator!$G$12,0,MIN(MIN(MOD(A76/Calculator!$F$12,1),1-MOD(A76/Calculator!$F$12,1)),ABS(MOD(A76/Calculator!$F$12,1)-0.5))),1)</f>
        <v>1</v>
      </c>
      <c r="D76" s="73" t="n">
        <f aca="false">IF(Calculator!$E$13="YES",IF(A76&lt;Calculator!$G$13,0,MIN(MIN(MOD(A76/Calculator!$F$13,1),1-MOD(A76/Calculator!$F$13,1)),ABS(MOD(A76/Calculator!$F$13,1)-0.5))),1)</f>
        <v>1</v>
      </c>
      <c r="E76" s="73" t="n">
        <f aca="false">IF(Calculator!$E$14="YES",IF(A76&lt;Calculator!$G$14,0,MIN(MIN(MOD(A76/Calculator!$F$14,1),1-MOD(A76/Calculator!$F$14,1)),ABS(MOD(A76/Calculator!$F$14,1)-0.5))),1)</f>
        <v>1</v>
      </c>
      <c r="F76" s="73" t="n">
        <f aca="false">IF(Calculator!$E$15="YES",IF(A76&lt;Calculator!$G$15,0,MIN(MIN(MOD(A76/Calculator!$F$15,1),1-MOD(A76/Calculator!$F$15,1)),ABS(MOD(A76/Calculator!$F$15,1)-0.5))),1)</f>
        <v>0.196153846153846</v>
      </c>
      <c r="G76" s="73" t="n">
        <f aca="false">IF(Calculator!$E$16="YES",IF(A76&lt;Calculator!$G$16,0,MIN(MIN(MOD(A76/Calculator!$F$16,1),1-MOD(A76/Calculator!$F$16,1)),ABS(MOD(A76/Calculator!$F$16,1)-0.5))),1)</f>
        <v>0.0746153846153841</v>
      </c>
      <c r="H76" s="73" t="n">
        <f aca="false">IF(Calculator!$E$17="YES",IF(A76&lt;Calculator!$G$17,0,MIN(MIN(MOD(A76/Calculator!$F$17,1),1-MOD(A76/Calculator!$F$17,1)),ABS(MOD(A76/Calculator!$F$17,1)-0.5))),1)</f>
        <v>0.0172923076923084</v>
      </c>
      <c r="I76" s="73" t="n">
        <f aca="false">IF(Calculator!$E$18="YES",IF(A76&lt;Calculator!$G$18,0,MIN(MIN(MOD(A76/Calculator!$F$18,1),1-MOD(A76/Calculator!$F$18,1)),ABS(MOD(A76/Calculator!$F$18,1)-0.5))),1)</f>
        <v>0.122307692307691</v>
      </c>
      <c r="J76" s="73" t="n">
        <f aca="false">IF(Calculator!$E$19="YES",IF(A76&lt;Calculator!$G$19,0,MIN(MIN(MOD(A76/Calculator!$F$19,1),1-MOD(A76/Calculator!$F$19,1)),ABS(MOD(A76/Calculator!$F$19,1)-0.5))),1)</f>
        <v>0.0935384615384667</v>
      </c>
      <c r="K76" s="73" t="n">
        <f aca="false">IF(Calculator!$E$20="YES",IF(A76&lt;Calculator!$G$20,0,MIN(MIN(MOD(A76/Calculator!$F$20,1),1-MOD(A76/Calculator!$F$20,1)),ABS(MOD(A76/Calculator!$F$20,1)-0.5))),1)</f>
        <v>0.0107692307692302</v>
      </c>
      <c r="L76" s="73" t="n">
        <f aca="false">IF(Calculator!$E$21="YES",IF(A76&lt;Calculator!$G$21,0,MIN(MIN(MOD(A76/Calculator!$F$21,1),1-MOD(A76/Calculator!$F$21,1)),ABS(MOD(A76/Calculator!$F$21,1)-0.5))),1)</f>
        <v>1</v>
      </c>
      <c r="M76" s="74" t="n">
        <f aca="false">MIN(B76:L76)</f>
        <v>0.0107692307692302</v>
      </c>
      <c r="N76" s="75" t="n">
        <f aca="false">SUMPRODUCT(($M$5:$M$115&gt;M76)*1)+SUMPRODUCT(($M$5:$M$115=M76)*(ROW($M$5:$M$115)&lt;ROW(M76)))+1</f>
        <v>84</v>
      </c>
      <c r="O76" s="76" t="str">
        <f aca="false">IF(M76&gt;=0.2,"★★★ EXCELLENT",IF(M76&gt;=0.12,"★★  GOOD",IF(M76&gt;=0.07,"★  FAIR",IF(M76&gt;=0.025,"⚠  MARGINAL","✗  AVOID"))))</f>
        <v>✗  AVOID</v>
      </c>
    </row>
    <row r="77" customFormat="false" ht="15" hidden="false" customHeight="true" outlineLevel="0" collapsed="false">
      <c r="A77" s="72" t="n">
        <v>41</v>
      </c>
      <c r="B77" s="73" t="n">
        <f aca="false">IF(Calculator!$E$11="YES",IF(A77&lt;Calculator!$G$11,0,MIN(MIN(MOD(A77/Calculator!$F$11,1),1-MOD(A77/Calculator!$F$11,1)),ABS(MOD(A77/Calculator!$F$11,1)-0.5))),1)</f>
        <v>1</v>
      </c>
      <c r="C77" s="73" t="n">
        <f aca="false">IF(Calculator!$E$12="YES",IF(A77&lt;Calculator!$G$12,0,MIN(MIN(MOD(A77/Calculator!$F$12,1),1-MOD(A77/Calculator!$F$12,1)),ABS(MOD(A77/Calculator!$F$12,1)-0.5))),1)</f>
        <v>1</v>
      </c>
      <c r="D77" s="73" t="n">
        <f aca="false">IF(Calculator!$E$13="YES",IF(A77&lt;Calculator!$G$13,0,MIN(MIN(MOD(A77/Calculator!$F$13,1),1-MOD(A77/Calculator!$F$13,1)),ABS(MOD(A77/Calculator!$F$13,1)-0.5))),1)</f>
        <v>1</v>
      </c>
      <c r="E77" s="73" t="n">
        <f aca="false">IF(Calculator!$E$14="YES",IF(A77&lt;Calculator!$G$14,0,MIN(MIN(MOD(A77/Calculator!$F$14,1),1-MOD(A77/Calculator!$F$14,1)),ABS(MOD(A77/Calculator!$F$14,1)-0.5))),1)</f>
        <v>1</v>
      </c>
      <c r="F77" s="73" t="n">
        <f aca="false">IF(Calculator!$E$15="YES",IF(A77&lt;Calculator!$G$15,0,MIN(MIN(MOD(A77/Calculator!$F$15,1),1-MOD(A77/Calculator!$F$15,1)),ABS(MOD(A77/Calculator!$F$15,1)-0.5))),1)</f>
        <v>0.161538461538461</v>
      </c>
      <c r="G77" s="73" t="n">
        <f aca="false">IF(Calculator!$E$16="YES",IF(A77&lt;Calculator!$G$16,0,MIN(MIN(MOD(A77/Calculator!$F$16,1),1-MOD(A77/Calculator!$F$16,1)),ABS(MOD(A77/Calculator!$F$16,1)-0.5))),1)</f>
        <v>0.0261538461538455</v>
      </c>
      <c r="H77" s="73" t="n">
        <f aca="false">IF(Calculator!$E$17="YES",IF(A77&lt;Calculator!$G$17,0,MIN(MIN(MOD(A77/Calculator!$F$17,1),1-MOD(A77/Calculator!$F$17,1)),ABS(MOD(A77/Calculator!$F$17,1)-0.5))),1)</f>
        <v>0.0792341880341887</v>
      </c>
      <c r="I77" s="73" t="n">
        <f aca="false">IF(Calculator!$E$18="YES",IF(A77&lt;Calculator!$G$18,0,MIN(MIN(MOD(A77/Calculator!$F$18,1),1-MOD(A77/Calculator!$F$18,1)),ABS(MOD(A77/Calculator!$F$18,1)-0.5))),1)</f>
        <v>0.0497435897435894</v>
      </c>
      <c r="J77" s="73" t="n">
        <f aca="false">IF(Calculator!$E$19="YES",IF(A77&lt;Calculator!$G$19,0,MIN(MIN(MOD(A77/Calculator!$F$19,1),1-MOD(A77/Calculator!$F$19,1)),ABS(MOD(A77/Calculator!$F$19,1)-0.5))),1)</f>
        <v>0.00827350427350915</v>
      </c>
      <c r="K77" s="73" t="n">
        <f aca="false">IF(Calculator!$E$20="YES",IF(A77&lt;Calculator!$G$20,0,MIN(MIN(MOD(A77/Calculator!$F$20,1),1-MOD(A77/Calculator!$F$20,1)),ABS(MOD(A77/Calculator!$F$20,1)-0.5))),1)</f>
        <v>0.0878632478632486</v>
      </c>
      <c r="L77" s="73" t="n">
        <f aca="false">IF(Calculator!$E$21="YES",IF(A77&lt;Calculator!$G$21,0,MIN(MIN(MOD(A77/Calculator!$F$21,1),1-MOD(A77/Calculator!$F$21,1)),ABS(MOD(A77/Calculator!$F$21,1)-0.5))),1)</f>
        <v>1</v>
      </c>
      <c r="M77" s="74" t="n">
        <f aca="false">MIN(B77:L77)</f>
        <v>0.00827350427350915</v>
      </c>
      <c r="N77" s="75" t="n">
        <f aca="false">SUMPRODUCT(($M$5:$M$115&gt;M77)*1)+SUMPRODUCT(($M$5:$M$115=M77)*(ROW($M$5:$M$115)&lt;ROW(M77)))+1</f>
        <v>91</v>
      </c>
      <c r="O77" s="76" t="str">
        <f aca="false">IF(M77&gt;=0.2,"★★★ EXCELLENT",IF(M77&gt;=0.12,"★★  GOOD",IF(M77&gt;=0.07,"★  FAIR",IF(M77&gt;=0.025,"⚠  MARGINAL","✗  AVOID"))))</f>
        <v>✗  AVOID</v>
      </c>
    </row>
    <row r="78" customFormat="false" ht="15" hidden="false" customHeight="true" outlineLevel="0" collapsed="false">
      <c r="A78" s="72" t="n">
        <v>41.5</v>
      </c>
      <c r="B78" s="73" t="n">
        <f aca="false">IF(Calculator!$E$11="YES",IF(A78&lt;Calculator!$G$11,0,MIN(MIN(MOD(A78/Calculator!$F$11,1),1-MOD(A78/Calculator!$F$11,1)),ABS(MOD(A78/Calculator!$F$11,1)-0.5))),1)</f>
        <v>1</v>
      </c>
      <c r="C78" s="73" t="n">
        <f aca="false">IF(Calculator!$E$12="YES",IF(A78&lt;Calculator!$G$12,0,MIN(MIN(MOD(A78/Calculator!$F$12,1),1-MOD(A78/Calculator!$F$12,1)),ABS(MOD(A78/Calculator!$F$12,1)-0.5))),1)</f>
        <v>1</v>
      </c>
      <c r="D78" s="73" t="n">
        <f aca="false">IF(Calculator!$E$13="YES",IF(A78&lt;Calculator!$G$13,0,MIN(MIN(MOD(A78/Calculator!$F$13,1),1-MOD(A78/Calculator!$F$13,1)),ABS(MOD(A78/Calculator!$F$13,1)-0.5))),1)</f>
        <v>1</v>
      </c>
      <c r="E78" s="73" t="n">
        <f aca="false">IF(Calculator!$E$14="YES",IF(A78&lt;Calculator!$G$14,0,MIN(MIN(MOD(A78/Calculator!$F$14,1),1-MOD(A78/Calculator!$F$14,1)),ABS(MOD(A78/Calculator!$F$14,1)-0.5))),1)</f>
        <v>1</v>
      </c>
      <c r="F78" s="73" t="n">
        <f aca="false">IF(Calculator!$E$15="YES",IF(A78&lt;Calculator!$G$15,0,MIN(MIN(MOD(A78/Calculator!$F$15,1),1-MOD(A78/Calculator!$F$15,1)),ABS(MOD(A78/Calculator!$F$15,1)-0.5))),1)</f>
        <v>0.126923076923077</v>
      </c>
      <c r="G78" s="73" t="n">
        <f aca="false">IF(Calculator!$E$16="YES",IF(A78&lt;Calculator!$G$16,0,MIN(MIN(MOD(A78/Calculator!$F$16,1),1-MOD(A78/Calculator!$F$16,1)),ABS(MOD(A78/Calculator!$F$16,1)-0.5))),1)</f>
        <v>0.0223076923076926</v>
      </c>
      <c r="H78" s="73" t="n">
        <f aca="false">IF(Calculator!$E$17="YES",IF(A78&lt;Calculator!$G$17,0,MIN(MIN(MOD(A78/Calculator!$F$17,1),1-MOD(A78/Calculator!$F$17,1)),ABS(MOD(A78/Calculator!$F$17,1)-0.5))),1)</f>
        <v>0.141176068376069</v>
      </c>
      <c r="I78" s="73" t="n">
        <f aca="false">IF(Calculator!$E$18="YES",IF(A78&lt;Calculator!$G$18,0,MIN(MIN(MOD(A78/Calculator!$F$18,1),1-MOD(A78/Calculator!$F$18,1)),ABS(MOD(A78/Calculator!$F$18,1)-0.5))),1)</f>
        <v>0.0228205128205135</v>
      </c>
      <c r="J78" s="73" t="n">
        <f aca="false">IF(Calculator!$E$19="YES",IF(A78&lt;Calculator!$G$19,0,MIN(MIN(MOD(A78/Calculator!$F$19,1),1-MOD(A78/Calculator!$F$19,1)),ABS(MOD(A78/Calculator!$F$19,1)-0.5))),1)</f>
        <v>0.0769914529914475</v>
      </c>
      <c r="K78" s="73" t="n">
        <f aca="false">IF(Calculator!$E$20="YES",IF(A78&lt;Calculator!$G$20,0,MIN(MIN(MOD(A78/Calculator!$F$20,1),1-MOD(A78/Calculator!$F$20,1)),ABS(MOD(A78/Calculator!$F$20,1)-0.5))),1)</f>
        <v>0.186495726495728</v>
      </c>
      <c r="L78" s="73" t="n">
        <f aca="false">IF(Calculator!$E$21="YES",IF(A78&lt;Calculator!$G$21,0,MIN(MIN(MOD(A78/Calculator!$F$21,1),1-MOD(A78/Calculator!$F$21,1)),ABS(MOD(A78/Calculator!$F$21,1)-0.5))),1)</f>
        <v>1</v>
      </c>
      <c r="M78" s="74" t="n">
        <f aca="false">MIN(B78:L78)</f>
        <v>0.0223076923076926</v>
      </c>
      <c r="N78" s="75" t="n">
        <f aca="false">SUMPRODUCT(($M$5:$M$115&gt;M78)*1)+SUMPRODUCT(($M$5:$M$115=M78)*(ROW($M$5:$M$115)&lt;ROW(M78)))+1</f>
        <v>65</v>
      </c>
      <c r="O78" s="76" t="str">
        <f aca="false">IF(M78&gt;=0.2,"★★★ EXCELLENT",IF(M78&gt;=0.12,"★★  GOOD",IF(M78&gt;=0.07,"★  FAIR",IF(M78&gt;=0.025,"⚠  MARGINAL","✗  AVOID"))))</f>
        <v>✗  AVOID</v>
      </c>
    </row>
    <row r="79" customFormat="false" ht="15" hidden="false" customHeight="true" outlineLevel="0" collapsed="false">
      <c r="A79" s="72" t="n">
        <v>42</v>
      </c>
      <c r="B79" s="73" t="n">
        <f aca="false">IF(Calculator!$E$11="YES",IF(A79&lt;Calculator!$G$11,0,MIN(MIN(MOD(A79/Calculator!$F$11,1),1-MOD(A79/Calculator!$F$11,1)),ABS(MOD(A79/Calculator!$F$11,1)-0.5))),1)</f>
        <v>1</v>
      </c>
      <c r="C79" s="73" t="n">
        <f aca="false">IF(Calculator!$E$12="YES",IF(A79&lt;Calculator!$G$12,0,MIN(MIN(MOD(A79/Calculator!$F$12,1),1-MOD(A79/Calculator!$F$12,1)),ABS(MOD(A79/Calculator!$F$12,1)-0.5))),1)</f>
        <v>1</v>
      </c>
      <c r="D79" s="73" t="n">
        <f aca="false">IF(Calculator!$E$13="YES",IF(A79&lt;Calculator!$G$13,0,MIN(MIN(MOD(A79/Calculator!$F$13,1),1-MOD(A79/Calculator!$F$13,1)),ABS(MOD(A79/Calculator!$F$13,1)-0.5))),1)</f>
        <v>1</v>
      </c>
      <c r="E79" s="73" t="n">
        <f aca="false">IF(Calculator!$E$14="YES",IF(A79&lt;Calculator!$G$14,0,MIN(MIN(MOD(A79/Calculator!$F$14,1),1-MOD(A79/Calculator!$F$14,1)),ABS(MOD(A79/Calculator!$F$14,1)-0.5))),1)</f>
        <v>1</v>
      </c>
      <c r="F79" s="73" t="n">
        <f aca="false">IF(Calculator!$E$15="YES",IF(A79&lt;Calculator!$G$15,0,MIN(MIN(MOD(A79/Calculator!$F$15,1),1-MOD(A79/Calculator!$F$15,1)),ABS(MOD(A79/Calculator!$F$15,1)-0.5))),1)</f>
        <v>0.0923076923076924</v>
      </c>
      <c r="G79" s="73" t="n">
        <f aca="false">IF(Calculator!$E$16="YES",IF(A79&lt;Calculator!$G$16,0,MIN(MIN(MOD(A79/Calculator!$F$16,1),1-MOD(A79/Calculator!$F$16,1)),ABS(MOD(A79/Calculator!$F$16,1)-0.5))),1)</f>
        <v>0.0707692307692316</v>
      </c>
      <c r="H79" s="73" t="n">
        <f aca="false">IF(Calculator!$E$17="YES",IF(A79&lt;Calculator!$G$17,0,MIN(MIN(MOD(A79/Calculator!$F$17,1),1-MOD(A79/Calculator!$F$17,1)),ABS(MOD(A79/Calculator!$F$17,1)-0.5))),1)</f>
        <v>0.203117948717949</v>
      </c>
      <c r="I79" s="73" t="n">
        <f aca="false">IF(Calculator!$E$18="YES",IF(A79&lt;Calculator!$G$18,0,MIN(MIN(MOD(A79/Calculator!$F$18,1),1-MOD(A79/Calculator!$F$18,1)),ABS(MOD(A79/Calculator!$F$18,1)-0.5))),1)</f>
        <v>0.0953846153846163</v>
      </c>
      <c r="J79" s="73" t="n">
        <f aca="false">IF(Calculator!$E$19="YES",IF(A79&lt;Calculator!$G$19,0,MIN(MIN(MOD(A79/Calculator!$F$19,1),1-MOD(A79/Calculator!$F$19,1)),ABS(MOD(A79/Calculator!$F$19,1)-0.5))),1)</f>
        <v>0.162256410256405</v>
      </c>
      <c r="K79" s="73" t="n">
        <f aca="false">IF(Calculator!$E$20="YES",IF(A79&lt;Calculator!$G$20,0,MIN(MIN(MOD(A79/Calculator!$F$20,1),1-MOD(A79/Calculator!$F$20,1)),ABS(MOD(A79/Calculator!$F$20,1)-0.5))),1)</f>
        <v>0.214871794871794</v>
      </c>
      <c r="L79" s="73" t="n">
        <f aca="false">IF(Calculator!$E$21="YES",IF(A79&lt;Calculator!$G$21,0,MIN(MIN(MOD(A79/Calculator!$F$21,1),1-MOD(A79/Calculator!$F$21,1)),ABS(MOD(A79/Calculator!$F$21,1)-0.5))),1)</f>
        <v>1</v>
      </c>
      <c r="M79" s="74" t="n">
        <f aca="false">MIN(B79:L79)</f>
        <v>0.0707692307692316</v>
      </c>
      <c r="N79" s="75" t="n">
        <f aca="false">SUMPRODUCT(($M$5:$M$115&gt;M79)*1)+SUMPRODUCT(($M$5:$M$115=M79)*(ROW($M$5:$M$115)&lt;ROW(M79)))+1</f>
        <v>14</v>
      </c>
      <c r="O79" s="76" t="str">
        <f aca="false">IF(M79&gt;=0.2,"★★★ EXCELLENT",IF(M79&gt;=0.12,"★★  GOOD",IF(M79&gt;=0.07,"★  FAIR",IF(M79&gt;=0.025,"⚠  MARGINAL","✗  AVOID"))))</f>
        <v>★  FAIR</v>
      </c>
    </row>
    <row r="80" customFormat="false" ht="15" hidden="false" customHeight="true" outlineLevel="0" collapsed="false">
      <c r="A80" s="72" t="n">
        <v>42.5</v>
      </c>
      <c r="B80" s="73" t="n">
        <f aca="false">IF(Calculator!$E$11="YES",IF(A80&lt;Calculator!$G$11,0,MIN(MIN(MOD(A80/Calculator!$F$11,1),1-MOD(A80/Calculator!$F$11,1)),ABS(MOD(A80/Calculator!$F$11,1)-0.5))),1)</f>
        <v>1</v>
      </c>
      <c r="C80" s="73" t="n">
        <f aca="false">IF(Calculator!$E$12="YES",IF(A80&lt;Calculator!$G$12,0,MIN(MIN(MOD(A80/Calculator!$F$12,1),1-MOD(A80/Calculator!$F$12,1)),ABS(MOD(A80/Calculator!$F$12,1)-0.5))),1)</f>
        <v>1</v>
      </c>
      <c r="D80" s="73" t="n">
        <f aca="false">IF(Calculator!$E$13="YES",IF(A80&lt;Calculator!$G$13,0,MIN(MIN(MOD(A80/Calculator!$F$13,1),1-MOD(A80/Calculator!$F$13,1)),ABS(MOD(A80/Calculator!$F$13,1)-0.5))),1)</f>
        <v>1</v>
      </c>
      <c r="E80" s="73" t="n">
        <f aca="false">IF(Calculator!$E$14="YES",IF(A80&lt;Calculator!$G$14,0,MIN(MIN(MOD(A80/Calculator!$F$14,1),1-MOD(A80/Calculator!$F$14,1)),ABS(MOD(A80/Calculator!$F$14,1)-0.5))),1)</f>
        <v>1</v>
      </c>
      <c r="F80" s="73" t="n">
        <f aca="false">IF(Calculator!$E$15="YES",IF(A80&lt;Calculator!$G$15,0,MIN(MIN(MOD(A80/Calculator!$F$15,1),1-MOD(A80/Calculator!$F$15,1)),ABS(MOD(A80/Calculator!$F$15,1)-0.5))),1)</f>
        <v>0.0576923076923079</v>
      </c>
      <c r="G80" s="73" t="n">
        <f aca="false">IF(Calculator!$E$16="YES",IF(A80&lt;Calculator!$G$16,0,MIN(MIN(MOD(A80/Calculator!$F$16,1),1-MOD(A80/Calculator!$F$16,1)),ABS(MOD(A80/Calculator!$F$16,1)-0.5))),1)</f>
        <v>0.11923076923077</v>
      </c>
      <c r="H80" s="73" t="n">
        <f aca="false">IF(Calculator!$E$17="YES",IF(A80&lt;Calculator!$G$17,0,MIN(MIN(MOD(A80/Calculator!$F$17,1),1-MOD(A80/Calculator!$F$17,1)),ABS(MOD(A80/Calculator!$F$17,1)-0.5))),1)</f>
        <v>0.23494017094017</v>
      </c>
      <c r="I80" s="73" t="n">
        <f aca="false">IF(Calculator!$E$18="YES",IF(A80&lt;Calculator!$G$18,0,MIN(MIN(MOD(A80/Calculator!$F$18,1),1-MOD(A80/Calculator!$F$18,1)),ABS(MOD(A80/Calculator!$F$18,1)-0.5))),1)</f>
        <v>0.167948717948718</v>
      </c>
      <c r="J80" s="73" t="n">
        <f aca="false">IF(Calculator!$E$19="YES",IF(A80&lt;Calculator!$G$19,0,MIN(MIN(MOD(A80/Calculator!$F$19,1),1-MOD(A80/Calculator!$F$19,1)),ABS(MOD(A80/Calculator!$F$19,1)-0.5))),1)</f>
        <v>0.247521367521363</v>
      </c>
      <c r="K80" s="73" t="n">
        <f aca="false">IF(Calculator!$E$20="YES",IF(A80&lt;Calculator!$G$20,0,MIN(MIN(MOD(A80/Calculator!$F$20,1),1-MOD(A80/Calculator!$F$20,1)),ABS(MOD(A80/Calculator!$F$20,1)-0.5))),1)</f>
        <v>0.116239316239316</v>
      </c>
      <c r="L80" s="73" t="n">
        <f aca="false">IF(Calculator!$E$21="YES",IF(A80&lt;Calculator!$G$21,0,MIN(MIN(MOD(A80/Calculator!$F$21,1),1-MOD(A80/Calculator!$F$21,1)),ABS(MOD(A80/Calculator!$F$21,1)-0.5))),1)</f>
        <v>1</v>
      </c>
      <c r="M80" s="74" t="n">
        <f aca="false">MIN(B80:L80)</f>
        <v>0.0576923076923079</v>
      </c>
      <c r="N80" s="75" t="n">
        <f aca="false">SUMPRODUCT(($M$5:$M$115&gt;M80)*1)+SUMPRODUCT(($M$5:$M$115=M80)*(ROW($M$5:$M$115)&lt;ROW(M80)))+1</f>
        <v>26</v>
      </c>
      <c r="O80" s="76" t="str">
        <f aca="false">IF(M80&gt;=0.2,"★★★ EXCELLENT",IF(M80&gt;=0.12,"★★  GOOD",IF(M80&gt;=0.07,"★  FAIR",IF(M80&gt;=0.025,"⚠  MARGINAL","✗  AVOID"))))</f>
        <v>⚠  MARGINAL</v>
      </c>
    </row>
    <row r="81" customFormat="false" ht="15" hidden="false" customHeight="true" outlineLevel="0" collapsed="false">
      <c r="A81" s="72" t="n">
        <v>43</v>
      </c>
      <c r="B81" s="73" t="n">
        <f aca="false">IF(Calculator!$E$11="YES",IF(A81&lt;Calculator!$G$11,0,MIN(MIN(MOD(A81/Calculator!$F$11,1),1-MOD(A81/Calculator!$F$11,1)),ABS(MOD(A81/Calculator!$F$11,1)-0.5))),1)</f>
        <v>1</v>
      </c>
      <c r="C81" s="73" t="n">
        <f aca="false">IF(Calculator!$E$12="YES",IF(A81&lt;Calculator!$G$12,0,MIN(MIN(MOD(A81/Calculator!$F$12,1),1-MOD(A81/Calculator!$F$12,1)),ABS(MOD(A81/Calculator!$F$12,1)-0.5))),1)</f>
        <v>1</v>
      </c>
      <c r="D81" s="73" t="n">
        <f aca="false">IF(Calculator!$E$13="YES",IF(A81&lt;Calculator!$G$13,0,MIN(MIN(MOD(A81/Calculator!$F$13,1),1-MOD(A81/Calculator!$F$13,1)),ABS(MOD(A81/Calculator!$F$13,1)-0.5))),1)</f>
        <v>1</v>
      </c>
      <c r="E81" s="73" t="n">
        <f aca="false">IF(Calculator!$E$14="YES",IF(A81&lt;Calculator!$G$14,0,MIN(MIN(MOD(A81/Calculator!$F$14,1),1-MOD(A81/Calculator!$F$14,1)),ABS(MOD(A81/Calculator!$F$14,1)-0.5))),1)</f>
        <v>1</v>
      </c>
      <c r="F81" s="73" t="n">
        <f aca="false">IF(Calculator!$E$15="YES",IF(A81&lt;Calculator!$G$15,0,MIN(MIN(MOD(A81/Calculator!$F$15,1),1-MOD(A81/Calculator!$F$15,1)),ABS(MOD(A81/Calculator!$F$15,1)-0.5))),1)</f>
        <v>0.023076923076923</v>
      </c>
      <c r="G81" s="73" t="n">
        <f aca="false">IF(Calculator!$E$16="YES",IF(A81&lt;Calculator!$G$16,0,MIN(MIN(MOD(A81/Calculator!$F$16,1),1-MOD(A81/Calculator!$F$16,1)),ABS(MOD(A81/Calculator!$F$16,1)-0.5))),1)</f>
        <v>0.167692307692308</v>
      </c>
      <c r="H81" s="73" t="n">
        <f aca="false">IF(Calculator!$E$17="YES",IF(A81&lt;Calculator!$G$17,0,MIN(MIN(MOD(A81/Calculator!$F$17,1),1-MOD(A81/Calculator!$F$17,1)),ABS(MOD(A81/Calculator!$F$17,1)-0.5))),1)</f>
        <v>0.172998290598289</v>
      </c>
      <c r="I81" s="73" t="n">
        <f aca="false">IF(Calculator!$E$18="YES",IF(A81&lt;Calculator!$G$18,0,MIN(MIN(MOD(A81/Calculator!$F$18,1),1-MOD(A81/Calculator!$F$18,1)),ABS(MOD(A81/Calculator!$F$18,1)-0.5))),1)</f>
        <v>0.240512820512821</v>
      </c>
      <c r="J81" s="73" t="n">
        <f aca="false">IF(Calculator!$E$19="YES",IF(A81&lt;Calculator!$G$19,0,MIN(MIN(MOD(A81/Calculator!$F$19,1),1-MOD(A81/Calculator!$F$19,1)),ABS(MOD(A81/Calculator!$F$19,1)-0.5))),1)</f>
        <v>0.167213675213681</v>
      </c>
      <c r="K81" s="73" t="n">
        <f aca="false">IF(Calculator!$E$20="YES",IF(A81&lt;Calculator!$G$20,0,MIN(MIN(MOD(A81/Calculator!$F$20,1),1-MOD(A81/Calculator!$F$20,1)),ABS(MOD(A81/Calculator!$F$20,1)-0.5))),1)</f>
        <v>0.0176068376068361</v>
      </c>
      <c r="L81" s="73" t="n">
        <f aca="false">IF(Calculator!$E$21="YES",IF(A81&lt;Calculator!$G$21,0,MIN(MIN(MOD(A81/Calculator!$F$21,1),1-MOD(A81/Calculator!$F$21,1)),ABS(MOD(A81/Calculator!$F$21,1)-0.5))),1)</f>
        <v>1</v>
      </c>
      <c r="M81" s="74" t="n">
        <f aca="false">MIN(B81:L81)</f>
        <v>0.0176068376068361</v>
      </c>
      <c r="N81" s="75" t="n">
        <f aca="false">SUMPRODUCT(($M$5:$M$115&gt;M81)*1)+SUMPRODUCT(($M$5:$M$115=M81)*(ROW($M$5:$M$115)&lt;ROW(M81)))+1</f>
        <v>74</v>
      </c>
      <c r="O81" s="76" t="str">
        <f aca="false">IF(M81&gt;=0.2,"★★★ EXCELLENT",IF(M81&gt;=0.12,"★★  GOOD",IF(M81&gt;=0.07,"★  FAIR",IF(M81&gt;=0.025,"⚠  MARGINAL","✗  AVOID"))))</f>
        <v>✗  AVOID</v>
      </c>
    </row>
    <row r="82" customFormat="false" ht="15" hidden="false" customHeight="true" outlineLevel="0" collapsed="false">
      <c r="A82" s="72" t="n">
        <v>43.5</v>
      </c>
      <c r="B82" s="73" t="n">
        <f aca="false">IF(Calculator!$E$11="YES",IF(A82&lt;Calculator!$G$11,0,MIN(MIN(MOD(A82/Calculator!$F$11,1),1-MOD(A82/Calculator!$F$11,1)),ABS(MOD(A82/Calculator!$F$11,1)-0.5))),1)</f>
        <v>1</v>
      </c>
      <c r="C82" s="73" t="n">
        <f aca="false">IF(Calculator!$E$12="YES",IF(A82&lt;Calculator!$G$12,0,MIN(MIN(MOD(A82/Calculator!$F$12,1),1-MOD(A82/Calculator!$F$12,1)),ABS(MOD(A82/Calculator!$F$12,1)-0.5))),1)</f>
        <v>1</v>
      </c>
      <c r="D82" s="73" t="n">
        <f aca="false">IF(Calculator!$E$13="YES",IF(A82&lt;Calculator!$G$13,0,MIN(MIN(MOD(A82/Calculator!$F$13,1),1-MOD(A82/Calculator!$F$13,1)),ABS(MOD(A82/Calculator!$F$13,1)-0.5))),1)</f>
        <v>1</v>
      </c>
      <c r="E82" s="73" t="n">
        <f aca="false">IF(Calculator!$E$14="YES",IF(A82&lt;Calculator!$G$14,0,MIN(MIN(MOD(A82/Calculator!$F$14,1),1-MOD(A82/Calculator!$F$14,1)),ABS(MOD(A82/Calculator!$F$14,1)-0.5))),1)</f>
        <v>1</v>
      </c>
      <c r="F82" s="73" t="n">
        <f aca="false">IF(Calculator!$E$15="YES",IF(A82&lt;Calculator!$G$15,0,MIN(MIN(MOD(A82/Calculator!$F$15,1),1-MOD(A82/Calculator!$F$15,1)),ABS(MOD(A82/Calculator!$F$15,1)-0.5))),1)</f>
        <v>0.0115384615384615</v>
      </c>
      <c r="G82" s="73" t="n">
        <f aca="false">IF(Calculator!$E$16="YES",IF(A82&lt;Calculator!$G$16,0,MIN(MIN(MOD(A82/Calculator!$F$16,1),1-MOD(A82/Calculator!$F$16,1)),ABS(MOD(A82/Calculator!$F$16,1)-0.5))),1)</f>
        <v>0.216153846153847</v>
      </c>
      <c r="H82" s="73" t="n">
        <f aca="false">IF(Calculator!$E$17="YES",IF(A82&lt;Calculator!$G$17,0,MIN(MIN(MOD(A82/Calculator!$F$17,1),1-MOD(A82/Calculator!$F$17,1)),ABS(MOD(A82/Calculator!$F$17,1)-0.5))),1)</f>
        <v>0.111056410256409</v>
      </c>
      <c r="I82" s="73" t="n">
        <f aca="false">IF(Calculator!$E$18="YES",IF(A82&lt;Calculator!$G$18,0,MIN(MIN(MOD(A82/Calculator!$F$18,1),1-MOD(A82/Calculator!$F$18,1)),ABS(MOD(A82/Calculator!$F$18,1)-0.5))),1)</f>
        <v>0.186923076923076</v>
      </c>
      <c r="J82" s="73" t="n">
        <f aca="false">IF(Calculator!$E$19="YES",IF(A82&lt;Calculator!$G$19,0,MIN(MIN(MOD(A82/Calculator!$F$19,1),1-MOD(A82/Calculator!$F$19,1)),ABS(MOD(A82/Calculator!$F$19,1)-0.5))),1)</f>
        <v>0.0819487179487233</v>
      </c>
      <c r="K82" s="73" t="n">
        <f aca="false">IF(Calculator!$E$20="YES",IF(A82&lt;Calculator!$G$20,0,MIN(MIN(MOD(A82/Calculator!$F$20,1),1-MOD(A82/Calculator!$F$20,1)),ABS(MOD(A82/Calculator!$F$20,1)-0.5))),1)</f>
        <v>0.0810256410256418</v>
      </c>
      <c r="L82" s="73" t="n">
        <f aca="false">IF(Calculator!$E$21="YES",IF(A82&lt;Calculator!$G$21,0,MIN(MIN(MOD(A82/Calculator!$F$21,1),1-MOD(A82/Calculator!$F$21,1)),ABS(MOD(A82/Calculator!$F$21,1)-0.5))),1)</f>
        <v>1</v>
      </c>
      <c r="M82" s="74" t="n">
        <f aca="false">MIN(B82:L82)</f>
        <v>0.0115384615384615</v>
      </c>
      <c r="N82" s="75" t="n">
        <f aca="false">SUMPRODUCT(($M$5:$M$115&gt;M82)*1)+SUMPRODUCT(($M$5:$M$115=M82)*(ROW($M$5:$M$115)&lt;ROW(M82)))+1</f>
        <v>83</v>
      </c>
      <c r="O82" s="76" t="str">
        <f aca="false">IF(M82&gt;=0.2,"★★★ EXCELLENT",IF(M82&gt;=0.12,"★★  GOOD",IF(M82&gt;=0.07,"★  FAIR",IF(M82&gt;=0.025,"⚠  MARGINAL","✗  AVOID"))))</f>
        <v>✗  AVOID</v>
      </c>
    </row>
    <row r="83" customFormat="false" ht="15" hidden="false" customHeight="true" outlineLevel="0" collapsed="false">
      <c r="A83" s="72" t="n">
        <v>44</v>
      </c>
      <c r="B83" s="73" t="n">
        <f aca="false">IF(Calculator!$E$11="YES",IF(A83&lt;Calculator!$G$11,0,MIN(MIN(MOD(A83/Calculator!$F$11,1),1-MOD(A83/Calculator!$F$11,1)),ABS(MOD(A83/Calculator!$F$11,1)-0.5))),1)</f>
        <v>1</v>
      </c>
      <c r="C83" s="73" t="n">
        <f aca="false">IF(Calculator!$E$12="YES",IF(A83&lt;Calculator!$G$12,0,MIN(MIN(MOD(A83/Calculator!$F$12,1),1-MOD(A83/Calculator!$F$12,1)),ABS(MOD(A83/Calculator!$F$12,1)-0.5))),1)</f>
        <v>1</v>
      </c>
      <c r="D83" s="73" t="n">
        <f aca="false">IF(Calculator!$E$13="YES",IF(A83&lt;Calculator!$G$13,0,MIN(MIN(MOD(A83/Calculator!$F$13,1),1-MOD(A83/Calculator!$F$13,1)),ABS(MOD(A83/Calculator!$F$13,1)-0.5))),1)</f>
        <v>1</v>
      </c>
      <c r="E83" s="73" t="n">
        <f aca="false">IF(Calculator!$E$14="YES",IF(A83&lt;Calculator!$G$14,0,MIN(MIN(MOD(A83/Calculator!$F$14,1),1-MOD(A83/Calculator!$F$14,1)),ABS(MOD(A83/Calculator!$F$14,1)-0.5))),1)</f>
        <v>1</v>
      </c>
      <c r="F83" s="73" t="n">
        <f aca="false">IF(Calculator!$E$15="YES",IF(A83&lt;Calculator!$G$15,0,MIN(MIN(MOD(A83/Calculator!$F$15,1),1-MOD(A83/Calculator!$F$15,1)),ABS(MOD(A83/Calculator!$F$15,1)-0.5))),1)</f>
        <v>0.046153846153846</v>
      </c>
      <c r="G83" s="73" t="n">
        <f aca="false">IF(Calculator!$E$16="YES",IF(A83&lt;Calculator!$G$16,0,MIN(MIN(MOD(A83/Calculator!$F$16,1),1-MOD(A83/Calculator!$F$16,1)),ABS(MOD(A83/Calculator!$F$16,1)-0.5))),1)</f>
        <v>0.235384615384615</v>
      </c>
      <c r="H83" s="73" t="n">
        <f aca="false">IF(Calculator!$E$17="YES",IF(A83&lt;Calculator!$G$17,0,MIN(MIN(MOD(A83/Calculator!$F$17,1),1-MOD(A83/Calculator!$F$17,1)),ABS(MOD(A83/Calculator!$F$17,1)-0.5))),1)</f>
        <v>0.0491145299145286</v>
      </c>
      <c r="I83" s="73" t="n">
        <f aca="false">IF(Calculator!$E$18="YES",IF(A83&lt;Calculator!$G$18,0,MIN(MIN(MOD(A83/Calculator!$F$18,1),1-MOD(A83/Calculator!$F$18,1)),ABS(MOD(A83/Calculator!$F$18,1)-0.5))),1)</f>
        <v>0.114358974358973</v>
      </c>
      <c r="J83" s="73" t="n">
        <f aca="false">IF(Calculator!$E$19="YES",IF(A83&lt;Calculator!$G$19,0,MIN(MIN(MOD(A83/Calculator!$F$19,1),1-MOD(A83/Calculator!$F$19,1)),ABS(MOD(A83/Calculator!$F$19,1)-0.5))),1)</f>
        <v>0.00331623931623337</v>
      </c>
      <c r="K83" s="73" t="n">
        <f aca="false">IF(Calculator!$E$20="YES",IF(A83&lt;Calculator!$G$20,0,MIN(MIN(MOD(A83/Calculator!$F$20,1),1-MOD(A83/Calculator!$F$20,1)),ABS(MOD(A83/Calculator!$F$20,1)-0.5))),1)</f>
        <v>0.179658119658122</v>
      </c>
      <c r="L83" s="73" t="n">
        <f aca="false">IF(Calculator!$E$21="YES",IF(A83&lt;Calculator!$G$21,0,MIN(MIN(MOD(A83/Calculator!$F$21,1),1-MOD(A83/Calculator!$F$21,1)),ABS(MOD(A83/Calculator!$F$21,1)-0.5))),1)</f>
        <v>1</v>
      </c>
      <c r="M83" s="74" t="n">
        <f aca="false">MIN(B83:L83)</f>
        <v>0.00331623931623337</v>
      </c>
      <c r="N83" s="75" t="n">
        <f aca="false">SUMPRODUCT(($M$5:$M$115&gt;M83)*1)+SUMPRODUCT(($M$5:$M$115=M83)*(ROW($M$5:$M$115)&lt;ROW(M83)))+1</f>
        <v>102</v>
      </c>
      <c r="O83" s="76" t="str">
        <f aca="false">IF(M83&gt;=0.2,"★★★ EXCELLENT",IF(M83&gt;=0.12,"★★  GOOD",IF(M83&gt;=0.07,"★  FAIR",IF(M83&gt;=0.025,"⚠  MARGINAL","✗  AVOID"))))</f>
        <v>✗  AVOID</v>
      </c>
    </row>
    <row r="84" customFormat="false" ht="15" hidden="false" customHeight="true" outlineLevel="0" collapsed="false">
      <c r="A84" s="72" t="n">
        <v>44.5</v>
      </c>
      <c r="B84" s="73" t="n">
        <f aca="false">IF(Calculator!$E$11="YES",IF(A84&lt;Calculator!$G$11,0,MIN(MIN(MOD(A84/Calculator!$F$11,1),1-MOD(A84/Calculator!$F$11,1)),ABS(MOD(A84/Calculator!$F$11,1)-0.5))),1)</f>
        <v>1</v>
      </c>
      <c r="C84" s="73" t="n">
        <f aca="false">IF(Calculator!$E$12="YES",IF(A84&lt;Calculator!$G$12,0,MIN(MIN(MOD(A84/Calculator!$F$12,1),1-MOD(A84/Calculator!$F$12,1)),ABS(MOD(A84/Calculator!$F$12,1)-0.5))),1)</f>
        <v>1</v>
      </c>
      <c r="D84" s="73" t="n">
        <f aca="false">IF(Calculator!$E$13="YES",IF(A84&lt;Calculator!$G$13,0,MIN(MIN(MOD(A84/Calculator!$F$13,1),1-MOD(A84/Calculator!$F$13,1)),ABS(MOD(A84/Calculator!$F$13,1)-0.5))),1)</f>
        <v>1</v>
      </c>
      <c r="E84" s="73" t="n">
        <f aca="false">IF(Calculator!$E$14="YES",IF(A84&lt;Calculator!$G$14,0,MIN(MIN(MOD(A84/Calculator!$F$14,1),1-MOD(A84/Calculator!$F$14,1)),ABS(MOD(A84/Calculator!$F$14,1)-0.5))),1)</f>
        <v>1</v>
      </c>
      <c r="F84" s="73" t="n">
        <f aca="false">IF(Calculator!$E$15="YES",IF(A84&lt;Calculator!$G$15,0,MIN(MIN(MOD(A84/Calculator!$F$15,1),1-MOD(A84/Calculator!$F$15,1)),ABS(MOD(A84/Calculator!$F$15,1)-0.5))),1)</f>
        <v>0.0807692307692309</v>
      </c>
      <c r="G84" s="73" t="n">
        <f aca="false">IF(Calculator!$E$16="YES",IF(A84&lt;Calculator!$G$16,0,MIN(MIN(MOD(A84/Calculator!$F$16,1),1-MOD(A84/Calculator!$F$16,1)),ABS(MOD(A84/Calculator!$F$16,1)-0.5))),1)</f>
        <v>0.186923076923076</v>
      </c>
      <c r="H84" s="73" t="n">
        <f aca="false">IF(Calculator!$E$17="YES",IF(A84&lt;Calculator!$G$17,0,MIN(MIN(MOD(A84/Calculator!$F$17,1),1-MOD(A84/Calculator!$F$17,1)),ABS(MOD(A84/Calculator!$F$17,1)-0.5))),1)</f>
        <v>0.0128273504273517</v>
      </c>
      <c r="I84" s="73" t="n">
        <f aca="false">IF(Calculator!$E$18="YES",IF(A84&lt;Calculator!$G$18,0,MIN(MIN(MOD(A84/Calculator!$F$18,1),1-MOD(A84/Calculator!$F$18,1)),ABS(MOD(A84/Calculator!$F$18,1)-0.5))),1)</f>
        <v>0.0417948717948713</v>
      </c>
      <c r="J84" s="73" t="n">
        <f aca="false">IF(Calculator!$E$19="YES",IF(A84&lt;Calculator!$G$19,0,MIN(MIN(MOD(A84/Calculator!$F$19,1),1-MOD(A84/Calculator!$F$19,1)),ABS(MOD(A84/Calculator!$F$19,1)-0.5))),1)</f>
        <v>0.0885811965811909</v>
      </c>
      <c r="K84" s="73" t="n">
        <f aca="false">IF(Calculator!$E$20="YES",IF(A84&lt;Calculator!$G$20,0,MIN(MIN(MOD(A84/Calculator!$F$20,1),1-MOD(A84/Calculator!$F$20,1)),ABS(MOD(A84/Calculator!$F$20,1)-0.5))),1)</f>
        <v>0.221709401709401</v>
      </c>
      <c r="L84" s="73" t="n">
        <f aca="false">IF(Calculator!$E$21="YES",IF(A84&lt;Calculator!$G$21,0,MIN(MIN(MOD(A84/Calculator!$F$21,1),1-MOD(A84/Calculator!$F$21,1)),ABS(MOD(A84/Calculator!$F$21,1)-0.5))),1)</f>
        <v>1</v>
      </c>
      <c r="M84" s="74" t="n">
        <f aca="false">MIN(B84:L84)</f>
        <v>0.0128273504273517</v>
      </c>
      <c r="N84" s="75" t="n">
        <f aca="false">SUMPRODUCT(($M$5:$M$115&gt;M84)*1)+SUMPRODUCT(($M$5:$M$115=M84)*(ROW($M$5:$M$115)&lt;ROW(M84)))+1</f>
        <v>81</v>
      </c>
      <c r="O84" s="76" t="str">
        <f aca="false">IF(M84&gt;=0.2,"★★★ EXCELLENT",IF(M84&gt;=0.12,"★★  GOOD",IF(M84&gt;=0.07,"★  FAIR",IF(M84&gt;=0.025,"⚠  MARGINAL","✗  AVOID"))))</f>
        <v>✗  AVOID</v>
      </c>
    </row>
    <row r="85" customFormat="false" ht="15" hidden="false" customHeight="true" outlineLevel="0" collapsed="false">
      <c r="A85" s="72" t="n">
        <v>45</v>
      </c>
      <c r="B85" s="73" t="n">
        <f aca="false">IF(Calculator!$E$11="YES",IF(A85&lt;Calculator!$G$11,0,MIN(MIN(MOD(A85/Calculator!$F$11,1),1-MOD(A85/Calculator!$F$11,1)),ABS(MOD(A85/Calculator!$F$11,1)-0.5))),1)</f>
        <v>1</v>
      </c>
      <c r="C85" s="73" t="n">
        <f aca="false">IF(Calculator!$E$12="YES",IF(A85&lt;Calculator!$G$12,0,MIN(MIN(MOD(A85/Calculator!$F$12,1),1-MOD(A85/Calculator!$F$12,1)),ABS(MOD(A85/Calculator!$F$12,1)-0.5))),1)</f>
        <v>1</v>
      </c>
      <c r="D85" s="73" t="n">
        <f aca="false">IF(Calculator!$E$13="YES",IF(A85&lt;Calculator!$G$13,0,MIN(MIN(MOD(A85/Calculator!$F$13,1),1-MOD(A85/Calculator!$F$13,1)),ABS(MOD(A85/Calculator!$F$13,1)-0.5))),1)</f>
        <v>1</v>
      </c>
      <c r="E85" s="73" t="n">
        <f aca="false">IF(Calculator!$E$14="YES",IF(A85&lt;Calculator!$G$14,0,MIN(MIN(MOD(A85/Calculator!$F$14,1),1-MOD(A85/Calculator!$F$14,1)),ABS(MOD(A85/Calculator!$F$14,1)-0.5))),1)</f>
        <v>1</v>
      </c>
      <c r="F85" s="73" t="n">
        <f aca="false">IF(Calculator!$E$15="YES",IF(A85&lt;Calculator!$G$15,0,MIN(MIN(MOD(A85/Calculator!$F$15,1),1-MOD(A85/Calculator!$F$15,1)),ABS(MOD(A85/Calculator!$F$15,1)-0.5))),1)</f>
        <v>0.115384615384615</v>
      </c>
      <c r="G85" s="73" t="n">
        <f aca="false">IF(Calculator!$E$16="YES",IF(A85&lt;Calculator!$G$16,0,MIN(MIN(MOD(A85/Calculator!$F$16,1),1-MOD(A85/Calculator!$F$16,1)),ABS(MOD(A85/Calculator!$F$16,1)-0.5))),1)</f>
        <v>0.138461538461538</v>
      </c>
      <c r="H85" s="73" t="n">
        <f aca="false">IF(Calculator!$E$17="YES",IF(A85&lt;Calculator!$G$17,0,MIN(MIN(MOD(A85/Calculator!$F$17,1),1-MOD(A85/Calculator!$F$17,1)),ABS(MOD(A85/Calculator!$F$17,1)-0.5))),1)</f>
        <v>0.074769230769232</v>
      </c>
      <c r="I85" s="73" t="n">
        <f aca="false">IF(Calculator!$E$18="YES",IF(A85&lt;Calculator!$G$18,0,MIN(MIN(MOD(A85/Calculator!$F$18,1),1-MOD(A85/Calculator!$F$18,1)),ABS(MOD(A85/Calculator!$F$18,1)-0.5))),1)</f>
        <v>0.0307692307692315</v>
      </c>
      <c r="J85" s="73" t="n">
        <f aca="false">IF(Calculator!$E$19="YES",IF(A85&lt;Calculator!$G$19,0,MIN(MIN(MOD(A85/Calculator!$F$19,1),1-MOD(A85/Calculator!$F$19,1)),ABS(MOD(A85/Calculator!$F$19,1)-0.5))),1)</f>
        <v>0.173846153846148</v>
      </c>
      <c r="K85" s="73" t="n">
        <f aca="false">IF(Calculator!$E$20="YES",IF(A85&lt;Calculator!$G$20,0,MIN(MIN(MOD(A85/Calculator!$F$20,1),1-MOD(A85/Calculator!$F$20,1)),ABS(MOD(A85/Calculator!$F$20,1)-0.5))),1)</f>
        <v>0.123076923076923</v>
      </c>
      <c r="L85" s="73" t="n">
        <f aca="false">IF(Calculator!$E$21="YES",IF(A85&lt;Calculator!$G$21,0,MIN(MIN(MOD(A85/Calculator!$F$21,1),1-MOD(A85/Calculator!$F$21,1)),ABS(MOD(A85/Calculator!$F$21,1)-0.5))),1)</f>
        <v>1</v>
      </c>
      <c r="M85" s="74" t="n">
        <f aca="false">MIN(B85:L85)</f>
        <v>0.0307692307692315</v>
      </c>
      <c r="N85" s="75" t="n">
        <f aca="false">SUMPRODUCT(($M$5:$M$115&gt;M85)*1)+SUMPRODUCT(($M$5:$M$115=M85)*(ROW($M$5:$M$115)&lt;ROW(M85)))+1</f>
        <v>51</v>
      </c>
      <c r="O85" s="76" t="str">
        <f aca="false">IF(M85&gt;=0.2,"★★★ EXCELLENT",IF(M85&gt;=0.12,"★★  GOOD",IF(M85&gt;=0.07,"★  FAIR",IF(M85&gt;=0.025,"⚠  MARGINAL","✗  AVOID"))))</f>
        <v>⚠  MARGINAL</v>
      </c>
    </row>
    <row r="86" customFormat="false" ht="15" hidden="false" customHeight="true" outlineLevel="0" collapsed="false">
      <c r="A86" s="72" t="n">
        <v>45.5</v>
      </c>
      <c r="B86" s="73" t="n">
        <f aca="false">IF(Calculator!$E$11="YES",IF(A86&lt;Calculator!$G$11,0,MIN(MIN(MOD(A86/Calculator!$F$11,1),1-MOD(A86/Calculator!$F$11,1)),ABS(MOD(A86/Calculator!$F$11,1)-0.5))),1)</f>
        <v>1</v>
      </c>
      <c r="C86" s="73" t="n">
        <f aca="false">IF(Calculator!$E$12="YES",IF(A86&lt;Calculator!$G$12,0,MIN(MIN(MOD(A86/Calculator!$F$12,1),1-MOD(A86/Calculator!$F$12,1)),ABS(MOD(A86/Calculator!$F$12,1)-0.5))),1)</f>
        <v>1</v>
      </c>
      <c r="D86" s="73" t="n">
        <f aca="false">IF(Calculator!$E$13="YES",IF(A86&lt;Calculator!$G$13,0,MIN(MIN(MOD(A86/Calculator!$F$13,1),1-MOD(A86/Calculator!$F$13,1)),ABS(MOD(A86/Calculator!$F$13,1)-0.5))),1)</f>
        <v>1</v>
      </c>
      <c r="E86" s="73" t="n">
        <f aca="false">IF(Calculator!$E$14="YES",IF(A86&lt;Calculator!$G$14,0,MIN(MIN(MOD(A86/Calculator!$F$14,1),1-MOD(A86/Calculator!$F$14,1)),ABS(MOD(A86/Calculator!$F$14,1)-0.5))),1)</f>
        <v>1</v>
      </c>
      <c r="F86" s="73" t="n">
        <f aca="false">IF(Calculator!$E$15="YES",IF(A86&lt;Calculator!$G$15,0,MIN(MIN(MOD(A86/Calculator!$F$15,1),1-MOD(A86/Calculator!$F$15,1)),ABS(MOD(A86/Calculator!$F$15,1)-0.5))),1)</f>
        <v>0.15</v>
      </c>
      <c r="G86" s="73" t="n">
        <f aca="false">IF(Calculator!$E$16="YES",IF(A86&lt;Calculator!$G$16,0,MIN(MIN(MOD(A86/Calculator!$F$16,1),1-MOD(A86/Calculator!$F$16,1)),ABS(MOD(A86/Calculator!$F$16,1)-0.5))),1)</f>
        <v>0.0899999999999999</v>
      </c>
      <c r="H86" s="73" t="n">
        <f aca="false">IF(Calculator!$E$17="YES",IF(A86&lt;Calculator!$G$17,0,MIN(MIN(MOD(A86/Calculator!$F$17,1),1-MOD(A86/Calculator!$F$17,1)),ABS(MOD(A86/Calculator!$F$17,1)-0.5))),1)</f>
        <v>0.136711111111112</v>
      </c>
      <c r="I86" s="73" t="n">
        <f aca="false">IF(Calculator!$E$18="YES",IF(A86&lt;Calculator!$G$18,0,MIN(MIN(MOD(A86/Calculator!$F$18,1),1-MOD(A86/Calculator!$F$18,1)),ABS(MOD(A86/Calculator!$F$18,1)-0.5))),1)</f>
        <v>0.103333333333334</v>
      </c>
      <c r="J86" s="73" t="n">
        <f aca="false">IF(Calculator!$E$19="YES",IF(A86&lt;Calculator!$G$19,0,MIN(MIN(MOD(A86/Calculator!$F$19,1),1-MOD(A86/Calculator!$F$19,1)),ABS(MOD(A86/Calculator!$F$19,1)-0.5))),1)</f>
        <v>0.240888888888895</v>
      </c>
      <c r="K86" s="73" t="n">
        <f aca="false">IF(Calculator!$E$20="YES",IF(A86&lt;Calculator!$G$20,0,MIN(MIN(MOD(A86/Calculator!$F$20,1),1-MOD(A86/Calculator!$F$20,1)),ABS(MOD(A86/Calculator!$F$20,1)-0.5))),1)</f>
        <v>0.0244444444444429</v>
      </c>
      <c r="L86" s="73" t="n">
        <f aca="false">IF(Calculator!$E$21="YES",IF(A86&lt;Calculator!$G$21,0,MIN(MIN(MOD(A86/Calculator!$F$21,1),1-MOD(A86/Calculator!$F$21,1)),ABS(MOD(A86/Calculator!$F$21,1)-0.5))),1)</f>
        <v>1</v>
      </c>
      <c r="M86" s="74" t="n">
        <f aca="false">MIN(B86:L86)</f>
        <v>0.0244444444444429</v>
      </c>
      <c r="N86" s="75" t="n">
        <f aca="false">SUMPRODUCT(($M$5:$M$115&gt;M86)*1)+SUMPRODUCT(($M$5:$M$115=M86)*(ROW($M$5:$M$115)&lt;ROW(M86)))+1</f>
        <v>61</v>
      </c>
      <c r="O86" s="76" t="str">
        <f aca="false">IF(M86&gt;=0.2,"★★★ EXCELLENT",IF(M86&gt;=0.12,"★★  GOOD",IF(M86&gt;=0.07,"★  FAIR",IF(M86&gt;=0.025,"⚠  MARGINAL","✗  AVOID"))))</f>
        <v>✗  AVOID</v>
      </c>
    </row>
    <row r="87" customFormat="false" ht="15" hidden="false" customHeight="true" outlineLevel="0" collapsed="false">
      <c r="A87" s="72" t="n">
        <v>46</v>
      </c>
      <c r="B87" s="73" t="n">
        <f aca="false">IF(Calculator!$E$11="YES",IF(A87&lt;Calculator!$G$11,0,MIN(MIN(MOD(A87/Calculator!$F$11,1),1-MOD(A87/Calculator!$F$11,1)),ABS(MOD(A87/Calculator!$F$11,1)-0.5))),1)</f>
        <v>1</v>
      </c>
      <c r="C87" s="73" t="n">
        <f aca="false">IF(Calculator!$E$12="YES",IF(A87&lt;Calculator!$G$12,0,MIN(MIN(MOD(A87/Calculator!$F$12,1),1-MOD(A87/Calculator!$F$12,1)),ABS(MOD(A87/Calculator!$F$12,1)-0.5))),1)</f>
        <v>1</v>
      </c>
      <c r="D87" s="73" t="n">
        <f aca="false">IF(Calculator!$E$13="YES",IF(A87&lt;Calculator!$G$13,0,MIN(MIN(MOD(A87/Calculator!$F$13,1),1-MOD(A87/Calculator!$F$13,1)),ABS(MOD(A87/Calculator!$F$13,1)-0.5))),1)</f>
        <v>1</v>
      </c>
      <c r="E87" s="73" t="n">
        <f aca="false">IF(Calculator!$E$14="YES",IF(A87&lt;Calculator!$G$14,0,MIN(MIN(MOD(A87/Calculator!$F$14,1),1-MOD(A87/Calculator!$F$14,1)),ABS(MOD(A87/Calculator!$F$14,1)-0.5))),1)</f>
        <v>1</v>
      </c>
      <c r="F87" s="73" t="n">
        <f aca="false">IF(Calculator!$E$15="YES",IF(A87&lt;Calculator!$G$15,0,MIN(MIN(MOD(A87/Calculator!$F$15,1),1-MOD(A87/Calculator!$F$15,1)),ABS(MOD(A87/Calculator!$F$15,1)-0.5))),1)</f>
        <v>0.184615384615384</v>
      </c>
      <c r="G87" s="73" t="n">
        <f aca="false">IF(Calculator!$E$16="YES",IF(A87&lt;Calculator!$G$16,0,MIN(MIN(MOD(A87/Calculator!$F$16,1),1-MOD(A87/Calculator!$F$16,1)),ABS(MOD(A87/Calculator!$F$16,1)-0.5))),1)</f>
        <v>0.0415384615384609</v>
      </c>
      <c r="H87" s="73" t="n">
        <f aca="false">IF(Calculator!$E$17="YES",IF(A87&lt;Calculator!$G$17,0,MIN(MIN(MOD(A87/Calculator!$F$17,1),1-MOD(A87/Calculator!$F$17,1)),ABS(MOD(A87/Calculator!$F$17,1)-0.5))),1)</f>
        <v>0.198652991452993</v>
      </c>
      <c r="I87" s="73" t="n">
        <f aca="false">IF(Calculator!$E$18="YES",IF(A87&lt;Calculator!$G$18,0,MIN(MIN(MOD(A87/Calculator!$F$18,1),1-MOD(A87/Calculator!$F$18,1)),ABS(MOD(A87/Calculator!$F$18,1)-0.5))),1)</f>
        <v>0.175897435897436</v>
      </c>
      <c r="J87" s="73" t="n">
        <f aca="false">IF(Calculator!$E$19="YES",IF(A87&lt;Calculator!$G$19,0,MIN(MIN(MOD(A87/Calculator!$F$19,1),1-MOD(A87/Calculator!$F$19,1)),ABS(MOD(A87/Calculator!$F$19,1)-0.5))),1)</f>
        <v>0.155623931623937</v>
      </c>
      <c r="K87" s="73" t="n">
        <f aca="false">IF(Calculator!$E$20="YES",IF(A87&lt;Calculator!$G$20,0,MIN(MIN(MOD(A87/Calculator!$F$20,1),1-MOD(A87/Calculator!$F$20,1)),ABS(MOD(A87/Calculator!$F$20,1)-0.5))),1)</f>
        <v>0.074188034188035</v>
      </c>
      <c r="L87" s="73" t="n">
        <f aca="false">IF(Calculator!$E$21="YES",IF(A87&lt;Calculator!$G$21,0,MIN(MIN(MOD(A87/Calculator!$F$21,1),1-MOD(A87/Calculator!$F$21,1)),ABS(MOD(A87/Calculator!$F$21,1)-0.5))),1)</f>
        <v>1</v>
      </c>
      <c r="M87" s="74" t="n">
        <f aca="false">MIN(B87:L87)</f>
        <v>0.0415384615384609</v>
      </c>
      <c r="N87" s="75" t="n">
        <f aca="false">SUMPRODUCT(($M$5:$M$115&gt;M87)*1)+SUMPRODUCT(($M$5:$M$115=M87)*(ROW($M$5:$M$115)&lt;ROW(M87)))+1</f>
        <v>35</v>
      </c>
      <c r="O87" s="76" t="str">
        <f aca="false">IF(M87&gt;=0.2,"★★★ EXCELLENT",IF(M87&gt;=0.12,"★★  GOOD",IF(M87&gt;=0.07,"★  FAIR",IF(M87&gt;=0.025,"⚠  MARGINAL","✗  AVOID"))))</f>
        <v>⚠  MARGINAL</v>
      </c>
    </row>
    <row r="88" customFormat="false" ht="15" hidden="false" customHeight="true" outlineLevel="0" collapsed="false">
      <c r="A88" s="72" t="n">
        <v>46.5</v>
      </c>
      <c r="B88" s="73" t="n">
        <f aca="false">IF(Calculator!$E$11="YES",IF(A88&lt;Calculator!$G$11,0,MIN(MIN(MOD(A88/Calculator!$F$11,1),1-MOD(A88/Calculator!$F$11,1)),ABS(MOD(A88/Calculator!$F$11,1)-0.5))),1)</f>
        <v>1</v>
      </c>
      <c r="C88" s="73" t="n">
        <f aca="false">IF(Calculator!$E$12="YES",IF(A88&lt;Calculator!$G$12,0,MIN(MIN(MOD(A88/Calculator!$F$12,1),1-MOD(A88/Calculator!$F$12,1)),ABS(MOD(A88/Calculator!$F$12,1)-0.5))),1)</f>
        <v>1</v>
      </c>
      <c r="D88" s="73" t="n">
        <f aca="false">IF(Calculator!$E$13="YES",IF(A88&lt;Calculator!$G$13,0,MIN(MIN(MOD(A88/Calculator!$F$13,1),1-MOD(A88/Calculator!$F$13,1)),ABS(MOD(A88/Calculator!$F$13,1)-0.5))),1)</f>
        <v>1</v>
      </c>
      <c r="E88" s="73" t="n">
        <f aca="false">IF(Calculator!$E$14="YES",IF(A88&lt;Calculator!$G$14,0,MIN(MIN(MOD(A88/Calculator!$F$14,1),1-MOD(A88/Calculator!$F$14,1)),ABS(MOD(A88/Calculator!$F$14,1)-0.5))),1)</f>
        <v>1</v>
      </c>
      <c r="F88" s="73" t="n">
        <f aca="false">IF(Calculator!$E$15="YES",IF(A88&lt;Calculator!$G$15,0,MIN(MIN(MOD(A88/Calculator!$F$15,1),1-MOD(A88/Calculator!$F$15,1)),ABS(MOD(A88/Calculator!$F$15,1)-0.5))),1)</f>
        <v>0.219230769230769</v>
      </c>
      <c r="G88" s="73" t="n">
        <f aca="false">IF(Calculator!$E$16="YES",IF(A88&lt;Calculator!$G$16,0,MIN(MIN(MOD(A88/Calculator!$F$16,1),1-MOD(A88/Calculator!$F$16,1)),ABS(MOD(A88/Calculator!$F$16,1)-0.5))),1)</f>
        <v>0.00692307692307725</v>
      </c>
      <c r="H88" s="73" t="n">
        <f aca="false">IF(Calculator!$E$17="YES",IF(A88&lt;Calculator!$G$17,0,MIN(MIN(MOD(A88/Calculator!$F$17,1),1-MOD(A88/Calculator!$F$17,1)),ABS(MOD(A88/Calculator!$F$17,1)-0.5))),1)</f>
        <v>0.239405128205127</v>
      </c>
      <c r="I88" s="73" t="n">
        <f aca="false">IF(Calculator!$E$18="YES",IF(A88&lt;Calculator!$G$18,0,MIN(MIN(MOD(A88/Calculator!$F$18,1),1-MOD(A88/Calculator!$F$18,1)),ABS(MOD(A88/Calculator!$F$18,1)-0.5))),1)</f>
        <v>0.248461538461539</v>
      </c>
      <c r="J88" s="73" t="n">
        <f aca="false">IF(Calculator!$E$19="YES",IF(A88&lt;Calculator!$G$19,0,MIN(MIN(MOD(A88/Calculator!$F$19,1),1-MOD(A88/Calculator!$F$19,1)),ABS(MOD(A88/Calculator!$F$19,1)-0.5))),1)</f>
        <v>0.0703589743589799</v>
      </c>
      <c r="K88" s="73" t="n">
        <f aca="false">IF(Calculator!$E$20="YES",IF(A88&lt;Calculator!$G$20,0,MIN(MIN(MOD(A88/Calculator!$F$20,1),1-MOD(A88/Calculator!$F$20,1)),ABS(MOD(A88/Calculator!$F$20,1)-0.5))),1)</f>
        <v>0.172820512820515</v>
      </c>
      <c r="L88" s="73" t="n">
        <f aca="false">IF(Calculator!$E$21="YES",IF(A88&lt;Calculator!$G$21,0,MIN(MIN(MOD(A88/Calculator!$F$21,1),1-MOD(A88/Calculator!$F$21,1)),ABS(MOD(A88/Calculator!$F$21,1)-0.5))),1)</f>
        <v>1</v>
      </c>
      <c r="M88" s="74" t="n">
        <f aca="false">MIN(B88:L88)</f>
        <v>0.00692307692307725</v>
      </c>
      <c r="N88" s="75" t="n">
        <f aca="false">SUMPRODUCT(($M$5:$M$115&gt;M88)*1)+SUMPRODUCT(($M$5:$M$115=M88)*(ROW($M$5:$M$115)&lt;ROW(M88)))+1</f>
        <v>96</v>
      </c>
      <c r="O88" s="76" t="str">
        <f aca="false">IF(M88&gt;=0.2,"★★★ EXCELLENT",IF(M88&gt;=0.12,"★★  GOOD",IF(M88&gt;=0.07,"★  FAIR",IF(M88&gt;=0.025,"⚠  MARGINAL","✗  AVOID"))))</f>
        <v>✗  AVOID</v>
      </c>
    </row>
    <row r="89" customFormat="false" ht="15" hidden="false" customHeight="true" outlineLevel="0" collapsed="false">
      <c r="A89" s="72" t="n">
        <v>47</v>
      </c>
      <c r="B89" s="73" t="n">
        <f aca="false">IF(Calculator!$E$11="YES",IF(A89&lt;Calculator!$G$11,0,MIN(MIN(MOD(A89/Calculator!$F$11,1),1-MOD(A89/Calculator!$F$11,1)),ABS(MOD(A89/Calculator!$F$11,1)-0.5))),1)</f>
        <v>1</v>
      </c>
      <c r="C89" s="73" t="n">
        <f aca="false">IF(Calculator!$E$12="YES",IF(A89&lt;Calculator!$G$12,0,MIN(MIN(MOD(A89/Calculator!$F$12,1),1-MOD(A89/Calculator!$F$12,1)),ABS(MOD(A89/Calculator!$F$12,1)-0.5))),1)</f>
        <v>1</v>
      </c>
      <c r="D89" s="73" t="n">
        <f aca="false">IF(Calculator!$E$13="YES",IF(A89&lt;Calculator!$G$13,0,MIN(MIN(MOD(A89/Calculator!$F$13,1),1-MOD(A89/Calculator!$F$13,1)),ABS(MOD(A89/Calculator!$F$13,1)-0.5))),1)</f>
        <v>1</v>
      </c>
      <c r="E89" s="73" t="n">
        <f aca="false">IF(Calculator!$E$14="YES",IF(A89&lt;Calculator!$G$14,0,MIN(MIN(MOD(A89/Calculator!$F$14,1),1-MOD(A89/Calculator!$F$14,1)),ABS(MOD(A89/Calculator!$F$14,1)-0.5))),1)</f>
        <v>1</v>
      </c>
      <c r="F89" s="73" t="n">
        <f aca="false">IF(Calculator!$E$15="YES",IF(A89&lt;Calculator!$G$15,0,MIN(MIN(MOD(A89/Calculator!$F$15,1),1-MOD(A89/Calculator!$F$15,1)),ABS(MOD(A89/Calculator!$F$15,1)-0.5))),1)</f>
        <v>0.246153846153846</v>
      </c>
      <c r="G89" s="73" t="n">
        <f aca="false">IF(Calculator!$E$16="YES",IF(A89&lt;Calculator!$G$16,0,MIN(MIN(MOD(A89/Calculator!$F$16,1),1-MOD(A89/Calculator!$F$16,1)),ABS(MOD(A89/Calculator!$F$16,1)-0.5))),1)</f>
        <v>0.0553846153846163</v>
      </c>
      <c r="H89" s="73" t="n">
        <f aca="false">IF(Calculator!$E$17="YES",IF(A89&lt;Calculator!$G$17,0,MIN(MIN(MOD(A89/Calculator!$F$17,1),1-MOD(A89/Calculator!$F$17,1)),ABS(MOD(A89/Calculator!$F$17,1)-0.5))),1)</f>
        <v>0.177463247863247</v>
      </c>
      <c r="I89" s="73" t="n">
        <f aca="false">IF(Calculator!$E$18="YES",IF(A89&lt;Calculator!$G$18,0,MIN(MIN(MOD(A89/Calculator!$F$18,1),1-MOD(A89/Calculator!$F$18,1)),ABS(MOD(A89/Calculator!$F$18,1)-0.5))),1)</f>
        <v>0.178974358974358</v>
      </c>
      <c r="J89" s="73" t="n">
        <f aca="false">IF(Calculator!$E$19="YES",IF(A89&lt;Calculator!$G$19,0,MIN(MIN(MOD(A89/Calculator!$F$19,1),1-MOD(A89/Calculator!$F$19,1)),ABS(MOD(A89/Calculator!$F$19,1)-0.5))),1)</f>
        <v>0.0149059829059777</v>
      </c>
      <c r="K89" s="73" t="n">
        <f aca="false">IF(Calculator!$E$20="YES",IF(A89&lt;Calculator!$G$20,0,MIN(MIN(MOD(A89/Calculator!$F$20,1),1-MOD(A89/Calculator!$F$20,1)),ABS(MOD(A89/Calculator!$F$20,1)-0.5))),1)</f>
        <v>0.228547008547007</v>
      </c>
      <c r="L89" s="73" t="n">
        <f aca="false">IF(Calculator!$E$21="YES",IF(A89&lt;Calculator!$G$21,0,MIN(MIN(MOD(A89/Calculator!$F$21,1),1-MOD(A89/Calculator!$F$21,1)),ABS(MOD(A89/Calculator!$F$21,1)-0.5))),1)</f>
        <v>1</v>
      </c>
      <c r="M89" s="74" t="n">
        <f aca="false">MIN(B89:L89)</f>
        <v>0.0149059829059777</v>
      </c>
      <c r="N89" s="75" t="n">
        <f aca="false">SUMPRODUCT(($M$5:$M$115&gt;M89)*1)+SUMPRODUCT(($M$5:$M$115=M89)*(ROW($M$5:$M$115)&lt;ROW(M89)))+1</f>
        <v>79</v>
      </c>
      <c r="O89" s="76" t="str">
        <f aca="false">IF(M89&gt;=0.2,"★★★ EXCELLENT",IF(M89&gt;=0.12,"★★  GOOD",IF(M89&gt;=0.07,"★  FAIR",IF(M89&gt;=0.025,"⚠  MARGINAL","✗  AVOID"))))</f>
        <v>✗  AVOID</v>
      </c>
    </row>
    <row r="90" customFormat="false" ht="15" hidden="false" customHeight="true" outlineLevel="0" collapsed="false">
      <c r="A90" s="72" t="n">
        <v>47.5</v>
      </c>
      <c r="B90" s="73" t="n">
        <f aca="false">IF(Calculator!$E$11="YES",IF(A90&lt;Calculator!$G$11,0,MIN(MIN(MOD(A90/Calculator!$F$11,1),1-MOD(A90/Calculator!$F$11,1)),ABS(MOD(A90/Calculator!$F$11,1)-0.5))),1)</f>
        <v>1</v>
      </c>
      <c r="C90" s="73" t="n">
        <f aca="false">IF(Calculator!$E$12="YES",IF(A90&lt;Calculator!$G$12,0,MIN(MIN(MOD(A90/Calculator!$F$12,1),1-MOD(A90/Calculator!$F$12,1)),ABS(MOD(A90/Calculator!$F$12,1)-0.5))),1)</f>
        <v>1</v>
      </c>
      <c r="D90" s="73" t="n">
        <f aca="false">IF(Calculator!$E$13="YES",IF(A90&lt;Calculator!$G$13,0,MIN(MIN(MOD(A90/Calculator!$F$13,1),1-MOD(A90/Calculator!$F$13,1)),ABS(MOD(A90/Calculator!$F$13,1)-0.5))),1)</f>
        <v>1</v>
      </c>
      <c r="E90" s="73" t="n">
        <f aca="false">IF(Calculator!$E$14="YES",IF(A90&lt;Calculator!$G$14,0,MIN(MIN(MOD(A90/Calculator!$F$14,1),1-MOD(A90/Calculator!$F$14,1)),ABS(MOD(A90/Calculator!$F$14,1)-0.5))),1)</f>
        <v>1</v>
      </c>
      <c r="F90" s="73" t="n">
        <f aca="false">IF(Calculator!$E$15="YES",IF(A90&lt;Calculator!$G$15,0,MIN(MIN(MOD(A90/Calculator!$F$15,1),1-MOD(A90/Calculator!$F$15,1)),ABS(MOD(A90/Calculator!$F$15,1)-0.5))),1)</f>
        <v>0.211538461538462</v>
      </c>
      <c r="G90" s="73" t="n">
        <f aca="false">IF(Calculator!$E$16="YES",IF(A90&lt;Calculator!$G$16,0,MIN(MIN(MOD(A90/Calculator!$F$16,1),1-MOD(A90/Calculator!$F$16,1)),ABS(MOD(A90/Calculator!$F$16,1)-0.5))),1)</f>
        <v>0.103846153846154</v>
      </c>
      <c r="H90" s="73" t="n">
        <f aca="false">IF(Calculator!$E$17="YES",IF(A90&lt;Calculator!$G$17,0,MIN(MIN(MOD(A90/Calculator!$F$17,1),1-MOD(A90/Calculator!$F$17,1)),ABS(MOD(A90/Calculator!$F$17,1)-0.5))),1)</f>
        <v>0.115521367521366</v>
      </c>
      <c r="I90" s="73" t="n">
        <f aca="false">IF(Calculator!$E$18="YES",IF(A90&lt;Calculator!$G$18,0,MIN(MIN(MOD(A90/Calculator!$F$18,1),1-MOD(A90/Calculator!$F$18,1)),ABS(MOD(A90/Calculator!$F$18,1)-0.5))),1)</f>
        <v>0.106410256410256</v>
      </c>
      <c r="J90" s="73" t="n">
        <f aca="false">IF(Calculator!$E$19="YES",IF(A90&lt;Calculator!$G$19,0,MIN(MIN(MOD(A90/Calculator!$F$19,1),1-MOD(A90/Calculator!$F$19,1)),ABS(MOD(A90/Calculator!$F$19,1)-0.5))),1)</f>
        <v>0.100170940170933</v>
      </c>
      <c r="K90" s="73" t="n">
        <f aca="false">IF(Calculator!$E$20="YES",IF(A90&lt;Calculator!$G$20,0,MIN(MIN(MOD(A90/Calculator!$F$20,1),1-MOD(A90/Calculator!$F$20,1)),ABS(MOD(A90/Calculator!$F$20,1)-0.5))),1)</f>
        <v>0.129914529914529</v>
      </c>
      <c r="L90" s="73" t="n">
        <f aca="false">IF(Calculator!$E$21="YES",IF(A90&lt;Calculator!$G$21,0,MIN(MIN(MOD(A90/Calculator!$F$21,1),1-MOD(A90/Calculator!$F$21,1)),ABS(MOD(A90/Calculator!$F$21,1)-0.5))),1)</f>
        <v>1</v>
      </c>
      <c r="M90" s="74" t="n">
        <f aca="false">MIN(B90:L90)</f>
        <v>0.100170940170933</v>
      </c>
      <c r="N90" s="75" t="n">
        <f aca="false">SUMPRODUCT(($M$5:$M$115&gt;M90)*1)+SUMPRODUCT(($M$5:$M$115=M90)*(ROW($M$5:$M$115)&lt;ROW(M90)))+1</f>
        <v>8</v>
      </c>
      <c r="O90" s="76" t="str">
        <f aca="false">IF(M90&gt;=0.2,"★★★ EXCELLENT",IF(M90&gt;=0.12,"★★  GOOD",IF(M90&gt;=0.07,"★  FAIR",IF(M90&gt;=0.025,"⚠  MARGINAL","✗  AVOID"))))</f>
        <v>★  FAIR</v>
      </c>
    </row>
    <row r="91" customFormat="false" ht="15" hidden="false" customHeight="true" outlineLevel="0" collapsed="false">
      <c r="A91" s="72" t="n">
        <v>48</v>
      </c>
      <c r="B91" s="73" t="n">
        <f aca="false">IF(Calculator!$E$11="YES",IF(A91&lt;Calculator!$G$11,0,MIN(MIN(MOD(A91/Calculator!$F$11,1),1-MOD(A91/Calculator!$F$11,1)),ABS(MOD(A91/Calculator!$F$11,1)-0.5))),1)</f>
        <v>1</v>
      </c>
      <c r="C91" s="73" t="n">
        <f aca="false">IF(Calculator!$E$12="YES",IF(A91&lt;Calculator!$G$12,0,MIN(MIN(MOD(A91/Calculator!$F$12,1),1-MOD(A91/Calculator!$F$12,1)),ABS(MOD(A91/Calculator!$F$12,1)-0.5))),1)</f>
        <v>1</v>
      </c>
      <c r="D91" s="73" t="n">
        <f aca="false">IF(Calculator!$E$13="YES",IF(A91&lt;Calculator!$G$13,0,MIN(MIN(MOD(A91/Calculator!$F$13,1),1-MOD(A91/Calculator!$F$13,1)),ABS(MOD(A91/Calculator!$F$13,1)-0.5))),1)</f>
        <v>1</v>
      </c>
      <c r="E91" s="73" t="n">
        <f aca="false">IF(Calculator!$E$14="YES",IF(A91&lt;Calculator!$G$14,0,MIN(MIN(MOD(A91/Calculator!$F$14,1),1-MOD(A91/Calculator!$F$14,1)),ABS(MOD(A91/Calculator!$F$14,1)-0.5))),1)</f>
        <v>1</v>
      </c>
      <c r="F91" s="73" t="n">
        <f aca="false">IF(Calculator!$E$15="YES",IF(A91&lt;Calculator!$G$15,0,MIN(MIN(MOD(A91/Calculator!$F$15,1),1-MOD(A91/Calculator!$F$15,1)),ABS(MOD(A91/Calculator!$F$15,1)-0.5))),1)</f>
        <v>0.176923076923077</v>
      </c>
      <c r="G91" s="73" t="n">
        <f aca="false">IF(Calculator!$E$16="YES",IF(A91&lt;Calculator!$G$16,0,MIN(MIN(MOD(A91/Calculator!$F$16,1),1-MOD(A91/Calculator!$F$16,1)),ABS(MOD(A91/Calculator!$F$16,1)-0.5))),1)</f>
        <v>0.152307692307692</v>
      </c>
      <c r="H91" s="73" t="n">
        <f aca="false">IF(Calculator!$E$17="YES",IF(A91&lt;Calculator!$G$17,0,MIN(MIN(MOD(A91/Calculator!$F$17,1),1-MOD(A91/Calculator!$F$17,1)),ABS(MOD(A91/Calculator!$F$17,1)-0.5))),1)</f>
        <v>0.0535794871794861</v>
      </c>
      <c r="I91" s="73" t="n">
        <f aca="false">IF(Calculator!$E$18="YES",IF(A91&lt;Calculator!$G$18,0,MIN(MIN(MOD(A91/Calculator!$F$18,1),1-MOD(A91/Calculator!$F$18,1)),ABS(MOD(A91/Calculator!$F$18,1)-0.5))),1)</f>
        <v>0.0338461538461532</v>
      </c>
      <c r="J91" s="73" t="n">
        <f aca="false">IF(Calculator!$E$19="YES",IF(A91&lt;Calculator!$G$19,0,MIN(MIN(MOD(A91/Calculator!$F$19,1),1-MOD(A91/Calculator!$F$19,1)),ABS(MOD(A91/Calculator!$F$19,1)-0.5))),1)</f>
        <v>0.185435897435891</v>
      </c>
      <c r="K91" s="73" t="n">
        <f aca="false">IF(Calculator!$E$20="YES",IF(A91&lt;Calculator!$G$20,0,MIN(MIN(MOD(A91/Calculator!$F$20,1),1-MOD(A91/Calculator!$F$20,1)),ABS(MOD(A91/Calculator!$F$20,1)-0.5))),1)</f>
        <v>0.0312820512820498</v>
      </c>
      <c r="L91" s="73" t="n">
        <f aca="false">IF(Calculator!$E$21="YES",IF(A91&lt;Calculator!$G$21,0,MIN(MIN(MOD(A91/Calculator!$F$21,1),1-MOD(A91/Calculator!$F$21,1)),ABS(MOD(A91/Calculator!$F$21,1)-0.5))),1)</f>
        <v>1</v>
      </c>
      <c r="M91" s="74" t="n">
        <f aca="false">MIN(B91:L91)</f>
        <v>0.0312820512820498</v>
      </c>
      <c r="N91" s="75" t="n">
        <f aca="false">SUMPRODUCT(($M$5:$M$115&gt;M91)*1)+SUMPRODUCT(($M$5:$M$115=M91)*(ROW($M$5:$M$115)&lt;ROW(M91)))+1</f>
        <v>50</v>
      </c>
      <c r="O91" s="76" t="str">
        <f aca="false">IF(M91&gt;=0.2,"★★★ EXCELLENT",IF(M91&gt;=0.12,"★★  GOOD",IF(M91&gt;=0.07,"★  FAIR",IF(M91&gt;=0.025,"⚠  MARGINAL","✗  AVOID"))))</f>
        <v>⚠  MARGINAL</v>
      </c>
    </row>
    <row r="92" customFormat="false" ht="15" hidden="false" customHeight="true" outlineLevel="0" collapsed="false">
      <c r="A92" s="72" t="n">
        <v>48.5</v>
      </c>
      <c r="B92" s="73" t="n">
        <f aca="false">IF(Calculator!$E$11="YES",IF(A92&lt;Calculator!$G$11,0,MIN(MIN(MOD(A92/Calculator!$F$11,1),1-MOD(A92/Calculator!$F$11,1)),ABS(MOD(A92/Calculator!$F$11,1)-0.5))),1)</f>
        <v>1</v>
      </c>
      <c r="C92" s="73" t="n">
        <f aca="false">IF(Calculator!$E$12="YES",IF(A92&lt;Calculator!$G$12,0,MIN(MIN(MOD(A92/Calculator!$F$12,1),1-MOD(A92/Calculator!$F$12,1)),ABS(MOD(A92/Calculator!$F$12,1)-0.5))),1)</f>
        <v>1</v>
      </c>
      <c r="D92" s="73" t="n">
        <f aca="false">IF(Calculator!$E$13="YES",IF(A92&lt;Calculator!$G$13,0,MIN(MIN(MOD(A92/Calculator!$F$13,1),1-MOD(A92/Calculator!$F$13,1)),ABS(MOD(A92/Calculator!$F$13,1)-0.5))),1)</f>
        <v>1</v>
      </c>
      <c r="E92" s="73" t="n">
        <f aca="false">IF(Calculator!$E$14="YES",IF(A92&lt;Calculator!$G$14,0,MIN(MIN(MOD(A92/Calculator!$F$14,1),1-MOD(A92/Calculator!$F$14,1)),ABS(MOD(A92/Calculator!$F$14,1)-0.5))),1)</f>
        <v>1</v>
      </c>
      <c r="F92" s="73" t="n">
        <f aca="false">IF(Calculator!$E$15="YES",IF(A92&lt;Calculator!$G$15,0,MIN(MIN(MOD(A92/Calculator!$F$15,1),1-MOD(A92/Calculator!$F$15,1)),ABS(MOD(A92/Calculator!$F$15,1)-0.5))),1)</f>
        <v>0.142307692307692</v>
      </c>
      <c r="G92" s="73" t="n">
        <f aca="false">IF(Calculator!$E$16="YES",IF(A92&lt;Calculator!$G$16,0,MIN(MIN(MOD(A92/Calculator!$F$16,1),1-MOD(A92/Calculator!$F$16,1)),ABS(MOD(A92/Calculator!$F$16,1)-0.5))),1)</f>
        <v>0.200769230769231</v>
      </c>
      <c r="H92" s="73" t="n">
        <f aca="false">IF(Calculator!$E$17="YES",IF(A92&lt;Calculator!$G$17,0,MIN(MIN(MOD(A92/Calculator!$F$17,1),1-MOD(A92/Calculator!$F$17,1)),ABS(MOD(A92/Calculator!$F$17,1)-0.5))),1)</f>
        <v>0.00836239316239418</v>
      </c>
      <c r="I92" s="73" t="n">
        <f aca="false">IF(Calculator!$E$18="YES",IF(A92&lt;Calculator!$G$18,0,MIN(MIN(MOD(A92/Calculator!$F$18,1),1-MOD(A92/Calculator!$F$18,1)),ABS(MOD(A92/Calculator!$F$18,1)-0.5))),1)</f>
        <v>0.0387179487179496</v>
      </c>
      <c r="J92" s="73" t="n">
        <f aca="false">IF(Calculator!$E$19="YES",IF(A92&lt;Calculator!$G$19,0,MIN(MIN(MOD(A92/Calculator!$F$19,1),1-MOD(A92/Calculator!$F$19,1)),ABS(MOD(A92/Calculator!$F$19,1)-0.5))),1)</f>
        <v>0.229299145299152</v>
      </c>
      <c r="K92" s="73" t="n">
        <f aca="false">IF(Calculator!$E$20="YES",IF(A92&lt;Calculator!$G$20,0,MIN(MIN(MOD(A92/Calculator!$F$20,1),1-MOD(A92/Calculator!$F$20,1)),ABS(MOD(A92/Calculator!$F$20,1)-0.5))),1)</f>
        <v>0.0673504273504282</v>
      </c>
      <c r="L92" s="73" t="n">
        <f aca="false">IF(Calculator!$E$21="YES",IF(A92&lt;Calculator!$G$21,0,MIN(MIN(MOD(A92/Calculator!$F$21,1),1-MOD(A92/Calculator!$F$21,1)),ABS(MOD(A92/Calculator!$F$21,1)-0.5))),1)</f>
        <v>1</v>
      </c>
      <c r="M92" s="74" t="n">
        <f aca="false">MIN(B92:L92)</f>
        <v>0.00836239316239418</v>
      </c>
      <c r="N92" s="75" t="n">
        <f aca="false">SUMPRODUCT(($M$5:$M$115&gt;M92)*1)+SUMPRODUCT(($M$5:$M$115=M92)*(ROW($M$5:$M$115)&lt;ROW(M92)))+1</f>
        <v>90</v>
      </c>
      <c r="O92" s="76" t="str">
        <f aca="false">IF(M92&gt;=0.2,"★★★ EXCELLENT",IF(M92&gt;=0.12,"★★  GOOD",IF(M92&gt;=0.07,"★  FAIR",IF(M92&gt;=0.025,"⚠  MARGINAL","✗  AVOID"))))</f>
        <v>✗  AVOID</v>
      </c>
    </row>
    <row r="93" customFormat="false" ht="15" hidden="false" customHeight="true" outlineLevel="0" collapsed="false">
      <c r="A93" s="72" t="n">
        <v>49</v>
      </c>
      <c r="B93" s="73" t="n">
        <f aca="false">IF(Calculator!$E$11="YES",IF(A93&lt;Calculator!$G$11,0,MIN(MIN(MOD(A93/Calculator!$F$11,1),1-MOD(A93/Calculator!$F$11,1)),ABS(MOD(A93/Calculator!$F$11,1)-0.5))),1)</f>
        <v>1</v>
      </c>
      <c r="C93" s="73" t="n">
        <f aca="false">IF(Calculator!$E$12="YES",IF(A93&lt;Calculator!$G$12,0,MIN(MIN(MOD(A93/Calculator!$F$12,1),1-MOD(A93/Calculator!$F$12,1)),ABS(MOD(A93/Calculator!$F$12,1)-0.5))),1)</f>
        <v>1</v>
      </c>
      <c r="D93" s="73" t="n">
        <f aca="false">IF(Calculator!$E$13="YES",IF(A93&lt;Calculator!$G$13,0,MIN(MIN(MOD(A93/Calculator!$F$13,1),1-MOD(A93/Calculator!$F$13,1)),ABS(MOD(A93/Calculator!$F$13,1)-0.5))),1)</f>
        <v>1</v>
      </c>
      <c r="E93" s="73" t="n">
        <f aca="false">IF(Calculator!$E$14="YES",IF(A93&lt;Calculator!$G$14,0,MIN(MIN(MOD(A93/Calculator!$F$14,1),1-MOD(A93/Calculator!$F$14,1)),ABS(MOD(A93/Calculator!$F$14,1)-0.5))),1)</f>
        <v>1</v>
      </c>
      <c r="F93" s="73" t="n">
        <f aca="false">IF(Calculator!$E$15="YES",IF(A93&lt;Calculator!$G$15,0,MIN(MIN(MOD(A93/Calculator!$F$15,1),1-MOD(A93/Calculator!$F$15,1)),ABS(MOD(A93/Calculator!$F$15,1)-0.5))),1)</f>
        <v>0.107692307692308</v>
      </c>
      <c r="G93" s="73" t="n">
        <f aca="false">IF(Calculator!$E$16="YES",IF(A93&lt;Calculator!$G$16,0,MIN(MIN(MOD(A93/Calculator!$F$16,1),1-MOD(A93/Calculator!$F$16,1)),ABS(MOD(A93/Calculator!$F$16,1)-0.5))),1)</f>
        <v>0.24923076923077</v>
      </c>
      <c r="H93" s="73" t="n">
        <f aca="false">IF(Calculator!$E$17="YES",IF(A93&lt;Calculator!$G$17,0,MIN(MIN(MOD(A93/Calculator!$F$17,1),1-MOD(A93/Calculator!$F$17,1)),ABS(MOD(A93/Calculator!$F$17,1)-0.5))),1)</f>
        <v>0.0703042735042745</v>
      </c>
      <c r="I93" s="73" t="n">
        <f aca="false">IF(Calculator!$E$18="YES",IF(A93&lt;Calculator!$G$18,0,MIN(MIN(MOD(A93/Calculator!$F$18,1),1-MOD(A93/Calculator!$F$18,1)),ABS(MOD(A93/Calculator!$F$18,1)-0.5))),1)</f>
        <v>0.111282051282052</v>
      </c>
      <c r="J93" s="73" t="n">
        <f aca="false">IF(Calculator!$E$19="YES",IF(A93&lt;Calculator!$G$19,0,MIN(MIN(MOD(A93/Calculator!$F$19,1),1-MOD(A93/Calculator!$F$19,1)),ABS(MOD(A93/Calculator!$F$19,1)-0.5))),1)</f>
        <v>0.144034188034194</v>
      </c>
      <c r="K93" s="73" t="n">
        <f aca="false">IF(Calculator!$E$20="YES",IF(A93&lt;Calculator!$G$20,0,MIN(MIN(MOD(A93/Calculator!$F$20,1),1-MOD(A93/Calculator!$F$20,1)),ABS(MOD(A93/Calculator!$F$20,1)-0.5))),1)</f>
        <v>0.165982905982908</v>
      </c>
      <c r="L93" s="73" t="n">
        <f aca="false">IF(Calculator!$E$21="YES",IF(A93&lt;Calculator!$G$21,0,MIN(MIN(MOD(A93/Calculator!$F$21,1),1-MOD(A93/Calculator!$F$21,1)),ABS(MOD(A93/Calculator!$F$21,1)-0.5))),1)</f>
        <v>1</v>
      </c>
      <c r="M93" s="74" t="n">
        <f aca="false">MIN(B93:L93)</f>
        <v>0.0703042735042745</v>
      </c>
      <c r="N93" s="75" t="n">
        <f aca="false">SUMPRODUCT(($M$5:$M$115&gt;M93)*1)+SUMPRODUCT(($M$5:$M$115=M93)*(ROW($M$5:$M$115)&lt;ROW(M93)))+1</f>
        <v>15</v>
      </c>
      <c r="O93" s="76" t="str">
        <f aca="false">IF(M93&gt;=0.2,"★★★ EXCELLENT",IF(M93&gt;=0.12,"★★  GOOD",IF(M93&gt;=0.07,"★  FAIR",IF(M93&gt;=0.025,"⚠  MARGINAL","✗  AVOID"))))</f>
        <v>★  FAIR</v>
      </c>
    </row>
    <row r="94" customFormat="false" ht="15" hidden="false" customHeight="true" outlineLevel="0" collapsed="false">
      <c r="A94" s="72" t="n">
        <v>49.5</v>
      </c>
      <c r="B94" s="73" t="n">
        <f aca="false">IF(Calculator!$E$11="YES",IF(A94&lt;Calculator!$G$11,0,MIN(MIN(MOD(A94/Calculator!$F$11,1),1-MOD(A94/Calculator!$F$11,1)),ABS(MOD(A94/Calculator!$F$11,1)-0.5))),1)</f>
        <v>1</v>
      </c>
      <c r="C94" s="73" t="n">
        <f aca="false">IF(Calculator!$E$12="YES",IF(A94&lt;Calculator!$G$12,0,MIN(MIN(MOD(A94/Calculator!$F$12,1),1-MOD(A94/Calculator!$F$12,1)),ABS(MOD(A94/Calculator!$F$12,1)-0.5))),1)</f>
        <v>1</v>
      </c>
      <c r="D94" s="73" t="n">
        <f aca="false">IF(Calculator!$E$13="YES",IF(A94&lt;Calculator!$G$13,0,MIN(MIN(MOD(A94/Calculator!$F$13,1),1-MOD(A94/Calculator!$F$13,1)),ABS(MOD(A94/Calculator!$F$13,1)-0.5))),1)</f>
        <v>1</v>
      </c>
      <c r="E94" s="73" t="n">
        <f aca="false">IF(Calculator!$E$14="YES",IF(A94&lt;Calculator!$G$14,0,MIN(MIN(MOD(A94/Calculator!$F$14,1),1-MOD(A94/Calculator!$F$14,1)),ABS(MOD(A94/Calculator!$F$14,1)-0.5))),1)</f>
        <v>1</v>
      </c>
      <c r="F94" s="73" t="n">
        <f aca="false">IF(Calculator!$E$15="YES",IF(A94&lt;Calculator!$G$15,0,MIN(MIN(MOD(A94/Calculator!$F$15,1),1-MOD(A94/Calculator!$F$15,1)),ABS(MOD(A94/Calculator!$F$15,1)-0.5))),1)</f>
        <v>0.0730769230769233</v>
      </c>
      <c r="G94" s="73" t="n">
        <f aca="false">IF(Calculator!$E$16="YES",IF(A94&lt;Calculator!$G$16,0,MIN(MIN(MOD(A94/Calculator!$F$16,1),1-MOD(A94/Calculator!$F$16,1)),ABS(MOD(A94/Calculator!$F$16,1)-0.5))),1)</f>
        <v>0.202307692307691</v>
      </c>
      <c r="H94" s="73" t="n">
        <f aca="false">IF(Calculator!$E$17="YES",IF(A94&lt;Calculator!$G$17,0,MIN(MIN(MOD(A94/Calculator!$F$17,1),1-MOD(A94/Calculator!$F$17,1)),ABS(MOD(A94/Calculator!$F$17,1)-0.5))),1)</f>
        <v>0.132246153846155</v>
      </c>
      <c r="I94" s="73" t="n">
        <f aca="false">IF(Calculator!$E$18="YES",IF(A94&lt;Calculator!$G$18,0,MIN(MIN(MOD(A94/Calculator!$F$18,1),1-MOD(A94/Calculator!$F$18,1)),ABS(MOD(A94/Calculator!$F$18,1)-0.5))),1)</f>
        <v>0.183846153846154</v>
      </c>
      <c r="J94" s="73" t="n">
        <f aca="false">IF(Calculator!$E$19="YES",IF(A94&lt;Calculator!$G$19,0,MIN(MIN(MOD(A94/Calculator!$F$19,1),1-MOD(A94/Calculator!$F$19,1)),ABS(MOD(A94/Calculator!$F$19,1)-0.5))),1)</f>
        <v>0.0587692307692365</v>
      </c>
      <c r="K94" s="73" t="n">
        <f aca="false">IF(Calculator!$E$20="YES",IF(A94&lt;Calculator!$G$20,0,MIN(MIN(MOD(A94/Calculator!$F$20,1),1-MOD(A94/Calculator!$F$20,1)),ABS(MOD(A94/Calculator!$F$20,1)-0.5))),1)</f>
        <v>0.235384615384614</v>
      </c>
      <c r="L94" s="73" t="n">
        <f aca="false">IF(Calculator!$E$21="YES",IF(A94&lt;Calculator!$G$21,0,MIN(MIN(MOD(A94/Calculator!$F$21,1),1-MOD(A94/Calculator!$F$21,1)),ABS(MOD(A94/Calculator!$F$21,1)-0.5))),1)</f>
        <v>1</v>
      </c>
      <c r="M94" s="74" t="n">
        <f aca="false">MIN(B94:L94)</f>
        <v>0.0587692307692365</v>
      </c>
      <c r="N94" s="75" t="n">
        <f aca="false">SUMPRODUCT(($M$5:$M$115&gt;M94)*1)+SUMPRODUCT(($M$5:$M$115=M94)*(ROW($M$5:$M$115)&lt;ROW(M94)))+1</f>
        <v>24</v>
      </c>
      <c r="O94" s="76" t="str">
        <f aca="false">IF(M94&gt;=0.2,"★★★ EXCELLENT",IF(M94&gt;=0.12,"★★  GOOD",IF(M94&gt;=0.07,"★  FAIR",IF(M94&gt;=0.025,"⚠  MARGINAL","✗  AVOID"))))</f>
        <v>⚠  MARGINAL</v>
      </c>
    </row>
    <row r="95" customFormat="false" ht="15" hidden="false" customHeight="true" outlineLevel="0" collapsed="false">
      <c r="A95" s="72" t="n">
        <v>50</v>
      </c>
      <c r="B95" s="73" t="n">
        <f aca="false">IF(Calculator!$E$11="YES",IF(A95&lt;Calculator!$G$11,0,MIN(MIN(MOD(A95/Calculator!$F$11,1),1-MOD(A95/Calculator!$F$11,1)),ABS(MOD(A95/Calculator!$F$11,1)-0.5))),1)</f>
        <v>1</v>
      </c>
      <c r="C95" s="73" t="n">
        <f aca="false">IF(Calculator!$E$12="YES",IF(A95&lt;Calculator!$G$12,0,MIN(MIN(MOD(A95/Calculator!$F$12,1),1-MOD(A95/Calculator!$F$12,1)),ABS(MOD(A95/Calculator!$F$12,1)-0.5))),1)</f>
        <v>1</v>
      </c>
      <c r="D95" s="73" t="n">
        <f aca="false">IF(Calculator!$E$13="YES",IF(A95&lt;Calculator!$G$13,0,MIN(MIN(MOD(A95/Calculator!$F$13,1),1-MOD(A95/Calculator!$F$13,1)),ABS(MOD(A95/Calculator!$F$13,1)-0.5))),1)</f>
        <v>1</v>
      </c>
      <c r="E95" s="73" t="n">
        <f aca="false">IF(Calculator!$E$14="YES",IF(A95&lt;Calculator!$G$14,0,MIN(MIN(MOD(A95/Calculator!$F$14,1),1-MOD(A95/Calculator!$F$14,1)),ABS(MOD(A95/Calculator!$F$14,1)-0.5))),1)</f>
        <v>1</v>
      </c>
      <c r="F95" s="73" t="n">
        <f aca="false">IF(Calculator!$E$15="YES",IF(A95&lt;Calculator!$G$15,0,MIN(MIN(MOD(A95/Calculator!$F$15,1),1-MOD(A95/Calculator!$F$15,1)),ABS(MOD(A95/Calculator!$F$15,1)-0.5))),1)</f>
        <v>0.0384615384615383</v>
      </c>
      <c r="G95" s="73" t="n">
        <f aca="false">IF(Calculator!$E$16="YES",IF(A95&lt;Calculator!$G$16,0,MIN(MIN(MOD(A95/Calculator!$F$16,1),1-MOD(A95/Calculator!$F$16,1)),ABS(MOD(A95/Calculator!$F$16,1)-0.5))),1)</f>
        <v>0.153846153846153</v>
      </c>
      <c r="H95" s="73" t="n">
        <f aca="false">IF(Calculator!$E$17="YES",IF(A95&lt;Calculator!$G$17,0,MIN(MIN(MOD(A95/Calculator!$F$17,1),1-MOD(A95/Calculator!$F$17,1)),ABS(MOD(A95/Calculator!$F$17,1)-0.5))),1)</f>
        <v>0.194188034188035</v>
      </c>
      <c r="I95" s="73" t="n">
        <f aca="false">IF(Calculator!$E$18="YES",IF(A95&lt;Calculator!$G$18,0,MIN(MIN(MOD(A95/Calculator!$F$18,1),1-MOD(A95/Calculator!$F$18,1)),ABS(MOD(A95/Calculator!$F$18,1)-0.5))),1)</f>
        <v>0.243589743589743</v>
      </c>
      <c r="J95" s="73" t="n">
        <f aca="false">IF(Calculator!$E$19="YES",IF(A95&lt;Calculator!$G$19,0,MIN(MIN(MOD(A95/Calculator!$F$19,1),1-MOD(A95/Calculator!$F$19,1)),ABS(MOD(A95/Calculator!$F$19,1)-0.5))),1)</f>
        <v>0.0264957264957193</v>
      </c>
      <c r="K95" s="73" t="n">
        <f aca="false">IF(Calculator!$E$20="YES",IF(A95&lt;Calculator!$G$20,0,MIN(MIN(MOD(A95/Calculator!$F$20,1),1-MOD(A95/Calculator!$F$20,1)),ABS(MOD(A95/Calculator!$F$20,1)-0.5))),1)</f>
        <v>0.136752136752136</v>
      </c>
      <c r="L95" s="73" t="n">
        <f aca="false">IF(Calculator!$E$21="YES",IF(A95&lt;Calculator!$G$21,0,MIN(MIN(MOD(A95/Calculator!$F$21,1),1-MOD(A95/Calculator!$F$21,1)),ABS(MOD(A95/Calculator!$F$21,1)-0.5))),1)</f>
        <v>1</v>
      </c>
      <c r="M95" s="74" t="n">
        <f aca="false">MIN(B95:L95)</f>
        <v>0.0264957264957193</v>
      </c>
      <c r="N95" s="75" t="n">
        <f aca="false">SUMPRODUCT(($M$5:$M$115&gt;M95)*1)+SUMPRODUCT(($M$5:$M$115=M95)*(ROW($M$5:$M$115)&lt;ROW(M95)))+1</f>
        <v>58</v>
      </c>
      <c r="O95" s="76" t="str">
        <f aca="false">IF(M95&gt;=0.2,"★★★ EXCELLENT",IF(M95&gt;=0.12,"★★  GOOD",IF(M95&gt;=0.07,"★  FAIR",IF(M95&gt;=0.025,"⚠  MARGINAL","✗  AVOID"))))</f>
        <v>⚠  MARGINAL</v>
      </c>
    </row>
    <row r="96" customFormat="false" ht="15" hidden="false" customHeight="true" outlineLevel="0" collapsed="false">
      <c r="A96" s="72" t="n">
        <v>50.5</v>
      </c>
      <c r="B96" s="73" t="n">
        <f aca="false">IF(Calculator!$E$11="YES",IF(A96&lt;Calculator!$G$11,0,MIN(MIN(MOD(A96/Calculator!$F$11,1),1-MOD(A96/Calculator!$F$11,1)),ABS(MOD(A96/Calculator!$F$11,1)-0.5))),1)</f>
        <v>1</v>
      </c>
      <c r="C96" s="73" t="n">
        <f aca="false">IF(Calculator!$E$12="YES",IF(A96&lt;Calculator!$G$12,0,MIN(MIN(MOD(A96/Calculator!$F$12,1),1-MOD(A96/Calculator!$F$12,1)),ABS(MOD(A96/Calculator!$F$12,1)-0.5))),1)</f>
        <v>1</v>
      </c>
      <c r="D96" s="73" t="n">
        <f aca="false">IF(Calculator!$E$13="YES",IF(A96&lt;Calculator!$G$13,0,MIN(MIN(MOD(A96/Calculator!$F$13,1),1-MOD(A96/Calculator!$F$13,1)),ABS(MOD(A96/Calculator!$F$13,1)-0.5))),1)</f>
        <v>1</v>
      </c>
      <c r="E96" s="73" t="n">
        <f aca="false">IF(Calculator!$E$14="YES",IF(A96&lt;Calculator!$G$14,0,MIN(MIN(MOD(A96/Calculator!$F$14,1),1-MOD(A96/Calculator!$F$14,1)),ABS(MOD(A96/Calculator!$F$14,1)-0.5))),1)</f>
        <v>1</v>
      </c>
      <c r="F96" s="73" t="n">
        <f aca="false">IF(Calculator!$E$15="YES",IF(A96&lt;Calculator!$G$15,0,MIN(MIN(MOD(A96/Calculator!$F$15,1),1-MOD(A96/Calculator!$F$15,1)),ABS(MOD(A96/Calculator!$F$15,1)-0.5))),1)</f>
        <v>0.00384615384615383</v>
      </c>
      <c r="G96" s="73" t="n">
        <f aca="false">IF(Calculator!$E$16="YES",IF(A96&lt;Calculator!$G$16,0,MIN(MIN(MOD(A96/Calculator!$F$16,1),1-MOD(A96/Calculator!$F$16,1)),ABS(MOD(A96/Calculator!$F$16,1)-0.5))),1)</f>
        <v>0.105384615384615</v>
      </c>
      <c r="H96" s="73" t="n">
        <f aca="false">IF(Calculator!$E$17="YES",IF(A96&lt;Calculator!$G$17,0,MIN(MIN(MOD(A96/Calculator!$F$17,1),1-MOD(A96/Calculator!$F$17,1)),ABS(MOD(A96/Calculator!$F$17,1)-0.5))),1)</f>
        <v>0.243870085470085</v>
      </c>
      <c r="I96" s="73" t="n">
        <f aca="false">IF(Calculator!$E$18="YES",IF(A96&lt;Calculator!$G$18,0,MIN(MIN(MOD(A96/Calculator!$F$18,1),1-MOD(A96/Calculator!$F$18,1)),ABS(MOD(A96/Calculator!$F$18,1)-0.5))),1)</f>
        <v>0.17102564102564</v>
      </c>
      <c r="J96" s="73" t="n">
        <f aca="false">IF(Calculator!$E$19="YES",IF(A96&lt;Calculator!$G$19,0,MIN(MIN(MOD(A96/Calculator!$F$19,1),1-MOD(A96/Calculator!$F$19,1)),ABS(MOD(A96/Calculator!$F$19,1)-0.5))),1)</f>
        <v>0.111760683760677</v>
      </c>
      <c r="K96" s="73" t="n">
        <f aca="false">IF(Calculator!$E$20="YES",IF(A96&lt;Calculator!$G$20,0,MIN(MIN(MOD(A96/Calculator!$F$20,1),1-MOD(A96/Calculator!$F$20,1)),ABS(MOD(A96/Calculator!$F$20,1)-0.5))),1)</f>
        <v>0.0381196581196566</v>
      </c>
      <c r="L96" s="73" t="n">
        <f aca="false">IF(Calculator!$E$21="YES",IF(A96&lt;Calculator!$G$21,0,MIN(MIN(MOD(A96/Calculator!$F$21,1),1-MOD(A96/Calculator!$F$21,1)),ABS(MOD(A96/Calculator!$F$21,1)-0.5))),1)</f>
        <v>1</v>
      </c>
      <c r="M96" s="74" t="n">
        <f aca="false">MIN(B96:L96)</f>
        <v>0.00384615384615383</v>
      </c>
      <c r="N96" s="75" t="n">
        <f aca="false">SUMPRODUCT(($M$5:$M$115&gt;M96)*1)+SUMPRODUCT(($M$5:$M$115=M96)*(ROW($M$5:$M$115)&lt;ROW(M96)))+1</f>
        <v>101</v>
      </c>
      <c r="O96" s="76" t="str">
        <f aca="false">IF(M96&gt;=0.2,"★★★ EXCELLENT",IF(M96&gt;=0.12,"★★  GOOD",IF(M96&gt;=0.07,"★  FAIR",IF(M96&gt;=0.025,"⚠  MARGINAL","✗  AVOID"))))</f>
        <v>✗  AVOID</v>
      </c>
    </row>
    <row r="97" customFormat="false" ht="15" hidden="false" customHeight="true" outlineLevel="0" collapsed="false">
      <c r="A97" s="72" t="n">
        <v>51</v>
      </c>
      <c r="B97" s="73" t="n">
        <f aca="false">IF(Calculator!$E$11="YES",IF(A97&lt;Calculator!$G$11,0,MIN(MIN(MOD(A97/Calculator!$F$11,1),1-MOD(A97/Calculator!$F$11,1)),ABS(MOD(A97/Calculator!$F$11,1)-0.5))),1)</f>
        <v>1</v>
      </c>
      <c r="C97" s="73" t="n">
        <f aca="false">IF(Calculator!$E$12="YES",IF(A97&lt;Calculator!$G$12,0,MIN(MIN(MOD(A97/Calculator!$F$12,1),1-MOD(A97/Calculator!$F$12,1)),ABS(MOD(A97/Calculator!$F$12,1)-0.5))),1)</f>
        <v>1</v>
      </c>
      <c r="D97" s="73" t="n">
        <f aca="false">IF(Calculator!$E$13="YES",IF(A97&lt;Calculator!$G$13,0,MIN(MIN(MOD(A97/Calculator!$F$13,1),1-MOD(A97/Calculator!$F$13,1)),ABS(MOD(A97/Calculator!$F$13,1)-0.5))),1)</f>
        <v>1</v>
      </c>
      <c r="E97" s="73" t="n">
        <f aca="false">IF(Calculator!$E$14="YES",IF(A97&lt;Calculator!$G$14,0,MIN(MIN(MOD(A97/Calculator!$F$14,1),1-MOD(A97/Calculator!$F$14,1)),ABS(MOD(A97/Calculator!$F$14,1)-0.5))),1)</f>
        <v>1</v>
      </c>
      <c r="F97" s="73" t="n">
        <f aca="false">IF(Calculator!$E$15="YES",IF(A97&lt;Calculator!$G$15,0,MIN(MIN(MOD(A97/Calculator!$F$15,1),1-MOD(A97/Calculator!$F$15,1)),ABS(MOD(A97/Calculator!$F$15,1)-0.5))),1)</f>
        <v>0.0307692307692307</v>
      </c>
      <c r="G97" s="73" t="n">
        <f aca="false">IF(Calculator!$E$16="YES",IF(A97&lt;Calculator!$G$16,0,MIN(MIN(MOD(A97/Calculator!$F$16,1),1-MOD(A97/Calculator!$F$16,1)),ABS(MOD(A97/Calculator!$F$16,1)-0.5))),1)</f>
        <v>0.0569230769230762</v>
      </c>
      <c r="H97" s="73" t="n">
        <f aca="false">IF(Calculator!$E$17="YES",IF(A97&lt;Calculator!$G$17,0,MIN(MIN(MOD(A97/Calculator!$F$17,1),1-MOD(A97/Calculator!$F$17,1)),ABS(MOD(A97/Calculator!$F$17,1)-0.5))),1)</f>
        <v>0.181928205128204</v>
      </c>
      <c r="I97" s="73" t="n">
        <f aca="false">IF(Calculator!$E$18="YES",IF(A97&lt;Calculator!$G$18,0,MIN(MIN(MOD(A97/Calculator!$F$18,1),1-MOD(A97/Calculator!$F$18,1)),ABS(MOD(A97/Calculator!$F$18,1)-0.5))),1)</f>
        <v>0.0984615384615379</v>
      </c>
      <c r="J97" s="73" t="n">
        <f aca="false">IF(Calculator!$E$19="YES",IF(A97&lt;Calculator!$G$19,0,MIN(MIN(MOD(A97/Calculator!$F$19,1),1-MOD(A97/Calculator!$F$19,1)),ABS(MOD(A97/Calculator!$F$19,1)-0.5))),1)</f>
        <v>0.197025641025634</v>
      </c>
      <c r="K97" s="73" t="n">
        <f aca="false">IF(Calculator!$E$20="YES",IF(A97&lt;Calculator!$G$20,0,MIN(MIN(MOD(A97/Calculator!$F$20,1),1-MOD(A97/Calculator!$F$20,1)),ABS(MOD(A97/Calculator!$F$20,1)-0.5))),1)</f>
        <v>0.0605128205128214</v>
      </c>
      <c r="L97" s="73" t="n">
        <f aca="false">IF(Calculator!$E$21="YES",IF(A97&lt;Calculator!$G$21,0,MIN(MIN(MOD(A97/Calculator!$F$21,1),1-MOD(A97/Calculator!$F$21,1)),ABS(MOD(A97/Calculator!$F$21,1)-0.5))),1)</f>
        <v>1</v>
      </c>
      <c r="M97" s="74" t="n">
        <f aca="false">MIN(B97:L97)</f>
        <v>0.0307692307692307</v>
      </c>
      <c r="N97" s="75" t="n">
        <f aca="false">SUMPRODUCT(($M$5:$M$115&gt;M97)*1)+SUMPRODUCT(($M$5:$M$115=M97)*(ROW($M$5:$M$115)&lt;ROW(M97)))+1</f>
        <v>53</v>
      </c>
      <c r="O97" s="76" t="str">
        <f aca="false">IF(M97&gt;=0.2,"★★★ EXCELLENT",IF(M97&gt;=0.12,"★★  GOOD",IF(M97&gt;=0.07,"★  FAIR",IF(M97&gt;=0.025,"⚠  MARGINAL","✗  AVOID"))))</f>
        <v>⚠  MARGINAL</v>
      </c>
    </row>
    <row r="98" customFormat="false" ht="15" hidden="false" customHeight="true" outlineLevel="0" collapsed="false">
      <c r="A98" s="72" t="n">
        <v>51.5</v>
      </c>
      <c r="B98" s="73" t="n">
        <f aca="false">IF(Calculator!$E$11="YES",IF(A98&lt;Calculator!$G$11,0,MIN(MIN(MOD(A98/Calculator!$F$11,1),1-MOD(A98/Calculator!$F$11,1)),ABS(MOD(A98/Calculator!$F$11,1)-0.5))),1)</f>
        <v>1</v>
      </c>
      <c r="C98" s="73" t="n">
        <f aca="false">IF(Calculator!$E$12="YES",IF(A98&lt;Calculator!$G$12,0,MIN(MIN(MOD(A98/Calculator!$F$12,1),1-MOD(A98/Calculator!$F$12,1)),ABS(MOD(A98/Calculator!$F$12,1)-0.5))),1)</f>
        <v>1</v>
      </c>
      <c r="D98" s="73" t="n">
        <f aca="false">IF(Calculator!$E$13="YES",IF(A98&lt;Calculator!$G$13,0,MIN(MIN(MOD(A98/Calculator!$F$13,1),1-MOD(A98/Calculator!$F$13,1)),ABS(MOD(A98/Calculator!$F$13,1)-0.5))),1)</f>
        <v>1</v>
      </c>
      <c r="E98" s="73" t="n">
        <f aca="false">IF(Calculator!$E$14="YES",IF(A98&lt;Calculator!$G$14,0,MIN(MIN(MOD(A98/Calculator!$F$14,1),1-MOD(A98/Calculator!$F$14,1)),ABS(MOD(A98/Calculator!$F$14,1)-0.5))),1)</f>
        <v>1</v>
      </c>
      <c r="F98" s="73" t="n">
        <f aca="false">IF(Calculator!$E$15="YES",IF(A98&lt;Calculator!$G$15,0,MIN(MIN(MOD(A98/Calculator!$F$15,1),1-MOD(A98/Calculator!$F$15,1)),ABS(MOD(A98/Calculator!$F$15,1)-0.5))),1)</f>
        <v>0.0653846153846152</v>
      </c>
      <c r="G98" s="73" t="n">
        <f aca="false">IF(Calculator!$E$16="YES",IF(A98&lt;Calculator!$G$16,0,MIN(MIN(MOD(A98/Calculator!$F$16,1),1-MOD(A98/Calculator!$F$16,1)),ABS(MOD(A98/Calculator!$F$16,1)-0.5))),1)</f>
        <v>0.00846153846153808</v>
      </c>
      <c r="H98" s="73" t="n">
        <f aca="false">IF(Calculator!$E$17="YES",IF(A98&lt;Calculator!$G$17,0,MIN(MIN(MOD(A98/Calculator!$F$17,1),1-MOD(A98/Calculator!$F$17,1)),ABS(MOD(A98/Calculator!$F$17,1)-0.5))),1)</f>
        <v>0.119986324786324</v>
      </c>
      <c r="I98" s="73" t="n">
        <f aca="false">IF(Calculator!$E$18="YES",IF(A98&lt;Calculator!$G$18,0,MIN(MIN(MOD(A98/Calculator!$F$18,1),1-MOD(A98/Calculator!$F$18,1)),ABS(MOD(A98/Calculator!$F$18,1)-0.5))),1)</f>
        <v>0.0258974358974351</v>
      </c>
      <c r="J98" s="73" t="n">
        <f aca="false">IF(Calculator!$E$19="YES",IF(A98&lt;Calculator!$G$19,0,MIN(MIN(MOD(A98/Calculator!$F$19,1),1-MOD(A98/Calculator!$F$19,1)),ABS(MOD(A98/Calculator!$F$19,1)-0.5))),1)</f>
        <v>0.217709401709408</v>
      </c>
      <c r="K98" s="73" t="n">
        <f aca="false">IF(Calculator!$E$20="YES",IF(A98&lt;Calculator!$G$20,0,MIN(MIN(MOD(A98/Calculator!$F$20,1),1-MOD(A98/Calculator!$F$20,1)),ABS(MOD(A98/Calculator!$F$20,1)-0.5))),1)</f>
        <v>0.159145299145301</v>
      </c>
      <c r="L98" s="73" t="n">
        <f aca="false">IF(Calculator!$E$21="YES",IF(A98&lt;Calculator!$G$21,0,MIN(MIN(MOD(A98/Calculator!$F$21,1),1-MOD(A98/Calculator!$F$21,1)),ABS(MOD(A98/Calculator!$F$21,1)-0.5))),1)</f>
        <v>1</v>
      </c>
      <c r="M98" s="74" t="n">
        <f aca="false">MIN(B98:L98)</f>
        <v>0.00846153846153808</v>
      </c>
      <c r="N98" s="75" t="n">
        <f aca="false">SUMPRODUCT(($M$5:$M$115&gt;M98)*1)+SUMPRODUCT(($M$5:$M$115=M98)*(ROW($M$5:$M$115)&lt;ROW(M98)))+1</f>
        <v>89</v>
      </c>
      <c r="O98" s="76" t="str">
        <f aca="false">IF(M98&gt;=0.2,"★★★ EXCELLENT",IF(M98&gt;=0.12,"★★  GOOD",IF(M98&gt;=0.07,"★  FAIR",IF(M98&gt;=0.025,"⚠  MARGINAL","✗  AVOID"))))</f>
        <v>✗  AVOID</v>
      </c>
    </row>
    <row r="99" customFormat="false" ht="15" hidden="false" customHeight="true" outlineLevel="0" collapsed="false">
      <c r="A99" s="72" t="n">
        <v>52</v>
      </c>
      <c r="B99" s="73" t="n">
        <f aca="false">IF(Calculator!$E$11="YES",IF(A99&lt;Calculator!$G$11,0,MIN(MIN(MOD(A99/Calculator!$F$11,1),1-MOD(A99/Calculator!$F$11,1)),ABS(MOD(A99/Calculator!$F$11,1)-0.5))),1)</f>
        <v>1</v>
      </c>
      <c r="C99" s="73" t="n">
        <f aca="false">IF(Calculator!$E$12="YES",IF(A99&lt;Calculator!$G$12,0,MIN(MIN(MOD(A99/Calculator!$F$12,1),1-MOD(A99/Calculator!$F$12,1)),ABS(MOD(A99/Calculator!$F$12,1)-0.5))),1)</f>
        <v>1</v>
      </c>
      <c r="D99" s="73" t="n">
        <f aca="false">IF(Calculator!$E$13="YES",IF(A99&lt;Calculator!$G$13,0,MIN(MIN(MOD(A99/Calculator!$F$13,1),1-MOD(A99/Calculator!$F$13,1)),ABS(MOD(A99/Calculator!$F$13,1)-0.5))),1)</f>
        <v>1</v>
      </c>
      <c r="E99" s="73" t="n">
        <f aca="false">IF(Calculator!$E$14="YES",IF(A99&lt;Calculator!$G$14,0,MIN(MIN(MOD(A99/Calculator!$F$14,1),1-MOD(A99/Calculator!$F$14,1)),ABS(MOD(A99/Calculator!$F$14,1)-0.5))),1)</f>
        <v>1</v>
      </c>
      <c r="F99" s="73" t="n">
        <f aca="false">IF(Calculator!$E$15="YES",IF(A99&lt;Calculator!$G$15,0,MIN(MIN(MOD(A99/Calculator!$F$15,1),1-MOD(A99/Calculator!$F$15,1)),ABS(MOD(A99/Calculator!$F$15,1)-0.5))),1)</f>
        <v>0.1</v>
      </c>
      <c r="G99" s="73" t="n">
        <f aca="false">IF(Calculator!$E$16="YES",IF(A99&lt;Calculator!$G$16,0,MIN(MIN(MOD(A99/Calculator!$F$16,1),1-MOD(A99/Calculator!$F$16,1)),ABS(MOD(A99/Calculator!$F$16,1)-0.5))),1)</f>
        <v>0.0400000000000009</v>
      </c>
      <c r="H99" s="73" t="n">
        <f aca="false">IF(Calculator!$E$17="YES",IF(A99&lt;Calculator!$G$17,0,MIN(MIN(MOD(A99/Calculator!$F$17,1),1-MOD(A99/Calculator!$F$17,1)),ABS(MOD(A99/Calculator!$F$17,1)-0.5))),1)</f>
        <v>0.0580444444444437</v>
      </c>
      <c r="I99" s="73" t="n">
        <f aca="false">IF(Calculator!$E$18="YES",IF(A99&lt;Calculator!$G$18,0,MIN(MIN(MOD(A99/Calculator!$F$18,1),1-MOD(A99/Calculator!$F$18,1)),ABS(MOD(A99/Calculator!$F$18,1)-0.5))),1)</f>
        <v>0.0466666666666677</v>
      </c>
      <c r="J99" s="73" t="n">
        <f aca="false">IF(Calculator!$E$19="YES",IF(A99&lt;Calculator!$G$19,0,MIN(MIN(MOD(A99/Calculator!$F$19,1),1-MOD(A99/Calculator!$F$19,1)),ABS(MOD(A99/Calculator!$F$19,1)-0.5))),1)</f>
        <v>0.132444444444451</v>
      </c>
      <c r="K99" s="73" t="n">
        <f aca="false">IF(Calculator!$E$20="YES",IF(A99&lt;Calculator!$G$20,0,MIN(MIN(MOD(A99/Calculator!$F$20,1),1-MOD(A99/Calculator!$F$20,1)),ABS(MOD(A99/Calculator!$F$20,1)-0.5))),1)</f>
        <v>0.242222222222221</v>
      </c>
      <c r="L99" s="73" t="n">
        <f aca="false">IF(Calculator!$E$21="YES",IF(A99&lt;Calculator!$G$21,0,MIN(MIN(MOD(A99/Calculator!$F$21,1),1-MOD(A99/Calculator!$F$21,1)),ABS(MOD(A99/Calculator!$F$21,1)-0.5))),1)</f>
        <v>1</v>
      </c>
      <c r="M99" s="74" t="n">
        <f aca="false">MIN(B99:L99)</f>
        <v>0.0400000000000009</v>
      </c>
      <c r="N99" s="75" t="n">
        <f aca="false">SUMPRODUCT(($M$5:$M$115&gt;M99)*1)+SUMPRODUCT(($M$5:$M$115=M99)*(ROW($M$5:$M$115)&lt;ROW(M99)))+1</f>
        <v>37</v>
      </c>
      <c r="O99" s="76" t="str">
        <f aca="false">IF(M99&gt;=0.2,"★★★ EXCELLENT",IF(M99&gt;=0.12,"★★  GOOD",IF(M99&gt;=0.07,"★  FAIR",IF(M99&gt;=0.025,"⚠  MARGINAL","✗  AVOID"))))</f>
        <v>⚠  MARGINAL</v>
      </c>
    </row>
    <row r="100" customFormat="false" ht="15" hidden="false" customHeight="true" outlineLevel="0" collapsed="false">
      <c r="A100" s="72" t="n">
        <v>52.5</v>
      </c>
      <c r="B100" s="73" t="n">
        <f aca="false">IF(Calculator!$E$11="YES",IF(A100&lt;Calculator!$G$11,0,MIN(MIN(MOD(A100/Calculator!$F$11,1),1-MOD(A100/Calculator!$F$11,1)),ABS(MOD(A100/Calculator!$F$11,1)-0.5))),1)</f>
        <v>1</v>
      </c>
      <c r="C100" s="73" t="n">
        <f aca="false">IF(Calculator!$E$12="YES",IF(A100&lt;Calculator!$G$12,0,MIN(MIN(MOD(A100/Calculator!$F$12,1),1-MOD(A100/Calculator!$F$12,1)),ABS(MOD(A100/Calculator!$F$12,1)-0.5))),1)</f>
        <v>1</v>
      </c>
      <c r="D100" s="73" t="n">
        <f aca="false">IF(Calculator!$E$13="YES",IF(A100&lt;Calculator!$G$13,0,MIN(MIN(MOD(A100/Calculator!$F$13,1),1-MOD(A100/Calculator!$F$13,1)),ABS(MOD(A100/Calculator!$F$13,1)-0.5))),1)</f>
        <v>1</v>
      </c>
      <c r="E100" s="73" t="n">
        <f aca="false">IF(Calculator!$E$14="YES",IF(A100&lt;Calculator!$G$14,0,MIN(MIN(MOD(A100/Calculator!$F$14,1),1-MOD(A100/Calculator!$F$14,1)),ABS(MOD(A100/Calculator!$F$14,1)-0.5))),1)</f>
        <v>1</v>
      </c>
      <c r="F100" s="73" t="n">
        <f aca="false">IF(Calculator!$E$15="YES",IF(A100&lt;Calculator!$G$15,0,MIN(MIN(MOD(A100/Calculator!$F$15,1),1-MOD(A100/Calculator!$F$15,1)),ABS(MOD(A100/Calculator!$F$15,1)-0.5))),1)</f>
        <v>0.134615384615385</v>
      </c>
      <c r="G100" s="73" t="n">
        <f aca="false">IF(Calculator!$E$16="YES",IF(A100&lt;Calculator!$G$16,0,MIN(MIN(MOD(A100/Calculator!$F$16,1),1-MOD(A100/Calculator!$F$16,1)),ABS(MOD(A100/Calculator!$F$16,1)-0.5))),1)</f>
        <v>0.088461538461539</v>
      </c>
      <c r="H100" s="73" t="n">
        <f aca="false">IF(Calculator!$E$17="YES",IF(A100&lt;Calculator!$G$17,0,MIN(MIN(MOD(A100/Calculator!$F$17,1),1-MOD(A100/Calculator!$F$17,1)),ABS(MOD(A100/Calculator!$F$17,1)-0.5))),1)</f>
        <v>0.00389743589743752</v>
      </c>
      <c r="I100" s="73" t="n">
        <f aca="false">IF(Calculator!$E$18="YES",IF(A100&lt;Calculator!$G$18,0,MIN(MIN(MOD(A100/Calculator!$F$18,1),1-MOD(A100/Calculator!$F$18,1)),ABS(MOD(A100/Calculator!$F$18,1)-0.5))),1)</f>
        <v>0.11923076923077</v>
      </c>
      <c r="J100" s="73" t="n">
        <f aca="false">IF(Calculator!$E$19="YES",IF(A100&lt;Calculator!$G$19,0,MIN(MIN(MOD(A100/Calculator!$F$19,1),1-MOD(A100/Calculator!$F$19,1)),ABS(MOD(A100/Calculator!$F$19,1)-0.5))),1)</f>
        <v>0.0471794871794931</v>
      </c>
      <c r="K100" s="73" t="n">
        <f aca="false">IF(Calculator!$E$20="YES",IF(A100&lt;Calculator!$G$20,0,MIN(MIN(MOD(A100/Calculator!$F$20,1),1-MOD(A100/Calculator!$F$20,1)),ABS(MOD(A100/Calculator!$F$20,1)-0.5))),1)</f>
        <v>0.143589743589743</v>
      </c>
      <c r="L100" s="73" t="n">
        <f aca="false">IF(Calculator!$E$21="YES",IF(A100&lt;Calculator!$G$21,0,MIN(MIN(MOD(A100/Calculator!$F$21,1),1-MOD(A100/Calculator!$F$21,1)),ABS(MOD(A100/Calculator!$F$21,1)-0.5))),1)</f>
        <v>1</v>
      </c>
      <c r="M100" s="74" t="n">
        <f aca="false">MIN(B100:L100)</f>
        <v>0.00389743589743752</v>
      </c>
      <c r="N100" s="75" t="n">
        <f aca="false">SUMPRODUCT(($M$5:$M$115&gt;M100)*1)+SUMPRODUCT(($M$5:$M$115=M100)*(ROW($M$5:$M$115)&lt;ROW(M100)))+1</f>
        <v>99</v>
      </c>
      <c r="O100" s="76" t="str">
        <f aca="false">IF(M100&gt;=0.2,"★★★ EXCELLENT",IF(M100&gt;=0.12,"★★  GOOD",IF(M100&gt;=0.07,"★  FAIR",IF(M100&gt;=0.025,"⚠  MARGINAL","✗  AVOID"))))</f>
        <v>✗  AVOID</v>
      </c>
    </row>
    <row r="101" customFormat="false" ht="15" hidden="false" customHeight="true" outlineLevel="0" collapsed="false">
      <c r="A101" s="72" t="n">
        <v>53</v>
      </c>
      <c r="B101" s="73" t="n">
        <f aca="false">IF(Calculator!$E$11="YES",IF(A101&lt;Calculator!$G$11,0,MIN(MIN(MOD(A101/Calculator!$F$11,1),1-MOD(A101/Calculator!$F$11,1)),ABS(MOD(A101/Calculator!$F$11,1)-0.5))),1)</f>
        <v>1</v>
      </c>
      <c r="C101" s="73" t="n">
        <f aca="false">IF(Calculator!$E$12="YES",IF(A101&lt;Calculator!$G$12,0,MIN(MIN(MOD(A101/Calculator!$F$12,1),1-MOD(A101/Calculator!$F$12,1)),ABS(MOD(A101/Calculator!$F$12,1)-0.5))),1)</f>
        <v>1</v>
      </c>
      <c r="D101" s="73" t="n">
        <f aca="false">IF(Calculator!$E$13="YES",IF(A101&lt;Calculator!$G$13,0,MIN(MIN(MOD(A101/Calculator!$F$13,1),1-MOD(A101/Calculator!$F$13,1)),ABS(MOD(A101/Calculator!$F$13,1)-0.5))),1)</f>
        <v>1</v>
      </c>
      <c r="E101" s="73" t="n">
        <f aca="false">IF(Calculator!$E$14="YES",IF(A101&lt;Calculator!$G$14,0,MIN(MIN(MOD(A101/Calculator!$F$14,1),1-MOD(A101/Calculator!$F$14,1)),ABS(MOD(A101/Calculator!$F$14,1)-0.5))),1)</f>
        <v>1</v>
      </c>
      <c r="F101" s="73" t="n">
        <f aca="false">IF(Calculator!$E$15="YES",IF(A101&lt;Calculator!$G$15,0,MIN(MIN(MOD(A101/Calculator!$F$15,1),1-MOD(A101/Calculator!$F$15,1)),ABS(MOD(A101/Calculator!$F$15,1)-0.5))),1)</f>
        <v>0.169230769230769</v>
      </c>
      <c r="G101" s="73" t="n">
        <f aca="false">IF(Calculator!$E$16="YES",IF(A101&lt;Calculator!$G$16,0,MIN(MIN(MOD(A101/Calculator!$F$16,1),1-MOD(A101/Calculator!$F$16,1)),ABS(MOD(A101/Calculator!$F$16,1)-0.5))),1)</f>
        <v>0.136923076923077</v>
      </c>
      <c r="H101" s="73" t="n">
        <f aca="false">IF(Calculator!$E$17="YES",IF(A101&lt;Calculator!$G$17,0,MIN(MIN(MOD(A101/Calculator!$F$17,1),1-MOD(A101/Calculator!$F$17,1)),ABS(MOD(A101/Calculator!$F$17,1)-0.5))),1)</f>
        <v>0.0658393162393178</v>
      </c>
      <c r="I101" s="73" t="n">
        <f aca="false">IF(Calculator!$E$18="YES",IF(A101&lt;Calculator!$G$18,0,MIN(MIN(MOD(A101/Calculator!$F$18,1),1-MOD(A101/Calculator!$F$18,1)),ABS(MOD(A101/Calculator!$F$18,1)-0.5))),1)</f>
        <v>0.191794871794873</v>
      </c>
      <c r="J101" s="73" t="n">
        <f aca="false">IF(Calculator!$E$19="YES",IF(A101&lt;Calculator!$G$19,0,MIN(MIN(MOD(A101/Calculator!$F$19,1),1-MOD(A101/Calculator!$F$19,1)),ABS(MOD(A101/Calculator!$F$19,1)-0.5))),1)</f>
        <v>0.0380854700854627</v>
      </c>
      <c r="K101" s="73" t="n">
        <f aca="false">IF(Calculator!$E$20="YES",IF(A101&lt;Calculator!$G$20,0,MIN(MIN(MOD(A101/Calculator!$F$20,1),1-MOD(A101/Calculator!$F$20,1)),ABS(MOD(A101/Calculator!$F$20,1)-0.5))),1)</f>
        <v>0.0449572649572634</v>
      </c>
      <c r="L101" s="73" t="n">
        <f aca="false">IF(Calculator!$E$21="YES",IF(A101&lt;Calculator!$G$21,0,MIN(MIN(MOD(A101/Calculator!$F$21,1),1-MOD(A101/Calculator!$F$21,1)),ABS(MOD(A101/Calculator!$F$21,1)-0.5))),1)</f>
        <v>1</v>
      </c>
      <c r="M101" s="74" t="n">
        <f aca="false">MIN(B101:L101)</f>
        <v>0.0380854700854627</v>
      </c>
      <c r="N101" s="75" t="n">
        <f aca="false">SUMPRODUCT(($M$5:$M$115&gt;M101)*1)+SUMPRODUCT(($M$5:$M$115=M101)*(ROW($M$5:$M$115)&lt;ROW(M101)))+1</f>
        <v>40</v>
      </c>
      <c r="O101" s="76" t="str">
        <f aca="false">IF(M101&gt;=0.2,"★★★ EXCELLENT",IF(M101&gt;=0.12,"★★  GOOD",IF(M101&gt;=0.07,"★  FAIR",IF(M101&gt;=0.025,"⚠  MARGINAL","✗  AVOID"))))</f>
        <v>⚠  MARGINAL</v>
      </c>
    </row>
    <row r="102" customFormat="false" ht="15" hidden="false" customHeight="true" outlineLevel="0" collapsed="false">
      <c r="A102" s="72" t="n">
        <v>53.5</v>
      </c>
      <c r="B102" s="73" t="n">
        <f aca="false">IF(Calculator!$E$11="YES",IF(A102&lt;Calculator!$G$11,0,MIN(MIN(MOD(A102/Calculator!$F$11,1),1-MOD(A102/Calculator!$F$11,1)),ABS(MOD(A102/Calculator!$F$11,1)-0.5))),1)</f>
        <v>1</v>
      </c>
      <c r="C102" s="73" t="n">
        <f aca="false">IF(Calculator!$E$12="YES",IF(A102&lt;Calculator!$G$12,0,MIN(MIN(MOD(A102/Calculator!$F$12,1),1-MOD(A102/Calculator!$F$12,1)),ABS(MOD(A102/Calculator!$F$12,1)-0.5))),1)</f>
        <v>1</v>
      </c>
      <c r="D102" s="73" t="n">
        <f aca="false">IF(Calculator!$E$13="YES",IF(A102&lt;Calculator!$G$13,0,MIN(MIN(MOD(A102/Calculator!$F$13,1),1-MOD(A102/Calculator!$F$13,1)),ABS(MOD(A102/Calculator!$F$13,1)-0.5))),1)</f>
        <v>1</v>
      </c>
      <c r="E102" s="73" t="n">
        <f aca="false">IF(Calculator!$E$14="YES",IF(A102&lt;Calculator!$G$14,0,MIN(MIN(MOD(A102/Calculator!$F$14,1),1-MOD(A102/Calculator!$F$14,1)),ABS(MOD(A102/Calculator!$F$14,1)-0.5))),1)</f>
        <v>1</v>
      </c>
      <c r="F102" s="73" t="n">
        <f aca="false">IF(Calculator!$E$15="YES",IF(A102&lt;Calculator!$G$15,0,MIN(MIN(MOD(A102/Calculator!$F$15,1),1-MOD(A102/Calculator!$F$15,1)),ABS(MOD(A102/Calculator!$F$15,1)-0.5))),1)</f>
        <v>0.203846153846154</v>
      </c>
      <c r="G102" s="73" t="n">
        <f aca="false">IF(Calculator!$E$16="YES",IF(A102&lt;Calculator!$G$16,0,MIN(MIN(MOD(A102/Calculator!$F$16,1),1-MOD(A102/Calculator!$F$16,1)),ABS(MOD(A102/Calculator!$F$16,1)-0.5))),1)</f>
        <v>0.185384615384616</v>
      </c>
      <c r="H102" s="73" t="n">
        <f aca="false">IF(Calculator!$E$17="YES",IF(A102&lt;Calculator!$G$17,0,MIN(MIN(MOD(A102/Calculator!$F$17,1),1-MOD(A102/Calculator!$F$17,1)),ABS(MOD(A102/Calculator!$F$17,1)-0.5))),1)</f>
        <v>0.127781196581198</v>
      </c>
      <c r="I102" s="73" t="n">
        <f aca="false">IF(Calculator!$E$18="YES",IF(A102&lt;Calculator!$G$18,0,MIN(MIN(MOD(A102/Calculator!$F$18,1),1-MOD(A102/Calculator!$F$18,1)),ABS(MOD(A102/Calculator!$F$18,1)-0.5))),1)</f>
        <v>0.235641025641025</v>
      </c>
      <c r="J102" s="73" t="n">
        <f aca="false">IF(Calculator!$E$19="YES",IF(A102&lt;Calculator!$G$19,0,MIN(MIN(MOD(A102/Calculator!$F$19,1),1-MOD(A102/Calculator!$F$19,1)),ABS(MOD(A102/Calculator!$F$19,1)-0.5))),1)</f>
        <v>0.12335042735042</v>
      </c>
      <c r="K102" s="73" t="n">
        <f aca="false">IF(Calculator!$E$20="YES",IF(A102&lt;Calculator!$G$20,0,MIN(MIN(MOD(A102/Calculator!$F$20,1),1-MOD(A102/Calculator!$F$20,1)),ABS(MOD(A102/Calculator!$F$20,1)-0.5))),1)</f>
        <v>0.0536752136752146</v>
      </c>
      <c r="L102" s="73" t="n">
        <f aca="false">IF(Calculator!$E$21="YES",IF(A102&lt;Calculator!$G$21,0,MIN(MIN(MOD(A102/Calculator!$F$21,1),1-MOD(A102/Calculator!$F$21,1)),ABS(MOD(A102/Calculator!$F$21,1)-0.5))),1)</f>
        <v>1</v>
      </c>
      <c r="M102" s="74" t="n">
        <f aca="false">MIN(B102:L102)</f>
        <v>0.0536752136752146</v>
      </c>
      <c r="N102" s="75" t="n">
        <f aca="false">SUMPRODUCT(($M$5:$M$115&gt;M102)*1)+SUMPRODUCT(($M$5:$M$115=M102)*(ROW($M$5:$M$115)&lt;ROW(M102)))+1</f>
        <v>28</v>
      </c>
      <c r="O102" s="76" t="str">
        <f aca="false">IF(M102&gt;=0.2,"★★★ EXCELLENT",IF(M102&gt;=0.12,"★★  GOOD",IF(M102&gt;=0.07,"★  FAIR",IF(M102&gt;=0.025,"⚠  MARGINAL","✗  AVOID"))))</f>
        <v>⚠  MARGINAL</v>
      </c>
    </row>
    <row r="103" customFormat="false" ht="15" hidden="false" customHeight="true" outlineLevel="0" collapsed="false">
      <c r="A103" s="72" t="n">
        <v>54</v>
      </c>
      <c r="B103" s="73" t="n">
        <f aca="false">IF(Calculator!$E$11="YES",IF(A103&lt;Calculator!$G$11,0,MIN(MIN(MOD(A103/Calculator!$F$11,1),1-MOD(A103/Calculator!$F$11,1)),ABS(MOD(A103/Calculator!$F$11,1)-0.5))),1)</f>
        <v>1</v>
      </c>
      <c r="C103" s="73" t="n">
        <f aca="false">IF(Calculator!$E$12="YES",IF(A103&lt;Calculator!$G$12,0,MIN(MIN(MOD(A103/Calculator!$F$12,1),1-MOD(A103/Calculator!$F$12,1)),ABS(MOD(A103/Calculator!$F$12,1)-0.5))),1)</f>
        <v>1</v>
      </c>
      <c r="D103" s="73" t="n">
        <f aca="false">IF(Calculator!$E$13="YES",IF(A103&lt;Calculator!$G$13,0,MIN(MIN(MOD(A103/Calculator!$F$13,1),1-MOD(A103/Calculator!$F$13,1)),ABS(MOD(A103/Calculator!$F$13,1)-0.5))),1)</f>
        <v>1</v>
      </c>
      <c r="E103" s="73" t="n">
        <f aca="false">IF(Calculator!$E$14="YES",IF(A103&lt;Calculator!$G$14,0,MIN(MIN(MOD(A103/Calculator!$F$14,1),1-MOD(A103/Calculator!$F$14,1)),ABS(MOD(A103/Calculator!$F$14,1)-0.5))),1)</f>
        <v>1</v>
      </c>
      <c r="F103" s="73" t="n">
        <f aca="false">IF(Calculator!$E$15="YES",IF(A103&lt;Calculator!$G$15,0,MIN(MIN(MOD(A103/Calculator!$F$15,1),1-MOD(A103/Calculator!$F$15,1)),ABS(MOD(A103/Calculator!$F$15,1)-0.5))),1)</f>
        <v>0.238461538461539</v>
      </c>
      <c r="G103" s="73" t="n">
        <f aca="false">IF(Calculator!$E$16="YES",IF(A103&lt;Calculator!$G$16,0,MIN(MIN(MOD(A103/Calculator!$F$16,1),1-MOD(A103/Calculator!$F$16,1)),ABS(MOD(A103/Calculator!$F$16,1)-0.5))),1)</f>
        <v>0.233846153846154</v>
      </c>
      <c r="H103" s="73" t="n">
        <f aca="false">IF(Calculator!$E$17="YES",IF(A103&lt;Calculator!$G$17,0,MIN(MIN(MOD(A103/Calculator!$F$17,1),1-MOD(A103/Calculator!$F$17,1)),ABS(MOD(A103/Calculator!$F$17,1)-0.5))),1)</f>
        <v>0.189723076923078</v>
      </c>
      <c r="I103" s="73" t="n">
        <f aca="false">IF(Calculator!$E$18="YES",IF(A103&lt;Calculator!$G$18,0,MIN(MIN(MOD(A103/Calculator!$F$18,1),1-MOD(A103/Calculator!$F$18,1)),ABS(MOD(A103/Calculator!$F$18,1)-0.5))),1)</f>
        <v>0.163076923076922</v>
      </c>
      <c r="J103" s="73" t="n">
        <f aca="false">IF(Calculator!$E$19="YES",IF(A103&lt;Calculator!$G$19,0,MIN(MIN(MOD(A103/Calculator!$F$19,1),1-MOD(A103/Calculator!$F$19,1)),ABS(MOD(A103/Calculator!$F$19,1)-0.5))),1)</f>
        <v>0.208615384615378</v>
      </c>
      <c r="K103" s="73" t="n">
        <f aca="false">IF(Calculator!$E$20="YES",IF(A103&lt;Calculator!$G$20,0,MIN(MIN(MOD(A103/Calculator!$F$20,1),1-MOD(A103/Calculator!$F$20,1)),ABS(MOD(A103/Calculator!$F$20,1)-0.5))),1)</f>
        <v>0.152307692307694</v>
      </c>
      <c r="L103" s="73" t="n">
        <f aca="false">IF(Calculator!$E$21="YES",IF(A103&lt;Calculator!$G$21,0,MIN(MIN(MOD(A103/Calculator!$F$21,1),1-MOD(A103/Calculator!$F$21,1)),ABS(MOD(A103/Calculator!$F$21,1)-0.5))),1)</f>
        <v>1</v>
      </c>
      <c r="M103" s="74" t="n">
        <f aca="false">MIN(B103:L103)</f>
        <v>0.152307692307694</v>
      </c>
      <c r="N103" s="75" t="n">
        <f aca="false">SUMPRODUCT(($M$5:$M$115&gt;M103)*1)+SUMPRODUCT(($M$5:$M$115=M103)*(ROW($M$5:$M$115)&lt;ROW(M103)))+1</f>
        <v>1</v>
      </c>
      <c r="O103" s="76" t="str">
        <f aca="false">IF(M103&gt;=0.2,"★★★ EXCELLENT",IF(M103&gt;=0.12,"★★  GOOD",IF(M103&gt;=0.07,"★  FAIR",IF(M103&gt;=0.025,"⚠  MARGINAL","✗  AVOID"))))</f>
        <v>★★  GOOD</v>
      </c>
    </row>
    <row r="104" customFormat="false" ht="15" hidden="false" customHeight="true" outlineLevel="0" collapsed="false">
      <c r="A104" s="72" t="n">
        <v>54.5</v>
      </c>
      <c r="B104" s="73" t="n">
        <f aca="false">IF(Calculator!$E$11="YES",IF(A104&lt;Calculator!$G$11,0,MIN(MIN(MOD(A104/Calculator!$F$11,1),1-MOD(A104/Calculator!$F$11,1)),ABS(MOD(A104/Calculator!$F$11,1)-0.5))),1)</f>
        <v>1</v>
      </c>
      <c r="C104" s="73" t="n">
        <f aca="false">IF(Calculator!$E$12="YES",IF(A104&lt;Calculator!$G$12,0,MIN(MIN(MOD(A104/Calculator!$F$12,1),1-MOD(A104/Calculator!$F$12,1)),ABS(MOD(A104/Calculator!$F$12,1)-0.5))),1)</f>
        <v>1</v>
      </c>
      <c r="D104" s="73" t="n">
        <f aca="false">IF(Calculator!$E$13="YES",IF(A104&lt;Calculator!$G$13,0,MIN(MIN(MOD(A104/Calculator!$F$13,1),1-MOD(A104/Calculator!$F$13,1)),ABS(MOD(A104/Calculator!$F$13,1)-0.5))),1)</f>
        <v>1</v>
      </c>
      <c r="E104" s="73" t="n">
        <f aca="false">IF(Calculator!$E$14="YES",IF(A104&lt;Calculator!$G$14,0,MIN(MIN(MOD(A104/Calculator!$F$14,1),1-MOD(A104/Calculator!$F$14,1)),ABS(MOD(A104/Calculator!$F$14,1)-0.5))),1)</f>
        <v>1</v>
      </c>
      <c r="F104" s="73" t="n">
        <f aca="false">IF(Calculator!$E$15="YES",IF(A104&lt;Calculator!$G$15,0,MIN(MIN(MOD(A104/Calculator!$F$15,1),1-MOD(A104/Calculator!$F$15,1)),ABS(MOD(A104/Calculator!$F$15,1)-0.5))),1)</f>
        <v>0.226923076923077</v>
      </c>
      <c r="G104" s="73" t="n">
        <f aca="false">IF(Calculator!$E$16="YES",IF(A104&lt;Calculator!$G$16,0,MIN(MIN(MOD(A104/Calculator!$F$16,1),1-MOD(A104/Calculator!$F$16,1)),ABS(MOD(A104/Calculator!$F$16,1)-0.5))),1)</f>
        <v>0.217692307692307</v>
      </c>
      <c r="H104" s="73" t="n">
        <f aca="false">IF(Calculator!$E$17="YES",IF(A104&lt;Calculator!$G$17,0,MIN(MIN(MOD(A104/Calculator!$F$17,1),1-MOD(A104/Calculator!$F$17,1)),ABS(MOD(A104/Calculator!$F$17,1)-0.5))),1)</f>
        <v>0.248335042735041</v>
      </c>
      <c r="I104" s="73" t="n">
        <f aca="false">IF(Calculator!$E$18="YES",IF(A104&lt;Calculator!$G$18,0,MIN(MIN(MOD(A104/Calculator!$F$18,1),1-MOD(A104/Calculator!$F$18,1)),ABS(MOD(A104/Calculator!$F$18,1)-0.5))),1)</f>
        <v>0.0905128205128198</v>
      </c>
      <c r="J104" s="73" t="n">
        <f aca="false">IF(Calculator!$E$19="YES",IF(A104&lt;Calculator!$G$19,0,MIN(MIN(MOD(A104/Calculator!$F$19,1),1-MOD(A104/Calculator!$F$19,1)),ABS(MOD(A104/Calculator!$F$19,1)-0.5))),1)</f>
        <v>0.206119658119665</v>
      </c>
      <c r="K104" s="73" t="n">
        <f aca="false">IF(Calculator!$E$20="YES",IF(A104&lt;Calculator!$G$20,0,MIN(MIN(MOD(A104/Calculator!$F$20,1),1-MOD(A104/Calculator!$F$20,1)),ABS(MOD(A104/Calculator!$F$20,1)-0.5))),1)</f>
        <v>0.249059829059828</v>
      </c>
      <c r="L104" s="73" t="n">
        <f aca="false">IF(Calculator!$E$21="YES",IF(A104&lt;Calculator!$G$21,0,MIN(MIN(MOD(A104/Calculator!$F$21,1),1-MOD(A104/Calculator!$F$21,1)),ABS(MOD(A104/Calculator!$F$21,1)-0.5))),1)</f>
        <v>1</v>
      </c>
      <c r="M104" s="74" t="n">
        <f aca="false">MIN(B104:L104)</f>
        <v>0.0905128205128198</v>
      </c>
      <c r="N104" s="75" t="n">
        <f aca="false">SUMPRODUCT(($M$5:$M$115&gt;M104)*1)+SUMPRODUCT(($M$5:$M$115=M104)*(ROW($M$5:$M$115)&lt;ROW(M104)))+1</f>
        <v>9</v>
      </c>
      <c r="O104" s="76" t="str">
        <f aca="false">IF(M104&gt;=0.2,"★★★ EXCELLENT",IF(M104&gt;=0.12,"★★  GOOD",IF(M104&gt;=0.07,"★  FAIR",IF(M104&gt;=0.025,"⚠  MARGINAL","✗  AVOID"))))</f>
        <v>★  FAIR</v>
      </c>
    </row>
    <row r="105" customFormat="false" ht="15" hidden="false" customHeight="true" outlineLevel="0" collapsed="false">
      <c r="A105" s="72" t="n">
        <v>55</v>
      </c>
      <c r="B105" s="73" t="n">
        <f aca="false">IF(Calculator!$E$11="YES",IF(A105&lt;Calculator!$G$11,0,MIN(MIN(MOD(A105/Calculator!$F$11,1),1-MOD(A105/Calculator!$F$11,1)),ABS(MOD(A105/Calculator!$F$11,1)-0.5))),1)</f>
        <v>1</v>
      </c>
      <c r="C105" s="73" t="n">
        <f aca="false">IF(Calculator!$E$12="YES",IF(A105&lt;Calculator!$G$12,0,MIN(MIN(MOD(A105/Calculator!$F$12,1),1-MOD(A105/Calculator!$F$12,1)),ABS(MOD(A105/Calculator!$F$12,1)-0.5))),1)</f>
        <v>1</v>
      </c>
      <c r="D105" s="73" t="n">
        <f aca="false">IF(Calculator!$E$13="YES",IF(A105&lt;Calculator!$G$13,0,MIN(MIN(MOD(A105/Calculator!$F$13,1),1-MOD(A105/Calculator!$F$13,1)),ABS(MOD(A105/Calculator!$F$13,1)-0.5))),1)</f>
        <v>1</v>
      </c>
      <c r="E105" s="73" t="n">
        <f aca="false">IF(Calculator!$E$14="YES",IF(A105&lt;Calculator!$G$14,0,MIN(MIN(MOD(A105/Calculator!$F$14,1),1-MOD(A105/Calculator!$F$14,1)),ABS(MOD(A105/Calculator!$F$14,1)-0.5))),1)</f>
        <v>1</v>
      </c>
      <c r="F105" s="73" t="n">
        <f aca="false">IF(Calculator!$E$15="YES",IF(A105&lt;Calculator!$G$15,0,MIN(MIN(MOD(A105/Calculator!$F$15,1),1-MOD(A105/Calculator!$F$15,1)),ABS(MOD(A105/Calculator!$F$15,1)-0.5))),1)</f>
        <v>0.192307692307693</v>
      </c>
      <c r="G105" s="73" t="n">
        <f aca="false">IF(Calculator!$E$16="YES",IF(A105&lt;Calculator!$G$16,0,MIN(MIN(MOD(A105/Calculator!$F$16,1),1-MOD(A105/Calculator!$F$16,1)),ABS(MOD(A105/Calculator!$F$16,1)-0.5))),1)</f>
        <v>0.169230769230769</v>
      </c>
      <c r="H105" s="73" t="n">
        <f aca="false">IF(Calculator!$E$17="YES",IF(A105&lt;Calculator!$G$17,0,MIN(MIN(MOD(A105/Calculator!$F$17,1),1-MOD(A105/Calculator!$F$17,1)),ABS(MOD(A105/Calculator!$F$17,1)-0.5))),1)</f>
        <v>0.186393162393161</v>
      </c>
      <c r="I105" s="73" t="n">
        <f aca="false">IF(Calculator!$E$18="YES",IF(A105&lt;Calculator!$G$18,0,MIN(MIN(MOD(A105/Calculator!$F$18,1),1-MOD(A105/Calculator!$F$18,1)),ABS(MOD(A105/Calculator!$F$18,1)-0.5))),1)</f>
        <v>0.017948717948717</v>
      </c>
      <c r="J105" s="73" t="n">
        <f aca="false">IF(Calculator!$E$19="YES",IF(A105&lt;Calculator!$G$19,0,MIN(MIN(MOD(A105/Calculator!$F$19,1),1-MOD(A105/Calculator!$F$19,1)),ABS(MOD(A105/Calculator!$F$19,1)-0.5))),1)</f>
        <v>0.120854700854707</v>
      </c>
      <c r="K105" s="73" t="n">
        <f aca="false">IF(Calculator!$E$20="YES",IF(A105&lt;Calculator!$G$20,0,MIN(MIN(MOD(A105/Calculator!$F$20,1),1-MOD(A105/Calculator!$F$20,1)),ABS(MOD(A105/Calculator!$F$20,1)-0.5))),1)</f>
        <v>0.15042735042735</v>
      </c>
      <c r="L105" s="73" t="n">
        <f aca="false">IF(Calculator!$E$21="YES",IF(A105&lt;Calculator!$G$21,0,MIN(MIN(MOD(A105/Calculator!$F$21,1),1-MOD(A105/Calculator!$F$21,1)),ABS(MOD(A105/Calculator!$F$21,1)-0.5))),1)</f>
        <v>1</v>
      </c>
      <c r="M105" s="74" t="n">
        <f aca="false">MIN(B105:L105)</f>
        <v>0.017948717948717</v>
      </c>
      <c r="N105" s="75" t="n">
        <f aca="false">SUMPRODUCT(($M$5:$M$115&gt;M105)*1)+SUMPRODUCT(($M$5:$M$115=M105)*(ROW($M$5:$M$115)&lt;ROW(M105)))+1</f>
        <v>71</v>
      </c>
      <c r="O105" s="76" t="str">
        <f aca="false">IF(M105&gt;=0.2,"★★★ EXCELLENT",IF(M105&gt;=0.12,"★★  GOOD",IF(M105&gt;=0.07,"★  FAIR",IF(M105&gt;=0.025,"⚠  MARGINAL","✗  AVOID"))))</f>
        <v>✗  AVOID</v>
      </c>
    </row>
    <row r="106" customFormat="false" ht="15" hidden="false" customHeight="true" outlineLevel="0" collapsed="false">
      <c r="A106" s="72" t="n">
        <v>55.5</v>
      </c>
      <c r="B106" s="73" t="n">
        <f aca="false">IF(Calculator!$E$11="YES",IF(A106&lt;Calculator!$G$11,0,MIN(MIN(MOD(A106/Calculator!$F$11,1),1-MOD(A106/Calculator!$F$11,1)),ABS(MOD(A106/Calculator!$F$11,1)-0.5))),1)</f>
        <v>1</v>
      </c>
      <c r="C106" s="73" t="n">
        <f aca="false">IF(Calculator!$E$12="YES",IF(A106&lt;Calculator!$G$12,0,MIN(MIN(MOD(A106/Calculator!$F$12,1),1-MOD(A106/Calculator!$F$12,1)),ABS(MOD(A106/Calculator!$F$12,1)-0.5))),1)</f>
        <v>1</v>
      </c>
      <c r="D106" s="73" t="n">
        <f aca="false">IF(Calculator!$E$13="YES",IF(A106&lt;Calculator!$G$13,0,MIN(MIN(MOD(A106/Calculator!$F$13,1),1-MOD(A106/Calculator!$F$13,1)),ABS(MOD(A106/Calculator!$F$13,1)-0.5))),1)</f>
        <v>1</v>
      </c>
      <c r="E106" s="73" t="n">
        <f aca="false">IF(Calculator!$E$14="YES",IF(A106&lt;Calculator!$G$14,0,MIN(MIN(MOD(A106/Calculator!$F$14,1),1-MOD(A106/Calculator!$F$14,1)),ABS(MOD(A106/Calculator!$F$14,1)-0.5))),1)</f>
        <v>1</v>
      </c>
      <c r="F106" s="73" t="n">
        <f aca="false">IF(Calculator!$E$15="YES",IF(A106&lt;Calculator!$G$15,0,MIN(MIN(MOD(A106/Calculator!$F$15,1),1-MOD(A106/Calculator!$F$15,1)),ABS(MOD(A106/Calculator!$F$15,1)-0.5))),1)</f>
        <v>0.157692307692308</v>
      </c>
      <c r="G106" s="73" t="n">
        <f aca="false">IF(Calculator!$E$16="YES",IF(A106&lt;Calculator!$G$16,0,MIN(MIN(MOD(A106/Calculator!$F$16,1),1-MOD(A106/Calculator!$F$16,1)),ABS(MOD(A106/Calculator!$F$16,1)-0.5))),1)</f>
        <v>0.120769230769231</v>
      </c>
      <c r="H106" s="73" t="n">
        <f aca="false">IF(Calculator!$E$17="YES",IF(A106&lt;Calculator!$G$17,0,MIN(MIN(MOD(A106/Calculator!$F$17,1),1-MOD(A106/Calculator!$F$17,1)),ABS(MOD(A106/Calculator!$F$17,1)-0.5))),1)</f>
        <v>0.124451282051281</v>
      </c>
      <c r="I106" s="73" t="n">
        <f aca="false">IF(Calculator!$E$18="YES",IF(A106&lt;Calculator!$G$18,0,MIN(MIN(MOD(A106/Calculator!$F$18,1),1-MOD(A106/Calculator!$F$18,1)),ABS(MOD(A106/Calculator!$F$18,1)-0.5))),1)</f>
        <v>0.054615384615385</v>
      </c>
      <c r="J106" s="73" t="n">
        <f aca="false">IF(Calculator!$E$19="YES",IF(A106&lt;Calculator!$G$19,0,MIN(MIN(MOD(A106/Calculator!$F$19,1),1-MOD(A106/Calculator!$F$19,1)),ABS(MOD(A106/Calculator!$F$19,1)-0.5))),1)</f>
        <v>0.0355897435897514</v>
      </c>
      <c r="K106" s="73" t="n">
        <f aca="false">IF(Calculator!$E$20="YES",IF(A106&lt;Calculator!$G$20,0,MIN(MIN(MOD(A106/Calculator!$F$20,1),1-MOD(A106/Calculator!$F$20,1)),ABS(MOD(A106/Calculator!$F$20,1)-0.5))),1)</f>
        <v>0.0517948717948702</v>
      </c>
      <c r="L106" s="73" t="n">
        <f aca="false">IF(Calculator!$E$21="YES",IF(A106&lt;Calculator!$G$21,0,MIN(MIN(MOD(A106/Calculator!$F$21,1),1-MOD(A106/Calculator!$F$21,1)),ABS(MOD(A106/Calculator!$F$21,1)-0.5))),1)</f>
        <v>1</v>
      </c>
      <c r="M106" s="74" t="n">
        <f aca="false">MIN(B106:L106)</f>
        <v>0.0355897435897514</v>
      </c>
      <c r="N106" s="75" t="n">
        <f aca="false">SUMPRODUCT(($M$5:$M$115&gt;M106)*1)+SUMPRODUCT(($M$5:$M$115=M106)*(ROW($M$5:$M$115)&lt;ROW(M106)))+1</f>
        <v>43</v>
      </c>
      <c r="O106" s="76" t="str">
        <f aca="false">IF(M106&gt;=0.2,"★★★ EXCELLENT",IF(M106&gt;=0.12,"★★  GOOD",IF(M106&gt;=0.07,"★  FAIR",IF(M106&gt;=0.025,"⚠  MARGINAL","✗  AVOID"))))</f>
        <v>⚠  MARGINAL</v>
      </c>
    </row>
    <row r="107" customFormat="false" ht="15" hidden="false" customHeight="true" outlineLevel="0" collapsed="false">
      <c r="A107" s="72" t="n">
        <v>56</v>
      </c>
      <c r="B107" s="73" t="n">
        <f aca="false">IF(Calculator!$E$11="YES",IF(A107&lt;Calculator!$G$11,0,MIN(MIN(MOD(A107/Calculator!$F$11,1),1-MOD(A107/Calculator!$F$11,1)),ABS(MOD(A107/Calculator!$F$11,1)-0.5))),1)</f>
        <v>1</v>
      </c>
      <c r="C107" s="73" t="n">
        <f aca="false">IF(Calculator!$E$12="YES",IF(A107&lt;Calculator!$G$12,0,MIN(MIN(MOD(A107/Calculator!$F$12,1),1-MOD(A107/Calculator!$F$12,1)),ABS(MOD(A107/Calculator!$F$12,1)-0.5))),1)</f>
        <v>1</v>
      </c>
      <c r="D107" s="73" t="n">
        <f aca="false">IF(Calculator!$E$13="YES",IF(A107&lt;Calculator!$G$13,0,MIN(MIN(MOD(A107/Calculator!$F$13,1),1-MOD(A107/Calculator!$F$13,1)),ABS(MOD(A107/Calculator!$F$13,1)-0.5))),1)</f>
        <v>1</v>
      </c>
      <c r="E107" s="73" t="n">
        <f aca="false">IF(Calculator!$E$14="YES",IF(A107&lt;Calculator!$G$14,0,MIN(MIN(MOD(A107/Calculator!$F$14,1),1-MOD(A107/Calculator!$F$14,1)),ABS(MOD(A107/Calculator!$F$14,1)-0.5))),1)</f>
        <v>1</v>
      </c>
      <c r="F107" s="73" t="n">
        <f aca="false">IF(Calculator!$E$15="YES",IF(A107&lt;Calculator!$G$15,0,MIN(MIN(MOD(A107/Calculator!$F$15,1),1-MOD(A107/Calculator!$F$15,1)),ABS(MOD(A107/Calculator!$F$15,1)-0.5))),1)</f>
        <v>0.123076923076923</v>
      </c>
      <c r="G107" s="73" t="n">
        <f aca="false">IF(Calculator!$E$16="YES",IF(A107&lt;Calculator!$G$16,0,MIN(MIN(MOD(A107/Calculator!$F$16,1),1-MOD(A107/Calculator!$F$16,1)),ABS(MOD(A107/Calculator!$F$16,1)-0.5))),1)</f>
        <v>0.0723076923076915</v>
      </c>
      <c r="H107" s="73" t="n">
        <f aca="false">IF(Calculator!$E$17="YES",IF(A107&lt;Calculator!$G$17,0,MIN(MIN(MOD(A107/Calculator!$F$17,1),1-MOD(A107/Calculator!$F$17,1)),ABS(MOD(A107/Calculator!$F$17,1)-0.5))),1)</f>
        <v>0.0625094017094003</v>
      </c>
      <c r="I107" s="73" t="n">
        <f aca="false">IF(Calculator!$E$18="YES",IF(A107&lt;Calculator!$G$18,0,MIN(MIN(MOD(A107/Calculator!$F$18,1),1-MOD(A107/Calculator!$F$18,1)),ABS(MOD(A107/Calculator!$F$18,1)-0.5))),1)</f>
        <v>0.127179487179488</v>
      </c>
      <c r="J107" s="73" t="n">
        <f aca="false">IF(Calculator!$E$19="YES",IF(A107&lt;Calculator!$G$19,0,MIN(MIN(MOD(A107/Calculator!$F$19,1),1-MOD(A107/Calculator!$F$19,1)),ABS(MOD(A107/Calculator!$F$19,1)-0.5))),1)</f>
        <v>0.0496752136752061</v>
      </c>
      <c r="K107" s="73" t="n">
        <f aca="false">IF(Calculator!$E$20="YES",IF(A107&lt;Calculator!$G$20,0,MIN(MIN(MOD(A107/Calculator!$F$20,1),1-MOD(A107/Calculator!$F$20,1)),ABS(MOD(A107/Calculator!$F$20,1)-0.5))),1)</f>
        <v>0.0468376068376077</v>
      </c>
      <c r="L107" s="73" t="n">
        <f aca="false">IF(Calculator!$E$21="YES",IF(A107&lt;Calculator!$G$21,0,MIN(MIN(MOD(A107/Calculator!$F$21,1),1-MOD(A107/Calculator!$F$21,1)),ABS(MOD(A107/Calculator!$F$21,1)-0.5))),1)</f>
        <v>1</v>
      </c>
      <c r="M107" s="74" t="n">
        <f aca="false">MIN(B107:L107)</f>
        <v>0.0468376068376077</v>
      </c>
      <c r="N107" s="75" t="n">
        <f aca="false">SUMPRODUCT(($M$5:$M$115&gt;M107)*1)+SUMPRODUCT(($M$5:$M$115=M107)*(ROW($M$5:$M$115)&lt;ROW(M107)))+1</f>
        <v>32</v>
      </c>
      <c r="O107" s="76" t="str">
        <f aca="false">IF(M107&gt;=0.2,"★★★ EXCELLENT",IF(M107&gt;=0.12,"★★  GOOD",IF(M107&gt;=0.07,"★  FAIR",IF(M107&gt;=0.025,"⚠  MARGINAL","✗  AVOID"))))</f>
        <v>⚠  MARGINAL</v>
      </c>
    </row>
    <row r="108" customFormat="false" ht="15" hidden="false" customHeight="true" outlineLevel="0" collapsed="false">
      <c r="A108" s="72" t="n">
        <v>56.5</v>
      </c>
      <c r="B108" s="73" t="n">
        <f aca="false">IF(Calculator!$E$11="YES",IF(A108&lt;Calculator!$G$11,0,MIN(MIN(MOD(A108/Calculator!$F$11,1),1-MOD(A108/Calculator!$F$11,1)),ABS(MOD(A108/Calculator!$F$11,1)-0.5))),1)</f>
        <v>1</v>
      </c>
      <c r="C108" s="73" t="n">
        <f aca="false">IF(Calculator!$E$12="YES",IF(A108&lt;Calculator!$G$12,0,MIN(MIN(MOD(A108/Calculator!$F$12,1),1-MOD(A108/Calculator!$F$12,1)),ABS(MOD(A108/Calculator!$F$12,1)-0.5))),1)</f>
        <v>1</v>
      </c>
      <c r="D108" s="73" t="n">
        <f aca="false">IF(Calculator!$E$13="YES",IF(A108&lt;Calculator!$G$13,0,MIN(MIN(MOD(A108/Calculator!$F$13,1),1-MOD(A108/Calculator!$F$13,1)),ABS(MOD(A108/Calculator!$F$13,1)-0.5))),1)</f>
        <v>1</v>
      </c>
      <c r="E108" s="73" t="n">
        <f aca="false">IF(Calculator!$E$14="YES",IF(A108&lt;Calculator!$G$14,0,MIN(MIN(MOD(A108/Calculator!$F$14,1),1-MOD(A108/Calculator!$F$14,1)),ABS(MOD(A108/Calculator!$F$14,1)-0.5))),1)</f>
        <v>1</v>
      </c>
      <c r="F108" s="73" t="n">
        <f aca="false">IF(Calculator!$E$15="YES",IF(A108&lt;Calculator!$G$15,0,MIN(MIN(MOD(A108/Calculator!$F$15,1),1-MOD(A108/Calculator!$F$15,1)),ABS(MOD(A108/Calculator!$F$15,1)-0.5))),1)</f>
        <v>0.0884615384615386</v>
      </c>
      <c r="G108" s="73" t="n">
        <f aca="false">IF(Calculator!$E$16="YES",IF(A108&lt;Calculator!$G$16,0,MIN(MIN(MOD(A108/Calculator!$F$16,1),1-MOD(A108/Calculator!$F$16,1)),ABS(MOD(A108/Calculator!$F$16,1)-0.5))),1)</f>
        <v>0.0238461538461534</v>
      </c>
      <c r="H108" s="73" t="n">
        <f aca="false">IF(Calculator!$E$17="YES",IF(A108&lt;Calculator!$G$17,0,MIN(MIN(MOD(A108/Calculator!$F$17,1),1-MOD(A108/Calculator!$F$17,1)),ABS(MOD(A108/Calculator!$F$17,1)-0.5))),1)</f>
        <v>0.00056752136752003</v>
      </c>
      <c r="I108" s="73" t="n">
        <f aca="false">IF(Calculator!$E$18="YES",IF(A108&lt;Calculator!$G$18,0,MIN(MIN(MOD(A108/Calculator!$F$18,1),1-MOD(A108/Calculator!$F$18,1)),ABS(MOD(A108/Calculator!$F$18,1)-0.5))),1)</f>
        <v>0.199743589743591</v>
      </c>
      <c r="J108" s="73" t="n">
        <f aca="false">IF(Calculator!$E$19="YES",IF(A108&lt;Calculator!$G$19,0,MIN(MIN(MOD(A108/Calculator!$F$19,1),1-MOD(A108/Calculator!$F$19,1)),ABS(MOD(A108/Calculator!$F$19,1)-0.5))),1)</f>
        <v>0.134940170940164</v>
      </c>
      <c r="K108" s="73" t="n">
        <f aca="false">IF(Calculator!$E$20="YES",IF(A108&lt;Calculator!$G$20,0,MIN(MIN(MOD(A108/Calculator!$F$20,1),1-MOD(A108/Calculator!$F$20,1)),ABS(MOD(A108/Calculator!$F$20,1)-0.5))),1)</f>
        <v>0.145470085470087</v>
      </c>
      <c r="L108" s="73" t="n">
        <f aca="false">IF(Calculator!$E$21="YES",IF(A108&lt;Calculator!$G$21,0,MIN(MIN(MOD(A108/Calculator!$F$21,1),1-MOD(A108/Calculator!$F$21,1)),ABS(MOD(A108/Calculator!$F$21,1)-0.5))),1)</f>
        <v>1</v>
      </c>
      <c r="M108" s="74" t="n">
        <f aca="false">MIN(B108:L108)</f>
        <v>0.00056752136752003</v>
      </c>
      <c r="N108" s="75" t="n">
        <f aca="false">SUMPRODUCT(($M$5:$M$115&gt;M108)*1)+SUMPRODUCT(($M$5:$M$115=M108)*(ROW($M$5:$M$115)&lt;ROW(M108)))+1</f>
        <v>106</v>
      </c>
      <c r="O108" s="76" t="str">
        <f aca="false">IF(M108&gt;=0.2,"★★★ EXCELLENT",IF(M108&gt;=0.12,"★★  GOOD",IF(M108&gt;=0.07,"★  FAIR",IF(M108&gt;=0.025,"⚠  MARGINAL","✗  AVOID"))))</f>
        <v>✗  AVOID</v>
      </c>
    </row>
    <row r="109" customFormat="false" ht="15" hidden="false" customHeight="true" outlineLevel="0" collapsed="false">
      <c r="A109" s="72" t="n">
        <v>57</v>
      </c>
      <c r="B109" s="73" t="n">
        <f aca="false">IF(Calculator!$E$11="YES",IF(A109&lt;Calculator!$G$11,0,MIN(MIN(MOD(A109/Calculator!$F$11,1),1-MOD(A109/Calculator!$F$11,1)),ABS(MOD(A109/Calculator!$F$11,1)-0.5))),1)</f>
        <v>1</v>
      </c>
      <c r="C109" s="73" t="n">
        <f aca="false">IF(Calculator!$E$12="YES",IF(A109&lt;Calculator!$G$12,0,MIN(MIN(MOD(A109/Calculator!$F$12,1),1-MOD(A109/Calculator!$F$12,1)),ABS(MOD(A109/Calculator!$F$12,1)-0.5))),1)</f>
        <v>1</v>
      </c>
      <c r="D109" s="73" t="n">
        <f aca="false">IF(Calculator!$E$13="YES",IF(A109&lt;Calculator!$G$13,0,MIN(MIN(MOD(A109/Calculator!$F$13,1),1-MOD(A109/Calculator!$F$13,1)),ABS(MOD(A109/Calculator!$F$13,1)-0.5))),1)</f>
        <v>1</v>
      </c>
      <c r="E109" s="73" t="n">
        <f aca="false">IF(Calculator!$E$14="YES",IF(A109&lt;Calculator!$G$14,0,MIN(MIN(MOD(A109/Calculator!$F$14,1),1-MOD(A109/Calculator!$F$14,1)),ABS(MOD(A109/Calculator!$F$14,1)-0.5))),1)</f>
        <v>1</v>
      </c>
      <c r="F109" s="73" t="n">
        <f aca="false">IF(Calculator!$E$15="YES",IF(A109&lt;Calculator!$G$15,0,MIN(MIN(MOD(A109/Calculator!$F$15,1),1-MOD(A109/Calculator!$F$15,1)),ABS(MOD(A109/Calculator!$F$15,1)-0.5))),1)</f>
        <v>0.0538461538461541</v>
      </c>
      <c r="G109" s="73" t="n">
        <f aca="false">IF(Calculator!$E$16="YES",IF(A109&lt;Calculator!$G$16,0,MIN(MIN(MOD(A109/Calculator!$F$16,1),1-MOD(A109/Calculator!$F$16,1)),ABS(MOD(A109/Calculator!$F$16,1)-0.5))),1)</f>
        <v>0.0246153846153856</v>
      </c>
      <c r="H109" s="73" t="n">
        <f aca="false">IF(Calculator!$E$17="YES",IF(A109&lt;Calculator!$G$17,0,MIN(MIN(MOD(A109/Calculator!$F$17,1),1-MOD(A109/Calculator!$F$17,1)),ABS(MOD(A109/Calculator!$F$17,1)-0.5))),1)</f>
        <v>0.0613743589743603</v>
      </c>
      <c r="I109" s="73" t="n">
        <f aca="false">IF(Calculator!$E$18="YES",IF(A109&lt;Calculator!$G$18,0,MIN(MIN(MOD(A109/Calculator!$F$18,1),1-MOD(A109/Calculator!$F$18,1)),ABS(MOD(A109/Calculator!$F$18,1)-0.5))),1)</f>
        <v>0.227692307692307</v>
      </c>
      <c r="J109" s="73" t="n">
        <f aca="false">IF(Calculator!$E$19="YES",IF(A109&lt;Calculator!$G$19,0,MIN(MIN(MOD(A109/Calculator!$F$19,1),1-MOD(A109/Calculator!$F$19,1)),ABS(MOD(A109/Calculator!$F$19,1)-0.5))),1)</f>
        <v>0.220205128205121</v>
      </c>
      <c r="K109" s="73" t="n">
        <f aca="false">IF(Calculator!$E$20="YES",IF(A109&lt;Calculator!$G$20,0,MIN(MIN(MOD(A109/Calculator!$F$20,1),1-MOD(A109/Calculator!$F$20,1)),ABS(MOD(A109/Calculator!$F$20,1)-0.5))),1)</f>
        <v>0.244102564102565</v>
      </c>
      <c r="L109" s="73" t="n">
        <f aca="false">IF(Calculator!$E$21="YES",IF(A109&lt;Calculator!$G$21,0,MIN(MIN(MOD(A109/Calculator!$F$21,1),1-MOD(A109/Calculator!$F$21,1)),ABS(MOD(A109/Calculator!$F$21,1)-0.5))),1)</f>
        <v>1</v>
      </c>
      <c r="M109" s="74" t="n">
        <f aca="false">MIN(B109:L109)</f>
        <v>0.0246153846153856</v>
      </c>
      <c r="N109" s="75" t="n">
        <f aca="false">SUMPRODUCT(($M$5:$M$115&gt;M109)*1)+SUMPRODUCT(($M$5:$M$115=M109)*(ROW($M$5:$M$115)&lt;ROW(M109)))+1</f>
        <v>60</v>
      </c>
      <c r="O109" s="76" t="str">
        <f aca="false">IF(M109&gt;=0.2,"★★★ EXCELLENT",IF(M109&gt;=0.12,"★★  GOOD",IF(M109&gt;=0.07,"★  FAIR",IF(M109&gt;=0.025,"⚠  MARGINAL","✗  AVOID"))))</f>
        <v>✗  AVOID</v>
      </c>
    </row>
    <row r="110" customFormat="false" ht="15" hidden="false" customHeight="true" outlineLevel="0" collapsed="false">
      <c r="A110" s="72" t="n">
        <v>57.5</v>
      </c>
      <c r="B110" s="73" t="n">
        <f aca="false">IF(Calculator!$E$11="YES",IF(A110&lt;Calculator!$G$11,0,MIN(MIN(MOD(A110/Calculator!$F$11,1),1-MOD(A110/Calculator!$F$11,1)),ABS(MOD(A110/Calculator!$F$11,1)-0.5))),1)</f>
        <v>1</v>
      </c>
      <c r="C110" s="73" t="n">
        <f aca="false">IF(Calculator!$E$12="YES",IF(A110&lt;Calculator!$G$12,0,MIN(MIN(MOD(A110/Calculator!$F$12,1),1-MOD(A110/Calculator!$F$12,1)),ABS(MOD(A110/Calculator!$F$12,1)-0.5))),1)</f>
        <v>1</v>
      </c>
      <c r="D110" s="73" t="n">
        <f aca="false">IF(Calculator!$E$13="YES",IF(A110&lt;Calculator!$G$13,0,MIN(MIN(MOD(A110/Calculator!$F$13,1),1-MOD(A110/Calculator!$F$13,1)),ABS(MOD(A110/Calculator!$F$13,1)-0.5))),1)</f>
        <v>1</v>
      </c>
      <c r="E110" s="73" t="n">
        <f aca="false">IF(Calculator!$E$14="YES",IF(A110&lt;Calculator!$G$14,0,MIN(MIN(MOD(A110/Calculator!$F$14,1),1-MOD(A110/Calculator!$F$14,1)),ABS(MOD(A110/Calculator!$F$14,1)-0.5))),1)</f>
        <v>1</v>
      </c>
      <c r="F110" s="73" t="n">
        <f aca="false">IF(Calculator!$E$15="YES",IF(A110&lt;Calculator!$G$15,0,MIN(MIN(MOD(A110/Calculator!$F$15,1),1-MOD(A110/Calculator!$F$15,1)),ABS(MOD(A110/Calculator!$F$15,1)-0.5))),1)</f>
        <v>0.0192307692307692</v>
      </c>
      <c r="G110" s="73" t="n">
        <f aca="false">IF(Calculator!$E$16="YES",IF(A110&lt;Calculator!$G$16,0,MIN(MIN(MOD(A110/Calculator!$F$16,1),1-MOD(A110/Calculator!$F$16,1)),ABS(MOD(A110/Calculator!$F$16,1)-0.5))),1)</f>
        <v>0.0730769230769237</v>
      </c>
      <c r="H110" s="73" t="n">
        <f aca="false">IF(Calculator!$E$17="YES",IF(A110&lt;Calculator!$G$17,0,MIN(MIN(MOD(A110/Calculator!$F$17,1),1-MOD(A110/Calculator!$F$17,1)),ABS(MOD(A110/Calculator!$F$17,1)-0.5))),1)</f>
        <v>0.123316239316241</v>
      </c>
      <c r="I110" s="73" t="n">
        <f aca="false">IF(Calculator!$E$18="YES",IF(A110&lt;Calculator!$G$18,0,MIN(MIN(MOD(A110/Calculator!$F$18,1),1-MOD(A110/Calculator!$F$18,1)),ABS(MOD(A110/Calculator!$F$18,1)-0.5))),1)</f>
        <v>0.155128205128204</v>
      </c>
      <c r="J110" s="73" t="n">
        <f aca="false">IF(Calculator!$E$19="YES",IF(A110&lt;Calculator!$G$19,0,MIN(MIN(MOD(A110/Calculator!$F$19,1),1-MOD(A110/Calculator!$F$19,1)),ABS(MOD(A110/Calculator!$F$19,1)-0.5))),1)</f>
        <v>0.194529914529921</v>
      </c>
      <c r="K110" s="73" t="n">
        <f aca="false">IF(Calculator!$E$20="YES",IF(A110&lt;Calculator!$G$20,0,MIN(MIN(MOD(A110/Calculator!$F$20,1),1-MOD(A110/Calculator!$F$20,1)),ABS(MOD(A110/Calculator!$F$20,1)-0.5))),1)</f>
        <v>0.157264957264957</v>
      </c>
      <c r="L110" s="73" t="n">
        <f aca="false">IF(Calculator!$E$21="YES",IF(A110&lt;Calculator!$G$21,0,MIN(MIN(MOD(A110/Calculator!$F$21,1),1-MOD(A110/Calculator!$F$21,1)),ABS(MOD(A110/Calculator!$F$21,1)-0.5))),1)</f>
        <v>1</v>
      </c>
      <c r="M110" s="74" t="n">
        <f aca="false">MIN(B110:L110)</f>
        <v>0.0192307692307692</v>
      </c>
      <c r="N110" s="75" t="n">
        <f aca="false">SUMPRODUCT(($M$5:$M$115&gt;M110)*1)+SUMPRODUCT(($M$5:$M$115=M110)*(ROW($M$5:$M$115)&lt;ROW(M110)))+1</f>
        <v>69</v>
      </c>
      <c r="O110" s="76" t="str">
        <f aca="false">IF(M110&gt;=0.2,"★★★ EXCELLENT",IF(M110&gt;=0.12,"★★  GOOD",IF(M110&gt;=0.07,"★  FAIR",IF(M110&gt;=0.025,"⚠  MARGINAL","✗  AVOID"))))</f>
        <v>✗  AVOID</v>
      </c>
    </row>
    <row r="111" customFormat="false" ht="15" hidden="false" customHeight="true" outlineLevel="0" collapsed="false">
      <c r="A111" s="72" t="n">
        <v>58</v>
      </c>
      <c r="B111" s="73" t="n">
        <f aca="false">IF(Calculator!$E$11="YES",IF(A111&lt;Calculator!$G$11,0,MIN(MIN(MOD(A111/Calculator!$F$11,1),1-MOD(A111/Calculator!$F$11,1)),ABS(MOD(A111/Calculator!$F$11,1)-0.5))),1)</f>
        <v>1</v>
      </c>
      <c r="C111" s="73" t="n">
        <f aca="false">IF(Calculator!$E$12="YES",IF(A111&lt;Calculator!$G$12,0,MIN(MIN(MOD(A111/Calculator!$F$12,1),1-MOD(A111/Calculator!$F$12,1)),ABS(MOD(A111/Calculator!$F$12,1)-0.5))),1)</f>
        <v>1</v>
      </c>
      <c r="D111" s="73" t="n">
        <f aca="false">IF(Calculator!$E$13="YES",IF(A111&lt;Calculator!$G$13,0,MIN(MIN(MOD(A111/Calculator!$F$13,1),1-MOD(A111/Calculator!$F$13,1)),ABS(MOD(A111/Calculator!$F$13,1)-0.5))),1)</f>
        <v>1</v>
      </c>
      <c r="E111" s="73" t="n">
        <f aca="false">IF(Calculator!$E$14="YES",IF(A111&lt;Calculator!$G$14,0,MIN(MIN(MOD(A111/Calculator!$F$14,1),1-MOD(A111/Calculator!$F$14,1)),ABS(MOD(A111/Calculator!$F$14,1)-0.5))),1)</f>
        <v>1</v>
      </c>
      <c r="F111" s="73" t="n">
        <f aca="false">IF(Calculator!$E$15="YES",IF(A111&lt;Calculator!$G$15,0,MIN(MIN(MOD(A111/Calculator!$F$15,1),1-MOD(A111/Calculator!$F$15,1)),ABS(MOD(A111/Calculator!$F$15,1)-0.5))),1)</f>
        <v>0.0153846153846153</v>
      </c>
      <c r="G111" s="73" t="n">
        <f aca="false">IF(Calculator!$E$16="YES",IF(A111&lt;Calculator!$G$16,0,MIN(MIN(MOD(A111/Calculator!$F$16,1),1-MOD(A111/Calculator!$F$16,1)),ABS(MOD(A111/Calculator!$F$16,1)-0.5))),1)</f>
        <v>0.121538461538462</v>
      </c>
      <c r="H111" s="73" t="n">
        <f aca="false">IF(Calculator!$E$17="YES",IF(A111&lt;Calculator!$G$17,0,MIN(MIN(MOD(A111/Calculator!$F$17,1),1-MOD(A111/Calculator!$F$17,1)),ABS(MOD(A111/Calculator!$F$17,1)-0.5))),1)</f>
        <v>0.185258119658121</v>
      </c>
      <c r="I111" s="73" t="n">
        <f aca="false">IF(Calculator!$E$18="YES",IF(A111&lt;Calculator!$G$18,0,MIN(MIN(MOD(A111/Calculator!$F$18,1),1-MOD(A111/Calculator!$F$18,1)),ABS(MOD(A111/Calculator!$F$18,1)-0.5))),1)</f>
        <v>0.0825641025641009</v>
      </c>
      <c r="J111" s="73" t="n">
        <f aca="false">IF(Calculator!$E$19="YES",IF(A111&lt;Calculator!$G$19,0,MIN(MIN(MOD(A111/Calculator!$F$19,1),1-MOD(A111/Calculator!$F$19,1)),ABS(MOD(A111/Calculator!$F$19,1)-0.5))),1)</f>
        <v>0.109264957264964</v>
      </c>
      <c r="K111" s="73" t="n">
        <f aca="false">IF(Calculator!$E$20="YES",IF(A111&lt;Calculator!$G$20,0,MIN(MIN(MOD(A111/Calculator!$F$20,1),1-MOD(A111/Calculator!$F$20,1)),ABS(MOD(A111/Calculator!$F$20,1)-0.5))),1)</f>
        <v>0.058632478632477</v>
      </c>
      <c r="L111" s="73" t="n">
        <f aca="false">IF(Calculator!$E$21="YES",IF(A111&lt;Calculator!$G$21,0,MIN(MIN(MOD(A111/Calculator!$F$21,1),1-MOD(A111/Calculator!$F$21,1)),ABS(MOD(A111/Calculator!$F$21,1)-0.5))),1)</f>
        <v>1</v>
      </c>
      <c r="M111" s="74" t="n">
        <f aca="false">MIN(B111:L111)</f>
        <v>0.0153846153846153</v>
      </c>
      <c r="N111" s="75" t="n">
        <f aca="false">SUMPRODUCT(($M$5:$M$115&gt;M111)*1)+SUMPRODUCT(($M$5:$M$115=M111)*(ROW($M$5:$M$115)&lt;ROW(M111)))+1</f>
        <v>78</v>
      </c>
      <c r="O111" s="76" t="str">
        <f aca="false">IF(M111&gt;=0.2,"★★★ EXCELLENT",IF(M111&gt;=0.12,"★★  GOOD",IF(M111&gt;=0.07,"★  FAIR",IF(M111&gt;=0.025,"⚠  MARGINAL","✗  AVOID"))))</f>
        <v>✗  AVOID</v>
      </c>
    </row>
    <row r="112" customFormat="false" ht="15" hidden="false" customHeight="true" outlineLevel="0" collapsed="false">
      <c r="A112" s="72" t="n">
        <v>58.5</v>
      </c>
      <c r="B112" s="73" t="n">
        <f aca="false">IF(Calculator!$E$11="YES",IF(A112&lt;Calculator!$G$11,0,MIN(MIN(MOD(A112/Calculator!$F$11,1),1-MOD(A112/Calculator!$F$11,1)),ABS(MOD(A112/Calculator!$F$11,1)-0.5))),1)</f>
        <v>1</v>
      </c>
      <c r="C112" s="73" t="n">
        <f aca="false">IF(Calculator!$E$12="YES",IF(A112&lt;Calculator!$G$12,0,MIN(MIN(MOD(A112/Calculator!$F$12,1),1-MOD(A112/Calculator!$F$12,1)),ABS(MOD(A112/Calculator!$F$12,1)-0.5))),1)</f>
        <v>1</v>
      </c>
      <c r="D112" s="73" t="n">
        <f aca="false">IF(Calculator!$E$13="YES",IF(A112&lt;Calculator!$G$13,0,MIN(MIN(MOD(A112/Calculator!$F$13,1),1-MOD(A112/Calculator!$F$13,1)),ABS(MOD(A112/Calculator!$F$13,1)-0.5))),1)</f>
        <v>1</v>
      </c>
      <c r="E112" s="73" t="n">
        <f aca="false">IF(Calculator!$E$14="YES",IF(A112&lt;Calculator!$G$14,0,MIN(MIN(MOD(A112/Calculator!$F$14,1),1-MOD(A112/Calculator!$F$14,1)),ABS(MOD(A112/Calculator!$F$14,1)-0.5))),1)</f>
        <v>1</v>
      </c>
      <c r="F112" s="73" t="n">
        <f aca="false">IF(Calculator!$E$15="YES",IF(A112&lt;Calculator!$G$15,0,MIN(MIN(MOD(A112/Calculator!$F$15,1),1-MOD(A112/Calculator!$F$15,1)),ABS(MOD(A112/Calculator!$F$15,1)-0.5))),1)</f>
        <v>0.0499999999999998</v>
      </c>
      <c r="G112" s="73" t="n">
        <f aca="false">IF(Calculator!$E$16="YES",IF(A112&lt;Calculator!$G$16,0,MIN(MIN(MOD(A112/Calculator!$F$16,1),1-MOD(A112/Calculator!$F$16,1)),ABS(MOD(A112/Calculator!$F$16,1)-0.5))),1)</f>
        <v>0.170000000000001</v>
      </c>
      <c r="H112" s="73" t="n">
        <f aca="false">IF(Calculator!$E$17="YES",IF(A112&lt;Calculator!$G$17,0,MIN(MIN(MOD(A112/Calculator!$F$17,1),1-MOD(A112/Calculator!$F$17,1)),ABS(MOD(A112/Calculator!$F$17,1)-0.5))),1)</f>
        <v>0.247200000000001</v>
      </c>
      <c r="I112" s="73" t="n">
        <f aca="false">IF(Calculator!$E$18="YES",IF(A112&lt;Calculator!$G$18,0,MIN(MIN(MOD(A112/Calculator!$F$18,1),1-MOD(A112/Calculator!$F$18,1)),ABS(MOD(A112/Calculator!$F$18,1)-0.5))),1)</f>
        <v>0.00999999999999979</v>
      </c>
      <c r="J112" s="73" t="n">
        <f aca="false">IF(Calculator!$E$19="YES",IF(A112&lt;Calculator!$G$19,0,MIN(MIN(MOD(A112/Calculator!$F$19,1),1-MOD(A112/Calculator!$F$19,1)),ABS(MOD(A112/Calculator!$F$19,1)-0.5))),1)</f>
        <v>0.024000000000008</v>
      </c>
      <c r="K112" s="73" t="n">
        <f aca="false">IF(Calculator!$E$20="YES",IF(A112&lt;Calculator!$G$20,0,MIN(MIN(MOD(A112/Calculator!$F$20,1),1-MOD(A112/Calculator!$F$20,1)),ABS(MOD(A112/Calculator!$F$20,1)-0.5))),1)</f>
        <v>0.0400000000000009</v>
      </c>
      <c r="L112" s="73" t="n">
        <f aca="false">IF(Calculator!$E$21="YES",IF(A112&lt;Calculator!$G$21,0,MIN(MIN(MOD(A112/Calculator!$F$21,1),1-MOD(A112/Calculator!$F$21,1)),ABS(MOD(A112/Calculator!$F$21,1)-0.5))),1)</f>
        <v>1</v>
      </c>
      <c r="M112" s="74" t="n">
        <f aca="false">MIN(B112:L112)</f>
        <v>0.00999999999999979</v>
      </c>
      <c r="N112" s="75" t="n">
        <f aca="false">SUMPRODUCT(($M$5:$M$115&gt;M112)*1)+SUMPRODUCT(($M$5:$M$115=M112)*(ROW($M$5:$M$115)&lt;ROW(M112)))+1</f>
        <v>85</v>
      </c>
      <c r="O112" s="76" t="str">
        <f aca="false">IF(M112&gt;=0.2,"★★★ EXCELLENT",IF(M112&gt;=0.12,"★★  GOOD",IF(M112&gt;=0.07,"★  FAIR",IF(M112&gt;=0.025,"⚠  MARGINAL","✗  AVOID"))))</f>
        <v>✗  AVOID</v>
      </c>
    </row>
    <row r="113" customFormat="false" ht="15" hidden="false" customHeight="true" outlineLevel="0" collapsed="false">
      <c r="A113" s="72" t="n">
        <v>59</v>
      </c>
      <c r="B113" s="73" t="n">
        <f aca="false">IF(Calculator!$E$11="YES",IF(A113&lt;Calculator!$G$11,0,MIN(MIN(MOD(A113/Calculator!$F$11,1),1-MOD(A113/Calculator!$F$11,1)),ABS(MOD(A113/Calculator!$F$11,1)-0.5))),1)</f>
        <v>1</v>
      </c>
      <c r="C113" s="73" t="n">
        <f aca="false">IF(Calculator!$E$12="YES",IF(A113&lt;Calculator!$G$12,0,MIN(MIN(MOD(A113/Calculator!$F$12,1),1-MOD(A113/Calculator!$F$12,1)),ABS(MOD(A113/Calculator!$F$12,1)-0.5))),1)</f>
        <v>1</v>
      </c>
      <c r="D113" s="73" t="n">
        <f aca="false">IF(Calculator!$E$13="YES",IF(A113&lt;Calculator!$G$13,0,MIN(MIN(MOD(A113/Calculator!$F$13,1),1-MOD(A113/Calculator!$F$13,1)),ABS(MOD(A113/Calculator!$F$13,1)-0.5))),1)</f>
        <v>1</v>
      </c>
      <c r="E113" s="73" t="n">
        <f aca="false">IF(Calculator!$E$14="YES",IF(A113&lt;Calculator!$G$14,0,MIN(MIN(MOD(A113/Calculator!$F$14,1),1-MOD(A113/Calculator!$F$14,1)),ABS(MOD(A113/Calculator!$F$14,1)-0.5))),1)</f>
        <v>1</v>
      </c>
      <c r="F113" s="73" t="n">
        <f aca="false">IF(Calculator!$E$15="YES",IF(A113&lt;Calculator!$G$15,0,MIN(MIN(MOD(A113/Calculator!$F$15,1),1-MOD(A113/Calculator!$F$15,1)),ABS(MOD(A113/Calculator!$F$15,1)-0.5))),1)</f>
        <v>0.0846153846153843</v>
      </c>
      <c r="G113" s="73" t="n">
        <f aca="false">IF(Calculator!$E$16="YES",IF(A113&lt;Calculator!$G$16,0,MIN(MIN(MOD(A113/Calculator!$F$16,1),1-MOD(A113/Calculator!$F$16,1)),ABS(MOD(A113/Calculator!$F$16,1)-0.5))),1)</f>
        <v>0.218461538461539</v>
      </c>
      <c r="H113" s="73" t="n">
        <f aca="false">IF(Calculator!$E$17="YES",IF(A113&lt;Calculator!$G$17,0,MIN(MIN(MOD(A113/Calculator!$F$17,1),1-MOD(A113/Calculator!$F$17,1)),ABS(MOD(A113/Calculator!$F$17,1)-0.5))),1)</f>
        <v>0.190858119658119</v>
      </c>
      <c r="I113" s="73" t="n">
        <f aca="false">IF(Calculator!$E$18="YES",IF(A113&lt;Calculator!$G$18,0,MIN(MIN(MOD(A113/Calculator!$F$18,1),1-MOD(A113/Calculator!$F$18,1)),ABS(MOD(A113/Calculator!$F$18,1)-0.5))),1)</f>
        <v>0.0625641025641031</v>
      </c>
      <c r="J113" s="73" t="n">
        <f aca="false">IF(Calculator!$E$19="YES",IF(A113&lt;Calculator!$G$19,0,MIN(MIN(MOD(A113/Calculator!$F$19,1),1-MOD(A113/Calculator!$F$19,1)),ABS(MOD(A113/Calculator!$F$19,1)-0.5))),1)</f>
        <v>0.0612649572649495</v>
      </c>
      <c r="K113" s="73" t="n">
        <f aca="false">IF(Calculator!$E$20="YES",IF(A113&lt;Calculator!$G$20,0,MIN(MIN(MOD(A113/Calculator!$F$20,1),1-MOD(A113/Calculator!$F$20,1)),ABS(MOD(A113/Calculator!$F$20,1)-0.5))),1)</f>
        <v>0.138632478632481</v>
      </c>
      <c r="L113" s="73" t="n">
        <f aca="false">IF(Calculator!$E$21="YES",IF(A113&lt;Calculator!$G$21,0,MIN(MIN(MOD(A113/Calculator!$F$21,1),1-MOD(A113/Calculator!$F$21,1)),ABS(MOD(A113/Calculator!$F$21,1)-0.5))),1)</f>
        <v>1</v>
      </c>
      <c r="M113" s="74" t="n">
        <f aca="false">MIN(B113:L113)</f>
        <v>0.0612649572649495</v>
      </c>
      <c r="N113" s="75" t="n">
        <f aca="false">SUMPRODUCT(($M$5:$M$115&gt;M113)*1)+SUMPRODUCT(($M$5:$M$115=M113)*(ROW($M$5:$M$115)&lt;ROW(M113)))+1</f>
        <v>23</v>
      </c>
      <c r="O113" s="76" t="str">
        <f aca="false">IF(M113&gt;=0.2,"★★★ EXCELLENT",IF(M113&gt;=0.12,"★★  GOOD",IF(M113&gt;=0.07,"★  FAIR",IF(M113&gt;=0.025,"⚠  MARGINAL","✗  AVOID"))))</f>
        <v>⚠  MARGINAL</v>
      </c>
    </row>
    <row r="114" customFormat="false" ht="15" hidden="false" customHeight="true" outlineLevel="0" collapsed="false">
      <c r="A114" s="72" t="n">
        <v>59.5</v>
      </c>
      <c r="B114" s="73" t="n">
        <f aca="false">IF(Calculator!$E$11="YES",IF(A114&lt;Calculator!$G$11,0,MIN(MIN(MOD(A114/Calculator!$F$11,1),1-MOD(A114/Calculator!$F$11,1)),ABS(MOD(A114/Calculator!$F$11,1)-0.5))),1)</f>
        <v>1</v>
      </c>
      <c r="C114" s="73" t="n">
        <f aca="false">IF(Calculator!$E$12="YES",IF(A114&lt;Calculator!$G$12,0,MIN(MIN(MOD(A114/Calculator!$F$12,1),1-MOD(A114/Calculator!$F$12,1)),ABS(MOD(A114/Calculator!$F$12,1)-0.5))),1)</f>
        <v>1</v>
      </c>
      <c r="D114" s="73" t="n">
        <f aca="false">IF(Calculator!$E$13="YES",IF(A114&lt;Calculator!$G$13,0,MIN(MIN(MOD(A114/Calculator!$F$13,1),1-MOD(A114/Calculator!$F$13,1)),ABS(MOD(A114/Calculator!$F$13,1)-0.5))),1)</f>
        <v>1</v>
      </c>
      <c r="E114" s="73" t="n">
        <f aca="false">IF(Calculator!$E$14="YES",IF(A114&lt;Calculator!$G$14,0,MIN(MIN(MOD(A114/Calculator!$F$14,1),1-MOD(A114/Calculator!$F$14,1)),ABS(MOD(A114/Calculator!$F$14,1)-0.5))),1)</f>
        <v>1</v>
      </c>
      <c r="F114" s="73" t="n">
        <f aca="false">IF(Calculator!$E$15="YES",IF(A114&lt;Calculator!$G$15,0,MIN(MIN(MOD(A114/Calculator!$F$15,1),1-MOD(A114/Calculator!$F$15,1)),ABS(MOD(A114/Calculator!$F$15,1)-0.5))),1)</f>
        <v>0.119230769230769</v>
      </c>
      <c r="G114" s="73" t="n">
        <f aca="false">IF(Calculator!$E$16="YES",IF(A114&lt;Calculator!$G$16,0,MIN(MIN(MOD(A114/Calculator!$F$16,1),1-MOD(A114/Calculator!$F$16,1)),ABS(MOD(A114/Calculator!$F$16,1)-0.5))),1)</f>
        <v>0.233076923076922</v>
      </c>
      <c r="H114" s="73" t="n">
        <f aca="false">IF(Calculator!$E$17="YES",IF(A114&lt;Calculator!$G$17,0,MIN(MIN(MOD(A114/Calculator!$F$17,1),1-MOD(A114/Calculator!$F$17,1)),ABS(MOD(A114/Calculator!$F$17,1)-0.5))),1)</f>
        <v>0.128916239316238</v>
      </c>
      <c r="I114" s="73" t="n">
        <f aca="false">IF(Calculator!$E$18="YES",IF(A114&lt;Calculator!$G$18,0,MIN(MIN(MOD(A114/Calculator!$F$18,1),1-MOD(A114/Calculator!$F$18,1)),ABS(MOD(A114/Calculator!$F$18,1)-0.5))),1)</f>
        <v>0.135128205128206</v>
      </c>
      <c r="J114" s="73" t="n">
        <f aca="false">IF(Calculator!$E$19="YES",IF(A114&lt;Calculator!$G$19,0,MIN(MIN(MOD(A114/Calculator!$F$19,1),1-MOD(A114/Calculator!$F$19,1)),ABS(MOD(A114/Calculator!$F$19,1)-0.5))),1)</f>
        <v>0.146529914529907</v>
      </c>
      <c r="K114" s="73" t="n">
        <f aca="false">IF(Calculator!$E$20="YES",IF(A114&lt;Calculator!$G$20,0,MIN(MIN(MOD(A114/Calculator!$F$20,1),1-MOD(A114/Calculator!$F$20,1)),ABS(MOD(A114/Calculator!$F$20,1)-0.5))),1)</f>
        <v>0.237264957264959</v>
      </c>
      <c r="L114" s="73" t="n">
        <f aca="false">IF(Calculator!$E$21="YES",IF(A114&lt;Calculator!$G$21,0,MIN(MIN(MOD(A114/Calculator!$F$21,1),1-MOD(A114/Calculator!$F$21,1)),ABS(MOD(A114/Calculator!$F$21,1)-0.5))),1)</f>
        <v>1</v>
      </c>
      <c r="M114" s="74" t="n">
        <f aca="false">MIN(B114:L114)</f>
        <v>0.119230769230769</v>
      </c>
      <c r="N114" s="75" t="n">
        <f aca="false">SUMPRODUCT(($M$5:$M$115&gt;M114)*1)+SUMPRODUCT(($M$5:$M$115=M114)*(ROW($M$5:$M$115)&lt;ROW(M114)))+1</f>
        <v>5</v>
      </c>
      <c r="O114" s="76" t="str">
        <f aca="false">IF(M114&gt;=0.2,"★★★ EXCELLENT",IF(M114&gt;=0.12,"★★  GOOD",IF(M114&gt;=0.07,"★  FAIR",IF(M114&gt;=0.025,"⚠  MARGINAL","✗  AVOID"))))</f>
        <v>★  FAIR</v>
      </c>
    </row>
    <row r="115" customFormat="false" ht="15" hidden="false" customHeight="true" outlineLevel="0" collapsed="false">
      <c r="A115" s="72" t="n">
        <v>60</v>
      </c>
      <c r="B115" s="73" t="n">
        <f aca="false">IF(Calculator!$E$11="YES",IF(A115&lt;Calculator!$G$11,0,MIN(MIN(MOD(A115/Calculator!$F$11,1),1-MOD(A115/Calculator!$F$11,1)),ABS(MOD(A115/Calculator!$F$11,1)-0.5))),1)</f>
        <v>1</v>
      </c>
      <c r="C115" s="73" t="n">
        <f aca="false">IF(Calculator!$E$12="YES",IF(A115&lt;Calculator!$G$12,0,MIN(MIN(MOD(A115/Calculator!$F$12,1),1-MOD(A115/Calculator!$F$12,1)),ABS(MOD(A115/Calculator!$F$12,1)-0.5))),1)</f>
        <v>1</v>
      </c>
      <c r="D115" s="73" t="n">
        <f aca="false">IF(Calculator!$E$13="YES",IF(A115&lt;Calculator!$G$13,0,MIN(MIN(MOD(A115/Calculator!$F$13,1),1-MOD(A115/Calculator!$F$13,1)),ABS(MOD(A115/Calculator!$F$13,1)-0.5))),1)</f>
        <v>1</v>
      </c>
      <c r="E115" s="73" t="n">
        <f aca="false">IF(Calculator!$E$14="YES",IF(A115&lt;Calculator!$G$14,0,MIN(MIN(MOD(A115/Calculator!$F$14,1),1-MOD(A115/Calculator!$F$14,1)),ABS(MOD(A115/Calculator!$F$14,1)-0.5))),1)</f>
        <v>1</v>
      </c>
      <c r="F115" s="73" t="n">
        <f aca="false">IF(Calculator!$E$15="YES",IF(A115&lt;Calculator!$G$15,0,MIN(MIN(MOD(A115/Calculator!$F$15,1),1-MOD(A115/Calculator!$F$15,1)),ABS(MOD(A115/Calculator!$F$15,1)-0.5))),1)</f>
        <v>0.153846153846154</v>
      </c>
      <c r="G115" s="73" t="n">
        <f aca="false">IF(Calculator!$E$16="YES",IF(A115&lt;Calculator!$G$16,0,MIN(MIN(MOD(A115/Calculator!$F$16,1),1-MOD(A115/Calculator!$F$16,1)),ABS(MOD(A115/Calculator!$F$16,1)-0.5))),1)</f>
        <v>0.184615384615384</v>
      </c>
      <c r="H115" s="73" t="n">
        <f aca="false">IF(Calculator!$E$17="YES",IF(A115&lt;Calculator!$G$17,0,MIN(MIN(MOD(A115/Calculator!$F$17,1),1-MOD(A115/Calculator!$F$17,1)),ABS(MOD(A115/Calculator!$F$17,1)-0.5))),1)</f>
        <v>0.0669743589743579</v>
      </c>
      <c r="I115" s="73" t="n">
        <f aca="false">IF(Calculator!$E$18="YES",IF(A115&lt;Calculator!$G$18,0,MIN(MIN(MOD(A115/Calculator!$F$18,1),1-MOD(A115/Calculator!$F$18,1)),ABS(MOD(A115/Calculator!$F$18,1)-0.5))),1)</f>
        <v>0.207692307692309</v>
      </c>
      <c r="J115" s="73" t="n">
        <f aca="false">IF(Calculator!$E$19="YES",IF(A115&lt;Calculator!$G$19,0,MIN(MIN(MOD(A115/Calculator!$F$19,1),1-MOD(A115/Calculator!$F$19,1)),ABS(MOD(A115/Calculator!$F$19,1)-0.5))),1)</f>
        <v>0.231794871794865</v>
      </c>
      <c r="K115" s="73" t="n">
        <f aca="false">IF(Calculator!$E$20="YES",IF(A115&lt;Calculator!$G$20,0,MIN(MIN(MOD(A115/Calculator!$F$20,1),1-MOD(A115/Calculator!$F$20,1)),ABS(MOD(A115/Calculator!$F$20,1)-0.5))),1)</f>
        <v>0.164102564102564</v>
      </c>
      <c r="L115" s="73" t="n">
        <f aca="false">IF(Calculator!$E$21="YES",IF(A115&lt;Calculator!$G$21,0,MIN(MIN(MOD(A115/Calculator!$F$21,1),1-MOD(A115/Calculator!$F$21,1)),ABS(MOD(A115/Calculator!$F$21,1)-0.5))),1)</f>
        <v>1</v>
      </c>
      <c r="M115" s="74" t="n">
        <f aca="false">MIN(B115:L115)</f>
        <v>0.0669743589743579</v>
      </c>
      <c r="N115" s="75" t="n">
        <f aca="false">SUMPRODUCT(($M$5:$M$115&gt;M115)*1)+SUMPRODUCT(($M$5:$M$115=M115)*(ROW($M$5:$M$115)&lt;ROW(M115)))+1</f>
        <v>17</v>
      </c>
      <c r="O115" s="76" t="str">
        <f aca="false">IF(M115&gt;=0.2,"★★★ EXCELLENT",IF(M115&gt;=0.12,"★★  GOOD",IF(M115&gt;=0.07,"★  FAIR",IF(M115&gt;=0.025,"⚠  MARGINAL","✗  AVOID"))))</f>
        <v>⚠  MARGINAL</v>
      </c>
    </row>
  </sheetData>
  <mergeCells count="3">
    <mergeCell ref="A1:O1"/>
    <mergeCell ref="A2:O2"/>
    <mergeCell ref="A3:O3"/>
  </mergeCells>
  <conditionalFormatting sqref="M5:M115">
    <cfRule type="colorScale" priority="2">
      <colorScale>
        <cfvo type="num" val="0"/>
        <cfvo type="num" val="0.25"/>
        <cfvo type="num" val="0.5"/>
        <color rgb="FFFF4444"/>
        <color rgb="FFFFDD44"/>
        <color rgb="FF00B050"/>
      </colorScale>
    </cfRule>
  </conditionalFormatting>
  <conditionalFormatting sqref="A5:O115">
    <cfRule type="expression" priority="3" aboveAverage="0" equalAverage="0" bottom="0" percent="0" rank="0" text="" dxfId="6">
      <formula>$M5&gt;=0.38</formula>
    </cfRule>
    <cfRule type="expression" priority="4" aboveAverage="0" equalAverage="0" bottom="0" percent="0" rank="0" text="" dxfId="7">
      <formula>$M5&lt;=0.08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H46" activeCellId="0" sqref="H4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77" width="30"/>
    <col collapsed="false" customWidth="true" hidden="false" outlineLevel="0" max="4" min="2" style="77" width="22"/>
    <col collapsed="false" customWidth="true" hidden="false" outlineLevel="0" max="5" min="5" style="77" width="38"/>
    <col collapsed="false" customWidth="false" hidden="false" outlineLevel="0" max="16384" min="6" style="78" width="8.68"/>
  </cols>
  <sheetData>
    <row r="1" customFormat="false" ht="16.15" hidden="false" customHeight="true" outlineLevel="0" collapsed="false">
      <c r="A1" s="79" t="s">
        <v>86</v>
      </c>
      <c r="B1" s="79"/>
      <c r="C1" s="79"/>
      <c r="D1" s="79"/>
      <c r="E1" s="79"/>
    </row>
    <row r="2" customFormat="false" ht="15" hidden="false" customHeight="true" outlineLevel="0" collapsed="false">
      <c r="A2" s="27" t="s">
        <v>87</v>
      </c>
      <c r="B2" s="27"/>
      <c r="C2" s="27"/>
      <c r="D2" s="27"/>
      <c r="E2" s="27"/>
    </row>
    <row r="3" customFormat="false" ht="15" hidden="false" customHeight="false" outlineLevel="0" collapsed="false">
      <c r="A3" s="80" t="s">
        <v>88</v>
      </c>
      <c r="B3" s="81" t="s">
        <v>89</v>
      </c>
      <c r="C3" s="81" t="s">
        <v>90</v>
      </c>
      <c r="D3" s="81" t="s">
        <v>91</v>
      </c>
      <c r="E3" s="81"/>
    </row>
    <row r="4" customFormat="false" ht="15" hidden="false" customHeight="false" outlineLevel="0" collapsed="false">
      <c r="A4" s="82" t="s">
        <v>92</v>
      </c>
      <c r="B4" s="82" t="s">
        <v>93</v>
      </c>
      <c r="C4" s="82" t="s">
        <v>94</v>
      </c>
      <c r="D4" s="82" t="s">
        <v>95</v>
      </c>
      <c r="E4" s="82"/>
    </row>
    <row r="5" customFormat="false" ht="23.85" hidden="false" customHeight="false" outlineLevel="0" collapsed="false">
      <c r="A5" s="83" t="s">
        <v>96</v>
      </c>
      <c r="B5" s="83" t="s">
        <v>97</v>
      </c>
      <c r="C5" s="83" t="s">
        <v>98</v>
      </c>
      <c r="D5" s="83" t="s">
        <v>99</v>
      </c>
      <c r="E5" s="83"/>
    </row>
    <row r="6" customFormat="false" ht="15" hidden="false" customHeight="false" outlineLevel="0" collapsed="false">
      <c r="A6" s="82" t="s">
        <v>100</v>
      </c>
      <c r="B6" s="82" t="s">
        <v>101</v>
      </c>
      <c r="C6" s="82" t="s">
        <v>102</v>
      </c>
      <c r="D6" s="82" t="s">
        <v>103</v>
      </c>
      <c r="E6" s="82"/>
    </row>
    <row r="7" customFormat="false" ht="23.85" hidden="false" customHeight="false" outlineLevel="0" collapsed="false">
      <c r="A7" s="83" t="s">
        <v>104</v>
      </c>
      <c r="B7" s="83" t="s">
        <v>105</v>
      </c>
      <c r="C7" s="83" t="s">
        <v>106</v>
      </c>
      <c r="D7" s="83" t="s">
        <v>107</v>
      </c>
      <c r="E7" s="83"/>
    </row>
    <row r="8" customFormat="false" ht="15" hidden="false" customHeight="false" outlineLevel="0" collapsed="false">
      <c r="A8" s="82" t="s">
        <v>108</v>
      </c>
      <c r="B8" s="82" t="s">
        <v>109</v>
      </c>
      <c r="C8" s="82" t="s">
        <v>110</v>
      </c>
      <c r="D8" s="82" t="s">
        <v>111</v>
      </c>
      <c r="E8" s="82"/>
    </row>
    <row r="9" customFormat="false" ht="23.85" hidden="false" customHeight="false" outlineLevel="0" collapsed="false">
      <c r="A9" s="83" t="s">
        <v>112</v>
      </c>
      <c r="B9" s="83" t="s">
        <v>113</v>
      </c>
      <c r="C9" s="83" t="s">
        <v>114</v>
      </c>
      <c r="D9" s="83" t="s">
        <v>115</v>
      </c>
      <c r="E9" s="83"/>
    </row>
    <row r="10" customFormat="false" ht="23.85" hidden="false" customHeight="false" outlineLevel="0" collapsed="false">
      <c r="A10" s="82" t="s">
        <v>116</v>
      </c>
      <c r="B10" s="82" t="s">
        <v>117</v>
      </c>
      <c r="C10" s="82" t="s">
        <v>118</v>
      </c>
      <c r="D10" s="82" t="s">
        <v>119</v>
      </c>
      <c r="E10" s="82"/>
    </row>
    <row r="12" customFormat="false" ht="15" hidden="false" customHeight="true" outlineLevel="0" collapsed="false">
      <c r="A12" s="9" t="s">
        <v>120</v>
      </c>
      <c r="B12" s="9"/>
      <c r="C12" s="9"/>
      <c r="D12" s="9"/>
      <c r="E12" s="9"/>
    </row>
    <row r="13" customFormat="false" ht="15" hidden="false" customHeight="false" outlineLevel="0" collapsed="false">
      <c r="A13" s="80" t="s">
        <v>121</v>
      </c>
      <c r="B13" s="81" t="s">
        <v>122</v>
      </c>
      <c r="C13" s="81" t="s">
        <v>123</v>
      </c>
      <c r="D13" s="81" t="s">
        <v>124</v>
      </c>
      <c r="E13" s="81" t="s">
        <v>125</v>
      </c>
    </row>
    <row r="14" customFormat="false" ht="35.05" hidden="false" customHeight="false" outlineLevel="0" collapsed="false">
      <c r="A14" s="82" t="s">
        <v>126</v>
      </c>
      <c r="B14" s="82" t="s">
        <v>127</v>
      </c>
      <c r="C14" s="82" t="s">
        <v>128</v>
      </c>
      <c r="D14" s="82" t="s">
        <v>129</v>
      </c>
      <c r="E14" s="82" t="s">
        <v>130</v>
      </c>
    </row>
    <row r="15" customFormat="false" ht="35.05" hidden="false" customHeight="false" outlineLevel="0" collapsed="false">
      <c r="A15" s="83" t="s">
        <v>131</v>
      </c>
      <c r="B15" s="83" t="s">
        <v>132</v>
      </c>
      <c r="C15" s="83" t="s">
        <v>133</v>
      </c>
      <c r="D15" s="83" t="s">
        <v>134</v>
      </c>
      <c r="E15" s="83" t="s">
        <v>135</v>
      </c>
    </row>
    <row r="16" customFormat="false" ht="46.25" hidden="false" customHeight="false" outlineLevel="0" collapsed="false">
      <c r="A16" s="82" t="s">
        <v>136</v>
      </c>
      <c r="B16" s="82" t="s">
        <v>137</v>
      </c>
      <c r="C16" s="82" t="s">
        <v>138</v>
      </c>
      <c r="D16" s="82" t="s">
        <v>139</v>
      </c>
      <c r="E16" s="82" t="s">
        <v>140</v>
      </c>
    </row>
    <row r="17" customFormat="false" ht="35.05" hidden="false" customHeight="false" outlineLevel="0" collapsed="false">
      <c r="A17" s="83" t="s">
        <v>141</v>
      </c>
      <c r="B17" s="83" t="s">
        <v>142</v>
      </c>
      <c r="C17" s="83" t="s">
        <v>143</v>
      </c>
      <c r="D17" s="83" t="s">
        <v>144</v>
      </c>
      <c r="E17" s="83" t="s">
        <v>145</v>
      </c>
    </row>
    <row r="18" customFormat="false" ht="23.85" hidden="false" customHeight="false" outlineLevel="0" collapsed="false">
      <c r="A18" s="82" t="s">
        <v>146</v>
      </c>
      <c r="B18" s="82" t="s">
        <v>147</v>
      </c>
      <c r="C18" s="82" t="s">
        <v>148</v>
      </c>
      <c r="D18" s="82" t="s">
        <v>149</v>
      </c>
      <c r="E18" s="82" t="s">
        <v>150</v>
      </c>
    </row>
    <row r="20" customFormat="false" ht="15" hidden="false" customHeight="true" outlineLevel="0" collapsed="false">
      <c r="A20" s="27" t="s">
        <v>151</v>
      </c>
      <c r="B20" s="27"/>
      <c r="C20" s="27"/>
      <c r="D20" s="27"/>
      <c r="E20" s="27"/>
    </row>
    <row r="21" customFormat="false" ht="15" hidden="false" customHeight="false" outlineLevel="0" collapsed="false">
      <c r="A21" s="80" t="s">
        <v>9</v>
      </c>
      <c r="B21" s="81" t="s">
        <v>152</v>
      </c>
      <c r="C21" s="81" t="s">
        <v>153</v>
      </c>
      <c r="D21" s="81" t="s">
        <v>154</v>
      </c>
      <c r="E21" s="81" t="s">
        <v>91</v>
      </c>
    </row>
    <row r="22" customFormat="false" ht="15" hidden="false" customHeight="false" outlineLevel="0" collapsed="false">
      <c r="A22" s="82" t="s">
        <v>17</v>
      </c>
      <c r="B22" s="82" t="s">
        <v>155</v>
      </c>
      <c r="C22" s="82" t="s">
        <v>156</v>
      </c>
      <c r="D22" s="82" t="s">
        <v>157</v>
      </c>
      <c r="E22" s="82" t="s">
        <v>158</v>
      </c>
    </row>
    <row r="23" customFormat="false" ht="15" hidden="false" customHeight="false" outlineLevel="0" collapsed="false">
      <c r="A23" s="83" t="s">
        <v>19</v>
      </c>
      <c r="B23" s="83" t="s">
        <v>159</v>
      </c>
      <c r="C23" s="83" t="s">
        <v>160</v>
      </c>
      <c r="D23" s="83" t="s">
        <v>161</v>
      </c>
      <c r="E23" s="83" t="s">
        <v>162</v>
      </c>
    </row>
    <row r="24" customFormat="false" ht="15" hidden="false" customHeight="false" outlineLevel="0" collapsed="false">
      <c r="A24" s="82" t="s">
        <v>20</v>
      </c>
      <c r="B24" s="82" t="s">
        <v>163</v>
      </c>
      <c r="C24" s="82" t="s">
        <v>164</v>
      </c>
      <c r="D24" s="82" t="s">
        <v>165</v>
      </c>
      <c r="E24" s="82" t="s">
        <v>166</v>
      </c>
    </row>
    <row r="25" customFormat="false" ht="15" hidden="false" customHeight="false" outlineLevel="0" collapsed="false">
      <c r="A25" s="83" t="s">
        <v>21</v>
      </c>
      <c r="B25" s="83" t="s">
        <v>167</v>
      </c>
      <c r="C25" s="83" t="s">
        <v>168</v>
      </c>
      <c r="D25" s="83" t="s">
        <v>169</v>
      </c>
      <c r="E25" s="83" t="s">
        <v>170</v>
      </c>
    </row>
    <row r="26" customFormat="false" ht="15" hidden="false" customHeight="false" outlineLevel="0" collapsed="false">
      <c r="A26" s="82" t="s">
        <v>22</v>
      </c>
      <c r="B26" s="82" t="s">
        <v>171</v>
      </c>
      <c r="C26" s="82" t="s">
        <v>172</v>
      </c>
      <c r="D26" s="82" t="s">
        <v>173</v>
      </c>
      <c r="E26" s="82" t="s">
        <v>174</v>
      </c>
    </row>
    <row r="27" customFormat="false" ht="15" hidden="false" customHeight="false" outlineLevel="0" collapsed="false">
      <c r="A27" s="83" t="s">
        <v>24</v>
      </c>
      <c r="B27" s="83" t="s">
        <v>175</v>
      </c>
      <c r="C27" s="83" t="s">
        <v>176</v>
      </c>
      <c r="D27" s="83" t="s">
        <v>177</v>
      </c>
      <c r="E27" s="83" t="s">
        <v>178</v>
      </c>
    </row>
    <row r="28" customFormat="false" ht="15" hidden="false" customHeight="false" outlineLevel="0" collapsed="false">
      <c r="A28" s="82" t="s">
        <v>25</v>
      </c>
      <c r="B28" s="82" t="s">
        <v>179</v>
      </c>
      <c r="C28" s="82" t="s">
        <v>180</v>
      </c>
      <c r="D28" s="82" t="s">
        <v>181</v>
      </c>
      <c r="E28" s="82" t="s">
        <v>182</v>
      </c>
    </row>
    <row r="29" customFormat="false" ht="15" hidden="false" customHeight="false" outlineLevel="0" collapsed="false">
      <c r="A29" s="83" t="s">
        <v>26</v>
      </c>
      <c r="B29" s="83" t="s">
        <v>183</v>
      </c>
      <c r="C29" s="83" t="s">
        <v>184</v>
      </c>
      <c r="D29" s="83" t="s">
        <v>185</v>
      </c>
      <c r="E29" s="83" t="s">
        <v>186</v>
      </c>
    </row>
    <row r="30" customFormat="false" ht="15" hidden="false" customHeight="false" outlineLevel="0" collapsed="false">
      <c r="A30" s="82" t="s">
        <v>27</v>
      </c>
      <c r="B30" s="82" t="s">
        <v>187</v>
      </c>
      <c r="C30" s="82" t="s">
        <v>188</v>
      </c>
      <c r="D30" s="82" t="s">
        <v>189</v>
      </c>
      <c r="E30" s="82" t="s">
        <v>190</v>
      </c>
    </row>
    <row r="31" customFormat="false" ht="15" hidden="false" customHeight="false" outlineLevel="0" collapsed="false">
      <c r="A31" s="83" t="s">
        <v>28</v>
      </c>
      <c r="B31" s="83" t="s">
        <v>191</v>
      </c>
      <c r="C31" s="83" t="s">
        <v>192</v>
      </c>
      <c r="D31" s="83" t="s">
        <v>193</v>
      </c>
      <c r="E31" s="83" t="s">
        <v>194</v>
      </c>
    </row>
    <row r="32" customFormat="false" ht="15" hidden="false" customHeight="false" outlineLevel="0" collapsed="false">
      <c r="A32" s="82" t="s">
        <v>29</v>
      </c>
      <c r="B32" s="82" t="s">
        <v>195</v>
      </c>
      <c r="C32" s="82" t="s">
        <v>196</v>
      </c>
      <c r="D32" s="82" t="s">
        <v>197</v>
      </c>
      <c r="E32" s="82" t="s">
        <v>198</v>
      </c>
    </row>
    <row r="34" customFormat="false" ht="15" hidden="false" customHeight="true" outlineLevel="0" collapsed="false">
      <c r="A34" s="25" t="s">
        <v>199</v>
      </c>
      <c r="B34" s="25"/>
      <c r="C34" s="25"/>
      <c r="D34" s="25"/>
      <c r="E34" s="25"/>
    </row>
    <row r="35" customFormat="false" ht="15" hidden="false" customHeight="false" outlineLevel="0" collapsed="false">
      <c r="A35" s="80" t="s">
        <v>200</v>
      </c>
      <c r="B35" s="81" t="s">
        <v>201</v>
      </c>
      <c r="C35" s="81" t="s">
        <v>202</v>
      </c>
      <c r="D35" s="81" t="s">
        <v>203</v>
      </c>
      <c r="E35" s="81" t="s">
        <v>204</v>
      </c>
    </row>
    <row r="36" customFormat="false" ht="23.85" hidden="false" customHeight="false" outlineLevel="0" collapsed="false">
      <c r="A36" s="82" t="s">
        <v>205</v>
      </c>
      <c r="B36" s="82" t="s">
        <v>206</v>
      </c>
      <c r="C36" s="82" t="s">
        <v>207</v>
      </c>
      <c r="D36" s="82" t="s">
        <v>208</v>
      </c>
      <c r="E36" s="82" t="s">
        <v>209</v>
      </c>
    </row>
    <row r="37" customFormat="false" ht="23.85" hidden="false" customHeight="false" outlineLevel="0" collapsed="false">
      <c r="A37" s="83" t="s">
        <v>210</v>
      </c>
      <c r="B37" s="83" t="s">
        <v>211</v>
      </c>
      <c r="C37" s="83" t="s">
        <v>212</v>
      </c>
      <c r="D37" s="83" t="s">
        <v>213</v>
      </c>
      <c r="E37" s="83" t="s">
        <v>214</v>
      </c>
    </row>
    <row r="38" customFormat="false" ht="23.85" hidden="false" customHeight="false" outlineLevel="0" collapsed="false">
      <c r="A38" s="82" t="s">
        <v>215</v>
      </c>
      <c r="B38" s="82" t="s">
        <v>216</v>
      </c>
      <c r="C38" s="82" t="s">
        <v>217</v>
      </c>
      <c r="D38" s="82" t="s">
        <v>218</v>
      </c>
      <c r="E38" s="82" t="s">
        <v>219</v>
      </c>
    </row>
    <row r="39" customFormat="false" ht="23.85" hidden="false" customHeight="false" outlineLevel="0" collapsed="false">
      <c r="A39" s="83" t="s">
        <v>220</v>
      </c>
      <c r="B39" s="83" t="s">
        <v>221</v>
      </c>
      <c r="C39" s="83" t="s">
        <v>222</v>
      </c>
      <c r="D39" s="83" t="s">
        <v>223</v>
      </c>
      <c r="E39" s="83" t="s">
        <v>224</v>
      </c>
    </row>
    <row r="41" customFormat="false" ht="15" hidden="false" customHeight="true" outlineLevel="0" collapsed="false">
      <c r="A41" s="27" t="s">
        <v>225</v>
      </c>
      <c r="B41" s="27"/>
      <c r="C41" s="27"/>
      <c r="D41" s="27"/>
      <c r="E41" s="27"/>
    </row>
    <row r="42" customFormat="false" ht="15" hidden="false" customHeight="false" outlineLevel="0" collapsed="false">
      <c r="A42" s="80" t="s">
        <v>226</v>
      </c>
      <c r="B42" s="81" t="s">
        <v>125</v>
      </c>
      <c r="C42" s="81" t="s">
        <v>227</v>
      </c>
      <c r="D42" s="81" t="s">
        <v>228</v>
      </c>
      <c r="E42" s="81"/>
    </row>
    <row r="43" customFormat="false" ht="23.85" hidden="false" customHeight="false" outlineLevel="0" collapsed="false">
      <c r="A43" s="83" t="s">
        <v>229</v>
      </c>
      <c r="B43" s="83" t="s">
        <v>230</v>
      </c>
      <c r="C43" s="83" t="s">
        <v>231</v>
      </c>
      <c r="D43" s="83" t="s">
        <v>232</v>
      </c>
      <c r="E43" s="83"/>
    </row>
    <row r="44" customFormat="false" ht="15" hidden="false" customHeight="false" outlineLevel="0" collapsed="false">
      <c r="A44" s="82" t="s">
        <v>233</v>
      </c>
      <c r="B44" s="82" t="s">
        <v>234</v>
      </c>
      <c r="C44" s="82" t="s">
        <v>235</v>
      </c>
      <c r="D44" s="82" t="s">
        <v>236</v>
      </c>
      <c r="E44" s="82"/>
    </row>
    <row r="45" customFormat="false" ht="23.85" hidden="false" customHeight="false" outlineLevel="0" collapsed="false">
      <c r="A45" s="83" t="s">
        <v>237</v>
      </c>
      <c r="B45" s="83" t="s">
        <v>238</v>
      </c>
      <c r="C45" s="83" t="s">
        <v>239</v>
      </c>
      <c r="D45" s="83" t="s">
        <v>240</v>
      </c>
      <c r="E45" s="83"/>
    </row>
    <row r="46" customFormat="false" ht="23.85" hidden="false" customHeight="false" outlineLevel="0" collapsed="false">
      <c r="A46" s="82" t="s">
        <v>241</v>
      </c>
      <c r="B46" s="82" t="s">
        <v>242</v>
      </c>
      <c r="C46" s="82" t="s">
        <v>239</v>
      </c>
      <c r="D46" s="82" t="s">
        <v>243</v>
      </c>
      <c r="E46" s="82"/>
    </row>
    <row r="47" customFormat="false" ht="33.95" hidden="false" customHeight="false" outlineLevel="0" collapsed="false">
      <c r="A47" s="77" t="s">
        <v>244</v>
      </c>
      <c r="B47" s="77" t="s">
        <v>245</v>
      </c>
      <c r="C47" s="77" t="s">
        <v>246</v>
      </c>
      <c r="D47" s="77" t="s">
        <v>247</v>
      </c>
    </row>
    <row r="48" customFormat="false" ht="23.85" hidden="false" customHeight="false" outlineLevel="0" collapsed="false">
      <c r="A48" s="83" t="s">
        <v>248</v>
      </c>
      <c r="B48" s="83" t="s">
        <v>249</v>
      </c>
      <c r="C48" s="83" t="s">
        <v>246</v>
      </c>
      <c r="D48" s="83" t="s">
        <v>250</v>
      </c>
      <c r="E48" s="83"/>
    </row>
    <row r="49" customFormat="false" ht="46.25" hidden="false" customHeight="false" outlineLevel="0" collapsed="false">
      <c r="A49" s="82" t="s">
        <v>251</v>
      </c>
      <c r="B49" s="82" t="s">
        <v>252</v>
      </c>
      <c r="C49" s="82" t="s">
        <v>253</v>
      </c>
      <c r="D49" s="82" t="s">
        <v>254</v>
      </c>
      <c r="E49" s="82"/>
    </row>
  </sheetData>
  <mergeCells count="6">
    <mergeCell ref="A1:E1"/>
    <mergeCell ref="A2:E2"/>
    <mergeCell ref="A12:E12"/>
    <mergeCell ref="A20:E20"/>
    <mergeCell ref="A34:E34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2026-05-23T21:28:07Z</dcterms:created>
  <dc:creator>openpyxl</dc:creator>
  <dc:description/>
  <dc:language>en-US</dc:language>
  <cp:lastModifiedBy/>
  <dcterms:modified xsi:type="dcterms:W3CDTF">2026-05-24T11:50:24Z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