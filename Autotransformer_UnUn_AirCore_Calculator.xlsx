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Un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<sst xmlns="http://schemas.openxmlformats.org/spreadsheetml/2006/main" count="173" uniqueCount="141">
  <si>
    <t xml:space="preserve">✦  AIR-CORE AUTOTRANSFORMER UnUn CALCULATOR  ✦</t>
  </si>
  <si>
    <t xml:space="preserve">Complex Impedance to 50Ω Transformation  |  Up to 11 Tap Points</t>
  </si>
  <si>
    <t xml:space="preserve">GLOBAL SETTINGS</t>
  </si>
  <si>
    <t xml:space="preserve">Parameter</t>
  </si>
  <si>
    <t xml:space="preserve">Value</t>
  </si>
  <si>
    <t xml:space="preserve">Unit</t>
  </si>
  <si>
    <t xml:space="preserve">Notes</t>
  </si>
  <si>
    <t xml:space="preserve">Target Output Impedance (Ω)</t>
  </si>
  <si>
    <t xml:space="preserve">Ω</t>
  </si>
  <si>
    <t xml:space="preserve">Fixed 50Ω output (e.g. coax / transmatch)</t>
  </si>
  <si>
    <t xml:space="preserve">Operating Frequency (MHz)</t>
  </si>
  <si>
    <t xml:space="preserve">MHz</t>
  </si>
  <si>
    <t xml:space="preserve">Used for reactance &amp; skin-depth calcs</t>
  </si>
  <si>
    <t xml:space="preserve">Wire Diameter (mm)</t>
  </si>
  <si>
    <t xml:space="preserve">mm</t>
  </si>
  <si>
    <t xml:space="preserve">Winding wire diameter incl. insulation</t>
  </si>
  <si>
    <t xml:space="preserve">Core Diameter (mm)</t>
  </si>
  <si>
    <t xml:space="preserve">Outer diameter of winding form (coil former)</t>
  </si>
  <si>
    <t xml:space="preserve">Number of Active Taps</t>
  </si>
  <si>
    <t xml:space="preserve">#</t>
  </si>
  <si>
    <t xml:space="preserve">Enter 1–11  (rows below auto-activate)</t>
  </si>
  <si>
    <t xml:space="preserve">REFERENCE TURNS (output side = 50Ω)</t>
  </si>
  <si>
    <t xml:space="preserve">T_ref  (turns at 50Ω tap — user sets or use suggestion below)</t>
  </si>
  <si>
    <t xml:space="preserve">← Edit this value</t>
  </si>
  <si>
    <t xml:space="preserve">Suggested T_ref (min 5 turns at lowest-Z tap)</t>
  </si>
  <si>
    <t xml:space="preserve">(auto-suggestion)</t>
  </si>
  <si>
    <t xml:space="preserve">TAP INPUT IMPEDANCES  (enter R + jX per tap, or leave blank for inactive taps)</t>
  </si>
  <si>
    <t xml:space="preserve">Tap #</t>
  </si>
  <si>
    <t xml:space="preserve">Tap Name / Label</t>
  </si>
  <si>
    <t xml:space="preserve">R  (Ω)
Resistance</t>
  </si>
  <si>
    <t xml:space="preserve">X  (Ω)
Reactance (+L / −C)</t>
  </si>
  <si>
    <t xml:space="preserve">|Z| (Ω)
Magnitude</t>
  </si>
  <si>
    <t xml:space="preserve">Phase (°)</t>
  </si>
  <si>
    <t xml:space="preserve">Active</t>
  </si>
  <si>
    <t xml:space="preserve">Turns Ratio
n = √(|Z|/Z₀)</t>
  </si>
  <si>
    <t xml:space="preserve">Tap 1</t>
  </si>
  <si>
    <t xml:space="preserve">Tap 2</t>
  </si>
  <si>
    <t xml:space="preserve">Tap 3</t>
  </si>
  <si>
    <t xml:space="preserve">Tap 4</t>
  </si>
  <si>
    <t xml:space="preserve">Tap 5</t>
  </si>
  <si>
    <t xml:space="preserve">Tap 6</t>
  </si>
  <si>
    <t xml:space="preserve">Tap 7</t>
  </si>
  <si>
    <t xml:space="preserve">Tap 8</t>
  </si>
  <si>
    <t xml:space="preserve">Tap 9</t>
  </si>
  <si>
    <t xml:space="preserve">Tap 10</t>
  </si>
  <si>
    <t xml:space="preserve">Tap 11</t>
  </si>
  <si>
    <t xml:space="preserve">LEGEND</t>
  </si>
  <si>
    <t xml:space="preserve">Blue cells</t>
  </si>
  <si>
    <t xml:space="preserve">User input – enter your values here</t>
  </si>
  <si>
    <t xml:space="preserve">Light blue cells</t>
  </si>
  <si>
    <t xml:space="preserve">Calculated by formula – do not edit</t>
  </si>
  <si>
    <t xml:space="preserve">Gold / Amber header</t>
  </si>
  <si>
    <t xml:space="preserve">Section / legend marker</t>
  </si>
  <si>
    <t xml:space="preserve">YES (green)</t>
  </si>
  <si>
    <t xml:space="preserve">Tap is active and within selected count</t>
  </si>
  <si>
    <t xml:space="preserve">—</t>
  </si>
  <si>
    <t xml:space="preserve">Tap inactive (outside active count or no R entered)</t>
  </si>
  <si>
    <t xml:space="preserve">✦  AIR-CORE UnUn DESIGN  —  SUMMARY DASHBOARD  ✦</t>
  </si>
  <si>
    <t xml:space="preserve">All key results in one place. Go to individual sheets to adjust inputs.</t>
  </si>
  <si>
    <t xml:space="preserve">KEY PARAMETERS</t>
  </si>
  <si>
    <t xml:space="preserve">Target Z_out</t>
  </si>
  <si>
    <t xml:space="preserve">Frequency</t>
  </si>
  <si>
    <t xml:space="preserve">Wire Dia.</t>
  </si>
  <si>
    <t xml:space="preserve">T_ref turns</t>
  </si>
  <si>
    <t xml:space="preserve">turns</t>
  </si>
  <si>
    <t xml:space="preserve">Active taps</t>
  </si>
  <si>
    <t xml:space="preserve">Total wire</t>
  </si>
  <si>
    <t xml:space="preserve">Inductance L</t>
  </si>
  <si>
    <t xml:space="preserve">µH</t>
  </si>
  <si>
    <t xml:space="preserve">L sufficient?</t>
  </si>
  <si>
    <t xml:space="preserve">TAP SUMMARY — ALL ACTIVE TAPS</t>
  </si>
  <si>
    <t xml:space="preserve">Label</t>
  </si>
  <si>
    <t xml:space="preserve">Z_in (Ω)</t>
  </si>
  <si>
    <t xml:space="preserve">Turns Ratio</t>
  </si>
  <si>
    <t xml:space="preserve">Cum. Turns</t>
  </si>
  <si>
    <t xml:space="preserve">SWR</t>
  </si>
  <si>
    <t xml:space="preserve">Return Loss (dB)</t>
  </si>
  <si>
    <t xml:space="preserve">Refl. Power (%)</t>
  </si>
  <si>
    <t xml:space="preserve">✦  AIR-CORE AUTOTRANSFORMER  —  WINDING DESIGN  ✦</t>
  </si>
  <si>
    <t xml:space="preserve">Tap turn counts, cumulative turns, wire lengths, and DC resistance per section</t>
  </si>
  <si>
    <t xml:space="preserve">AIR-CORE UnUn — THEORY &amp; FORMULAE</t>
  </si>
  <si>
    <t xml:space="preserve">An autotransformer UnUn (unbalanced-to-unbalanced) uses a single tapped winding.</t>
  </si>
  <si>
    <t xml:space="preserve">For a lossless transformer:  Z_in / Z_out = (N_in / N_out)²  → N_ratio = √(Z_in / Z_out)</t>
  </si>
  <si>
    <t xml:space="preserve">Tap turn count:  T_tap = ROUND( T_ref × n_tap )  where T_ref is the reference (output) turns.</t>
  </si>
  <si>
    <t xml:space="preserve">Air-core winding: choose T_ref so that the lowest impedance tap has ≥ 5 turns (rule of thumb).</t>
  </si>
  <si>
    <t xml:space="preserve">Inductance (air solenoid):  L ≈ (N² × r²) / (9r + 10ℓ)  [µH, inches]  (Wheeler formula).</t>
  </si>
  <si>
    <t xml:space="preserve">Minimum L for low cut-off:  X_L ≥ 4 × Z_low at lowest frequency  →  L_min = 4×Z_low / (2π×f_MHz×10⁶).</t>
  </si>
  <si>
    <t xml:space="preserve">PER-TAP WINDING CALCULATIONS</t>
  </si>
  <si>
    <t xml:space="preserve">Turns Ratio n</t>
  </si>
  <si>
    <t xml:space="preserve">Turns at Tap
(cumulative from low-Z end)</t>
  </si>
  <si>
    <t xml:space="preserve">Δ Turns
(this section)</t>
  </si>
  <si>
    <t xml:space="preserve">Section Wire
Length (mm)</t>
  </si>
  <si>
    <t xml:space="preserve">Section DC
Resistance (mΩ)</t>
  </si>
  <si>
    <t xml:space="preserve">Cumulative
Wire (mm)</t>
  </si>
  <si>
    <t xml:space="preserve">TOTALS (active taps only)</t>
  </si>
  <si>
    <t xml:space="preserve">✦  AIR-CORE UnUn  —  RF PERFORMANCE  ✦</t>
  </si>
  <si>
    <t xml:space="preserve">SWR, Return Loss, Mismatch Loss, and Reflected Power per tap</t>
  </si>
  <si>
    <t xml:space="preserve">PER-TAP RF PERFORMANCE  (referenced to 50Ω system)</t>
  </si>
  <si>
    <t xml:space="preserve">|Z| (Ω)</t>
  </si>
  <si>
    <t xml:space="preserve">SWR
(real Z approx)</t>
  </si>
  <si>
    <t xml:space="preserve">Return Loss
(dB)</t>
  </si>
  <si>
    <t xml:space="preserve">Mismatch
Loss (dB)</t>
  </si>
  <si>
    <t xml:space="preserve">Reflected
Power (%)</t>
  </si>
  <si>
    <t xml:space="preserve">INTERPRETATION GUIDE</t>
  </si>
  <si>
    <t xml:space="preserve">SWR ≤ 1.5 (green)  →  Excellent match. Less than 4% reflected power.</t>
  </si>
  <si>
    <t xml:space="preserve">SWR 1.5–3.0 (white) →  Acceptable for many ham-radio / RF applications.</t>
  </si>
  <si>
    <t xml:space="preserve">SWR &gt; 3.0 (red)     →  Poor match; consider adjusting tap or compensating network.</t>
  </si>
  <si>
    <t xml:space="preserve">Return Loss &gt; 14 dB →  Better than SWR 1.5:1 — acceptable in most systems.</t>
  </si>
  <si>
    <t xml:space="preserve">Mismatch Loss        →  Power lost in mismatch (dB). 0.5 dB ≈ 11% power loss.</t>
  </si>
  <si>
    <t xml:space="preserve">Phase ≠ 0°           →  Reactance present; ideal UnUn cannot fully transform — add series/shunt L or C.</t>
  </si>
  <si>
    <t xml:space="preserve">NOTE: Calculations assume an ideal (lossless) transformer. Add copper + core losses separately.</t>
  </si>
  <si>
    <t xml:space="preserve">✦  AIR-CORE COIL GEOMETRY &amp; INDUCTANCE  ✦</t>
  </si>
  <si>
    <t xml:space="preserve">Wheeler formula for single-layer air-core solenoid</t>
  </si>
  <si>
    <t xml:space="preserve">COIL GEOMETRY INPUTS</t>
  </si>
  <si>
    <t xml:space="preserve">Formula / Notes</t>
  </si>
  <si>
    <t xml:space="preserve">Coil Former Diameter (mm)</t>
  </si>
  <si>
    <t xml:space="preserve">Linked from Inputs → Core Diameter</t>
  </si>
  <si>
    <t xml:space="preserve">Wire Diameter incl. insulation (mm)</t>
  </si>
  <si>
    <t xml:space="preserve">Linked from Inputs → Wire Diameter</t>
  </si>
  <si>
    <t xml:space="preserve">Winding pitch (mm/turn)</t>
  </si>
  <si>
    <t xml:space="preserve">Wire dia (from Inputs) + gap; must be ≥ wire dia</t>
  </si>
  <si>
    <t xml:space="preserve">Total turns N (from Winding Design)</t>
  </si>
  <si>
    <t xml:space="preserve">Linked from Winding Design → total turns</t>
  </si>
  <si>
    <t xml:space="preserve">CALCULATED COIL PARAMETERS</t>
  </si>
  <si>
    <t xml:space="preserve">Formula</t>
  </si>
  <si>
    <t xml:space="preserve">Winding Length ℓ (mm)</t>
  </si>
  <si>
    <t xml:space="preserve">N × pitch</t>
  </si>
  <si>
    <t xml:space="preserve">Coil Radius r (mm)</t>
  </si>
  <si>
    <t xml:space="preserve">(D + wire_dia) / 2  →  inner_radius + wire_radius (center of wire)</t>
  </si>
  <si>
    <t xml:space="preserve">Coil Radius r (inches)</t>
  </si>
  <si>
    <t xml:space="preserve">in</t>
  </si>
  <si>
    <t xml:space="preserve">for Wheeler formula</t>
  </si>
  <si>
    <t xml:space="preserve">Winding Length ℓ (inches)</t>
  </si>
  <si>
    <t xml:space="preserve">Inductance L (µH) [Wheeler]</t>
  </si>
  <si>
    <t xml:space="preserve">L=(r²N²)/(9r+10ℓ) [inches]</t>
  </si>
  <si>
    <t xml:space="preserve">Reactance X_L at f (Ω)</t>
  </si>
  <si>
    <t xml:space="preserve">ωL = 2πf·L</t>
  </si>
  <si>
    <t xml:space="preserve">Minimum L required (µH)</t>
  </si>
  <si>
    <t xml:space="preserve">X_L ≥ 4×Z_min  →  L_min = 4·Z_min/(2πf)</t>
  </si>
  <si>
    <t xml:space="preserve">L sufficient for lowest tap?</t>
  </si>
  <si>
    <t xml:space="preserve">Compare L vs L_min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</si>
</sst>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.00"/>
    <numFmt numFmtId="167" formatCode="#,##0.00;[RED]\-#,##0.00"/>
    <numFmt numFmtId="168" formatCode="0.0\°;[RED]\-0.0\°"/>
    <numFmt numFmtId="169" formatCode="0.000"/>
    <numFmt numFmtId="170" formatCode="#,##0.0"/>
    <numFmt numFmtId="171" formatCode="#,##0.000"/>
    <numFmt numFmtId="172" formatCode="0.00"/>
    <numFmt numFmtId="173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ntarell Light"/>
      <family val="0"/>
      <charset val="1"/>
    </font>
    <font>
      <i val="true"/>
      <sz val="10"/>
      <color rgb="FFFFFFFF"/>
      <name val="Cantarell Light"/>
      <family val="0"/>
      <charset val="1"/>
    </font>
    <font>
      <sz val="10"/>
      <color rgb="FF000000"/>
      <name val="Cantarell Light"/>
      <family val="0"/>
      <charset val="1"/>
    </font>
    <font>
      <sz val="10"/>
      <color rgb="FF00008B"/>
      <name val="Cantarell Light"/>
      <family val="0"/>
      <charset val="1"/>
    </font>
    <font>
      <i val="true"/>
      <sz val="10"/>
      <color rgb="FF555555"/>
      <name val="Cantarell Light"/>
      <family val="0"/>
      <charset val="1"/>
    </font>
    <font>
      <b val="true"/>
      <sz val="10"/>
      <color rgb="FF000000"/>
      <name val="Cantarell Light"/>
      <family val="0"/>
      <charset val="1"/>
    </font>
    <font>
      <i val="true"/>
      <sz val="10"/>
      <color rgb="FF1A1A5E"/>
      <name val="Cantarell Light"/>
      <family val="0"/>
      <charset val="1"/>
    </font>
    <font>
      <i val="true"/>
      <sz val="10"/>
      <color rgb="FF000000"/>
      <name val="Cantarell Light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D40"/>
        <bgColor rgb="FF1A1A5E"/>
      </patternFill>
    </fill>
    <fill>
      <patternFill patternType="solid">
        <fgColor rgb="FF1F5C8B"/>
        <bgColor rgb="FF008080"/>
      </patternFill>
    </fill>
    <fill>
      <patternFill patternType="solid">
        <fgColor rgb="FFF2F2F2"/>
        <bgColor rgb="FFF0F8FF"/>
      </patternFill>
    </fill>
    <fill>
      <patternFill patternType="solid">
        <fgColor rgb="FFFFF9E6"/>
        <bgColor rgb="FFFFFFFF"/>
      </patternFill>
    </fill>
    <fill>
      <patternFill patternType="solid">
        <fgColor rgb="FFF0F8FF"/>
        <bgColor rgb="FFF2F2F2"/>
      </patternFill>
    </fill>
    <fill>
      <patternFill patternType="solid">
        <fgColor rgb="FFFFFFFF"/>
        <bgColor rgb="FFFFF9E6"/>
      </patternFill>
    </fill>
    <fill>
      <patternFill patternType="solid">
        <fgColor rgb="FFD6E8F5"/>
        <bgColor rgb="FFF2F2F2"/>
      </patternFill>
    </fill>
    <fill>
      <patternFill patternType="solid">
        <fgColor rgb="FFE8A02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2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1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D6E8F5"/>
      <rgbColor rgb="FF660066"/>
      <rgbColor rgb="FFFF8080"/>
      <rgbColor rgb="FF1F5C8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555555"/>
      <rgbColor rgb="FFAAAAAA"/>
      <rgbColor rgb="FF1A1A5E"/>
      <rgbColor rgb="FF339966"/>
      <rgbColor rgb="FF003300"/>
      <rgbColor rgb="FF333300"/>
      <rgbColor rgb="FF993300"/>
      <rgbColor rgb="FF993366"/>
      <rgbColor rgb="FF333399"/>
      <rgbColor rgb="FF1A2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48576"/>
  <sheetViews>
    <sheetView showFormulas="false" showGridLines="fals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F19" activeCellId="0" sqref="F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.45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14.3"/>
    <col collapsed="false" customWidth="true" hidden="false" outlineLevel="0" max="5" min="5" style="1" width="22"/>
    <col collapsed="false" customWidth="false" hidden="false" outlineLevel="0" max="6" min="6" style="1" width="8.68"/>
    <col collapsed="false" customWidth="true" hidden="false" outlineLevel="0" max="8" min="7" style="1" width="13"/>
    <col collapsed="false" customWidth="true" hidden="false" outlineLevel="0" max="9" min="9" style="1" width="13.22"/>
    <col collapsed="false" customWidth="true" hidden="false" outlineLevel="0" max="11" min="10" style="1" width="13"/>
    <col collapsed="false" customWidth="false" hidden="false" outlineLevel="0" max="16384" min="12" style="1" width="8.68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/>
      <c r="G6" s="5"/>
      <c r="H6" s="5"/>
      <c r="I6" s="5"/>
    </row>
    <row r="7" customFormat="false" ht="15" hidden="false" customHeight="true" outlineLevel="0" collapsed="false">
      <c r="B7" s="6" t="s">
        <v>7</v>
      </c>
      <c r="C7" s="7" t="n">
        <v>50</v>
      </c>
      <c r="D7" s="8" t="s">
        <v>8</v>
      </c>
      <c r="E7" s="9" t="s">
        <v>9</v>
      </c>
      <c r="F7" s="9"/>
      <c r="G7" s="9"/>
      <c r="H7" s="9"/>
    </row>
    <row r="8" customFormat="false" ht="15" hidden="false" customHeight="true" outlineLevel="0" collapsed="false">
      <c r="B8" s="6" t="s">
        <v>10</v>
      </c>
      <c r="C8" s="7" t="n">
        <v>7.2</v>
      </c>
      <c r="D8" s="8" t="s">
        <v>11</v>
      </c>
      <c r="E8" s="9" t="s">
        <v>12</v>
      </c>
      <c r="F8" s="9"/>
      <c r="G8" s="9"/>
      <c r="H8" s="9"/>
    </row>
    <row r="9" customFormat="false" ht="15" hidden="false" customHeight="true" outlineLevel="0" collapsed="false">
      <c r="B9" s="6" t="s">
        <v>13</v>
      </c>
      <c r="C9" s="7" t="n">
        <v>0.45</v>
      </c>
      <c r="D9" s="8" t="s">
        <v>14</v>
      </c>
      <c r="E9" s="9" t="s">
        <v>15</v>
      </c>
      <c r="F9" s="9"/>
      <c r="G9" s="9"/>
      <c r="H9" s="9"/>
    </row>
    <row r="10" customFormat="false" ht="15" hidden="false" customHeight="true" outlineLevel="0" collapsed="false">
      <c r="B10" s="6" t="s">
        <v>16</v>
      </c>
      <c r="C10" s="7" t="n">
        <v>16</v>
      </c>
      <c r="D10" s="8" t="s">
        <v>14</v>
      </c>
      <c r="E10" s="9" t="s">
        <v>17</v>
      </c>
      <c r="F10" s="9"/>
      <c r="G10" s="9"/>
      <c r="H10" s="9"/>
    </row>
    <row r="11" customFormat="false" ht="15" hidden="false" customHeight="true" outlineLevel="0" collapsed="false">
      <c r="B11" s="6" t="s">
        <v>18</v>
      </c>
      <c r="C11" s="7" t="n">
        <v>4</v>
      </c>
      <c r="D11" s="8" t="s">
        <v>19</v>
      </c>
      <c r="E11" s="9" t="s">
        <v>20</v>
      </c>
      <c r="F11" s="9"/>
      <c r="G11" s="9"/>
      <c r="H11" s="9"/>
    </row>
    <row r="12" customFormat="false" ht="15" hidden="false" customHeight="true" outlineLevel="0" collapsed="false">
      <c r="B12" s="6"/>
      <c r="C12" s="7"/>
      <c r="D12" s="8"/>
      <c r="E12" s="10"/>
      <c r="F12" s="10"/>
      <c r="G12" s="10"/>
      <c r="H12" s="10"/>
    </row>
    <row r="13" customFormat="false" ht="15" hidden="false" customHeight="true" outlineLevel="0" collapsed="false">
      <c r="B13" s="4" t="s">
        <v>21</v>
      </c>
      <c r="C13" s="4"/>
      <c r="D13" s="4"/>
      <c r="E13" s="4"/>
      <c r="F13" s="4"/>
      <c r="G13" s="4"/>
      <c r="H13" s="4"/>
      <c r="I13" s="4"/>
      <c r="J13" s="4"/>
    </row>
    <row r="14" customFormat="false" ht="25.5" hidden="false" customHeight="true" outlineLevel="0" collapsed="false">
      <c r="B14" s="11" t="s">
        <v>22</v>
      </c>
      <c r="C14" s="7" t="n">
        <v>20</v>
      </c>
      <c r="D14" s="9" t="s">
        <v>23</v>
      </c>
      <c r="E14" s="9"/>
      <c r="F14" s="9"/>
      <c r="G14" s="0"/>
      <c r="H14" s="0"/>
      <c r="I14" s="0"/>
    </row>
    <row r="15" customFormat="false" ht="25.5" hidden="false" customHeight="true" outlineLevel="0" collapsed="false">
      <c r="B15" s="11" t="s">
        <v>24</v>
      </c>
      <c r="C15" s="12" t="n">
        <f aca="false">IFERROR(CEILING(5/MIN(I19:I29),1),5)</f>
        <v>3</v>
      </c>
      <c r="D15" s="9" t="s">
        <v>25</v>
      </c>
      <c r="E15" s="9"/>
      <c r="F15" s="9"/>
      <c r="G15" s="0"/>
      <c r="H15" s="0"/>
      <c r="I15" s="0"/>
    </row>
    <row r="17" customFormat="false" ht="15" hidden="false" customHeight="true" outlineLevel="0" collapsed="false">
      <c r="B17" s="4" t="s">
        <v>26</v>
      </c>
      <c r="C17" s="4"/>
      <c r="D17" s="4"/>
      <c r="E17" s="4"/>
      <c r="F17" s="4"/>
      <c r="G17" s="4"/>
      <c r="H17" s="4"/>
      <c r="I17" s="4"/>
    </row>
    <row r="18" customFormat="false" ht="38.25" hidden="false" customHeight="true" outlineLevel="0" collapsed="false">
      <c r="B18" s="5" t="s">
        <v>27</v>
      </c>
      <c r="C18" s="5" t="s">
        <v>28</v>
      </c>
      <c r="D18" s="5" t="s">
        <v>29</v>
      </c>
      <c r="E18" s="5" t="s">
        <v>30</v>
      </c>
      <c r="F18" s="5" t="s">
        <v>31</v>
      </c>
      <c r="G18" s="5" t="s">
        <v>32</v>
      </c>
      <c r="H18" s="5" t="s">
        <v>33</v>
      </c>
      <c r="I18" s="5" t="s">
        <v>34</v>
      </c>
    </row>
    <row r="19" customFormat="false" ht="15" hidden="false" customHeight="true" outlineLevel="0" collapsed="false">
      <c r="B19" s="13" t="n">
        <v>1</v>
      </c>
      <c r="C19" s="7" t="s">
        <v>35</v>
      </c>
      <c r="D19" s="14" t="n">
        <v>200</v>
      </c>
      <c r="E19" s="15" t="n">
        <v>0</v>
      </c>
      <c r="F19" s="16" t="n">
        <f aca="false">IF(ISNUMBER(D19),SQRT(D19^2+IF(ISNUMBER(E19),E19,0)^2),"")</f>
        <v>200</v>
      </c>
      <c r="G19" s="17" t="n">
        <f aca="false">IF(ISNUMBER(D19),DEGREES(ATAN2(D19,IF(ISNUMBER(E19),E19,0))),"")</f>
        <v>0</v>
      </c>
      <c r="H19" s="18" t="str">
        <f aca="false">IF(AND(ISNUMBER(D19),D19&gt;0),IF(1&lt;=$C$11,"YES","—"),"—")</f>
        <v>YES</v>
      </c>
      <c r="I19" s="19" t="n">
        <f aca="false">IF(F19&lt;&gt;"",SQRT(F19/MAX($C$7,0.000000001)),"")</f>
        <v>2</v>
      </c>
    </row>
    <row r="20" customFormat="false" ht="15" hidden="false" customHeight="true" outlineLevel="0" collapsed="false">
      <c r="B20" s="20" t="n">
        <v>2</v>
      </c>
      <c r="C20" s="7" t="s">
        <v>36</v>
      </c>
      <c r="D20" s="14" t="n">
        <v>300</v>
      </c>
      <c r="E20" s="15" t="n">
        <v>100</v>
      </c>
      <c r="F20" s="16" t="n">
        <f aca="false">IF(ISNUMBER(D20),SQRT(D20^2+IF(ISNUMBER(E20),E20,0)^2),"")</f>
        <v>316.227766016838</v>
      </c>
      <c r="G20" s="17" t="n">
        <f aca="false">IF(ISNUMBER(D20),DEGREES(ATAN2(D20,IF(ISNUMBER(E20),E20,0))),"")</f>
        <v>18.434948822922</v>
      </c>
      <c r="H20" s="18" t="str">
        <f aca="false">IF(AND(ISNUMBER(D20),D20&gt;0),IF(2&lt;=$C$11,"YES","—"),"—")</f>
        <v>YES</v>
      </c>
      <c r="I20" s="19" t="n">
        <f aca="false">IF(F20&lt;&gt;"",SQRT(F20/MAX($C$7,0.000000001)),"")</f>
        <v>2.51486685936587</v>
      </c>
    </row>
    <row r="21" customFormat="false" ht="15" hidden="false" customHeight="true" outlineLevel="0" collapsed="false">
      <c r="B21" s="13" t="n">
        <v>3</v>
      </c>
      <c r="C21" s="7" t="s">
        <v>37</v>
      </c>
      <c r="D21" s="14" t="n">
        <v>450</v>
      </c>
      <c r="E21" s="15" t="n">
        <v>-80</v>
      </c>
      <c r="F21" s="16" t="n">
        <f aca="false">IF(ISNUMBER(D21),SQRT(D21^2+IF(ISNUMBER(E21),E21,0)^2),"")</f>
        <v>457.055795281058</v>
      </c>
      <c r="G21" s="17" t="n">
        <f aca="false">IF(ISNUMBER(D21),DEGREES(ATAN2(D21,IF(ISNUMBER(E21),E21,0))),"")</f>
        <v>-10.0805979875423</v>
      </c>
      <c r="H21" s="18" t="str">
        <f aca="false">IF(AND(ISNUMBER(D21),D21&gt;0),IF(3&lt;=$C$11,"YES","—"),"—")</f>
        <v>YES</v>
      </c>
      <c r="I21" s="19" t="n">
        <f aca="false">IF(F21&lt;&gt;"",SQRT(F21/MAX($C$7,0.000000001)),"")</f>
        <v>3.02342784031985</v>
      </c>
    </row>
    <row r="22" customFormat="false" ht="15" hidden="false" customHeight="true" outlineLevel="0" collapsed="false">
      <c r="B22" s="20" t="n">
        <v>4</v>
      </c>
      <c r="C22" s="7" t="s">
        <v>38</v>
      </c>
      <c r="D22" s="14" t="n">
        <v>800</v>
      </c>
      <c r="E22" s="15" t="n">
        <v>0</v>
      </c>
      <c r="F22" s="16" t="n">
        <f aca="false">IF(ISNUMBER(D22),SQRT(D22^2+IF(ISNUMBER(E22),E22,0)^2),"")</f>
        <v>800</v>
      </c>
      <c r="G22" s="17" t="n">
        <f aca="false">IF(ISNUMBER(D22),DEGREES(ATAN2(D22,IF(ISNUMBER(E22),E22,0))),"")</f>
        <v>0</v>
      </c>
      <c r="H22" s="18" t="str">
        <f aca="false">IF(AND(ISNUMBER(D22),D22&gt;0),IF(4&lt;=$C$11,"YES","—"),"—")</f>
        <v>YES</v>
      </c>
      <c r="I22" s="19" t="n">
        <f aca="false">IF(F22&lt;&gt;"",SQRT(F22/MAX($C$7,0.000000001)),"")</f>
        <v>4</v>
      </c>
    </row>
    <row r="23" customFormat="false" ht="15" hidden="false" customHeight="true" outlineLevel="0" collapsed="false">
      <c r="B23" s="13" t="n">
        <v>5</v>
      </c>
      <c r="C23" s="7" t="s">
        <v>39</v>
      </c>
      <c r="D23" s="14"/>
      <c r="E23" s="15"/>
      <c r="F23" s="16" t="str">
        <f aca="false">IF(ISNUMBER(D23),SQRT(D23^2+IF(ISNUMBER(E23),E23,0)^2),"")</f>
        <v/>
      </c>
      <c r="G23" s="17" t="str">
        <f aca="false">IF(ISNUMBER(D23),DEGREES(ATAN2(D23,IF(ISNUMBER(E23),E23,0))),"")</f>
        <v/>
      </c>
      <c r="H23" s="18" t="str">
        <f aca="false">IF(AND(ISNUMBER(D23),D23&gt;0),IF(5&lt;=$C$11,"YES","—"),"—")</f>
        <v>—</v>
      </c>
      <c r="I23" s="19" t="str">
        <f aca="false">IF(F23&lt;&gt;"",SQRT(F23/MAX($C$7,0.000000001)),"")</f>
        <v/>
      </c>
    </row>
    <row r="24" customFormat="false" ht="15" hidden="false" customHeight="true" outlineLevel="0" collapsed="false">
      <c r="B24" s="20" t="n">
        <v>6</v>
      </c>
      <c r="C24" s="7" t="s">
        <v>40</v>
      </c>
      <c r="D24" s="14"/>
      <c r="E24" s="15"/>
      <c r="F24" s="16" t="str">
        <f aca="false">IF(ISNUMBER(D24),SQRT(D24^2+IF(ISNUMBER(E24),E24,0)^2),"")</f>
        <v/>
      </c>
      <c r="G24" s="17" t="str">
        <f aca="false">IF(ISNUMBER(D24),DEGREES(ATAN2(D24,IF(ISNUMBER(E24),E24,0))),"")</f>
        <v/>
      </c>
      <c r="H24" s="18" t="str">
        <f aca="false">IF(AND(ISNUMBER(D24),D24&gt;0),IF(6&lt;=$C$11,"YES","—"),"—")</f>
        <v>—</v>
      </c>
      <c r="I24" s="19" t="str">
        <f aca="false">IF(F24&lt;&gt;"",SQRT(F24/MAX($C$7,0.000000001)),"")</f>
        <v/>
      </c>
    </row>
    <row r="25" customFormat="false" ht="15" hidden="false" customHeight="true" outlineLevel="0" collapsed="false">
      <c r="B25" s="13" t="n">
        <v>7</v>
      </c>
      <c r="C25" s="7" t="s">
        <v>41</v>
      </c>
      <c r="D25" s="14"/>
      <c r="E25" s="15"/>
      <c r="F25" s="16" t="str">
        <f aca="false">IF(ISNUMBER(D25),SQRT(D25^2+IF(ISNUMBER(E25),E25,0)^2),"")</f>
        <v/>
      </c>
      <c r="G25" s="17" t="str">
        <f aca="false">IF(ISNUMBER(D25),DEGREES(ATAN2(D25,IF(ISNUMBER(E25),E25,0))),"")</f>
        <v/>
      </c>
      <c r="H25" s="18" t="str">
        <f aca="false">IF(AND(ISNUMBER(D25),D25&gt;0),IF(7&lt;=$C$11,"YES","—"),"—")</f>
        <v>—</v>
      </c>
      <c r="I25" s="19" t="str">
        <f aca="false">IF(F25&lt;&gt;"",SQRT(F25/MAX($C$7,0.000000001)),"")</f>
        <v/>
      </c>
    </row>
    <row r="26" customFormat="false" ht="15" hidden="false" customHeight="true" outlineLevel="0" collapsed="false">
      <c r="B26" s="20" t="n">
        <v>8</v>
      </c>
      <c r="C26" s="7" t="s">
        <v>42</v>
      </c>
      <c r="D26" s="14"/>
      <c r="E26" s="15"/>
      <c r="F26" s="16" t="str">
        <f aca="false">IF(ISNUMBER(D26),SQRT(D26^2+IF(ISNUMBER(E26),E26,0)^2),"")</f>
        <v/>
      </c>
      <c r="G26" s="17" t="str">
        <f aca="false">IF(ISNUMBER(D26),DEGREES(ATAN2(D26,IF(ISNUMBER(E26),E26,0))),"")</f>
        <v/>
      </c>
      <c r="H26" s="18" t="str">
        <f aca="false">IF(AND(ISNUMBER(D26),D26&gt;0),IF(8&lt;=$C$11,"YES","—"),"—")</f>
        <v>—</v>
      </c>
      <c r="I26" s="19" t="str">
        <f aca="false">IF(F26&lt;&gt;"",SQRT(F26/MAX($C$7,0.000000001)),"")</f>
        <v/>
      </c>
    </row>
    <row r="27" customFormat="false" ht="15" hidden="false" customHeight="true" outlineLevel="0" collapsed="false">
      <c r="B27" s="13" t="n">
        <v>9</v>
      </c>
      <c r="C27" s="7" t="s">
        <v>43</v>
      </c>
      <c r="D27" s="14"/>
      <c r="E27" s="15"/>
      <c r="F27" s="16" t="str">
        <f aca="false">IF(ISNUMBER(D27),SQRT(D27^2+IF(ISNUMBER(E27),E27,0)^2),"")</f>
        <v/>
      </c>
      <c r="G27" s="17" t="str">
        <f aca="false">IF(ISNUMBER(D27),DEGREES(ATAN2(D27,IF(ISNUMBER(E27),E27,0))),"")</f>
        <v/>
      </c>
      <c r="H27" s="18" t="str">
        <f aca="false">IF(AND(ISNUMBER(D27),D27&gt;0),IF(9&lt;=$C$11,"YES","—"),"—")</f>
        <v>—</v>
      </c>
      <c r="I27" s="19" t="str">
        <f aca="false">IF(F27&lt;&gt;"",SQRT(F27/MAX($C$7,0.000000001)),"")</f>
        <v/>
      </c>
    </row>
    <row r="28" customFormat="false" ht="15" hidden="false" customHeight="true" outlineLevel="0" collapsed="false">
      <c r="B28" s="20" t="n">
        <v>10</v>
      </c>
      <c r="C28" s="7" t="s">
        <v>44</v>
      </c>
      <c r="D28" s="14"/>
      <c r="E28" s="15"/>
      <c r="F28" s="16" t="str">
        <f aca="false">IF(ISNUMBER(D28),SQRT(D28^2+IF(ISNUMBER(E28),E28,0)^2),"")</f>
        <v/>
      </c>
      <c r="G28" s="17" t="str">
        <f aca="false">IF(ISNUMBER(D28),DEGREES(ATAN2(D28,IF(ISNUMBER(E28),E28,0))),"")</f>
        <v/>
      </c>
      <c r="H28" s="18" t="str">
        <f aca="false">IF(AND(ISNUMBER(D28),D28&gt;0),IF(10&lt;=$C$11,"YES","—"),"—")</f>
        <v>—</v>
      </c>
      <c r="I28" s="19" t="str">
        <f aca="false">IF(F28&lt;&gt;"",SQRT(F28/MAX($C$7,0.000000001)),"")</f>
        <v/>
      </c>
    </row>
    <row r="29" customFormat="false" ht="15" hidden="false" customHeight="true" outlineLevel="0" collapsed="false">
      <c r="B29" s="13" t="n">
        <v>11</v>
      </c>
      <c r="C29" s="7" t="s">
        <v>45</v>
      </c>
      <c r="D29" s="14"/>
      <c r="E29" s="15"/>
      <c r="F29" s="16" t="str">
        <f aca="false">IF(ISNUMBER(D29),SQRT(D29^2+IF(ISNUMBER(E29),E29,0)^2),"")</f>
        <v/>
      </c>
      <c r="G29" s="17" t="str">
        <f aca="false">IF(ISNUMBER(D29),DEGREES(ATAN2(D29,IF(ISNUMBER(E29),E29,0))),"")</f>
        <v/>
      </c>
      <c r="H29" s="18" t="str">
        <f aca="false">IF(AND(ISNUMBER(D29),D29&gt;0),IF(11&lt;=$C$11,"YES","—"),"—")</f>
        <v>—</v>
      </c>
      <c r="I29" s="19" t="str">
        <f aca="false">IF(F29&lt;&gt;"",SQRT(F29/MAX($C$7,0.000000001)),"")</f>
        <v/>
      </c>
    </row>
    <row r="31" customFormat="false" ht="15" hidden="false" customHeight="true" outlineLevel="0" collapsed="false">
      <c r="B31" s="21" t="s">
        <v>46</v>
      </c>
      <c r="C31" s="21"/>
      <c r="D31" s="21"/>
      <c r="E31" s="21"/>
      <c r="F31" s="21"/>
      <c r="G31" s="21"/>
      <c r="H31" s="21"/>
      <c r="I31" s="21"/>
    </row>
    <row r="32" customFormat="false" ht="15" hidden="false" customHeight="true" outlineLevel="0" collapsed="false">
      <c r="B32" s="22" t="s">
        <v>47</v>
      </c>
      <c r="C32" s="23" t="s">
        <v>48</v>
      </c>
      <c r="D32" s="23"/>
      <c r="E32" s="23"/>
      <c r="F32" s="23"/>
      <c r="G32" s="23"/>
      <c r="H32" s="23"/>
    </row>
    <row r="33" customFormat="false" ht="15" hidden="false" customHeight="true" outlineLevel="0" collapsed="false">
      <c r="B33" s="22" t="s">
        <v>49</v>
      </c>
      <c r="C33" s="23" t="s">
        <v>50</v>
      </c>
      <c r="D33" s="23"/>
      <c r="E33" s="23"/>
      <c r="F33" s="23"/>
      <c r="G33" s="23"/>
      <c r="H33" s="23"/>
    </row>
    <row r="34" customFormat="false" ht="15" hidden="false" customHeight="true" outlineLevel="0" collapsed="false">
      <c r="B34" s="22" t="s">
        <v>51</v>
      </c>
      <c r="C34" s="23" t="s">
        <v>52</v>
      </c>
      <c r="D34" s="23"/>
      <c r="E34" s="23"/>
      <c r="F34" s="23"/>
      <c r="G34" s="23"/>
      <c r="H34" s="23"/>
    </row>
    <row r="35" customFormat="false" ht="15" hidden="false" customHeight="true" outlineLevel="0" collapsed="false">
      <c r="B35" s="22" t="s">
        <v>53</v>
      </c>
      <c r="C35" s="23" t="s">
        <v>54</v>
      </c>
      <c r="D35" s="23"/>
      <c r="E35" s="23"/>
      <c r="F35" s="23"/>
      <c r="G35" s="23"/>
      <c r="H35" s="23"/>
    </row>
    <row r="36" customFormat="false" ht="15" hidden="false" customHeight="true" outlineLevel="0" collapsed="false">
      <c r="B36" s="22" t="s">
        <v>55</v>
      </c>
      <c r="C36" s="23" t="s">
        <v>56</v>
      </c>
      <c r="D36" s="23"/>
      <c r="E36" s="23"/>
      <c r="F36" s="23"/>
      <c r="G36" s="23"/>
      <c r="H36" s="23"/>
    </row>
    <row r="38" customFormat="false" ht="15" hidden="false" customHeight="true" outlineLevel="0" collapsed="false">
      <c r="B38" s="2" t="s">
        <v>57</v>
      </c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true" outlineLevel="0" collapsed="false">
      <c r="B39" s="3" t="s">
        <v>58</v>
      </c>
      <c r="C39" s="3"/>
      <c r="D39" s="3"/>
      <c r="E39" s="3"/>
      <c r="F39" s="3"/>
      <c r="G39" s="3"/>
      <c r="H39" s="3"/>
      <c r="I39" s="3"/>
      <c r="J39" s="3"/>
    </row>
    <row r="41" customFormat="false" ht="15" hidden="false" customHeight="true" outlineLevel="0" collapsed="false">
      <c r="B41" s="4" t="s">
        <v>59</v>
      </c>
      <c r="C41" s="4"/>
      <c r="D41" s="4"/>
    </row>
    <row r="42" customFormat="false" ht="15" hidden="false" customHeight="true" outlineLevel="0" collapsed="false">
      <c r="B42" s="24" t="s">
        <v>60</v>
      </c>
      <c r="C42" s="25" t="n">
        <f aca="false">C7</f>
        <v>50</v>
      </c>
      <c r="D42" s="26" t="s">
        <v>8</v>
      </c>
    </row>
    <row r="43" customFormat="false" ht="15" hidden="false" customHeight="true" outlineLevel="0" collapsed="false">
      <c r="B43" s="24" t="s">
        <v>61</v>
      </c>
      <c r="C43" s="25" t="n">
        <f aca="false">C8</f>
        <v>7.2</v>
      </c>
      <c r="D43" s="26" t="s">
        <v>11</v>
      </c>
    </row>
    <row r="44" customFormat="false" ht="15" hidden="false" customHeight="true" outlineLevel="0" collapsed="false">
      <c r="B44" s="24" t="s">
        <v>62</v>
      </c>
      <c r="C44" s="25" t="n">
        <f aca="false">C9</f>
        <v>0.45</v>
      </c>
      <c r="D44" s="26" t="s">
        <v>14</v>
      </c>
    </row>
    <row r="45" customFormat="false" ht="15" hidden="false" customHeight="true" outlineLevel="0" collapsed="false">
      <c r="B45" s="24" t="s">
        <v>63</v>
      </c>
      <c r="C45" s="25" t="n">
        <f aca="false">C14</f>
        <v>20</v>
      </c>
      <c r="D45" s="26" t="s">
        <v>64</v>
      </c>
    </row>
    <row r="46" customFormat="false" ht="15" hidden="false" customHeight="true" outlineLevel="0" collapsed="false">
      <c r="B46" s="24" t="s">
        <v>65</v>
      </c>
      <c r="C46" s="25" t="n">
        <f aca="false">C11</f>
        <v>4</v>
      </c>
      <c r="D46" s="26" t="s">
        <v>19</v>
      </c>
    </row>
    <row r="47" customFormat="false" ht="15" hidden="false" customHeight="true" outlineLevel="0" collapsed="false">
      <c r="B47" s="24" t="s">
        <v>66</v>
      </c>
      <c r="C47" s="27" t="n">
        <f aca="false">I90</f>
        <v>4134.33593212417</v>
      </c>
      <c r="D47" s="26" t="s">
        <v>14</v>
      </c>
    </row>
    <row r="48" customFormat="false" ht="15" hidden="false" customHeight="true" outlineLevel="0" collapsed="false">
      <c r="B48" s="24" t="s">
        <v>67</v>
      </c>
      <c r="C48" s="28" t="n">
        <f aca="false">IFERROR(C134,"—")</f>
        <v>35.9597632438237</v>
      </c>
      <c r="D48" s="26" t="s">
        <v>68</v>
      </c>
    </row>
    <row r="49" customFormat="false" ht="15" hidden="false" customHeight="true" outlineLevel="0" collapsed="false">
      <c r="B49" s="24" t="s">
        <v>69</v>
      </c>
      <c r="C49" s="25" t="str">
        <f aca="false">IFERROR(C137,"—")</f>
        <v>✔ YES</v>
      </c>
      <c r="D49" s="26"/>
    </row>
    <row r="51" customFormat="false" ht="15" hidden="false" customHeight="true" outlineLevel="0" collapsed="false">
      <c r="B51" s="4" t="s">
        <v>70</v>
      </c>
      <c r="C51" s="4"/>
      <c r="D51" s="4"/>
      <c r="E51" s="4"/>
      <c r="F51" s="4"/>
      <c r="G51" s="4"/>
      <c r="H51" s="4"/>
      <c r="I51" s="4"/>
      <c r="J51" s="4"/>
    </row>
    <row r="52" customFormat="false" ht="25.5" hidden="false" customHeight="true" outlineLevel="0" collapsed="false">
      <c r="B52" s="5" t="s">
        <v>27</v>
      </c>
      <c r="C52" s="5" t="s">
        <v>71</v>
      </c>
      <c r="D52" s="5" t="s">
        <v>72</v>
      </c>
      <c r="E52" s="5" t="s">
        <v>32</v>
      </c>
      <c r="F52" s="5" t="s">
        <v>73</v>
      </c>
      <c r="G52" s="5" t="s">
        <v>74</v>
      </c>
      <c r="H52" s="5" t="s">
        <v>75</v>
      </c>
      <c r="I52" s="5" t="s">
        <v>76</v>
      </c>
      <c r="J52" s="5" t="s">
        <v>77</v>
      </c>
    </row>
    <row r="53" customFormat="false" ht="15" hidden="false" customHeight="true" outlineLevel="0" collapsed="false">
      <c r="B53" s="29" t="n">
        <v>1</v>
      </c>
      <c r="C53" s="30" t="str">
        <f aca="false">C19</f>
        <v>Tap 1</v>
      </c>
      <c r="D53" s="31" t="n">
        <f aca="false">F19</f>
        <v>200</v>
      </c>
      <c r="E53" s="32" t="n">
        <f aca="false">G19</f>
        <v>0</v>
      </c>
      <c r="F53" s="33" t="n">
        <f aca="false">D78</f>
        <v>2</v>
      </c>
      <c r="G53" s="34" t="n">
        <f aca="false">E78</f>
        <v>40</v>
      </c>
      <c r="H53" s="35" t="n">
        <f aca="false">F97</f>
        <v>1</v>
      </c>
      <c r="I53" s="36" t="n">
        <f aca="false">G97</f>
        <v>180</v>
      </c>
      <c r="J53" s="35" t="n">
        <f aca="false">I97</f>
        <v>0</v>
      </c>
    </row>
    <row r="54" customFormat="false" ht="15" hidden="false" customHeight="true" outlineLevel="0" collapsed="false">
      <c r="B54" s="37" t="n">
        <v>2</v>
      </c>
      <c r="C54" s="30" t="str">
        <f aca="false">C20</f>
        <v>Tap 2</v>
      </c>
      <c r="D54" s="31" t="n">
        <f aca="false">F20</f>
        <v>316.227766016838</v>
      </c>
      <c r="E54" s="32" t="n">
        <f aca="false">G20</f>
        <v>18.434948822922</v>
      </c>
      <c r="F54" s="33" t="n">
        <f aca="false">D79</f>
        <v>2.51486685936587</v>
      </c>
      <c r="G54" s="34" t="n">
        <f aca="false">E79</f>
        <v>50</v>
      </c>
      <c r="H54" s="35" t="n">
        <f aca="false">F98</f>
        <v>1.38742588672279</v>
      </c>
      <c r="I54" s="36" t="n">
        <f aca="false">G98</f>
        <v>15.7948252576199</v>
      </c>
      <c r="J54" s="35" t="n">
        <f aca="false">I98</f>
        <v>2.6334038989724</v>
      </c>
    </row>
    <row r="55" customFormat="false" ht="15" hidden="false" customHeight="true" outlineLevel="0" collapsed="false">
      <c r="B55" s="29" t="n">
        <v>3</v>
      </c>
      <c r="C55" s="30" t="str">
        <f aca="false">C21</f>
        <v>Tap 3</v>
      </c>
      <c r="D55" s="31" t="n">
        <f aca="false">F21</f>
        <v>457.055795281058</v>
      </c>
      <c r="E55" s="32" t="n">
        <f aca="false">G21</f>
        <v>-10.0805979875423</v>
      </c>
      <c r="F55" s="33" t="n">
        <f aca="false">D80</f>
        <v>3.02342784031985</v>
      </c>
      <c r="G55" s="34" t="n">
        <f aca="false">E80</f>
        <v>60</v>
      </c>
      <c r="H55" s="35" t="n">
        <f aca="false">F99</f>
        <v>1.19345732284679</v>
      </c>
      <c r="I55" s="36" t="n">
        <f aca="false">G99</f>
        <v>21.0908803086925</v>
      </c>
      <c r="J55" s="35" t="n">
        <f aca="false">I99</f>
        <v>0.777878860128034</v>
      </c>
    </row>
    <row r="56" customFormat="false" ht="15" hidden="false" customHeight="true" outlineLevel="0" collapsed="false">
      <c r="B56" s="37" t="n">
        <v>4</v>
      </c>
      <c r="C56" s="30" t="str">
        <f aca="false">C22</f>
        <v>Tap 4</v>
      </c>
      <c r="D56" s="31" t="n">
        <f aca="false">F22</f>
        <v>800</v>
      </c>
      <c r="E56" s="32" t="n">
        <f aca="false">G22</f>
        <v>0</v>
      </c>
      <c r="F56" s="33" t="n">
        <f aca="false">D81</f>
        <v>4</v>
      </c>
      <c r="G56" s="34" t="n">
        <f aca="false">E81</f>
        <v>80</v>
      </c>
      <c r="H56" s="35" t="n">
        <f aca="false">F100</f>
        <v>1</v>
      </c>
      <c r="I56" s="36" t="n">
        <f aca="false">G100</f>
        <v>180</v>
      </c>
      <c r="J56" s="35" t="n">
        <f aca="false">I100</f>
        <v>0</v>
      </c>
    </row>
    <row r="57" customFormat="false" ht="15" hidden="false" customHeight="true" outlineLevel="0" collapsed="false">
      <c r="B57" s="29" t="n">
        <v>5</v>
      </c>
      <c r="C57" s="30" t="str">
        <f aca="false">C23</f>
        <v>Tap 5</v>
      </c>
      <c r="D57" s="30" t="str">
        <f aca="false">F23</f>
        <v/>
      </c>
      <c r="E57" s="30" t="str">
        <f aca="false">G23</f>
        <v/>
      </c>
      <c r="F57" s="30" t="str">
        <f aca="false">D82</f>
        <v/>
      </c>
      <c r="G57" s="30" t="str">
        <f aca="false">E82</f>
        <v/>
      </c>
      <c r="H57" s="30" t="str">
        <f aca="false">F101</f>
        <v/>
      </c>
      <c r="I57" s="30" t="str">
        <f aca="false">G101</f>
        <v/>
      </c>
      <c r="J57" s="30" t="str">
        <f aca="false">I101</f>
        <v/>
      </c>
    </row>
    <row r="58" customFormat="false" ht="15" hidden="false" customHeight="true" outlineLevel="0" collapsed="false">
      <c r="B58" s="37" t="n">
        <v>6</v>
      </c>
      <c r="C58" s="30" t="str">
        <f aca="false">C24</f>
        <v>Tap 6</v>
      </c>
      <c r="D58" s="30" t="str">
        <f aca="false">F24</f>
        <v/>
      </c>
      <c r="E58" s="30" t="str">
        <f aca="false">G24</f>
        <v/>
      </c>
      <c r="F58" s="30" t="str">
        <f aca="false">D83</f>
        <v/>
      </c>
      <c r="G58" s="30" t="str">
        <f aca="false">E83</f>
        <v/>
      </c>
      <c r="H58" s="30" t="str">
        <f aca="false">F102</f>
        <v/>
      </c>
      <c r="I58" s="30" t="str">
        <f aca="false">G102</f>
        <v/>
      </c>
      <c r="J58" s="30" t="str">
        <f aca="false">I102</f>
        <v/>
      </c>
    </row>
    <row r="59" customFormat="false" ht="15" hidden="false" customHeight="true" outlineLevel="0" collapsed="false">
      <c r="B59" s="29" t="n">
        <v>7</v>
      </c>
      <c r="C59" s="30" t="str">
        <f aca="false">C25</f>
        <v>Tap 7</v>
      </c>
      <c r="D59" s="30" t="str">
        <f aca="false">F25</f>
        <v/>
      </c>
      <c r="E59" s="30" t="str">
        <f aca="false">G25</f>
        <v/>
      </c>
      <c r="F59" s="30" t="str">
        <f aca="false">D84</f>
        <v/>
      </c>
      <c r="G59" s="30" t="str">
        <f aca="false">E84</f>
        <v/>
      </c>
      <c r="H59" s="30" t="str">
        <f aca="false">F103</f>
        <v/>
      </c>
      <c r="I59" s="30" t="str">
        <f aca="false">G103</f>
        <v/>
      </c>
      <c r="J59" s="30" t="str">
        <f aca="false">I103</f>
        <v/>
      </c>
    </row>
    <row r="60" customFormat="false" ht="15" hidden="false" customHeight="true" outlineLevel="0" collapsed="false">
      <c r="B60" s="37" t="n">
        <v>8</v>
      </c>
      <c r="C60" s="30" t="str">
        <f aca="false">C26</f>
        <v>Tap 8</v>
      </c>
      <c r="D60" s="30" t="str">
        <f aca="false">F26</f>
        <v/>
      </c>
      <c r="E60" s="30" t="str">
        <f aca="false">G26</f>
        <v/>
      </c>
      <c r="F60" s="30" t="str">
        <f aca="false">D85</f>
        <v/>
      </c>
      <c r="G60" s="30" t="str">
        <f aca="false">E85</f>
        <v/>
      </c>
      <c r="H60" s="30" t="str">
        <f aca="false">F104</f>
        <v/>
      </c>
      <c r="I60" s="30" t="str">
        <f aca="false">G104</f>
        <v/>
      </c>
      <c r="J60" s="30" t="str">
        <f aca="false">I104</f>
        <v/>
      </c>
    </row>
    <row r="61" customFormat="false" ht="15" hidden="false" customHeight="true" outlineLevel="0" collapsed="false">
      <c r="B61" s="29" t="n">
        <v>9</v>
      </c>
      <c r="C61" s="30" t="str">
        <f aca="false">C27</f>
        <v>Tap 9</v>
      </c>
      <c r="D61" s="30" t="str">
        <f aca="false">F27</f>
        <v/>
      </c>
      <c r="E61" s="30" t="str">
        <f aca="false">G27</f>
        <v/>
      </c>
      <c r="F61" s="30" t="str">
        <f aca="false">D86</f>
        <v/>
      </c>
      <c r="G61" s="30" t="str">
        <f aca="false">E86</f>
        <v/>
      </c>
      <c r="H61" s="30" t="str">
        <f aca="false">F105</f>
        <v/>
      </c>
      <c r="I61" s="30" t="str">
        <f aca="false">G105</f>
        <v/>
      </c>
      <c r="J61" s="30" t="str">
        <f aca="false">I105</f>
        <v/>
      </c>
    </row>
    <row r="62" customFormat="false" ht="15" hidden="false" customHeight="true" outlineLevel="0" collapsed="false">
      <c r="B62" s="37" t="n">
        <v>10</v>
      </c>
      <c r="C62" s="30" t="str">
        <f aca="false">C28</f>
        <v>Tap 10</v>
      </c>
      <c r="D62" s="30" t="str">
        <f aca="false">F28</f>
        <v/>
      </c>
      <c r="E62" s="30" t="str">
        <f aca="false">G28</f>
        <v/>
      </c>
      <c r="F62" s="30" t="str">
        <f aca="false">D87</f>
        <v/>
      </c>
      <c r="G62" s="30" t="str">
        <f aca="false">E87</f>
        <v/>
      </c>
      <c r="H62" s="30" t="str">
        <f aca="false">F106</f>
        <v/>
      </c>
      <c r="I62" s="30" t="str">
        <f aca="false">G106</f>
        <v/>
      </c>
      <c r="J62" s="30" t="str">
        <f aca="false">I106</f>
        <v/>
      </c>
    </row>
    <row r="63" customFormat="false" ht="15" hidden="false" customHeight="true" outlineLevel="0" collapsed="false">
      <c r="B63" s="29" t="n">
        <v>11</v>
      </c>
      <c r="C63" s="30" t="str">
        <f aca="false">C29</f>
        <v>Tap 11</v>
      </c>
      <c r="D63" s="30" t="str">
        <f aca="false">F29</f>
        <v/>
      </c>
      <c r="E63" s="30" t="str">
        <f aca="false">G29</f>
        <v/>
      </c>
      <c r="F63" s="30" t="str">
        <f aca="false">D88</f>
        <v/>
      </c>
      <c r="G63" s="30" t="str">
        <f aca="false">E88</f>
        <v/>
      </c>
      <c r="H63" s="30" t="str">
        <f aca="false">F107</f>
        <v/>
      </c>
      <c r="I63" s="30" t="str">
        <f aca="false">G107</f>
        <v/>
      </c>
      <c r="J63" s="30" t="str">
        <f aca="false">I107</f>
        <v/>
      </c>
    </row>
    <row r="65" customFormat="false" ht="15" hidden="false" customHeight="true" outlineLevel="0" collapsed="false">
      <c r="B65" s="2" t="s">
        <v>78</v>
      </c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true" outlineLevel="0" collapsed="false">
      <c r="B66" s="3" t="s">
        <v>79</v>
      </c>
      <c r="C66" s="3"/>
      <c r="D66" s="3"/>
      <c r="E66" s="3"/>
      <c r="F66" s="3"/>
      <c r="G66" s="3"/>
      <c r="H66" s="3"/>
      <c r="I66" s="3"/>
      <c r="J66" s="3"/>
    </row>
    <row r="68" customFormat="false" ht="15" hidden="false" customHeight="true" outlineLevel="0" collapsed="false">
      <c r="B68" s="4" t="s">
        <v>80</v>
      </c>
      <c r="C68" s="4"/>
      <c r="D68" s="4"/>
      <c r="E68" s="4"/>
      <c r="F68" s="4"/>
      <c r="G68" s="4"/>
      <c r="H68" s="4"/>
      <c r="I68" s="4"/>
      <c r="J68" s="4"/>
    </row>
    <row r="69" customFormat="false" ht="15" hidden="false" customHeight="true" outlineLevel="0" collapsed="false">
      <c r="B69" s="38" t="s">
        <v>81</v>
      </c>
      <c r="C69" s="38"/>
      <c r="D69" s="38"/>
      <c r="E69" s="38"/>
      <c r="F69" s="38"/>
      <c r="G69" s="38"/>
      <c r="H69" s="38"/>
      <c r="I69" s="38"/>
    </row>
    <row r="70" customFormat="false" ht="15" hidden="false" customHeight="true" outlineLevel="0" collapsed="false">
      <c r="B70" s="38" t="s">
        <v>82</v>
      </c>
      <c r="C70" s="38"/>
      <c r="D70" s="38"/>
      <c r="E70" s="38"/>
      <c r="F70" s="38"/>
      <c r="G70" s="38"/>
      <c r="H70" s="38"/>
      <c r="I70" s="38"/>
    </row>
    <row r="71" customFormat="false" ht="15" hidden="false" customHeight="true" outlineLevel="0" collapsed="false">
      <c r="B71" s="38" t="s">
        <v>83</v>
      </c>
      <c r="C71" s="38"/>
      <c r="D71" s="38"/>
      <c r="E71" s="38"/>
      <c r="F71" s="38"/>
      <c r="G71" s="38"/>
      <c r="H71" s="38"/>
      <c r="I71" s="38"/>
    </row>
    <row r="72" customFormat="false" ht="15" hidden="false" customHeight="true" outlineLevel="0" collapsed="false">
      <c r="B72" s="38" t="s">
        <v>84</v>
      </c>
      <c r="C72" s="38"/>
      <c r="D72" s="38"/>
      <c r="E72" s="38"/>
      <c r="F72" s="38"/>
      <c r="G72" s="38"/>
      <c r="H72" s="38"/>
      <c r="I72" s="38"/>
    </row>
    <row r="73" customFormat="false" ht="15" hidden="false" customHeight="true" outlineLevel="0" collapsed="false">
      <c r="B73" s="38" t="s">
        <v>85</v>
      </c>
      <c r="C73" s="38"/>
      <c r="D73" s="38"/>
      <c r="E73" s="38"/>
      <c r="F73" s="38"/>
      <c r="G73" s="38"/>
      <c r="H73" s="38"/>
      <c r="I73" s="38"/>
    </row>
    <row r="74" customFormat="false" ht="15" hidden="false" customHeight="true" outlineLevel="0" collapsed="false">
      <c r="B74" s="38" t="s">
        <v>86</v>
      </c>
      <c r="C74" s="38"/>
      <c r="D74" s="38"/>
      <c r="E74" s="38"/>
      <c r="F74" s="38"/>
      <c r="G74" s="38"/>
      <c r="H74" s="38"/>
      <c r="I74" s="38"/>
    </row>
    <row r="76" customFormat="false" ht="15" hidden="false" customHeight="true" outlineLevel="0" collapsed="false">
      <c r="B76" s="4" t="s">
        <v>87</v>
      </c>
      <c r="C76" s="4"/>
      <c r="D76" s="4"/>
      <c r="E76" s="4"/>
      <c r="F76" s="4"/>
      <c r="G76" s="4"/>
      <c r="H76" s="4"/>
      <c r="I76" s="4"/>
      <c r="J76" s="4"/>
    </row>
    <row r="77" customFormat="false" ht="38.25" hidden="false" customHeight="true" outlineLevel="0" collapsed="false">
      <c r="B77" s="5" t="s">
        <v>27</v>
      </c>
      <c r="C77" s="5" t="s">
        <v>71</v>
      </c>
      <c r="D77" s="5" t="s">
        <v>88</v>
      </c>
      <c r="E77" s="5" t="s">
        <v>89</v>
      </c>
      <c r="F77" s="5" t="s">
        <v>90</v>
      </c>
      <c r="G77" s="5" t="s">
        <v>91</v>
      </c>
      <c r="H77" s="5" t="s">
        <v>92</v>
      </c>
      <c r="I77" s="5" t="s">
        <v>93</v>
      </c>
      <c r="J77" s="5" t="s">
        <v>33</v>
      </c>
    </row>
    <row r="78" customFormat="false" ht="15" hidden="false" customHeight="true" outlineLevel="0" collapsed="false">
      <c r="B78" s="13" t="n">
        <v>1</v>
      </c>
      <c r="C78" s="18" t="str">
        <f aca="false">C19</f>
        <v>Tap 1</v>
      </c>
      <c r="D78" s="19" t="n">
        <f aca="false">IF(I19&lt;&gt;"",I19,"")</f>
        <v>2</v>
      </c>
      <c r="E78" s="12" t="n">
        <f aca="false">IF(D78&lt;&gt;"",MAX(1,ROUND(C14*D78,0)),"")</f>
        <v>40</v>
      </c>
      <c r="F78" s="12" t="n">
        <f aca="false">IF(E78&lt;&gt;"",E78,"")</f>
        <v>40</v>
      </c>
      <c r="G78" s="39" t="n">
        <f aca="false">IF(F78&lt;&gt;"",F78*PI()*($C$10+$C$9),"")</f>
        <v>2067.16796606208</v>
      </c>
      <c r="H78" s="16" t="n">
        <f aca="false">IF(G78&lt;&gt;"",G78*4*0.00000001724*1000000/(PI()*$C$9^2),"")</f>
        <v>224.077432098765</v>
      </c>
      <c r="I78" s="39" t="n">
        <f aca="false">IF(G78&lt;&gt;"",G78,"")</f>
        <v>2067.16796606208</v>
      </c>
      <c r="J78" s="18" t="str">
        <f aca="false">H19</f>
        <v>YES</v>
      </c>
    </row>
    <row r="79" customFormat="false" ht="15" hidden="false" customHeight="true" outlineLevel="0" collapsed="false">
      <c r="B79" s="20" t="n">
        <v>2</v>
      </c>
      <c r="C79" s="18" t="str">
        <f aca="false">C20</f>
        <v>Tap 2</v>
      </c>
      <c r="D79" s="19" t="n">
        <f aca="false">IF(I20&lt;&gt;"",I20,"")</f>
        <v>2.51486685936587</v>
      </c>
      <c r="E79" s="12" t="n">
        <f aca="false">IF(D79&lt;&gt;"",MAX(1,ROUND(C14*D79,0)),"")</f>
        <v>50</v>
      </c>
      <c r="F79" s="12" t="n">
        <f aca="false">IF(AND(E79&lt;&gt;"",E78&lt;&gt;""),E79-E78,IF(E79&lt;&gt;"",E79,""))</f>
        <v>10</v>
      </c>
      <c r="G79" s="39" t="n">
        <f aca="false">IF(F79&lt;&gt;"",F79*PI()*($C$10+$C$9),"")</f>
        <v>516.791991515521</v>
      </c>
      <c r="H79" s="16" t="n">
        <f aca="false">IF(G79&lt;&gt;"",G79*4*0.00000001724*1000000/(PI()*$C$9^2),"")</f>
        <v>56.0193580246914</v>
      </c>
      <c r="I79" s="39" t="n">
        <f aca="false">IF(G79&lt;&gt;"",SUM(G78:G79),"")</f>
        <v>2583.9599575776</v>
      </c>
      <c r="J79" s="18" t="str">
        <f aca="false">H20</f>
        <v>YES</v>
      </c>
    </row>
    <row r="80" customFormat="false" ht="15" hidden="false" customHeight="true" outlineLevel="0" collapsed="false">
      <c r="B80" s="13" t="n">
        <v>3</v>
      </c>
      <c r="C80" s="18" t="str">
        <f aca="false">C21</f>
        <v>Tap 3</v>
      </c>
      <c r="D80" s="19" t="n">
        <f aca="false">IF(I21&lt;&gt;"",I21,"")</f>
        <v>3.02342784031985</v>
      </c>
      <c r="E80" s="12" t="n">
        <f aca="false">IF(D80&lt;&gt;"",MAX(1,ROUND(C14*D80,0)),"")</f>
        <v>60</v>
      </c>
      <c r="F80" s="12" t="n">
        <f aca="false">IF(AND(E80&lt;&gt;"",E79&lt;&gt;""),E80-E79,IF(E80&lt;&gt;"",E80,""))</f>
        <v>10</v>
      </c>
      <c r="G80" s="39" t="n">
        <f aca="false">IF(F80&lt;&gt;"",F80*PI()*($C$10+$C$9),"")</f>
        <v>516.791991515521</v>
      </c>
      <c r="H80" s="16" t="n">
        <f aca="false">IF(G80&lt;&gt;"",G80*4*0.00000001724*1000000/(PI()*$C$9^2),"")</f>
        <v>56.0193580246914</v>
      </c>
      <c r="I80" s="39" t="n">
        <f aca="false">IF(G80&lt;&gt;"",SUM(G78:G80),"")</f>
        <v>3100.75194909313</v>
      </c>
      <c r="J80" s="18" t="str">
        <f aca="false">H21</f>
        <v>YES</v>
      </c>
    </row>
    <row r="81" customFormat="false" ht="15" hidden="false" customHeight="true" outlineLevel="0" collapsed="false">
      <c r="B81" s="20" t="n">
        <v>4</v>
      </c>
      <c r="C81" s="18" t="str">
        <f aca="false">C22</f>
        <v>Tap 4</v>
      </c>
      <c r="D81" s="19" t="n">
        <f aca="false">IF(I22&lt;&gt;"",I22,"")</f>
        <v>4</v>
      </c>
      <c r="E81" s="12" t="n">
        <f aca="false">IF(D81&lt;&gt;"",MAX(1,ROUND(C14*D81,0)),"")</f>
        <v>80</v>
      </c>
      <c r="F81" s="12" t="n">
        <f aca="false">IF(AND(E81&lt;&gt;"",E80&lt;&gt;""),E81-E80,IF(E81&lt;&gt;"",E81,""))</f>
        <v>20</v>
      </c>
      <c r="G81" s="39" t="n">
        <f aca="false">IF(F81&lt;&gt;"",F81*PI()*($C$10+$C$9),"")</f>
        <v>1033.58398303104</v>
      </c>
      <c r="H81" s="16" t="n">
        <f aca="false">IF(G81&lt;&gt;"",G81*4*0.00000001724*1000000/(PI()*$C$9^2),"")</f>
        <v>112.038716049383</v>
      </c>
      <c r="I81" s="39" t="n">
        <f aca="false">IF(G81&lt;&gt;"",SUM(G78:G81),"")</f>
        <v>4134.33593212417</v>
      </c>
      <c r="J81" s="18" t="str">
        <f aca="false">H22</f>
        <v>YES</v>
      </c>
    </row>
    <row r="82" customFormat="false" ht="15" hidden="false" customHeight="true" outlineLevel="0" collapsed="false">
      <c r="B82" s="13" t="n">
        <v>5</v>
      </c>
      <c r="C82" s="18" t="str">
        <f aca="false">C23</f>
        <v>Tap 5</v>
      </c>
      <c r="D82" s="19" t="str">
        <f aca="false">IF(I23&lt;&gt;"",I23,"")</f>
        <v/>
      </c>
      <c r="E82" s="12" t="str">
        <f aca="false">IF(D82&lt;&gt;"",MAX(1,ROUND(C14*D82,0)),"")</f>
        <v/>
      </c>
      <c r="F82" s="12" t="str">
        <f aca="false">IF(AND(E82&lt;&gt;"",E81&lt;&gt;""),E82-E81,IF(E82&lt;&gt;"",E82,""))</f>
        <v/>
      </c>
      <c r="G82" s="39" t="str">
        <f aca="false">IF(F82&lt;&gt;"",F82*PI()*($C$10+$C$9),"")</f>
        <v/>
      </c>
      <c r="H82" s="16" t="str">
        <f aca="false">IF(G82&lt;&gt;"",G82*4*0.00000001724*1000000/(PI()*$C$9^2),"")</f>
        <v/>
      </c>
      <c r="I82" s="39" t="str">
        <f aca="false">IF(G82&lt;&gt;"",SUM(G78:G82),"")</f>
        <v/>
      </c>
      <c r="J82" s="18" t="str">
        <f aca="false">H23</f>
        <v>—</v>
      </c>
    </row>
    <row r="83" customFormat="false" ht="15" hidden="false" customHeight="true" outlineLevel="0" collapsed="false">
      <c r="B83" s="20" t="n">
        <v>6</v>
      </c>
      <c r="C83" s="18" t="str">
        <f aca="false">C24</f>
        <v>Tap 6</v>
      </c>
      <c r="D83" s="19" t="str">
        <f aca="false">IF(I24&lt;&gt;"",I24,"")</f>
        <v/>
      </c>
      <c r="E83" s="12" t="str">
        <f aca="false">IF(D83&lt;&gt;"",MAX(1,ROUND(C14*D83,0)),"")</f>
        <v/>
      </c>
      <c r="F83" s="12" t="str">
        <f aca="false">IF(AND(E83&lt;&gt;"",E82&lt;&gt;""),E83-E82,IF(E83&lt;&gt;"",E83,""))</f>
        <v/>
      </c>
      <c r="G83" s="39" t="str">
        <f aca="false">IF(F83&lt;&gt;"",F83*PI()*($C$10+$C$9),"")</f>
        <v/>
      </c>
      <c r="H83" s="16" t="str">
        <f aca="false">IF(G83&lt;&gt;"",G83*4*0.00000001724*1000000/(PI()*$C$9^2),"")</f>
        <v/>
      </c>
      <c r="I83" s="39" t="str">
        <f aca="false">IF(G83&lt;&gt;"",SUM(G78:G83),"")</f>
        <v/>
      </c>
      <c r="J83" s="18" t="str">
        <f aca="false">H24</f>
        <v>—</v>
      </c>
    </row>
    <row r="84" customFormat="false" ht="15" hidden="false" customHeight="true" outlineLevel="0" collapsed="false">
      <c r="B84" s="13" t="n">
        <v>7</v>
      </c>
      <c r="C84" s="18" t="str">
        <f aca="false">C25</f>
        <v>Tap 7</v>
      </c>
      <c r="D84" s="19" t="str">
        <f aca="false">IF(I25&lt;&gt;"",I25,"")</f>
        <v/>
      </c>
      <c r="E84" s="12" t="str">
        <f aca="false">IF(D84&lt;&gt;"",MAX(1,ROUND(C14*D84,0)),"")</f>
        <v/>
      </c>
      <c r="F84" s="12" t="str">
        <f aca="false">IF(AND(E84&lt;&gt;"",E83&lt;&gt;""),E84-E83,IF(E84&lt;&gt;"",E84,""))</f>
        <v/>
      </c>
      <c r="G84" s="39" t="str">
        <f aca="false">IF(F84&lt;&gt;"",F84*PI()*($C$10+$C$9),"")</f>
        <v/>
      </c>
      <c r="H84" s="16" t="str">
        <f aca="false">IF(G84&lt;&gt;"",G84*4*0.00000001724*1000000/(PI()*$C$9^2),"")</f>
        <v/>
      </c>
      <c r="I84" s="39" t="str">
        <f aca="false">IF(G84&lt;&gt;"",SUM(G78:G84),"")</f>
        <v/>
      </c>
      <c r="J84" s="18" t="str">
        <f aca="false">H25</f>
        <v>—</v>
      </c>
    </row>
    <row r="85" customFormat="false" ht="15" hidden="false" customHeight="true" outlineLevel="0" collapsed="false">
      <c r="B85" s="20" t="n">
        <v>8</v>
      </c>
      <c r="C85" s="18" t="str">
        <f aca="false">C26</f>
        <v>Tap 8</v>
      </c>
      <c r="D85" s="19" t="str">
        <f aca="false">IF(I26&lt;&gt;"",I26,"")</f>
        <v/>
      </c>
      <c r="E85" s="12" t="str">
        <f aca="false">IF(D85&lt;&gt;"",MAX(1,ROUND(C14*D85,0)),"")</f>
        <v/>
      </c>
      <c r="F85" s="12" t="str">
        <f aca="false">IF(AND(E85&lt;&gt;"",E84&lt;&gt;""),E85-E84,IF(E85&lt;&gt;"",E85,""))</f>
        <v/>
      </c>
      <c r="G85" s="39" t="str">
        <f aca="false">IF(F85&lt;&gt;"",F85*PI()*($C$10+$C$9),"")</f>
        <v/>
      </c>
      <c r="H85" s="16" t="str">
        <f aca="false">IF(G85&lt;&gt;"",G85*4*0.00000001724*1000000/(PI()*$C$9^2),"")</f>
        <v/>
      </c>
      <c r="I85" s="39" t="str">
        <f aca="false">IF(G85&lt;&gt;"",SUM(G78:G85),"")</f>
        <v/>
      </c>
      <c r="J85" s="18" t="str">
        <f aca="false">H26</f>
        <v>—</v>
      </c>
    </row>
    <row r="86" customFormat="false" ht="15" hidden="false" customHeight="true" outlineLevel="0" collapsed="false">
      <c r="B86" s="13" t="n">
        <v>9</v>
      </c>
      <c r="C86" s="18" t="str">
        <f aca="false">C27</f>
        <v>Tap 9</v>
      </c>
      <c r="D86" s="19" t="str">
        <f aca="false">IF(I27&lt;&gt;"",I27,"")</f>
        <v/>
      </c>
      <c r="E86" s="12" t="str">
        <f aca="false">IF(D86&lt;&gt;"",MAX(1,ROUND(C14*D86,0)),"")</f>
        <v/>
      </c>
      <c r="F86" s="12" t="str">
        <f aca="false">IF(AND(E86&lt;&gt;"",E85&lt;&gt;""),E86-E85,IF(E86&lt;&gt;"",E86,""))</f>
        <v/>
      </c>
      <c r="G86" s="39" t="str">
        <f aca="false">IF(F86&lt;&gt;"",F86*PI()*($C$10+$C$9),"")</f>
        <v/>
      </c>
      <c r="H86" s="16" t="str">
        <f aca="false">IF(G86&lt;&gt;"",G86*4*0.00000001724*1000000/(PI()*$C$9^2),"")</f>
        <v/>
      </c>
      <c r="I86" s="39" t="str">
        <f aca="false">IF(G86&lt;&gt;"",SUM(G78:G86),"")</f>
        <v/>
      </c>
      <c r="J86" s="18" t="str">
        <f aca="false">H27</f>
        <v>—</v>
      </c>
    </row>
    <row r="87" customFormat="false" ht="15" hidden="false" customHeight="true" outlineLevel="0" collapsed="false">
      <c r="B87" s="20" t="n">
        <v>10</v>
      </c>
      <c r="C87" s="18" t="str">
        <f aca="false">C28</f>
        <v>Tap 10</v>
      </c>
      <c r="D87" s="19" t="str">
        <f aca="false">IF(I28&lt;&gt;"",I28,"")</f>
        <v/>
      </c>
      <c r="E87" s="12" t="str">
        <f aca="false">IF(D87&lt;&gt;"",MAX(1,ROUND(C14*D87,0)),"")</f>
        <v/>
      </c>
      <c r="F87" s="12" t="str">
        <f aca="false">IF(AND(E87&lt;&gt;"",E86&lt;&gt;""),E87-E86,IF(E87&lt;&gt;"",E87,""))</f>
        <v/>
      </c>
      <c r="G87" s="39" t="str">
        <f aca="false">IF(F87&lt;&gt;"",F87*PI()*($C$10+$C$9),"")</f>
        <v/>
      </c>
      <c r="H87" s="16" t="str">
        <f aca="false">IF(G87&lt;&gt;"",G87*4*0.00000001724*1000000/(PI()*$C$9^2),"")</f>
        <v/>
      </c>
      <c r="I87" s="39" t="str">
        <f aca="false">IF(G87&lt;&gt;"",SUM(G78:G87),"")</f>
        <v/>
      </c>
      <c r="J87" s="18" t="str">
        <f aca="false">H28</f>
        <v>—</v>
      </c>
    </row>
    <row r="88" customFormat="false" ht="15" hidden="false" customHeight="true" outlineLevel="0" collapsed="false">
      <c r="B88" s="13" t="n">
        <v>11</v>
      </c>
      <c r="C88" s="18" t="str">
        <f aca="false">C29</f>
        <v>Tap 11</v>
      </c>
      <c r="D88" s="19" t="str">
        <f aca="false">IF(I29&lt;&gt;"",I29,"")</f>
        <v/>
      </c>
      <c r="E88" s="12" t="str">
        <f aca="false">IF(D88&lt;&gt;"",MAX(1,ROUND(C14*D88,0)),"")</f>
        <v/>
      </c>
      <c r="F88" s="12" t="str">
        <f aca="false">IF(AND(E88&lt;&gt;"",E87&lt;&gt;""),E88-E87,IF(E88&lt;&gt;"",E88,""))</f>
        <v/>
      </c>
      <c r="G88" s="39" t="str">
        <f aca="false">IF(F88&lt;&gt;"",F88*PI()*($C$10+$C$9),"")</f>
        <v/>
      </c>
      <c r="H88" s="16" t="str">
        <f aca="false">IF(G88&lt;&gt;"",G88*4*0.00000001724*1000000/(PI()*$C$9^2),"")</f>
        <v/>
      </c>
      <c r="I88" s="39" t="str">
        <f aca="false">IF(G88&lt;&gt;"",SUM(G78:G88),"")</f>
        <v/>
      </c>
      <c r="J88" s="18" t="str">
        <f aca="false">H29</f>
        <v>—</v>
      </c>
    </row>
    <row r="90" customFormat="false" ht="15" hidden="false" customHeight="true" outlineLevel="0" collapsed="false">
      <c r="B90" s="40" t="s">
        <v>94</v>
      </c>
      <c r="C90" s="40"/>
      <c r="D90" s="40"/>
      <c r="E90" s="12" t="n">
        <f aca="false">IFERROR(MAX(E78:E88),"")</f>
        <v>80</v>
      </c>
      <c r="H90" s="31" t="n">
        <f aca="false">IFERROR(SUM(H78:H88),"")</f>
        <v>448.154864197531</v>
      </c>
      <c r="I90" s="41" t="n">
        <f aca="false">IFERROR(MAX(I78:I88),"")</f>
        <v>4134.33593212417</v>
      </c>
    </row>
    <row r="92" customFormat="false" ht="15" hidden="false" customHeight="true" outlineLevel="0" collapsed="false">
      <c r="B92" s="2" t="s">
        <v>95</v>
      </c>
      <c r="C92" s="2"/>
      <c r="D92" s="2"/>
      <c r="E92" s="2"/>
      <c r="F92" s="2"/>
      <c r="G92" s="2"/>
      <c r="H92" s="2"/>
      <c r="I92" s="2"/>
    </row>
    <row r="93" customFormat="false" ht="15" hidden="false" customHeight="true" outlineLevel="0" collapsed="false">
      <c r="B93" s="3" t="s">
        <v>96</v>
      </c>
      <c r="C93" s="3"/>
      <c r="D93" s="3"/>
      <c r="E93" s="3"/>
      <c r="F93" s="3"/>
      <c r="G93" s="3"/>
      <c r="H93" s="3"/>
      <c r="I93" s="3"/>
    </row>
    <row r="95" customFormat="false" ht="15" hidden="false" customHeight="true" outlineLevel="0" collapsed="false">
      <c r="B95" s="4" t="s">
        <v>97</v>
      </c>
      <c r="C95" s="4"/>
      <c r="D95" s="4"/>
      <c r="E95" s="4"/>
      <c r="F95" s="4"/>
      <c r="G95" s="4"/>
      <c r="H95" s="4"/>
      <c r="I95" s="4"/>
    </row>
    <row r="96" customFormat="false" ht="38.25" hidden="false" customHeight="true" outlineLevel="0" collapsed="false">
      <c r="B96" s="5" t="s">
        <v>27</v>
      </c>
      <c r="C96" s="5" t="s">
        <v>71</v>
      </c>
      <c r="D96" s="5" t="s">
        <v>98</v>
      </c>
      <c r="E96" s="5" t="s">
        <v>32</v>
      </c>
      <c r="F96" s="5" t="s">
        <v>99</v>
      </c>
      <c r="G96" s="5" t="s">
        <v>100</v>
      </c>
      <c r="H96" s="5" t="s">
        <v>101</v>
      </c>
      <c r="I96" s="5" t="s">
        <v>102</v>
      </c>
    </row>
    <row r="97" customFormat="false" ht="15" hidden="false" customHeight="true" outlineLevel="0" collapsed="false">
      <c r="B97" s="13" t="n">
        <v>1</v>
      </c>
      <c r="C97" s="18" t="str">
        <f aca="false">C19</f>
        <v>Tap 1</v>
      </c>
      <c r="D97" s="16" t="n">
        <f aca="false">F19</f>
        <v>200</v>
      </c>
      <c r="E97" s="42" t="n">
        <f aca="false">G19</f>
        <v>0</v>
      </c>
      <c r="F97" s="43" t="n">
        <f aca="false">IF(F19&lt;&gt;"",IFERROR((1+SQRT(((IF(ISNUMBER(D19),D19/MAX((F19/C7),0.000000001),C7)-C7)^2+(IF(ISNUMBER(E19),E19/MAX((F19/C7),0.000000001),0))^2)/((IF(ISNUMBER(D19),D19/MAX((F19/C7),0.000000001),C7)+C7)^2+(IF(ISNUMBER(E19),E19/MAX((F19/C7),0.000000001),0))^2)))/(1-SQRT(((IF(ISNUMBER(D19),D19/MAX((F19/C7),0.000000001),C7)-C7)^2+(IF(ISNUMBER(E19),E19/MAX((F19/C7),0.000000001),0))^2)/((IF(ISNUMBER(D19),D19/MAX((F19/C7),0.000000001),C7)+C7)^2+(IF(ISNUMBER(E19),E19/MAX((F19/C7),0.000000001),0))^2))),999),"")</f>
        <v>1</v>
      </c>
      <c r="G97" s="42" t="n">
        <f aca="false">IF(F19&lt;&gt;"",IFERROR(-20*LOG10(MAX(SQRT(((IF(ISNUMBER(D19),D19/MAX((F19/C7),0.000000001),C7)-C7)^2+(IF(ISNUMBER(E19),E19/MAX((F19/C7),0.000000001),0))^2)/((IF(ISNUMBER(D19),D19/MAX((F19/C7),0.000000001),C7)+C7)^2+(IF(ISNUMBER(E19),E19/MAX((F19/C7),0.000000001),0))^2)),0.000000001)),0),"")</f>
        <v>180</v>
      </c>
      <c r="H97" s="43" t="n">
        <f aca="false">IF(F19&lt;&gt;"",IFERROR(MAX(0,-10*LOG10(1-((IF(ISNUMBER(D19),D19/MAX((F19/C7),0.000000001),C7)-C7)^2+(IF(ISNUMBER(E19),E19/MAX((F19/C7),0.000000001),0))^2)/((IF(ISNUMBER(D19),D19/MAX((F19/C7),0.000000001),C7)+C7)^2+(IF(ISNUMBER(E19),E19/MAX((F19/C7),0.000000001),0))^2)))+0,0),"")</f>
        <v>0</v>
      </c>
      <c r="I97" s="43" t="n">
        <f aca="false">IF(F19&lt;&gt;"",IFERROR(((IF(ISNUMBER(D19),D19/MAX((F19/C7),0.000000001),C7)-C7)^2+(IF(ISNUMBER(E19),E19/MAX((F19/C7),0.000000001),0))^2)/((IF(ISNUMBER(D19),D19/MAX((F19/C7),0.000000001),C7)+C7)^2+(IF(ISNUMBER(E19),E19/MAX((F19/C7),0.000000001),0))^2)*100,0),"")</f>
        <v>0</v>
      </c>
    </row>
    <row r="98" customFormat="false" ht="15" hidden="false" customHeight="true" outlineLevel="0" collapsed="false">
      <c r="B98" s="20" t="n">
        <v>2</v>
      </c>
      <c r="C98" s="18" t="str">
        <f aca="false">C20</f>
        <v>Tap 2</v>
      </c>
      <c r="D98" s="16" t="n">
        <f aca="false">F20</f>
        <v>316.227766016838</v>
      </c>
      <c r="E98" s="42" t="n">
        <f aca="false">G20</f>
        <v>18.434948822922</v>
      </c>
      <c r="F98" s="43" t="n">
        <f aca="false">IF(F20&lt;&gt;"",IFERROR((1+SQRT(((IF(ISNUMBER(D20),D20/MAX((F20/C7),0.000000001),C7)-C7)^2+(IF(ISNUMBER(E20),E20/MAX((F20/C7),0.000000001),0))^2)/((IF(ISNUMBER(D20),D20/MAX((F20/C7),0.000000001),C7)+C7)^2+(IF(ISNUMBER(E20),E20/MAX((F20/C7),0.000000001),0))^2)))/(1-SQRT(((IF(ISNUMBER(D20),D20/MAX((F20/C7),0.000000001),C7)-C7)^2+(IF(ISNUMBER(E20),E20/MAX((F20/C7),0.000000001),0))^2)/((IF(ISNUMBER(D20),D20/MAX((F20/C7),0.000000001),C7)+C7)^2+(IF(ISNUMBER(E20),E20/MAX((F20/C7),0.000000001),0))^2))),999),"")</f>
        <v>1.38742588672279</v>
      </c>
      <c r="G98" s="42" t="n">
        <f aca="false">IF(F20&lt;&gt;"",IFERROR(-20*LOG10(MAX(SQRT(((IF(ISNUMBER(D20),D20/MAX((F20/C7),0.000000001),C7)-C7)^2+(IF(ISNUMBER(E20),E20/MAX((F20/C7),0.000000001),0))^2)/((IF(ISNUMBER(D20),D20/MAX((F20/C7),0.000000001),C7)+C7)^2+(IF(ISNUMBER(E20),E20/MAX((F20/C7),0.000000001),0))^2)),0.000000001)),0),"")</f>
        <v>15.7948252576199</v>
      </c>
      <c r="H98" s="43" t="n">
        <f aca="false">IF(F20&lt;&gt;"",IFERROR(MAX(0,-10*LOG10(1-((IF(ISNUMBER(D20),D20/MAX((F20/C7),0.000000001),C7)-C7)^2+(IF(ISNUMBER(E20),E20/MAX((F20/C7),0.000000001),0))^2)/((IF(ISNUMBER(D20),D20/MAX((F20/C7),0.000000001),C7)+C7)^2+(IF(ISNUMBER(E20),E20/MAX((F20/C7),0.000000001),0))^2)))+0,0),"")</f>
        <v>0.115900124973496</v>
      </c>
      <c r="I98" s="43" t="n">
        <f aca="false">IF(F20&lt;&gt;"",IFERROR(((IF(ISNUMBER(D20),D20/MAX((F20/C7),0.000000001),C7)-C7)^2+(IF(ISNUMBER(E20),E20/MAX((F20/C7),0.000000001),0))^2)/((IF(ISNUMBER(D20),D20/MAX((F20/C7),0.000000001),C7)+C7)^2+(IF(ISNUMBER(E20),E20/MAX((F20/C7),0.000000001),0))^2)*100,0),"")</f>
        <v>2.6334038989724</v>
      </c>
    </row>
    <row r="99" customFormat="false" ht="15" hidden="false" customHeight="true" outlineLevel="0" collapsed="false">
      <c r="B99" s="13" t="n">
        <v>3</v>
      </c>
      <c r="C99" s="18" t="str">
        <f aca="false">C21</f>
        <v>Tap 3</v>
      </c>
      <c r="D99" s="16" t="n">
        <f aca="false">F21</f>
        <v>457.055795281058</v>
      </c>
      <c r="E99" s="42" t="n">
        <f aca="false">G21</f>
        <v>-10.0805979875423</v>
      </c>
      <c r="F99" s="43" t="n">
        <f aca="false">IF(F21&lt;&gt;"",IFERROR((1+SQRT(((IF(ISNUMBER(D21),D21/MAX((F21/C7),0.000000001),C7)-C7)^2+(IF(ISNUMBER(E21),E21/MAX((F21/C7),0.000000001),0))^2)/((IF(ISNUMBER(D21),D21/MAX((F21/C7),0.000000001),C7)+C7)^2+(IF(ISNUMBER(E21),E21/MAX((F21/C7),0.000000001),0))^2)))/(1-SQRT(((IF(ISNUMBER(D21),D21/MAX((F21/C7),0.000000001),C7)-C7)^2+(IF(ISNUMBER(E21),E21/MAX((F21/C7),0.000000001),0))^2)/((IF(ISNUMBER(D21),D21/MAX((F21/C7),0.000000001),C7)+C7)^2+(IF(ISNUMBER(E21),E21/MAX((F21/C7),0.000000001),0))^2))),999),"")</f>
        <v>1.19345732284679</v>
      </c>
      <c r="G99" s="42" t="n">
        <f aca="false">IF(F21&lt;&gt;"",IFERROR(-20*LOG10(MAX(SQRT(((IF(ISNUMBER(D21),D21/MAX((F21/C7),0.000000001),C7)-C7)^2+(IF(ISNUMBER(E21),E21/MAX((F21/C7),0.000000001),0))^2)/((IF(ISNUMBER(D21),D21/MAX((F21/C7),0.000000001),C7)+C7)^2+(IF(ISNUMBER(E21),E21/MAX((F21/C7),0.000000001),0))^2)),0.000000001)),0),"")</f>
        <v>21.0908803086925</v>
      </c>
      <c r="H99" s="43" t="n">
        <f aca="false">IF(F21&lt;&gt;"",IFERROR(MAX(0,-10*LOG10(1-((IF(ISNUMBER(D21),D21/MAX((F21/C7),0.000000001),C7)-C7)^2+(IF(ISNUMBER(E21),E21/MAX((F21/C7),0.000000001),0))^2)/((IF(ISNUMBER(D21),D21/MAX((F21/C7),0.000000001),C7)+C7)^2+(IF(ISNUMBER(E21),E21/MAX((F21/C7),0.000000001),0))^2)))+0,0),"")</f>
        <v>0.0339149298724391</v>
      </c>
      <c r="I99" s="43" t="n">
        <f aca="false">IF(F21&lt;&gt;"",IFERROR(((IF(ISNUMBER(D21),D21/MAX((F21/C7),0.000000001),C7)-C7)^2+(IF(ISNUMBER(E21),E21/MAX((F21/C7),0.000000001),0))^2)/((IF(ISNUMBER(D21),D21/MAX((F21/C7),0.000000001),C7)+C7)^2+(IF(ISNUMBER(E21),E21/MAX((F21/C7),0.000000001),0))^2)*100,0),"")</f>
        <v>0.777878860128034</v>
      </c>
    </row>
    <row r="100" customFormat="false" ht="15" hidden="false" customHeight="true" outlineLevel="0" collapsed="false">
      <c r="B100" s="20" t="n">
        <v>4</v>
      </c>
      <c r="C100" s="18" t="str">
        <f aca="false">C22</f>
        <v>Tap 4</v>
      </c>
      <c r="D100" s="16" t="n">
        <f aca="false">F22</f>
        <v>800</v>
      </c>
      <c r="E100" s="42" t="n">
        <f aca="false">G22</f>
        <v>0</v>
      </c>
      <c r="F100" s="43" t="n">
        <f aca="false">IF(F22&lt;&gt;"",IFERROR((1+SQRT(((IF(ISNUMBER(D22),D22/MAX((F22/C7),0.000000001),C7)-C7)^2+(IF(ISNUMBER(E22),E22/MAX((F22/C7),0.000000001),0))^2)/((IF(ISNUMBER(D22),D22/MAX((F22/C7),0.000000001),C7)+C7)^2+(IF(ISNUMBER(E22),E22/MAX((F22/C7),0.000000001),0))^2)))/(1-SQRT(((IF(ISNUMBER(D22),D22/MAX((F22/C7),0.000000001),C7)-C7)^2+(IF(ISNUMBER(E22),E22/MAX((F22/C7),0.000000001),0))^2)/((IF(ISNUMBER(D22),D22/MAX((F22/C7),0.000000001),C7)+C7)^2+(IF(ISNUMBER(E22),E22/MAX((F22/C7),0.000000001),0))^2))),999),"")</f>
        <v>1</v>
      </c>
      <c r="G100" s="42" t="n">
        <f aca="false">IF(F22&lt;&gt;"",IFERROR(-20*LOG10(MAX(SQRT(((IF(ISNUMBER(D22),D22/MAX((F22/C7),0.000000001),C7)-C7)^2+(IF(ISNUMBER(E22),E22/MAX((F22/C7),0.000000001),0))^2)/((IF(ISNUMBER(D22),D22/MAX((F22/C7),0.000000001),C7)+C7)^2+(IF(ISNUMBER(E22),E22/MAX((F22/C7),0.000000001),0))^2)),0.000000001)),0),"")</f>
        <v>180</v>
      </c>
      <c r="H100" s="43" t="n">
        <f aca="false">IF(F22&lt;&gt;"",IFERROR(MAX(0,-10*LOG10(1-((IF(ISNUMBER(D22),D22/MAX((F22/C7),0.000000001),C7)-C7)^2+(IF(ISNUMBER(E22),E22/MAX((F22/C7),0.000000001),0))^2)/((IF(ISNUMBER(D22),D22/MAX((F22/C7),0.000000001),C7)+C7)^2+(IF(ISNUMBER(E22),E22/MAX((F22/C7),0.000000001),0))^2)))+0,0),"")</f>
        <v>0</v>
      </c>
      <c r="I100" s="43" t="n">
        <f aca="false">IF(F22&lt;&gt;"",IFERROR(((IF(ISNUMBER(D22),D22/MAX((F22/C7),0.000000001),C7)-C7)^2+(IF(ISNUMBER(E22),E22/MAX((F22/C7),0.000000001),0))^2)/((IF(ISNUMBER(D22),D22/MAX((F22/C7),0.000000001),C7)+C7)^2+(IF(ISNUMBER(E22),E22/MAX((F22/C7),0.000000001),0))^2)*100,0),"")</f>
        <v>0</v>
      </c>
    </row>
    <row r="101" customFormat="false" ht="15" hidden="false" customHeight="true" outlineLevel="0" collapsed="false">
      <c r="B101" s="13" t="n">
        <v>5</v>
      </c>
      <c r="C101" s="18" t="str">
        <f aca="false">C23</f>
        <v>Tap 5</v>
      </c>
      <c r="D101" s="16" t="str">
        <f aca="false">F23</f>
        <v/>
      </c>
      <c r="E101" s="42" t="str">
        <f aca="false">G23</f>
        <v/>
      </c>
      <c r="F101" s="43" t="str">
        <f aca="false">IF(F23&lt;&gt;"",IFERROR((1+SQRT(((IF(ISNUMBER(D23),D23/MAX((F23/C7),0.000000001),C7)-C7)^2+(IF(ISNUMBER(E23),E23/MAX((F23/C7),0.000000001),0))^2)/((IF(ISNUMBER(D23),D23/MAX((F23/C7),0.000000001),C7)+C7)^2+(IF(ISNUMBER(E23),E23/MAX((F23/C7),0.000000001),0))^2)))/(1-SQRT(((IF(ISNUMBER(D23),D23/MAX((F23/C7),0.000000001),C7)-C7)^2+(IF(ISNUMBER(E23),E23/MAX((F23/C7),0.000000001),0))^2)/((IF(ISNUMBER(D23),D23/MAX((F23/C7),0.000000001),C7)+C7)^2+(IF(ISNUMBER(E23),E23/MAX((F23/C7),0.000000001),0))^2))),999),"")</f>
        <v/>
      </c>
      <c r="G101" s="42" t="str">
        <f aca="false">IF(F23&lt;&gt;"",IFERROR(-20*LOG10(MAX(SQRT(((IF(ISNUMBER(D23),D23/MAX((F23/C7),0.000000001),C7)-C7)^2+(IF(ISNUMBER(E23),E23/MAX((F23/C7),0.000000001),0))^2)/((IF(ISNUMBER(D23),D23/MAX((F23/C7),0.000000001),C7)+C7)^2+(IF(ISNUMBER(E23),E23/MAX((F23/C7),0.000000001),0))^2)),0.000000001)),0),"")</f>
        <v/>
      </c>
      <c r="H101" s="43" t="str">
        <f aca="false">IF(F23&lt;&gt;"",IFERROR(MAX(0,-10*LOG10(1-((IF(ISNUMBER(D23),D23/MAX((F23/C7),0.000000001),C7)-C7)^2+(IF(ISNUMBER(E23),E23/MAX((F23/C7),0.000000001),0))^2)/((IF(ISNUMBER(D23),D23/MAX((F23/C7),0.000000001),C7)+C7)^2+(IF(ISNUMBER(E23),E23/MAX((F23/C7),0.000000001),0))^2)))+0,0),"")</f>
        <v/>
      </c>
      <c r="I101" s="43" t="str">
        <f aca="false">IF(F23&lt;&gt;"",IFERROR(((IF(ISNUMBER(D23),D23/MAX((F23/C7),0.000000001),C7)-C7)^2+(IF(ISNUMBER(E23),E23/MAX((F23/C7),0.000000001),0))^2)/((IF(ISNUMBER(D23),D23/MAX((F23/C7),0.000000001),C7)+C7)^2+(IF(ISNUMBER(E23),E23/MAX((F23/C7),0.000000001),0))^2)*100,0),"")</f>
        <v/>
      </c>
    </row>
    <row r="102" customFormat="false" ht="15" hidden="false" customHeight="true" outlineLevel="0" collapsed="false">
      <c r="B102" s="20" t="n">
        <v>6</v>
      </c>
      <c r="C102" s="18" t="str">
        <f aca="false">C24</f>
        <v>Tap 6</v>
      </c>
      <c r="D102" s="16" t="str">
        <f aca="false">F24</f>
        <v/>
      </c>
      <c r="E102" s="42" t="str">
        <f aca="false">G24</f>
        <v/>
      </c>
      <c r="F102" s="43" t="str">
        <f aca="false">IF(F24&lt;&gt;"",IFERROR((1+SQRT(((IF(ISNUMBER(D24),D24/MAX((F24/C7),0.000000001),C7)-C7)^2+(IF(ISNUMBER(E24),E24/MAX((F24/C7),0.000000001),0))^2)/((IF(ISNUMBER(D24),D24/MAX((F24/C7),0.000000001),C7)+C7)^2+(IF(ISNUMBER(E24),E24/MAX((F24/C7),0.000000001),0))^2)))/(1-SQRT(((IF(ISNUMBER(D24),D24/MAX((F24/C7),0.000000001),C7)-C7)^2+(IF(ISNUMBER(E24),E24/MAX((F24/C7),0.000000001),0))^2)/((IF(ISNUMBER(D24),D24/MAX((F24/C7),0.000000001),C7)+C7)^2+(IF(ISNUMBER(E24),E24/MAX((F24/C7),0.000000001),0))^2))),999),"")</f>
        <v/>
      </c>
      <c r="G102" s="42" t="str">
        <f aca="false">IF(F24&lt;&gt;"",IFERROR(-20*LOG10(MAX(SQRT(((IF(ISNUMBER(D24),D24/MAX((F24/C7),0.000000001),C7)-C7)^2+(IF(ISNUMBER(E24),E24/MAX((F24/C7),0.000000001),0))^2)/((IF(ISNUMBER(D24),D24/MAX((F24/C7),0.000000001),C7)+C7)^2+(IF(ISNUMBER(E24),E24/MAX((F24/C7),0.000000001),0))^2)),0.000000001)),0),"")</f>
        <v/>
      </c>
      <c r="H102" s="43" t="str">
        <f aca="false">IF(F24&lt;&gt;"",IFERROR(MAX(0,-10*LOG10(1-((IF(ISNUMBER(D24),D24/MAX((F24/C7),0.000000001),C7)-C7)^2+(IF(ISNUMBER(E24),E24/MAX((F24/C7),0.000000001),0))^2)/((IF(ISNUMBER(D24),D24/MAX((F24/C7),0.000000001),C7)+C7)^2+(IF(ISNUMBER(E24),E24/MAX((F24/C7),0.000000001),0))^2)))+0,0),"")</f>
        <v/>
      </c>
      <c r="I102" s="43" t="str">
        <f aca="false">IF(F24&lt;&gt;"",IFERROR(((IF(ISNUMBER(D24),D24/MAX((F24/C7),0.000000001),C7)-C7)^2+(IF(ISNUMBER(E24),E24/MAX((F24/C7),0.000000001),0))^2)/((IF(ISNUMBER(D24),D24/MAX((F24/C7),0.000000001),C7)+C7)^2+(IF(ISNUMBER(E24),E24/MAX((F24/C7),0.000000001),0))^2)*100,0),"")</f>
        <v/>
      </c>
    </row>
    <row r="103" customFormat="false" ht="15" hidden="false" customHeight="true" outlineLevel="0" collapsed="false">
      <c r="B103" s="13" t="n">
        <v>7</v>
      </c>
      <c r="C103" s="18" t="str">
        <f aca="false">C25</f>
        <v>Tap 7</v>
      </c>
      <c r="D103" s="16" t="str">
        <f aca="false">F25</f>
        <v/>
      </c>
      <c r="E103" s="42" t="str">
        <f aca="false">G25</f>
        <v/>
      </c>
      <c r="F103" s="43" t="str">
        <f aca="false">IF(F25&lt;&gt;"",IFERROR((1+SQRT(((IF(ISNUMBER(D25),D25/MAX((F25/C7),0.000000001),C7)-C7)^2+(IF(ISNUMBER(E25),E25/MAX((F25/C7),0.000000001),0))^2)/((IF(ISNUMBER(D25),D25/MAX((F25/C7),0.000000001),C7)+C7)^2+(IF(ISNUMBER(E25),E25/MAX((F25/C7),0.000000001),0))^2)))/(1-SQRT(((IF(ISNUMBER(D25),D25/MAX((F25/C7),0.000000001),C7)-C7)^2+(IF(ISNUMBER(E25),E25/MAX((F25/C7),0.000000001),0))^2)/((IF(ISNUMBER(D25),D25/MAX((F25/C7),0.000000001),C7)+C7)^2+(IF(ISNUMBER(E25),E25/MAX((F25/C7),0.000000001),0))^2))),999),"")</f>
        <v/>
      </c>
      <c r="G103" s="42" t="str">
        <f aca="false">IF(F25&lt;&gt;"",IFERROR(-20*LOG10(MAX(SQRT(((IF(ISNUMBER(D25),D25/MAX((F25/C7),0.000000001),C7)-C7)^2+(IF(ISNUMBER(E25),E25/MAX((F25/C7),0.000000001),0))^2)/((IF(ISNUMBER(D25),D25/MAX((F25/C7),0.000000001),C7)+C7)^2+(IF(ISNUMBER(E25),E25/MAX((F25/C7),0.000000001),0))^2)),0.000000001)),0),"")</f>
        <v/>
      </c>
      <c r="H103" s="43" t="str">
        <f aca="false">IF(F25&lt;&gt;"",IFERROR(MAX(0,-10*LOG10(1-((IF(ISNUMBER(D25),D25/MAX((F25/C7),0.000000001),C7)-C7)^2+(IF(ISNUMBER(E25),E25/MAX((F25/C7),0.000000001),0))^2)/((IF(ISNUMBER(D25),D25/MAX((F25/C7),0.000000001),C7)+C7)^2+(IF(ISNUMBER(E25),E25/MAX((F25/C7),0.000000001),0))^2)))+0,0),"")</f>
        <v/>
      </c>
      <c r="I103" s="43" t="str">
        <f aca="false">IF(F25&lt;&gt;"",IFERROR(((IF(ISNUMBER(D25),D25/MAX((F25/C7),0.000000001),C7)-C7)^2+(IF(ISNUMBER(E25),E25/MAX((F25/C7),0.000000001),0))^2)/((IF(ISNUMBER(D25),D25/MAX((F25/C7),0.000000001),C7)+C7)^2+(IF(ISNUMBER(E25),E25/MAX((F25/C7),0.000000001),0))^2)*100,0),"")</f>
        <v/>
      </c>
    </row>
    <row r="104" customFormat="false" ht="15" hidden="false" customHeight="true" outlineLevel="0" collapsed="false">
      <c r="B104" s="20" t="n">
        <v>8</v>
      </c>
      <c r="C104" s="18" t="str">
        <f aca="false">C26</f>
        <v>Tap 8</v>
      </c>
      <c r="D104" s="16" t="str">
        <f aca="false">F26</f>
        <v/>
      </c>
      <c r="E104" s="42" t="str">
        <f aca="false">G26</f>
        <v/>
      </c>
      <c r="F104" s="43" t="str">
        <f aca="false">IF(F26&lt;&gt;"",IFERROR((1+SQRT(((IF(ISNUMBER(D26),D26/MAX((F26/C7),0.000000001),C7)-C7)^2+(IF(ISNUMBER(E26),E26/MAX((F26/C7),0.000000001),0))^2)/((IF(ISNUMBER(D26),D26/MAX((F26/C7),0.000000001),C7)+C7)^2+(IF(ISNUMBER(E26),E26/MAX((F26/C7),0.000000001),0))^2)))/(1-SQRT(((IF(ISNUMBER(D26),D26/MAX((F26/C7),0.000000001),C7)-C7)^2+(IF(ISNUMBER(E26),E26/MAX((F26/C7),0.000000001),0))^2)/((IF(ISNUMBER(D26),D26/MAX((F26/C7),0.000000001),C7)+C7)^2+(IF(ISNUMBER(E26),E26/MAX((F26/C7),0.000000001),0))^2))),999),"")</f>
        <v/>
      </c>
      <c r="G104" s="42" t="str">
        <f aca="false">IF(F26&lt;&gt;"",IFERROR(-20*LOG10(MAX(SQRT(((IF(ISNUMBER(D26),D26/MAX((F26/C7),0.000000001),C7)-C7)^2+(IF(ISNUMBER(E26),E26/MAX((F26/C7),0.000000001),0))^2)/((IF(ISNUMBER(D26),D26/MAX((F26/C7),0.000000001),C7)+C7)^2+(IF(ISNUMBER(E26),E26/MAX((F26/C7),0.000000001),0))^2)),0.000000001)),0),"")</f>
        <v/>
      </c>
      <c r="H104" s="43" t="str">
        <f aca="false">IF(F26&lt;&gt;"",IFERROR(MAX(0,-10*LOG10(1-((IF(ISNUMBER(D26),D26/MAX((F26/C7),0.000000001),C7)-C7)^2+(IF(ISNUMBER(E26),E26/MAX((F26/C7),0.000000001),0))^2)/((IF(ISNUMBER(D26),D26/MAX((F26/C7),0.000000001),C7)+C7)^2+(IF(ISNUMBER(E26),E26/MAX((F26/C7),0.000000001),0))^2)))+0,0),"")</f>
        <v/>
      </c>
      <c r="I104" s="43" t="str">
        <f aca="false">IF(F26&lt;&gt;"",IFERROR(((IF(ISNUMBER(D26),D26/MAX((F26/C7),0.000000001),C7)-C7)^2+(IF(ISNUMBER(E26),E26/MAX((F26/C7),0.000000001),0))^2)/((IF(ISNUMBER(D26),D26/MAX((F26/C7),0.000000001),C7)+C7)^2+(IF(ISNUMBER(E26),E26/MAX((F26/C7),0.000000001),0))^2)*100,0),"")</f>
        <v/>
      </c>
    </row>
    <row r="105" customFormat="false" ht="15" hidden="false" customHeight="true" outlineLevel="0" collapsed="false">
      <c r="B105" s="13" t="n">
        <v>9</v>
      </c>
      <c r="C105" s="18" t="str">
        <f aca="false">C27</f>
        <v>Tap 9</v>
      </c>
      <c r="D105" s="16" t="str">
        <f aca="false">F27</f>
        <v/>
      </c>
      <c r="E105" s="42" t="str">
        <f aca="false">G27</f>
        <v/>
      </c>
      <c r="F105" s="43" t="str">
        <f aca="false">IF(F27&lt;&gt;"",IFERROR((1+SQRT(((IF(ISNUMBER(D27),D27/MAX((F27/C7),0.000000001),C7)-C7)^2+(IF(ISNUMBER(E27),E27/MAX((F27/C7),0.000000001),0))^2)/((IF(ISNUMBER(D27),D27/MAX((F27/C7),0.000000001),C7)+C7)^2+(IF(ISNUMBER(E27),E27/MAX((F27/C7),0.000000001),0))^2)))/(1-SQRT(((IF(ISNUMBER(D27),D27/MAX((F27/C7),0.000000001),C7)-C7)^2+(IF(ISNUMBER(E27),E27/MAX((F27/C7),0.000000001),0))^2)/((IF(ISNUMBER(D27),D27/MAX((F27/C7),0.000000001),C7)+C7)^2+(IF(ISNUMBER(E27),E27/MAX((F27/C7),0.000000001),0))^2))),999),"")</f>
        <v/>
      </c>
      <c r="G105" s="42" t="str">
        <f aca="false">IF(F27&lt;&gt;"",IFERROR(-20*LOG10(MAX(SQRT(((IF(ISNUMBER(D27),D27/MAX((F27/C7),0.000000001),C7)-C7)^2+(IF(ISNUMBER(E27),E27/MAX((F27/C7),0.000000001),0))^2)/((IF(ISNUMBER(D27),D27/MAX((F27/C7),0.000000001),C7)+C7)^2+(IF(ISNUMBER(E27),E27/MAX((F27/C7),0.000000001),0))^2)),0.000000001)),0),"")</f>
        <v/>
      </c>
      <c r="H105" s="43" t="str">
        <f aca="false">IF(F27&lt;&gt;"",IFERROR(MAX(0,-10*LOG10(1-((IF(ISNUMBER(D27),D27/MAX((F27/C7),0.000000001),C7)-C7)^2+(IF(ISNUMBER(E27),E27/MAX((F27/C7),0.000000001),0))^2)/((IF(ISNUMBER(D27),D27/MAX((F27/C7),0.000000001),C7)+C7)^2+(IF(ISNUMBER(E27),E27/MAX((F27/C7),0.000000001),0))^2)))+0,0),"")</f>
        <v/>
      </c>
      <c r="I105" s="43" t="str">
        <f aca="false">IF(F27&lt;&gt;"",IFERROR(((IF(ISNUMBER(D27),D27/MAX((F27/C7),0.000000001),C7)-C7)^2+(IF(ISNUMBER(E27),E27/MAX((F27/C7),0.000000001),0))^2)/((IF(ISNUMBER(D27),D27/MAX((F27/C7),0.000000001),C7)+C7)^2+(IF(ISNUMBER(E27),E27/MAX((F27/C7),0.000000001),0))^2)*100,0),"")</f>
        <v/>
      </c>
    </row>
    <row r="106" customFormat="false" ht="15" hidden="false" customHeight="true" outlineLevel="0" collapsed="false">
      <c r="B106" s="20" t="n">
        <v>10</v>
      </c>
      <c r="C106" s="18" t="str">
        <f aca="false">C28</f>
        <v>Tap 10</v>
      </c>
      <c r="D106" s="16" t="str">
        <f aca="false">F28</f>
        <v/>
      </c>
      <c r="E106" s="42" t="str">
        <f aca="false">G28</f>
        <v/>
      </c>
      <c r="F106" s="43" t="str">
        <f aca="false">IF(F28&lt;&gt;"",IFERROR((1+SQRT(((IF(ISNUMBER(D28),D28/MAX((F28/C7),0.000000001),C7)-C7)^2+(IF(ISNUMBER(E28),E28/MAX((F28/C7),0.000000001),0))^2)/((IF(ISNUMBER(D28),D28/MAX((F28/C7),0.000000001),C7)+C7)^2+(IF(ISNUMBER(E28),E28/MAX((F28/C7),0.000000001),0))^2)))/(1-SQRT(((IF(ISNUMBER(D28),D28/MAX((F28/C7),0.000000001),C7)-C7)^2+(IF(ISNUMBER(E28),E28/MAX((F28/C7),0.000000001),0))^2)/((IF(ISNUMBER(D28),D28/MAX((F28/C7),0.000000001),C7)+C7)^2+(IF(ISNUMBER(E28),E28/MAX((F28/C7),0.000000001),0))^2))),999),"")</f>
        <v/>
      </c>
      <c r="G106" s="42" t="str">
        <f aca="false">IF(F28&lt;&gt;"",IFERROR(-20*LOG10(MAX(SQRT(((IF(ISNUMBER(D28),D28/MAX((F28/C7),0.000000001),C7)-C7)^2+(IF(ISNUMBER(E28),E28/MAX((F28/C7),0.000000001),0))^2)/((IF(ISNUMBER(D28),D28/MAX((F28/C7),0.000000001),C7)+C7)^2+(IF(ISNUMBER(E28),E28/MAX((F28/C7),0.000000001),0))^2)),0.000000001)),0),"")</f>
        <v/>
      </c>
      <c r="H106" s="43" t="str">
        <f aca="false">IF(F28&lt;&gt;"",IFERROR(MAX(0,-10*LOG10(1-((IF(ISNUMBER(D28),D28/MAX((F28/C7),0.000000001),C7)-C7)^2+(IF(ISNUMBER(E28),E28/MAX((F28/C7),0.000000001),0))^2)/((IF(ISNUMBER(D28),D28/MAX((F28/C7),0.000000001),C7)+C7)^2+(IF(ISNUMBER(E28),E28/MAX((F28/C7),0.000000001),0))^2)))+0,0),"")</f>
        <v/>
      </c>
      <c r="I106" s="43" t="str">
        <f aca="false">IF(F28&lt;&gt;"",IFERROR(((IF(ISNUMBER(D28),D28/MAX((F28/C7),0.000000001),C7)-C7)^2+(IF(ISNUMBER(E28),E28/MAX((F28/C7),0.000000001),0))^2)/((IF(ISNUMBER(D28),D28/MAX((F28/C7),0.000000001),C7)+C7)^2+(IF(ISNUMBER(E28),E28/MAX((F28/C7),0.000000001),0))^2)*100,0),"")</f>
        <v/>
      </c>
    </row>
    <row r="107" customFormat="false" ht="15" hidden="false" customHeight="true" outlineLevel="0" collapsed="false">
      <c r="B107" s="13" t="n">
        <v>11</v>
      </c>
      <c r="C107" s="18" t="str">
        <f aca="false">C29</f>
        <v>Tap 11</v>
      </c>
      <c r="D107" s="16" t="str">
        <f aca="false">F29</f>
        <v/>
      </c>
      <c r="E107" s="42" t="str">
        <f aca="false">G29</f>
        <v/>
      </c>
      <c r="F107" s="43" t="str">
        <f aca="false">IF(F29&lt;&gt;"",IFERROR((1+SQRT(((IF(ISNUMBER(D29),D29/MAX((F29/C7),0.000000001),C7)-C7)^2+(IF(ISNUMBER(E29),E29/MAX((F29/C7),0.000000001),0))^2)/((IF(ISNUMBER(D29),D29/MAX((F29/C7),0.000000001),C7)+C7)^2+(IF(ISNUMBER(E29),E29/MAX((F29/C7),0.000000001),0))^2)))/(1-SQRT(((IF(ISNUMBER(D29),D29/MAX((F29/C7),0.000000001),C7)-C7)^2+(IF(ISNUMBER(E29),E29/MAX((F29/C7),0.000000001),0))^2)/((IF(ISNUMBER(D29),D29/MAX((F29/C7),0.000000001),C7)+C7)^2+(IF(ISNUMBER(E29),E29/MAX((F29/C7),0.000000001),0))^2))),999),"")</f>
        <v/>
      </c>
      <c r="G107" s="42" t="str">
        <f aca="false">IF(F29&lt;&gt;"",IFERROR(-20*LOG10(MAX(SQRT(((IF(ISNUMBER(D29),D29/MAX((F29/C7),0.000000001),C7)-C7)^2+(IF(ISNUMBER(E29),E29/MAX((F29/C7),0.000000001),0))^2)/((IF(ISNUMBER(D29),D29/MAX((F29/C7),0.000000001),C7)+C7)^2+(IF(ISNUMBER(E29),E29/MAX((F29/C7),0.000000001),0))^2)),0.000000001)),0),"")</f>
        <v/>
      </c>
      <c r="H107" s="43" t="str">
        <f aca="false">IF(F29&lt;&gt;"",IFERROR(MAX(0,-10*LOG10(1-((IF(ISNUMBER(D29),D29/MAX((F29/C7),0.000000001),C7)-C7)^2+(IF(ISNUMBER(E29),E29/MAX((F29/C7),0.000000001),0))^2)/((IF(ISNUMBER(D29),D29/MAX((F29/C7),0.000000001),C7)+C7)^2+(IF(ISNUMBER(E29),E29/MAX((F29/C7),0.000000001),0))^2)))+0,0),"")</f>
        <v/>
      </c>
      <c r="I107" s="43" t="str">
        <f aca="false">IF(F29&lt;&gt;"",IFERROR(((IF(ISNUMBER(D29),D29/MAX((F29/C7),0.000000001),C7)-C7)^2+(IF(ISNUMBER(E29),E29/MAX((F29/C7),0.000000001),0))^2)/((IF(ISNUMBER(D29),D29/MAX((F29/C7),0.000000001),C7)+C7)^2+(IF(ISNUMBER(E29),E29/MAX((F29/C7),0.000000001),0))^2)*100,0),"")</f>
        <v/>
      </c>
    </row>
    <row r="109" customFormat="false" ht="15" hidden="false" customHeight="true" outlineLevel="0" collapsed="false">
      <c r="B109" s="21" t="s">
        <v>103</v>
      </c>
      <c r="C109" s="21"/>
      <c r="D109" s="21"/>
      <c r="E109" s="21"/>
      <c r="F109" s="21"/>
      <c r="G109" s="21"/>
      <c r="H109" s="21"/>
      <c r="I109" s="21"/>
    </row>
    <row r="110" customFormat="false" ht="15" hidden="false" customHeight="true" outlineLevel="0" collapsed="false">
      <c r="B110" s="44" t="s">
        <v>104</v>
      </c>
      <c r="C110" s="44"/>
      <c r="D110" s="44"/>
      <c r="E110" s="44"/>
      <c r="F110" s="44"/>
      <c r="G110" s="44"/>
      <c r="H110" s="44"/>
      <c r="I110" s="44"/>
    </row>
    <row r="111" customFormat="false" ht="15" hidden="false" customHeight="true" outlineLevel="0" collapsed="false">
      <c r="B111" s="44" t="s">
        <v>105</v>
      </c>
      <c r="C111" s="44"/>
      <c r="D111" s="44"/>
      <c r="E111" s="44"/>
      <c r="F111" s="44"/>
      <c r="G111" s="44"/>
      <c r="H111" s="44"/>
      <c r="I111" s="44"/>
    </row>
    <row r="112" customFormat="false" ht="15" hidden="false" customHeight="true" outlineLevel="0" collapsed="false">
      <c r="B112" s="44" t="s">
        <v>106</v>
      </c>
      <c r="C112" s="44"/>
      <c r="D112" s="44"/>
      <c r="E112" s="44"/>
      <c r="F112" s="44"/>
      <c r="G112" s="44"/>
      <c r="H112" s="44"/>
      <c r="I112" s="44"/>
    </row>
    <row r="113" customFormat="false" ht="15" hidden="false" customHeight="true" outlineLevel="0" collapsed="false">
      <c r="B113" s="44" t="s">
        <v>107</v>
      </c>
      <c r="C113" s="44"/>
      <c r="D113" s="44"/>
      <c r="E113" s="44"/>
      <c r="F113" s="44"/>
      <c r="G113" s="44"/>
      <c r="H113" s="44"/>
      <c r="I113" s="44"/>
    </row>
    <row r="114" customFormat="false" ht="15" hidden="false" customHeight="true" outlineLevel="0" collapsed="false">
      <c r="B114" s="44" t="s">
        <v>108</v>
      </c>
      <c r="C114" s="44"/>
      <c r="D114" s="44"/>
      <c r="E114" s="44"/>
      <c r="F114" s="44"/>
      <c r="G114" s="44"/>
      <c r="H114" s="44"/>
      <c r="I114" s="44"/>
    </row>
    <row r="115" customFormat="false" ht="15" hidden="false" customHeight="true" outlineLevel="0" collapsed="false">
      <c r="B115" s="44" t="s">
        <v>109</v>
      </c>
      <c r="C115" s="44"/>
      <c r="D115" s="44"/>
      <c r="E115" s="44"/>
      <c r="F115" s="44"/>
      <c r="G115" s="44"/>
      <c r="H115" s="44"/>
      <c r="I115" s="44"/>
    </row>
    <row r="116" customFormat="false" ht="15" hidden="false" customHeight="true" outlineLevel="0" collapsed="false">
      <c r="B116" s="44" t="s">
        <v>110</v>
      </c>
      <c r="C116" s="44"/>
      <c r="D116" s="44"/>
      <c r="E116" s="44"/>
      <c r="F116" s="44"/>
      <c r="G116" s="44"/>
      <c r="H116" s="44"/>
      <c r="I116" s="44"/>
    </row>
    <row r="118" customFormat="false" ht="15" hidden="false" customHeight="true" outlineLevel="0" collapsed="false">
      <c r="B118" s="2" t="s">
        <v>111</v>
      </c>
      <c r="C118" s="2"/>
      <c r="D118" s="2"/>
      <c r="E118" s="2"/>
      <c r="F118" s="2"/>
      <c r="G118" s="2"/>
    </row>
    <row r="119" customFormat="false" ht="15" hidden="false" customHeight="true" outlineLevel="0" collapsed="false">
      <c r="B119" s="3" t="s">
        <v>112</v>
      </c>
      <c r="C119" s="3"/>
      <c r="D119" s="3"/>
      <c r="E119" s="3"/>
      <c r="F119" s="3"/>
      <c r="G119" s="3"/>
    </row>
    <row r="121" customFormat="false" ht="15" hidden="false" customHeight="true" outlineLevel="0" collapsed="false">
      <c r="B121" s="4" t="s">
        <v>113</v>
      </c>
      <c r="C121" s="4"/>
      <c r="D121" s="4"/>
      <c r="E121" s="4"/>
      <c r="F121" s="4"/>
      <c r="G121" s="4"/>
    </row>
    <row r="122" customFormat="false" ht="15" hidden="false" customHeight="true" outlineLevel="0" collapsed="false">
      <c r="B122" s="5" t="s">
        <v>3</v>
      </c>
      <c r="C122" s="5" t="s">
        <v>4</v>
      </c>
      <c r="D122" s="5" t="s">
        <v>5</v>
      </c>
      <c r="E122" s="5" t="s">
        <v>114</v>
      </c>
      <c r="F122" s="5"/>
      <c r="G122" s="5"/>
    </row>
    <row r="123" customFormat="false" ht="15" hidden="false" customHeight="true" outlineLevel="0" collapsed="false">
      <c r="B123" s="6" t="s">
        <v>115</v>
      </c>
      <c r="C123" s="45" t="n">
        <f aca="false">C10</f>
        <v>16</v>
      </c>
      <c r="D123" s="8" t="s">
        <v>14</v>
      </c>
      <c r="E123" s="9" t="s">
        <v>116</v>
      </c>
      <c r="F123" s="9"/>
      <c r="G123" s="9"/>
    </row>
    <row r="124" customFormat="false" ht="15" hidden="false" customHeight="true" outlineLevel="0" collapsed="false">
      <c r="B124" s="6" t="s">
        <v>117</v>
      </c>
      <c r="C124" s="45" t="n">
        <f aca="false">C9</f>
        <v>0.45</v>
      </c>
      <c r="D124" s="8" t="s">
        <v>14</v>
      </c>
      <c r="E124" s="9" t="s">
        <v>118</v>
      </c>
      <c r="F124" s="9"/>
      <c r="G124" s="9"/>
    </row>
    <row r="125" customFormat="false" ht="15" hidden="false" customHeight="true" outlineLevel="0" collapsed="false">
      <c r="B125" s="6" t="s">
        <v>119</v>
      </c>
      <c r="C125" s="45" t="n">
        <f aca="false">MAX(C9*1.1,C9+0.05)</f>
        <v>0.5</v>
      </c>
      <c r="D125" s="8" t="s">
        <v>14</v>
      </c>
      <c r="E125" s="9" t="s">
        <v>120</v>
      </c>
      <c r="F125" s="9"/>
      <c r="G125" s="9"/>
    </row>
    <row r="126" customFormat="false" ht="15" hidden="false" customHeight="true" outlineLevel="0" collapsed="false">
      <c r="B126" s="6" t="s">
        <v>121</v>
      </c>
      <c r="C126" s="18" t="n">
        <f aca="false">IFERROR(IF(E90&lt;&gt;"",VALUE(E90),10),10)</f>
        <v>80</v>
      </c>
      <c r="D126" s="8" t="s">
        <v>64</v>
      </c>
      <c r="E126" s="9" t="s">
        <v>122</v>
      </c>
      <c r="F126" s="9"/>
      <c r="G126" s="9"/>
    </row>
    <row r="128" customFormat="false" ht="15" hidden="false" customHeight="true" outlineLevel="0" collapsed="false">
      <c r="B128" s="4" t="s">
        <v>123</v>
      </c>
      <c r="C128" s="4"/>
      <c r="D128" s="4"/>
      <c r="E128" s="4"/>
      <c r="F128" s="4"/>
      <c r="G128" s="4"/>
    </row>
    <row r="129" customFormat="false" ht="15" hidden="false" customHeight="true" outlineLevel="0" collapsed="false">
      <c r="B129" s="5" t="s">
        <v>3</v>
      </c>
      <c r="C129" s="5" t="s">
        <v>4</v>
      </c>
      <c r="D129" s="5" t="s">
        <v>5</v>
      </c>
      <c r="E129" s="5" t="s">
        <v>124</v>
      </c>
      <c r="F129" s="5"/>
      <c r="G129" s="5"/>
    </row>
    <row r="130" customFormat="false" ht="15" hidden="false" customHeight="true" outlineLevel="0" collapsed="false">
      <c r="B130" s="6" t="s">
        <v>125</v>
      </c>
      <c r="C130" s="46" t="n">
        <f aca="false">IFERROR(C126*C125,"")</f>
        <v>40</v>
      </c>
      <c r="D130" s="8" t="s">
        <v>14</v>
      </c>
      <c r="E130" s="9" t="s">
        <v>126</v>
      </c>
      <c r="F130" s="9"/>
      <c r="G130" s="9"/>
    </row>
    <row r="131" customFormat="false" ht="25.5" hidden="false" customHeight="true" outlineLevel="0" collapsed="false">
      <c r="B131" s="6" t="s">
        <v>127</v>
      </c>
      <c r="C131" s="46" t="n">
        <f aca="false">(C123+C124)/2</f>
        <v>8.225</v>
      </c>
      <c r="D131" s="8" t="s">
        <v>14</v>
      </c>
      <c r="E131" s="9" t="s">
        <v>128</v>
      </c>
      <c r="F131" s="9"/>
      <c r="G131" s="9"/>
    </row>
    <row r="132" customFormat="false" ht="15" hidden="false" customHeight="true" outlineLevel="0" collapsed="false">
      <c r="B132" s="6" t="s">
        <v>129</v>
      </c>
      <c r="C132" s="46" t="n">
        <f aca="false">((C123+C124)/2)/25.4</f>
        <v>0.323818897637795</v>
      </c>
      <c r="D132" s="8" t="s">
        <v>130</v>
      </c>
      <c r="E132" s="9" t="s">
        <v>131</v>
      </c>
      <c r="F132" s="9"/>
      <c r="G132" s="9"/>
    </row>
    <row r="133" customFormat="false" ht="15" hidden="false" customHeight="true" outlineLevel="0" collapsed="false">
      <c r="B133" s="6" t="s">
        <v>132</v>
      </c>
      <c r="C133" s="46" t="n">
        <f aca="false">IFERROR(C126*C125/25.4,"")</f>
        <v>1.5748031496063</v>
      </c>
      <c r="D133" s="8" t="s">
        <v>130</v>
      </c>
      <c r="E133" s="9" t="s">
        <v>131</v>
      </c>
      <c r="F133" s="9"/>
      <c r="G133" s="9"/>
    </row>
    <row r="134" customFormat="false" ht="15" hidden="false" customHeight="true" outlineLevel="0" collapsed="false">
      <c r="B134" s="6" t="s">
        <v>133</v>
      </c>
      <c r="C134" s="46" t="n">
        <f aca="false">IFERROR((C132^2*C126^2)/(9*C132+10*C133),"")</f>
        <v>35.9597632438237</v>
      </c>
      <c r="D134" s="8" t="s">
        <v>68</v>
      </c>
      <c r="E134" s="9" t="s">
        <v>134</v>
      </c>
      <c r="F134" s="9"/>
      <c r="G134" s="9"/>
    </row>
    <row r="135" customFormat="false" ht="15" hidden="false" customHeight="true" outlineLevel="0" collapsed="false">
      <c r="B135" s="6" t="s">
        <v>135</v>
      </c>
      <c r="C135" s="46" t="n">
        <f aca="false">IFERROR(2*PI()*C8*1000000*C134/1000000,"")</f>
        <v>1626.7813636554</v>
      </c>
      <c r="D135" s="8" t="s">
        <v>8</v>
      </c>
      <c r="E135" s="9" t="s">
        <v>136</v>
      </c>
      <c r="F135" s="9"/>
      <c r="G135" s="9"/>
    </row>
    <row r="136" customFormat="false" ht="15" hidden="false" customHeight="true" outlineLevel="0" collapsed="false">
      <c r="B136" s="6" t="s">
        <v>137</v>
      </c>
      <c r="C136" s="46" t="n">
        <f aca="false">IFERROR(4*MIN(F19:F29)/(2*PI()*C8*1000000)*1000000,"")</f>
        <v>17.6838825657662</v>
      </c>
      <c r="D136" s="8" t="s">
        <v>68</v>
      </c>
      <c r="E136" s="9" t="s">
        <v>138</v>
      </c>
      <c r="F136" s="9"/>
      <c r="G136" s="9"/>
    </row>
    <row r="137" customFormat="false" ht="15" hidden="false" customHeight="true" outlineLevel="0" collapsed="false">
      <c r="B137" s="6" t="s">
        <v>139</v>
      </c>
      <c r="C137" s="46" t="str">
        <f aca="false">IFERROR(IF(AND(ISNUMBER(C134),ISNUMBER(C136)),IF(C134&gt;=C136,"✔ YES","✘ INCREASE TURNS"),"—"),"")</f>
        <v>✔ YES</v>
      </c>
      <c r="D137" s="8" t="s">
        <v>55</v>
      </c>
      <c r="E137" s="9" t="s">
        <v>140</v>
      </c>
      <c r="F137" s="9"/>
      <c r="G137" s="9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3">
    <mergeCell ref="B2:I2"/>
    <mergeCell ref="B3:I3"/>
    <mergeCell ref="B5:I5"/>
    <mergeCell ref="E6:I6"/>
    <mergeCell ref="E7:H7"/>
    <mergeCell ref="E8:H8"/>
    <mergeCell ref="E9:H9"/>
    <mergeCell ref="E10:H10"/>
    <mergeCell ref="E11:H11"/>
    <mergeCell ref="B13:J13"/>
    <mergeCell ref="D14:F14"/>
    <mergeCell ref="D15:F15"/>
    <mergeCell ref="B17:I17"/>
    <mergeCell ref="B31:I31"/>
    <mergeCell ref="C32:H32"/>
    <mergeCell ref="C33:H33"/>
    <mergeCell ref="C34:H34"/>
    <mergeCell ref="C35:H35"/>
    <mergeCell ref="C36:H36"/>
    <mergeCell ref="B38:J38"/>
    <mergeCell ref="B39:J39"/>
    <mergeCell ref="B41:D41"/>
    <mergeCell ref="B51:J51"/>
    <mergeCell ref="B65:J65"/>
    <mergeCell ref="B66:J66"/>
    <mergeCell ref="B68:J68"/>
    <mergeCell ref="B69:I69"/>
    <mergeCell ref="B70:I70"/>
    <mergeCell ref="B71:I71"/>
    <mergeCell ref="B72:I72"/>
    <mergeCell ref="B73:I73"/>
    <mergeCell ref="B74:I74"/>
    <mergeCell ref="B76:J76"/>
    <mergeCell ref="B90:D90"/>
    <mergeCell ref="B92:I92"/>
    <mergeCell ref="B93:I93"/>
    <mergeCell ref="B95:I95"/>
    <mergeCell ref="B109:I109"/>
    <mergeCell ref="B110:I110"/>
    <mergeCell ref="B111:I111"/>
    <mergeCell ref="B112:I112"/>
    <mergeCell ref="B113:I113"/>
    <mergeCell ref="B114:I114"/>
    <mergeCell ref="B115:I115"/>
    <mergeCell ref="B116:I116"/>
    <mergeCell ref="B118:G118"/>
    <mergeCell ref="B119:G119"/>
    <mergeCell ref="B121:G121"/>
    <mergeCell ref="E122:G122"/>
    <mergeCell ref="E123:G123"/>
    <mergeCell ref="E124:G124"/>
    <mergeCell ref="E125:G125"/>
    <mergeCell ref="E126:G126"/>
    <mergeCell ref="B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2026-05-30T00:15:53Z</dcterms:created>
  <dc:creator>openpyxl</dc:creator>
  <dc:description/>
  <dc:language>es-AR</dc:language>
  <cp:lastModifiedBy/>
  <dcterms:modified xsi:type="dcterms:W3CDTF">2026-05-30T00:35:03Z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