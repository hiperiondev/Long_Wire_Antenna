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nUn Calculat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<sst xmlns="http://schemas.openxmlformats.org/spreadsheetml/2006/main" count="163" uniqueCount="134">
  <si>
    <t xml:space="preserve">✦  AIR-CORE AUTOTRANSFORMER UnUn CALCULATOR  ✦</t>
  </si>
  <si>
    <t xml:space="preserve">Complex Impedance to 50Ω Transformation  |  Up to 11 Tap Points</t>
  </si>
  <si>
    <t xml:space="preserve">GLOBAL SETTINGS</t>
  </si>
  <si>
    <t xml:space="preserve">Parameter</t>
  </si>
  <si>
    <t xml:space="preserve">Value</t>
  </si>
  <si>
    <t xml:space="preserve">Unit</t>
  </si>
  <si>
    <t xml:space="preserve">Notes</t>
  </si>
  <si>
    <t xml:space="preserve">Target Output Impedance (Ω)</t>
  </si>
  <si>
    <t xml:space="preserve">Ω</t>
  </si>
  <si>
    <t xml:space="preserve">Fixed 50Ω output (e.g. coax / transmatch)</t>
  </si>
  <si>
    <t xml:space="preserve">Wire Diameter (mm)</t>
  </si>
  <si>
    <t xml:space="preserve">mm</t>
  </si>
  <si>
    <t xml:space="preserve">Winding wire diameter incl. insulation</t>
  </si>
  <si>
    <t xml:space="preserve">Core Diameter (mm)</t>
  </si>
  <si>
    <t xml:space="preserve">Outer diameter of winding form (coil former)</t>
  </si>
  <si>
    <t xml:space="preserve">Number of Active Taps</t>
  </si>
  <si>
    <t xml:space="preserve">#</t>
  </si>
  <si>
    <t xml:space="preserve">Enter 1–11  (rows below auto-activate)</t>
  </si>
  <si>
    <t xml:space="preserve">T_ref  (turns at 50Ω tap)</t>
  </si>
  <si>
    <t xml:space="preserve">Suggested T_ref (min 5 turns at lowest-Z tap)</t>
  </si>
  <si>
    <t xml:space="preserve">Space between coil turns</t>
  </si>
  <si>
    <t xml:space="preserve">TAP INPUT IMPEDANCES  (enter R + jX per tap, or leave blank for inactive taps)</t>
  </si>
  <si>
    <t xml:space="preserve">Tap #</t>
  </si>
  <si>
    <t xml:space="preserve">Frequency</t>
  </si>
  <si>
    <t xml:space="preserve">R  (Ω)
Resistance</t>
  </si>
  <si>
    <t xml:space="preserve">X  (Ω)
Reactance (+L / −C)</t>
  </si>
  <si>
    <t xml:space="preserve">Active</t>
  </si>
  <si>
    <t xml:space="preserve">✦  AIR-CORE UnUn DESIGN  —  SUMMARY DASHBOARD  ✦</t>
  </si>
  <si>
    <t xml:space="preserve">All key results in one place. Go to individual sheets to adjust inputs.</t>
  </si>
  <si>
    <t xml:space="preserve">KEY PARAMETERS</t>
  </si>
  <si>
    <t xml:space="preserve">Target Z_out</t>
  </si>
  <si>
    <t xml:space="preserve">Wire Dia.</t>
  </si>
  <si>
    <t xml:space="preserve">T_ref turns</t>
  </si>
  <si>
    <t xml:space="preserve">turns</t>
  </si>
  <si>
    <t xml:space="preserve">Active taps</t>
  </si>
  <si>
    <t xml:space="preserve">Total wire</t>
  </si>
  <si>
    <t xml:space="preserve">Inductance L</t>
  </si>
  <si>
    <t xml:space="preserve">µH</t>
  </si>
  <si>
    <t xml:space="preserve">L sufficient?</t>
  </si>
  <si>
    <t xml:space="preserve">TAP SUMMARY — ALL ACTIVE TAPS</t>
  </si>
  <si>
    <t xml:space="preserve">Frequency (MHz)</t>
  </si>
  <si>
    <t xml:space="preserve">Z_in (Ω)</t>
  </si>
  <si>
    <t xml:space="preserve">Phase (°)</t>
  </si>
  <si>
    <t xml:space="preserve">Turns Ratio</t>
  </si>
  <si>
    <t xml:space="preserve">Cum. Turns</t>
  </si>
  <si>
    <t xml:space="preserve">SWR</t>
  </si>
  <si>
    <t xml:space="preserve">Return Loss (dB)</t>
  </si>
  <si>
    <t xml:space="preserve">Refl. Power (%)</t>
  </si>
  <si>
    <t xml:space="preserve">✦  AIR-CORE AUTOTRANSFORMER  —  WINDING DESIGN  ✦</t>
  </si>
  <si>
    <t xml:space="preserve">Tap turn counts, cumulative turns, wire lengths, and DC resistance per section</t>
  </si>
  <si>
    <t xml:space="preserve">PER-TAP WINDING CALCULATIONS</t>
  </si>
  <si>
    <t xml:space="preserve">Turns Ratio
n = √(|Z|/Z₀)</t>
  </si>
  <si>
    <t xml:space="preserve">Turns at Tap
(cumulative from low-Z end)</t>
  </si>
  <si>
    <t xml:space="preserve">Δ Turns
(this section)</t>
  </si>
  <si>
    <t xml:space="preserve">Section Wire
Length (mm)</t>
  </si>
  <si>
    <t xml:space="preserve">Section DC
Resistance (mΩ)</t>
  </si>
  <si>
    <t xml:space="preserve">Cumulative
Wire (mm)</t>
  </si>
  <si>
    <t xml:space="preserve">TOTALS (active taps only)</t>
  </si>
  <si>
    <t xml:space="preserve">✦  AIR-CORE UnUn  —  RF PERFORMANCE  ✦</t>
  </si>
  <si>
    <t xml:space="preserve">SWR, Return Loss, Mismatch Loss, and Reflected Power per tap</t>
  </si>
  <si>
    <t xml:space="preserve">PER-TAP RF PERFORMANCE  (referenced to 50Ω system)</t>
  </si>
  <si>
    <t xml:space="preserve">|Z| (Ω)
Magnitude</t>
  </si>
  <si>
    <t xml:space="preserve">SWR
(real Z approx)</t>
  </si>
  <si>
    <t xml:space="preserve">Return Loss
(dB)</t>
  </si>
  <si>
    <t xml:space="preserve">Mismatch
Loss (dB)</t>
  </si>
  <si>
    <t xml:space="preserve">Reflected
Power (%)</t>
  </si>
  <si>
    <t xml:space="preserve">INTERPRETATION GUIDE</t>
  </si>
  <si>
    <t xml:space="preserve">SWR ≤ 1.5 (green)  →  Excellent match. Less than 4% reflected power.</t>
  </si>
  <si>
    <t xml:space="preserve">SWR 1.5–3.0 (white) →  Acceptable for many ham-radio / RF applications.</t>
  </si>
  <si>
    <t xml:space="preserve">SWR &gt; 3.0 (red)     →  Poor match; consider adjusting tap or compensating network.</t>
  </si>
  <si>
    <t xml:space="preserve">Return Loss &gt; 14 dB →  Better than SWR 1.5:1 — acceptable in most systems.</t>
  </si>
  <si>
    <t xml:space="preserve">Mismatch Loss        →  Power lost in mismatch (dB). 0.5 dB ≈ 11% power loss.</t>
  </si>
  <si>
    <t xml:space="preserve">Phase ≠ 0°           →  Reactance present; ideal UnUn cannot fully transform — add series/shunt L or C.</t>
  </si>
  <si>
    <t xml:space="preserve">NOTE: Calculations assume an ideal (lossless) transformer. Add copper + core losses separately.</t>
  </si>
  <si>
    <t xml:space="preserve">✦  AIR-CORE COIL GEOMETRY &amp; INDUCTANCE  ✦</t>
  </si>
  <si>
    <t xml:space="preserve">Wheeler formula for single-layer air-core solenoid</t>
  </si>
  <si>
    <t xml:space="preserve">COIL GEOMETRY INPUTS</t>
  </si>
  <si>
    <t xml:space="preserve">Formula / Notes</t>
  </si>
  <si>
    <t xml:space="preserve">Coil Former Diameter (mm)</t>
  </si>
  <si>
    <t xml:space="preserve">Linked from Inputs → Core Diameter</t>
  </si>
  <si>
    <t xml:space="preserve">Wire Diameter incl. insulation (mm)</t>
  </si>
  <si>
    <t xml:space="preserve">Linked from Inputs → Wire Diameter</t>
  </si>
  <si>
    <t xml:space="preserve">Winding pitch (mm/turn)</t>
  </si>
  <si>
    <t xml:space="preserve">Wire dia + space between turns (C12); pitch = $C$8 + $C$12</t>
  </si>
  <si>
    <t xml:space="preserve">Total turns N (from Winding Design)</t>
  </si>
  <si>
    <t xml:space="preserve">Linked from Winding Design → total turns</t>
  </si>
  <si>
    <t xml:space="preserve">CALCULATED COIL PARAMETERS</t>
  </si>
  <si>
    <t xml:space="preserve">Formula</t>
  </si>
  <si>
    <t xml:space="preserve">Winding Length ℓ (mm)</t>
  </si>
  <si>
    <t xml:space="preserve">(N−1) × pitch + wire_dia</t>
  </si>
  <si>
    <t xml:space="preserve">Coil Radius r (mm)</t>
  </si>
  <si>
    <t xml:space="preserve">(D + wire_dia) / 2  →  inner_radius + wire_radius (center of wire)</t>
  </si>
  <si>
    <t xml:space="preserve">Coil Radius r (inches)</t>
  </si>
  <si>
    <t xml:space="preserve">in</t>
  </si>
  <si>
    <t xml:space="preserve">for Wheeler formula</t>
  </si>
  <si>
    <t xml:space="preserve">Winding Length ℓ (inches)</t>
  </si>
  <si>
    <t xml:space="preserve">Inductance L (µH) [Wheeler]</t>
  </si>
  <si>
    <t xml:space="preserve">L=(r²N²)/(9r+10ℓ) [inches]</t>
  </si>
  <si>
    <t xml:space="preserve">Reactance X_L at f_min (Ω)</t>
  </si>
  <si>
    <t xml:space="preserve">ωL = 2π·f_min·L  (f_min = lowest active tap)</t>
  </si>
  <si>
    <t xml:space="preserve">Minimum L required (µH)</t>
  </si>
  <si>
    <t xml:space="preserve">X_L ≥ 4×Z_min  →  L_min = 4·Z_min/(2π·f_min)</t>
  </si>
  <si>
    <t xml:space="preserve">L sufficient for lowest tap?</t>
  </si>
  <si>
    <t xml:space="preserve">—</t>
  </si>
  <si>
    <t xml:space="preserve">Compare L vs L_min</t>
  </si>
  <si>
    <t xml:space="preserve">✦  COMPENSATION NETWORK CALCULATOR  ✦</t>
  </si>
  <si>
    <t xml:space="preserve">Series &amp; Shunt L/C to cancel residual reactance at each tap — referenced to 50Ω system</t>
  </si>
  <si>
    <t xml:space="preserve">HOW TO READ THIS TABLE</t>
  </si>
  <si>
    <t xml:space="preserve">Series L/C: place component in series with the feed line at the tap — cancels reflected reactance seen at that tap port.</t>
  </si>
  <si>
    <t xml:space="preserve">Shunt L/C:  place component to ground at the tap — cancels the susceptance seen at that tap port.</t>
  </si>
  <si>
    <t xml:space="preserve">Positive X (inductive load): series C or shunt C cancels.  Negative X (capacitive load): series L or shunt L cancels.</t>
  </si>
  <si>
    <t xml:space="preserve">Values are computed for the tap frequency shown. Component Q and self-resonance should be verified for your operating frequency.</t>
  </si>
  <si>
    <t xml:space="preserve">Tap 1 (X = 0): no compensation needed — values show "—" automatically.</t>
  </si>
  <si>
    <t xml:space="preserve">Freq
(MHz)</t>
  </si>
  <si>
    <t xml:space="preserve">R_tap
(Ω)</t>
  </si>
  <si>
    <t xml:space="preserve">X_tap
(Ω)</t>
  </si>
  <si>
    <t xml:space="preserve">Phase
(°)</t>
  </si>
  <si>
    <t xml:space="preserve">Series L
(µH)</t>
  </si>
  <si>
    <t xml:space="preserve">Series C
(pF)</t>
  </si>
  <si>
    <t xml:space="preserve">Shunt L
(µH)</t>
  </si>
  <si>
    <t xml:space="preserve">Shunt C
(pF)</t>
  </si>
  <si>
    <t xml:space="preserve">COMPONENT SELECTION GUIDE</t>
  </si>
  <si>
    <t xml:space="preserve">Series topology</t>
  </si>
  <si>
    <t xml:space="preserve">Component placed in series with the line at the tap port. Best when source impedance is known and fixed.</t>
  </si>
  <si>
    <t xml:space="preserve">Shunt topology</t>
  </si>
  <si>
    <t xml:space="preserve">Component placed from tap port to ground. Best when line Z is nearly correct but susceptance must be tuned out.</t>
  </si>
  <si>
    <t xml:space="preserve">X = 0 (— shown)</t>
  </si>
  <si>
    <t xml:space="preserve">Load is purely resistive — autotransformer alone provides a perfect match. No compensation required.</t>
  </si>
  <si>
    <t xml:space="preserve">Tolerance</t>
  </si>
  <si>
    <t xml:space="preserve">Use ±5% or better components. At HF, stray lead inductance (~5–20 nH) may need to be subtracted from L values.</t>
  </si>
  <si>
    <t xml:space="preserve">Capacitor type</t>
  </si>
  <si>
    <t xml:space="preserve">Use NP0/C0G ceramic or silver-mica capacitors for HF stability. Avoid X7R at RF frequencies.</t>
  </si>
  <si>
    <t xml:space="preserve">Inductor type</t>
  </si>
  <si>
    <t xml:space="preserve">Use air-core solenoid or toroid (T-material) for series inductors. Ensure SRF &gt;&gt; operating frequency.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</si>
</sst>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"/>
    <numFmt numFmtId="166" formatCode="#,##0.00"/>
    <numFmt numFmtId="167" formatCode="#,##0.00;[RED]\-#,##0.00"/>
    <numFmt numFmtId="168" formatCode="0.0\°;[RED]\-0.0\°"/>
    <numFmt numFmtId="169" formatCode="0.000"/>
    <numFmt numFmtId="170" formatCode="#,##0.0"/>
    <numFmt numFmtId="171" formatCode="#,##0.000"/>
    <numFmt numFmtId="172" formatCode="0.00"/>
    <numFmt numFmtId="173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Cantarell Light"/>
      <family val="0"/>
      <charset val="1"/>
    </font>
    <font>
      <sz val="10"/>
      <color rgb="FFFFFFFF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10"/>
      <color rgb="FF00008B"/>
      <name val="Cantarell Light"/>
      <family val="0"/>
      <charset val="1"/>
    </font>
    <font>
      <sz val="10"/>
      <color rgb="FF555555"/>
      <name val="Cantarell Light"/>
      <family val="0"/>
      <charset val="1"/>
    </font>
    <font>
      <sz val="10"/>
      <name val="Cantarell Light"/>
      <family val="0"/>
      <charset val="1"/>
    </font>
    <font>
      <sz val="10"/>
      <color rgb="FFFFD700"/>
      <name val="Cantarell Light"/>
      <family val="0"/>
      <charset val="1"/>
    </font>
    <font>
      <sz val="10"/>
      <color rgb="FF8EA9C1"/>
      <name val="Cantarell Light"/>
      <family val="0"/>
      <charset val="1"/>
    </font>
    <font>
      <sz val="10"/>
      <color rgb="FF404040"/>
      <name val="Cantarell Light"/>
      <family val="0"/>
      <charset val="1"/>
    </font>
    <font>
      <sz val="10"/>
      <color rgb="FF1F3864"/>
      <name val="Cantarell Light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2D40"/>
        <bgColor rgb="FF1F3864"/>
      </patternFill>
    </fill>
    <fill>
      <patternFill patternType="solid">
        <fgColor rgb="FF1F5C8B"/>
        <bgColor rgb="FF2E4A6B"/>
      </patternFill>
    </fill>
    <fill>
      <patternFill patternType="solid">
        <fgColor rgb="FFF2F2F2"/>
        <bgColor rgb="FFEEEEEE"/>
      </patternFill>
    </fill>
    <fill>
      <patternFill patternType="solid">
        <fgColor rgb="FFFFF9E6"/>
        <bgColor rgb="FFFFFFFF"/>
      </patternFill>
    </fill>
    <fill>
      <patternFill patternType="solid">
        <fgColor rgb="FFF0F8FF"/>
        <bgColor rgb="FFF2F2F2"/>
      </patternFill>
    </fill>
    <fill>
      <patternFill patternType="solid">
        <fgColor rgb="FFEEEEEE"/>
        <bgColor rgb="FFF2F2F2"/>
      </patternFill>
    </fill>
    <fill>
      <patternFill patternType="solid">
        <fgColor rgb="FFE8A020"/>
        <bgColor rgb="FFFF8080"/>
      </patternFill>
    </fill>
    <fill>
      <patternFill patternType="solid">
        <fgColor rgb="FF1F3864"/>
        <bgColor rgb="FF1A2D40"/>
      </patternFill>
    </fill>
    <fill>
      <patternFill patternType="solid">
        <fgColor rgb="FF2E4A6B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2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6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9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8EA9C1"/>
      <rgbColor rgb="FF993366"/>
      <rgbColor rgb="FFFFF9E6"/>
      <rgbColor rgb="FFF0F8FF"/>
      <rgbColor rgb="FF660066"/>
      <rgbColor rgb="FFFF8080"/>
      <rgbColor rgb="FF1F5C8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E8A020"/>
      <rgbColor rgb="FFFF6600"/>
      <rgbColor rgb="FF555555"/>
      <rgbColor rgb="FFAAAAAA"/>
      <rgbColor rgb="FF1F3864"/>
      <rgbColor rgb="FF339966"/>
      <rgbColor rgb="FF003300"/>
      <rgbColor rgb="FF1A2D40"/>
      <rgbColor rgb="FF993300"/>
      <rgbColor rgb="FF993366"/>
      <rgbColor rgb="FF2E4A6B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0"/>
  <sheetViews>
    <sheetView showFormulas="false" showGridLines="fals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D13" activeCellId="0" sqref="D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45"/>
    <col collapsed="false" customWidth="true" hidden="false" outlineLevel="0" max="2" min="2" style="1" width="32"/>
    <col collapsed="false" customWidth="true" hidden="false" outlineLevel="0" max="3" min="3" style="1" width="20"/>
    <col collapsed="false" customWidth="true" hidden="false" outlineLevel="0" max="4" min="4" style="1" width="14.3"/>
    <col collapsed="false" customWidth="true" hidden="false" outlineLevel="0" max="5" min="5" style="1" width="22"/>
    <col collapsed="false" customWidth="false" hidden="false" outlineLevel="0" max="6" min="6" style="1" width="8.68"/>
    <col collapsed="false" customWidth="true" hidden="false" outlineLevel="0" max="8" min="7" style="1" width="13"/>
    <col collapsed="false" customWidth="true" hidden="false" outlineLevel="0" max="9" min="9" style="1" width="13.22"/>
    <col collapsed="false" customWidth="true" hidden="false" outlineLevel="0" max="11" min="10" style="1" width="13"/>
    <col collapsed="false" customWidth="false" hidden="false" outlineLevel="0" max="16384" min="12" style="1" width="8.68"/>
  </cols>
  <sheetData>
    <row r="2" customFormat="false" ht="1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  <c r="G3" s="3"/>
      <c r="H3" s="3"/>
      <c r="I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  <c r="G5" s="4"/>
      <c r="H5" s="4"/>
      <c r="I5" s="4"/>
    </row>
    <row r="6" customFormat="false" ht="15" hidden="false" customHeight="true" outlineLevel="0" collapsed="false">
      <c r="B6" s="5" t="s">
        <v>3</v>
      </c>
      <c r="C6" s="5" t="s">
        <v>4</v>
      </c>
      <c r="D6" s="5" t="s">
        <v>5</v>
      </c>
      <c r="E6" s="5" t="s">
        <v>6</v>
      </c>
      <c r="F6" s="5"/>
      <c r="G6" s="5"/>
      <c r="H6" s="5"/>
      <c r="I6" s="5"/>
    </row>
    <row r="7" customFormat="false" ht="15" hidden="false" customHeight="true" outlineLevel="0" collapsed="false">
      <c r="B7" s="6" t="s">
        <v>7</v>
      </c>
      <c r="C7" s="7" t="n">
        <v>50</v>
      </c>
      <c r="D7" s="8" t="s">
        <v>8</v>
      </c>
      <c r="E7" s="9" t="s">
        <v>9</v>
      </c>
      <c r="F7" s="9"/>
      <c r="G7" s="9"/>
      <c r="H7" s="9"/>
    </row>
    <row r="8" customFormat="false" ht="15" hidden="false" customHeight="true" outlineLevel="0" collapsed="false">
      <c r="B8" s="6" t="s">
        <v>10</v>
      </c>
      <c r="C8" s="7" t="n">
        <v>1</v>
      </c>
      <c r="D8" s="8" t="s">
        <v>11</v>
      </c>
      <c r="E8" s="9" t="s">
        <v>12</v>
      </c>
      <c r="F8" s="9"/>
      <c r="G8" s="9"/>
      <c r="H8" s="9"/>
    </row>
    <row r="9" customFormat="false" ht="15" hidden="false" customHeight="true" outlineLevel="0" collapsed="false">
      <c r="B9" s="6" t="s">
        <v>13</v>
      </c>
      <c r="C9" s="7" t="n">
        <v>16</v>
      </c>
      <c r="D9" s="8" t="s">
        <v>11</v>
      </c>
      <c r="E9" s="9" t="s">
        <v>14</v>
      </c>
      <c r="F9" s="9"/>
      <c r="G9" s="9"/>
      <c r="H9" s="9"/>
    </row>
    <row r="10" customFormat="false" ht="15" hidden="false" customHeight="true" outlineLevel="0" collapsed="false">
      <c r="B10" s="6" t="s">
        <v>15</v>
      </c>
      <c r="C10" s="7" t="n">
        <v>4</v>
      </c>
      <c r="D10" s="8" t="s">
        <v>16</v>
      </c>
      <c r="E10" s="9" t="s">
        <v>17</v>
      </c>
      <c r="F10" s="9"/>
      <c r="G10" s="9"/>
      <c r="H10" s="9"/>
    </row>
    <row r="11" customFormat="false" ht="15" hidden="false" customHeight="true" outlineLevel="0" collapsed="false">
      <c r="B11" s="6" t="s">
        <v>18</v>
      </c>
      <c r="C11" s="7" t="n">
        <v>32</v>
      </c>
      <c r="D11" s="10" t="n">
        <f aca="false">IFERROR(CEILING(5/MIN(D59:D69),1),5)</f>
        <v>3</v>
      </c>
      <c r="E11" s="11" t="s">
        <v>19</v>
      </c>
      <c r="F11" s="11"/>
      <c r="G11" s="11"/>
      <c r="H11" s="11"/>
      <c r="I11" s="11"/>
    </row>
    <row r="12" customFormat="false" ht="15" hidden="false" customHeight="true" outlineLevel="0" collapsed="false">
      <c r="B12" s="6" t="s">
        <v>20</v>
      </c>
      <c r="C12" s="7" t="n">
        <v>1</v>
      </c>
      <c r="D12" s="10"/>
      <c r="E12" s="12"/>
      <c r="F12" s="12"/>
      <c r="G12" s="12"/>
      <c r="H12" s="12"/>
      <c r="I12" s="12"/>
    </row>
    <row r="14" customFormat="false" ht="15" hidden="false" customHeight="true" outlineLevel="0" collapsed="false">
      <c r="B14" s="4" t="s">
        <v>21</v>
      </c>
      <c r="C14" s="4"/>
      <c r="D14" s="4"/>
      <c r="E14" s="4"/>
      <c r="F14" s="13"/>
      <c r="G14" s="13"/>
      <c r="H14" s="13"/>
      <c r="I14" s="13"/>
    </row>
    <row r="15" customFormat="false" ht="25.5" hidden="false" customHeight="true" outlineLevel="0" collapsed="false">
      <c r="B15" s="5" t="s">
        <v>22</v>
      </c>
      <c r="C15" s="5" t="s">
        <v>23</v>
      </c>
      <c r="D15" s="5" t="s">
        <v>24</v>
      </c>
      <c r="E15" s="5" t="s">
        <v>25</v>
      </c>
      <c r="F15" s="5" t="s">
        <v>26</v>
      </c>
      <c r="G15" s="14"/>
      <c r="H15" s="13"/>
      <c r="I15" s="14"/>
    </row>
    <row r="16" customFormat="false" ht="15" hidden="false" customHeight="true" outlineLevel="0" collapsed="false">
      <c r="B16" s="15" t="n">
        <v>1</v>
      </c>
      <c r="C16" s="7" t="n">
        <v>7.2</v>
      </c>
      <c r="D16" s="16" t="n">
        <v>200</v>
      </c>
      <c r="E16" s="17" t="n">
        <v>0</v>
      </c>
      <c r="F16" s="15" t="str">
        <f aca="false">IF(ROW()-15&lt;=$C$10,"YES","NO")</f>
        <v>YES</v>
      </c>
      <c r="G16" s="18"/>
      <c r="H16" s="8"/>
      <c r="I16" s="19"/>
    </row>
    <row r="17" customFormat="false" ht="15" hidden="false" customHeight="true" outlineLevel="0" collapsed="false">
      <c r="B17" s="15" t="n">
        <v>2</v>
      </c>
      <c r="C17" s="7" t="n">
        <v>10</v>
      </c>
      <c r="D17" s="16" t="n">
        <v>300</v>
      </c>
      <c r="E17" s="17" t="n">
        <v>100</v>
      </c>
      <c r="F17" s="15" t="str">
        <f aca="false">IF(ROW()-15&lt;=$C$10,"YES","NO")</f>
        <v>YES</v>
      </c>
      <c r="G17" s="18"/>
      <c r="H17" s="8"/>
      <c r="I17" s="19"/>
    </row>
    <row r="18" customFormat="false" ht="15" hidden="false" customHeight="true" outlineLevel="0" collapsed="false">
      <c r="B18" s="15" t="n">
        <v>3</v>
      </c>
      <c r="C18" s="7" t="n">
        <v>18</v>
      </c>
      <c r="D18" s="16" t="n">
        <v>450</v>
      </c>
      <c r="E18" s="17" t="n">
        <v>-80</v>
      </c>
      <c r="F18" s="15" t="str">
        <f aca="false">IF(ROW()-15&lt;=$C$10,"YES","NO")</f>
        <v>YES</v>
      </c>
      <c r="G18" s="18"/>
      <c r="H18" s="8"/>
      <c r="I18" s="19"/>
    </row>
    <row r="19" customFormat="false" ht="15" hidden="false" customHeight="true" outlineLevel="0" collapsed="false">
      <c r="B19" s="15" t="n">
        <v>4</v>
      </c>
      <c r="C19" s="7" t="n">
        <v>28</v>
      </c>
      <c r="D19" s="16" t="n">
        <v>800</v>
      </c>
      <c r="E19" s="17" t="n">
        <v>0</v>
      </c>
      <c r="F19" s="15" t="str">
        <f aca="false">IF(ROW()-15&lt;=$C$10,"YES","NO")</f>
        <v>YES</v>
      </c>
      <c r="G19" s="18"/>
      <c r="H19" s="8"/>
      <c r="I19" s="19"/>
    </row>
    <row r="20" customFormat="false" ht="15" hidden="false" customHeight="true" outlineLevel="0" collapsed="false">
      <c r="B20" s="15" t="n">
        <v>5</v>
      </c>
      <c r="C20" s="7"/>
      <c r="D20" s="16"/>
      <c r="E20" s="17"/>
      <c r="F20" s="15" t="str">
        <f aca="false">IF(ROW()-15&lt;=$C$10,"YES","NO")</f>
        <v>NO</v>
      </c>
      <c r="G20" s="18"/>
      <c r="H20" s="8"/>
      <c r="I20" s="19"/>
    </row>
    <row r="21" customFormat="false" ht="15" hidden="false" customHeight="true" outlineLevel="0" collapsed="false">
      <c r="B21" s="15" t="n">
        <v>6</v>
      </c>
      <c r="C21" s="7"/>
      <c r="D21" s="16"/>
      <c r="E21" s="17"/>
      <c r="F21" s="15" t="str">
        <f aca="false">IF(ROW()-15&lt;=$C$10,"YES","NO")</f>
        <v>NO</v>
      </c>
      <c r="G21" s="18"/>
      <c r="H21" s="8"/>
      <c r="I21" s="19"/>
    </row>
    <row r="22" customFormat="false" ht="15" hidden="false" customHeight="true" outlineLevel="0" collapsed="false">
      <c r="B22" s="15" t="n">
        <v>7</v>
      </c>
      <c r="C22" s="7"/>
      <c r="D22" s="16"/>
      <c r="E22" s="17"/>
      <c r="F22" s="15" t="str">
        <f aca="false">IF(ROW()-15&lt;=$C$10,"YES","NO")</f>
        <v>NO</v>
      </c>
      <c r="G22" s="18"/>
      <c r="H22" s="8"/>
      <c r="I22" s="19"/>
    </row>
    <row r="23" customFormat="false" ht="15" hidden="false" customHeight="true" outlineLevel="0" collapsed="false">
      <c r="B23" s="15" t="n">
        <v>8</v>
      </c>
      <c r="C23" s="7"/>
      <c r="D23" s="16"/>
      <c r="E23" s="17"/>
      <c r="F23" s="15" t="str">
        <f aca="false">IF(ROW()-15&lt;=$C$10,"YES","NO")</f>
        <v>NO</v>
      </c>
      <c r="G23" s="18"/>
      <c r="H23" s="8"/>
      <c r="I23" s="19"/>
    </row>
    <row r="24" customFormat="false" ht="15" hidden="false" customHeight="true" outlineLevel="0" collapsed="false">
      <c r="B24" s="15" t="n">
        <v>9</v>
      </c>
      <c r="C24" s="7"/>
      <c r="D24" s="16"/>
      <c r="E24" s="17"/>
      <c r="F24" s="15" t="str">
        <f aca="false">IF(ROW()-15&lt;=$C$10,"YES","NO")</f>
        <v>NO</v>
      </c>
      <c r="G24" s="18"/>
      <c r="H24" s="8"/>
      <c r="I24" s="19"/>
    </row>
    <row r="25" customFormat="false" ht="15" hidden="false" customHeight="true" outlineLevel="0" collapsed="false">
      <c r="B25" s="15" t="n">
        <v>10</v>
      </c>
      <c r="C25" s="7"/>
      <c r="D25" s="16"/>
      <c r="E25" s="17"/>
      <c r="F25" s="15" t="str">
        <f aca="false">IF(ROW()-15&lt;=$C$10,"YES","NO")</f>
        <v>NO</v>
      </c>
      <c r="G25" s="18"/>
      <c r="H25" s="8"/>
      <c r="I25" s="19"/>
    </row>
    <row r="26" customFormat="false" ht="15" hidden="false" customHeight="true" outlineLevel="0" collapsed="false">
      <c r="B26" s="15" t="n">
        <v>11</v>
      </c>
      <c r="C26" s="7"/>
      <c r="D26" s="16"/>
      <c r="E26" s="17"/>
      <c r="F26" s="15" t="str">
        <f aca="false">IF(ROW()-15&lt;=$C$10,"YES","NO")</f>
        <v>NO</v>
      </c>
      <c r="G26" s="18"/>
      <c r="H26" s="8"/>
      <c r="I26" s="19"/>
    </row>
    <row r="28" customFormat="false" ht="15" hidden="false" customHeight="true" outlineLevel="0" collapsed="false">
      <c r="B28" s="2" t="s">
        <v>27</v>
      </c>
      <c r="C28" s="2"/>
      <c r="D28" s="2"/>
      <c r="E28" s="13"/>
      <c r="F28" s="13"/>
      <c r="G28" s="13"/>
      <c r="H28" s="13"/>
      <c r="I28" s="13"/>
      <c r="J28" s="13"/>
    </row>
    <row r="29" customFormat="false" ht="15" hidden="false" customHeight="true" outlineLevel="0" collapsed="false">
      <c r="B29" s="3" t="s">
        <v>28</v>
      </c>
      <c r="C29" s="3"/>
      <c r="D29" s="3"/>
      <c r="E29" s="13"/>
      <c r="F29" s="13"/>
      <c r="G29" s="13"/>
      <c r="H29" s="13"/>
      <c r="I29" s="13"/>
      <c r="J29" s="13"/>
    </row>
    <row r="31" customFormat="false" ht="15" hidden="false" customHeight="true" outlineLevel="0" collapsed="false">
      <c r="B31" s="4" t="s">
        <v>29</v>
      </c>
      <c r="C31" s="4"/>
      <c r="D31" s="4"/>
    </row>
    <row r="32" customFormat="false" ht="15" hidden="false" customHeight="true" outlineLevel="0" collapsed="false">
      <c r="B32" s="6" t="s">
        <v>30</v>
      </c>
      <c r="C32" s="20" t="n">
        <f aca="false">C7</f>
        <v>50</v>
      </c>
      <c r="D32" s="8" t="s">
        <v>8</v>
      </c>
    </row>
    <row r="33" customFormat="false" ht="15" hidden="false" customHeight="true" outlineLevel="0" collapsed="false">
      <c r="B33" s="6" t="s">
        <v>31</v>
      </c>
      <c r="C33" s="20" t="n">
        <f aca="false">C8</f>
        <v>1</v>
      </c>
      <c r="D33" s="8" t="s">
        <v>11</v>
      </c>
    </row>
    <row r="34" customFormat="false" ht="15" hidden="false" customHeight="true" outlineLevel="0" collapsed="false">
      <c r="B34" s="6" t="s">
        <v>32</v>
      </c>
      <c r="C34" s="20" t="n">
        <f aca="false">C11</f>
        <v>32</v>
      </c>
      <c r="D34" s="8" t="s">
        <v>33</v>
      </c>
    </row>
    <row r="35" customFormat="false" ht="15" hidden="false" customHeight="true" outlineLevel="0" collapsed="false">
      <c r="B35" s="6" t="s">
        <v>34</v>
      </c>
      <c r="C35" s="20" t="n">
        <f aca="false">C10</f>
        <v>4</v>
      </c>
      <c r="D35" s="8" t="s">
        <v>16</v>
      </c>
    </row>
    <row r="36" customFormat="false" ht="15" hidden="false" customHeight="true" outlineLevel="0" collapsed="false">
      <c r="B36" s="6" t="s">
        <v>35</v>
      </c>
      <c r="C36" s="21" t="n">
        <f aca="false">I71</f>
        <v>6836.10561421139</v>
      </c>
      <c r="D36" s="8" t="s">
        <v>11</v>
      </c>
    </row>
    <row r="37" customFormat="false" ht="15" hidden="false" customHeight="true" outlineLevel="0" collapsed="false">
      <c r="B37" s="6" t="s">
        <v>36</v>
      </c>
      <c r="C37" s="22" t="n">
        <f aca="false">IFERROR(C115,"—")</f>
        <v>17.7438014422954</v>
      </c>
      <c r="D37" s="8" t="s">
        <v>37</v>
      </c>
    </row>
    <row r="38" customFormat="false" ht="15" hidden="false" customHeight="true" outlineLevel="0" collapsed="false">
      <c r="B38" s="6" t="s">
        <v>38</v>
      </c>
      <c r="C38" s="20" t="str">
        <f aca="false">IFERROR(C118,"—")</f>
        <v>✔ YES</v>
      </c>
      <c r="D38" s="8"/>
    </row>
    <row r="40" customFormat="false" ht="15" hidden="false" customHeight="true" outlineLevel="0" collapsed="false">
      <c r="B40" s="4" t="s">
        <v>39</v>
      </c>
      <c r="C40" s="4"/>
      <c r="D40" s="4"/>
      <c r="E40" s="4"/>
      <c r="F40" s="4"/>
      <c r="G40" s="4"/>
      <c r="H40" s="4"/>
      <c r="I40" s="4"/>
      <c r="J40" s="4"/>
    </row>
    <row r="41" customFormat="false" ht="25.5" hidden="false" customHeight="true" outlineLevel="0" collapsed="false">
      <c r="B41" s="5" t="s">
        <v>22</v>
      </c>
      <c r="C41" s="5" t="s">
        <v>40</v>
      </c>
      <c r="D41" s="5" t="s">
        <v>41</v>
      </c>
      <c r="E41" s="5" t="s">
        <v>42</v>
      </c>
      <c r="F41" s="5" t="s">
        <v>43</v>
      </c>
      <c r="G41" s="5" t="s">
        <v>44</v>
      </c>
      <c r="H41" s="5" t="s">
        <v>45</v>
      </c>
      <c r="I41" s="5" t="s">
        <v>46</v>
      </c>
      <c r="J41" s="5" t="s">
        <v>47</v>
      </c>
    </row>
    <row r="42" customFormat="false" ht="15" hidden="false" customHeight="true" outlineLevel="0" collapsed="false">
      <c r="B42" s="23" t="n">
        <v>1</v>
      </c>
      <c r="C42" s="20" t="n">
        <f aca="false">C16</f>
        <v>7.2</v>
      </c>
      <c r="D42" s="24" t="n">
        <f aca="false">D78</f>
        <v>200</v>
      </c>
      <c r="E42" s="25" t="n">
        <f aca="false">E78</f>
        <v>0</v>
      </c>
      <c r="F42" s="26" t="n">
        <f aca="false">D59</f>
        <v>2</v>
      </c>
      <c r="G42" s="10" t="n">
        <f aca="false">E59</f>
        <v>64</v>
      </c>
      <c r="H42" s="27" t="n">
        <f aca="false">F78</f>
        <v>1</v>
      </c>
      <c r="I42" s="28" t="n">
        <f aca="false">G78</f>
        <v>180</v>
      </c>
      <c r="J42" s="27" t="n">
        <f aca="false">I78</f>
        <v>0</v>
      </c>
    </row>
    <row r="43" customFormat="false" ht="15" hidden="false" customHeight="true" outlineLevel="0" collapsed="false">
      <c r="B43" s="23" t="n">
        <v>2</v>
      </c>
      <c r="C43" s="20" t="n">
        <f aca="false">C17</f>
        <v>10</v>
      </c>
      <c r="D43" s="24" t="n">
        <f aca="false">D79</f>
        <v>316.227766016838</v>
      </c>
      <c r="E43" s="25" t="n">
        <f aca="false">E79</f>
        <v>18.434948822922</v>
      </c>
      <c r="F43" s="26" t="n">
        <f aca="false">D60</f>
        <v>2.51486685936587</v>
      </c>
      <c r="G43" s="10" t="n">
        <f aca="false">E60</f>
        <v>80</v>
      </c>
      <c r="H43" s="27" t="n">
        <f aca="false">F79</f>
        <v>1.38742588672279</v>
      </c>
      <c r="I43" s="28" t="n">
        <f aca="false">G79</f>
        <v>15.7948252576199</v>
      </c>
      <c r="J43" s="27" t="n">
        <f aca="false">I79</f>
        <v>2.6334038989724</v>
      </c>
    </row>
    <row r="44" customFormat="false" ht="15" hidden="false" customHeight="true" outlineLevel="0" collapsed="false">
      <c r="B44" s="23" t="n">
        <v>3</v>
      </c>
      <c r="C44" s="20" t="n">
        <f aca="false">C18</f>
        <v>18</v>
      </c>
      <c r="D44" s="24" t="n">
        <f aca="false">D80</f>
        <v>457.055795281058</v>
      </c>
      <c r="E44" s="25" t="n">
        <f aca="false">E80</f>
        <v>-10.0805979875423</v>
      </c>
      <c r="F44" s="26" t="n">
        <f aca="false">D61</f>
        <v>3.02342784031985</v>
      </c>
      <c r="G44" s="10" t="n">
        <f aca="false">E61</f>
        <v>97</v>
      </c>
      <c r="H44" s="27" t="n">
        <f aca="false">F80</f>
        <v>1.19345732284679</v>
      </c>
      <c r="I44" s="28" t="n">
        <f aca="false">G80</f>
        <v>21.0908803086925</v>
      </c>
      <c r="J44" s="27" t="n">
        <f aca="false">I80</f>
        <v>0.777878860128034</v>
      </c>
    </row>
    <row r="45" customFormat="false" ht="15" hidden="false" customHeight="true" outlineLevel="0" collapsed="false">
      <c r="B45" s="23" t="n">
        <v>4</v>
      </c>
      <c r="C45" s="20" t="n">
        <f aca="false">C19</f>
        <v>28</v>
      </c>
      <c r="D45" s="24" t="n">
        <f aca="false">D81</f>
        <v>800</v>
      </c>
      <c r="E45" s="25" t="n">
        <f aca="false">E81</f>
        <v>0</v>
      </c>
      <c r="F45" s="26" t="n">
        <f aca="false">D62</f>
        <v>4</v>
      </c>
      <c r="G45" s="10" t="n">
        <f aca="false">E62</f>
        <v>128</v>
      </c>
      <c r="H45" s="27" t="n">
        <f aca="false">F81</f>
        <v>1</v>
      </c>
      <c r="I45" s="28" t="n">
        <f aca="false">G81</f>
        <v>180</v>
      </c>
      <c r="J45" s="27" t="n">
        <f aca="false">I81</f>
        <v>0</v>
      </c>
    </row>
    <row r="46" customFormat="false" ht="15" hidden="false" customHeight="true" outlineLevel="0" collapsed="false">
      <c r="B46" s="23" t="n">
        <v>5</v>
      </c>
      <c r="C46" s="20" t="n">
        <f aca="false">C20</f>
        <v>0</v>
      </c>
      <c r="D46" s="20" t="str">
        <f aca="false">D82</f>
        <v/>
      </c>
      <c r="E46" s="20" t="str">
        <f aca="false">E82</f>
        <v/>
      </c>
      <c r="F46" s="20" t="str">
        <f aca="false">D63</f>
        <v/>
      </c>
      <c r="G46" s="20" t="str">
        <f aca="false">E63</f>
        <v/>
      </c>
      <c r="H46" s="20" t="str">
        <f aca="false">F82</f>
        <v/>
      </c>
      <c r="I46" s="20" t="str">
        <f aca="false">G82</f>
        <v/>
      </c>
      <c r="J46" s="20" t="str">
        <f aca="false">I82</f>
        <v/>
      </c>
    </row>
    <row r="47" customFormat="false" ht="15" hidden="false" customHeight="true" outlineLevel="0" collapsed="false">
      <c r="B47" s="23" t="n">
        <v>6</v>
      </c>
      <c r="C47" s="20" t="n">
        <f aca="false">C21</f>
        <v>0</v>
      </c>
      <c r="D47" s="20" t="str">
        <f aca="false">D83</f>
        <v/>
      </c>
      <c r="E47" s="20" t="str">
        <f aca="false">E83</f>
        <v/>
      </c>
      <c r="F47" s="20" t="str">
        <f aca="false">D64</f>
        <v/>
      </c>
      <c r="G47" s="20" t="str">
        <f aca="false">E64</f>
        <v/>
      </c>
      <c r="H47" s="20" t="str">
        <f aca="false">F83</f>
        <v/>
      </c>
      <c r="I47" s="20" t="str">
        <f aca="false">G83</f>
        <v/>
      </c>
      <c r="J47" s="20" t="str">
        <f aca="false">I83</f>
        <v/>
      </c>
    </row>
    <row r="48" customFormat="false" ht="15" hidden="false" customHeight="true" outlineLevel="0" collapsed="false">
      <c r="B48" s="23" t="n">
        <v>7</v>
      </c>
      <c r="C48" s="20" t="n">
        <f aca="false">C22</f>
        <v>0</v>
      </c>
      <c r="D48" s="20" t="str">
        <f aca="false">D84</f>
        <v/>
      </c>
      <c r="E48" s="20" t="str">
        <f aca="false">E84</f>
        <v/>
      </c>
      <c r="F48" s="20" t="str">
        <f aca="false">D65</f>
        <v/>
      </c>
      <c r="G48" s="20" t="str">
        <f aca="false">E65</f>
        <v/>
      </c>
      <c r="H48" s="20" t="str">
        <f aca="false">F84</f>
        <v/>
      </c>
      <c r="I48" s="20" t="str">
        <f aca="false">G84</f>
        <v/>
      </c>
      <c r="J48" s="20" t="str">
        <f aca="false">I84</f>
        <v/>
      </c>
    </row>
    <row r="49" customFormat="false" ht="15" hidden="false" customHeight="true" outlineLevel="0" collapsed="false">
      <c r="B49" s="23" t="n">
        <v>8</v>
      </c>
      <c r="C49" s="20" t="n">
        <f aca="false">C23</f>
        <v>0</v>
      </c>
      <c r="D49" s="20" t="str">
        <f aca="false">D85</f>
        <v/>
      </c>
      <c r="E49" s="20" t="str">
        <f aca="false">E85</f>
        <v/>
      </c>
      <c r="F49" s="20" t="str">
        <f aca="false">D66</f>
        <v/>
      </c>
      <c r="G49" s="20" t="str">
        <f aca="false">E66</f>
        <v/>
      </c>
      <c r="H49" s="20" t="str">
        <f aca="false">F85</f>
        <v/>
      </c>
      <c r="I49" s="20" t="str">
        <f aca="false">G85</f>
        <v/>
      </c>
      <c r="J49" s="20" t="str">
        <f aca="false">I85</f>
        <v/>
      </c>
    </row>
    <row r="50" customFormat="false" ht="15" hidden="false" customHeight="true" outlineLevel="0" collapsed="false">
      <c r="B50" s="23" t="n">
        <v>9</v>
      </c>
      <c r="C50" s="20" t="n">
        <f aca="false">C24</f>
        <v>0</v>
      </c>
      <c r="D50" s="20" t="str">
        <f aca="false">D86</f>
        <v/>
      </c>
      <c r="E50" s="20" t="str">
        <f aca="false">E86</f>
        <v/>
      </c>
      <c r="F50" s="20" t="str">
        <f aca="false">D67</f>
        <v/>
      </c>
      <c r="G50" s="20" t="str">
        <f aca="false">E67</f>
        <v/>
      </c>
      <c r="H50" s="20" t="str">
        <f aca="false">F86</f>
        <v/>
      </c>
      <c r="I50" s="20" t="str">
        <f aca="false">G86</f>
        <v/>
      </c>
      <c r="J50" s="20" t="str">
        <f aca="false">I86</f>
        <v/>
      </c>
    </row>
    <row r="51" customFormat="false" ht="15" hidden="false" customHeight="true" outlineLevel="0" collapsed="false">
      <c r="B51" s="23" t="n">
        <v>10</v>
      </c>
      <c r="C51" s="20" t="n">
        <f aca="false">C25</f>
        <v>0</v>
      </c>
      <c r="D51" s="20" t="str">
        <f aca="false">D87</f>
        <v/>
      </c>
      <c r="E51" s="20" t="str">
        <f aca="false">E87</f>
        <v/>
      </c>
      <c r="F51" s="20" t="str">
        <f aca="false">D68</f>
        <v/>
      </c>
      <c r="G51" s="20" t="str">
        <f aca="false">E68</f>
        <v/>
      </c>
      <c r="H51" s="20" t="str">
        <f aca="false">F87</f>
        <v/>
      </c>
      <c r="I51" s="20" t="str">
        <f aca="false">G87</f>
        <v/>
      </c>
      <c r="J51" s="20" t="str">
        <f aca="false">I87</f>
        <v/>
      </c>
    </row>
    <row r="52" customFormat="false" ht="15" hidden="false" customHeight="true" outlineLevel="0" collapsed="false">
      <c r="B52" s="23" t="n">
        <v>11</v>
      </c>
      <c r="C52" s="20" t="n">
        <f aca="false">C26</f>
        <v>0</v>
      </c>
      <c r="D52" s="20" t="str">
        <f aca="false">D88</f>
        <v/>
      </c>
      <c r="E52" s="20" t="str">
        <f aca="false">E88</f>
        <v/>
      </c>
      <c r="F52" s="20" t="str">
        <f aca="false">D69</f>
        <v/>
      </c>
      <c r="G52" s="20" t="str">
        <f aca="false">E69</f>
        <v/>
      </c>
      <c r="H52" s="20" t="str">
        <f aca="false">F88</f>
        <v/>
      </c>
      <c r="I52" s="20" t="str">
        <f aca="false">G88</f>
        <v/>
      </c>
      <c r="J52" s="20" t="str">
        <f aca="false">I88</f>
        <v/>
      </c>
    </row>
    <row r="54" customFormat="false" ht="15" hidden="false" customHeight="true" outlineLevel="0" collapsed="false">
      <c r="B54" s="2" t="s">
        <v>48</v>
      </c>
      <c r="C54" s="2"/>
      <c r="D54" s="2"/>
      <c r="E54" s="2"/>
      <c r="F54" s="2"/>
      <c r="G54" s="2"/>
      <c r="H54" s="2"/>
      <c r="I54" s="2"/>
      <c r="J54" s="13"/>
    </row>
    <row r="55" customFormat="false" ht="15" hidden="false" customHeight="true" outlineLevel="0" collapsed="false">
      <c r="B55" s="3" t="s">
        <v>49</v>
      </c>
      <c r="C55" s="3"/>
      <c r="D55" s="3"/>
      <c r="E55" s="3"/>
      <c r="F55" s="3"/>
      <c r="G55" s="3"/>
      <c r="H55" s="3"/>
      <c r="I55" s="3"/>
      <c r="J55" s="13"/>
    </row>
    <row r="57" customFormat="false" ht="15" hidden="false" customHeight="true" outlineLevel="0" collapsed="false">
      <c r="B57" s="4" t="s">
        <v>50</v>
      </c>
      <c r="C57" s="4"/>
      <c r="D57" s="4"/>
      <c r="E57" s="4"/>
      <c r="F57" s="4"/>
      <c r="G57" s="4"/>
      <c r="H57" s="4"/>
      <c r="I57" s="4"/>
      <c r="J57" s="13"/>
    </row>
    <row r="58" customFormat="false" ht="38.25" hidden="false" customHeight="true" outlineLevel="0" collapsed="false">
      <c r="B58" s="5" t="s">
        <v>22</v>
      </c>
      <c r="C58" s="5" t="s">
        <v>40</v>
      </c>
      <c r="D58" s="5" t="s">
        <v>51</v>
      </c>
      <c r="E58" s="5" t="s">
        <v>52</v>
      </c>
      <c r="F58" s="5" t="s">
        <v>53</v>
      </c>
      <c r="G58" s="5" t="s">
        <v>54</v>
      </c>
      <c r="H58" s="5" t="s">
        <v>55</v>
      </c>
      <c r="I58" s="5" t="s">
        <v>56</v>
      </c>
      <c r="J58" s="13"/>
    </row>
    <row r="59" customFormat="false" ht="15" hidden="false" customHeight="true" outlineLevel="0" collapsed="false">
      <c r="B59" s="20" t="n">
        <v>1</v>
      </c>
      <c r="C59" s="20" t="n">
        <f aca="false">C16</f>
        <v>7.2</v>
      </c>
      <c r="D59" s="26" t="n">
        <f aca="false">IF(D78&lt;&gt;"",SQRT(D78/MAX($C$7,0.000000001)),"")</f>
        <v>2</v>
      </c>
      <c r="E59" s="10" t="n">
        <f aca="false">IF(D59&lt;&gt;"",MAX(1,ROUND(C11*D59,0)),"")</f>
        <v>64</v>
      </c>
      <c r="F59" s="10" t="n">
        <f aca="false">IF(E59&lt;&gt;"",E59,"")</f>
        <v>64</v>
      </c>
      <c r="G59" s="21" t="n">
        <f aca="false">IF(F59&lt;&gt;"",F59*PI()*($C$9+$C$8),"")</f>
        <v>3418.0528071057</v>
      </c>
      <c r="H59" s="24" t="n">
        <f aca="false">IF(G59&lt;&gt;"",G59*4*0.00000001724*1000000/(PI()*$C$8^2),"")</f>
        <v>75.02848</v>
      </c>
      <c r="I59" s="21" t="n">
        <f aca="false">IF(G59&lt;&gt;"",G59,"")</f>
        <v>3418.0528071057</v>
      </c>
      <c r="J59" s="8"/>
    </row>
    <row r="60" customFormat="false" ht="15" hidden="false" customHeight="true" outlineLevel="0" collapsed="false">
      <c r="B60" s="20" t="n">
        <v>2</v>
      </c>
      <c r="C60" s="20" t="n">
        <f aca="false">C17</f>
        <v>10</v>
      </c>
      <c r="D60" s="26" t="n">
        <f aca="false">IF(D79&lt;&gt;"",SQRT(D79/MAX($C$7,0.000000001)),"")</f>
        <v>2.51486685936587</v>
      </c>
      <c r="E60" s="10" t="n">
        <f aca="false">IF(D60&lt;&gt;"",MAX(1,ROUND(C11*D60,0)),"")</f>
        <v>80</v>
      </c>
      <c r="F60" s="10" t="n">
        <f aca="false">IF(AND(E60&lt;&gt;"",E59&lt;&gt;""),E60-E59,IF(E60&lt;&gt;"",E60,""))</f>
        <v>16</v>
      </c>
      <c r="G60" s="21" t="n">
        <f aca="false">IF(F60&lt;&gt;"",F60*PI()*($C$9+$C$8),"")</f>
        <v>854.513201776424</v>
      </c>
      <c r="H60" s="24" t="n">
        <f aca="false">IF(G60&lt;&gt;"",G60*4*0.00000001724*1000000/(PI()*$C$8^2),"")</f>
        <v>18.75712</v>
      </c>
      <c r="I60" s="21" t="n">
        <f aca="false">IF(G60&lt;&gt;"",SUM(G59:G60),"")</f>
        <v>4272.56600888212</v>
      </c>
      <c r="J60" s="8"/>
    </row>
    <row r="61" customFormat="false" ht="15" hidden="false" customHeight="true" outlineLevel="0" collapsed="false">
      <c r="B61" s="20" t="n">
        <v>3</v>
      </c>
      <c r="C61" s="20" t="n">
        <f aca="false">C18</f>
        <v>18</v>
      </c>
      <c r="D61" s="26" t="n">
        <f aca="false">IF(D80&lt;&gt;"",SQRT(D80/MAX($C$7,0.000000001)),"")</f>
        <v>3.02342784031985</v>
      </c>
      <c r="E61" s="10" t="n">
        <f aca="false">IF(D61&lt;&gt;"",MAX(1,ROUND(C11*D61,0)),"")</f>
        <v>97</v>
      </c>
      <c r="F61" s="10" t="n">
        <f aca="false">IF(AND(E61&lt;&gt;"",E60&lt;&gt;""),E61-E60,IF(E61&lt;&gt;"",E61,""))</f>
        <v>17</v>
      </c>
      <c r="G61" s="21" t="n">
        <f aca="false">IF(F61&lt;&gt;"",F61*PI()*($C$9+$C$8),"")</f>
        <v>907.92027688745</v>
      </c>
      <c r="H61" s="24" t="n">
        <f aca="false">IF(G61&lt;&gt;"",G61*4*0.00000001724*1000000/(PI()*$C$8^2),"")</f>
        <v>19.92944</v>
      </c>
      <c r="I61" s="21" t="n">
        <f aca="false">IF(G61&lt;&gt;"",SUM(G59:G61),"")</f>
        <v>5180.48628576957</v>
      </c>
      <c r="J61" s="8"/>
    </row>
    <row r="62" customFormat="false" ht="15" hidden="false" customHeight="true" outlineLevel="0" collapsed="false">
      <c r="B62" s="20" t="n">
        <v>4</v>
      </c>
      <c r="C62" s="20" t="n">
        <f aca="false">C19</f>
        <v>28</v>
      </c>
      <c r="D62" s="26" t="n">
        <f aca="false">IF(D81&lt;&gt;"",SQRT(D81/MAX($C$7,0.000000001)),"")</f>
        <v>4</v>
      </c>
      <c r="E62" s="10" t="n">
        <f aca="false">IF(D62&lt;&gt;"",MAX(1,ROUND(C11*D62,0)),"")</f>
        <v>128</v>
      </c>
      <c r="F62" s="10" t="n">
        <f aca="false">IF(AND(E62&lt;&gt;"",E61&lt;&gt;""),E62-E61,IF(E62&lt;&gt;"",E62,""))</f>
        <v>31</v>
      </c>
      <c r="G62" s="21" t="n">
        <f aca="false">IF(F62&lt;&gt;"",F62*PI()*($C$9+$C$8),"")</f>
        <v>1655.61932844182</v>
      </c>
      <c r="H62" s="24" t="n">
        <f aca="false">IF(G62&lt;&gt;"",G62*4*0.00000001724*1000000/(PI()*$C$8^2),"")</f>
        <v>36.34192</v>
      </c>
      <c r="I62" s="21" t="n">
        <f aca="false">IF(G62&lt;&gt;"",SUM(G59:G62),"")</f>
        <v>6836.10561421139</v>
      </c>
      <c r="J62" s="8"/>
    </row>
    <row r="63" customFormat="false" ht="15" hidden="false" customHeight="true" outlineLevel="0" collapsed="false">
      <c r="B63" s="20" t="n">
        <v>5</v>
      </c>
      <c r="C63" s="20" t="n">
        <f aca="false">C20</f>
        <v>0</v>
      </c>
      <c r="D63" s="26" t="str">
        <f aca="false">IF(D82&lt;&gt;"",SQRT(D82/MAX($C$7,0.000000001)),"")</f>
        <v/>
      </c>
      <c r="E63" s="10" t="str">
        <f aca="false">IF(D63&lt;&gt;"",MAX(1,ROUND(C11*D63,0)),"")</f>
        <v/>
      </c>
      <c r="F63" s="10" t="str">
        <f aca="false">IF(AND(E63&lt;&gt;"",E62&lt;&gt;""),E63-E62,IF(E63&lt;&gt;"",E63,""))</f>
        <v/>
      </c>
      <c r="G63" s="21" t="str">
        <f aca="false">IF(F63&lt;&gt;"",F63*PI()*($C$9+$C$8),"")</f>
        <v/>
      </c>
      <c r="H63" s="24" t="str">
        <f aca="false">IF(G63&lt;&gt;"",G63*4*0.00000001724*1000000/(PI()*$C$8^2),"")</f>
        <v/>
      </c>
      <c r="I63" s="21" t="str">
        <f aca="false">IF(G63&lt;&gt;"",SUM(G59:G63),"")</f>
        <v/>
      </c>
      <c r="J63" s="8"/>
    </row>
    <row r="64" customFormat="false" ht="15" hidden="false" customHeight="true" outlineLevel="0" collapsed="false">
      <c r="B64" s="20" t="n">
        <v>6</v>
      </c>
      <c r="C64" s="20" t="n">
        <f aca="false">C21</f>
        <v>0</v>
      </c>
      <c r="D64" s="26" t="str">
        <f aca="false">IF(D83&lt;&gt;"",SQRT(D83/MAX($C$7,0.000000001)),"")</f>
        <v/>
      </c>
      <c r="E64" s="10" t="str">
        <f aca="false">IF(D64&lt;&gt;"",MAX(1,ROUND(C11*D64,0)),"")</f>
        <v/>
      </c>
      <c r="F64" s="10" t="str">
        <f aca="false">IF(AND(E64&lt;&gt;"",E63&lt;&gt;""),E64-E63,IF(E64&lt;&gt;"",E64,""))</f>
        <v/>
      </c>
      <c r="G64" s="21" t="str">
        <f aca="false">IF(F64&lt;&gt;"",F64*PI()*($C$9+$C$8),"")</f>
        <v/>
      </c>
      <c r="H64" s="24" t="str">
        <f aca="false">IF(G64&lt;&gt;"",G64*4*0.00000001724*1000000/(PI()*$C$8^2),"")</f>
        <v/>
      </c>
      <c r="I64" s="21" t="str">
        <f aca="false">IF(G64&lt;&gt;"",SUM(G59:G64),"")</f>
        <v/>
      </c>
      <c r="J64" s="8"/>
    </row>
    <row r="65" customFormat="false" ht="15" hidden="false" customHeight="true" outlineLevel="0" collapsed="false">
      <c r="B65" s="20" t="n">
        <v>7</v>
      </c>
      <c r="C65" s="20" t="n">
        <f aca="false">C22</f>
        <v>0</v>
      </c>
      <c r="D65" s="26" t="str">
        <f aca="false">IF(D84&lt;&gt;"",SQRT(D84/MAX($C$7,0.000000001)),"")</f>
        <v/>
      </c>
      <c r="E65" s="10" t="str">
        <f aca="false">IF(D65&lt;&gt;"",MAX(1,ROUND(C11*D65,0)),"")</f>
        <v/>
      </c>
      <c r="F65" s="10" t="str">
        <f aca="false">IF(AND(E65&lt;&gt;"",E64&lt;&gt;""),E65-E64,IF(E65&lt;&gt;"",E65,""))</f>
        <v/>
      </c>
      <c r="G65" s="21" t="str">
        <f aca="false">IF(F65&lt;&gt;"",F65*PI()*($C$9+$C$8),"")</f>
        <v/>
      </c>
      <c r="H65" s="24" t="str">
        <f aca="false">IF(G65&lt;&gt;"",G65*4*0.00000001724*1000000/(PI()*$C$8^2),"")</f>
        <v/>
      </c>
      <c r="I65" s="21" t="str">
        <f aca="false">IF(G65&lt;&gt;"",SUM(G59:G65),"")</f>
        <v/>
      </c>
      <c r="J65" s="8"/>
    </row>
    <row r="66" customFormat="false" ht="15" hidden="false" customHeight="true" outlineLevel="0" collapsed="false">
      <c r="B66" s="20" t="n">
        <v>8</v>
      </c>
      <c r="C66" s="20" t="n">
        <f aca="false">C23</f>
        <v>0</v>
      </c>
      <c r="D66" s="26" t="str">
        <f aca="false">IF(D85&lt;&gt;"",SQRT(D85/MAX($C$7,0.000000001)),"")</f>
        <v/>
      </c>
      <c r="E66" s="10" t="str">
        <f aca="false">IF(D66&lt;&gt;"",MAX(1,ROUND(C11*D66,0)),"")</f>
        <v/>
      </c>
      <c r="F66" s="10" t="str">
        <f aca="false">IF(AND(E66&lt;&gt;"",E65&lt;&gt;""),E66-E65,IF(E66&lt;&gt;"",E66,""))</f>
        <v/>
      </c>
      <c r="G66" s="21" t="str">
        <f aca="false">IF(F66&lt;&gt;"",F66*PI()*($C$9+$C$8),"")</f>
        <v/>
      </c>
      <c r="H66" s="24" t="str">
        <f aca="false">IF(G66&lt;&gt;"",G66*4*0.00000001724*1000000/(PI()*$C$8^2),"")</f>
        <v/>
      </c>
      <c r="I66" s="21" t="str">
        <f aca="false">IF(G66&lt;&gt;"",SUM(G59:G66),"")</f>
        <v/>
      </c>
      <c r="J66" s="8"/>
    </row>
    <row r="67" customFormat="false" ht="15" hidden="false" customHeight="true" outlineLevel="0" collapsed="false">
      <c r="B67" s="20" t="n">
        <v>9</v>
      </c>
      <c r="C67" s="20" t="n">
        <f aca="false">C24</f>
        <v>0</v>
      </c>
      <c r="D67" s="26" t="str">
        <f aca="false">IF(D86&lt;&gt;"",SQRT(D86/MAX($C$7,0.000000001)),"")</f>
        <v/>
      </c>
      <c r="E67" s="10" t="str">
        <f aca="false">IF(D67&lt;&gt;"",MAX(1,ROUND(C11*D67,0)),"")</f>
        <v/>
      </c>
      <c r="F67" s="10" t="str">
        <f aca="false">IF(AND(E67&lt;&gt;"",E66&lt;&gt;""),E67-E66,IF(E67&lt;&gt;"",E67,""))</f>
        <v/>
      </c>
      <c r="G67" s="21" t="str">
        <f aca="false">IF(F67&lt;&gt;"",F67*PI()*($C$9+$C$8),"")</f>
        <v/>
      </c>
      <c r="H67" s="24" t="str">
        <f aca="false">IF(G67&lt;&gt;"",G67*4*0.00000001724*1000000/(PI()*$C$8^2),"")</f>
        <v/>
      </c>
      <c r="I67" s="21" t="str">
        <f aca="false">IF(G67&lt;&gt;"",SUM(G59:G67),"")</f>
        <v/>
      </c>
      <c r="J67" s="8"/>
    </row>
    <row r="68" customFormat="false" ht="15" hidden="false" customHeight="true" outlineLevel="0" collapsed="false">
      <c r="B68" s="20" t="n">
        <v>10</v>
      </c>
      <c r="C68" s="20" t="n">
        <f aca="false">C25</f>
        <v>0</v>
      </c>
      <c r="D68" s="26" t="str">
        <f aca="false">IF(D87&lt;&gt;"",SQRT(D87/MAX($C$7,0.000000001)),"")</f>
        <v/>
      </c>
      <c r="E68" s="10" t="str">
        <f aca="false">IF(D68&lt;&gt;"",MAX(1,ROUND(C11*D68,0)),"")</f>
        <v/>
      </c>
      <c r="F68" s="10" t="str">
        <f aca="false">IF(AND(E68&lt;&gt;"",E67&lt;&gt;""),E68-E67,IF(E68&lt;&gt;"",E68,""))</f>
        <v/>
      </c>
      <c r="G68" s="21" t="str">
        <f aca="false">IF(F68&lt;&gt;"",F68*PI()*($C$9+$C$8),"")</f>
        <v/>
      </c>
      <c r="H68" s="24" t="str">
        <f aca="false">IF(G68&lt;&gt;"",G68*4*0.00000001724*1000000/(PI()*$C$8^2),"")</f>
        <v/>
      </c>
      <c r="I68" s="21" t="str">
        <f aca="false">IF(G68&lt;&gt;"",SUM(G59:G68),"")</f>
        <v/>
      </c>
      <c r="J68" s="8"/>
    </row>
    <row r="69" customFormat="false" ht="15" hidden="false" customHeight="true" outlineLevel="0" collapsed="false">
      <c r="B69" s="20" t="n">
        <v>11</v>
      </c>
      <c r="C69" s="20" t="n">
        <f aca="false">C26</f>
        <v>0</v>
      </c>
      <c r="D69" s="26" t="str">
        <f aca="false">IF(D88&lt;&gt;"",SQRT(D88/MAX($C$7,0.000000001)),"")</f>
        <v/>
      </c>
      <c r="E69" s="10" t="str">
        <f aca="false">IF(D69&lt;&gt;"",MAX(1,ROUND(C11*D69,0)),"")</f>
        <v/>
      </c>
      <c r="F69" s="10" t="str">
        <f aca="false">IF(AND(E69&lt;&gt;"",E68&lt;&gt;""),E69-E68,IF(E69&lt;&gt;"",E69,""))</f>
        <v/>
      </c>
      <c r="G69" s="21" t="str">
        <f aca="false">IF(F69&lt;&gt;"",F69*PI()*($C$9+$C$8),"")</f>
        <v/>
      </c>
      <c r="H69" s="24" t="str">
        <f aca="false">IF(G69&lt;&gt;"",G69*4*0.00000001724*1000000/(PI()*$C$8^2),"")</f>
        <v/>
      </c>
      <c r="I69" s="21" t="str">
        <f aca="false">IF(G69&lt;&gt;"",SUM(G59:G69),"")</f>
        <v/>
      </c>
      <c r="J69" s="8"/>
    </row>
    <row r="71" customFormat="false" ht="15" hidden="false" customHeight="true" outlineLevel="0" collapsed="false">
      <c r="B71" s="29" t="s">
        <v>57</v>
      </c>
      <c r="C71" s="29"/>
      <c r="D71" s="29"/>
      <c r="E71" s="10" t="n">
        <f aca="false">IFERROR(MAX(E59:E69),"")</f>
        <v>128</v>
      </c>
      <c r="H71" s="30" t="n">
        <f aca="false">IFERROR(SUM(H59:H69),"")</f>
        <v>150.05696</v>
      </c>
      <c r="I71" s="31" t="n">
        <f aca="false">IFERROR(MAX(I59:I69),"")</f>
        <v>6836.10561421139</v>
      </c>
    </row>
    <row r="73" customFormat="false" ht="15" hidden="false" customHeight="true" outlineLevel="0" collapsed="false">
      <c r="B73" s="2" t="s">
        <v>58</v>
      </c>
      <c r="C73" s="2"/>
      <c r="D73" s="2"/>
      <c r="E73" s="2"/>
      <c r="F73" s="2"/>
      <c r="G73" s="2"/>
      <c r="H73" s="2"/>
      <c r="I73" s="2"/>
    </row>
    <row r="74" customFormat="false" ht="15" hidden="false" customHeight="true" outlineLevel="0" collapsed="false">
      <c r="B74" s="3" t="s">
        <v>59</v>
      </c>
      <c r="C74" s="3"/>
      <c r="D74" s="3"/>
      <c r="E74" s="3"/>
      <c r="F74" s="3"/>
      <c r="G74" s="3"/>
      <c r="H74" s="3"/>
      <c r="I74" s="3"/>
    </row>
    <row r="76" customFormat="false" ht="15" hidden="false" customHeight="true" outlineLevel="0" collapsed="false">
      <c r="B76" s="4" t="s">
        <v>60</v>
      </c>
      <c r="C76" s="4"/>
      <c r="D76" s="4"/>
      <c r="E76" s="4"/>
      <c r="F76" s="4"/>
      <c r="G76" s="4"/>
      <c r="H76" s="4"/>
      <c r="I76" s="4"/>
    </row>
    <row r="77" customFormat="false" ht="38.25" hidden="false" customHeight="true" outlineLevel="0" collapsed="false">
      <c r="B77" s="5" t="s">
        <v>22</v>
      </c>
      <c r="C77" s="5" t="s">
        <v>40</v>
      </c>
      <c r="D77" s="5" t="s">
        <v>61</v>
      </c>
      <c r="E77" s="5" t="s">
        <v>42</v>
      </c>
      <c r="F77" s="5" t="s">
        <v>62</v>
      </c>
      <c r="G77" s="5" t="s">
        <v>63</v>
      </c>
      <c r="H77" s="5" t="s">
        <v>64</v>
      </c>
      <c r="I77" s="5" t="s">
        <v>65</v>
      </c>
    </row>
    <row r="78" customFormat="false" ht="15" hidden="false" customHeight="true" outlineLevel="0" collapsed="false">
      <c r="B78" s="23" t="n">
        <v>1</v>
      </c>
      <c r="C78" s="20" t="n">
        <f aca="false">C16</f>
        <v>7.2</v>
      </c>
      <c r="D78" s="24" t="n">
        <f aca="false">IF(AND(ISNUMBER(D16),D16&gt;0),SQRT(D16^2+IF(ISNUMBER(E16),E16,0)^2),"")</f>
        <v>200</v>
      </c>
      <c r="E78" s="25" t="n">
        <f aca="false">IF(AND(ISNUMBER(D16),D16&gt;0),IFERROR(DEGREES(ATAN2(D16,IF(ISNUMBER(E16),E16,0))),""),"")</f>
        <v>0</v>
      </c>
      <c r="F78" s="27" t="n">
        <f aca="false">IF(D78&lt;&gt;"",IFERROR((1+SQRT(((IF(ISNUMBER(D16),D16/MAX((D78/C7),0.000000001),C7)-C7)^2+(IF(ISNUMBER(E16),E16/MAX((D78/C7),0.000000001),0))^2)/((IF(ISNUMBER(D16),D16/MAX((D78/C7),0.000000001),C7)+C7)^2+(IF(ISNUMBER(E16),E16/MAX((D78/C7),0.000000001),0))^2)))/(1-SQRT(((IF(ISNUMBER(D16),D16/MAX((D78/C7),0.000000001),C7)-C7)^2+(IF(ISNUMBER(E16),E16/MAX((D78/C7),0.000000001),0))^2)/((IF(ISNUMBER(D16),D16/MAX((D78/C7),0.000000001),C7)+C7)^2+(IF(ISNUMBER(E16),E16/MAX((D78/C7),0.000000001),0))^2))),999),"")</f>
        <v>1</v>
      </c>
      <c r="G78" s="28" t="n">
        <f aca="false">IF(D78&lt;&gt;"",IFERROR(-20*LOG10(MAX(SQRT(((IF(ISNUMBER(D16),D16/MAX((D78/C7),0.000000001),C7)-C7)^2+(IF(ISNUMBER(E16),E16/MAX((D78/C7),0.000000001),0))^2)/((IF(ISNUMBER(D16),D16/MAX((D78/C7),0.000000001),C7)+C7)^2+(IF(ISNUMBER(E16),E16/MAX((D78/C7),0.000000001),0))^2)),0.000000001)),0),"")</f>
        <v>180</v>
      </c>
      <c r="H78" s="27" t="n">
        <f aca="false">IF(D78&lt;&gt;"",IFERROR(MAX(0,-10*LOG10(1-((IF(ISNUMBER(D16),D16/MAX((D78/C7),0.000000001),C7)-C7)^2+(IF(ISNUMBER(E16),E16/MAX((D78/C7),0.000000001),0))^2)/((IF(ISNUMBER(D16),D16/MAX((D78/C7),0.000000001),C7)+C7)^2+(IF(ISNUMBER(E16),E16/MAX((D78/C7),0.000000001),0))^2))),0),"")</f>
        <v>-0</v>
      </c>
      <c r="I78" s="27" t="n">
        <f aca="false">IF(D78&lt;&gt;"",IFERROR(((IF(ISNUMBER(D16),D16/MAX((D78/C7),0.000000001),C7)-C7)^2+(IF(ISNUMBER(E16),E16/MAX((D78/C7),0.000000001),0))^2)/((IF(ISNUMBER(D16),D16/MAX((D78/C7),0.000000001),C7)+C7)^2+(IF(ISNUMBER(E16),E16/MAX((D78/C7),0.000000001),0))^2)*100,0),"")</f>
        <v>0</v>
      </c>
    </row>
    <row r="79" customFormat="false" ht="15" hidden="false" customHeight="true" outlineLevel="0" collapsed="false">
      <c r="B79" s="23" t="n">
        <v>2</v>
      </c>
      <c r="C79" s="20" t="n">
        <f aca="false">C17</f>
        <v>10</v>
      </c>
      <c r="D79" s="24" t="n">
        <f aca="false">IF(AND(ISNUMBER(D17),D17&gt;0),SQRT(D17^2+IF(ISNUMBER(E17),E17,0)^2),"")</f>
        <v>316.227766016838</v>
      </c>
      <c r="E79" s="25" t="n">
        <f aca="false">IF(AND(ISNUMBER(D17),D17&gt;0),IFERROR(DEGREES(ATAN2(D17,IF(ISNUMBER(E17),E17,0))),""),"")</f>
        <v>18.434948822922</v>
      </c>
      <c r="F79" s="27" t="n">
        <f aca="false">IF(D79&lt;&gt;"",IFERROR((1+SQRT(((IF(ISNUMBER(D17),D17/MAX((D79/C7),0.000000001),C7)-C7)^2+(IF(ISNUMBER(E17),E17/MAX((D79/C7),0.000000001),0))^2)/((IF(ISNUMBER(D17),D17/MAX((D79/C7),0.000000001),C7)+C7)^2+(IF(ISNUMBER(E17),E17/MAX((D79/C7),0.000000001),0))^2)))/(1-SQRT(((IF(ISNUMBER(D17),D17/MAX((D79/C7),0.000000001),C7)-C7)^2+(IF(ISNUMBER(E17),E17/MAX((D79/C7),0.000000001),0))^2)/((IF(ISNUMBER(D17),D17/MAX((D79/C7),0.000000001),C7)+C7)^2+(IF(ISNUMBER(E17),E17/MAX((D79/C7),0.000000001),0))^2))),999),"")</f>
        <v>1.38742588672279</v>
      </c>
      <c r="G79" s="28" t="n">
        <f aca="false">IF(D79&lt;&gt;"",IFERROR(-20*LOG10(MAX(SQRT(((IF(ISNUMBER(D17),D17/MAX((D79/C7),0.000000001),C7)-C7)^2+(IF(ISNUMBER(E17),E17/MAX((D79/C7),0.000000001),0))^2)/((IF(ISNUMBER(D17),D17/MAX((D79/C7),0.000000001),C7)+C7)^2+(IF(ISNUMBER(E17),E17/MAX((D79/C7),0.000000001),0))^2)),0.000000001)),0),"")</f>
        <v>15.7948252576199</v>
      </c>
      <c r="H79" s="27" t="n">
        <f aca="false">IF(D79&lt;&gt;"",IFERROR(MAX(0,-10*LOG10(1-((IF(ISNUMBER(D17),D17/MAX((D79/C7),0.000000001),C7)-C7)^2+(IF(ISNUMBER(E17),E17/MAX((D79/C7),0.000000001),0))^2)/((IF(ISNUMBER(D17),D17/MAX((D79/C7),0.000000001),C7)+C7)^2+(IF(ISNUMBER(E17),E17/MAX((D79/C7),0.000000001),0))^2))),0),"")</f>
        <v>0.115900124973496</v>
      </c>
      <c r="I79" s="27" t="n">
        <f aca="false">IF(D79&lt;&gt;"",IFERROR(((IF(ISNUMBER(D17),D17/MAX((D79/C7),0.000000001),C7)-C7)^2+(IF(ISNUMBER(E17),E17/MAX((D79/C7),0.000000001),0))^2)/((IF(ISNUMBER(D17),D17/MAX((D79/C7),0.000000001),C7)+C7)^2+(IF(ISNUMBER(E17),E17/MAX((D79/C7),0.000000001),0))^2)*100,0),"")</f>
        <v>2.6334038989724</v>
      </c>
    </row>
    <row r="80" customFormat="false" ht="15" hidden="false" customHeight="true" outlineLevel="0" collapsed="false">
      <c r="B80" s="23" t="n">
        <v>3</v>
      </c>
      <c r="C80" s="20" t="n">
        <f aca="false">C18</f>
        <v>18</v>
      </c>
      <c r="D80" s="24" t="n">
        <f aca="false">IF(AND(ISNUMBER(D18),D18&gt;0),SQRT(D18^2+IF(ISNUMBER(E18),E18,0)^2),"")</f>
        <v>457.055795281058</v>
      </c>
      <c r="E80" s="25" t="n">
        <f aca="false">IF(AND(ISNUMBER(D18),D18&gt;0),IFERROR(DEGREES(ATAN2(D18,IF(ISNUMBER(E18),E18,0))),""),"")</f>
        <v>-10.0805979875423</v>
      </c>
      <c r="F80" s="27" t="n">
        <f aca="false">IF(D80&lt;&gt;"",IFERROR((1+SQRT(((IF(ISNUMBER(D18),D18/MAX((D80/C7),0.000000001),C7)-C7)^2+(IF(ISNUMBER(E18),E18/MAX((D80/C7),0.000000001),0))^2)/((IF(ISNUMBER(D18),D18/MAX((D80/C7),0.000000001),C7)+C7)^2+(IF(ISNUMBER(E18),E18/MAX((D80/C7),0.000000001),0))^2)))/(1-SQRT(((IF(ISNUMBER(D18),D18/MAX((D80/C7),0.000000001),C7)-C7)^2+(IF(ISNUMBER(E18),E18/MAX((D80/C7),0.000000001),0))^2)/((IF(ISNUMBER(D18),D18/MAX((D80/C7),0.000000001),C7)+C7)^2+(IF(ISNUMBER(E18),E18/MAX((D80/C7),0.000000001),0))^2))),999),"")</f>
        <v>1.19345732284679</v>
      </c>
      <c r="G80" s="28" t="n">
        <f aca="false">IF(D80&lt;&gt;"",IFERROR(-20*LOG10(MAX(SQRT(((IF(ISNUMBER(D18),D18/MAX((D80/C7),0.000000001),C7)-C7)^2+(IF(ISNUMBER(E18),E18/MAX((D80/C7),0.000000001),0))^2)/((IF(ISNUMBER(D18),D18/MAX((D80/C7),0.000000001),C7)+C7)^2+(IF(ISNUMBER(E18),E18/MAX((D80/C7),0.000000001),0))^2)),0.000000001)),0),"")</f>
        <v>21.0908803086925</v>
      </c>
      <c r="H80" s="27" t="n">
        <f aca="false">IF(D80&lt;&gt;"",IFERROR(MAX(0,-10*LOG10(1-((IF(ISNUMBER(D18),D18/MAX((D80/C7),0.000000001),C7)-C7)^2+(IF(ISNUMBER(E18),E18/MAX((D80/C7),0.000000001),0))^2)/((IF(ISNUMBER(D18),D18/MAX((D80/C7),0.000000001),C7)+C7)^2+(IF(ISNUMBER(E18),E18/MAX((D80/C7),0.000000001),0))^2))),0),"")</f>
        <v>0.0339149298724391</v>
      </c>
      <c r="I80" s="27" t="n">
        <f aca="false">IF(D80&lt;&gt;"",IFERROR(((IF(ISNUMBER(D18),D18/MAX((D80/C7),0.000000001),C7)-C7)^2+(IF(ISNUMBER(E18),E18/MAX((D80/C7),0.000000001),0))^2)/((IF(ISNUMBER(D18),D18/MAX((D80/C7),0.000000001),C7)+C7)^2+(IF(ISNUMBER(E18),E18/MAX((D80/C7),0.000000001),0))^2)*100,0),"")</f>
        <v>0.777878860128034</v>
      </c>
    </row>
    <row r="81" customFormat="false" ht="15" hidden="false" customHeight="true" outlineLevel="0" collapsed="false">
      <c r="B81" s="23" t="n">
        <v>4</v>
      </c>
      <c r="C81" s="20" t="n">
        <f aca="false">C19</f>
        <v>28</v>
      </c>
      <c r="D81" s="24" t="n">
        <f aca="false">IF(AND(ISNUMBER(D19),D19&gt;0),SQRT(D19^2+IF(ISNUMBER(E19),E19,0)^2),"")</f>
        <v>800</v>
      </c>
      <c r="E81" s="25" t="n">
        <f aca="false">IF(AND(ISNUMBER(D19),D19&gt;0),IFERROR(DEGREES(ATAN2(D19,IF(ISNUMBER(E19),E19,0))),""),"")</f>
        <v>0</v>
      </c>
      <c r="F81" s="27" t="n">
        <f aca="false">IF(D81&lt;&gt;"",IFERROR((1+SQRT(((IF(ISNUMBER(D19),D19/MAX((D81/C7),0.000000001),C7)-C7)^2+(IF(ISNUMBER(E19),E19/MAX((D81/C7),0.000000001),0))^2)/((IF(ISNUMBER(D19),D19/MAX((D81/C7),0.000000001),C7)+C7)^2+(IF(ISNUMBER(E19),E19/MAX((D81/C7),0.000000001),0))^2)))/(1-SQRT(((IF(ISNUMBER(D19),D19/MAX((D81/C7),0.000000001),C7)-C7)^2+(IF(ISNUMBER(E19),E19/MAX((D81/C7),0.000000001),0))^2)/((IF(ISNUMBER(D19),D19/MAX((D81/C7),0.000000001),C7)+C7)^2+(IF(ISNUMBER(E19),E19/MAX((D81/C7),0.000000001),0))^2))),999),"")</f>
        <v>1</v>
      </c>
      <c r="G81" s="28" t="n">
        <f aca="false">IF(D81&lt;&gt;"",IFERROR(-20*LOG10(MAX(SQRT(((IF(ISNUMBER(D19),D19/MAX((D81/C7),0.000000001),C7)-C7)^2+(IF(ISNUMBER(E19),E19/MAX((D81/C7),0.000000001),0))^2)/((IF(ISNUMBER(D19),D19/MAX((D81/C7),0.000000001),C7)+C7)^2+(IF(ISNUMBER(E19),E19/MAX((D81/C7),0.000000001),0))^2)),0.000000001)),0),"")</f>
        <v>180</v>
      </c>
      <c r="H81" s="27" t="n">
        <f aca="false">IF(D81&lt;&gt;"",IFERROR(MAX(0,-10*LOG10(1-((IF(ISNUMBER(D19),D19/MAX((D81/C7),0.000000001),C7)-C7)^2+(IF(ISNUMBER(E19),E19/MAX((D81/C7),0.000000001),0))^2)/((IF(ISNUMBER(D19),D19/MAX((D81/C7),0.000000001),C7)+C7)^2+(IF(ISNUMBER(E19),E19/MAX((D81/C7),0.000000001),0))^2))),0),"")</f>
        <v>-0</v>
      </c>
      <c r="I81" s="27" t="n">
        <f aca="false">IF(D81&lt;&gt;"",IFERROR(((IF(ISNUMBER(D19),D19/MAX((D81/C7),0.000000001),C7)-C7)^2+(IF(ISNUMBER(E19),E19/MAX((D81/C7),0.000000001),0))^2)/((IF(ISNUMBER(D19),D19/MAX((D81/C7),0.000000001),C7)+C7)^2+(IF(ISNUMBER(E19),E19/MAX((D81/C7),0.000000001),0))^2)*100,0),"")</f>
        <v>0</v>
      </c>
    </row>
    <row r="82" customFormat="false" ht="15" hidden="false" customHeight="true" outlineLevel="0" collapsed="false">
      <c r="B82" s="23" t="n">
        <v>5</v>
      </c>
      <c r="C82" s="20" t="n">
        <f aca="false">C20</f>
        <v>0</v>
      </c>
      <c r="D82" s="24" t="str">
        <f aca="false">IF(AND(ISNUMBER(D20),D20&gt;0),SQRT(D20^2+IF(ISNUMBER(E20),E20,0)^2),"")</f>
        <v/>
      </c>
      <c r="E82" s="25" t="str">
        <f aca="false">IF(AND(ISNUMBER(D20),D20&gt;0),IFERROR(DEGREES(ATAN2(D20,IF(ISNUMBER(E20),E20,0))),""),"")</f>
        <v/>
      </c>
      <c r="F82" s="27" t="str">
        <f aca="false">IF(D82&lt;&gt;"",IFERROR((1+SQRT(((IF(ISNUMBER(D20),D20/MAX((D82/C7),0.000000001),C7)-C7)^2+(IF(ISNUMBER(E20),E20/MAX((D82/C7),0.000000001),0))^2)/((IF(ISNUMBER(D20),D20/MAX((D82/C7),0.000000001),C7)+C7)^2+(IF(ISNUMBER(E20),E20/MAX((D82/C7),0.000000001),0))^2)))/(1-SQRT(((IF(ISNUMBER(D20),D20/MAX((D82/C7),0.000000001),C7)-C7)^2+(IF(ISNUMBER(E20),E20/MAX((D82/C7),0.000000001),0))^2)/((IF(ISNUMBER(D20),D20/MAX((D82/C7),0.000000001),C7)+C7)^2+(IF(ISNUMBER(E20),E20/MAX((D82/C7),0.000000001),0))^2))),999),"")</f>
        <v/>
      </c>
      <c r="G82" s="28" t="str">
        <f aca="false">IF(D82&lt;&gt;"",IFERROR(-20*LOG10(MAX(SQRT(((IF(ISNUMBER(D20),D20/MAX((D82/C7),0.000000001),C7)-C7)^2+(IF(ISNUMBER(E20),E20/MAX((D82/C7),0.000000001),0))^2)/((IF(ISNUMBER(D20),D20/MAX((D82/C7),0.000000001),C7)+C7)^2+(IF(ISNUMBER(E20),E20/MAX((D82/C7),0.000000001),0))^2)),0.000000001)),0),"")</f>
        <v/>
      </c>
      <c r="H82" s="27" t="str">
        <f aca="false">IF(D82&lt;&gt;"",IFERROR(MAX(0,-10*LOG10(1-((IF(ISNUMBER(D20),D20/MAX((D82/C7),0.000000001),C7)-C7)^2+(IF(ISNUMBER(E20),E20/MAX((D82/C7),0.000000001),0))^2)/((IF(ISNUMBER(D20),D20/MAX((D82/C7),0.000000001),C7)+C7)^2+(IF(ISNUMBER(E20),E20/MAX((D82/C7),0.000000001),0))^2))),0),"")</f>
        <v/>
      </c>
      <c r="I82" s="27" t="str">
        <f aca="false">IF(D82&lt;&gt;"",IFERROR(((IF(ISNUMBER(D20),D20/MAX((D82/C7),0.000000001),C7)-C7)^2+(IF(ISNUMBER(E20),E20/MAX((D82/C7),0.000000001),0))^2)/((IF(ISNUMBER(D20),D20/MAX((D82/C7),0.000000001),C7)+C7)^2+(IF(ISNUMBER(E20),E20/MAX((D82/C7),0.000000001),0))^2)*100,0),"")</f>
        <v/>
      </c>
    </row>
    <row r="83" customFormat="false" ht="15" hidden="false" customHeight="true" outlineLevel="0" collapsed="false">
      <c r="B83" s="23" t="n">
        <v>6</v>
      </c>
      <c r="C83" s="20" t="n">
        <f aca="false">C21</f>
        <v>0</v>
      </c>
      <c r="D83" s="24" t="str">
        <f aca="false">IF(AND(ISNUMBER(D21),D21&gt;0),SQRT(D21^2+IF(ISNUMBER(E21),E21,0)^2),"")</f>
        <v/>
      </c>
      <c r="E83" s="25" t="str">
        <f aca="false">IF(AND(ISNUMBER(D21),D21&gt;0),IFERROR(DEGREES(ATAN2(D21,IF(ISNUMBER(E21),E21,0))),""),"")</f>
        <v/>
      </c>
      <c r="F83" s="27" t="str">
        <f aca="false">IF(D83&lt;&gt;"",IFERROR((1+SQRT(((IF(ISNUMBER(D21),D21/MAX((D83/C7),0.000000001),C7)-C7)^2+(IF(ISNUMBER(E21),E21/MAX((D83/C7),0.000000001),0))^2)/((IF(ISNUMBER(D21),D21/MAX((D83/C7),0.000000001),C7)+C7)^2+(IF(ISNUMBER(E21),E21/MAX((D83/C7),0.000000001),0))^2)))/(1-SQRT(((IF(ISNUMBER(D21),D21/MAX((D83/C7),0.000000001),C7)-C7)^2+(IF(ISNUMBER(E21),E21/MAX((D83/C7),0.000000001),0))^2)/((IF(ISNUMBER(D21),D21/MAX((D83/C7),0.000000001),C7)+C7)^2+(IF(ISNUMBER(E21),E21/MAX((D83/C7),0.000000001),0))^2))),999),"")</f>
        <v/>
      </c>
      <c r="G83" s="28" t="str">
        <f aca="false">IF(D83&lt;&gt;"",IFERROR(-20*LOG10(MAX(SQRT(((IF(ISNUMBER(D21),D21/MAX((D83/C7),0.000000001),C7)-C7)^2+(IF(ISNUMBER(E21),E21/MAX((D83/C7),0.000000001),0))^2)/((IF(ISNUMBER(D21),D21/MAX((D83/C7),0.000000001),C7)+C7)^2+(IF(ISNUMBER(E21),E21/MAX((D83/C7),0.000000001),0))^2)),0.000000001)),0),"")</f>
        <v/>
      </c>
      <c r="H83" s="27" t="str">
        <f aca="false">IF(D83&lt;&gt;"",IFERROR(MAX(0,-10*LOG10(1-((IF(ISNUMBER(D21),D21/MAX((D83/C7),0.000000001),C7)-C7)^2+(IF(ISNUMBER(E21),E21/MAX((D83/C7),0.000000001),0))^2)/((IF(ISNUMBER(D21),D21/MAX((D83/C7),0.000000001),C7)+C7)^2+(IF(ISNUMBER(E21),E21/MAX((D83/C7),0.000000001),0))^2))),0),"")</f>
        <v/>
      </c>
      <c r="I83" s="27" t="str">
        <f aca="false">IF(D83&lt;&gt;"",IFERROR(((IF(ISNUMBER(D21),D21/MAX((D83/C7),0.000000001),C7)-C7)^2+(IF(ISNUMBER(E21),E21/MAX((D83/C7),0.000000001),0))^2)/((IF(ISNUMBER(D21),D21/MAX((D83/C7),0.000000001),C7)+C7)^2+(IF(ISNUMBER(E21),E21/MAX((D83/C7),0.000000001),0))^2)*100,0),"")</f>
        <v/>
      </c>
    </row>
    <row r="84" customFormat="false" ht="15" hidden="false" customHeight="true" outlineLevel="0" collapsed="false">
      <c r="B84" s="23" t="n">
        <v>7</v>
      </c>
      <c r="C84" s="20" t="n">
        <f aca="false">C22</f>
        <v>0</v>
      </c>
      <c r="D84" s="24" t="str">
        <f aca="false">IF(AND(ISNUMBER(D22),D22&gt;0),SQRT(D22^2+IF(ISNUMBER(E22),E22,0)^2),"")</f>
        <v/>
      </c>
      <c r="E84" s="25" t="str">
        <f aca="false">IF(AND(ISNUMBER(D22),D22&gt;0),IFERROR(DEGREES(ATAN2(D22,IF(ISNUMBER(E22),E22,0))),""),"")</f>
        <v/>
      </c>
      <c r="F84" s="27" t="str">
        <f aca="false">IF(D84&lt;&gt;"",IFERROR((1+SQRT(((IF(ISNUMBER(D22),D22/MAX((D84/C7),0.000000001),C7)-C7)^2+(IF(ISNUMBER(E22),E22/MAX((D84/C7),0.000000001),0))^2)/((IF(ISNUMBER(D22),D22/MAX((D84/C7),0.000000001),C7)+C7)^2+(IF(ISNUMBER(E22),E22/MAX((D84/C7),0.000000001),0))^2)))/(1-SQRT(((IF(ISNUMBER(D22),D22/MAX((D84/C7),0.000000001),C7)-C7)^2+(IF(ISNUMBER(E22),E22/MAX((D84/C7),0.000000001),0))^2)/((IF(ISNUMBER(D22),D22/MAX((D84/C7),0.000000001),C7)+C7)^2+(IF(ISNUMBER(E22),E22/MAX((D84/C7),0.000000001),0))^2))),999),"")</f>
        <v/>
      </c>
      <c r="G84" s="28" t="str">
        <f aca="false">IF(D84&lt;&gt;"",IFERROR(-20*LOG10(MAX(SQRT(((IF(ISNUMBER(D22),D22/MAX((D84/C7),0.000000001),C7)-C7)^2+(IF(ISNUMBER(E22),E22/MAX((D84/C7),0.000000001),0))^2)/((IF(ISNUMBER(D22),D22/MAX((D84/C7),0.000000001),C7)+C7)^2+(IF(ISNUMBER(E22),E22/MAX((D84/C7),0.000000001),0))^2)),0.000000001)),0),"")</f>
        <v/>
      </c>
      <c r="H84" s="27" t="str">
        <f aca="false">IF(D84&lt;&gt;"",IFERROR(MAX(0,-10*LOG10(1-((IF(ISNUMBER(D22),D22/MAX((D84/C7),0.000000001),C7)-C7)^2+(IF(ISNUMBER(E22),E22/MAX((D84/C7),0.000000001),0))^2)/((IF(ISNUMBER(D22),D22/MAX((D84/C7),0.000000001),C7)+C7)^2+(IF(ISNUMBER(E22),E22/MAX((D84/C7),0.000000001),0))^2))),0),"")</f>
        <v/>
      </c>
      <c r="I84" s="27" t="str">
        <f aca="false">IF(D84&lt;&gt;"",IFERROR(((IF(ISNUMBER(D22),D22/MAX((D84/C7),0.000000001),C7)-C7)^2+(IF(ISNUMBER(E22),E22/MAX((D84/C7),0.000000001),0))^2)/((IF(ISNUMBER(D22),D22/MAX((D84/C7),0.000000001),C7)+C7)^2+(IF(ISNUMBER(E22),E22/MAX((D84/C7),0.000000001),0))^2)*100,0),"")</f>
        <v/>
      </c>
    </row>
    <row r="85" customFormat="false" ht="15" hidden="false" customHeight="true" outlineLevel="0" collapsed="false">
      <c r="B85" s="23" t="n">
        <v>8</v>
      </c>
      <c r="C85" s="20" t="n">
        <f aca="false">C23</f>
        <v>0</v>
      </c>
      <c r="D85" s="24" t="str">
        <f aca="false">IF(AND(ISNUMBER(D23),D23&gt;0),SQRT(D23^2+IF(ISNUMBER(E23),E23,0)^2),"")</f>
        <v/>
      </c>
      <c r="E85" s="25" t="str">
        <f aca="false">IF(AND(ISNUMBER(D23),D23&gt;0),IFERROR(DEGREES(ATAN2(D23,IF(ISNUMBER(E23),E23,0))),""),"")</f>
        <v/>
      </c>
      <c r="F85" s="27" t="str">
        <f aca="false">IF(D85&lt;&gt;"",IFERROR((1+SQRT(((IF(ISNUMBER(D23),D23/MAX((D85/C7),0.000000001),C7)-C7)^2+(IF(ISNUMBER(E23),E23/MAX((D85/C7),0.000000001),0))^2)/((IF(ISNUMBER(D23),D23/MAX((D85/C7),0.000000001),C7)+C7)^2+(IF(ISNUMBER(E23),E23/MAX((D85/C7),0.000000001),0))^2)))/(1-SQRT(((IF(ISNUMBER(D23),D23/MAX((D85/C7),0.000000001),C7)-C7)^2+(IF(ISNUMBER(E23),E23/MAX((D85/C7),0.000000001),0))^2)/((IF(ISNUMBER(D23),D23/MAX((D85/C7),0.000000001),C7)+C7)^2+(IF(ISNUMBER(E23),E23/MAX((D85/C7),0.000000001),0))^2))),999),"")</f>
        <v/>
      </c>
      <c r="G85" s="28" t="str">
        <f aca="false">IF(D85&lt;&gt;"",IFERROR(-20*LOG10(MAX(SQRT(((IF(ISNUMBER(D23),D23/MAX((D85/C7),0.000000001),C7)-C7)^2+(IF(ISNUMBER(E23),E23/MAX((D85/C7),0.000000001),0))^2)/((IF(ISNUMBER(D23),D23/MAX((D85/C7),0.000000001),C7)+C7)^2+(IF(ISNUMBER(E23),E23/MAX((D85/C7),0.000000001),0))^2)),0.000000001)),0),"")</f>
        <v/>
      </c>
      <c r="H85" s="27" t="str">
        <f aca="false">IF(D85&lt;&gt;"",IFERROR(MAX(0,-10*LOG10(1-((IF(ISNUMBER(D23),D23/MAX((D85/C7),0.000000001),C7)-C7)^2+(IF(ISNUMBER(E23),E23/MAX((D85/C7),0.000000001),0))^2)/((IF(ISNUMBER(D23),D23/MAX((D85/C7),0.000000001),C7)+C7)^2+(IF(ISNUMBER(E23),E23/MAX((D85/C7),0.000000001),0))^2))),0),"")</f>
        <v/>
      </c>
      <c r="I85" s="27" t="str">
        <f aca="false">IF(D85&lt;&gt;"",IFERROR(((IF(ISNUMBER(D23),D23/MAX((D85/C7),0.000000001),C7)-C7)^2+(IF(ISNUMBER(E23),E23/MAX((D85/C7),0.000000001),0))^2)/((IF(ISNUMBER(D23),D23/MAX((D85/C7),0.000000001),C7)+C7)^2+(IF(ISNUMBER(E23),E23/MAX((D85/C7),0.000000001),0))^2)*100,0),"")</f>
        <v/>
      </c>
    </row>
    <row r="86" customFormat="false" ht="15" hidden="false" customHeight="true" outlineLevel="0" collapsed="false">
      <c r="B86" s="23" t="n">
        <v>9</v>
      </c>
      <c r="C86" s="20" t="n">
        <f aca="false">C24</f>
        <v>0</v>
      </c>
      <c r="D86" s="24" t="str">
        <f aca="false">IF(AND(ISNUMBER(D24),D24&gt;0),SQRT(D24^2+IF(ISNUMBER(E24),E24,0)^2),"")</f>
        <v/>
      </c>
      <c r="E86" s="25" t="str">
        <f aca="false">IF(AND(ISNUMBER(D24),D24&gt;0),IFERROR(DEGREES(ATAN2(D24,IF(ISNUMBER(E24),E24,0))),""),"")</f>
        <v/>
      </c>
      <c r="F86" s="27" t="str">
        <f aca="false">IF(D86&lt;&gt;"",IFERROR((1+SQRT(((IF(ISNUMBER(D24),D24/MAX((D86/C7),0.000000001),C7)-C7)^2+(IF(ISNUMBER(E24),E24/MAX((D86/C7),0.000000001),0))^2)/((IF(ISNUMBER(D24),D24/MAX((D86/C7),0.000000001),C7)+C7)^2+(IF(ISNUMBER(E24),E24/MAX((D86/C7),0.000000001),0))^2)))/(1-SQRT(((IF(ISNUMBER(D24),D24/MAX((D86/C7),0.000000001),C7)-C7)^2+(IF(ISNUMBER(E24),E24/MAX((D86/C7),0.000000001),0))^2)/((IF(ISNUMBER(D24),D24/MAX((D86/C7),0.000000001),C7)+C7)^2+(IF(ISNUMBER(E24),E24/MAX((D86/C7),0.000000001),0))^2))),999),"")</f>
        <v/>
      </c>
      <c r="G86" s="28" t="str">
        <f aca="false">IF(D86&lt;&gt;"",IFERROR(-20*LOG10(MAX(SQRT(((IF(ISNUMBER(D24),D24/MAX((D86/C7),0.000000001),C7)-C7)^2+(IF(ISNUMBER(E24),E24/MAX((D86/C7),0.000000001),0))^2)/((IF(ISNUMBER(D24),D24/MAX((D86/C7),0.000000001),C7)+C7)^2+(IF(ISNUMBER(E24),E24/MAX((D86/C7),0.000000001),0))^2)),0.000000001)),0),"")</f>
        <v/>
      </c>
      <c r="H86" s="27" t="str">
        <f aca="false">IF(D86&lt;&gt;"",IFERROR(MAX(0,-10*LOG10(1-((IF(ISNUMBER(D24),D24/MAX((D86/C7),0.000000001),C7)-C7)^2+(IF(ISNUMBER(E24),E24/MAX((D86/C7),0.000000001),0))^2)/((IF(ISNUMBER(D24),D24/MAX((D86/C7),0.000000001),C7)+C7)^2+(IF(ISNUMBER(E24),E24/MAX((D86/C7),0.000000001),0))^2))),0),"")</f>
        <v/>
      </c>
      <c r="I86" s="27" t="str">
        <f aca="false">IF(D86&lt;&gt;"",IFERROR(((IF(ISNUMBER(D24),D24/MAX((D86/C7),0.000000001),C7)-C7)^2+(IF(ISNUMBER(E24),E24/MAX((D86/C7),0.000000001),0))^2)/((IF(ISNUMBER(D24),D24/MAX((D86/C7),0.000000001),C7)+C7)^2+(IF(ISNUMBER(E24),E24/MAX((D86/C7),0.000000001),0))^2)*100,0),"")</f>
        <v/>
      </c>
    </row>
    <row r="87" customFormat="false" ht="15" hidden="false" customHeight="true" outlineLevel="0" collapsed="false">
      <c r="B87" s="23" t="n">
        <v>10</v>
      </c>
      <c r="C87" s="20" t="n">
        <f aca="false">C25</f>
        <v>0</v>
      </c>
      <c r="D87" s="24" t="str">
        <f aca="false">IF(AND(ISNUMBER(D25),D25&gt;0),SQRT(D25^2+IF(ISNUMBER(E25),E25,0)^2),"")</f>
        <v/>
      </c>
      <c r="E87" s="25" t="str">
        <f aca="false">IF(AND(ISNUMBER(D25),D25&gt;0),IFERROR(DEGREES(ATAN2(D25,IF(ISNUMBER(E25),E25,0))),""),"")</f>
        <v/>
      </c>
      <c r="F87" s="27" t="str">
        <f aca="false">IF(D87&lt;&gt;"",IFERROR((1+SQRT(((IF(ISNUMBER(D25),D25/MAX((D87/C7),0.000000001),C7)-C7)^2+(IF(ISNUMBER(E25),E25/MAX((D87/C7),0.000000001),0))^2)/((IF(ISNUMBER(D25),D25/MAX((D87/C7),0.000000001),C7)+C7)^2+(IF(ISNUMBER(E25),E25/MAX((D87/C7),0.000000001),0))^2)))/(1-SQRT(((IF(ISNUMBER(D25),D25/MAX((D87/C7),0.000000001),C7)-C7)^2+(IF(ISNUMBER(E25),E25/MAX((D87/C7),0.000000001),0))^2)/((IF(ISNUMBER(D25),D25/MAX((D87/C7),0.000000001),C7)+C7)^2+(IF(ISNUMBER(E25),E25/MAX((D87/C7),0.000000001),0))^2))),999),"")</f>
        <v/>
      </c>
      <c r="G87" s="28" t="str">
        <f aca="false">IF(D87&lt;&gt;"",IFERROR(-20*LOG10(MAX(SQRT(((IF(ISNUMBER(D25),D25/MAX((D87/C7),0.000000001),C7)-C7)^2+(IF(ISNUMBER(E25),E25/MAX((D87/C7),0.000000001),0))^2)/((IF(ISNUMBER(D25),D25/MAX((D87/C7),0.000000001),C7)+C7)^2+(IF(ISNUMBER(E25),E25/MAX((D87/C7),0.000000001),0))^2)),0.000000001)),0),"")</f>
        <v/>
      </c>
      <c r="H87" s="27" t="str">
        <f aca="false">IF(D87&lt;&gt;"",IFERROR(MAX(0,-10*LOG10(1-((IF(ISNUMBER(D25),D25/MAX((D87/C7),0.000000001),C7)-C7)^2+(IF(ISNUMBER(E25),E25/MAX((D87/C7),0.000000001),0))^2)/((IF(ISNUMBER(D25),D25/MAX((D87/C7),0.000000001),C7)+C7)^2+(IF(ISNUMBER(E25),E25/MAX((D87/C7),0.000000001),0))^2))),0),"")</f>
        <v/>
      </c>
      <c r="I87" s="27" t="str">
        <f aca="false">IF(D87&lt;&gt;"",IFERROR(((IF(ISNUMBER(D25),D25/MAX((D87/C7),0.000000001),C7)-C7)^2+(IF(ISNUMBER(E25),E25/MAX((D87/C7),0.000000001),0))^2)/((IF(ISNUMBER(D25),D25/MAX((D87/C7),0.000000001),C7)+C7)^2+(IF(ISNUMBER(E25),E25/MAX((D87/C7),0.000000001),0))^2)*100,0),"")</f>
        <v/>
      </c>
    </row>
    <row r="88" customFormat="false" ht="15" hidden="false" customHeight="true" outlineLevel="0" collapsed="false">
      <c r="B88" s="23" t="n">
        <v>11</v>
      </c>
      <c r="C88" s="20" t="n">
        <f aca="false">C26</f>
        <v>0</v>
      </c>
      <c r="D88" s="24" t="str">
        <f aca="false">IF(AND(ISNUMBER(D26),D26&gt;0),SQRT(D26^2+IF(ISNUMBER(E26),E26,0)^2),"")</f>
        <v/>
      </c>
      <c r="E88" s="25" t="str">
        <f aca="false">IF(AND(ISNUMBER(D26),D26&gt;0),IFERROR(DEGREES(ATAN2(D26,IF(ISNUMBER(E26),E26,0))),""),"")</f>
        <v/>
      </c>
      <c r="F88" s="27" t="str">
        <f aca="false">IF(D88&lt;&gt;"",IFERROR((1+SQRT(((IF(ISNUMBER(D26),D26/MAX((D88/C7),0.000000001),C7)-C7)^2+(IF(ISNUMBER(E26),E26/MAX((D88/C7),0.000000001),0))^2)/((IF(ISNUMBER(D26),D26/MAX((D88/C7),0.000000001),C7)+C7)^2+(IF(ISNUMBER(E26),E26/MAX((D88/C7),0.000000001),0))^2)))/(1-SQRT(((IF(ISNUMBER(D26),D26/MAX((D88/C7),0.000000001),C7)-C7)^2+(IF(ISNUMBER(E26),E26/MAX((D88/C7),0.000000001),0))^2)/((IF(ISNUMBER(D26),D26/MAX((D88/C7),0.000000001),C7)+C7)^2+(IF(ISNUMBER(E26),E26/MAX((D88/C7),0.000000001),0))^2))),999),"")</f>
        <v/>
      </c>
      <c r="G88" s="28" t="str">
        <f aca="false">IF(D88&lt;&gt;"",IFERROR(-20*LOG10(MAX(SQRT(((IF(ISNUMBER(D26),D26/MAX((D88/C7),0.000000001),C7)-C7)^2+(IF(ISNUMBER(E26),E26/MAX((D88/C7),0.000000001),0))^2)/((IF(ISNUMBER(D26),D26/MAX((D88/C7),0.000000001),C7)+C7)^2+(IF(ISNUMBER(E26),E26/MAX((D88/C7),0.000000001),0))^2)),0.000000001)),0),"")</f>
        <v/>
      </c>
      <c r="H88" s="27" t="str">
        <f aca="false">IF(D88&lt;&gt;"",IFERROR(MAX(0,-10*LOG10(1-((IF(ISNUMBER(D26),D26/MAX((D88/C7),0.000000001),C7)-C7)^2+(IF(ISNUMBER(E26),E26/MAX((D88/C7),0.000000001),0))^2)/((IF(ISNUMBER(D26),D26/MAX((D88/C7),0.000000001),C7)+C7)^2+(IF(ISNUMBER(E26),E26/MAX((D88/C7),0.000000001),0))^2))),0),"")</f>
        <v/>
      </c>
      <c r="I88" s="27" t="str">
        <f aca="false">IF(D88&lt;&gt;"",IFERROR(((IF(ISNUMBER(D26),D26/MAX((D88/C7),0.000000001),C7)-C7)^2+(IF(ISNUMBER(E26),E26/MAX((D88/C7),0.000000001),0))^2)/((IF(ISNUMBER(D26),D26/MAX((D88/C7),0.000000001),C7)+C7)^2+(IF(ISNUMBER(E26),E26/MAX((D88/C7),0.000000001),0))^2)*100,0),"")</f>
        <v/>
      </c>
    </row>
    <row r="90" customFormat="false" ht="15" hidden="false" customHeight="true" outlineLevel="0" collapsed="false">
      <c r="B90" s="32" t="s">
        <v>66</v>
      </c>
      <c r="C90" s="32"/>
      <c r="D90" s="32"/>
      <c r="E90" s="32"/>
      <c r="F90" s="32"/>
      <c r="G90" s="32"/>
      <c r="H90" s="32"/>
      <c r="I90" s="32"/>
    </row>
    <row r="91" customFormat="false" ht="15" hidden="false" customHeight="true" outlineLevel="0" collapsed="false">
      <c r="B91" s="33" t="s">
        <v>67</v>
      </c>
      <c r="C91" s="33"/>
      <c r="D91" s="33"/>
      <c r="E91" s="33"/>
      <c r="F91" s="33"/>
      <c r="G91" s="33"/>
      <c r="H91" s="33"/>
      <c r="I91" s="33"/>
    </row>
    <row r="92" customFormat="false" ht="15" hidden="false" customHeight="true" outlineLevel="0" collapsed="false">
      <c r="B92" s="33" t="s">
        <v>68</v>
      </c>
      <c r="C92" s="33"/>
      <c r="D92" s="33"/>
      <c r="E92" s="33"/>
      <c r="F92" s="33"/>
      <c r="G92" s="33"/>
      <c r="H92" s="33"/>
      <c r="I92" s="33"/>
    </row>
    <row r="93" customFormat="false" ht="15" hidden="false" customHeight="true" outlineLevel="0" collapsed="false">
      <c r="B93" s="33" t="s">
        <v>69</v>
      </c>
      <c r="C93" s="33"/>
      <c r="D93" s="33"/>
      <c r="E93" s="33"/>
      <c r="F93" s="33"/>
      <c r="G93" s="33"/>
      <c r="H93" s="33"/>
      <c r="I93" s="33"/>
    </row>
    <row r="94" customFormat="false" ht="15" hidden="false" customHeight="true" outlineLevel="0" collapsed="false">
      <c r="B94" s="33" t="s">
        <v>70</v>
      </c>
      <c r="C94" s="33"/>
      <c r="D94" s="33"/>
      <c r="E94" s="33"/>
      <c r="F94" s="33"/>
      <c r="G94" s="33"/>
      <c r="H94" s="33"/>
      <c r="I94" s="33"/>
    </row>
    <row r="95" customFormat="false" ht="15" hidden="false" customHeight="true" outlineLevel="0" collapsed="false">
      <c r="B95" s="33" t="s">
        <v>71</v>
      </c>
      <c r="C95" s="33"/>
      <c r="D95" s="33"/>
      <c r="E95" s="33"/>
      <c r="F95" s="33"/>
      <c r="G95" s="33"/>
      <c r="H95" s="33"/>
      <c r="I95" s="33"/>
    </row>
    <row r="96" customFormat="false" ht="15" hidden="false" customHeight="true" outlineLevel="0" collapsed="false">
      <c r="B96" s="33" t="s">
        <v>72</v>
      </c>
      <c r="C96" s="33"/>
      <c r="D96" s="33"/>
      <c r="E96" s="33"/>
      <c r="F96" s="33"/>
      <c r="G96" s="33"/>
      <c r="H96" s="33"/>
      <c r="I96" s="33"/>
    </row>
    <row r="97" customFormat="false" ht="15" hidden="false" customHeight="true" outlineLevel="0" collapsed="false">
      <c r="B97" s="33" t="s">
        <v>73</v>
      </c>
      <c r="C97" s="33"/>
      <c r="D97" s="33"/>
      <c r="E97" s="33"/>
      <c r="F97" s="33"/>
      <c r="G97" s="33"/>
      <c r="H97" s="33"/>
      <c r="I97" s="33"/>
    </row>
    <row r="99" customFormat="false" ht="15" hidden="false" customHeight="true" outlineLevel="0" collapsed="false">
      <c r="B99" s="2" t="s">
        <v>74</v>
      </c>
      <c r="C99" s="2"/>
      <c r="D99" s="2"/>
      <c r="E99" s="2"/>
      <c r="F99" s="2"/>
      <c r="G99" s="2"/>
    </row>
    <row r="100" customFormat="false" ht="15" hidden="false" customHeight="true" outlineLevel="0" collapsed="false">
      <c r="B100" s="3" t="s">
        <v>75</v>
      </c>
      <c r="C100" s="3"/>
      <c r="D100" s="3"/>
      <c r="E100" s="3"/>
      <c r="F100" s="3"/>
      <c r="G100" s="3"/>
    </row>
    <row r="102" customFormat="false" ht="15" hidden="false" customHeight="true" outlineLevel="0" collapsed="false">
      <c r="B102" s="4" t="s">
        <v>76</v>
      </c>
      <c r="C102" s="4"/>
      <c r="D102" s="4"/>
      <c r="E102" s="4"/>
      <c r="F102" s="4"/>
      <c r="G102" s="4"/>
    </row>
    <row r="103" customFormat="false" ht="15" hidden="false" customHeight="true" outlineLevel="0" collapsed="false">
      <c r="B103" s="5" t="s">
        <v>3</v>
      </c>
      <c r="C103" s="5" t="s">
        <v>4</v>
      </c>
      <c r="D103" s="5" t="s">
        <v>5</v>
      </c>
      <c r="E103" s="5" t="s">
        <v>77</v>
      </c>
      <c r="F103" s="5"/>
      <c r="G103" s="5"/>
    </row>
    <row r="104" customFormat="false" ht="15" hidden="false" customHeight="true" outlineLevel="0" collapsed="false">
      <c r="B104" s="6" t="s">
        <v>78</v>
      </c>
      <c r="C104" s="34" t="n">
        <f aca="false">C9</f>
        <v>16</v>
      </c>
      <c r="D104" s="8" t="s">
        <v>11</v>
      </c>
      <c r="E104" s="9" t="s">
        <v>79</v>
      </c>
      <c r="F104" s="9"/>
      <c r="G104" s="9"/>
    </row>
    <row r="105" customFormat="false" ht="15" hidden="false" customHeight="true" outlineLevel="0" collapsed="false">
      <c r="B105" s="6" t="s">
        <v>80</v>
      </c>
      <c r="C105" s="34" t="n">
        <f aca="false">C8</f>
        <v>1</v>
      </c>
      <c r="D105" s="8" t="s">
        <v>11</v>
      </c>
      <c r="E105" s="9" t="s">
        <v>81</v>
      </c>
      <c r="F105" s="9"/>
      <c r="G105" s="9"/>
    </row>
    <row r="106" customFormat="false" ht="15" hidden="false" customHeight="true" outlineLevel="0" collapsed="false">
      <c r="B106" s="6" t="s">
        <v>82</v>
      </c>
      <c r="C106" s="34" t="n">
        <f aca="false">$C$8+$C$12</f>
        <v>2</v>
      </c>
      <c r="D106" s="8" t="s">
        <v>11</v>
      </c>
      <c r="E106" s="9" t="s">
        <v>83</v>
      </c>
      <c r="F106" s="9"/>
      <c r="G106" s="9"/>
    </row>
    <row r="107" customFormat="false" ht="15" hidden="false" customHeight="true" outlineLevel="0" collapsed="false">
      <c r="B107" s="6" t="s">
        <v>84</v>
      </c>
      <c r="C107" s="20" t="n">
        <f aca="false">IFERROR(IF(E71&lt;&gt;"",VALUE(E71),10),10)</f>
        <v>128</v>
      </c>
      <c r="D107" s="8" t="s">
        <v>33</v>
      </c>
      <c r="E107" s="9" t="s">
        <v>85</v>
      </c>
      <c r="F107" s="9"/>
      <c r="G107" s="9"/>
    </row>
    <row r="109" customFormat="false" ht="15" hidden="false" customHeight="true" outlineLevel="0" collapsed="false">
      <c r="B109" s="4" t="s">
        <v>86</v>
      </c>
      <c r="C109" s="4"/>
      <c r="D109" s="4"/>
      <c r="E109" s="4"/>
      <c r="F109" s="4"/>
      <c r="G109" s="4"/>
    </row>
    <row r="110" customFormat="false" ht="15" hidden="false" customHeight="true" outlineLevel="0" collapsed="false">
      <c r="B110" s="5" t="s">
        <v>3</v>
      </c>
      <c r="C110" s="5" t="s">
        <v>4</v>
      </c>
      <c r="D110" s="5" t="s">
        <v>5</v>
      </c>
      <c r="E110" s="5" t="s">
        <v>87</v>
      </c>
      <c r="F110" s="5"/>
      <c r="G110" s="5"/>
    </row>
    <row r="111" customFormat="false" ht="15" hidden="false" customHeight="true" outlineLevel="0" collapsed="false">
      <c r="B111" s="6" t="s">
        <v>88</v>
      </c>
      <c r="C111" s="22" t="n">
        <f aca="false">IFERROR(IF(C107&gt;0,(C107-1)*C106+C105,""),"")</f>
        <v>255</v>
      </c>
      <c r="D111" s="8" t="s">
        <v>11</v>
      </c>
      <c r="E111" s="9" t="s">
        <v>89</v>
      </c>
      <c r="F111" s="9"/>
      <c r="G111" s="9"/>
    </row>
    <row r="112" customFormat="false" ht="25.5" hidden="false" customHeight="true" outlineLevel="0" collapsed="false">
      <c r="B112" s="6" t="s">
        <v>90</v>
      </c>
      <c r="C112" s="22" t="n">
        <f aca="false">(C104+C105)/2</f>
        <v>8.5</v>
      </c>
      <c r="D112" s="8" t="s">
        <v>11</v>
      </c>
      <c r="E112" s="9" t="s">
        <v>91</v>
      </c>
      <c r="F112" s="9"/>
      <c r="G112" s="9"/>
    </row>
    <row r="113" customFormat="false" ht="15" hidden="false" customHeight="true" outlineLevel="0" collapsed="false">
      <c r="B113" s="6" t="s">
        <v>92</v>
      </c>
      <c r="C113" s="22" t="n">
        <f aca="false">((C104+C105)/2)/25.4</f>
        <v>0.334645669291339</v>
      </c>
      <c r="D113" s="8" t="s">
        <v>93</v>
      </c>
      <c r="E113" s="9" t="s">
        <v>94</v>
      </c>
      <c r="F113" s="9"/>
      <c r="G113" s="9"/>
    </row>
    <row r="114" customFormat="false" ht="15" hidden="false" customHeight="true" outlineLevel="0" collapsed="false">
      <c r="B114" s="6" t="s">
        <v>95</v>
      </c>
      <c r="C114" s="22" t="n">
        <f aca="false">IFERROR(C111/25.4,"")</f>
        <v>10.0393700787402</v>
      </c>
      <c r="D114" s="8" t="s">
        <v>93</v>
      </c>
      <c r="E114" s="9" t="s">
        <v>94</v>
      </c>
      <c r="F114" s="9"/>
      <c r="G114" s="9"/>
    </row>
    <row r="115" customFormat="false" ht="15" hidden="false" customHeight="true" outlineLevel="0" collapsed="false">
      <c r="B115" s="6" t="s">
        <v>96</v>
      </c>
      <c r="C115" s="22" t="n">
        <f aca="false">IFERROR((C113^2*C107^2)/(9*C113+10*C114),"")</f>
        <v>17.7438014422954</v>
      </c>
      <c r="D115" s="8" t="s">
        <v>37</v>
      </c>
      <c r="E115" s="9" t="s">
        <v>97</v>
      </c>
      <c r="F115" s="9"/>
      <c r="G115" s="9"/>
    </row>
    <row r="116" customFormat="false" ht="15" hidden="false" customHeight="true" outlineLevel="0" collapsed="false">
      <c r="B116" s="6" t="s">
        <v>98</v>
      </c>
      <c r="C116" s="22" t="n">
        <f aca="true">IFERROR(2*PI()*MIN($C$16:OFFSET($C$16,$C$10-1,0))*C115,"")</f>
        <v>802.710666113347</v>
      </c>
      <c r="D116" s="8" t="s">
        <v>8</v>
      </c>
      <c r="E116" s="9" t="s">
        <v>99</v>
      </c>
      <c r="F116" s="9"/>
      <c r="G116" s="9"/>
    </row>
    <row r="117" customFormat="false" ht="15" hidden="false" customHeight="true" outlineLevel="0" collapsed="false">
      <c r="B117" s="6" t="s">
        <v>100</v>
      </c>
      <c r="C117" s="22" t="n">
        <f aca="true">IFERROR(4*MIN(OFFSET(D78,0,0,$C$10))/(2*PI()*MIN($C$16:OFFSET($C$16,$C$10-1,0))),"")</f>
        <v>17.6838825657661</v>
      </c>
      <c r="D117" s="8" t="s">
        <v>37</v>
      </c>
      <c r="E117" s="9" t="s">
        <v>101</v>
      </c>
      <c r="F117" s="9"/>
      <c r="G117" s="9"/>
    </row>
    <row r="118" customFormat="false" ht="15" hidden="false" customHeight="true" outlineLevel="0" collapsed="false">
      <c r="B118" s="6" t="s">
        <v>102</v>
      </c>
      <c r="C118" s="22" t="str">
        <f aca="false">IFERROR(IF(AND(ISNUMBER(C115),ISNUMBER(C117)),IF(C115&gt;=C117,"✔ YES","✘ INCREASE TURNS"),"—"),"")</f>
        <v>✔ YES</v>
      </c>
      <c r="D118" s="8" t="s">
        <v>103</v>
      </c>
      <c r="E118" s="9" t="s">
        <v>104</v>
      </c>
      <c r="F118" s="9"/>
      <c r="G118" s="9"/>
    </row>
    <row r="121" customFormat="false" ht="15" hidden="false" customHeight="true" outlineLevel="0" collapsed="false">
      <c r="B121" s="35" t="s">
        <v>105</v>
      </c>
      <c r="C121" s="35"/>
      <c r="D121" s="35"/>
      <c r="E121" s="35"/>
      <c r="F121" s="35"/>
      <c r="G121" s="35"/>
      <c r="H121" s="35"/>
      <c r="I121" s="35"/>
      <c r="J121" s="35"/>
    </row>
    <row r="122" customFormat="false" ht="15" hidden="false" customHeight="true" outlineLevel="0" collapsed="false">
      <c r="B122" s="36" t="s">
        <v>106</v>
      </c>
      <c r="C122" s="36"/>
      <c r="D122" s="36"/>
      <c r="E122" s="36"/>
      <c r="F122" s="36"/>
      <c r="G122" s="36"/>
      <c r="H122" s="36"/>
      <c r="I122" s="36"/>
      <c r="J122" s="36"/>
    </row>
    <row r="124" customFormat="false" ht="15" hidden="false" customHeight="true" outlineLevel="0" collapsed="false">
      <c r="B124" s="37" t="s">
        <v>107</v>
      </c>
      <c r="C124" s="37"/>
      <c r="D124" s="37"/>
      <c r="E124" s="37"/>
      <c r="F124" s="37"/>
      <c r="G124" s="37"/>
      <c r="H124" s="37"/>
      <c r="I124" s="37"/>
      <c r="J124" s="37"/>
    </row>
    <row r="125" customFormat="false" ht="15" hidden="false" customHeight="true" outlineLevel="0" collapsed="false">
      <c r="B125" s="38" t="s">
        <v>108</v>
      </c>
      <c r="C125" s="38"/>
      <c r="D125" s="38"/>
      <c r="E125" s="38"/>
      <c r="F125" s="38"/>
      <c r="G125" s="38"/>
      <c r="H125" s="38"/>
      <c r="I125" s="38"/>
      <c r="J125" s="38"/>
    </row>
    <row r="126" customFormat="false" ht="15" hidden="false" customHeight="true" outlineLevel="0" collapsed="false">
      <c r="B126" s="38" t="s">
        <v>109</v>
      </c>
      <c r="C126" s="38"/>
      <c r="D126" s="38"/>
      <c r="E126" s="38"/>
      <c r="F126" s="38"/>
      <c r="G126" s="38"/>
      <c r="H126" s="38"/>
      <c r="I126" s="38"/>
      <c r="J126" s="38"/>
    </row>
    <row r="127" customFormat="false" ht="15" hidden="false" customHeight="true" outlineLevel="0" collapsed="false">
      <c r="B127" s="38" t="s">
        <v>110</v>
      </c>
      <c r="C127" s="38"/>
      <c r="D127" s="38"/>
      <c r="E127" s="38"/>
      <c r="F127" s="38"/>
      <c r="G127" s="38"/>
      <c r="H127" s="38"/>
      <c r="I127" s="38"/>
      <c r="J127" s="38"/>
    </row>
    <row r="128" customFormat="false" ht="15" hidden="false" customHeight="true" outlineLevel="0" collapsed="false">
      <c r="B128" s="38" t="s">
        <v>111</v>
      </c>
      <c r="C128" s="38"/>
      <c r="D128" s="38"/>
      <c r="E128" s="38"/>
      <c r="F128" s="38"/>
      <c r="G128" s="38"/>
      <c r="H128" s="38"/>
      <c r="I128" s="38"/>
      <c r="J128" s="38"/>
    </row>
    <row r="129" customFormat="false" ht="15" hidden="false" customHeight="true" outlineLevel="0" collapsed="false">
      <c r="B129" s="38" t="s">
        <v>112</v>
      </c>
      <c r="C129" s="38"/>
      <c r="D129" s="38"/>
      <c r="E129" s="38"/>
      <c r="F129" s="38"/>
      <c r="G129" s="38"/>
      <c r="H129" s="38"/>
      <c r="I129" s="38"/>
      <c r="J129" s="38"/>
    </row>
    <row r="131" customFormat="false" ht="25.5" hidden="false" customHeight="true" outlineLevel="0" collapsed="false">
      <c r="B131" s="39" t="s">
        <v>22</v>
      </c>
      <c r="C131" s="39" t="s">
        <v>113</v>
      </c>
      <c r="D131" s="39" t="s">
        <v>114</v>
      </c>
      <c r="E131" s="39" t="s">
        <v>115</v>
      </c>
      <c r="F131" s="39" t="s">
        <v>116</v>
      </c>
      <c r="G131" s="39" t="s">
        <v>117</v>
      </c>
      <c r="H131" s="39" t="s">
        <v>118</v>
      </c>
      <c r="I131" s="39" t="s">
        <v>119</v>
      </c>
      <c r="J131" s="39" t="s">
        <v>120</v>
      </c>
    </row>
    <row r="132" customFormat="false" ht="15" hidden="false" customHeight="true" outlineLevel="0" collapsed="false">
      <c r="B132" s="40" t="n">
        <v>1</v>
      </c>
      <c r="C132" s="41" t="n">
        <f aca="false">C16</f>
        <v>7.2</v>
      </c>
      <c r="D132" s="41" t="n">
        <f aca="false">D16</f>
        <v>200</v>
      </c>
      <c r="E132" s="41" t="n">
        <f aca="false">IF(ISNUMBER(E16),E16,"—")</f>
        <v>0</v>
      </c>
      <c r="F132" s="41" t="n">
        <f aca="false">IF(ISNUMBER(E78),E78,"—")</f>
        <v>0</v>
      </c>
      <c r="G132" s="42" t="str">
        <f aca="false">IFERROR(IF(AND(F16="YES",ISNUMBER(D78),D78&gt;0,ISNUMBER(D16),D16&gt;0),IF(($C$7*IF(ISNUMBER(E16),E16,0)/D78)&lt;0,ABS($C$7*IF(ISNUMBER(E16),E16,0)/D78)/(2*PI()*C16*1000000)*1000000,"—"),"—"),"—")</f>
        <v>—</v>
      </c>
      <c r="H132" s="41" t="str">
        <f aca="false">IFERROR(IF(AND(F16="YES",ISNUMBER(D78),D78&gt;0,ISNUMBER(D16),D16&gt;0),IF(($C$7*IF(ISNUMBER(E16),E16,0)/D78)&gt;0,1/((2*PI()*C16*1000000)*ABS($C$7*IF(ISNUMBER(E16),E16,0)/D78))*1000000000000,"—"),"—"),"—")</f>
        <v>—</v>
      </c>
      <c r="I132" s="42" t="str">
        <f aca="false">IFERROR(IF(AND(F16="YES",ISNUMBER(D78),D78&gt;0,ISNUMBER(D16),D16&gt;0),IF((D78*IF(ISNUMBER(E16),E16,0)/($C$7*(D16^2+IF(ISNUMBER(E16),E16,0)^2)))&lt;0,-1/((2*PI()*C16*1000000)*(D78*IF(ISNUMBER(E16),E16,0)/($C$7*(D16^2+IF(ISNUMBER(E16),E16,0)^2))))*1000000,"—"),"—"),"—")</f>
        <v>—</v>
      </c>
      <c r="J132" s="41" t="str">
        <f aca="false">IFERROR(IF(AND(F16="YES",ISNUMBER(D78),D78&gt;0,ISNUMBER(D16),D16&gt;0),IF((D78*IF(ISNUMBER(E16),E16,0)/($C$7*(D16^2+IF(ISNUMBER(E16),E16,0)^2)))&gt;0,(D78*IF(ISNUMBER(E16),E16,0)/($C$7*(D16^2+IF(ISNUMBER(E16),E16,0)^2)))/(2*PI()*C16*1000000)*1000000000000,"—"),"—"),"—")</f>
        <v>—</v>
      </c>
    </row>
    <row r="133" customFormat="false" ht="15" hidden="false" customHeight="true" outlineLevel="0" collapsed="false">
      <c r="B133" s="40" t="n">
        <v>2</v>
      </c>
      <c r="C133" s="41" t="n">
        <f aca="false">C17</f>
        <v>10</v>
      </c>
      <c r="D133" s="41" t="n">
        <f aca="false">D17</f>
        <v>300</v>
      </c>
      <c r="E133" s="41" t="n">
        <f aca="false">IF(ISNUMBER(E17),E17,"—")</f>
        <v>100</v>
      </c>
      <c r="F133" s="41" t="n">
        <f aca="false">IF(ISNUMBER(E79),E79,"—")</f>
        <v>18.434948822922</v>
      </c>
      <c r="G133" s="42" t="str">
        <f aca="false">IFERROR(IF(AND(F17="YES",ISNUMBER(D79),D79&gt;0,ISNUMBER(D17),D17&gt;0),IF(($C$7*IF(ISNUMBER(E17),E17,0)/D79)&lt;0,ABS($C$7*IF(ISNUMBER(E17),E17,0)/D79)/(2*PI()*C17*1000000)*1000000,"—"),"—"),"—")</f>
        <v>—</v>
      </c>
      <c r="H133" s="41" t="n">
        <f aca="false">IFERROR(IF(AND(F17="YES",ISNUMBER(D79),D79&gt;0,ISNUMBER(D17),D17&gt;0),IF(($C$7*IF(ISNUMBER(E17),E17,0)/D79)&gt;0,1/((2*PI()*C17*1000000)*ABS($C$7*IF(ISNUMBER(E17),E17,0)/D79))*1000000000000,"—"),"—"),"—")</f>
        <v>1006.58424208974</v>
      </c>
      <c r="I133" s="42" t="str">
        <f aca="false">IFERROR(IF(AND(F17="YES",ISNUMBER(D79),D79&gt;0,ISNUMBER(D17),D17&gt;0),IF((D79*IF(ISNUMBER(E17),E17,0)/($C$7*(D17^2+IF(ISNUMBER(E17),E17,0)^2)))&lt;0,-1/((2*PI()*C17*1000000)*(D79*IF(ISNUMBER(E17),E17,0)/($C$7*(D17^2+IF(ISNUMBER(E17),E17,0)^2))))*1000000,"—"),"—"),"—")</f>
        <v>—</v>
      </c>
      <c r="J133" s="41" t="n">
        <f aca="false">IFERROR(IF(AND(F17="YES",ISNUMBER(D79),D79&gt;0,ISNUMBER(D17),D17&gt;0),IF((D79*IF(ISNUMBER(E17),E17,0)/($C$7*(D17^2+IF(ISNUMBER(E17),E17,0)^2)))&gt;0,(D79*IF(ISNUMBER(E17),E17,0)/($C$7*(D17^2+IF(ISNUMBER(E17),E17,0)^2)))/(2*PI()*C17*1000000)*1000000000000,"—"),"—"),"—")</f>
        <v>100.658424208974</v>
      </c>
    </row>
    <row r="134" customFormat="false" ht="15" hidden="false" customHeight="true" outlineLevel="0" collapsed="false">
      <c r="B134" s="40" t="n">
        <v>3</v>
      </c>
      <c r="C134" s="41" t="n">
        <f aca="false">C18</f>
        <v>18</v>
      </c>
      <c r="D134" s="41" t="n">
        <f aca="false">D18</f>
        <v>450</v>
      </c>
      <c r="E134" s="41" t="n">
        <f aca="false">IF(ISNUMBER(E18),E18,"—")</f>
        <v>-80</v>
      </c>
      <c r="F134" s="41" t="n">
        <f aca="false">IF(ISNUMBER(E80),E80,"—")</f>
        <v>-10.0805979875423</v>
      </c>
      <c r="G134" s="42" t="n">
        <f aca="false">IFERROR(IF(AND(F18="YES",ISNUMBER(D80),D80&gt;0,ISNUMBER(D18),D18&gt;0),IF(($C$7*IF(ISNUMBER(E18),E18,0)/D80)&lt;0,ABS($C$7*IF(ISNUMBER(E18),E18,0)/D80)/(2*PI()*C18*1000000)*1000000,"—"),"—"),"—")</f>
        <v>0.0773817234059653</v>
      </c>
      <c r="H134" s="41" t="str">
        <f aca="false">IFERROR(IF(AND(F18="YES",ISNUMBER(D80),D80&gt;0,ISNUMBER(D18),D18&gt;0),IF(($C$7*IF(ISNUMBER(E18),E18,0)/D80)&gt;0,1/((2*PI()*C18*1000000)*ABS($C$7*IF(ISNUMBER(E18),E18,0)/D80))*1000000000000,"—"),"—"),"—")</f>
        <v>—</v>
      </c>
      <c r="I134" s="42" t="n">
        <f aca="false">IFERROR(IF(AND(F18="YES",ISNUMBER(D80),D80&gt;0,ISNUMBER(D18),D18&gt;0),IF((D80*IF(ISNUMBER(E18),E18,0)/($C$7*(D18^2+IF(ISNUMBER(E18),E18,0)^2)))&lt;0,-1/((2*PI()*C18*1000000)*(D80*IF(ISNUMBER(E18),E18,0)/($C$7*(D18^2+IF(ISNUMBER(E18),E18,0)^2))))*1000000,"—"),"—"),"—")</f>
        <v>2.52578781554784</v>
      </c>
      <c r="J134" s="41" t="str">
        <f aca="false">IFERROR(IF(AND(F18="YES",ISNUMBER(D80),D80&gt;0,ISNUMBER(D18),D18&gt;0),IF((D80*IF(ISNUMBER(E18),E18,0)/($C$7*(D18^2+IF(ISNUMBER(E18),E18,0)^2)))&gt;0,(D80*IF(ISNUMBER(E18),E18,0)/($C$7*(D18^2+IF(ISNUMBER(E18),E18,0)^2)))/(2*PI()*C18*1000000)*1000000000000,"—"),"—"),"—")</f>
        <v>—</v>
      </c>
    </row>
    <row r="135" customFormat="false" ht="15" hidden="false" customHeight="true" outlineLevel="0" collapsed="false">
      <c r="B135" s="40" t="n">
        <v>4</v>
      </c>
      <c r="C135" s="41" t="n">
        <f aca="false">C19</f>
        <v>28</v>
      </c>
      <c r="D135" s="41" t="n">
        <f aca="false">D19</f>
        <v>800</v>
      </c>
      <c r="E135" s="41" t="n">
        <f aca="false">IF(ISNUMBER(E19),E19,"—")</f>
        <v>0</v>
      </c>
      <c r="F135" s="41" t="n">
        <f aca="false">IF(ISNUMBER(E81),E81,"—")</f>
        <v>0</v>
      </c>
      <c r="G135" s="42" t="str">
        <f aca="false">IFERROR(IF(AND(F19="YES",ISNUMBER(D81),D81&gt;0,ISNUMBER(D19),D19&gt;0),IF(($C$7*IF(ISNUMBER(E19),E19,0)/D81)&lt;0,ABS($C$7*IF(ISNUMBER(E19),E19,0)/D81)/(2*PI()*C19*1000000)*1000000,"—"),"—"),"—")</f>
        <v>—</v>
      </c>
      <c r="H135" s="41" t="str">
        <f aca="false">IFERROR(IF(AND(F19="YES",ISNUMBER(D81),D81&gt;0,ISNUMBER(D19),D19&gt;0),IF(($C$7*IF(ISNUMBER(E19),E19,0)/D81)&gt;0,1/((2*PI()*C19*1000000)*ABS($C$7*IF(ISNUMBER(E19),E19,0)/D81))*1000000000000,"—"),"—"),"—")</f>
        <v>—</v>
      </c>
      <c r="I135" s="42" t="str">
        <f aca="false">IFERROR(IF(AND(F19="YES",ISNUMBER(D81),D81&gt;0,ISNUMBER(D19),D19&gt;0),IF((D81*IF(ISNUMBER(E19),E19,0)/($C$7*(D19^2+IF(ISNUMBER(E19),E19,0)^2)))&lt;0,-1/((2*PI()*C19*1000000)*(D81*IF(ISNUMBER(E19),E19,0)/($C$7*(D19^2+IF(ISNUMBER(E19),E19,0)^2))))*1000000,"—"),"—"),"—")</f>
        <v>—</v>
      </c>
      <c r="J135" s="41" t="str">
        <f aca="false">IFERROR(IF(AND(F19="YES",ISNUMBER(D81),D81&gt;0,ISNUMBER(D19),D19&gt;0),IF((D81*IF(ISNUMBER(E19),E19,0)/($C$7*(D19^2+IF(ISNUMBER(E19),E19,0)^2)))&gt;0,(D81*IF(ISNUMBER(E19),E19,0)/($C$7*(D19^2+IF(ISNUMBER(E19),E19,0)^2)))/(2*PI()*C19*1000000)*1000000000000,"—"),"—"),"—")</f>
        <v>—</v>
      </c>
    </row>
    <row r="136" customFormat="false" ht="15" hidden="false" customHeight="true" outlineLevel="0" collapsed="false">
      <c r="B136" s="40" t="n">
        <v>5</v>
      </c>
      <c r="C136" s="41" t="n">
        <f aca="false">C20</f>
        <v>0</v>
      </c>
      <c r="D136" s="41" t="n">
        <f aca="false">D20</f>
        <v>0</v>
      </c>
      <c r="E136" s="41" t="str">
        <f aca="false">IF(ISNUMBER(E20),E20,"—")</f>
        <v>—</v>
      </c>
      <c r="F136" s="41" t="str">
        <f aca="false">IF(ISNUMBER(E82),E82,"—")</f>
        <v>—</v>
      </c>
      <c r="G136" s="42" t="str">
        <f aca="false">IFERROR(IF(AND(F20="YES",ISNUMBER(D82),D82&gt;0,ISNUMBER(D20),D20&gt;0),IF(($C$7*IF(ISNUMBER(E20),E20,0)/D82)&lt;0,ABS($C$7*IF(ISNUMBER(E20),E20,0)/D82)/(2*PI()*C20*1000000)*1000000,"—"),"—"),"—")</f>
        <v>—</v>
      </c>
      <c r="H136" s="41" t="str">
        <f aca="false">IFERROR(IF(AND(F20="YES",ISNUMBER(D82),D82&gt;0,ISNUMBER(D20),D20&gt;0),IF(($C$7*IF(ISNUMBER(E20),E20,0)/D82)&gt;0,1/((2*PI()*C20*1000000)*ABS($C$7*IF(ISNUMBER(E20),E20,0)/D82))*1000000000000,"—"),"—"),"—")</f>
        <v>—</v>
      </c>
      <c r="I136" s="42" t="str">
        <f aca="false">IFERROR(IF(AND(F20="YES",ISNUMBER(D82),D82&gt;0,ISNUMBER(D20),D20&gt;0),IF((D82*IF(ISNUMBER(E20),E20,0)/($C$7*(D20^2+IF(ISNUMBER(E20),E20,0)^2)))&lt;0,-1/((2*PI()*C20*1000000)*(D82*IF(ISNUMBER(E20),E20,0)/($C$7*(D20^2+IF(ISNUMBER(E20),E20,0)^2))))*1000000,"—"),"—"),"—")</f>
        <v>—</v>
      </c>
      <c r="J136" s="41" t="str">
        <f aca="false">IFERROR(IF(AND(F20="YES",ISNUMBER(D82),D82&gt;0,ISNUMBER(D20),D20&gt;0),IF((D82*IF(ISNUMBER(E20),E20,0)/($C$7*(D20^2+IF(ISNUMBER(E20),E20,0)^2)))&gt;0,(D82*IF(ISNUMBER(E20),E20,0)/($C$7*(D20^2+IF(ISNUMBER(E20),E20,0)^2)))/(2*PI()*C20*1000000)*1000000000000,"—"),"—"),"—")</f>
        <v>—</v>
      </c>
    </row>
    <row r="137" customFormat="false" ht="15" hidden="false" customHeight="true" outlineLevel="0" collapsed="false">
      <c r="B137" s="40" t="n">
        <v>6</v>
      </c>
      <c r="C137" s="41" t="n">
        <f aca="false">C21</f>
        <v>0</v>
      </c>
      <c r="D137" s="41" t="n">
        <f aca="false">D21</f>
        <v>0</v>
      </c>
      <c r="E137" s="41" t="str">
        <f aca="false">IF(ISNUMBER(E21),E21,"—")</f>
        <v>—</v>
      </c>
      <c r="F137" s="41" t="str">
        <f aca="false">IF(ISNUMBER(E83),E83,"—")</f>
        <v>—</v>
      </c>
      <c r="G137" s="42" t="str">
        <f aca="false">IFERROR(IF(AND(F21="YES",ISNUMBER(D83),D83&gt;0,ISNUMBER(D21),D21&gt;0),IF(($C$7*IF(ISNUMBER(E21),E21,0)/D83)&lt;0,ABS($C$7*IF(ISNUMBER(E21),E21,0)/D83)/(2*PI()*C21*1000000)*1000000,"—"),"—"),"—")</f>
        <v>—</v>
      </c>
      <c r="H137" s="41" t="str">
        <f aca="false">IFERROR(IF(AND(F21="YES",ISNUMBER(D83),D83&gt;0,ISNUMBER(D21),D21&gt;0),IF(($C$7*IF(ISNUMBER(E21),E21,0)/D83)&gt;0,1/((2*PI()*C21*1000000)*ABS($C$7*IF(ISNUMBER(E21),E21,0)/D83))*1000000000000,"—"),"—"),"—")</f>
        <v>—</v>
      </c>
      <c r="I137" s="42" t="str">
        <f aca="false">IFERROR(IF(AND(F21="YES",ISNUMBER(D83),D83&gt;0,ISNUMBER(D21),D21&gt;0),IF((D83*IF(ISNUMBER(E21),E21,0)/($C$7*(D21^2+IF(ISNUMBER(E21),E21,0)^2)))&lt;0,-1/((2*PI()*C21*1000000)*(D83*IF(ISNUMBER(E21),E21,0)/($C$7*(D21^2+IF(ISNUMBER(E21),E21,0)^2))))*1000000,"—"),"—"),"—")</f>
        <v>—</v>
      </c>
      <c r="J137" s="41" t="str">
        <f aca="false">IFERROR(IF(AND(F21="YES",ISNUMBER(D83),D83&gt;0,ISNUMBER(D21),D21&gt;0),IF((D83*IF(ISNUMBER(E21),E21,0)/($C$7*(D21^2+IF(ISNUMBER(E21),E21,0)^2)))&gt;0,(D83*IF(ISNUMBER(E21),E21,0)/($C$7*(D21^2+IF(ISNUMBER(E21),E21,0)^2)))/(2*PI()*C21*1000000)*1000000000000,"—"),"—"),"—")</f>
        <v>—</v>
      </c>
    </row>
    <row r="138" customFormat="false" ht="15" hidden="false" customHeight="true" outlineLevel="0" collapsed="false">
      <c r="B138" s="40" t="n">
        <v>7</v>
      </c>
      <c r="C138" s="41" t="n">
        <f aca="false">C22</f>
        <v>0</v>
      </c>
      <c r="D138" s="41" t="n">
        <f aca="false">D22</f>
        <v>0</v>
      </c>
      <c r="E138" s="41" t="str">
        <f aca="false">IF(ISNUMBER(E22),E22,"—")</f>
        <v>—</v>
      </c>
      <c r="F138" s="41" t="str">
        <f aca="false">IF(ISNUMBER(E84),E84,"—")</f>
        <v>—</v>
      </c>
      <c r="G138" s="42" t="str">
        <f aca="false">IFERROR(IF(AND(F22="YES",ISNUMBER(D84),D84&gt;0,ISNUMBER(D22),D22&gt;0),IF(($C$7*IF(ISNUMBER(E22),E22,0)/D84)&lt;0,ABS($C$7*IF(ISNUMBER(E22),E22,0)/D84)/(2*PI()*C22*1000000)*1000000,"—"),"—"),"—")</f>
        <v>—</v>
      </c>
      <c r="H138" s="41" t="str">
        <f aca="false">IFERROR(IF(AND(F22="YES",ISNUMBER(D84),D84&gt;0,ISNUMBER(D22),D22&gt;0),IF(($C$7*IF(ISNUMBER(E22),E22,0)/D84)&gt;0,1/((2*PI()*C22*1000000)*ABS($C$7*IF(ISNUMBER(E22),E22,0)/D84))*1000000000000,"—"),"—"),"—")</f>
        <v>—</v>
      </c>
      <c r="I138" s="42" t="str">
        <f aca="false">IFERROR(IF(AND(F22="YES",ISNUMBER(D84),D84&gt;0,ISNUMBER(D22),D22&gt;0),IF((D84*IF(ISNUMBER(E22),E22,0)/($C$7*(D22^2+IF(ISNUMBER(E22),E22,0)^2)))&lt;0,-1/((2*PI()*C22*1000000)*(D84*IF(ISNUMBER(E22),E22,0)/($C$7*(D22^2+IF(ISNUMBER(E22),E22,0)^2))))*1000000,"—"),"—"),"—")</f>
        <v>—</v>
      </c>
      <c r="J138" s="41" t="str">
        <f aca="false">IFERROR(IF(AND(F22="YES",ISNUMBER(D84),D84&gt;0,ISNUMBER(D22),D22&gt;0),IF((D84*IF(ISNUMBER(E22),E22,0)/($C$7*(D22^2+IF(ISNUMBER(E22),E22,0)^2)))&gt;0,(D84*IF(ISNUMBER(E22),E22,0)/($C$7*(D22^2+IF(ISNUMBER(E22),E22,0)^2)))/(2*PI()*C22*1000000)*1000000000000,"—"),"—"),"—")</f>
        <v>—</v>
      </c>
    </row>
    <row r="139" customFormat="false" ht="15" hidden="false" customHeight="true" outlineLevel="0" collapsed="false">
      <c r="B139" s="40" t="n">
        <v>8</v>
      </c>
      <c r="C139" s="41" t="n">
        <f aca="false">C23</f>
        <v>0</v>
      </c>
      <c r="D139" s="41" t="n">
        <f aca="false">D23</f>
        <v>0</v>
      </c>
      <c r="E139" s="41" t="str">
        <f aca="false">IF(ISNUMBER(E23),E23,"—")</f>
        <v>—</v>
      </c>
      <c r="F139" s="41" t="str">
        <f aca="false">IF(ISNUMBER(E85),E85,"—")</f>
        <v>—</v>
      </c>
      <c r="G139" s="42" t="str">
        <f aca="false">IFERROR(IF(AND(F23="YES",ISNUMBER(D85),D85&gt;0,ISNUMBER(D23),D23&gt;0),IF(($C$7*IF(ISNUMBER(E23),E23,0)/D85)&lt;0,ABS($C$7*IF(ISNUMBER(E23),E23,0)/D85)/(2*PI()*C23*1000000)*1000000,"—"),"—"),"—")</f>
        <v>—</v>
      </c>
      <c r="H139" s="41" t="str">
        <f aca="false">IFERROR(IF(AND(F23="YES",ISNUMBER(D85),D85&gt;0,ISNUMBER(D23),D23&gt;0),IF(($C$7*IF(ISNUMBER(E23),E23,0)/D85)&gt;0,1/((2*PI()*C23*1000000)*ABS($C$7*IF(ISNUMBER(E23),E23,0)/D85))*1000000000000,"—"),"—"),"—")</f>
        <v>—</v>
      </c>
      <c r="I139" s="42" t="str">
        <f aca="false">IFERROR(IF(AND(F23="YES",ISNUMBER(D85),D85&gt;0,ISNUMBER(D23),D23&gt;0),IF((D85*IF(ISNUMBER(E23),E23,0)/($C$7*(D23^2+IF(ISNUMBER(E23),E23,0)^2)))&lt;0,-1/((2*PI()*C23*1000000)*(D85*IF(ISNUMBER(E23),E23,0)/($C$7*(D23^2+IF(ISNUMBER(E23),E23,0)^2))))*1000000,"—"),"—"),"—")</f>
        <v>—</v>
      </c>
      <c r="J139" s="41" t="str">
        <f aca="false">IFERROR(IF(AND(F23="YES",ISNUMBER(D85),D85&gt;0,ISNUMBER(D23),D23&gt;0),IF((D85*IF(ISNUMBER(E23),E23,0)/($C$7*(D23^2+IF(ISNUMBER(E23),E23,0)^2)))&gt;0,(D85*IF(ISNUMBER(E23),E23,0)/($C$7*(D23^2+IF(ISNUMBER(E23),E23,0)^2)))/(2*PI()*C23*1000000)*1000000000000,"—"),"—"),"—")</f>
        <v>—</v>
      </c>
    </row>
    <row r="140" customFormat="false" ht="15" hidden="false" customHeight="true" outlineLevel="0" collapsed="false">
      <c r="B140" s="40" t="n">
        <v>9</v>
      </c>
      <c r="C140" s="41" t="n">
        <f aca="false">C24</f>
        <v>0</v>
      </c>
      <c r="D140" s="41" t="n">
        <f aca="false">D24</f>
        <v>0</v>
      </c>
      <c r="E140" s="41" t="str">
        <f aca="false">IF(ISNUMBER(E24),E24,"—")</f>
        <v>—</v>
      </c>
      <c r="F140" s="41" t="str">
        <f aca="false">IF(ISNUMBER(E86),E86,"—")</f>
        <v>—</v>
      </c>
      <c r="G140" s="42" t="str">
        <f aca="false">IFERROR(IF(AND(F24="YES",ISNUMBER(D86),D86&gt;0,ISNUMBER(D24),D24&gt;0),IF(($C$7*IF(ISNUMBER(E24),E24,0)/D86)&lt;0,ABS($C$7*IF(ISNUMBER(E24),E24,0)/D86)/(2*PI()*C24*1000000)*1000000,"—"),"—"),"—")</f>
        <v>—</v>
      </c>
      <c r="H140" s="41" t="str">
        <f aca="false">IFERROR(IF(AND(F24="YES",ISNUMBER(D86),D86&gt;0,ISNUMBER(D24),D24&gt;0),IF(($C$7*IF(ISNUMBER(E24),E24,0)/D86)&gt;0,1/((2*PI()*C24*1000000)*ABS($C$7*IF(ISNUMBER(E24),E24,0)/D86))*1000000000000,"—"),"—"),"—")</f>
        <v>—</v>
      </c>
      <c r="I140" s="42" t="str">
        <f aca="false">IFERROR(IF(AND(F24="YES",ISNUMBER(D86),D86&gt;0,ISNUMBER(D24),D24&gt;0),IF((D86*IF(ISNUMBER(E24),E24,0)/($C$7*(D24^2+IF(ISNUMBER(E24),E24,0)^2)))&lt;0,-1/((2*PI()*C24*1000000)*(D86*IF(ISNUMBER(E24),E24,0)/($C$7*(D24^2+IF(ISNUMBER(E24),E24,0)^2))))*1000000,"—"),"—"),"—")</f>
        <v>—</v>
      </c>
      <c r="J140" s="41" t="str">
        <f aca="false">IFERROR(IF(AND(F24="YES",ISNUMBER(D86),D86&gt;0,ISNUMBER(D24),D24&gt;0),IF((D86*IF(ISNUMBER(E24),E24,0)/($C$7*(D24^2+IF(ISNUMBER(E24),E24,0)^2)))&gt;0,(D86*IF(ISNUMBER(E24),E24,0)/($C$7*(D24^2+IF(ISNUMBER(E24),E24,0)^2)))/(2*PI()*C24*1000000)*1000000000000,"—"),"—"),"—")</f>
        <v>—</v>
      </c>
    </row>
    <row r="141" customFormat="false" ht="15" hidden="false" customHeight="true" outlineLevel="0" collapsed="false">
      <c r="B141" s="40" t="n">
        <v>10</v>
      </c>
      <c r="C141" s="41" t="n">
        <f aca="false">C25</f>
        <v>0</v>
      </c>
      <c r="D141" s="41" t="n">
        <f aca="false">D25</f>
        <v>0</v>
      </c>
      <c r="E141" s="41" t="str">
        <f aca="false">IF(ISNUMBER(E25),E25,"—")</f>
        <v>—</v>
      </c>
      <c r="F141" s="41" t="str">
        <f aca="false">IF(ISNUMBER(E87),E87,"—")</f>
        <v>—</v>
      </c>
      <c r="G141" s="42" t="str">
        <f aca="false">IFERROR(IF(AND(F25="YES",ISNUMBER(D87),D87&gt;0,ISNUMBER(D25),D25&gt;0),IF(($C$7*IF(ISNUMBER(E25),E25,0)/D87)&lt;0,ABS($C$7*IF(ISNUMBER(E25),E25,0)/D87)/(2*PI()*C25*1000000)*1000000,"—"),"—"),"—")</f>
        <v>—</v>
      </c>
      <c r="H141" s="41" t="str">
        <f aca="false">IFERROR(IF(AND(F25="YES",ISNUMBER(D87),D87&gt;0,ISNUMBER(D25),D25&gt;0),IF(($C$7*IF(ISNUMBER(E25),E25,0)/D87)&gt;0,1/((2*PI()*C25*1000000)*ABS($C$7*IF(ISNUMBER(E25),E25,0)/D87))*1000000000000,"—"),"—"),"—")</f>
        <v>—</v>
      </c>
      <c r="I141" s="42" t="str">
        <f aca="false">IFERROR(IF(AND(F25="YES",ISNUMBER(D87),D87&gt;0,ISNUMBER(D25),D25&gt;0),IF((D87*IF(ISNUMBER(E25),E25,0)/($C$7*(D25^2+IF(ISNUMBER(E25),E25,0)^2)))&lt;0,-1/((2*PI()*C25*1000000)*(D87*IF(ISNUMBER(E25),E25,0)/($C$7*(D25^2+IF(ISNUMBER(E25),E25,0)^2))))*1000000,"—"),"—"),"—")</f>
        <v>—</v>
      </c>
      <c r="J141" s="41" t="str">
        <f aca="false">IFERROR(IF(AND(F25="YES",ISNUMBER(D87),D87&gt;0,ISNUMBER(D25),D25&gt;0),IF((D87*IF(ISNUMBER(E25),E25,0)/($C$7*(D25^2+IF(ISNUMBER(E25),E25,0)^2)))&gt;0,(D87*IF(ISNUMBER(E25),E25,0)/($C$7*(D25^2+IF(ISNUMBER(E25),E25,0)^2)))/(2*PI()*C25*1000000)*1000000000000,"—"),"—"),"—")</f>
        <v>—</v>
      </c>
    </row>
    <row r="142" customFormat="false" ht="15" hidden="false" customHeight="true" outlineLevel="0" collapsed="false">
      <c r="B142" s="40" t="n">
        <v>11</v>
      </c>
      <c r="C142" s="41" t="n">
        <f aca="false">C26</f>
        <v>0</v>
      </c>
      <c r="D142" s="41" t="n">
        <f aca="false">D26</f>
        <v>0</v>
      </c>
      <c r="E142" s="41" t="str">
        <f aca="false">IF(ISNUMBER(E26),E26,"—")</f>
        <v>—</v>
      </c>
      <c r="F142" s="41" t="str">
        <f aca="false">IF(ISNUMBER(E88),E88,"—")</f>
        <v>—</v>
      </c>
      <c r="G142" s="42" t="str">
        <f aca="false">IFERROR(IF(AND(F26="YES",ISNUMBER(D88),D88&gt;0,ISNUMBER(D26),D26&gt;0),IF(($C$7*IF(ISNUMBER(E26),E26,0)/D88)&lt;0,ABS($C$7*IF(ISNUMBER(E26),E26,0)/D88)/(2*PI()*C26*1000000)*1000000,"—"),"—"),"—")</f>
        <v>—</v>
      </c>
      <c r="H142" s="41" t="str">
        <f aca="false">IFERROR(IF(AND(F26="YES",ISNUMBER(D88),D88&gt;0,ISNUMBER(D26),D26&gt;0),IF(($C$7*IF(ISNUMBER(E26),E26,0)/D88)&gt;0,1/((2*PI()*C26*1000000)*ABS($C$7*IF(ISNUMBER(E26),E26,0)/D88))*1000000000000,"—"),"—"),"—")</f>
        <v>—</v>
      </c>
      <c r="I142" s="42" t="str">
        <f aca="false">IFERROR(IF(AND(F26="YES",ISNUMBER(D88),D88&gt;0,ISNUMBER(D26),D26&gt;0),IF((D88*IF(ISNUMBER(E26),E26,0)/($C$7*(D26^2+IF(ISNUMBER(E26),E26,0)^2)))&lt;0,-1/((2*PI()*C26*1000000)*(D88*IF(ISNUMBER(E26),E26,0)/($C$7*(D26^2+IF(ISNUMBER(E26),E26,0)^2))))*1000000,"—"),"—"),"—")</f>
        <v>—</v>
      </c>
      <c r="J142" s="41" t="str">
        <f aca="false">IFERROR(IF(AND(F26="YES",ISNUMBER(D88),D88&gt;0,ISNUMBER(D26),D26&gt;0),IF((D88*IF(ISNUMBER(E26),E26,0)/($C$7*(D26^2+IF(ISNUMBER(E26),E26,0)^2)))&gt;0,(D88*IF(ISNUMBER(E26),E26,0)/($C$7*(D26^2+IF(ISNUMBER(E26),E26,0)^2)))/(2*PI()*C26*1000000)*1000000000000,"—"),"—"),"—")</f>
        <v>—</v>
      </c>
    </row>
    <row r="144" customFormat="false" ht="15" hidden="false" customHeight="true" outlineLevel="0" collapsed="false">
      <c r="B144" s="37" t="s">
        <v>121</v>
      </c>
      <c r="C144" s="37"/>
      <c r="D144" s="37"/>
      <c r="E144" s="37"/>
      <c r="F144" s="37"/>
      <c r="G144" s="37"/>
      <c r="H144" s="37"/>
      <c r="I144" s="37"/>
      <c r="J144" s="37"/>
    </row>
    <row r="145" customFormat="false" ht="15" hidden="false" customHeight="true" outlineLevel="0" collapsed="false">
      <c r="B145" s="43" t="s">
        <v>122</v>
      </c>
      <c r="C145" s="38" t="s">
        <v>123</v>
      </c>
      <c r="D145" s="38"/>
      <c r="E145" s="38"/>
      <c r="F145" s="38"/>
      <c r="G145" s="38"/>
      <c r="H145" s="38"/>
      <c r="I145" s="38"/>
      <c r="J145" s="38"/>
    </row>
    <row r="146" customFormat="false" ht="15" hidden="false" customHeight="true" outlineLevel="0" collapsed="false">
      <c r="B146" s="43" t="s">
        <v>124</v>
      </c>
      <c r="C146" s="38" t="s">
        <v>125</v>
      </c>
      <c r="D146" s="38"/>
      <c r="E146" s="38"/>
      <c r="F146" s="38"/>
      <c r="G146" s="38"/>
      <c r="H146" s="38"/>
      <c r="I146" s="38"/>
      <c r="J146" s="38"/>
    </row>
    <row r="147" customFormat="false" ht="15" hidden="false" customHeight="true" outlineLevel="0" collapsed="false">
      <c r="B147" s="43" t="s">
        <v>126</v>
      </c>
      <c r="C147" s="38" t="s">
        <v>127</v>
      </c>
      <c r="D147" s="38"/>
      <c r="E147" s="38"/>
      <c r="F147" s="38"/>
      <c r="G147" s="38"/>
      <c r="H147" s="38"/>
      <c r="I147" s="38"/>
      <c r="J147" s="38"/>
    </row>
    <row r="148" customFormat="false" ht="15" hidden="false" customHeight="true" outlineLevel="0" collapsed="false">
      <c r="B148" s="43" t="s">
        <v>128</v>
      </c>
      <c r="C148" s="38" t="s">
        <v>129</v>
      </c>
      <c r="D148" s="38"/>
      <c r="E148" s="38"/>
      <c r="F148" s="38"/>
      <c r="G148" s="38"/>
      <c r="H148" s="38"/>
      <c r="I148" s="38"/>
      <c r="J148" s="38"/>
    </row>
    <row r="149" customFormat="false" ht="15" hidden="false" customHeight="true" outlineLevel="0" collapsed="false">
      <c r="B149" s="43" t="s">
        <v>130</v>
      </c>
      <c r="C149" s="38" t="s">
        <v>131</v>
      </c>
      <c r="D149" s="38"/>
      <c r="E149" s="38"/>
      <c r="F149" s="38"/>
      <c r="G149" s="38"/>
      <c r="H149" s="38"/>
      <c r="I149" s="38"/>
      <c r="J149" s="38"/>
    </row>
    <row r="150" customFormat="false" ht="15" hidden="false" customHeight="true" outlineLevel="0" collapsed="false">
      <c r="B150" s="43" t="s">
        <v>132</v>
      </c>
      <c r="C150" s="38" t="s">
        <v>133</v>
      </c>
      <c r="D150" s="38"/>
      <c r="E150" s="38"/>
      <c r="F150" s="38"/>
      <c r="G150" s="38"/>
      <c r="H150" s="38"/>
      <c r="I150" s="38"/>
      <c r="J150" s="38"/>
    </row>
  </sheetData>
  <mergeCells count="62">
    <mergeCell ref="B2:I2"/>
    <mergeCell ref="B3:I3"/>
    <mergeCell ref="B5:I5"/>
    <mergeCell ref="E6:I6"/>
    <mergeCell ref="E7:H7"/>
    <mergeCell ref="E8:H8"/>
    <mergeCell ref="E9:H9"/>
    <mergeCell ref="E10:H10"/>
    <mergeCell ref="E11:I11"/>
    <mergeCell ref="B14:E14"/>
    <mergeCell ref="B28:D28"/>
    <mergeCell ref="B29:D29"/>
    <mergeCell ref="B31:D31"/>
    <mergeCell ref="B40:J40"/>
    <mergeCell ref="B54:I54"/>
    <mergeCell ref="B55:I55"/>
    <mergeCell ref="B57:I57"/>
    <mergeCell ref="B71:D71"/>
    <mergeCell ref="B73:I73"/>
    <mergeCell ref="B74:I74"/>
    <mergeCell ref="B76:I76"/>
    <mergeCell ref="B90:I90"/>
    <mergeCell ref="B91:I91"/>
    <mergeCell ref="B92:I92"/>
    <mergeCell ref="B93:I93"/>
    <mergeCell ref="B94:I94"/>
    <mergeCell ref="B95:I95"/>
    <mergeCell ref="B96:I96"/>
    <mergeCell ref="B97:I97"/>
    <mergeCell ref="B99:G99"/>
    <mergeCell ref="B100:G100"/>
    <mergeCell ref="B102:G102"/>
    <mergeCell ref="E103:G103"/>
    <mergeCell ref="E104:G104"/>
    <mergeCell ref="E105:G105"/>
    <mergeCell ref="E106:G106"/>
    <mergeCell ref="E107:G107"/>
    <mergeCell ref="B109:G109"/>
    <mergeCell ref="E110:G110"/>
    <mergeCell ref="E111:G111"/>
    <mergeCell ref="E112:G112"/>
    <mergeCell ref="E113:G113"/>
    <mergeCell ref="E114:G114"/>
    <mergeCell ref="E115:G115"/>
    <mergeCell ref="E116:G116"/>
    <mergeCell ref="E117:G117"/>
    <mergeCell ref="E118:G118"/>
    <mergeCell ref="B121:J121"/>
    <mergeCell ref="B122:J122"/>
    <mergeCell ref="B124:J124"/>
    <mergeCell ref="B125:J125"/>
    <mergeCell ref="B126:J126"/>
    <mergeCell ref="B127:J127"/>
    <mergeCell ref="B128:J128"/>
    <mergeCell ref="B129:J129"/>
    <mergeCell ref="B144:J144"/>
    <mergeCell ref="C145:J145"/>
    <mergeCell ref="C146:J146"/>
    <mergeCell ref="C147:J147"/>
    <mergeCell ref="C148:J148"/>
    <mergeCell ref="C149:J149"/>
    <mergeCell ref="C150:J1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2026-05-30T00:15:53Z</dcterms:created>
  <dc:creator>openpyxl</dc:creator>
  <dc:description/>
  <dc:language>es-AR</dc:language>
  <cp:lastModifiedBy/>
  <dcterms:modified xsi:type="dcterms:W3CDTF">2026-05-30T22:30:09Z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