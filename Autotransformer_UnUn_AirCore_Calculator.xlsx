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ummary Dashboard" sheetId="1" state="visible" r:id="rId3"/>
    <sheet name="Inputs" sheetId="2" state="visible" r:id="rId4"/>
    <sheet name="Winding Design" sheetId="3" state="visible" r:id="rId5"/>
    <sheet name="_Tables" sheetId="4" state="hidden" r:id="rId6"/>
    <sheet name="RF Performance" sheetId="5" state="visible" r:id="rId7"/>
    <sheet name="Coil &amp; Inducta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<sst xmlns="http://schemas.openxmlformats.org/spreadsheetml/2006/main" count="177" uniqueCount="145">
  <si>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</si>
  <si>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</si>
  <si>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</si>
  <si>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</si>
  <si>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Ω</t>
  </si>
  <si>
    <t xml:space="preserve">Frequency</t>
  </si>
  <si>
    <t xml:space="preserve">MHz</t>
  </si>
  <si>
    <t xml:space="preserve">Wire Dia.</t>
  </si>
  <si>
    <t xml:space="preserve">mm</t>
  </si>
  <si>
    <t xml:space="preserve">T_ref turns</t>
  </si>
  <si>
    <t xml:space="preserve">turns</t>
  </si>
  <si>
    <t xml:space="preserve">Active taps</t>
  </si>
  <si>
    <t xml:space="preserve">#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</si>
  <si>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</si>
  <si>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</si>
  <si>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</si>
  <si>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</si>
  <si>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</si>
  <si>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Tap #</t>
  </si>
  <si>
    <t xml:space="preserve">Label</t>
  </si>
  <si>
    <t xml:space="preserve">Z_in (Ω)</t>
  </si>
  <si>
    <t xml:space="preserve">Phase (°)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</si>
  <si>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</si>
  <si>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</si>
  <si>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</si>
  <si>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</si>
  <si>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</si>
  <si>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</si>
  <si>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</si>
  <si>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</si>
  <si>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</si>
  <si>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</si>
  <si>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</si>
  <si>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</si>
  <si>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</si>
  <si>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Fixed 50Ω output (e.g. coax / transmatch)</t>
  </si>
  <si>
    <t xml:space="preserve">Operating Frequency (MHz)</t>
  </si>
  <si>
    <t xml:space="preserve">Used for reactance &amp; skin-depth calcs</t>
  </si>
  <si>
    <t xml:space="preserve">Wire Diameter (mm)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</si>
  <si>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</si>
  <si>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</si>
  <si>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</si>
  <si>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</si>
  <si>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Enter 1–11  (rows below auto-activate)</t>
  </si>
  <si>
    <t xml:space="preserve">TAP INPUT IMPEDANCES  (enter R + jX per tap, or leave blank for inactive taps)</t>
  </si>
  <si>
    <t xml:space="preserve">Tap Name / Label</t>
  </si>
  <si>
    <t xml:space="preserve">R  (Ω)
Resistance</t>
  </si>
  <si>
    <t xml:space="preserve">X  (Ω)
Reactance (+L / −C)</t>
  </si>
  <si>
    <t xml:space="preserve">|Z| (Ω)
Magnitude</t>
  </si>
  <si>
    <t xml:space="preserve">Active</t>
  </si>
  <si>
    <t xml:space="preserve">Turns Ratio
n = √(|Z|/Z₀)</t>
  </si>
  <si>
    <t xml:space="preserve">Tap 1</t>
  </si>
  <si>
    <t xml:space="preserve">Tap 2</t>
  </si>
  <si>
    <t xml:space="preserve">Tap 3</t>
  </si>
  <si>
    <t xml:space="preserve">Tap 4</t>
  </si>
  <si>
    <t xml:space="preserve">Tap 5</t>
  </si>
  <si>
    <t xml:space="preserve">Tap 6</t>
  </si>
  <si>
    <t xml:space="preserve">Tap 7</t>
  </si>
  <si>
    <t xml:space="preserve">Tap 8</t>
  </si>
  <si>
    <t xml:space="preserve">Tap 9</t>
  </si>
  <si>
    <t xml:space="preserve">Tap 10</t>
  </si>
  <si>
    <t xml:space="preserve">Tap 11</t>
  </si>
  <si>
    <t xml:space="preserve">LEGEND</t>
  </si>
  <si>
    <t xml:space="preserve">Blue cells</t>
  </si>
  <si>
    <t xml:space="preserve">User input – enter your values here</t>
  </si>
  <si>
    <t xml:space="preserve">Light blue cells</t>
  </si>
  <si>
    <t xml:space="preserve">Calculated by formula – do not edit</t>
  </si>
  <si>
    <t xml:space="preserve">Gold / Amber header</t>
  </si>
  <si>
    <t xml:space="preserve">Section / legend marker</t>
  </si>
  <si>
    <t xml:space="preserve">YES (green)</t>
  </si>
  <si>
    <t xml:space="preserve">Tap is active and within selected count</t>
  </si>
  <si>
    <t xml:space="preserve">—</t>
  </si>
  <si>
    <t xml:space="preserve">Tap inactive (outside active count or no R entered)</t>
  </si>
  <si>
    <t xml:space="preserve">✦  AIR-CORE AUTOTRANSFORMER  —  WINDING DESIGN  ✦</t>
  </si>
  <si>
    <t xml:space="preserve">Tap turn counts, cumulative turns, wire lengths, and DC resistance per section</t>
  </si>
  <si>
    <t xml:space="preserve">AIR-CORE UnUn — THEORY &amp; FORMULAE</t>
  </si>
  <si>
    <t xml:space="preserve">An autotransformer UnUn (unbalanced-to-unbalanced) uses a single tapped winding.</t>
  </si>
  <si>
    <t xml:space="preserve">For a lossless transformer:  Z_in / Z_out = (N_in / N_out)²  → N_ratio = √(Z_in / Z_out)</t>
  </si>
  <si>
    <t xml:space="preserve">Tap turn count:  T_tap = ROUND( T_ref × n_tap )  where T_ref is the reference (output) turns.</t>
  </si>
  <si>
    <t xml:space="preserve">Air-core winding: choose T_ref so that the lowest impedance tap has ≥ 5 turns (rule of thumb).</t>
  </si>
  <si>
    <t xml:space="preserve">Inductance (air solenoid):  L ≈ (N² × r²) / (9r + 10ℓ)  [µH, inches]  (Wheeler formula).</t>
  </si>
  <si>
    <t xml:space="preserve">Minimum L for low cut-off:  X_L ≥ 4 × Z_low at lowest frequency  →  L_min = 4×Z_low / (2π×f_MHz×10⁶).</t>
  </si>
  <si>
    <t xml:space="preserve">REFERENCE TURNS (output side = 50Ω)</t>
  </si>
  <si>
    <t xml:space="preserve">T_ref  (turns at 50Ω tap — user sets or use suggestion below)</t>
  </si>
  <si>
    <t xml:space="preserve">← Edit this value</t>
  </si>
  <si>
    <t xml:space="preserve">Suggested T_ref (min 5 turns at lowest-Z tap)</t>
  </si>
  <si>
    <t xml:space="preserve">(auto-suggestion)</t>
  </si>
  <si>
    <t xml:space="preserve">PER-TAP WINDING CALCULATIONS</t>
  </si>
  <si>
    <t xml:space="preserve">Turns Ratio n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</si>
  <si>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</si>
  <si>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</si>
  <si>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</si>
  <si>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</si>
  <si>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</si>
  <si>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</si>
  <si>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AWG (ref)</t>
  </si>
  <si>
    <t xml:space="preserve">Ω/m (DC, 20°C)</t>
  </si>
  <si>
    <t xml:space="preserve">Note: resistance now computed directly from wire diameter in Inputs C9</t>
  </si>
  <si>
    <t xml:space="preserve">Wire Dia (mm)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</si>
  <si>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</si>
  <si>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</si>
  <si>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</si>
  <si>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</si>
  <si>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</si>
  <si>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</si>
  <si>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</si>
  <si>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</si>
  <si>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</si>
  <si>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</si>
  <si>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</si>
  <si>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</si>
  <si>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</si>
  <si>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</si>
  <si>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</si>
  <si>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</si>
  <si>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</si>
  <si>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</si>
  <si>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</si>
  <si>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</si>
  <si>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</si>
  <si>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</si>
  <si>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</si>
  <si>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</si>
  <si>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</si>
  <si>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(from Inputs) + gap; must be ≥ wire dia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</si>
  <si>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</si>
  <si>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</si>
  <si>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</si>
  <si>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</si>
  <si>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</si>
  <si>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N × pitch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</si>
  <si>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</si>
  <si>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</si>
  <si>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</si>
  <si>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</si>
  <si>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</si>
  <si>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</si>
  <si>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</si>
  <si>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</si>
  <si>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 (Ω)</t>
  </si>
  <si>
    <t xml:space="preserve">ωL = 2πf·L</t>
  </si>
  <si>
    <t xml:space="preserve">Minimum L required (µH)</t>
  </si>
  <si>
    <t xml:space="preserve">X_L ≥ 4×Z_min  →  L_min = 4·Z_min/(2πf)</t>
  </si>
  <si>
    <t xml:space="preserve">L sufficient for lowest tap?</t>
  </si>
  <si>
    <t xml:space="preserve">Compare L vs L_min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</si>
</sst>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#,##0.000"/>
    <numFmt numFmtId="167" formatCode="#,##0.00"/>
    <numFmt numFmtId="168" formatCode="0.0\°;[RED]\-0.0\°"/>
    <numFmt numFmtId="169" formatCode="0.000"/>
    <numFmt numFmtId="170" formatCode="0"/>
    <numFmt numFmtId="171" formatCode="0.00"/>
    <numFmt numFmtId="172" formatCode="0.0"/>
    <numFmt numFmtId="173" formatCode="#,##0.00;[RED]\-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ntarell Light"/>
      <family val="0"/>
      <charset val="1"/>
    </font>
    <font>
      <b val="true"/>
      <sz val="10"/>
      <color rgb="FFFFFFFF"/>
      <name val="Cantarell Light"/>
      <family val="0"/>
      <charset val="1"/>
    </font>
    <font>
      <i val="true"/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i val="true"/>
      <sz val="10"/>
      <color rgb="FF555555"/>
      <name val="Cantarell Light"/>
      <family val="0"/>
      <charset val="1"/>
    </font>
    <font>
      <i val="true"/>
      <sz val="10"/>
      <color rgb="FF1A1A5E"/>
      <name val="Cantarell Light"/>
      <family val="0"/>
      <charset val="1"/>
    </font>
    <font>
      <i val="true"/>
      <sz val="10"/>
      <color rgb="FF000000"/>
      <name val="Cantarell Light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2D40"/>
        <bgColor rgb="FF1A1A5E"/>
      </patternFill>
    </fill>
    <fill>
      <patternFill patternType="solid">
        <fgColor rgb="FF1F5C8B"/>
        <bgColor rgb="FF008080"/>
      </patternFill>
    </fill>
    <fill>
      <patternFill patternType="solid">
        <fgColor rgb="FFF2F2F2"/>
        <bgColor rgb="FFF0F8FF"/>
      </patternFill>
    </fill>
    <fill>
      <patternFill patternType="solid">
        <fgColor rgb="FFF0F8FF"/>
        <bgColor rgb="FFF2F2F2"/>
      </patternFill>
    </fill>
    <fill>
      <patternFill patternType="solid">
        <fgColor rgb="FFFFFFFF"/>
        <bgColor rgb="FFFFF9E6"/>
      </patternFill>
    </fill>
    <fill>
      <patternFill patternType="solid">
        <fgColor rgb="FFD6E8F5"/>
        <bgColor rgb="FFC6EFCE"/>
      </patternFill>
    </fill>
    <fill>
      <patternFill patternType="solid">
        <fgColor rgb="FFFFF9E6"/>
        <bgColor rgb="FFFFFFFF"/>
      </patternFill>
    </fill>
    <fill>
      <patternFill patternType="solid">
        <fgColor rgb="FFE8A02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9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70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D6E8F5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8FF"/>
      <rgbColor rgb="FFC6EFCE"/>
      <rgbColor rgb="FFF2F2F2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E8A020"/>
      <rgbColor rgb="FFFF6600"/>
      <rgbColor rgb="FF555555"/>
      <rgbColor rgb="FFAAAAAA"/>
      <rgbColor rgb="FF1A1A5E"/>
      <rgbColor rgb="FF339966"/>
      <rgbColor rgb="FF003300"/>
      <rgbColor rgb="FF333300"/>
      <rgbColor rgb="FF993300"/>
      <rgbColor rgb="FF993366"/>
      <rgbColor rgb="FF333399"/>
      <rgbColor rgb="FF1A2D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7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N25" activeCellId="0" sqref="N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.45"/>
    <col collapsed="false" customWidth="true" hidden="false" outlineLevel="0" max="3" min="3" style="1" width="11.82"/>
    <col collapsed="false" customWidth="true" hidden="false" outlineLevel="0" max="10" min="4" style="1" width="10.2"/>
    <col collapsed="false" customWidth="false" hidden="false" outlineLevel="0" max="16384" min="11" style="1" width="8.68"/>
  </cols>
  <sheetData>
    <row r="2" customFormat="false" ht="20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</row>
    <row r="6" customFormat="false" ht="15" hidden="false" customHeight="true" outlineLevel="0" collapsed="false">
      <c r="B6" s="5" t="s">
        <v>3</v>
      </c>
      <c r="C6" s="6" t="n">
        <f aca="false">Inputs!C7</f>
        <v>50</v>
      </c>
      <c r="D6" s="7" t="s">
        <v>4</v>
      </c>
    </row>
    <row r="7" customFormat="false" ht="15" hidden="false" customHeight="true" outlineLevel="0" collapsed="false">
      <c r="B7" s="5" t="s">
        <v>5</v>
      </c>
      <c r="C7" s="6" t="n">
        <f aca="false">Inputs!C8</f>
        <v>7.2</v>
      </c>
      <c r="D7" s="7" t="s">
        <v>6</v>
      </c>
    </row>
    <row r="8" customFormat="false" ht="15" hidden="false" customHeight="true" outlineLevel="0" collapsed="false">
      <c r="B8" s="5" t="s">
        <v>7</v>
      </c>
      <c r="C8" s="6" t="n">
        <f aca="false">Inputs!C9</f>
        <v>0.45</v>
      </c>
      <c r="D8" s="7" t="s">
        <v>8</v>
      </c>
    </row>
    <row r="9" customFormat="false" ht="15" hidden="false" customHeight="true" outlineLevel="0" collapsed="false">
      <c r="B9" s="5" t="s">
        <v>9</v>
      </c>
      <c r="C9" s="6" t="n">
        <f aca="false">'Winding Design'!F14</f>
        <v>20</v>
      </c>
      <c r="D9" s="7" t="s">
        <v>10</v>
      </c>
    </row>
    <row r="10" customFormat="false" ht="15" hidden="false" customHeight="true" outlineLevel="0" collapsed="false">
      <c r="B10" s="5" t="s">
        <v>11</v>
      </c>
      <c r="C10" s="6" t="n">
        <f aca="false">Inputs!C11</f>
        <v>4</v>
      </c>
      <c r="D10" s="7" t="s">
        <v>12</v>
      </c>
    </row>
    <row r="11" customFormat="false" ht="15" hidden="false" customHeight="true" outlineLevel="0" collapsed="false">
      <c r="B11" s="5" t="s">
        <v>13</v>
      </c>
      <c r="C11" s="8" t="n">
        <f aca="false">'Winding Design'!I31</f>
        <v>4134.33593212417</v>
      </c>
      <c r="D11" s="7" t="s">
        <v>8</v>
      </c>
    </row>
    <row r="12" customFormat="false" ht="15" hidden="false" customHeight="true" outlineLevel="0" collapsed="false">
      <c r="B12" s="5" t="s">
        <v>14</v>
      </c>
      <c r="C12" s="9" t="n">
        <f aca="false">IFERROR('Coil &amp; Inductance'!C18,"—")</f>
        <v>35.9597632438237</v>
      </c>
      <c r="D12" s="7" t="s">
        <v>15</v>
      </c>
    </row>
    <row r="13" customFormat="false" ht="15" hidden="false" customHeight="true" outlineLevel="0" collapsed="false">
      <c r="B13" s="5" t="s">
        <v>16</v>
      </c>
      <c r="C13" s="6" t="str">
        <f aca="false">IFERROR('Coil &amp; Inductance'!C21,"—")</f>
        <v>✔ YES</v>
      </c>
      <c r="D13" s="7"/>
    </row>
    <row r="15" customFormat="false" ht="15" hidden="false" customHeight="true" outlineLevel="0" collapsed="false">
      <c r="B15" s="4" t="s">
        <v>17</v>
      </c>
      <c r="C15" s="4"/>
      <c r="D15" s="4"/>
      <c r="E15" s="4"/>
      <c r="F15" s="4"/>
      <c r="G15" s="4"/>
      <c r="H15" s="4"/>
      <c r="I15" s="4"/>
    </row>
    <row r="16" customFormat="false" ht="41.25" hidden="false" customHeight="true" outlineLevel="0" collapsed="false">
      <c r="B16" s="10" t="s">
        <v>18</v>
      </c>
      <c r="C16" s="10" t="s">
        <v>19</v>
      </c>
      <c r="D16" s="10" t="s">
        <v>20</v>
      </c>
      <c r="E16" s="10" t="s">
        <v>21</v>
      </c>
      <c r="F16" s="10" t="s">
        <v>22</v>
      </c>
      <c r="G16" s="10" t="s">
        <v>23</v>
      </c>
      <c r="H16" s="10" t="s">
        <v>24</v>
      </c>
      <c r="I16" s="10" t="s">
        <v>25</v>
      </c>
      <c r="J16" s="10" t="s">
        <v>26</v>
      </c>
    </row>
    <row r="17" customFormat="false" ht="15" hidden="false" customHeight="true" outlineLevel="0" collapsed="false">
      <c r="B17" s="11" t="n">
        <v>1</v>
      </c>
      <c r="C17" s="12" t="str">
        <f aca="false">Inputs!C15</f>
        <v>Tap 1</v>
      </c>
      <c r="D17" s="13" t="n">
        <f aca="false">Inputs!F15</f>
        <v>200</v>
      </c>
      <c r="E17" s="14" t="n">
        <f aca="false">Inputs!G15</f>
        <v>0</v>
      </c>
      <c r="F17" s="15" t="n">
        <f aca="false">'Winding Design'!D19</f>
        <v>2</v>
      </c>
      <c r="G17" s="16" t="n">
        <f aca="false">'Winding Design'!E19</f>
        <v>40</v>
      </c>
      <c r="H17" s="17" t="n">
        <f aca="false">'RF Performance'!F7</f>
        <v>1</v>
      </c>
      <c r="I17" s="18" t="n">
        <f aca="false">'RF Performance'!G7</f>
        <v>180</v>
      </c>
      <c r="J17" s="17" t="n">
        <f aca="false">'RF Performance'!I7</f>
        <v>0</v>
      </c>
    </row>
    <row r="18" customFormat="false" ht="15" hidden="false" customHeight="true" outlineLevel="0" collapsed="false">
      <c r="B18" s="19" t="n">
        <v>2</v>
      </c>
      <c r="C18" s="12" t="str">
        <f aca="false">Inputs!C16</f>
        <v>Tap 2</v>
      </c>
      <c r="D18" s="13" t="n">
        <f aca="false">Inputs!F16</f>
        <v>316.227766016838</v>
      </c>
      <c r="E18" s="14" t="n">
        <f aca="false">Inputs!G16</f>
        <v>18.434948822922</v>
      </c>
      <c r="F18" s="15" t="n">
        <f aca="false">'Winding Design'!D20</f>
        <v>2.51486685936587</v>
      </c>
      <c r="G18" s="16" t="n">
        <f aca="false">'Winding Design'!E20</f>
        <v>50</v>
      </c>
      <c r="H18" s="17" t="n">
        <f aca="false">'RF Performance'!F8</f>
        <v>1.38742588672279</v>
      </c>
      <c r="I18" s="18" t="n">
        <f aca="false">'RF Performance'!G8</f>
        <v>15.7948252576199</v>
      </c>
      <c r="J18" s="17" t="n">
        <f aca="false">'RF Performance'!I8</f>
        <v>2.6334038989724</v>
      </c>
    </row>
    <row r="19" customFormat="false" ht="15" hidden="false" customHeight="true" outlineLevel="0" collapsed="false">
      <c r="B19" s="11" t="n">
        <v>3</v>
      </c>
      <c r="C19" s="12" t="str">
        <f aca="false">Inputs!C17</f>
        <v>Tap 3</v>
      </c>
      <c r="D19" s="13" t="n">
        <f aca="false">Inputs!F17</f>
        <v>457.055795281058</v>
      </c>
      <c r="E19" s="14" t="n">
        <f aca="false">Inputs!G17</f>
        <v>-10.0805979875423</v>
      </c>
      <c r="F19" s="15" t="n">
        <f aca="false">'Winding Design'!D21</f>
        <v>3.02342784031985</v>
      </c>
      <c r="G19" s="16" t="n">
        <f aca="false">'Winding Design'!E21</f>
        <v>60</v>
      </c>
      <c r="H19" s="17" t="n">
        <f aca="false">'RF Performance'!F9</f>
        <v>1.19345732284679</v>
      </c>
      <c r="I19" s="18" t="n">
        <f aca="false">'RF Performance'!G9</f>
        <v>21.0908803086925</v>
      </c>
      <c r="J19" s="17" t="n">
        <f aca="false">'RF Performance'!I9</f>
        <v>0.777878860128034</v>
      </c>
    </row>
    <row r="20" customFormat="false" ht="15" hidden="false" customHeight="true" outlineLevel="0" collapsed="false">
      <c r="B20" s="19" t="n">
        <v>4</v>
      </c>
      <c r="C20" s="12" t="str">
        <f aca="false">Inputs!C18</f>
        <v>Tap 4</v>
      </c>
      <c r="D20" s="13" t="n">
        <f aca="false">Inputs!F18</f>
        <v>800</v>
      </c>
      <c r="E20" s="14" t="n">
        <f aca="false">Inputs!G18</f>
        <v>0</v>
      </c>
      <c r="F20" s="15" t="n">
        <f aca="false">'Winding Design'!D22</f>
        <v>4</v>
      </c>
      <c r="G20" s="16" t="n">
        <f aca="false">'Winding Design'!E22</f>
        <v>80</v>
      </c>
      <c r="H20" s="17" t="n">
        <f aca="false">'RF Performance'!F10</f>
        <v>1</v>
      </c>
      <c r="I20" s="18" t="n">
        <f aca="false">'RF Performance'!G10</f>
        <v>180</v>
      </c>
      <c r="J20" s="17" t="n">
        <f aca="false">'RF Performance'!I10</f>
        <v>0</v>
      </c>
    </row>
    <row r="21" customFormat="false" ht="15" hidden="false" customHeight="true" outlineLevel="0" collapsed="false">
      <c r="B21" s="11" t="n">
        <v>5</v>
      </c>
      <c r="C21" s="12" t="str">
        <f aca="false">Inputs!C19</f>
        <v>Tap 5</v>
      </c>
      <c r="D21" s="12" t="str">
        <f aca="false">Inputs!F19</f>
        <v/>
      </c>
      <c r="E21" s="12" t="str">
        <f aca="false">Inputs!G19</f>
        <v/>
      </c>
      <c r="F21" s="12" t="str">
        <f aca="false">'Winding Design'!D23</f>
        <v/>
      </c>
      <c r="G21" s="12" t="str">
        <f aca="false">'Winding Design'!E23</f>
        <v/>
      </c>
      <c r="H21" s="12" t="str">
        <f aca="false">'RF Performance'!F11</f>
        <v/>
      </c>
      <c r="I21" s="12" t="str">
        <f aca="false">'RF Performance'!G11</f>
        <v/>
      </c>
      <c r="J21" s="12" t="str">
        <f aca="false">'RF Performance'!I11</f>
        <v/>
      </c>
    </row>
    <row r="22" customFormat="false" ht="15" hidden="false" customHeight="true" outlineLevel="0" collapsed="false">
      <c r="B22" s="19" t="n">
        <v>6</v>
      </c>
      <c r="C22" s="12" t="str">
        <f aca="false">Inputs!C20</f>
        <v>Tap 6</v>
      </c>
      <c r="D22" s="12" t="str">
        <f aca="false">Inputs!F20</f>
        <v/>
      </c>
      <c r="E22" s="12" t="str">
        <f aca="false">Inputs!G20</f>
        <v/>
      </c>
      <c r="F22" s="12" t="str">
        <f aca="false">'Winding Design'!D24</f>
        <v/>
      </c>
      <c r="G22" s="12" t="str">
        <f aca="false">'Winding Design'!E24</f>
        <v/>
      </c>
      <c r="H22" s="12" t="str">
        <f aca="false">'RF Performance'!F12</f>
        <v/>
      </c>
      <c r="I22" s="12" t="str">
        <f aca="false">'RF Performance'!G12</f>
        <v/>
      </c>
      <c r="J22" s="12" t="str">
        <f aca="false">'RF Performance'!I12</f>
        <v/>
      </c>
    </row>
    <row r="23" customFormat="false" ht="15" hidden="false" customHeight="true" outlineLevel="0" collapsed="false">
      <c r="B23" s="11" t="n">
        <v>7</v>
      </c>
      <c r="C23" s="12" t="str">
        <f aca="false">Inputs!C21</f>
        <v>Tap 7</v>
      </c>
      <c r="D23" s="12" t="str">
        <f aca="false">Inputs!F21</f>
        <v/>
      </c>
      <c r="E23" s="12" t="str">
        <f aca="false">Inputs!G21</f>
        <v/>
      </c>
      <c r="F23" s="12" t="str">
        <f aca="false">'Winding Design'!D25</f>
        <v/>
      </c>
      <c r="G23" s="12" t="str">
        <f aca="false">'Winding Design'!E25</f>
        <v/>
      </c>
      <c r="H23" s="12" t="str">
        <f aca="false">'RF Performance'!F13</f>
        <v/>
      </c>
      <c r="I23" s="12" t="str">
        <f aca="false">'RF Performance'!G13</f>
        <v/>
      </c>
      <c r="J23" s="12" t="str">
        <f aca="false">'RF Performance'!I13</f>
        <v/>
      </c>
    </row>
    <row r="24" customFormat="false" ht="15" hidden="false" customHeight="true" outlineLevel="0" collapsed="false">
      <c r="B24" s="19" t="n">
        <v>8</v>
      </c>
      <c r="C24" s="12" t="str">
        <f aca="false">Inputs!C22</f>
        <v>Tap 8</v>
      </c>
      <c r="D24" s="12" t="str">
        <f aca="false">Inputs!F22</f>
        <v/>
      </c>
      <c r="E24" s="12" t="str">
        <f aca="false">Inputs!G22</f>
        <v/>
      </c>
      <c r="F24" s="12" t="str">
        <f aca="false">'Winding Design'!D26</f>
        <v/>
      </c>
      <c r="G24" s="12" t="str">
        <f aca="false">'Winding Design'!E26</f>
        <v/>
      </c>
      <c r="H24" s="12" t="str">
        <f aca="false">'RF Performance'!F14</f>
        <v/>
      </c>
      <c r="I24" s="12" t="str">
        <f aca="false">'RF Performance'!G14</f>
        <v/>
      </c>
      <c r="J24" s="12" t="str">
        <f aca="false">'RF Performance'!I14</f>
        <v/>
      </c>
    </row>
    <row r="25" customFormat="false" ht="15" hidden="false" customHeight="true" outlineLevel="0" collapsed="false">
      <c r="B25" s="11" t="n">
        <v>9</v>
      </c>
      <c r="C25" s="12" t="str">
        <f aca="false">Inputs!C23</f>
        <v>Tap 9</v>
      </c>
      <c r="D25" s="12" t="str">
        <f aca="false">Inputs!F23</f>
        <v/>
      </c>
      <c r="E25" s="12" t="str">
        <f aca="false">Inputs!G23</f>
        <v/>
      </c>
      <c r="F25" s="12" t="str">
        <f aca="false">'Winding Design'!D27</f>
        <v/>
      </c>
      <c r="G25" s="12" t="str">
        <f aca="false">'Winding Design'!E27</f>
        <v/>
      </c>
      <c r="H25" s="12" t="str">
        <f aca="false">'RF Performance'!F15</f>
        <v/>
      </c>
      <c r="I25" s="12" t="str">
        <f aca="false">'RF Performance'!G15</f>
        <v/>
      </c>
      <c r="J25" s="12" t="str">
        <f aca="false">'RF Performance'!I15</f>
        <v/>
      </c>
    </row>
    <row r="26" customFormat="false" ht="15" hidden="false" customHeight="true" outlineLevel="0" collapsed="false">
      <c r="B26" s="19" t="n">
        <v>10</v>
      </c>
      <c r="C26" s="12" t="str">
        <f aca="false">Inputs!C24</f>
        <v>Tap 10</v>
      </c>
      <c r="D26" s="12" t="str">
        <f aca="false">Inputs!F24</f>
        <v/>
      </c>
      <c r="E26" s="12" t="str">
        <f aca="false">Inputs!G24</f>
        <v/>
      </c>
      <c r="F26" s="12" t="str">
        <f aca="false">'Winding Design'!D28</f>
        <v/>
      </c>
      <c r="G26" s="12" t="str">
        <f aca="false">'Winding Design'!E28</f>
        <v/>
      </c>
      <c r="H26" s="12" t="str">
        <f aca="false">'RF Performance'!F16</f>
        <v/>
      </c>
      <c r="I26" s="12" t="str">
        <f aca="false">'RF Performance'!G16</f>
        <v/>
      </c>
      <c r="J26" s="12" t="str">
        <f aca="false">'RF Performance'!I16</f>
        <v/>
      </c>
    </row>
    <row r="27" customFormat="false" ht="15" hidden="false" customHeight="true" outlineLevel="0" collapsed="false">
      <c r="B27" s="11" t="n">
        <v>11</v>
      </c>
      <c r="C27" s="12" t="str">
        <f aca="false">Inputs!C25</f>
        <v>Tap 11</v>
      </c>
      <c r="D27" s="12" t="str">
        <f aca="false">Inputs!F25</f>
        <v/>
      </c>
      <c r="E27" s="12" t="str">
        <f aca="false">Inputs!G25</f>
        <v/>
      </c>
      <c r="F27" s="12" t="str">
        <f aca="false">'Winding Design'!D29</f>
        <v/>
      </c>
      <c r="G27" s="12" t="str">
        <f aca="false">'Winding Design'!E29</f>
        <v/>
      </c>
      <c r="H27" s="12" t="str">
        <f aca="false">'RF Performance'!F17</f>
        <v/>
      </c>
      <c r="I27" s="12" t="str">
        <f aca="false">'RF Performance'!G17</f>
        <v/>
      </c>
      <c r="J27" s="12" t="str">
        <f aca="false">'RF Performance'!I17</f>
        <v/>
      </c>
    </row>
  </sheetData>
  <mergeCells count="4">
    <mergeCell ref="B2:I2"/>
    <mergeCell ref="B3:I3"/>
    <mergeCell ref="B5:D5"/>
    <mergeCell ref="B15:I15"/>
  </mergeCells>
  <conditionalFormatting sqref="H17 H18 H19 H20 H21 H22 H23 H24 H25 H26 H27">
    <cfRule type="cellIs" priority="2" operator="lessThanOrEqual" aboveAverage="0" equalAverage="0" bottom="0" percent="0" rank="0" text="" dxfId="0">
      <formula>2</formula>
    </cfRule>
    <cfRule type="cellIs" priority="3" operator="greaterThan" aboveAverage="0" equalAverage="0" bottom="0" percent="0" rank="0" text="" dxfId="1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2"/>
  <sheetViews>
    <sheetView showFormulas="false" showGridLines="false" showRowColHeaders="true" showZeros="true" rightToLeft="false" tabSelected="false" showOutlineSymbols="true" defaultGridColor="true" view="normal" topLeftCell="A4" colorId="64" zoomScale="200" zoomScaleNormal="200" zoomScalePageLayoutView="100" workbookViewId="0">
      <selection pane="topLeft" activeCell="L20" activeCellId="0" sqref="L2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2.17"/>
    <col collapsed="false" customWidth="true" hidden="false" outlineLevel="0" max="4" min="4" style="1" width="12.57"/>
    <col collapsed="false" customWidth="true" hidden="false" outlineLevel="0" max="8" min="5" style="1" width="17.88"/>
    <col collapsed="false" customWidth="true" hidden="false" outlineLevel="0" max="9" min="9" style="1" width="13.22"/>
    <col collapsed="false" customWidth="false" hidden="false" outlineLevel="0" max="16384" min="10" style="1" width="8.68"/>
  </cols>
  <sheetData>
    <row r="2" customFormat="false" ht="15" hidden="false" customHeight="true" outlineLevel="0" collapsed="false">
      <c r="B2" s="2" t="s">
        <v>27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B3" s="3" t="s">
        <v>28</v>
      </c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B5" s="4" t="s">
        <v>29</v>
      </c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B6" s="10" t="s">
        <v>30</v>
      </c>
      <c r="C6" s="10" t="s">
        <v>31</v>
      </c>
      <c r="D6" s="10" t="s">
        <v>32</v>
      </c>
      <c r="E6" s="10" t="s">
        <v>33</v>
      </c>
      <c r="F6" s="10"/>
      <c r="G6" s="10"/>
      <c r="H6" s="10"/>
    </row>
    <row r="7" customFormat="false" ht="15" hidden="false" customHeight="true" outlineLevel="0" collapsed="false">
      <c r="B7" s="20" t="s">
        <v>34</v>
      </c>
      <c r="C7" s="21" t="n">
        <v>50</v>
      </c>
      <c r="D7" s="22" t="s">
        <v>4</v>
      </c>
      <c r="E7" s="23" t="s">
        <v>35</v>
      </c>
      <c r="F7" s="23"/>
      <c r="G7" s="23"/>
      <c r="H7" s="23"/>
    </row>
    <row r="8" customFormat="false" ht="15" hidden="false" customHeight="true" outlineLevel="0" collapsed="false">
      <c r="B8" s="20" t="s">
        <v>36</v>
      </c>
      <c r="C8" s="21" t="n">
        <v>7.2</v>
      </c>
      <c r="D8" s="22" t="s">
        <v>6</v>
      </c>
      <c r="E8" s="23" t="s">
        <v>37</v>
      </c>
      <c r="F8" s="23"/>
      <c r="G8" s="23"/>
      <c r="H8" s="23"/>
    </row>
    <row r="9" customFormat="false" ht="15" hidden="false" customHeight="true" outlineLevel="0" collapsed="false">
      <c r="B9" s="20" t="s">
        <v>38</v>
      </c>
      <c r="C9" s="21" t="n">
        <v>0.45</v>
      </c>
      <c r="D9" s="22" t="s">
        <v>8</v>
      </c>
      <c r="E9" s="23" t="s">
        <v>39</v>
      </c>
      <c r="F9" s="23"/>
      <c r="G9" s="23"/>
      <c r="H9" s="23"/>
    </row>
    <row r="10" customFormat="false" ht="15" hidden="false" customHeight="true" outlineLevel="0" collapsed="false">
      <c r="B10" s="20" t="s">
        <v>40</v>
      </c>
      <c r="C10" s="21" t="n">
        <v>16</v>
      </c>
      <c r="D10" s="22" t="s">
        <v>8</v>
      </c>
      <c r="E10" s="23" t="s">
        <v>41</v>
      </c>
      <c r="F10" s="23"/>
      <c r="G10" s="23"/>
      <c r="H10" s="23"/>
    </row>
    <row r="11" customFormat="false" ht="15" hidden="false" customHeight="true" outlineLevel="0" collapsed="false">
      <c r="B11" s="20" t="s">
        <v>42</v>
      </c>
      <c r="C11" s="21" t="n">
        <v>4</v>
      </c>
      <c r="D11" s="22" t="s">
        <v>12</v>
      </c>
      <c r="E11" s="23" t="s">
        <v>43</v>
      </c>
      <c r="F11" s="23"/>
      <c r="G11" s="23"/>
      <c r="H11" s="23"/>
    </row>
    <row r="13" customFormat="false" ht="15" hidden="false" customHeight="true" outlineLevel="0" collapsed="false">
      <c r="B13" s="4" t="s">
        <v>44</v>
      </c>
      <c r="C13" s="4"/>
      <c r="D13" s="4"/>
      <c r="E13" s="4"/>
      <c r="F13" s="4"/>
      <c r="G13" s="4"/>
      <c r="H13" s="4"/>
    </row>
    <row r="14" customFormat="false" ht="25.5" hidden="false" customHeight="true" outlineLevel="0" collapsed="false">
      <c r="B14" s="10" t="s">
        <v>18</v>
      </c>
      <c r="C14" s="10" t="s">
        <v>45</v>
      </c>
      <c r="D14" s="10" t="s">
        <v>46</v>
      </c>
      <c r="E14" s="10" t="s">
        <v>47</v>
      </c>
      <c r="F14" s="10" t="s">
        <v>48</v>
      </c>
      <c r="G14" s="10" t="s">
        <v>21</v>
      </c>
      <c r="H14" s="10" t="s">
        <v>49</v>
      </c>
      <c r="I14" s="10" t="s">
        <v>50</v>
      </c>
    </row>
    <row r="15" customFormat="false" ht="15" hidden="false" customHeight="true" outlineLevel="0" collapsed="false">
      <c r="B15" s="24" t="n">
        <v>1</v>
      </c>
      <c r="C15" s="21" t="s">
        <v>51</v>
      </c>
      <c r="D15" s="25" t="n">
        <v>200</v>
      </c>
      <c r="E15" s="26" t="n">
        <v>0</v>
      </c>
      <c r="F15" s="27" t="n">
        <f aca="false">IF(ISNUMBER(D15),SQRT(D15^2+IF(ISNUMBER(E15),E15,0)^2),"")</f>
        <v>200</v>
      </c>
      <c r="G15" s="28" t="n">
        <f aca="false">IF(ISNUMBER(D15),DEGREES(ATAN2(D15,IF(ISNUMBER(E15),E15,0))),"")</f>
        <v>0</v>
      </c>
      <c r="H15" s="29" t="str">
        <f aca="false">IF(AND(ISNUMBER(D15),D15&gt;0),IF(1&lt;=$C$11,"YES","—"),"—")</f>
        <v>YES</v>
      </c>
      <c r="I15" s="30" t="n">
        <f aca="false">IF(F15&lt;&gt;"",SQRT(F15/MAX($C$7,0.000000001)),"")</f>
        <v>2</v>
      </c>
    </row>
    <row r="16" customFormat="false" ht="15" hidden="false" customHeight="true" outlineLevel="0" collapsed="false">
      <c r="B16" s="31" t="n">
        <v>2</v>
      </c>
      <c r="C16" s="21" t="s">
        <v>52</v>
      </c>
      <c r="D16" s="25" t="n">
        <v>300</v>
      </c>
      <c r="E16" s="26" t="n">
        <v>100</v>
      </c>
      <c r="F16" s="27" t="n">
        <f aca="false">IF(ISNUMBER(D16),SQRT(D16^2+IF(ISNUMBER(E16),E16,0)^2),"")</f>
        <v>316.227766016838</v>
      </c>
      <c r="G16" s="28" t="n">
        <f aca="false">IF(ISNUMBER(D16),DEGREES(ATAN2(D16,IF(ISNUMBER(E16),E16,0))),"")</f>
        <v>18.434948822922</v>
      </c>
      <c r="H16" s="29" t="str">
        <f aca="false">IF(AND(ISNUMBER(D16),D16&gt;0),IF(2&lt;=$C$11,"YES","—"),"—")</f>
        <v>YES</v>
      </c>
      <c r="I16" s="30" t="n">
        <f aca="false">IF(F16&lt;&gt;"",SQRT(F16/MAX($C$7,0.000000001)),"")</f>
        <v>2.51486685936587</v>
      </c>
    </row>
    <row r="17" customFormat="false" ht="15" hidden="false" customHeight="true" outlineLevel="0" collapsed="false">
      <c r="B17" s="24" t="n">
        <v>3</v>
      </c>
      <c r="C17" s="21" t="s">
        <v>53</v>
      </c>
      <c r="D17" s="25" t="n">
        <v>450</v>
      </c>
      <c r="E17" s="26" t="n">
        <v>-80</v>
      </c>
      <c r="F17" s="27" t="n">
        <f aca="false">IF(ISNUMBER(D17),SQRT(D17^2+IF(ISNUMBER(E17),E17,0)^2),"")</f>
        <v>457.055795281058</v>
      </c>
      <c r="G17" s="28" t="n">
        <f aca="false">IF(ISNUMBER(D17),DEGREES(ATAN2(D17,IF(ISNUMBER(E17),E17,0))),"")</f>
        <v>-10.0805979875423</v>
      </c>
      <c r="H17" s="29" t="str">
        <f aca="false">IF(AND(ISNUMBER(D17),D17&gt;0),IF(3&lt;=$C$11,"YES","—"),"—")</f>
        <v>YES</v>
      </c>
      <c r="I17" s="30" t="n">
        <f aca="false">IF(F17&lt;&gt;"",SQRT(F17/MAX($C$7,0.000000001)),"")</f>
        <v>3.02342784031985</v>
      </c>
    </row>
    <row r="18" customFormat="false" ht="15" hidden="false" customHeight="true" outlineLevel="0" collapsed="false">
      <c r="B18" s="31" t="n">
        <v>4</v>
      </c>
      <c r="C18" s="21" t="s">
        <v>54</v>
      </c>
      <c r="D18" s="25" t="n">
        <v>800</v>
      </c>
      <c r="E18" s="26" t="n">
        <v>0</v>
      </c>
      <c r="F18" s="27" t="n">
        <f aca="false">IF(ISNUMBER(D18),SQRT(D18^2+IF(ISNUMBER(E18),E18,0)^2),"")</f>
        <v>800</v>
      </c>
      <c r="G18" s="28" t="n">
        <f aca="false">IF(ISNUMBER(D18),DEGREES(ATAN2(D18,IF(ISNUMBER(E18),E18,0))),"")</f>
        <v>0</v>
      </c>
      <c r="H18" s="29" t="str">
        <f aca="false">IF(AND(ISNUMBER(D18),D18&gt;0),IF(4&lt;=$C$11,"YES","—"),"—")</f>
        <v>YES</v>
      </c>
      <c r="I18" s="30" t="n">
        <f aca="false">IF(F18&lt;&gt;"",SQRT(F18/MAX($C$7,0.000000001)),"")</f>
        <v>4</v>
      </c>
    </row>
    <row r="19" customFormat="false" ht="15" hidden="false" customHeight="true" outlineLevel="0" collapsed="false">
      <c r="B19" s="24" t="n">
        <v>5</v>
      </c>
      <c r="C19" s="21" t="s">
        <v>55</v>
      </c>
      <c r="D19" s="25"/>
      <c r="E19" s="26"/>
      <c r="F19" s="27" t="str">
        <f aca="false">IF(ISNUMBER(D19),SQRT(D19^2+IF(ISNUMBER(E19),E19,0)^2),"")</f>
        <v/>
      </c>
      <c r="G19" s="28" t="str">
        <f aca="false">IF(ISNUMBER(D19),DEGREES(ATAN2(D19,IF(ISNUMBER(E19),E19,0))),"")</f>
        <v/>
      </c>
      <c r="H19" s="29" t="str">
        <f aca="false">IF(AND(ISNUMBER(D19),D19&gt;0),IF(5&lt;=$C$11,"YES","—"),"—")</f>
        <v>—</v>
      </c>
      <c r="I19" s="30" t="str">
        <f aca="false">IF(F19&lt;&gt;"",SQRT(F19/MAX($C$7,0.000000001)),"")</f>
        <v/>
      </c>
    </row>
    <row r="20" customFormat="false" ht="15" hidden="false" customHeight="true" outlineLevel="0" collapsed="false">
      <c r="B20" s="31" t="n">
        <v>6</v>
      </c>
      <c r="C20" s="21" t="s">
        <v>56</v>
      </c>
      <c r="D20" s="25"/>
      <c r="E20" s="26"/>
      <c r="F20" s="27" t="str">
        <f aca="false">IF(ISNUMBER(D20),SQRT(D20^2+IF(ISNUMBER(E20),E20,0)^2),"")</f>
        <v/>
      </c>
      <c r="G20" s="28" t="str">
        <f aca="false">IF(ISNUMBER(D20),DEGREES(ATAN2(D20,IF(ISNUMBER(E20),E20,0))),"")</f>
        <v/>
      </c>
      <c r="H20" s="29" t="str">
        <f aca="false">IF(AND(ISNUMBER(D20),D20&gt;0),IF(6&lt;=$C$11,"YES","—"),"—")</f>
        <v>—</v>
      </c>
      <c r="I20" s="30" t="str">
        <f aca="false">IF(F20&lt;&gt;"",SQRT(F20/MAX($C$7,0.000000001)),"")</f>
        <v/>
      </c>
    </row>
    <row r="21" customFormat="false" ht="15" hidden="false" customHeight="true" outlineLevel="0" collapsed="false">
      <c r="B21" s="24" t="n">
        <v>7</v>
      </c>
      <c r="C21" s="21" t="s">
        <v>57</v>
      </c>
      <c r="D21" s="25"/>
      <c r="E21" s="26"/>
      <c r="F21" s="27" t="str">
        <f aca="false">IF(ISNUMBER(D21),SQRT(D21^2+IF(ISNUMBER(E21),E21,0)^2),"")</f>
        <v/>
      </c>
      <c r="G21" s="28" t="str">
        <f aca="false">IF(ISNUMBER(D21),DEGREES(ATAN2(D21,IF(ISNUMBER(E21),E21,0))),"")</f>
        <v/>
      </c>
      <c r="H21" s="29" t="str">
        <f aca="false">IF(AND(ISNUMBER(D21),D21&gt;0),IF(7&lt;=$C$11,"YES","—"),"—")</f>
        <v>—</v>
      </c>
      <c r="I21" s="30" t="str">
        <f aca="false">IF(F21&lt;&gt;"",SQRT(F21/MAX($C$7,0.000000001)),"")</f>
        <v/>
      </c>
    </row>
    <row r="22" customFormat="false" ht="15" hidden="false" customHeight="true" outlineLevel="0" collapsed="false">
      <c r="B22" s="31" t="n">
        <v>8</v>
      </c>
      <c r="C22" s="21" t="s">
        <v>58</v>
      </c>
      <c r="D22" s="25"/>
      <c r="E22" s="26"/>
      <c r="F22" s="27" t="str">
        <f aca="false">IF(ISNUMBER(D22),SQRT(D22^2+IF(ISNUMBER(E22),E22,0)^2),"")</f>
        <v/>
      </c>
      <c r="G22" s="28" t="str">
        <f aca="false">IF(ISNUMBER(D22),DEGREES(ATAN2(D22,IF(ISNUMBER(E22),E22,0))),"")</f>
        <v/>
      </c>
      <c r="H22" s="29" t="str">
        <f aca="false">IF(AND(ISNUMBER(D22),D22&gt;0),IF(8&lt;=$C$11,"YES","—"),"—")</f>
        <v>—</v>
      </c>
      <c r="I22" s="30" t="str">
        <f aca="false">IF(F22&lt;&gt;"",SQRT(F22/MAX($C$7,0.000000001)),"")</f>
        <v/>
      </c>
    </row>
    <row r="23" customFormat="false" ht="15" hidden="false" customHeight="true" outlineLevel="0" collapsed="false">
      <c r="B23" s="24" t="n">
        <v>9</v>
      </c>
      <c r="C23" s="21" t="s">
        <v>59</v>
      </c>
      <c r="D23" s="25"/>
      <c r="E23" s="26"/>
      <c r="F23" s="27" t="str">
        <f aca="false">IF(ISNUMBER(D23),SQRT(D23^2+IF(ISNUMBER(E23),E23,0)^2),"")</f>
        <v/>
      </c>
      <c r="G23" s="28" t="str">
        <f aca="false">IF(ISNUMBER(D23),DEGREES(ATAN2(D23,IF(ISNUMBER(E23),E23,0))),"")</f>
        <v/>
      </c>
      <c r="H23" s="29" t="str">
        <f aca="false">IF(AND(ISNUMBER(D23),D23&gt;0),IF(9&lt;=$C$11,"YES","—"),"—")</f>
        <v>—</v>
      </c>
      <c r="I23" s="30" t="str">
        <f aca="false">IF(F23&lt;&gt;"",SQRT(F23/MAX($C$7,0.000000001)),"")</f>
        <v/>
      </c>
    </row>
    <row r="24" customFormat="false" ht="15" hidden="false" customHeight="true" outlineLevel="0" collapsed="false">
      <c r="B24" s="31" t="n">
        <v>10</v>
      </c>
      <c r="C24" s="21" t="s">
        <v>60</v>
      </c>
      <c r="D24" s="25"/>
      <c r="E24" s="26"/>
      <c r="F24" s="27" t="str">
        <f aca="false">IF(ISNUMBER(D24),SQRT(D24^2+IF(ISNUMBER(E24),E24,0)^2),"")</f>
        <v/>
      </c>
      <c r="G24" s="28" t="str">
        <f aca="false">IF(ISNUMBER(D24),DEGREES(ATAN2(D24,IF(ISNUMBER(E24),E24,0))),"")</f>
        <v/>
      </c>
      <c r="H24" s="29" t="str">
        <f aca="false">IF(AND(ISNUMBER(D24),D24&gt;0),IF(10&lt;=$C$11,"YES","—"),"—")</f>
        <v>—</v>
      </c>
      <c r="I24" s="30" t="str">
        <f aca="false">IF(F24&lt;&gt;"",SQRT(F24/MAX($C$7,0.000000001)),"")</f>
        <v/>
      </c>
    </row>
    <row r="25" customFormat="false" ht="15" hidden="false" customHeight="true" outlineLevel="0" collapsed="false">
      <c r="B25" s="24" t="n">
        <v>11</v>
      </c>
      <c r="C25" s="21" t="s">
        <v>61</v>
      </c>
      <c r="D25" s="25"/>
      <c r="E25" s="26"/>
      <c r="F25" s="27" t="str">
        <f aca="false">IF(ISNUMBER(D25),SQRT(D25^2+IF(ISNUMBER(E25),E25,0)^2),"")</f>
        <v/>
      </c>
      <c r="G25" s="28" t="str">
        <f aca="false">IF(ISNUMBER(D25),DEGREES(ATAN2(D25,IF(ISNUMBER(E25),E25,0))),"")</f>
        <v/>
      </c>
      <c r="H25" s="29" t="str">
        <f aca="false">IF(AND(ISNUMBER(D25),D25&gt;0),IF(11&lt;=$C$11,"YES","—"),"—")</f>
        <v>—</v>
      </c>
      <c r="I25" s="30" t="str">
        <f aca="false">IF(F25&lt;&gt;"",SQRT(F25/MAX($C$7,0.000000001)),"")</f>
        <v/>
      </c>
    </row>
    <row r="27" customFormat="false" ht="15" hidden="false" customHeight="true" outlineLevel="0" collapsed="false">
      <c r="B27" s="32" t="s">
        <v>62</v>
      </c>
      <c r="C27" s="32"/>
      <c r="D27" s="32"/>
      <c r="E27" s="32"/>
      <c r="F27" s="32"/>
      <c r="G27" s="32"/>
      <c r="H27" s="32"/>
    </row>
    <row r="28" customFormat="false" ht="15" hidden="false" customHeight="true" outlineLevel="0" collapsed="false">
      <c r="B28" s="33" t="s">
        <v>63</v>
      </c>
      <c r="C28" s="34" t="s">
        <v>64</v>
      </c>
      <c r="D28" s="34"/>
      <c r="E28" s="34"/>
      <c r="F28" s="34"/>
      <c r="G28" s="34"/>
      <c r="H28" s="34"/>
    </row>
    <row r="29" customFormat="false" ht="15" hidden="false" customHeight="true" outlineLevel="0" collapsed="false">
      <c r="B29" s="33" t="s">
        <v>65</v>
      </c>
      <c r="C29" s="34" t="s">
        <v>66</v>
      </c>
      <c r="D29" s="34"/>
      <c r="E29" s="34"/>
      <c r="F29" s="34"/>
      <c r="G29" s="34"/>
      <c r="H29" s="34"/>
    </row>
    <row r="30" customFormat="false" ht="15" hidden="false" customHeight="true" outlineLevel="0" collapsed="false">
      <c r="B30" s="33" t="s">
        <v>67</v>
      </c>
      <c r="C30" s="34" t="s">
        <v>68</v>
      </c>
      <c r="D30" s="34"/>
      <c r="E30" s="34"/>
      <c r="F30" s="34"/>
      <c r="G30" s="34"/>
      <c r="H30" s="34"/>
    </row>
    <row r="31" customFormat="false" ht="15" hidden="false" customHeight="true" outlineLevel="0" collapsed="false">
      <c r="B31" s="33" t="s">
        <v>69</v>
      </c>
      <c r="C31" s="34" t="s">
        <v>70</v>
      </c>
      <c r="D31" s="34"/>
      <c r="E31" s="34"/>
      <c r="F31" s="34"/>
      <c r="G31" s="34"/>
      <c r="H31" s="34"/>
    </row>
    <row r="32" customFormat="false" ht="15" hidden="false" customHeight="true" outlineLevel="0" collapsed="false">
      <c r="B32" s="33" t="s">
        <v>71</v>
      </c>
      <c r="C32" s="34" t="s">
        <v>72</v>
      </c>
      <c r="D32" s="34"/>
      <c r="E32" s="34"/>
      <c r="F32" s="34"/>
      <c r="G32" s="34"/>
      <c r="H32" s="34"/>
    </row>
  </sheetData>
  <mergeCells count="16">
    <mergeCell ref="B2:H2"/>
    <mergeCell ref="B3:H3"/>
    <mergeCell ref="B5:H5"/>
    <mergeCell ref="E6:H6"/>
    <mergeCell ref="E7:H7"/>
    <mergeCell ref="E8:H8"/>
    <mergeCell ref="E9:H9"/>
    <mergeCell ref="E10:H10"/>
    <mergeCell ref="E11:H11"/>
    <mergeCell ref="B13:H13"/>
    <mergeCell ref="B27:H27"/>
    <mergeCell ref="C28:H28"/>
    <mergeCell ref="C29:H29"/>
    <mergeCell ref="C30:H30"/>
    <mergeCell ref="C31:H31"/>
    <mergeCell ref="C32:H32"/>
  </mergeCells>
  <conditionalFormatting sqref="H15 H16 H17 H18 H19 H20 H21 H22 H23 H24 H25">
    <cfRule type="cellIs" priority="2" operator="equal" aboveAverage="0" equalAverage="0" bottom="0" percent="0" rank="0" text="" dxfId="0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1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38" activeCellId="0" sqref="B3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20"/>
    <col collapsed="false" customWidth="true" hidden="false" outlineLevel="0" max="9" min="4" style="1" width="14.3"/>
    <col collapsed="false" customWidth="false" hidden="false" outlineLevel="0" max="16384" min="10" style="1" width="8.68"/>
  </cols>
  <sheetData>
    <row r="2" customFormat="false" ht="15" hidden="false" customHeight="true" outlineLevel="0" collapsed="false">
      <c r="B2" s="2" t="s">
        <v>73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74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75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35" t="s">
        <v>76</v>
      </c>
      <c r="C6" s="35"/>
      <c r="D6" s="35"/>
      <c r="E6" s="35"/>
      <c r="F6" s="35"/>
      <c r="G6" s="35"/>
      <c r="H6" s="35"/>
      <c r="I6" s="35"/>
    </row>
    <row r="7" customFormat="false" ht="15" hidden="false" customHeight="true" outlineLevel="0" collapsed="false">
      <c r="B7" s="35" t="s">
        <v>77</v>
      </c>
      <c r="C7" s="35"/>
      <c r="D7" s="35"/>
      <c r="E7" s="35"/>
      <c r="F7" s="35"/>
      <c r="G7" s="35"/>
      <c r="H7" s="35"/>
      <c r="I7" s="35"/>
    </row>
    <row r="8" customFormat="false" ht="15" hidden="false" customHeight="true" outlineLevel="0" collapsed="false">
      <c r="B8" s="35" t="s">
        <v>78</v>
      </c>
      <c r="C8" s="35"/>
      <c r="D8" s="35"/>
      <c r="E8" s="35"/>
      <c r="F8" s="35"/>
      <c r="G8" s="35"/>
      <c r="H8" s="35"/>
      <c r="I8" s="35"/>
    </row>
    <row r="9" customFormat="false" ht="15" hidden="false" customHeight="true" outlineLevel="0" collapsed="false">
      <c r="B9" s="35" t="s">
        <v>79</v>
      </c>
      <c r="C9" s="35"/>
      <c r="D9" s="35"/>
      <c r="E9" s="35"/>
      <c r="F9" s="35"/>
      <c r="G9" s="35"/>
      <c r="H9" s="35"/>
      <c r="I9" s="35"/>
    </row>
    <row r="10" customFormat="false" ht="15" hidden="false" customHeight="true" outlineLevel="0" collapsed="false">
      <c r="B10" s="35" t="s">
        <v>80</v>
      </c>
      <c r="C10" s="35"/>
      <c r="D10" s="35"/>
      <c r="E10" s="35"/>
      <c r="F10" s="35"/>
      <c r="G10" s="35"/>
      <c r="H10" s="35"/>
      <c r="I10" s="35"/>
    </row>
    <row r="11" customFormat="false" ht="15" hidden="false" customHeight="true" outlineLevel="0" collapsed="false">
      <c r="B11" s="35" t="s">
        <v>81</v>
      </c>
      <c r="C11" s="35"/>
      <c r="D11" s="35"/>
      <c r="E11" s="35"/>
      <c r="F11" s="35"/>
      <c r="G11" s="35"/>
      <c r="H11" s="35"/>
      <c r="I11" s="35"/>
    </row>
    <row r="13" customFormat="false" ht="15" hidden="false" customHeight="true" outlineLevel="0" collapsed="false">
      <c r="B13" s="4" t="s">
        <v>82</v>
      </c>
      <c r="C13" s="4"/>
      <c r="D13" s="4"/>
      <c r="E13" s="4"/>
      <c r="F13" s="4"/>
      <c r="G13" s="4"/>
      <c r="H13" s="4"/>
      <c r="I13" s="4"/>
    </row>
    <row r="14" customFormat="false" ht="15" hidden="false" customHeight="true" outlineLevel="0" collapsed="false">
      <c r="B14" s="36" t="s">
        <v>83</v>
      </c>
      <c r="C14" s="36"/>
      <c r="D14" s="36"/>
      <c r="E14" s="36"/>
      <c r="F14" s="21" t="n">
        <v>20</v>
      </c>
      <c r="G14" s="23" t="s">
        <v>84</v>
      </c>
      <c r="H14" s="23"/>
      <c r="I14" s="23"/>
    </row>
    <row r="15" customFormat="false" ht="15" hidden="false" customHeight="true" outlineLevel="0" collapsed="false">
      <c r="B15" s="36" t="s">
        <v>85</v>
      </c>
      <c r="C15" s="36"/>
      <c r="D15" s="36"/>
      <c r="E15" s="36"/>
      <c r="F15" s="37" t="n">
        <f aca="false">IFERROR(CEILING(5/MIN(Inputs!I15:I25),1),5)</f>
        <v>3</v>
      </c>
      <c r="G15" s="23" t="s">
        <v>86</v>
      </c>
      <c r="H15" s="23"/>
      <c r="I15" s="23"/>
    </row>
    <row r="17" customFormat="false" ht="15" hidden="false" customHeight="true" outlineLevel="0" collapsed="false">
      <c r="B17" s="4" t="s">
        <v>87</v>
      </c>
      <c r="C17" s="4"/>
      <c r="D17" s="4"/>
      <c r="E17" s="4"/>
      <c r="F17" s="4"/>
      <c r="G17" s="4"/>
      <c r="H17" s="4"/>
      <c r="I17" s="4"/>
    </row>
    <row r="18" customFormat="false" ht="38.25" hidden="false" customHeight="true" outlineLevel="0" collapsed="false">
      <c r="B18" s="10" t="s">
        <v>18</v>
      </c>
      <c r="C18" s="10" t="s">
        <v>19</v>
      </c>
      <c r="D18" s="10" t="s">
        <v>88</v>
      </c>
      <c r="E18" s="10" t="s">
        <v>89</v>
      </c>
      <c r="F18" s="10" t="s">
        <v>90</v>
      </c>
      <c r="G18" s="10" t="s">
        <v>91</v>
      </c>
      <c r="H18" s="10" t="s">
        <v>92</v>
      </c>
      <c r="I18" s="10" t="s">
        <v>93</v>
      </c>
      <c r="J18" s="10" t="s">
        <v>49</v>
      </c>
    </row>
    <row r="19" customFormat="false" ht="15" hidden="false" customHeight="true" outlineLevel="0" collapsed="false">
      <c r="B19" s="24" t="n">
        <v>1</v>
      </c>
      <c r="C19" s="29" t="str">
        <f aca="false">Inputs!C15</f>
        <v>Tap 1</v>
      </c>
      <c r="D19" s="30" t="n">
        <f aca="false">IF(Inputs!I15&lt;&gt;"",Inputs!I15,"")</f>
        <v>2</v>
      </c>
      <c r="E19" s="37" t="n">
        <f aca="false">IF(D19&lt;&gt;"",MAX(1,ROUND('Winding Design'!F14*D19,0)),"")</f>
        <v>40</v>
      </c>
      <c r="F19" s="37" t="n">
        <f aca="false">IF(E19&lt;&gt;"",E19,"")</f>
        <v>40</v>
      </c>
      <c r="G19" s="38" t="n">
        <f aca="false">IF(F19&lt;&gt;"",F19*PI()*(Inputs!$C$10+Inputs!$C$9),"")</f>
        <v>2067.16796606208</v>
      </c>
      <c r="H19" s="27" t="n">
        <f aca="false">IF(G19&lt;&gt;"",G19*4*0.00000001724*1000000/(PI()*Inputs!$C$9^2),"")</f>
        <v>224.077432098765</v>
      </c>
      <c r="I19" s="38" t="n">
        <f aca="false">IF(G19&lt;&gt;"",G19,"")</f>
        <v>2067.16796606208</v>
      </c>
      <c r="J19" s="29" t="str">
        <f aca="false">Inputs!H15</f>
        <v>YES</v>
      </c>
    </row>
    <row r="20" customFormat="false" ht="15" hidden="false" customHeight="true" outlineLevel="0" collapsed="false">
      <c r="B20" s="31" t="n">
        <v>2</v>
      </c>
      <c r="C20" s="29" t="str">
        <f aca="false">Inputs!C16</f>
        <v>Tap 2</v>
      </c>
      <c r="D20" s="30" t="n">
        <f aca="false">IF(Inputs!I16&lt;&gt;"",Inputs!I16,"")</f>
        <v>2.51486685936587</v>
      </c>
      <c r="E20" s="37" t="n">
        <f aca="false">IF(D20&lt;&gt;"",MAX(1,ROUND('Winding Design'!F14*D20,0)),"")</f>
        <v>50</v>
      </c>
      <c r="F20" s="37" t="n">
        <f aca="false">IF(AND(E20&lt;&gt;"",E19&lt;&gt;""),E20-E19,IF(E20&lt;&gt;"",E20,""))</f>
        <v>10</v>
      </c>
      <c r="G20" s="38" t="n">
        <f aca="false">IF(F20&lt;&gt;"",F20*PI()*(Inputs!$C$10+Inputs!$C$9),"")</f>
        <v>516.791991515521</v>
      </c>
      <c r="H20" s="27" t="n">
        <f aca="false">IF(G20&lt;&gt;"",G20*4*0.00000001724*1000000/(PI()*Inputs!$C$9^2),"")</f>
        <v>56.0193580246914</v>
      </c>
      <c r="I20" s="38" t="n">
        <f aca="false">IF(G20&lt;&gt;"",SUM(G19:G20),"")</f>
        <v>2583.9599575776</v>
      </c>
      <c r="J20" s="29" t="str">
        <f aca="false">Inputs!H16</f>
        <v>YES</v>
      </c>
    </row>
    <row r="21" customFormat="false" ht="15" hidden="false" customHeight="true" outlineLevel="0" collapsed="false">
      <c r="B21" s="24" t="n">
        <v>3</v>
      </c>
      <c r="C21" s="29" t="str">
        <f aca="false">Inputs!C17</f>
        <v>Tap 3</v>
      </c>
      <c r="D21" s="30" t="n">
        <f aca="false">IF(Inputs!I17&lt;&gt;"",Inputs!I17,"")</f>
        <v>3.02342784031985</v>
      </c>
      <c r="E21" s="37" t="n">
        <f aca="false">IF(D21&lt;&gt;"",MAX(1,ROUND('Winding Design'!F14*D21,0)),"")</f>
        <v>60</v>
      </c>
      <c r="F21" s="37" t="n">
        <f aca="false">IF(AND(E21&lt;&gt;"",E20&lt;&gt;""),E21-E20,IF(E21&lt;&gt;"",E21,""))</f>
        <v>10</v>
      </c>
      <c r="G21" s="38" t="n">
        <f aca="false">IF(F21&lt;&gt;"",F21*PI()*(Inputs!$C$10+Inputs!$C$9),"")</f>
        <v>516.791991515521</v>
      </c>
      <c r="H21" s="27" t="n">
        <f aca="false">IF(G21&lt;&gt;"",G21*4*0.00000001724*1000000/(PI()*Inputs!$C$9^2),"")</f>
        <v>56.0193580246914</v>
      </c>
      <c r="I21" s="38" t="n">
        <f aca="false">IF(G21&lt;&gt;"",SUM(G19:G21),"")</f>
        <v>3100.75194909313</v>
      </c>
      <c r="J21" s="29" t="str">
        <f aca="false">Inputs!H17</f>
        <v>YES</v>
      </c>
    </row>
    <row r="22" customFormat="false" ht="15" hidden="false" customHeight="true" outlineLevel="0" collapsed="false">
      <c r="B22" s="31" t="n">
        <v>4</v>
      </c>
      <c r="C22" s="29" t="str">
        <f aca="false">Inputs!C18</f>
        <v>Tap 4</v>
      </c>
      <c r="D22" s="30" t="n">
        <f aca="false">IF(Inputs!I18&lt;&gt;"",Inputs!I18,"")</f>
        <v>4</v>
      </c>
      <c r="E22" s="37" t="n">
        <f aca="false">IF(D22&lt;&gt;"",MAX(1,ROUND('Winding Design'!F14*D22,0)),"")</f>
        <v>80</v>
      </c>
      <c r="F22" s="37" t="n">
        <f aca="false">IF(AND(E22&lt;&gt;"",E21&lt;&gt;""),E22-E21,IF(E22&lt;&gt;"",E22,""))</f>
        <v>20</v>
      </c>
      <c r="G22" s="38" t="n">
        <f aca="false">IF(F22&lt;&gt;"",F22*PI()*(Inputs!$C$10+Inputs!$C$9),"")</f>
        <v>1033.58398303104</v>
      </c>
      <c r="H22" s="27" t="n">
        <f aca="false">IF(G22&lt;&gt;"",G22*4*0.00000001724*1000000/(PI()*Inputs!$C$9^2),"")</f>
        <v>112.038716049383</v>
      </c>
      <c r="I22" s="38" t="n">
        <f aca="false">IF(G22&lt;&gt;"",SUM(G19:G22),"")</f>
        <v>4134.33593212417</v>
      </c>
      <c r="J22" s="29" t="str">
        <f aca="false">Inputs!H18</f>
        <v>YES</v>
      </c>
    </row>
    <row r="23" customFormat="false" ht="15" hidden="false" customHeight="true" outlineLevel="0" collapsed="false">
      <c r="B23" s="24" t="n">
        <v>5</v>
      </c>
      <c r="C23" s="29" t="str">
        <f aca="false">Inputs!C19</f>
        <v>Tap 5</v>
      </c>
      <c r="D23" s="30" t="str">
        <f aca="false">IF(Inputs!I19&lt;&gt;"",Inputs!I19,"")</f>
        <v/>
      </c>
      <c r="E23" s="37" t="str">
        <f aca="false">IF(D23&lt;&gt;"",MAX(1,ROUND('Winding Design'!F14*D23,0)),"")</f>
        <v/>
      </c>
      <c r="F23" s="37" t="str">
        <f aca="false">IF(AND(E23&lt;&gt;"",E22&lt;&gt;""),E23-E22,IF(E23&lt;&gt;"",E23,""))</f>
        <v/>
      </c>
      <c r="G23" s="38" t="str">
        <f aca="false">IF(F23&lt;&gt;"",F23*PI()*(Inputs!$C$10+Inputs!$C$9),"")</f>
        <v/>
      </c>
      <c r="H23" s="27" t="str">
        <f aca="false">IF(G23&lt;&gt;"",G23*4*0.00000001724*1000000/(PI()*Inputs!$C$9^2),"")</f>
        <v/>
      </c>
      <c r="I23" s="38" t="str">
        <f aca="false">IF(G23&lt;&gt;"",SUM(G19:G23),"")</f>
        <v/>
      </c>
      <c r="J23" s="29" t="str">
        <f aca="false">Inputs!H19</f>
        <v>—</v>
      </c>
    </row>
    <row r="24" customFormat="false" ht="15" hidden="false" customHeight="true" outlineLevel="0" collapsed="false">
      <c r="B24" s="31" t="n">
        <v>6</v>
      </c>
      <c r="C24" s="29" t="str">
        <f aca="false">Inputs!C20</f>
        <v>Tap 6</v>
      </c>
      <c r="D24" s="30" t="str">
        <f aca="false">IF(Inputs!I20&lt;&gt;"",Inputs!I20,"")</f>
        <v/>
      </c>
      <c r="E24" s="37" t="str">
        <f aca="false">IF(D24&lt;&gt;"",MAX(1,ROUND('Winding Design'!F14*D24,0)),"")</f>
        <v/>
      </c>
      <c r="F24" s="37" t="str">
        <f aca="false">IF(AND(E24&lt;&gt;"",E23&lt;&gt;""),E24-E23,IF(E24&lt;&gt;"",E24,""))</f>
        <v/>
      </c>
      <c r="G24" s="38" t="str">
        <f aca="false">IF(F24&lt;&gt;"",F24*PI()*(Inputs!$C$10+Inputs!$C$9),"")</f>
        <v/>
      </c>
      <c r="H24" s="27" t="str">
        <f aca="false">IF(G24&lt;&gt;"",G24*4*0.00000001724*1000000/(PI()*Inputs!$C$9^2),"")</f>
        <v/>
      </c>
      <c r="I24" s="38" t="str">
        <f aca="false">IF(G24&lt;&gt;"",SUM(G19:G24),"")</f>
        <v/>
      </c>
      <c r="J24" s="29" t="str">
        <f aca="false">Inputs!H20</f>
        <v>—</v>
      </c>
    </row>
    <row r="25" customFormat="false" ht="15" hidden="false" customHeight="true" outlineLevel="0" collapsed="false">
      <c r="B25" s="24" t="n">
        <v>7</v>
      </c>
      <c r="C25" s="29" t="str">
        <f aca="false">Inputs!C21</f>
        <v>Tap 7</v>
      </c>
      <c r="D25" s="30" t="str">
        <f aca="false">IF(Inputs!I21&lt;&gt;"",Inputs!I21,"")</f>
        <v/>
      </c>
      <c r="E25" s="37" t="str">
        <f aca="false">IF(D25&lt;&gt;"",MAX(1,ROUND('Winding Design'!F14*D25,0)),"")</f>
        <v/>
      </c>
      <c r="F25" s="37" t="str">
        <f aca="false">IF(AND(E25&lt;&gt;"",E24&lt;&gt;""),E25-E24,IF(E25&lt;&gt;"",E25,""))</f>
        <v/>
      </c>
      <c r="G25" s="38" t="str">
        <f aca="false">IF(F25&lt;&gt;"",F25*PI()*(Inputs!$C$10+Inputs!$C$9),"")</f>
        <v/>
      </c>
      <c r="H25" s="27" t="str">
        <f aca="false">IF(G25&lt;&gt;"",G25*4*0.00000001724*1000000/(PI()*Inputs!$C$9^2),"")</f>
        <v/>
      </c>
      <c r="I25" s="38" t="str">
        <f aca="false">IF(G25&lt;&gt;"",SUM(G19:G25),"")</f>
        <v/>
      </c>
      <c r="J25" s="29" t="str">
        <f aca="false">Inputs!H21</f>
        <v>—</v>
      </c>
    </row>
    <row r="26" customFormat="false" ht="15" hidden="false" customHeight="true" outlineLevel="0" collapsed="false">
      <c r="B26" s="31" t="n">
        <v>8</v>
      </c>
      <c r="C26" s="29" t="str">
        <f aca="false">Inputs!C22</f>
        <v>Tap 8</v>
      </c>
      <c r="D26" s="30" t="str">
        <f aca="false">IF(Inputs!I22&lt;&gt;"",Inputs!I22,"")</f>
        <v/>
      </c>
      <c r="E26" s="37" t="str">
        <f aca="false">IF(D26&lt;&gt;"",MAX(1,ROUND('Winding Design'!F14*D26,0)),"")</f>
        <v/>
      </c>
      <c r="F26" s="37" t="str">
        <f aca="false">IF(AND(E26&lt;&gt;"",E25&lt;&gt;""),E26-E25,IF(E26&lt;&gt;"",E26,""))</f>
        <v/>
      </c>
      <c r="G26" s="38" t="str">
        <f aca="false">IF(F26&lt;&gt;"",F26*PI()*(Inputs!$C$10+Inputs!$C$9),"")</f>
        <v/>
      </c>
      <c r="H26" s="27" t="str">
        <f aca="false">IF(G26&lt;&gt;"",G26*4*0.00000001724*1000000/(PI()*Inputs!$C$9^2),"")</f>
        <v/>
      </c>
      <c r="I26" s="38" t="str">
        <f aca="false">IF(G26&lt;&gt;"",SUM(G19:G26),"")</f>
        <v/>
      </c>
      <c r="J26" s="29" t="str">
        <f aca="false">Inputs!H22</f>
        <v>—</v>
      </c>
    </row>
    <row r="27" customFormat="false" ht="15" hidden="false" customHeight="true" outlineLevel="0" collapsed="false">
      <c r="B27" s="24" t="n">
        <v>9</v>
      </c>
      <c r="C27" s="29" t="str">
        <f aca="false">Inputs!C23</f>
        <v>Tap 9</v>
      </c>
      <c r="D27" s="30" t="str">
        <f aca="false">IF(Inputs!I23&lt;&gt;"",Inputs!I23,"")</f>
        <v/>
      </c>
      <c r="E27" s="37" t="str">
        <f aca="false">IF(D27&lt;&gt;"",MAX(1,ROUND('Winding Design'!F14*D27,0)),"")</f>
        <v/>
      </c>
      <c r="F27" s="37" t="str">
        <f aca="false">IF(AND(E27&lt;&gt;"",E26&lt;&gt;""),E27-E26,IF(E27&lt;&gt;"",E27,""))</f>
        <v/>
      </c>
      <c r="G27" s="38" t="str">
        <f aca="false">IF(F27&lt;&gt;"",F27*PI()*(Inputs!$C$10+Inputs!$C$9),"")</f>
        <v/>
      </c>
      <c r="H27" s="27" t="str">
        <f aca="false">IF(G27&lt;&gt;"",G27*4*0.00000001724*1000000/(PI()*Inputs!$C$9^2),"")</f>
        <v/>
      </c>
      <c r="I27" s="38" t="str">
        <f aca="false">IF(G27&lt;&gt;"",SUM(G19:G27),"")</f>
        <v/>
      </c>
      <c r="J27" s="29" t="str">
        <f aca="false">Inputs!H23</f>
        <v>—</v>
      </c>
    </row>
    <row r="28" customFormat="false" ht="15" hidden="false" customHeight="true" outlineLevel="0" collapsed="false">
      <c r="B28" s="31" t="n">
        <v>10</v>
      </c>
      <c r="C28" s="29" t="str">
        <f aca="false">Inputs!C24</f>
        <v>Tap 10</v>
      </c>
      <c r="D28" s="30" t="str">
        <f aca="false">IF(Inputs!I24&lt;&gt;"",Inputs!I24,"")</f>
        <v/>
      </c>
      <c r="E28" s="37" t="str">
        <f aca="false">IF(D28&lt;&gt;"",MAX(1,ROUND('Winding Design'!F14*D28,0)),"")</f>
        <v/>
      </c>
      <c r="F28" s="37" t="str">
        <f aca="false">IF(AND(E28&lt;&gt;"",E27&lt;&gt;""),E28-E27,IF(E28&lt;&gt;"",E28,""))</f>
        <v/>
      </c>
      <c r="G28" s="38" t="str">
        <f aca="false">IF(F28&lt;&gt;"",F28*PI()*(Inputs!$C$10+Inputs!$C$9),"")</f>
        <v/>
      </c>
      <c r="H28" s="27" t="str">
        <f aca="false">IF(G28&lt;&gt;"",G28*4*0.00000001724*1000000/(PI()*Inputs!$C$9^2),"")</f>
        <v/>
      </c>
      <c r="I28" s="38" t="str">
        <f aca="false">IF(G28&lt;&gt;"",SUM(G19:G28),"")</f>
        <v/>
      </c>
      <c r="J28" s="29" t="str">
        <f aca="false">Inputs!H24</f>
        <v>—</v>
      </c>
    </row>
    <row r="29" customFormat="false" ht="15" hidden="false" customHeight="true" outlineLevel="0" collapsed="false">
      <c r="B29" s="24" t="n">
        <v>11</v>
      </c>
      <c r="C29" s="29" t="str">
        <f aca="false">Inputs!C25</f>
        <v>Tap 11</v>
      </c>
      <c r="D29" s="30" t="str">
        <f aca="false">IF(Inputs!I25&lt;&gt;"",Inputs!I25,"")</f>
        <v/>
      </c>
      <c r="E29" s="37" t="str">
        <f aca="false">IF(D29&lt;&gt;"",MAX(1,ROUND('Winding Design'!F14*D29,0)),"")</f>
        <v/>
      </c>
      <c r="F29" s="37" t="str">
        <f aca="false">IF(AND(E29&lt;&gt;"",E28&lt;&gt;""),E29-E28,IF(E29&lt;&gt;"",E29,""))</f>
        <v/>
      </c>
      <c r="G29" s="38" t="str">
        <f aca="false">IF(F29&lt;&gt;"",F29*PI()*(Inputs!$C$10+Inputs!$C$9),"")</f>
        <v/>
      </c>
      <c r="H29" s="27" t="str">
        <f aca="false">IF(G29&lt;&gt;"",G29*4*0.00000001724*1000000/(PI()*Inputs!$C$9^2),"")</f>
        <v/>
      </c>
      <c r="I29" s="38" t="str">
        <f aca="false">IF(G29&lt;&gt;"",SUM(G19:G29),"")</f>
        <v/>
      </c>
      <c r="J29" s="29" t="str">
        <f aca="false">Inputs!H25</f>
        <v>—</v>
      </c>
    </row>
    <row r="31" customFormat="false" ht="15" hidden="false" customHeight="true" outlineLevel="0" collapsed="false">
      <c r="B31" s="39" t="s">
        <v>94</v>
      </c>
      <c r="C31" s="39"/>
      <c r="D31" s="39"/>
      <c r="E31" s="37" t="n">
        <f aca="false">IFERROR(MAX(E19:E29),"")</f>
        <v>80</v>
      </c>
      <c r="H31" s="13" t="n">
        <f aca="false">IFERROR(SUM(H19:H29),"")</f>
        <v>448.154864197531</v>
      </c>
      <c r="I31" s="40" t="n">
        <f aca="false">IFERROR(MAX(I19:I29),"")</f>
        <v>4134.33593212417</v>
      </c>
    </row>
  </sheetData>
  <mergeCells count="16">
    <mergeCell ref="B2:I2"/>
    <mergeCell ref="B3:I3"/>
    <mergeCell ref="B5:I5"/>
    <mergeCell ref="B6:I6"/>
    <mergeCell ref="B7:I7"/>
    <mergeCell ref="B8:I8"/>
    <mergeCell ref="B9:I9"/>
    <mergeCell ref="B10:I10"/>
    <mergeCell ref="B11:I11"/>
    <mergeCell ref="B13:I13"/>
    <mergeCell ref="B14:E14"/>
    <mergeCell ref="G14:I14"/>
    <mergeCell ref="B15:E15"/>
    <mergeCell ref="G15:I15"/>
    <mergeCell ref="B17:I17"/>
    <mergeCell ref="B31:D31"/>
  </mergeCells>
  <conditionalFormatting sqref="J19 J20 J21 J22 J23 J24 J25 J26 J27 J28 J29">
    <cfRule type="cellIs" priority="2" operator="equal" aboveAverage="0" equalAverage="0" bottom="0" percent="0" rank="0" text="" dxfId="0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41" t="s">
        <v>95</v>
      </c>
      <c r="B1" s="41" t="s">
        <v>96</v>
      </c>
      <c r="C1" s="41" t="s">
        <v>97</v>
      </c>
      <c r="D1" s="41" t="s">
        <v>98</v>
      </c>
      <c r="E1" s="41" t="n">
        <f aca="false">Inputs!C9</f>
        <v>0.45</v>
      </c>
    </row>
    <row r="2" customFormat="false" ht="15" hidden="false" customHeight="true" outlineLevel="0" collapsed="false">
      <c r="A2" s="41" t="n">
        <v>8</v>
      </c>
      <c r="B2" s="41" t="n">
        <v>0.00206</v>
      </c>
    </row>
    <row r="3" customFormat="false" ht="15" hidden="false" customHeight="true" outlineLevel="0" collapsed="false">
      <c r="A3" s="41" t="n">
        <v>10</v>
      </c>
      <c r="B3" s="41" t="n">
        <v>0.00328</v>
      </c>
    </row>
    <row r="4" customFormat="false" ht="15" hidden="false" customHeight="true" outlineLevel="0" collapsed="false">
      <c r="A4" s="41" t="n">
        <v>12</v>
      </c>
      <c r="B4" s="41" t="n">
        <v>0.00521</v>
      </c>
    </row>
    <row r="5" customFormat="false" ht="15" hidden="false" customHeight="true" outlineLevel="0" collapsed="false">
      <c r="A5" s="41" t="n">
        <v>14</v>
      </c>
      <c r="B5" s="41" t="n">
        <v>0.00829</v>
      </c>
    </row>
    <row r="6" customFormat="false" ht="15" hidden="false" customHeight="true" outlineLevel="0" collapsed="false">
      <c r="A6" s="41" t="n">
        <v>16</v>
      </c>
      <c r="B6" s="41" t="n">
        <v>0.01317</v>
      </c>
    </row>
    <row r="7" customFormat="false" ht="15" hidden="false" customHeight="true" outlineLevel="0" collapsed="false">
      <c r="A7" s="41" t="n">
        <v>18</v>
      </c>
      <c r="B7" s="41" t="n">
        <v>0.02095</v>
      </c>
    </row>
    <row r="8" customFormat="false" ht="15" hidden="false" customHeight="true" outlineLevel="0" collapsed="false">
      <c r="A8" s="41" t="n">
        <v>20</v>
      </c>
      <c r="B8" s="41" t="n">
        <v>0.03331</v>
      </c>
    </row>
    <row r="9" customFormat="false" ht="15" hidden="false" customHeight="true" outlineLevel="0" collapsed="false">
      <c r="A9" s="41" t="n">
        <v>22</v>
      </c>
      <c r="B9" s="41" t="n">
        <v>0.05296</v>
      </c>
    </row>
    <row r="10" customFormat="false" ht="15" hidden="false" customHeight="true" outlineLevel="0" collapsed="false">
      <c r="A10" s="41" t="n">
        <v>24</v>
      </c>
      <c r="B10" s="41" t="n">
        <v>0.08419</v>
      </c>
    </row>
    <row r="11" customFormat="false" ht="15" hidden="false" customHeight="true" outlineLevel="0" collapsed="false">
      <c r="A11" s="41" t="n">
        <v>26</v>
      </c>
      <c r="B11" s="41" t="n">
        <v>0.13389</v>
      </c>
    </row>
    <row r="12" customFormat="false" ht="15" hidden="false" customHeight="true" outlineLevel="0" collapsed="false">
      <c r="A12" s="41" t="n">
        <v>28</v>
      </c>
      <c r="B12" s="41" t="n">
        <v>0.2129</v>
      </c>
    </row>
    <row r="13" customFormat="false" ht="15" hidden="false" customHeight="true" outlineLevel="0" collapsed="false">
      <c r="A13" s="41" t="n">
        <v>30</v>
      </c>
      <c r="B13" s="41" t="n">
        <v>0.33863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6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N25" activeCellId="0" sqref="N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.96"/>
    <col collapsed="false" customWidth="true" hidden="false" outlineLevel="0" max="9" min="3" style="1" width="10.2"/>
    <col collapsed="false" customWidth="false" hidden="false" outlineLevel="0" max="16384" min="10" style="1" width="8.68"/>
  </cols>
  <sheetData>
    <row r="2" customFormat="false" ht="1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100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101</v>
      </c>
      <c r="C5" s="4"/>
      <c r="D5" s="4"/>
      <c r="E5" s="4"/>
      <c r="F5" s="4"/>
      <c r="G5" s="4"/>
      <c r="H5" s="4"/>
      <c r="I5" s="4"/>
    </row>
    <row r="6" customFormat="false" ht="38.25" hidden="false" customHeight="true" outlineLevel="0" collapsed="false">
      <c r="B6" s="10" t="s">
        <v>18</v>
      </c>
      <c r="C6" s="10" t="s">
        <v>19</v>
      </c>
      <c r="D6" s="10" t="s">
        <v>102</v>
      </c>
      <c r="E6" s="10" t="s">
        <v>21</v>
      </c>
      <c r="F6" s="10" t="s">
        <v>103</v>
      </c>
      <c r="G6" s="10" t="s">
        <v>104</v>
      </c>
      <c r="H6" s="10" t="s">
        <v>105</v>
      </c>
      <c r="I6" s="10" t="s">
        <v>106</v>
      </c>
    </row>
    <row r="7" customFormat="false" ht="15" hidden="false" customHeight="true" outlineLevel="0" collapsed="false">
      <c r="B7" s="24" t="n">
        <v>1</v>
      </c>
      <c r="C7" s="29" t="str">
        <f aca="false">Inputs!C15</f>
        <v>Tap 1</v>
      </c>
      <c r="D7" s="27" t="n">
        <f aca="false">Inputs!F15</f>
        <v>200</v>
      </c>
      <c r="E7" s="42" t="n">
        <f aca="false">Inputs!G15</f>
        <v>0</v>
      </c>
      <c r="F7" s="43" t="n">
        <f aca="false">IF(Inputs!F15&lt;&gt;"",IFERROR((1+SQRT(((IF(ISNUMBER(Inputs!D15),Inputs!D15/MAX((Inputs!F15/Inputs!C7),0.000000001),Inputs!C7)-Inputs!C7)^2+(IF(ISNUMBER(Inputs!E15),Inputs!E15/MAX((Inputs!F15/Inputs!C7),0.000000001),0))^2)/((IF(ISNUMBER(Inputs!D15),Inputs!D15/MAX((Inputs!F15/Inputs!C7),0.000000001),Inputs!C7)+Inputs!C7)^2+(IF(ISNUMBER(Inputs!E15),Inputs!E15/MAX((Inputs!F15/Inputs!C7),0.000000001),0))^2)))/(1-SQRT(((IF(ISNUMBER(Inputs!D15),Inputs!D15/MAX((Inputs!F15/Inputs!C7),0.000000001),Inputs!C7)-Inputs!C7)^2+(IF(ISNUMBER(Inputs!E15),Inputs!E15/MAX((Inputs!F15/Inputs!C7),0.000000001),0))^2)/((IF(ISNUMBER(Inputs!D15),Inputs!D15/MAX((Inputs!F15/Inputs!C7),0.000000001),Inputs!C7)+Inputs!C7)^2+(IF(ISNUMBER(Inputs!E15),Inputs!E15/MAX((Inputs!F15/Inputs!C7),0.000000001),0))^2))),999),"")</f>
        <v>1</v>
      </c>
      <c r="G7" s="42" t="n">
        <f aca="false">IF(Inputs!F15&lt;&gt;"",IFERROR(-20*LOG10(MAX(SQRT(((IF(ISNUMBER(Inputs!D15),Inputs!D15/MAX((Inputs!F15/Inputs!C7),0.000000001),Inputs!C7)-Inputs!C7)^2+(IF(ISNUMBER(Inputs!E15),Inputs!E15/MAX((Inputs!F15/Inputs!C7),0.000000001),0))^2)/((IF(ISNUMBER(Inputs!D15),Inputs!D15/MAX((Inputs!F15/Inputs!C7),0.000000001),Inputs!C7)+Inputs!C7)^2+(IF(ISNUMBER(Inputs!E15),Inputs!E15/MAX((Inputs!F15/Inputs!C7),0.000000001),0))^2)),0.000000001)),0),"")</f>
        <v>180</v>
      </c>
      <c r="H7" s="43" t="n">
        <f aca="false">IF(Inputs!F15&lt;&gt;"",IFERROR(MAX(0,-10*LOG10(1-((IF(ISNUMBER(Inputs!D15),Inputs!D15/MAX((Inputs!F15/Inputs!C7),0.000000001),Inputs!C7)-Inputs!C7)^2+(IF(ISNUMBER(Inputs!E15),Inputs!E15/MAX((Inputs!F15/Inputs!C7),0.000000001),0))^2)/((IF(ISNUMBER(Inputs!D15),Inputs!D15/MAX((Inputs!F15/Inputs!C7),0.000000001),Inputs!C7)+Inputs!C7)^2+(IF(ISNUMBER(Inputs!E15),Inputs!E15/MAX((Inputs!F15/Inputs!C7),0.000000001),0))^2)))+0,0),"")</f>
        <v>0</v>
      </c>
      <c r="I7" s="43" t="n">
        <f aca="false">IF(Inputs!F15&lt;&gt;"",IFERROR(((IF(ISNUMBER(Inputs!D15),Inputs!D15/MAX((Inputs!F15/Inputs!C7),0.000000001),Inputs!C7)-Inputs!C7)^2+(IF(ISNUMBER(Inputs!E15),Inputs!E15/MAX((Inputs!F15/Inputs!C7),0.000000001),0))^2)/((IF(ISNUMBER(Inputs!D15),Inputs!D15/MAX((Inputs!F15/Inputs!C7),0.000000001),Inputs!C7)+Inputs!C7)^2+(IF(ISNUMBER(Inputs!E15),Inputs!E15/MAX((Inputs!F15/Inputs!C7),0.000000001),0))^2)*100,0),"")</f>
        <v>0</v>
      </c>
    </row>
    <row r="8" customFormat="false" ht="15" hidden="false" customHeight="true" outlineLevel="0" collapsed="false">
      <c r="B8" s="31" t="n">
        <v>2</v>
      </c>
      <c r="C8" s="29" t="str">
        <f aca="false">Inputs!C16</f>
        <v>Tap 2</v>
      </c>
      <c r="D8" s="27" t="n">
        <f aca="false">Inputs!F16</f>
        <v>316.227766016838</v>
      </c>
      <c r="E8" s="42" t="n">
        <f aca="false">Inputs!G16</f>
        <v>18.434948822922</v>
      </c>
      <c r="F8" s="43" t="n">
        <f aca="false">IF(Inputs!F16&lt;&gt;"",IFERROR((1+SQRT(((IF(ISNUMBER(Inputs!D16),Inputs!D16/MAX((Inputs!F16/Inputs!C7),0.000000001),Inputs!C7)-Inputs!C7)^2+(IF(ISNUMBER(Inputs!E16),Inputs!E16/MAX((Inputs!F16/Inputs!C7),0.000000001),0))^2)/((IF(ISNUMBER(Inputs!D16),Inputs!D16/MAX((Inputs!F16/Inputs!C7),0.000000001),Inputs!C7)+Inputs!C7)^2+(IF(ISNUMBER(Inputs!E16),Inputs!E16/MAX((Inputs!F16/Inputs!C7),0.000000001),0))^2)))/(1-SQRT(((IF(ISNUMBER(Inputs!D16),Inputs!D16/MAX((Inputs!F16/Inputs!C7),0.000000001),Inputs!C7)-Inputs!C7)^2+(IF(ISNUMBER(Inputs!E16),Inputs!E16/MAX((Inputs!F16/Inputs!C7),0.000000001),0))^2)/((IF(ISNUMBER(Inputs!D16),Inputs!D16/MAX((Inputs!F16/Inputs!C7),0.000000001),Inputs!C7)+Inputs!C7)^2+(IF(ISNUMBER(Inputs!E16),Inputs!E16/MAX((Inputs!F16/Inputs!C7),0.000000001),0))^2))),999),"")</f>
        <v>1.38742588672279</v>
      </c>
      <c r="G8" s="42" t="n">
        <f aca="false">IF(Inputs!F16&lt;&gt;"",IFERROR(-20*LOG10(MAX(SQRT(((IF(ISNUMBER(Inputs!D16),Inputs!D16/MAX((Inputs!F16/Inputs!C7),0.000000001),Inputs!C7)-Inputs!C7)^2+(IF(ISNUMBER(Inputs!E16),Inputs!E16/MAX((Inputs!F16/Inputs!C7),0.000000001),0))^2)/((IF(ISNUMBER(Inputs!D16),Inputs!D16/MAX((Inputs!F16/Inputs!C7),0.000000001),Inputs!C7)+Inputs!C7)^2+(IF(ISNUMBER(Inputs!E16),Inputs!E16/MAX((Inputs!F16/Inputs!C7),0.000000001),0))^2)),0.000000001)),0),"")</f>
        <v>15.7948252576199</v>
      </c>
      <c r="H8" s="43" t="n">
        <f aca="false">IF(Inputs!F16&lt;&gt;"",IFERROR(MAX(0,-10*LOG10(1-((IF(ISNUMBER(Inputs!D16),Inputs!D16/MAX((Inputs!F16/Inputs!C7),0.000000001),Inputs!C7)-Inputs!C7)^2+(IF(ISNUMBER(Inputs!E16),Inputs!E16/MAX((Inputs!F16/Inputs!C7),0.000000001),0))^2)/((IF(ISNUMBER(Inputs!D16),Inputs!D16/MAX((Inputs!F16/Inputs!C7),0.000000001),Inputs!C7)+Inputs!C7)^2+(IF(ISNUMBER(Inputs!E16),Inputs!E16/MAX((Inputs!F16/Inputs!C7),0.000000001),0))^2)))+0,0),"")</f>
        <v>0.115900124973496</v>
      </c>
      <c r="I8" s="43" t="n">
        <f aca="false">IF(Inputs!F16&lt;&gt;"",IFERROR(((IF(ISNUMBER(Inputs!D16),Inputs!D16/MAX((Inputs!F16/Inputs!C7),0.000000001),Inputs!C7)-Inputs!C7)^2+(IF(ISNUMBER(Inputs!E16),Inputs!E16/MAX((Inputs!F16/Inputs!C7),0.000000001),0))^2)/((IF(ISNUMBER(Inputs!D16),Inputs!D16/MAX((Inputs!F16/Inputs!C7),0.000000001),Inputs!C7)+Inputs!C7)^2+(IF(ISNUMBER(Inputs!E16),Inputs!E16/MAX((Inputs!F16/Inputs!C7),0.000000001),0))^2)*100,0),"")</f>
        <v>2.6334038989724</v>
      </c>
    </row>
    <row r="9" customFormat="false" ht="15" hidden="false" customHeight="true" outlineLevel="0" collapsed="false">
      <c r="B9" s="24" t="n">
        <v>3</v>
      </c>
      <c r="C9" s="29" t="str">
        <f aca="false">Inputs!C17</f>
        <v>Tap 3</v>
      </c>
      <c r="D9" s="27" t="n">
        <f aca="false">Inputs!F17</f>
        <v>457.055795281058</v>
      </c>
      <c r="E9" s="42" t="n">
        <f aca="false">Inputs!G17</f>
        <v>-10.0805979875423</v>
      </c>
      <c r="F9" s="43" t="n">
        <f aca="false">IF(Inputs!F17&lt;&gt;"",IFERROR((1+SQRT(((IF(ISNUMBER(Inputs!D17),Inputs!D17/MAX((Inputs!F17/Inputs!C7),0.000000001),Inputs!C7)-Inputs!C7)^2+(IF(ISNUMBER(Inputs!E17),Inputs!E17/MAX((Inputs!F17/Inputs!C7),0.000000001),0))^2)/((IF(ISNUMBER(Inputs!D17),Inputs!D17/MAX((Inputs!F17/Inputs!C7),0.000000001),Inputs!C7)+Inputs!C7)^2+(IF(ISNUMBER(Inputs!E17),Inputs!E17/MAX((Inputs!F17/Inputs!C7),0.000000001),0))^2)))/(1-SQRT(((IF(ISNUMBER(Inputs!D17),Inputs!D17/MAX((Inputs!F17/Inputs!C7),0.000000001),Inputs!C7)-Inputs!C7)^2+(IF(ISNUMBER(Inputs!E17),Inputs!E17/MAX((Inputs!F17/Inputs!C7),0.000000001),0))^2)/((IF(ISNUMBER(Inputs!D17),Inputs!D17/MAX((Inputs!F17/Inputs!C7),0.000000001),Inputs!C7)+Inputs!C7)^2+(IF(ISNUMBER(Inputs!E17),Inputs!E17/MAX((Inputs!F17/Inputs!C7),0.000000001),0))^2))),999),"")</f>
        <v>1.19345732284679</v>
      </c>
      <c r="G9" s="42" t="n">
        <f aca="false">IF(Inputs!F17&lt;&gt;"",IFERROR(-20*LOG10(MAX(SQRT(((IF(ISNUMBER(Inputs!D17),Inputs!D17/MAX((Inputs!F17/Inputs!C7),0.000000001),Inputs!C7)-Inputs!C7)^2+(IF(ISNUMBER(Inputs!E17),Inputs!E17/MAX((Inputs!F17/Inputs!C7),0.000000001),0))^2)/((IF(ISNUMBER(Inputs!D17),Inputs!D17/MAX((Inputs!F17/Inputs!C7),0.000000001),Inputs!C7)+Inputs!C7)^2+(IF(ISNUMBER(Inputs!E17),Inputs!E17/MAX((Inputs!F17/Inputs!C7),0.000000001),0))^2)),0.000000001)),0),"")</f>
        <v>21.0908803086925</v>
      </c>
      <c r="H9" s="43" t="n">
        <f aca="false">IF(Inputs!F17&lt;&gt;"",IFERROR(MAX(0,-10*LOG10(1-((IF(ISNUMBER(Inputs!D17),Inputs!D17/MAX((Inputs!F17/Inputs!C7),0.000000001),Inputs!C7)-Inputs!C7)^2+(IF(ISNUMBER(Inputs!E17),Inputs!E17/MAX((Inputs!F17/Inputs!C7),0.000000001),0))^2)/((IF(ISNUMBER(Inputs!D17),Inputs!D17/MAX((Inputs!F17/Inputs!C7),0.000000001),Inputs!C7)+Inputs!C7)^2+(IF(ISNUMBER(Inputs!E17),Inputs!E17/MAX((Inputs!F17/Inputs!C7),0.000000001),0))^2)))+0,0),"")</f>
        <v>0.0339149298724391</v>
      </c>
      <c r="I9" s="43" t="n">
        <f aca="false">IF(Inputs!F17&lt;&gt;"",IFERROR(((IF(ISNUMBER(Inputs!D17),Inputs!D17/MAX((Inputs!F17/Inputs!C7),0.000000001),Inputs!C7)-Inputs!C7)^2+(IF(ISNUMBER(Inputs!E17),Inputs!E17/MAX((Inputs!F17/Inputs!C7),0.000000001),0))^2)/((IF(ISNUMBER(Inputs!D17),Inputs!D17/MAX((Inputs!F17/Inputs!C7),0.000000001),Inputs!C7)+Inputs!C7)^2+(IF(ISNUMBER(Inputs!E17),Inputs!E17/MAX((Inputs!F17/Inputs!C7),0.000000001),0))^2)*100,0),"")</f>
        <v>0.777878860128034</v>
      </c>
    </row>
    <row r="10" customFormat="false" ht="15" hidden="false" customHeight="true" outlineLevel="0" collapsed="false">
      <c r="B10" s="31" t="n">
        <v>4</v>
      </c>
      <c r="C10" s="29" t="str">
        <f aca="false">Inputs!C18</f>
        <v>Tap 4</v>
      </c>
      <c r="D10" s="27" t="n">
        <f aca="false">Inputs!F18</f>
        <v>800</v>
      </c>
      <c r="E10" s="42" t="n">
        <f aca="false">Inputs!G18</f>
        <v>0</v>
      </c>
      <c r="F10" s="43" t="n">
        <f aca="false">IF(Inputs!F18&lt;&gt;"",IFERROR((1+SQRT(((IF(ISNUMBER(Inputs!D18),Inputs!D18/MAX((Inputs!F18/Inputs!C7),0.000000001),Inputs!C7)-Inputs!C7)^2+(IF(ISNUMBER(Inputs!E18),Inputs!E18/MAX((Inputs!F18/Inputs!C7),0.000000001),0))^2)/((IF(ISNUMBER(Inputs!D18),Inputs!D18/MAX((Inputs!F18/Inputs!C7),0.000000001),Inputs!C7)+Inputs!C7)^2+(IF(ISNUMBER(Inputs!E18),Inputs!E18/MAX((Inputs!F18/Inputs!C7),0.000000001),0))^2)))/(1-SQRT(((IF(ISNUMBER(Inputs!D18),Inputs!D18/MAX((Inputs!F18/Inputs!C7),0.000000001),Inputs!C7)-Inputs!C7)^2+(IF(ISNUMBER(Inputs!E18),Inputs!E18/MAX((Inputs!F18/Inputs!C7),0.000000001),0))^2)/((IF(ISNUMBER(Inputs!D18),Inputs!D18/MAX((Inputs!F18/Inputs!C7),0.000000001),Inputs!C7)+Inputs!C7)^2+(IF(ISNUMBER(Inputs!E18),Inputs!E18/MAX((Inputs!F18/Inputs!C7),0.000000001),0))^2))),999),"")</f>
        <v>1</v>
      </c>
      <c r="G10" s="42" t="n">
        <f aca="false">IF(Inputs!F18&lt;&gt;"",IFERROR(-20*LOG10(MAX(SQRT(((IF(ISNUMBER(Inputs!D18),Inputs!D18/MAX((Inputs!F18/Inputs!C7),0.000000001),Inputs!C7)-Inputs!C7)^2+(IF(ISNUMBER(Inputs!E18),Inputs!E18/MAX((Inputs!F18/Inputs!C7),0.000000001),0))^2)/((IF(ISNUMBER(Inputs!D18),Inputs!D18/MAX((Inputs!F18/Inputs!C7),0.000000001),Inputs!C7)+Inputs!C7)^2+(IF(ISNUMBER(Inputs!E18),Inputs!E18/MAX((Inputs!F18/Inputs!C7),0.000000001),0))^2)),0.000000001)),0),"")</f>
        <v>180</v>
      </c>
      <c r="H10" s="43" t="n">
        <f aca="false">IF(Inputs!F18&lt;&gt;"",IFERROR(MAX(0,-10*LOG10(1-((IF(ISNUMBER(Inputs!D18),Inputs!D18/MAX((Inputs!F18/Inputs!C7),0.000000001),Inputs!C7)-Inputs!C7)^2+(IF(ISNUMBER(Inputs!E18),Inputs!E18/MAX((Inputs!F18/Inputs!C7),0.000000001),0))^2)/((IF(ISNUMBER(Inputs!D18),Inputs!D18/MAX((Inputs!F18/Inputs!C7),0.000000001),Inputs!C7)+Inputs!C7)^2+(IF(ISNUMBER(Inputs!E18),Inputs!E18/MAX((Inputs!F18/Inputs!C7),0.000000001),0))^2)))+0,0),"")</f>
        <v>0</v>
      </c>
      <c r="I10" s="43" t="n">
        <f aca="false">IF(Inputs!F18&lt;&gt;"",IFERROR(((IF(ISNUMBER(Inputs!D18),Inputs!D18/MAX((Inputs!F18/Inputs!C7),0.000000001),Inputs!C7)-Inputs!C7)^2+(IF(ISNUMBER(Inputs!E18),Inputs!E18/MAX((Inputs!F18/Inputs!C7),0.000000001),0))^2)/((IF(ISNUMBER(Inputs!D18),Inputs!D18/MAX((Inputs!F18/Inputs!C7),0.000000001),Inputs!C7)+Inputs!C7)^2+(IF(ISNUMBER(Inputs!E18),Inputs!E18/MAX((Inputs!F18/Inputs!C7),0.000000001),0))^2)*100,0),"")</f>
        <v>0</v>
      </c>
    </row>
    <row r="11" customFormat="false" ht="15" hidden="false" customHeight="true" outlineLevel="0" collapsed="false">
      <c r="B11" s="24" t="n">
        <v>5</v>
      </c>
      <c r="C11" s="29" t="str">
        <f aca="false">Inputs!C19</f>
        <v>Tap 5</v>
      </c>
      <c r="D11" s="27" t="str">
        <f aca="false">Inputs!F19</f>
        <v/>
      </c>
      <c r="E11" s="42" t="str">
        <f aca="false">Inputs!G19</f>
        <v/>
      </c>
      <c r="F11" s="43" t="str">
        <f aca="false">IF(Inputs!F19&lt;&gt;"",IFERROR((1+SQRT(((IF(ISNUMBER(Inputs!D19),Inputs!D19/MAX((Inputs!F19/Inputs!C7),0.000000001),Inputs!C7)-Inputs!C7)^2+(IF(ISNUMBER(Inputs!E19),Inputs!E19/MAX((Inputs!F19/Inputs!C7),0.000000001),0))^2)/((IF(ISNUMBER(Inputs!D19),Inputs!D19/MAX((Inputs!F19/Inputs!C7),0.000000001),Inputs!C7)+Inputs!C7)^2+(IF(ISNUMBER(Inputs!E19),Inputs!E19/MAX((Inputs!F19/Inputs!C7),0.000000001),0))^2)))/(1-SQRT(((IF(ISNUMBER(Inputs!D19),Inputs!D19/MAX((Inputs!F19/Inputs!C7),0.000000001),Inputs!C7)-Inputs!C7)^2+(IF(ISNUMBER(Inputs!E19),Inputs!E19/MAX((Inputs!F19/Inputs!C7),0.000000001),0))^2)/((IF(ISNUMBER(Inputs!D19),Inputs!D19/MAX((Inputs!F19/Inputs!C7),0.000000001),Inputs!C7)+Inputs!C7)^2+(IF(ISNUMBER(Inputs!E19),Inputs!E19/MAX((Inputs!F19/Inputs!C7),0.000000001),0))^2))),999),"")</f>
        <v/>
      </c>
      <c r="G11" s="42" t="str">
        <f aca="false">IF(Inputs!F19&lt;&gt;"",IFERROR(-20*LOG10(MAX(SQRT(((IF(ISNUMBER(Inputs!D19),Inputs!D19/MAX((Inputs!F19/Inputs!C7),0.000000001),Inputs!C7)-Inputs!C7)^2+(IF(ISNUMBER(Inputs!E19),Inputs!E19/MAX((Inputs!F19/Inputs!C7),0.000000001),0))^2)/((IF(ISNUMBER(Inputs!D19),Inputs!D19/MAX((Inputs!F19/Inputs!C7),0.000000001),Inputs!C7)+Inputs!C7)^2+(IF(ISNUMBER(Inputs!E19),Inputs!E19/MAX((Inputs!F19/Inputs!C7),0.000000001),0))^2)),0.000000001)),0),"")</f>
        <v/>
      </c>
      <c r="H11" s="43" t="str">
        <f aca="false">IF(Inputs!F19&lt;&gt;"",IFERROR(MAX(0,-10*LOG10(1-((IF(ISNUMBER(Inputs!D19),Inputs!D19/MAX((Inputs!F19/Inputs!C7),0.000000001),Inputs!C7)-Inputs!C7)^2+(IF(ISNUMBER(Inputs!E19),Inputs!E19/MAX((Inputs!F19/Inputs!C7),0.000000001),0))^2)/((IF(ISNUMBER(Inputs!D19),Inputs!D19/MAX((Inputs!F19/Inputs!C7),0.000000001),Inputs!C7)+Inputs!C7)^2+(IF(ISNUMBER(Inputs!E19),Inputs!E19/MAX((Inputs!F19/Inputs!C7),0.000000001),0))^2)))+0,0),"")</f>
        <v/>
      </c>
      <c r="I11" s="43" t="str">
        <f aca="false">IF(Inputs!F19&lt;&gt;"",IFERROR(((IF(ISNUMBER(Inputs!D19),Inputs!D19/MAX((Inputs!F19/Inputs!C7),0.000000001),Inputs!C7)-Inputs!C7)^2+(IF(ISNUMBER(Inputs!E19),Inputs!E19/MAX((Inputs!F19/Inputs!C7),0.000000001),0))^2)/((IF(ISNUMBER(Inputs!D19),Inputs!D19/MAX((Inputs!F19/Inputs!C7),0.000000001),Inputs!C7)+Inputs!C7)^2+(IF(ISNUMBER(Inputs!E19),Inputs!E19/MAX((Inputs!F19/Inputs!C7),0.000000001),0))^2)*100,0),"")</f>
        <v/>
      </c>
    </row>
    <row r="12" customFormat="false" ht="15" hidden="false" customHeight="true" outlineLevel="0" collapsed="false">
      <c r="B12" s="31" t="n">
        <v>6</v>
      </c>
      <c r="C12" s="29" t="str">
        <f aca="false">Inputs!C20</f>
        <v>Tap 6</v>
      </c>
      <c r="D12" s="27" t="str">
        <f aca="false">Inputs!F20</f>
        <v/>
      </c>
      <c r="E12" s="42" t="str">
        <f aca="false">Inputs!G20</f>
        <v/>
      </c>
      <c r="F12" s="43" t="str">
        <f aca="false">IF(Inputs!F20&lt;&gt;"",IFERROR((1+SQRT(((IF(ISNUMBER(Inputs!D20),Inputs!D20/MAX((Inputs!F20/Inputs!C7),0.000000001),Inputs!C7)-Inputs!C7)^2+(IF(ISNUMBER(Inputs!E20),Inputs!E20/MAX((Inputs!F20/Inputs!C7),0.000000001),0))^2)/((IF(ISNUMBER(Inputs!D20),Inputs!D20/MAX((Inputs!F20/Inputs!C7),0.000000001),Inputs!C7)+Inputs!C7)^2+(IF(ISNUMBER(Inputs!E20),Inputs!E20/MAX((Inputs!F20/Inputs!C7),0.000000001),0))^2)))/(1-SQRT(((IF(ISNUMBER(Inputs!D20),Inputs!D20/MAX((Inputs!F20/Inputs!C7),0.000000001),Inputs!C7)-Inputs!C7)^2+(IF(ISNUMBER(Inputs!E20),Inputs!E20/MAX((Inputs!F20/Inputs!C7),0.000000001),0))^2)/((IF(ISNUMBER(Inputs!D20),Inputs!D20/MAX((Inputs!F20/Inputs!C7),0.000000001),Inputs!C7)+Inputs!C7)^2+(IF(ISNUMBER(Inputs!E20),Inputs!E20/MAX((Inputs!F20/Inputs!C7),0.000000001),0))^2))),999),"")</f>
        <v/>
      </c>
      <c r="G12" s="42" t="str">
        <f aca="false">IF(Inputs!F20&lt;&gt;"",IFERROR(-20*LOG10(MAX(SQRT(((IF(ISNUMBER(Inputs!D20),Inputs!D20/MAX((Inputs!F20/Inputs!C7),0.000000001),Inputs!C7)-Inputs!C7)^2+(IF(ISNUMBER(Inputs!E20),Inputs!E20/MAX((Inputs!F20/Inputs!C7),0.000000001),0))^2)/((IF(ISNUMBER(Inputs!D20),Inputs!D20/MAX((Inputs!F20/Inputs!C7),0.000000001),Inputs!C7)+Inputs!C7)^2+(IF(ISNUMBER(Inputs!E20),Inputs!E20/MAX((Inputs!F20/Inputs!C7),0.000000001),0))^2)),0.000000001)),0),"")</f>
        <v/>
      </c>
      <c r="H12" s="43" t="str">
        <f aca="false">IF(Inputs!F20&lt;&gt;"",IFERROR(MAX(0,-10*LOG10(1-((IF(ISNUMBER(Inputs!D20),Inputs!D20/MAX((Inputs!F20/Inputs!C7),0.000000001),Inputs!C7)-Inputs!C7)^2+(IF(ISNUMBER(Inputs!E20),Inputs!E20/MAX((Inputs!F20/Inputs!C7),0.000000001),0))^2)/((IF(ISNUMBER(Inputs!D20),Inputs!D20/MAX((Inputs!F20/Inputs!C7),0.000000001),Inputs!C7)+Inputs!C7)^2+(IF(ISNUMBER(Inputs!E20),Inputs!E20/MAX((Inputs!F20/Inputs!C7),0.000000001),0))^2)))+0,0),"")</f>
        <v/>
      </c>
      <c r="I12" s="43" t="str">
        <f aca="false">IF(Inputs!F20&lt;&gt;"",IFERROR(((IF(ISNUMBER(Inputs!D20),Inputs!D20/MAX((Inputs!F20/Inputs!C7),0.000000001),Inputs!C7)-Inputs!C7)^2+(IF(ISNUMBER(Inputs!E20),Inputs!E20/MAX((Inputs!F20/Inputs!C7),0.000000001),0))^2)/((IF(ISNUMBER(Inputs!D20),Inputs!D20/MAX((Inputs!F20/Inputs!C7),0.000000001),Inputs!C7)+Inputs!C7)^2+(IF(ISNUMBER(Inputs!E20),Inputs!E20/MAX((Inputs!F20/Inputs!C7),0.000000001),0))^2)*100,0),"")</f>
        <v/>
      </c>
    </row>
    <row r="13" customFormat="false" ht="15" hidden="false" customHeight="true" outlineLevel="0" collapsed="false">
      <c r="B13" s="24" t="n">
        <v>7</v>
      </c>
      <c r="C13" s="29" t="str">
        <f aca="false">Inputs!C21</f>
        <v>Tap 7</v>
      </c>
      <c r="D13" s="27" t="str">
        <f aca="false">Inputs!F21</f>
        <v/>
      </c>
      <c r="E13" s="42" t="str">
        <f aca="false">Inputs!G21</f>
        <v/>
      </c>
      <c r="F13" s="43" t="str">
        <f aca="false">IF(Inputs!F21&lt;&gt;"",IFERROR((1+SQRT(((IF(ISNUMBER(Inputs!D21),Inputs!D21/MAX((Inputs!F21/Inputs!C7),0.000000001),Inputs!C7)-Inputs!C7)^2+(IF(ISNUMBER(Inputs!E21),Inputs!E21/MAX((Inputs!F21/Inputs!C7),0.000000001),0))^2)/((IF(ISNUMBER(Inputs!D21),Inputs!D21/MAX((Inputs!F21/Inputs!C7),0.000000001),Inputs!C7)+Inputs!C7)^2+(IF(ISNUMBER(Inputs!E21),Inputs!E21/MAX((Inputs!F21/Inputs!C7),0.000000001),0))^2)))/(1-SQRT(((IF(ISNUMBER(Inputs!D21),Inputs!D21/MAX((Inputs!F21/Inputs!C7),0.000000001),Inputs!C7)-Inputs!C7)^2+(IF(ISNUMBER(Inputs!E21),Inputs!E21/MAX((Inputs!F21/Inputs!C7),0.000000001),0))^2)/((IF(ISNUMBER(Inputs!D21),Inputs!D21/MAX((Inputs!F21/Inputs!C7),0.000000001),Inputs!C7)+Inputs!C7)^2+(IF(ISNUMBER(Inputs!E21),Inputs!E21/MAX((Inputs!F21/Inputs!C7),0.000000001),0))^2))),999),"")</f>
        <v/>
      </c>
      <c r="G13" s="42" t="str">
        <f aca="false">IF(Inputs!F21&lt;&gt;"",IFERROR(-20*LOG10(MAX(SQRT(((IF(ISNUMBER(Inputs!D21),Inputs!D21/MAX((Inputs!F21/Inputs!C7),0.000000001),Inputs!C7)-Inputs!C7)^2+(IF(ISNUMBER(Inputs!E21),Inputs!E21/MAX((Inputs!F21/Inputs!C7),0.000000001),0))^2)/((IF(ISNUMBER(Inputs!D21),Inputs!D21/MAX((Inputs!F21/Inputs!C7),0.000000001),Inputs!C7)+Inputs!C7)^2+(IF(ISNUMBER(Inputs!E21),Inputs!E21/MAX((Inputs!F21/Inputs!C7),0.000000001),0))^2)),0.000000001)),0),"")</f>
        <v/>
      </c>
      <c r="H13" s="43" t="str">
        <f aca="false">IF(Inputs!F21&lt;&gt;"",IFERROR(MAX(0,-10*LOG10(1-((IF(ISNUMBER(Inputs!D21),Inputs!D21/MAX((Inputs!F21/Inputs!C7),0.000000001),Inputs!C7)-Inputs!C7)^2+(IF(ISNUMBER(Inputs!E21),Inputs!E21/MAX((Inputs!F21/Inputs!C7),0.000000001),0))^2)/((IF(ISNUMBER(Inputs!D21),Inputs!D21/MAX((Inputs!F21/Inputs!C7),0.000000001),Inputs!C7)+Inputs!C7)^2+(IF(ISNUMBER(Inputs!E21),Inputs!E21/MAX((Inputs!F21/Inputs!C7),0.000000001),0))^2)))+0,0),"")</f>
        <v/>
      </c>
      <c r="I13" s="43" t="str">
        <f aca="false">IF(Inputs!F21&lt;&gt;"",IFERROR(((IF(ISNUMBER(Inputs!D21),Inputs!D21/MAX((Inputs!F21/Inputs!C7),0.000000001),Inputs!C7)-Inputs!C7)^2+(IF(ISNUMBER(Inputs!E21),Inputs!E21/MAX((Inputs!F21/Inputs!C7),0.000000001),0))^2)/((IF(ISNUMBER(Inputs!D21),Inputs!D21/MAX((Inputs!F21/Inputs!C7),0.000000001),Inputs!C7)+Inputs!C7)^2+(IF(ISNUMBER(Inputs!E21),Inputs!E21/MAX((Inputs!F21/Inputs!C7),0.000000001),0))^2)*100,0),"")</f>
        <v/>
      </c>
    </row>
    <row r="14" customFormat="false" ht="15" hidden="false" customHeight="true" outlineLevel="0" collapsed="false">
      <c r="B14" s="31" t="n">
        <v>8</v>
      </c>
      <c r="C14" s="29" t="str">
        <f aca="false">Inputs!C22</f>
        <v>Tap 8</v>
      </c>
      <c r="D14" s="27" t="str">
        <f aca="false">Inputs!F22</f>
        <v/>
      </c>
      <c r="E14" s="42" t="str">
        <f aca="false">Inputs!G22</f>
        <v/>
      </c>
      <c r="F14" s="43" t="str">
        <f aca="false">IF(Inputs!F22&lt;&gt;"",IFERROR((1+SQRT(((IF(ISNUMBER(Inputs!D22),Inputs!D22/MAX((Inputs!F22/Inputs!C7),0.000000001),Inputs!C7)-Inputs!C7)^2+(IF(ISNUMBER(Inputs!E22),Inputs!E22/MAX((Inputs!F22/Inputs!C7),0.000000001),0))^2)/((IF(ISNUMBER(Inputs!D22),Inputs!D22/MAX((Inputs!F22/Inputs!C7),0.000000001),Inputs!C7)+Inputs!C7)^2+(IF(ISNUMBER(Inputs!E22),Inputs!E22/MAX((Inputs!F22/Inputs!C7),0.000000001),0))^2)))/(1-SQRT(((IF(ISNUMBER(Inputs!D22),Inputs!D22/MAX((Inputs!F22/Inputs!C7),0.000000001),Inputs!C7)-Inputs!C7)^2+(IF(ISNUMBER(Inputs!E22),Inputs!E22/MAX((Inputs!F22/Inputs!C7),0.000000001),0))^2)/((IF(ISNUMBER(Inputs!D22),Inputs!D22/MAX((Inputs!F22/Inputs!C7),0.000000001),Inputs!C7)+Inputs!C7)^2+(IF(ISNUMBER(Inputs!E22),Inputs!E22/MAX((Inputs!F22/Inputs!C7),0.000000001),0))^2))),999),"")</f>
        <v/>
      </c>
      <c r="G14" s="42" t="str">
        <f aca="false">IF(Inputs!F22&lt;&gt;"",IFERROR(-20*LOG10(MAX(SQRT(((IF(ISNUMBER(Inputs!D22),Inputs!D22/MAX((Inputs!F22/Inputs!C7),0.000000001),Inputs!C7)-Inputs!C7)^2+(IF(ISNUMBER(Inputs!E22),Inputs!E22/MAX((Inputs!F22/Inputs!C7),0.000000001),0))^2)/((IF(ISNUMBER(Inputs!D22),Inputs!D22/MAX((Inputs!F22/Inputs!C7),0.000000001),Inputs!C7)+Inputs!C7)^2+(IF(ISNUMBER(Inputs!E22),Inputs!E22/MAX((Inputs!F22/Inputs!C7),0.000000001),0))^2)),0.000000001)),0),"")</f>
        <v/>
      </c>
      <c r="H14" s="43" t="str">
        <f aca="false">IF(Inputs!F22&lt;&gt;"",IFERROR(MAX(0,-10*LOG10(1-((IF(ISNUMBER(Inputs!D22),Inputs!D22/MAX((Inputs!F22/Inputs!C7),0.000000001),Inputs!C7)-Inputs!C7)^2+(IF(ISNUMBER(Inputs!E22),Inputs!E22/MAX((Inputs!F22/Inputs!C7),0.000000001),0))^2)/((IF(ISNUMBER(Inputs!D22),Inputs!D22/MAX((Inputs!F22/Inputs!C7),0.000000001),Inputs!C7)+Inputs!C7)^2+(IF(ISNUMBER(Inputs!E22),Inputs!E22/MAX((Inputs!F22/Inputs!C7),0.000000001),0))^2)))+0,0),"")</f>
        <v/>
      </c>
      <c r="I14" s="43" t="str">
        <f aca="false">IF(Inputs!F22&lt;&gt;"",IFERROR(((IF(ISNUMBER(Inputs!D22),Inputs!D22/MAX((Inputs!F22/Inputs!C7),0.000000001),Inputs!C7)-Inputs!C7)^2+(IF(ISNUMBER(Inputs!E22),Inputs!E22/MAX((Inputs!F22/Inputs!C7),0.000000001),0))^2)/((IF(ISNUMBER(Inputs!D22),Inputs!D22/MAX((Inputs!F22/Inputs!C7),0.000000001),Inputs!C7)+Inputs!C7)^2+(IF(ISNUMBER(Inputs!E22),Inputs!E22/MAX((Inputs!F22/Inputs!C7),0.000000001),0))^2)*100,0),"")</f>
        <v/>
      </c>
    </row>
    <row r="15" customFormat="false" ht="15" hidden="false" customHeight="true" outlineLevel="0" collapsed="false">
      <c r="B15" s="24" t="n">
        <v>9</v>
      </c>
      <c r="C15" s="29" t="str">
        <f aca="false">Inputs!C23</f>
        <v>Tap 9</v>
      </c>
      <c r="D15" s="27" t="str">
        <f aca="false">Inputs!F23</f>
        <v/>
      </c>
      <c r="E15" s="42" t="str">
        <f aca="false">Inputs!G23</f>
        <v/>
      </c>
      <c r="F15" s="43" t="str">
        <f aca="false">IF(Inputs!F23&lt;&gt;"",IFERROR((1+SQRT(((IF(ISNUMBER(Inputs!D23),Inputs!D23/MAX((Inputs!F23/Inputs!C7),0.000000001),Inputs!C7)-Inputs!C7)^2+(IF(ISNUMBER(Inputs!E23),Inputs!E23/MAX((Inputs!F23/Inputs!C7),0.000000001),0))^2)/((IF(ISNUMBER(Inputs!D23),Inputs!D23/MAX((Inputs!F23/Inputs!C7),0.000000001),Inputs!C7)+Inputs!C7)^2+(IF(ISNUMBER(Inputs!E23),Inputs!E23/MAX((Inputs!F23/Inputs!C7),0.000000001),0))^2)))/(1-SQRT(((IF(ISNUMBER(Inputs!D23),Inputs!D23/MAX((Inputs!F23/Inputs!C7),0.000000001),Inputs!C7)-Inputs!C7)^2+(IF(ISNUMBER(Inputs!E23),Inputs!E23/MAX((Inputs!F23/Inputs!C7),0.000000001),0))^2)/((IF(ISNUMBER(Inputs!D23),Inputs!D23/MAX((Inputs!F23/Inputs!C7),0.000000001),Inputs!C7)+Inputs!C7)^2+(IF(ISNUMBER(Inputs!E23),Inputs!E23/MAX((Inputs!F23/Inputs!C7),0.000000001),0))^2))),999),"")</f>
        <v/>
      </c>
      <c r="G15" s="42" t="str">
        <f aca="false">IF(Inputs!F23&lt;&gt;"",IFERROR(-20*LOG10(MAX(SQRT(((IF(ISNUMBER(Inputs!D23),Inputs!D23/MAX((Inputs!F23/Inputs!C7),0.000000001),Inputs!C7)-Inputs!C7)^2+(IF(ISNUMBER(Inputs!E23),Inputs!E23/MAX((Inputs!F23/Inputs!C7),0.000000001),0))^2)/((IF(ISNUMBER(Inputs!D23),Inputs!D23/MAX((Inputs!F23/Inputs!C7),0.000000001),Inputs!C7)+Inputs!C7)^2+(IF(ISNUMBER(Inputs!E23),Inputs!E23/MAX((Inputs!F23/Inputs!C7),0.000000001),0))^2)),0.000000001)),0),"")</f>
        <v/>
      </c>
      <c r="H15" s="43" t="str">
        <f aca="false">IF(Inputs!F23&lt;&gt;"",IFERROR(MAX(0,-10*LOG10(1-((IF(ISNUMBER(Inputs!D23),Inputs!D23/MAX((Inputs!F23/Inputs!C7),0.000000001),Inputs!C7)-Inputs!C7)^2+(IF(ISNUMBER(Inputs!E23),Inputs!E23/MAX((Inputs!F23/Inputs!C7),0.000000001),0))^2)/((IF(ISNUMBER(Inputs!D23),Inputs!D23/MAX((Inputs!F23/Inputs!C7),0.000000001),Inputs!C7)+Inputs!C7)^2+(IF(ISNUMBER(Inputs!E23),Inputs!E23/MAX((Inputs!F23/Inputs!C7),0.000000001),0))^2)))+0,0),"")</f>
        <v/>
      </c>
      <c r="I15" s="43" t="str">
        <f aca="false">IF(Inputs!F23&lt;&gt;"",IFERROR(((IF(ISNUMBER(Inputs!D23),Inputs!D23/MAX((Inputs!F23/Inputs!C7),0.000000001),Inputs!C7)-Inputs!C7)^2+(IF(ISNUMBER(Inputs!E23),Inputs!E23/MAX((Inputs!F23/Inputs!C7),0.000000001),0))^2)/((IF(ISNUMBER(Inputs!D23),Inputs!D23/MAX((Inputs!F23/Inputs!C7),0.000000001),Inputs!C7)+Inputs!C7)^2+(IF(ISNUMBER(Inputs!E23),Inputs!E23/MAX((Inputs!F23/Inputs!C7),0.000000001),0))^2)*100,0),"")</f>
        <v/>
      </c>
    </row>
    <row r="16" customFormat="false" ht="15" hidden="false" customHeight="true" outlineLevel="0" collapsed="false">
      <c r="B16" s="31" t="n">
        <v>10</v>
      </c>
      <c r="C16" s="29" t="str">
        <f aca="false">Inputs!C24</f>
        <v>Tap 10</v>
      </c>
      <c r="D16" s="27" t="str">
        <f aca="false">Inputs!F24</f>
        <v/>
      </c>
      <c r="E16" s="42" t="str">
        <f aca="false">Inputs!G24</f>
        <v/>
      </c>
      <c r="F16" s="43" t="str">
        <f aca="false">IF(Inputs!F24&lt;&gt;"",IFERROR((1+SQRT(((IF(ISNUMBER(Inputs!D24),Inputs!D24/MAX((Inputs!F24/Inputs!C7),0.000000001),Inputs!C7)-Inputs!C7)^2+(IF(ISNUMBER(Inputs!E24),Inputs!E24/MAX((Inputs!F24/Inputs!C7),0.000000001),0))^2)/((IF(ISNUMBER(Inputs!D24),Inputs!D24/MAX((Inputs!F24/Inputs!C7),0.000000001),Inputs!C7)+Inputs!C7)^2+(IF(ISNUMBER(Inputs!E24),Inputs!E24/MAX((Inputs!F24/Inputs!C7),0.000000001),0))^2)))/(1-SQRT(((IF(ISNUMBER(Inputs!D24),Inputs!D24/MAX((Inputs!F24/Inputs!C7),0.000000001),Inputs!C7)-Inputs!C7)^2+(IF(ISNUMBER(Inputs!E24),Inputs!E24/MAX((Inputs!F24/Inputs!C7),0.000000001),0))^2)/((IF(ISNUMBER(Inputs!D24),Inputs!D24/MAX((Inputs!F24/Inputs!C7),0.000000001),Inputs!C7)+Inputs!C7)^2+(IF(ISNUMBER(Inputs!E24),Inputs!E24/MAX((Inputs!F24/Inputs!C7),0.000000001),0))^2))),999),"")</f>
        <v/>
      </c>
      <c r="G16" s="42" t="str">
        <f aca="false">IF(Inputs!F24&lt;&gt;"",IFERROR(-20*LOG10(MAX(SQRT(((IF(ISNUMBER(Inputs!D24),Inputs!D24/MAX((Inputs!F24/Inputs!C7),0.000000001),Inputs!C7)-Inputs!C7)^2+(IF(ISNUMBER(Inputs!E24),Inputs!E24/MAX((Inputs!F24/Inputs!C7),0.000000001),0))^2)/((IF(ISNUMBER(Inputs!D24),Inputs!D24/MAX((Inputs!F24/Inputs!C7),0.000000001),Inputs!C7)+Inputs!C7)^2+(IF(ISNUMBER(Inputs!E24),Inputs!E24/MAX((Inputs!F24/Inputs!C7),0.000000001),0))^2)),0.000000001)),0),"")</f>
        <v/>
      </c>
      <c r="H16" s="43" t="str">
        <f aca="false">IF(Inputs!F24&lt;&gt;"",IFERROR(MAX(0,-10*LOG10(1-((IF(ISNUMBER(Inputs!D24),Inputs!D24/MAX((Inputs!F24/Inputs!C7),0.000000001),Inputs!C7)-Inputs!C7)^2+(IF(ISNUMBER(Inputs!E24),Inputs!E24/MAX((Inputs!F24/Inputs!C7),0.000000001),0))^2)/((IF(ISNUMBER(Inputs!D24),Inputs!D24/MAX((Inputs!F24/Inputs!C7),0.000000001),Inputs!C7)+Inputs!C7)^2+(IF(ISNUMBER(Inputs!E24),Inputs!E24/MAX((Inputs!F24/Inputs!C7),0.000000001),0))^2)))+0,0),"")</f>
        <v/>
      </c>
      <c r="I16" s="43" t="str">
        <f aca="false">IF(Inputs!F24&lt;&gt;"",IFERROR(((IF(ISNUMBER(Inputs!D24),Inputs!D24/MAX((Inputs!F24/Inputs!C7),0.000000001),Inputs!C7)-Inputs!C7)^2+(IF(ISNUMBER(Inputs!E24),Inputs!E24/MAX((Inputs!F24/Inputs!C7),0.000000001),0))^2)/((IF(ISNUMBER(Inputs!D24),Inputs!D24/MAX((Inputs!F24/Inputs!C7),0.000000001),Inputs!C7)+Inputs!C7)^2+(IF(ISNUMBER(Inputs!E24),Inputs!E24/MAX((Inputs!F24/Inputs!C7),0.000000001),0))^2)*100,0),"")</f>
        <v/>
      </c>
    </row>
    <row r="17" customFormat="false" ht="15" hidden="false" customHeight="true" outlineLevel="0" collapsed="false">
      <c r="B17" s="24" t="n">
        <v>11</v>
      </c>
      <c r="C17" s="29" t="str">
        <f aca="false">Inputs!C25</f>
        <v>Tap 11</v>
      </c>
      <c r="D17" s="27" t="str">
        <f aca="false">Inputs!F25</f>
        <v/>
      </c>
      <c r="E17" s="42" t="str">
        <f aca="false">Inputs!G25</f>
        <v/>
      </c>
      <c r="F17" s="43" t="str">
        <f aca="false">IF(Inputs!F25&lt;&gt;"",IFERROR((1+SQRT(((IF(ISNUMBER(Inputs!D25),Inputs!D25/MAX((Inputs!F25/Inputs!C7),0.000000001),Inputs!C7)-Inputs!C7)^2+(IF(ISNUMBER(Inputs!E25),Inputs!E25/MAX((Inputs!F25/Inputs!C7),0.000000001),0))^2)/((IF(ISNUMBER(Inputs!D25),Inputs!D25/MAX((Inputs!F25/Inputs!C7),0.000000001),Inputs!C7)+Inputs!C7)^2+(IF(ISNUMBER(Inputs!E25),Inputs!E25/MAX((Inputs!F25/Inputs!C7),0.000000001),0))^2)))/(1-SQRT(((IF(ISNUMBER(Inputs!D25),Inputs!D25/MAX((Inputs!F25/Inputs!C7),0.000000001),Inputs!C7)-Inputs!C7)^2+(IF(ISNUMBER(Inputs!E25),Inputs!E25/MAX((Inputs!F25/Inputs!C7),0.000000001),0))^2)/((IF(ISNUMBER(Inputs!D25),Inputs!D25/MAX((Inputs!F25/Inputs!C7),0.000000001),Inputs!C7)+Inputs!C7)^2+(IF(ISNUMBER(Inputs!E25),Inputs!E25/MAX((Inputs!F25/Inputs!C7),0.000000001),0))^2))),999),"")</f>
        <v/>
      </c>
      <c r="G17" s="42" t="str">
        <f aca="false">IF(Inputs!F25&lt;&gt;"",IFERROR(-20*LOG10(MAX(SQRT(((IF(ISNUMBER(Inputs!D25),Inputs!D25/MAX((Inputs!F25/Inputs!C7),0.000000001),Inputs!C7)-Inputs!C7)^2+(IF(ISNUMBER(Inputs!E25),Inputs!E25/MAX((Inputs!F25/Inputs!C7),0.000000001),0))^2)/((IF(ISNUMBER(Inputs!D25),Inputs!D25/MAX((Inputs!F25/Inputs!C7),0.000000001),Inputs!C7)+Inputs!C7)^2+(IF(ISNUMBER(Inputs!E25),Inputs!E25/MAX((Inputs!F25/Inputs!C7),0.000000001),0))^2)),0.000000001)),0),"")</f>
        <v/>
      </c>
      <c r="H17" s="43" t="str">
        <f aca="false">IF(Inputs!F25&lt;&gt;"",IFERROR(MAX(0,-10*LOG10(1-((IF(ISNUMBER(Inputs!D25),Inputs!D25/MAX((Inputs!F25/Inputs!C7),0.000000001),Inputs!C7)-Inputs!C7)^2+(IF(ISNUMBER(Inputs!E25),Inputs!E25/MAX((Inputs!F25/Inputs!C7),0.000000001),0))^2)/((IF(ISNUMBER(Inputs!D25),Inputs!D25/MAX((Inputs!F25/Inputs!C7),0.000000001),Inputs!C7)+Inputs!C7)^2+(IF(ISNUMBER(Inputs!E25),Inputs!E25/MAX((Inputs!F25/Inputs!C7),0.000000001),0))^2)))+0,0),"")</f>
        <v/>
      </c>
      <c r="I17" s="43" t="str">
        <f aca="false">IF(Inputs!F25&lt;&gt;"",IFERROR(((IF(ISNUMBER(Inputs!D25),Inputs!D25/MAX((Inputs!F25/Inputs!C7),0.000000001),Inputs!C7)-Inputs!C7)^2+(IF(ISNUMBER(Inputs!E25),Inputs!E25/MAX((Inputs!F25/Inputs!C7),0.000000001),0))^2)/((IF(ISNUMBER(Inputs!D25),Inputs!D25/MAX((Inputs!F25/Inputs!C7),0.000000001),Inputs!C7)+Inputs!C7)^2+(IF(ISNUMBER(Inputs!E25),Inputs!E25/MAX((Inputs!F25/Inputs!C7),0.000000001),0))^2)*100,0),"")</f>
        <v/>
      </c>
    </row>
    <row r="19" customFormat="false" ht="15" hidden="false" customHeight="true" outlineLevel="0" collapsed="false">
      <c r="B19" s="32" t="s">
        <v>107</v>
      </c>
      <c r="C19" s="32"/>
      <c r="D19" s="32"/>
      <c r="E19" s="32"/>
      <c r="F19" s="32"/>
      <c r="G19" s="32"/>
      <c r="H19" s="32"/>
      <c r="I19" s="32"/>
    </row>
    <row r="20" customFormat="false" ht="15" hidden="false" customHeight="true" outlineLevel="0" collapsed="false">
      <c r="B20" s="44" t="s">
        <v>108</v>
      </c>
      <c r="C20" s="44"/>
      <c r="D20" s="44"/>
      <c r="E20" s="44"/>
      <c r="F20" s="44"/>
      <c r="G20" s="44"/>
      <c r="H20" s="44"/>
      <c r="I20" s="44"/>
    </row>
    <row r="21" customFormat="false" ht="15" hidden="false" customHeight="true" outlineLevel="0" collapsed="false">
      <c r="B21" s="44" t="s">
        <v>109</v>
      </c>
      <c r="C21" s="44"/>
      <c r="D21" s="44"/>
      <c r="E21" s="44"/>
      <c r="F21" s="44"/>
      <c r="G21" s="44"/>
      <c r="H21" s="44"/>
      <c r="I21" s="44"/>
    </row>
    <row r="22" customFormat="false" ht="15" hidden="false" customHeight="true" outlineLevel="0" collapsed="false">
      <c r="B22" s="44" t="s">
        <v>110</v>
      </c>
      <c r="C22" s="44"/>
      <c r="D22" s="44"/>
      <c r="E22" s="44"/>
      <c r="F22" s="44"/>
      <c r="G22" s="44"/>
      <c r="H22" s="44"/>
      <c r="I22" s="44"/>
    </row>
    <row r="23" customFormat="false" ht="15" hidden="false" customHeight="true" outlineLevel="0" collapsed="false">
      <c r="B23" s="44" t="s">
        <v>111</v>
      </c>
      <c r="C23" s="44"/>
      <c r="D23" s="44"/>
      <c r="E23" s="44"/>
      <c r="F23" s="44"/>
      <c r="G23" s="44"/>
      <c r="H23" s="44"/>
      <c r="I23" s="44"/>
    </row>
    <row r="24" customFormat="false" ht="15" hidden="false" customHeight="true" outlineLevel="0" collapsed="false">
      <c r="B24" s="44" t="s">
        <v>112</v>
      </c>
      <c r="C24" s="44"/>
      <c r="D24" s="44"/>
      <c r="E24" s="44"/>
      <c r="F24" s="44"/>
      <c r="G24" s="44"/>
      <c r="H24" s="44"/>
      <c r="I24" s="44"/>
    </row>
    <row r="25" customFormat="false" ht="15" hidden="false" customHeight="true" outlineLevel="0" collapsed="false">
      <c r="B25" s="44" t="s">
        <v>113</v>
      </c>
      <c r="C25" s="44"/>
      <c r="D25" s="44"/>
      <c r="E25" s="44"/>
      <c r="F25" s="44"/>
      <c r="G25" s="44"/>
      <c r="H25" s="44"/>
      <c r="I25" s="44"/>
    </row>
    <row r="26" customFormat="false" ht="15" hidden="false" customHeight="true" outlineLevel="0" collapsed="false">
      <c r="B26" s="44" t="s">
        <v>114</v>
      </c>
      <c r="C26" s="44"/>
      <c r="D26" s="44"/>
      <c r="E26" s="44"/>
      <c r="F26" s="44"/>
      <c r="G26" s="44"/>
      <c r="H26" s="44"/>
      <c r="I26" s="44"/>
    </row>
  </sheetData>
  <mergeCells count="11">
    <mergeCell ref="B2:I2"/>
    <mergeCell ref="B3:I3"/>
    <mergeCell ref="B5:I5"/>
    <mergeCell ref="B19:I19"/>
    <mergeCell ref="B20:I20"/>
    <mergeCell ref="B21:I21"/>
    <mergeCell ref="B22:I22"/>
    <mergeCell ref="B23:I23"/>
    <mergeCell ref="B24:I24"/>
    <mergeCell ref="B25:I25"/>
    <mergeCell ref="B26:I26"/>
  </mergeCells>
  <conditionalFormatting sqref="F7 F8 F9 F10 F11 F12 F13 F14 F15 F16 F17">
    <cfRule type="cellIs" priority="2" operator="lessThanOrEqual" aboveAverage="0" equalAverage="0" bottom="0" percent="0" rank="0" text="" dxfId="0">
      <formula>2</formula>
    </cfRule>
    <cfRule type="cellIs" priority="3" operator="greaterThan" aboveAverage="0" equalAverage="0" bottom="0" percent="0" rank="0" text="" dxfId="1">
      <formula>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1"/>
  <sheetViews>
    <sheetView showFormulas="false" showGridLines="fals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F28" activeCellId="0" sqref="F2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15.32"/>
    <col collapsed="false" customWidth="true" hidden="false" outlineLevel="0" max="4" min="4" style="1" width="9.18"/>
    <col collapsed="false" customWidth="true" hidden="false" outlineLevel="0" max="6" min="5" style="1" width="22"/>
    <col collapsed="false" customWidth="true" hidden="false" outlineLevel="0" max="7" min="7" style="1" width="9.52"/>
    <col collapsed="false" customWidth="false" hidden="false" outlineLevel="0" max="16384" min="8" style="1" width="8.68"/>
  </cols>
  <sheetData>
    <row r="2" customFormat="false" ht="15" hidden="false" customHeight="true" outlineLevel="0" collapsed="false">
      <c r="B2" s="2" t="s">
        <v>115</v>
      </c>
      <c r="C2" s="2"/>
      <c r="D2" s="2"/>
      <c r="E2" s="2"/>
      <c r="F2" s="2"/>
      <c r="G2" s="2"/>
    </row>
    <row r="3" customFormat="false" ht="15" hidden="false" customHeight="true" outlineLevel="0" collapsed="false">
      <c r="B3" s="3" t="s">
        <v>116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4" t="s">
        <v>117</v>
      </c>
      <c r="C5" s="4"/>
      <c r="D5" s="4"/>
      <c r="E5" s="4"/>
      <c r="F5" s="4"/>
      <c r="G5" s="4"/>
    </row>
    <row r="6" customFormat="false" ht="15" hidden="false" customHeight="true" outlineLevel="0" collapsed="false">
      <c r="B6" s="10" t="s">
        <v>30</v>
      </c>
      <c r="C6" s="10" t="s">
        <v>31</v>
      </c>
      <c r="D6" s="10" t="s">
        <v>32</v>
      </c>
      <c r="E6" s="10" t="s">
        <v>118</v>
      </c>
      <c r="F6" s="10"/>
      <c r="G6" s="10"/>
    </row>
    <row r="7" customFormat="false" ht="15" hidden="false" customHeight="true" outlineLevel="0" collapsed="false">
      <c r="B7" s="20" t="s">
        <v>119</v>
      </c>
      <c r="C7" s="21" t="n">
        <f aca="false">Inputs!C10</f>
        <v>16</v>
      </c>
      <c r="D7" s="22" t="s">
        <v>8</v>
      </c>
      <c r="E7" s="23" t="s">
        <v>120</v>
      </c>
      <c r="F7" s="23"/>
      <c r="G7" s="23"/>
    </row>
    <row r="8" customFormat="false" ht="15" hidden="false" customHeight="true" outlineLevel="0" collapsed="false">
      <c r="B8" s="20" t="s">
        <v>121</v>
      </c>
      <c r="C8" s="21" t="n">
        <f aca="false">Inputs!C9</f>
        <v>0.45</v>
      </c>
      <c r="D8" s="22" t="s">
        <v>8</v>
      </c>
      <c r="E8" s="23" t="s">
        <v>122</v>
      </c>
      <c r="F8" s="23"/>
      <c r="G8" s="23"/>
    </row>
    <row r="9" customFormat="false" ht="15" hidden="false" customHeight="true" outlineLevel="0" collapsed="false">
      <c r="B9" s="20" t="s">
        <v>123</v>
      </c>
      <c r="C9" s="21" t="n">
        <f aca="false">MAX(Inputs!C9*1.1,Inputs!C9+0.05)</f>
        <v>0.5</v>
      </c>
      <c r="D9" s="22" t="s">
        <v>8</v>
      </c>
      <c r="E9" s="23" t="s">
        <v>124</v>
      </c>
      <c r="F9" s="23"/>
      <c r="G9" s="23"/>
    </row>
    <row r="10" customFormat="false" ht="15" hidden="false" customHeight="true" outlineLevel="0" collapsed="false">
      <c r="B10" s="20" t="s">
        <v>125</v>
      </c>
      <c r="C10" s="29" t="n">
        <f aca="false">IFERROR(IF('Winding Design'!E31&lt;&gt;"",VALUE('Winding Design'!E31),10),10)</f>
        <v>80</v>
      </c>
      <c r="D10" s="22" t="s">
        <v>10</v>
      </c>
      <c r="E10" s="23" t="s">
        <v>126</v>
      </c>
      <c r="F10" s="23"/>
      <c r="G10" s="23"/>
    </row>
    <row r="12" customFormat="false" ht="15" hidden="false" customHeight="true" outlineLevel="0" collapsed="false">
      <c r="B12" s="4" t="s">
        <v>127</v>
      </c>
      <c r="C12" s="4"/>
      <c r="D12" s="4"/>
      <c r="E12" s="4"/>
      <c r="F12" s="4"/>
      <c r="G12" s="4"/>
    </row>
    <row r="13" customFormat="false" ht="15" hidden="false" customHeight="true" outlineLevel="0" collapsed="false">
      <c r="B13" s="10" t="s">
        <v>30</v>
      </c>
      <c r="C13" s="10" t="s">
        <v>31</v>
      </c>
      <c r="D13" s="10" t="s">
        <v>32</v>
      </c>
      <c r="E13" s="10" t="s">
        <v>128</v>
      </c>
      <c r="F13" s="10"/>
      <c r="G13" s="10"/>
    </row>
    <row r="14" customFormat="false" ht="15" hidden="false" customHeight="true" outlineLevel="0" collapsed="false">
      <c r="B14" s="20" t="s">
        <v>129</v>
      </c>
      <c r="C14" s="45" t="n">
        <f aca="false">IFERROR(C10*C9,"")</f>
        <v>40</v>
      </c>
      <c r="D14" s="22" t="s">
        <v>8</v>
      </c>
      <c r="E14" s="23" t="s">
        <v>130</v>
      </c>
      <c r="F14" s="23"/>
      <c r="G14" s="23"/>
    </row>
    <row r="15" customFormat="false" ht="15" hidden="false" customHeight="true" outlineLevel="0" collapsed="false">
      <c r="B15" s="20" t="s">
        <v>131</v>
      </c>
      <c r="C15" s="45" t="n">
        <f aca="false">(C7+C8)/2</f>
        <v>8.225</v>
      </c>
      <c r="D15" s="22" t="s">
        <v>8</v>
      </c>
      <c r="E15" s="23" t="s">
        <v>132</v>
      </c>
      <c r="F15" s="23"/>
      <c r="G15" s="23"/>
    </row>
    <row r="16" customFormat="false" ht="15" hidden="false" customHeight="true" outlineLevel="0" collapsed="false">
      <c r="B16" s="20" t="s">
        <v>133</v>
      </c>
      <c r="C16" s="45" t="n">
        <f aca="false">((C7+C8)/2)/25.4</f>
        <v>0.323818897637795</v>
      </c>
      <c r="D16" s="22" t="s">
        <v>134</v>
      </c>
      <c r="E16" s="23" t="s">
        <v>135</v>
      </c>
      <c r="F16" s="23"/>
      <c r="G16" s="23"/>
    </row>
    <row r="17" customFormat="false" ht="15" hidden="false" customHeight="true" outlineLevel="0" collapsed="false">
      <c r="B17" s="20" t="s">
        <v>136</v>
      </c>
      <c r="C17" s="45" t="n">
        <f aca="false">IFERROR(C10*C9/25.4,"")</f>
        <v>1.5748031496063</v>
      </c>
      <c r="D17" s="22" t="s">
        <v>134</v>
      </c>
      <c r="E17" s="23" t="s">
        <v>135</v>
      </c>
      <c r="F17" s="23"/>
      <c r="G17" s="23"/>
    </row>
    <row r="18" customFormat="false" ht="15" hidden="false" customHeight="true" outlineLevel="0" collapsed="false">
      <c r="B18" s="20" t="s">
        <v>137</v>
      </c>
      <c r="C18" s="45" t="n">
        <f aca="false">IFERROR((C16^2*C10^2)/(9*C16+10*C17),"")</f>
        <v>35.9597632438237</v>
      </c>
      <c r="D18" s="22" t="s">
        <v>15</v>
      </c>
      <c r="E18" s="23" t="s">
        <v>138</v>
      </c>
      <c r="F18" s="23"/>
      <c r="G18" s="23"/>
    </row>
    <row r="19" customFormat="false" ht="15" hidden="false" customHeight="true" outlineLevel="0" collapsed="false">
      <c r="B19" s="20" t="s">
        <v>139</v>
      </c>
      <c r="C19" s="45" t="n">
        <f aca="false">IFERROR(2*PI()*Inputs!C8*1000000*C18/1000000,"")</f>
        <v>1626.7813636554</v>
      </c>
      <c r="D19" s="22" t="s">
        <v>4</v>
      </c>
      <c r="E19" s="23" t="s">
        <v>140</v>
      </c>
      <c r="F19" s="23"/>
      <c r="G19" s="23"/>
    </row>
    <row r="20" customFormat="false" ht="15" hidden="false" customHeight="true" outlineLevel="0" collapsed="false">
      <c r="B20" s="20" t="s">
        <v>141</v>
      </c>
      <c r="C20" s="45" t="n">
        <f aca="false">IFERROR(4*MIN(Inputs!F15:F25)/(2*PI()*Inputs!C8*1000000)*1000000,"")</f>
        <v>17.6838825657662</v>
      </c>
      <c r="D20" s="22" t="s">
        <v>15</v>
      </c>
      <c r="E20" s="23" t="s">
        <v>142</v>
      </c>
      <c r="F20" s="23"/>
      <c r="G20" s="23"/>
    </row>
    <row r="21" customFormat="false" ht="15" hidden="false" customHeight="true" outlineLevel="0" collapsed="false">
      <c r="B21" s="20" t="s">
        <v>143</v>
      </c>
      <c r="C21" s="45" t="str">
        <f aca="false">IFERROR(IF(AND(ISNUMBER(C18),ISNUMBER(C20)),IF(C18&gt;=C20,"✔ YES","✘ INCREASE TURNS"),"—"),"")</f>
        <v>✔ YES</v>
      </c>
      <c r="D21" s="22" t="s">
        <v>71</v>
      </c>
      <c r="E21" s="23" t="s">
        <v>144</v>
      </c>
      <c r="F21" s="23"/>
      <c r="G21" s="23"/>
    </row>
  </sheetData>
  <mergeCells count="18">
    <mergeCell ref="B2:G2"/>
    <mergeCell ref="B3:G3"/>
    <mergeCell ref="B5:G5"/>
    <mergeCell ref="E6:G6"/>
    <mergeCell ref="E7:G7"/>
    <mergeCell ref="E8:G8"/>
    <mergeCell ref="E9:G9"/>
    <mergeCell ref="E10:G10"/>
    <mergeCell ref="B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</mergeCells>
  <conditionalFormatting sqref="C21">
    <cfRule type="cellIs" priority="2" operator="equal" aboveAverage="0" equalAverage="0" bottom="0" percent="0" rank="0" text="" dxfId="0">
      <formula>"✔ YES"</formula>
    </cfRule>
    <cfRule type="cellIs" priority="3" operator="equal" aboveAverage="0" equalAverage="0" bottom="0" percent="0" rank="0" text="" dxfId="1">
      <formula>"✘ INCREASE TURNS"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2026-05-29T21:39:04Z</dcterms:created>
  <dc:creator>openpyxl</dc:creator>
  <dc:description/>
  <dc:language>en-US</dc:language>
  <cp:lastModifiedBy/>
  <dcterms:modified xsi:type="dcterms:W3CDTF">2026-05-29T23:11:55Z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