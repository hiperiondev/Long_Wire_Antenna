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Un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<sst xmlns="http://schemas.openxmlformats.org/spreadsheetml/2006/main" count="138" uniqueCount="108">
  <si>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</si>
  <si>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</si>
  <si>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</si>
  <si>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</si>
  <si>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</si>
  <si>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</si>
  <si>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</si>
  <si>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</si>
  <si>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Ω</t>
  </si>
  <si>
    <t xml:space="preserve">Fixed 50Ω output (e.g. coax / transmatch)</t>
  </si>
  <si>
    <t xml:space="preserve">Wire Diameter (mm)</t>
  </si>
  <si>
    <t xml:space="preserve">mm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</si>
  <si>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</si>
  <si>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</si>
  <si>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</si>
  <si>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</si>
  <si>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#</t>
  </si>
  <si>
    <t xml:space="preserve">Enter 1–11  (rows below auto-activate)</t>
  </si>
  <si>
    <t xml:space="preserve">T_ref  (turns at 50Ω tap — user sets or use suggestion below)</t>
  </si>
  <si>
    <t xml:space="preserve">Suggested T_ref (min 5 turns at lowest-Z tap)</t>
  </si>
  <si>
    <t xml:space="preserve">TAP INPUT IMPEDANCES  (enter R + jX per tap, or leave blank for inactive taps)</t>
  </si>
  <si>
    <t xml:space="preserve">Tap #</t>
  </si>
  <si>
    <t xml:space="preserve">Frequency</t>
  </si>
  <si>
    <t xml:space="preserve">R  (Ω)
Resistance</t>
  </si>
  <si>
    <t xml:space="preserve">X  (Ω)
Reactance (+L / −C)</t>
  </si>
  <si>
    <t xml:space="preserve">|Z| (Ω)
Magnitude</t>
  </si>
  <si>
    <t xml:space="preserve">Phase (°)</t>
  </si>
  <si>
    <t xml:space="preserve">Active</t>
  </si>
  <si>
    <t xml:space="preserve">Turns Ratio
n = √(|Z|/Z₀)</t>
  </si>
  <si>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</si>
  <si>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</si>
  <si>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</si>
  <si>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</si>
  <si>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Min. Tap Frequency</t>
  </si>
  <si>
    <t xml:space="preserve">MHz</t>
  </si>
  <si>
    <t xml:space="preserve">Wire Dia.</t>
  </si>
  <si>
    <t xml:space="preserve">T_ref turns</t>
  </si>
  <si>
    <t xml:space="preserve">turns</t>
  </si>
  <si>
    <t xml:space="preserve">Active taps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</si>
  <si>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</si>
  <si>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</si>
  <si>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</si>
  <si>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</si>
  <si>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</si>
  <si>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Frequency (MHz)</t>
  </si>
  <si>
    <t xml:space="preserve">Z_in (Ω)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</si>
  <si>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</si>
  <si>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</si>
  <si>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</si>
  <si>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</si>
  <si>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</si>
  <si>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 —  WINDING DESIGN  ✦</t>
  </si>
  <si>
    <t xml:space="preserve">Tap turn counts, cumulative turns, wire lengths, and DC resistance per section</t>
  </si>
  <si>
    <t xml:space="preserve">PER-TAP WINDING CALCULATIONS</t>
  </si>
  <si>
    <t xml:space="preserve">Turns Ratio n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</si>
  <si>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</si>
  <si>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</si>
  <si>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</si>
  <si>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</si>
  <si>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</si>
  <si>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</si>
  <si>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</si>
  <si>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</si>
  <si>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</si>
  <si>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</si>
  <si>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</si>
  <si>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</si>
  <si>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</si>
  <si>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</si>
  <si>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</si>
  <si>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</si>
  <si>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</si>
  <si>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</si>
  <si>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</si>
  <si>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</si>
  <si>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</si>
  <si>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</si>
  <si>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</si>
  <si>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</si>
  <si>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</si>
  <si>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</si>
  <si>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</si>
  <si>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</si>
  <si>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</si>
  <si>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</si>
  <si>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</si>
  <si>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(from Inputs) + gap; must be ≥ wire dia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</si>
  <si>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</si>
  <si>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</si>
  <si>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</si>
  <si>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</si>
  <si>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</si>
  <si>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(N−1) × pitch + wire_dia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</si>
  <si>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</si>
  <si>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</si>
  <si>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</si>
  <si>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</si>
  <si>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</si>
  <si>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</si>
  <si>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</si>
  <si>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</si>
  <si>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f_min (Ω)</t>
  </si>
  <si>
    <t xml:space="preserve">ωL = 2π·f_min·L  (f_min = lowest active tap)</t>
  </si>
  <si>
    <t xml:space="preserve">Minimum L required (µH)</t>
  </si>
  <si>
    <t xml:space="preserve">X_L ≥ 4×Z_min  →  L_min = 4·Z_min/(2π·f_min)</t>
  </si>
  <si>
    <t xml:space="preserve">L sufficient for lowest tap?</t>
  </si>
  <si>
    <t xml:space="preserve">—</t>
  </si>
  <si>
    <t xml:space="preserve">Compare L vs L_min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</si>
</sst>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#,##0.00;[RED]\-#,##0.00"/>
    <numFmt numFmtId="168" formatCode="0.0\°;[RED]\-0.0\°"/>
    <numFmt numFmtId="169" formatCode="0.000"/>
    <numFmt numFmtId="170" formatCode="#,##0.0"/>
    <numFmt numFmtId="171" formatCode="#,##0.000"/>
    <numFmt numFmtId="172" formatCode="0.00"/>
    <numFmt numFmtId="173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ntarell Light"/>
      <family val="0"/>
      <charset val="1"/>
    </font>
    <font>
      <i val="true"/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i val="true"/>
      <sz val="10"/>
      <color rgb="FF555555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i val="true"/>
      <sz val="10"/>
      <color rgb="FF000000"/>
      <name val="Cantarell Light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2D40"/>
        <bgColor rgb="FF003366"/>
      </patternFill>
    </fill>
    <fill>
      <patternFill patternType="solid">
        <fgColor rgb="FF1F5C8B"/>
        <bgColor rgb="FF008080"/>
      </patternFill>
    </fill>
    <fill>
      <patternFill patternType="solid">
        <fgColor rgb="FFF2F2F2"/>
        <bgColor rgb="FFF0F8FF"/>
      </patternFill>
    </fill>
    <fill>
      <patternFill patternType="solid">
        <fgColor rgb="FFFFF9E6"/>
        <bgColor rgb="FFFFFFFF"/>
      </patternFill>
    </fill>
    <fill>
      <patternFill patternType="solid">
        <fgColor rgb="FFF0F8FF"/>
        <bgColor rgb="FFF2F2F2"/>
      </patternFill>
    </fill>
    <fill>
      <patternFill patternType="solid">
        <fgColor rgb="FFFFFFFF"/>
        <bgColor rgb="FFFFF9E6"/>
      </patternFill>
    </fill>
    <fill>
      <patternFill patternType="solid">
        <fgColor rgb="FFD6E8F5"/>
        <bgColor rgb="FFF2F2F2"/>
      </patternFill>
    </fill>
    <fill>
      <patternFill patternType="solid">
        <fgColor rgb="FFE8A02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6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2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D6E8F5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8FF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8A020"/>
      <rgbColor rgb="FFFF6600"/>
      <rgbColor rgb="FF555555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1A2D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048576"/>
  <sheetViews>
    <sheetView showFormulas="false" showGridLines="fals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F15" activeCellId="0" sqref="F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45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14.3"/>
    <col collapsed="false" customWidth="true" hidden="false" outlineLevel="0" max="5" min="5" style="1" width="22"/>
    <col collapsed="false" customWidth="false" hidden="false" outlineLevel="0" max="6" min="6" style="1" width="8.68"/>
    <col collapsed="false" customWidth="true" hidden="false" outlineLevel="0" max="8" min="7" style="1" width="13"/>
    <col collapsed="false" customWidth="true" hidden="false" outlineLevel="0" max="9" min="9" style="1" width="13.22"/>
    <col collapsed="false" customWidth="true" hidden="false" outlineLevel="0" max="11" min="10" style="1" width="13"/>
    <col collapsed="false" customWidth="false" hidden="false" outlineLevel="0" max="16384" min="12" style="1" width="8.68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/>
      <c r="G6" s="5"/>
      <c r="H6" s="5"/>
      <c r="I6" s="5"/>
    </row>
    <row r="7" customFormat="false" ht="15" hidden="false" customHeight="true" outlineLevel="0" collapsed="false">
      <c r="B7" s="6" t="s">
        <v>7</v>
      </c>
      <c r="C7" s="7" t="n">
        <v>50</v>
      </c>
      <c r="D7" s="8" t="s">
        <v>8</v>
      </c>
      <c r="E7" s="9" t="s">
        <v>9</v>
      </c>
      <c r="F7" s="9"/>
      <c r="G7" s="9"/>
      <c r="H7" s="9"/>
    </row>
    <row r="8" customFormat="false" ht="15" hidden="false" customHeight="true" outlineLevel="0" collapsed="false">
      <c r="B8" s="6" t="s">
        <v>10</v>
      </c>
      <c r="C8" s="7" t="n">
        <v>0.45</v>
      </c>
      <c r="D8" s="8" t="s">
        <v>11</v>
      </c>
      <c r="E8" s="9" t="s">
        <v>12</v>
      </c>
      <c r="F8" s="9"/>
      <c r="G8" s="9"/>
      <c r="H8" s="9"/>
    </row>
    <row r="9" customFormat="false" ht="15" hidden="false" customHeight="true" outlineLevel="0" collapsed="false">
      <c r="B9" s="6" t="s">
        <v>13</v>
      </c>
      <c r="C9" s="7" t="n">
        <v>16</v>
      </c>
      <c r="D9" s="8" t="s">
        <v>11</v>
      </c>
      <c r="E9" s="9" t="s">
        <v>14</v>
      </c>
      <c r="F9" s="9"/>
      <c r="G9" s="9"/>
      <c r="H9" s="9"/>
    </row>
    <row r="10" customFormat="false" ht="15" hidden="false" customHeight="true" outlineLevel="0" collapsed="false">
      <c r="B10" s="6" t="s">
        <v>15</v>
      </c>
      <c r="C10" s="7" t="n">
        <v>4</v>
      </c>
      <c r="D10" s="8" t="s">
        <v>16</v>
      </c>
      <c r="E10" s="9" t="s">
        <v>17</v>
      </c>
      <c r="F10" s="9"/>
      <c r="G10" s="9"/>
      <c r="H10" s="9"/>
    </row>
    <row r="11" customFormat="false" ht="25.5" hidden="false" customHeight="true" outlineLevel="0" collapsed="false">
      <c r="B11" s="10" t="s">
        <v>18</v>
      </c>
      <c r="C11" s="7" t="n">
        <v>20</v>
      </c>
      <c r="D11" s="11" t="n">
        <f aca="false">IFERROR(CEILING(5/MIN(I15:I25),1),5)</f>
        <v>3</v>
      </c>
      <c r="E11" s="12" t="s">
        <v>19</v>
      </c>
      <c r="F11" s="12"/>
      <c r="G11" s="12"/>
      <c r="H11" s="12"/>
      <c r="I11" s="12"/>
    </row>
    <row r="13" customFormat="false" ht="15" hidden="false" customHeight="true" outlineLevel="0" collapsed="false">
      <c r="B13" s="4" t="s">
        <v>20</v>
      </c>
      <c r="C13" s="4"/>
      <c r="D13" s="4"/>
      <c r="E13" s="4"/>
      <c r="F13" s="4"/>
      <c r="G13" s="4"/>
      <c r="H13" s="4"/>
      <c r="I13" s="4"/>
    </row>
    <row r="14" customFormat="false" ht="38.25" hidden="false" customHeight="true" outlineLevel="0" collapsed="false">
      <c r="B14" s="5" t="s">
        <v>21</v>
      </c>
      <c r="C14" s="5" t="s">
        <v>22</v>
      </c>
      <c r="D14" s="5" t="s">
        <v>23</v>
      </c>
      <c r="E14" s="5" t="s">
        <v>24</v>
      </c>
      <c r="F14" s="5" t="s">
        <v>25</v>
      </c>
      <c r="G14" s="5" t="s">
        <v>26</v>
      </c>
      <c r="H14" s="5" t="s">
        <v>27</v>
      </c>
      <c r="I14" s="5" t="s">
        <v>28</v>
      </c>
    </row>
    <row r="15" customFormat="false" ht="15" hidden="false" customHeight="true" outlineLevel="0" collapsed="false">
      <c r="B15" s="13" t="n">
        <v>1</v>
      </c>
      <c r="C15" s="7" t="n">
        <v>7.2</v>
      </c>
      <c r="D15" s="14" t="n">
        <v>200</v>
      </c>
      <c r="E15" s="15" t="n">
        <v>0</v>
      </c>
      <c r="F15" s="16" t="n">
        <f aca="false">IF(AND(ISNUMBER(D15),D15&gt;0),SQRT(D15^2+IF(ISNUMBER(E15),E15,0)^2),"")</f>
        <v>200</v>
      </c>
      <c r="G15" s="17" t="n">
        <f aca="false">IF(AND(ISNUMBER(D15),D15&gt;0),IFERROR(DEGREES(ATAN2(D15,IF(ISNUMBER(E15),E15,0))),""),"")</f>
        <v>0</v>
      </c>
      <c r="H15" s="18" t="str">
        <f aca="false">IF(AND(ISNUMBER(D15),D15&gt;0),IF(1&lt;=$C$10,"YES","—"),"—")</f>
        <v>YES</v>
      </c>
      <c r="I15" s="19" t="n">
        <f aca="false">IF(F15&lt;&gt;"",SQRT(F15/MAX($C$7,0.000000001)),"")</f>
        <v>2</v>
      </c>
    </row>
    <row r="16" customFormat="false" ht="15" hidden="false" customHeight="true" outlineLevel="0" collapsed="false">
      <c r="B16" s="20" t="n">
        <v>2</v>
      </c>
      <c r="C16" s="7" t="n">
        <v>10</v>
      </c>
      <c r="D16" s="14" t="n">
        <v>300</v>
      </c>
      <c r="E16" s="15" t="n">
        <v>100</v>
      </c>
      <c r="F16" s="16" t="n">
        <f aca="false">IF(AND(ISNUMBER(D16),D16&gt;0),SQRT(D16^2+IF(ISNUMBER(E16),E16,0)^2),"")</f>
        <v>316.227766016838</v>
      </c>
      <c r="G16" s="17" t="n">
        <f aca="false">IF(AND(ISNUMBER(D16),D16&gt;0),IFERROR(DEGREES(ATAN2(D16,IF(ISNUMBER(E16),E16,0))),""),"")</f>
        <v>18.434948822922</v>
      </c>
      <c r="H16" s="18" t="str">
        <f aca="false">IF(AND(ISNUMBER(D16),D16&gt;0),IF(2&lt;=$C$10,"YES","—"),"—")</f>
        <v>YES</v>
      </c>
      <c r="I16" s="19" t="n">
        <f aca="false">IF(F16&lt;&gt;"",SQRT(F16/MAX($C$7,0.000000001)),"")</f>
        <v>2.51486685936587</v>
      </c>
    </row>
    <row r="17" customFormat="false" ht="15" hidden="false" customHeight="true" outlineLevel="0" collapsed="false">
      <c r="B17" s="13" t="n">
        <v>3</v>
      </c>
      <c r="C17" s="7" t="n">
        <v>18</v>
      </c>
      <c r="D17" s="14" t="n">
        <v>450</v>
      </c>
      <c r="E17" s="15" t="n">
        <v>-80</v>
      </c>
      <c r="F17" s="16" t="n">
        <f aca="false">IF(AND(ISNUMBER(D17),D17&gt;0),SQRT(D17^2+IF(ISNUMBER(E17),E17,0)^2),"")</f>
        <v>457.055795281058</v>
      </c>
      <c r="G17" s="17" t="n">
        <f aca="false">IF(AND(ISNUMBER(D17),D17&gt;0),IFERROR(DEGREES(ATAN2(D17,IF(ISNUMBER(E17),E17,0))),""),"")</f>
        <v>-10.0805979875423</v>
      </c>
      <c r="H17" s="18" t="str">
        <f aca="false">IF(AND(ISNUMBER(D17),D17&gt;0),IF(3&lt;=$C$10,"YES","—"),"—")</f>
        <v>YES</v>
      </c>
      <c r="I17" s="19" t="n">
        <f aca="false">IF(F17&lt;&gt;"",SQRT(F17/MAX($C$7,0.000000001)),"")</f>
        <v>3.02342784031985</v>
      </c>
    </row>
    <row r="18" customFormat="false" ht="15" hidden="false" customHeight="true" outlineLevel="0" collapsed="false">
      <c r="B18" s="20" t="n">
        <v>4</v>
      </c>
      <c r="C18" s="7" t="n">
        <v>28</v>
      </c>
      <c r="D18" s="14" t="n">
        <v>800</v>
      </c>
      <c r="E18" s="15" t="n">
        <v>0</v>
      </c>
      <c r="F18" s="16" t="n">
        <f aca="false">IF(AND(ISNUMBER(D18),D18&gt;0),SQRT(D18^2+IF(ISNUMBER(E18),E18,0)^2),"")</f>
        <v>800</v>
      </c>
      <c r="G18" s="17" t="n">
        <f aca="false">IF(AND(ISNUMBER(D18),D18&gt;0),IFERROR(DEGREES(ATAN2(D18,IF(ISNUMBER(E18),E18,0))),""),"")</f>
        <v>0</v>
      </c>
      <c r="H18" s="18" t="str">
        <f aca="false">IF(AND(ISNUMBER(D18),D18&gt;0),IF(4&lt;=$C$10,"YES","—"),"—")</f>
        <v>YES</v>
      </c>
      <c r="I18" s="19" t="n">
        <f aca="false">IF(F18&lt;&gt;"",SQRT(F18/MAX($C$7,0.000000001)),"")</f>
        <v>4</v>
      </c>
    </row>
    <row r="19" customFormat="false" ht="15" hidden="false" customHeight="true" outlineLevel="0" collapsed="false">
      <c r="B19" s="13" t="n">
        <v>5</v>
      </c>
      <c r="C19" s="7"/>
      <c r="D19" s="14"/>
      <c r="E19" s="15"/>
      <c r="F19" s="16" t="str">
        <f aca="false">IF(AND(ISNUMBER(D19),D19&gt;0),SQRT(D19^2+IF(ISNUMBER(E19),E19,0)^2),"")</f>
        <v/>
      </c>
      <c r="G19" s="17" t="str">
        <f aca="false">IF(AND(ISNUMBER(D19),D19&gt;0),IFERROR(DEGREES(ATAN2(D19,IF(ISNUMBER(E19),E19,0))),""),"")</f>
        <v/>
      </c>
      <c r="H19" s="18" t="str">
        <f aca="false">IF(AND(ISNUMBER(D19),D19&gt;0),IF(5&lt;=$C$10,"YES","—"),"—")</f>
        <v>—</v>
      </c>
      <c r="I19" s="19" t="str">
        <f aca="false">IF(F19&lt;&gt;"",SQRT(F19/MAX($C$7,0.000000001)),"")</f>
        <v/>
      </c>
    </row>
    <row r="20" customFormat="false" ht="15" hidden="false" customHeight="true" outlineLevel="0" collapsed="false">
      <c r="B20" s="20" t="n">
        <v>6</v>
      </c>
      <c r="C20" s="7"/>
      <c r="D20" s="14"/>
      <c r="E20" s="15"/>
      <c r="F20" s="16" t="str">
        <f aca="false">IF(AND(ISNUMBER(D20),D20&gt;0),SQRT(D20^2+IF(ISNUMBER(E20),E20,0)^2),"")</f>
        <v/>
      </c>
      <c r="G20" s="17" t="str">
        <f aca="false">IF(AND(ISNUMBER(D20),D20&gt;0),IFERROR(DEGREES(ATAN2(D20,IF(ISNUMBER(E20),E20,0))),""),"")</f>
        <v/>
      </c>
      <c r="H20" s="18" t="str">
        <f aca="false">IF(AND(ISNUMBER(D20),D20&gt;0),IF(6&lt;=$C$10,"YES","—"),"—")</f>
        <v>—</v>
      </c>
      <c r="I20" s="19" t="str">
        <f aca="false">IF(F20&lt;&gt;"",SQRT(F20/MAX($C$7,0.000000001)),"")</f>
        <v/>
      </c>
    </row>
    <row r="21" customFormat="false" ht="15" hidden="false" customHeight="true" outlineLevel="0" collapsed="false">
      <c r="B21" s="13" t="n">
        <v>7</v>
      </c>
      <c r="C21" s="7"/>
      <c r="D21" s="14"/>
      <c r="E21" s="15"/>
      <c r="F21" s="16" t="str">
        <f aca="false">IF(AND(ISNUMBER(D21),D21&gt;0),SQRT(D21^2+IF(ISNUMBER(E21),E21,0)^2),"")</f>
        <v/>
      </c>
      <c r="G21" s="17" t="str">
        <f aca="false">IF(AND(ISNUMBER(D21),D21&gt;0),IFERROR(DEGREES(ATAN2(D21,IF(ISNUMBER(E21),E21,0))),""),"")</f>
        <v/>
      </c>
      <c r="H21" s="18" t="str">
        <f aca="false">IF(AND(ISNUMBER(D21),D21&gt;0),IF(7&lt;=$C$10,"YES","—"),"—")</f>
        <v>—</v>
      </c>
      <c r="I21" s="19" t="str">
        <f aca="false">IF(F21&lt;&gt;"",SQRT(F21/MAX($C$7,0.000000001)),"")</f>
        <v/>
      </c>
    </row>
    <row r="22" customFormat="false" ht="15" hidden="false" customHeight="true" outlineLevel="0" collapsed="false">
      <c r="B22" s="20" t="n">
        <v>8</v>
      </c>
      <c r="C22" s="7"/>
      <c r="D22" s="14"/>
      <c r="E22" s="15"/>
      <c r="F22" s="16" t="str">
        <f aca="false">IF(AND(ISNUMBER(D22),D22&gt;0),SQRT(D22^2+IF(ISNUMBER(E22),E22,0)^2),"")</f>
        <v/>
      </c>
      <c r="G22" s="17" t="str">
        <f aca="false">IF(AND(ISNUMBER(D22),D22&gt;0),IFERROR(DEGREES(ATAN2(D22,IF(ISNUMBER(E22),E22,0))),""),"")</f>
        <v/>
      </c>
      <c r="H22" s="18" t="str">
        <f aca="false">IF(AND(ISNUMBER(D22),D22&gt;0),IF(8&lt;=$C$10,"YES","—"),"—")</f>
        <v>—</v>
      </c>
      <c r="I22" s="19" t="str">
        <f aca="false">IF(F22&lt;&gt;"",SQRT(F22/MAX($C$7,0.000000001)),"")</f>
        <v/>
      </c>
    </row>
    <row r="23" customFormat="false" ht="15" hidden="false" customHeight="true" outlineLevel="0" collapsed="false">
      <c r="B23" s="13" t="n">
        <v>9</v>
      </c>
      <c r="C23" s="7"/>
      <c r="D23" s="14"/>
      <c r="E23" s="15"/>
      <c r="F23" s="16" t="str">
        <f aca="false">IF(AND(ISNUMBER(D23),D23&gt;0),SQRT(D23^2+IF(ISNUMBER(E23),E23,0)^2),"")</f>
        <v/>
      </c>
      <c r="G23" s="17" t="str">
        <f aca="false">IF(AND(ISNUMBER(D23),D23&gt;0),IFERROR(DEGREES(ATAN2(D23,IF(ISNUMBER(E23),E23,0))),""),"")</f>
        <v/>
      </c>
      <c r="H23" s="18" t="str">
        <f aca="false">IF(AND(ISNUMBER(D23),D23&gt;0),IF(9&lt;=$C$10,"YES","—"),"—")</f>
        <v>—</v>
      </c>
      <c r="I23" s="19" t="str">
        <f aca="false">IF(F23&lt;&gt;"",SQRT(F23/MAX($C$7,0.000000001)),"")</f>
        <v/>
      </c>
    </row>
    <row r="24" customFormat="false" ht="15" hidden="false" customHeight="true" outlineLevel="0" collapsed="false">
      <c r="B24" s="20" t="n">
        <v>10</v>
      </c>
      <c r="C24" s="7"/>
      <c r="D24" s="14"/>
      <c r="E24" s="15"/>
      <c r="F24" s="16" t="str">
        <f aca="false">IF(AND(ISNUMBER(D24),D24&gt;0),SQRT(D24^2+IF(ISNUMBER(E24),E24,0)^2),"")</f>
        <v/>
      </c>
      <c r="G24" s="17" t="str">
        <f aca="false">IF(AND(ISNUMBER(D24),D24&gt;0),IFERROR(DEGREES(ATAN2(D24,IF(ISNUMBER(E24),E24,0))),""),"")</f>
        <v/>
      </c>
      <c r="H24" s="18" t="str">
        <f aca="false">IF(AND(ISNUMBER(D24),D24&gt;0),IF(10&lt;=$C$10,"YES","—"),"—")</f>
        <v>—</v>
      </c>
      <c r="I24" s="19" t="str">
        <f aca="false">IF(F24&lt;&gt;"",SQRT(F24/MAX($C$7,0.000000001)),"")</f>
        <v/>
      </c>
    </row>
    <row r="25" customFormat="false" ht="15" hidden="false" customHeight="true" outlineLevel="0" collapsed="false">
      <c r="B25" s="13" t="n">
        <v>11</v>
      </c>
      <c r="C25" s="7"/>
      <c r="D25" s="14"/>
      <c r="E25" s="15"/>
      <c r="F25" s="16" t="str">
        <f aca="false">IF(AND(ISNUMBER(D25),D25&gt;0),SQRT(D25^2+IF(ISNUMBER(E25),E25,0)^2),"")</f>
        <v/>
      </c>
      <c r="G25" s="17" t="str">
        <f aca="false">IF(AND(ISNUMBER(D25),D25&gt;0),IFERROR(DEGREES(ATAN2(D25,IF(ISNUMBER(E25),E25,0))),""),"")</f>
        <v/>
      </c>
      <c r="H25" s="18" t="str">
        <f aca="false">IF(AND(ISNUMBER(D25),D25&gt;0),IF(11&lt;=$C$10,"YES","—"),"—")</f>
        <v>—</v>
      </c>
      <c r="I25" s="19" t="str">
        <f aca="false">IF(F25&lt;&gt;"",SQRT(F25/MAX($C$7,0.000000001)),"")</f>
        <v/>
      </c>
    </row>
    <row r="27" customFormat="false" ht="15" hidden="false" customHeight="true" outlineLevel="0" collapsed="false">
      <c r="B27" s="2" t="s">
        <v>29</v>
      </c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true" outlineLevel="0" collapsed="false">
      <c r="B28" s="3" t="s">
        <v>30</v>
      </c>
      <c r="C28" s="3"/>
      <c r="D28" s="3"/>
      <c r="E28" s="3"/>
      <c r="F28" s="3"/>
      <c r="G28" s="3"/>
      <c r="H28" s="3"/>
      <c r="I28" s="3"/>
      <c r="J28" s="3"/>
    </row>
    <row r="30" customFormat="false" ht="15" hidden="false" customHeight="true" outlineLevel="0" collapsed="false">
      <c r="B30" s="4" t="s">
        <v>31</v>
      </c>
      <c r="C30" s="4"/>
      <c r="D30" s="4"/>
    </row>
    <row r="31" customFormat="false" ht="15" hidden="false" customHeight="true" outlineLevel="0" collapsed="false">
      <c r="B31" s="12" t="s">
        <v>32</v>
      </c>
      <c r="C31" s="21" t="n">
        <f aca="false">C7</f>
        <v>50</v>
      </c>
      <c r="D31" s="22" t="s">
        <v>8</v>
      </c>
    </row>
    <row r="32" customFormat="false" ht="15" hidden="false" customHeight="true" outlineLevel="0" collapsed="false">
      <c r="B32" s="12" t="s">
        <v>33</v>
      </c>
      <c r="C32" s="21" t="n">
        <f aca="false">IFERROR(aggregate(15,6,C15:C25*(1/(H15:H25="YES")),1),MIN(C15:C25))</f>
        <v>7.2</v>
      </c>
      <c r="D32" s="22" t="s">
        <v>34</v>
      </c>
    </row>
    <row r="33" customFormat="false" ht="15" hidden="false" customHeight="true" outlineLevel="0" collapsed="false">
      <c r="B33" s="12" t="s">
        <v>35</v>
      </c>
      <c r="C33" s="21" t="n">
        <f aca="false">C8</f>
        <v>0.45</v>
      </c>
      <c r="D33" s="22" t="s">
        <v>11</v>
      </c>
    </row>
    <row r="34" customFormat="false" ht="15" hidden="false" customHeight="true" outlineLevel="0" collapsed="false">
      <c r="B34" s="12" t="s">
        <v>36</v>
      </c>
      <c r="C34" s="21" t="n">
        <f aca="false">C11</f>
        <v>20</v>
      </c>
      <c r="D34" s="22" t="s">
        <v>37</v>
      </c>
    </row>
    <row r="35" customFormat="false" ht="15" hidden="false" customHeight="true" outlineLevel="0" collapsed="false">
      <c r="B35" s="12" t="s">
        <v>38</v>
      </c>
      <c r="C35" s="21" t="n">
        <f aca="false">C10</f>
        <v>4</v>
      </c>
      <c r="D35" s="22" t="s">
        <v>16</v>
      </c>
    </row>
    <row r="36" customFormat="false" ht="15" hidden="false" customHeight="true" outlineLevel="0" collapsed="false">
      <c r="B36" s="12" t="s">
        <v>39</v>
      </c>
      <c r="C36" s="23" t="n">
        <f aca="false">I71</f>
        <v>4134.33593212417</v>
      </c>
      <c r="D36" s="22" t="s">
        <v>11</v>
      </c>
    </row>
    <row r="37" customFormat="false" ht="15" hidden="false" customHeight="true" outlineLevel="0" collapsed="false">
      <c r="B37" s="12" t="s">
        <v>40</v>
      </c>
      <c r="C37" s="24" t="n">
        <f aca="false">IFERROR(C115,"—")</f>
        <v>35.9977335339286</v>
      </c>
      <c r="D37" s="22" t="s">
        <v>41</v>
      </c>
    </row>
    <row r="38" customFormat="false" ht="15" hidden="false" customHeight="true" outlineLevel="0" collapsed="false">
      <c r="B38" s="12" t="s">
        <v>42</v>
      </c>
      <c r="C38" s="21" t="str">
        <f aca="false">IFERROR(C118,"—")</f>
        <v>✔ YES</v>
      </c>
      <c r="D38" s="22"/>
    </row>
    <row r="40" customFormat="false" ht="15" hidden="false" customHeight="true" outlineLevel="0" collapsed="false">
      <c r="B40" s="4" t="s">
        <v>43</v>
      </c>
      <c r="C40" s="4"/>
      <c r="D40" s="4"/>
      <c r="E40" s="4"/>
      <c r="F40" s="4"/>
      <c r="G40" s="4"/>
      <c r="H40" s="4"/>
      <c r="I40" s="4"/>
      <c r="J40" s="4"/>
    </row>
    <row r="41" customFormat="false" ht="25.5" hidden="false" customHeight="true" outlineLevel="0" collapsed="false">
      <c r="B41" s="5" t="s">
        <v>21</v>
      </c>
      <c r="C41" s="5" t="s">
        <v>44</v>
      </c>
      <c r="D41" s="5" t="s">
        <v>45</v>
      </c>
      <c r="E41" s="5" t="s">
        <v>26</v>
      </c>
      <c r="F41" s="5" t="s">
        <v>46</v>
      </c>
      <c r="G41" s="5" t="s">
        <v>47</v>
      </c>
      <c r="H41" s="5" t="s">
        <v>48</v>
      </c>
      <c r="I41" s="5" t="s">
        <v>49</v>
      </c>
      <c r="J41" s="5" t="s">
        <v>50</v>
      </c>
    </row>
    <row r="42" customFormat="false" ht="15" hidden="false" customHeight="true" outlineLevel="0" collapsed="false">
      <c r="B42" s="25" t="n">
        <v>1</v>
      </c>
      <c r="C42" s="26" t="n">
        <f aca="false">C15</f>
        <v>7.2</v>
      </c>
      <c r="D42" s="27" t="n">
        <f aca="false">F15</f>
        <v>200</v>
      </c>
      <c r="E42" s="28" t="n">
        <f aca="false">G15</f>
        <v>0</v>
      </c>
      <c r="F42" s="29" t="n">
        <f aca="false">D59</f>
        <v>2</v>
      </c>
      <c r="G42" s="30" t="n">
        <f aca="false">E59</f>
        <v>40</v>
      </c>
      <c r="H42" s="31" t="n">
        <f aca="false">F78</f>
        <v>1</v>
      </c>
      <c r="I42" s="32" t="n">
        <f aca="false">G78</f>
        <v>180</v>
      </c>
      <c r="J42" s="31" t="n">
        <f aca="false">I78</f>
        <v>0</v>
      </c>
    </row>
    <row r="43" customFormat="false" ht="15" hidden="false" customHeight="true" outlineLevel="0" collapsed="false">
      <c r="B43" s="33" t="n">
        <v>2</v>
      </c>
      <c r="C43" s="26" t="n">
        <f aca="false">C16</f>
        <v>10</v>
      </c>
      <c r="D43" s="27" t="n">
        <f aca="false">F16</f>
        <v>316.227766016838</v>
      </c>
      <c r="E43" s="28" t="n">
        <f aca="false">G16</f>
        <v>18.434948822922</v>
      </c>
      <c r="F43" s="29" t="n">
        <f aca="false">D60</f>
        <v>2.51486685936587</v>
      </c>
      <c r="G43" s="30" t="n">
        <f aca="false">E60</f>
        <v>50</v>
      </c>
      <c r="H43" s="31" t="n">
        <f aca="false">F79</f>
        <v>1.38742588672279</v>
      </c>
      <c r="I43" s="32" t="n">
        <f aca="false">G79</f>
        <v>15.7948252576199</v>
      </c>
      <c r="J43" s="31" t="n">
        <f aca="false">I79</f>
        <v>2.6334038989724</v>
      </c>
    </row>
    <row r="44" customFormat="false" ht="15" hidden="false" customHeight="true" outlineLevel="0" collapsed="false">
      <c r="B44" s="25" t="n">
        <v>3</v>
      </c>
      <c r="C44" s="26" t="n">
        <f aca="false">C17</f>
        <v>18</v>
      </c>
      <c r="D44" s="27" t="n">
        <f aca="false">F17</f>
        <v>457.055795281058</v>
      </c>
      <c r="E44" s="28" t="n">
        <f aca="false">G17</f>
        <v>-10.0805979875423</v>
      </c>
      <c r="F44" s="29" t="n">
        <f aca="false">D61</f>
        <v>3.02342784031985</v>
      </c>
      <c r="G44" s="30" t="n">
        <f aca="false">E61</f>
        <v>60</v>
      </c>
      <c r="H44" s="31" t="n">
        <f aca="false">F80</f>
        <v>1.19345732284679</v>
      </c>
      <c r="I44" s="32" t="n">
        <f aca="false">G80</f>
        <v>21.0908803086925</v>
      </c>
      <c r="J44" s="31" t="n">
        <f aca="false">I80</f>
        <v>0.777878860128034</v>
      </c>
    </row>
    <row r="45" customFormat="false" ht="15" hidden="false" customHeight="true" outlineLevel="0" collapsed="false">
      <c r="B45" s="33" t="n">
        <v>4</v>
      </c>
      <c r="C45" s="26" t="n">
        <f aca="false">C18</f>
        <v>28</v>
      </c>
      <c r="D45" s="27" t="n">
        <f aca="false">F18</f>
        <v>800</v>
      </c>
      <c r="E45" s="28" t="n">
        <f aca="false">G18</f>
        <v>0</v>
      </c>
      <c r="F45" s="29" t="n">
        <f aca="false">D62</f>
        <v>4</v>
      </c>
      <c r="G45" s="30" t="n">
        <f aca="false">E62</f>
        <v>80</v>
      </c>
      <c r="H45" s="31" t="n">
        <f aca="false">F81</f>
        <v>1</v>
      </c>
      <c r="I45" s="32" t="n">
        <f aca="false">G81</f>
        <v>180</v>
      </c>
      <c r="J45" s="31" t="n">
        <f aca="false">I81</f>
        <v>0</v>
      </c>
    </row>
    <row r="46" customFormat="false" ht="15" hidden="false" customHeight="true" outlineLevel="0" collapsed="false">
      <c r="B46" s="25" t="n">
        <v>5</v>
      </c>
      <c r="C46" s="26" t="n">
        <f aca="false">C19</f>
        <v>0</v>
      </c>
      <c r="D46" s="26" t="str">
        <f aca="false">F19</f>
        <v/>
      </c>
      <c r="E46" s="26" t="str">
        <f aca="false">G19</f>
        <v/>
      </c>
      <c r="F46" s="26" t="str">
        <f aca="false">D63</f>
        <v/>
      </c>
      <c r="G46" s="26" t="str">
        <f aca="false">E63</f>
        <v/>
      </c>
      <c r="H46" s="26" t="str">
        <f aca="false">F82</f>
        <v/>
      </c>
      <c r="I46" s="26" t="str">
        <f aca="false">G82</f>
        <v/>
      </c>
      <c r="J46" s="26" t="str">
        <f aca="false">I82</f>
        <v/>
      </c>
    </row>
    <row r="47" customFormat="false" ht="15" hidden="false" customHeight="true" outlineLevel="0" collapsed="false">
      <c r="B47" s="33" t="n">
        <v>6</v>
      </c>
      <c r="C47" s="26" t="n">
        <f aca="false">C20</f>
        <v>0</v>
      </c>
      <c r="D47" s="26" t="str">
        <f aca="false">F20</f>
        <v/>
      </c>
      <c r="E47" s="26" t="str">
        <f aca="false">G20</f>
        <v/>
      </c>
      <c r="F47" s="26" t="str">
        <f aca="false">D64</f>
        <v/>
      </c>
      <c r="G47" s="26" t="str">
        <f aca="false">E64</f>
        <v/>
      </c>
      <c r="H47" s="26" t="str">
        <f aca="false">F83</f>
        <v/>
      </c>
      <c r="I47" s="26" t="str">
        <f aca="false">G83</f>
        <v/>
      </c>
      <c r="J47" s="26" t="str">
        <f aca="false">I83</f>
        <v/>
      </c>
    </row>
    <row r="48" customFormat="false" ht="15" hidden="false" customHeight="true" outlineLevel="0" collapsed="false">
      <c r="B48" s="25" t="n">
        <v>7</v>
      </c>
      <c r="C48" s="26" t="n">
        <f aca="false">C21</f>
        <v>0</v>
      </c>
      <c r="D48" s="26" t="str">
        <f aca="false">F21</f>
        <v/>
      </c>
      <c r="E48" s="26" t="str">
        <f aca="false">G21</f>
        <v/>
      </c>
      <c r="F48" s="26" t="str">
        <f aca="false">D65</f>
        <v/>
      </c>
      <c r="G48" s="26" t="str">
        <f aca="false">E65</f>
        <v/>
      </c>
      <c r="H48" s="26" t="str">
        <f aca="false">F84</f>
        <v/>
      </c>
      <c r="I48" s="26" t="str">
        <f aca="false">G84</f>
        <v/>
      </c>
      <c r="J48" s="26" t="str">
        <f aca="false">I84</f>
        <v/>
      </c>
    </row>
    <row r="49" customFormat="false" ht="15" hidden="false" customHeight="true" outlineLevel="0" collapsed="false">
      <c r="B49" s="33" t="n">
        <v>8</v>
      </c>
      <c r="C49" s="26" t="n">
        <f aca="false">C22</f>
        <v>0</v>
      </c>
      <c r="D49" s="26" t="str">
        <f aca="false">F22</f>
        <v/>
      </c>
      <c r="E49" s="26" t="str">
        <f aca="false">G22</f>
        <v/>
      </c>
      <c r="F49" s="26" t="str">
        <f aca="false">D66</f>
        <v/>
      </c>
      <c r="G49" s="26" t="str">
        <f aca="false">E66</f>
        <v/>
      </c>
      <c r="H49" s="26" t="str">
        <f aca="false">F85</f>
        <v/>
      </c>
      <c r="I49" s="26" t="str">
        <f aca="false">G85</f>
        <v/>
      </c>
      <c r="J49" s="26" t="str">
        <f aca="false">I85</f>
        <v/>
      </c>
    </row>
    <row r="50" customFormat="false" ht="15" hidden="false" customHeight="true" outlineLevel="0" collapsed="false">
      <c r="B50" s="25" t="n">
        <v>9</v>
      </c>
      <c r="C50" s="26" t="n">
        <f aca="false">C23</f>
        <v>0</v>
      </c>
      <c r="D50" s="26" t="str">
        <f aca="false">F23</f>
        <v/>
      </c>
      <c r="E50" s="26" t="str">
        <f aca="false">G23</f>
        <v/>
      </c>
      <c r="F50" s="26" t="str">
        <f aca="false">D67</f>
        <v/>
      </c>
      <c r="G50" s="26" t="str">
        <f aca="false">E67</f>
        <v/>
      </c>
      <c r="H50" s="26" t="str">
        <f aca="false">F86</f>
        <v/>
      </c>
      <c r="I50" s="26" t="str">
        <f aca="false">G86</f>
        <v/>
      </c>
      <c r="J50" s="26" t="str">
        <f aca="false">I86</f>
        <v/>
      </c>
    </row>
    <row r="51" customFormat="false" ht="15" hidden="false" customHeight="true" outlineLevel="0" collapsed="false">
      <c r="B51" s="33" t="n">
        <v>10</v>
      </c>
      <c r="C51" s="26" t="n">
        <f aca="false">C24</f>
        <v>0</v>
      </c>
      <c r="D51" s="26" t="str">
        <f aca="false">F24</f>
        <v/>
      </c>
      <c r="E51" s="26" t="str">
        <f aca="false">G24</f>
        <v/>
      </c>
      <c r="F51" s="26" t="str">
        <f aca="false">D68</f>
        <v/>
      </c>
      <c r="G51" s="26" t="str">
        <f aca="false">E68</f>
        <v/>
      </c>
      <c r="H51" s="26" t="str">
        <f aca="false">F87</f>
        <v/>
      </c>
      <c r="I51" s="26" t="str">
        <f aca="false">G87</f>
        <v/>
      </c>
      <c r="J51" s="26" t="str">
        <f aca="false">I87</f>
        <v/>
      </c>
    </row>
    <row r="52" customFormat="false" ht="15" hidden="false" customHeight="true" outlineLevel="0" collapsed="false">
      <c r="B52" s="25" t="n">
        <v>11</v>
      </c>
      <c r="C52" s="26" t="n">
        <f aca="false">C25</f>
        <v>0</v>
      </c>
      <c r="D52" s="26" t="str">
        <f aca="false">F25</f>
        <v/>
      </c>
      <c r="E52" s="26" t="str">
        <f aca="false">G25</f>
        <v/>
      </c>
      <c r="F52" s="26" t="str">
        <f aca="false">D69</f>
        <v/>
      </c>
      <c r="G52" s="26" t="str">
        <f aca="false">E69</f>
        <v/>
      </c>
      <c r="H52" s="26" t="str">
        <f aca="false">F88</f>
        <v/>
      </c>
      <c r="I52" s="26" t="str">
        <f aca="false">G88</f>
        <v/>
      </c>
      <c r="J52" s="26" t="str">
        <f aca="false">I88</f>
        <v/>
      </c>
    </row>
    <row r="54" customFormat="false" ht="15" hidden="false" customHeight="true" outlineLevel="0" collapsed="false">
      <c r="B54" s="2" t="s">
        <v>51</v>
      </c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true" outlineLevel="0" collapsed="false">
      <c r="B55" s="3" t="s">
        <v>52</v>
      </c>
      <c r="C55" s="3"/>
      <c r="D55" s="3"/>
      <c r="E55" s="3"/>
      <c r="F55" s="3"/>
      <c r="G55" s="3"/>
      <c r="H55" s="3"/>
      <c r="I55" s="3"/>
      <c r="J55" s="3"/>
    </row>
    <row r="57" customFormat="false" ht="15" hidden="false" customHeight="true" outlineLevel="0" collapsed="false">
      <c r="B57" s="4" t="s">
        <v>53</v>
      </c>
      <c r="C57" s="4"/>
      <c r="D57" s="4"/>
      <c r="E57" s="4"/>
      <c r="F57" s="4"/>
      <c r="G57" s="4"/>
      <c r="H57" s="4"/>
      <c r="I57" s="4"/>
      <c r="J57" s="4"/>
    </row>
    <row r="58" customFormat="false" ht="38.25" hidden="false" customHeight="true" outlineLevel="0" collapsed="false">
      <c r="B58" s="5" t="s">
        <v>21</v>
      </c>
      <c r="C58" s="5" t="s">
        <v>44</v>
      </c>
      <c r="D58" s="5" t="s">
        <v>54</v>
      </c>
      <c r="E58" s="5" t="s">
        <v>55</v>
      </c>
      <c r="F58" s="5" t="s">
        <v>56</v>
      </c>
      <c r="G58" s="5" t="s">
        <v>57</v>
      </c>
      <c r="H58" s="5" t="s">
        <v>58</v>
      </c>
      <c r="I58" s="5" t="s">
        <v>59</v>
      </c>
      <c r="J58" s="5" t="s">
        <v>27</v>
      </c>
    </row>
    <row r="59" customFormat="false" ht="15" hidden="false" customHeight="true" outlineLevel="0" collapsed="false">
      <c r="B59" s="13" t="n">
        <v>1</v>
      </c>
      <c r="C59" s="18" t="n">
        <f aca="false">C15</f>
        <v>7.2</v>
      </c>
      <c r="D59" s="19" t="n">
        <f aca="false">IF(I15&lt;&gt;"",I15,"")</f>
        <v>2</v>
      </c>
      <c r="E59" s="11" t="n">
        <f aca="false">IF(D59&lt;&gt;"",MAX(1,ROUND(C11*D59,0)),"")</f>
        <v>40</v>
      </c>
      <c r="F59" s="11" t="n">
        <f aca="false">IF(E59&lt;&gt;"",E59,"")</f>
        <v>40</v>
      </c>
      <c r="G59" s="34" t="n">
        <f aca="false">IF(F59&lt;&gt;"",F59*PI()*($C$9+$C$8),"")</f>
        <v>2067.16796606208</v>
      </c>
      <c r="H59" s="16" t="n">
        <f aca="false">IF(G59&lt;&gt;"",G59*4*0.00000001724*1000000/(PI()*$C$8^2),"")</f>
        <v>224.077432098765</v>
      </c>
      <c r="I59" s="34" t="n">
        <f aca="false">IF(G59&lt;&gt;"",G59,"")</f>
        <v>2067.16796606208</v>
      </c>
      <c r="J59" s="18" t="str">
        <f aca="false">H15</f>
        <v>YES</v>
      </c>
    </row>
    <row r="60" customFormat="false" ht="15" hidden="false" customHeight="true" outlineLevel="0" collapsed="false">
      <c r="B60" s="20" t="n">
        <v>2</v>
      </c>
      <c r="C60" s="18" t="n">
        <f aca="false">C16</f>
        <v>10</v>
      </c>
      <c r="D60" s="19" t="n">
        <f aca="false">IF(I16&lt;&gt;"",I16,"")</f>
        <v>2.51486685936587</v>
      </c>
      <c r="E60" s="11" t="n">
        <f aca="false">IF(D60&lt;&gt;"",MAX(1,ROUND(C11*D60,0)),"")</f>
        <v>50</v>
      </c>
      <c r="F60" s="11" t="n">
        <f aca="false">IF(AND(E60&lt;&gt;"",E59&lt;&gt;""),E60-E59,IF(E60&lt;&gt;"",E60,""))</f>
        <v>10</v>
      </c>
      <c r="G60" s="34" t="n">
        <f aca="false">IF(F60&lt;&gt;"",F60*PI()*($C$9+$C$8),"")</f>
        <v>516.791991515521</v>
      </c>
      <c r="H60" s="16" t="n">
        <f aca="false">IF(G60&lt;&gt;"",G60*4*0.00000001724*1000000/(PI()*$C$8^2),"")</f>
        <v>56.0193580246914</v>
      </c>
      <c r="I60" s="34" t="n">
        <f aca="false">IF(G60&lt;&gt;"",SUM(G59:G60),"")</f>
        <v>2583.9599575776</v>
      </c>
      <c r="J60" s="18" t="str">
        <f aca="false">H16</f>
        <v>YES</v>
      </c>
    </row>
    <row r="61" customFormat="false" ht="15" hidden="false" customHeight="true" outlineLevel="0" collapsed="false">
      <c r="B61" s="13" t="n">
        <v>3</v>
      </c>
      <c r="C61" s="18" t="n">
        <f aca="false">C17</f>
        <v>18</v>
      </c>
      <c r="D61" s="19" t="n">
        <f aca="false">IF(I17&lt;&gt;"",I17,"")</f>
        <v>3.02342784031985</v>
      </c>
      <c r="E61" s="11" t="n">
        <f aca="false">IF(D61&lt;&gt;"",MAX(1,ROUND(C11*D61,0)),"")</f>
        <v>60</v>
      </c>
      <c r="F61" s="11" t="n">
        <f aca="false">IF(AND(E61&lt;&gt;"",E60&lt;&gt;""),E61-E60,IF(E61&lt;&gt;"",E61,""))</f>
        <v>10</v>
      </c>
      <c r="G61" s="34" t="n">
        <f aca="false">IF(F61&lt;&gt;"",F61*PI()*($C$9+$C$8),"")</f>
        <v>516.791991515521</v>
      </c>
      <c r="H61" s="16" t="n">
        <f aca="false">IF(G61&lt;&gt;"",G61*4*0.00000001724*1000000/(PI()*$C$8^2),"")</f>
        <v>56.0193580246914</v>
      </c>
      <c r="I61" s="34" t="n">
        <f aca="false">IF(G61&lt;&gt;"",SUM(G59:G61),"")</f>
        <v>3100.75194909313</v>
      </c>
      <c r="J61" s="18" t="str">
        <f aca="false">H17</f>
        <v>YES</v>
      </c>
    </row>
    <row r="62" customFormat="false" ht="15" hidden="false" customHeight="true" outlineLevel="0" collapsed="false">
      <c r="B62" s="20" t="n">
        <v>4</v>
      </c>
      <c r="C62" s="18" t="n">
        <f aca="false">C18</f>
        <v>28</v>
      </c>
      <c r="D62" s="19" t="n">
        <f aca="false">IF(I18&lt;&gt;"",I18,"")</f>
        <v>4</v>
      </c>
      <c r="E62" s="11" t="n">
        <f aca="false">IF(D62&lt;&gt;"",MAX(1,ROUND(C11*D62,0)),"")</f>
        <v>80</v>
      </c>
      <c r="F62" s="11" t="n">
        <f aca="false">IF(AND(E62&lt;&gt;"",E61&lt;&gt;""),E62-E61,IF(E62&lt;&gt;"",E62,""))</f>
        <v>20</v>
      </c>
      <c r="G62" s="34" t="n">
        <f aca="false">IF(F62&lt;&gt;"",F62*PI()*($C$9+$C$8),"")</f>
        <v>1033.58398303104</v>
      </c>
      <c r="H62" s="16" t="n">
        <f aca="false">IF(G62&lt;&gt;"",G62*4*0.00000001724*1000000/(PI()*$C$8^2),"")</f>
        <v>112.038716049383</v>
      </c>
      <c r="I62" s="34" t="n">
        <f aca="false">IF(G62&lt;&gt;"",SUM(G59:G62),"")</f>
        <v>4134.33593212417</v>
      </c>
      <c r="J62" s="18" t="str">
        <f aca="false">H18</f>
        <v>YES</v>
      </c>
    </row>
    <row r="63" customFormat="false" ht="15" hidden="false" customHeight="true" outlineLevel="0" collapsed="false">
      <c r="B63" s="13" t="n">
        <v>5</v>
      </c>
      <c r="C63" s="18" t="n">
        <f aca="false">C19</f>
        <v>0</v>
      </c>
      <c r="D63" s="19" t="str">
        <f aca="false">IF(I19&lt;&gt;"",I19,"")</f>
        <v/>
      </c>
      <c r="E63" s="11" t="str">
        <f aca="false">IF(D63&lt;&gt;"",MAX(1,ROUND(C11*D63,0)),"")</f>
        <v/>
      </c>
      <c r="F63" s="11" t="str">
        <f aca="false">IF(AND(E63&lt;&gt;"",E62&lt;&gt;""),E63-E62,IF(E63&lt;&gt;"",E63,""))</f>
        <v/>
      </c>
      <c r="G63" s="34" t="str">
        <f aca="false">IF(F63&lt;&gt;"",F63*PI()*($C$9+$C$8),"")</f>
        <v/>
      </c>
      <c r="H63" s="16" t="str">
        <f aca="false">IF(G63&lt;&gt;"",G63*4*0.00000001724*1000000/(PI()*$C$8^2),"")</f>
        <v/>
      </c>
      <c r="I63" s="34" t="str">
        <f aca="false">IF(G63&lt;&gt;"",SUM(G59:G63),"")</f>
        <v/>
      </c>
      <c r="J63" s="18" t="str">
        <f aca="false">H19</f>
        <v>—</v>
      </c>
    </row>
    <row r="64" customFormat="false" ht="15" hidden="false" customHeight="true" outlineLevel="0" collapsed="false">
      <c r="B64" s="20" t="n">
        <v>6</v>
      </c>
      <c r="C64" s="18" t="n">
        <f aca="false">C20</f>
        <v>0</v>
      </c>
      <c r="D64" s="19" t="str">
        <f aca="false">IF(I20&lt;&gt;"",I20,"")</f>
        <v/>
      </c>
      <c r="E64" s="11" t="str">
        <f aca="false">IF(D64&lt;&gt;"",MAX(1,ROUND(C11*D64,0)),"")</f>
        <v/>
      </c>
      <c r="F64" s="11" t="str">
        <f aca="false">IF(AND(E64&lt;&gt;"",E63&lt;&gt;""),E64-E63,IF(E64&lt;&gt;"",E64,""))</f>
        <v/>
      </c>
      <c r="G64" s="34" t="str">
        <f aca="false">IF(F64&lt;&gt;"",F64*PI()*($C$9+$C$8),"")</f>
        <v/>
      </c>
      <c r="H64" s="16" t="str">
        <f aca="false">IF(G64&lt;&gt;"",G64*4*0.00000001724*1000000/(PI()*$C$8^2),"")</f>
        <v/>
      </c>
      <c r="I64" s="34" t="str">
        <f aca="false">IF(G64&lt;&gt;"",SUM(G59:G64),"")</f>
        <v/>
      </c>
      <c r="J64" s="18" t="str">
        <f aca="false">H20</f>
        <v>—</v>
      </c>
    </row>
    <row r="65" customFormat="false" ht="15" hidden="false" customHeight="true" outlineLevel="0" collapsed="false">
      <c r="B65" s="13" t="n">
        <v>7</v>
      </c>
      <c r="C65" s="18" t="n">
        <f aca="false">C21</f>
        <v>0</v>
      </c>
      <c r="D65" s="19" t="str">
        <f aca="false">IF(I21&lt;&gt;"",I21,"")</f>
        <v/>
      </c>
      <c r="E65" s="11" t="str">
        <f aca="false">IF(D65&lt;&gt;"",MAX(1,ROUND(C11*D65,0)),"")</f>
        <v/>
      </c>
      <c r="F65" s="11" t="str">
        <f aca="false">IF(AND(E65&lt;&gt;"",E64&lt;&gt;""),E65-E64,IF(E65&lt;&gt;"",E65,""))</f>
        <v/>
      </c>
      <c r="G65" s="34" t="str">
        <f aca="false">IF(F65&lt;&gt;"",F65*PI()*($C$9+$C$8),"")</f>
        <v/>
      </c>
      <c r="H65" s="16" t="str">
        <f aca="false">IF(G65&lt;&gt;"",G65*4*0.00000001724*1000000/(PI()*$C$8^2),"")</f>
        <v/>
      </c>
      <c r="I65" s="34" t="str">
        <f aca="false">IF(G65&lt;&gt;"",SUM(G59:G65),"")</f>
        <v/>
      </c>
      <c r="J65" s="18" t="str">
        <f aca="false">H21</f>
        <v>—</v>
      </c>
    </row>
    <row r="66" customFormat="false" ht="15" hidden="false" customHeight="true" outlineLevel="0" collapsed="false">
      <c r="B66" s="20" t="n">
        <v>8</v>
      </c>
      <c r="C66" s="18" t="n">
        <f aca="false">C22</f>
        <v>0</v>
      </c>
      <c r="D66" s="19" t="str">
        <f aca="false">IF(I22&lt;&gt;"",I22,"")</f>
        <v/>
      </c>
      <c r="E66" s="11" t="str">
        <f aca="false">IF(D66&lt;&gt;"",MAX(1,ROUND(C11*D66,0)),"")</f>
        <v/>
      </c>
      <c r="F66" s="11" t="str">
        <f aca="false">IF(AND(E66&lt;&gt;"",E65&lt;&gt;""),E66-E65,IF(E66&lt;&gt;"",E66,""))</f>
        <v/>
      </c>
      <c r="G66" s="34" t="str">
        <f aca="false">IF(F66&lt;&gt;"",F66*PI()*($C$9+$C$8),"")</f>
        <v/>
      </c>
      <c r="H66" s="16" t="str">
        <f aca="false">IF(G66&lt;&gt;"",G66*4*0.00000001724*1000000/(PI()*$C$8^2),"")</f>
        <v/>
      </c>
      <c r="I66" s="34" t="str">
        <f aca="false">IF(G66&lt;&gt;"",SUM(G59:G66),"")</f>
        <v/>
      </c>
      <c r="J66" s="18" t="str">
        <f aca="false">H22</f>
        <v>—</v>
      </c>
    </row>
    <row r="67" customFormat="false" ht="15" hidden="false" customHeight="true" outlineLevel="0" collapsed="false">
      <c r="B67" s="13" t="n">
        <v>9</v>
      </c>
      <c r="C67" s="18" t="n">
        <f aca="false">C23</f>
        <v>0</v>
      </c>
      <c r="D67" s="19" t="str">
        <f aca="false">IF(I23&lt;&gt;"",I23,"")</f>
        <v/>
      </c>
      <c r="E67" s="11" t="str">
        <f aca="false">IF(D67&lt;&gt;"",MAX(1,ROUND(C11*D67,0)),"")</f>
        <v/>
      </c>
      <c r="F67" s="11" t="str">
        <f aca="false">IF(AND(E67&lt;&gt;"",E66&lt;&gt;""),E67-E66,IF(E67&lt;&gt;"",E67,""))</f>
        <v/>
      </c>
      <c r="G67" s="34" t="str">
        <f aca="false">IF(F67&lt;&gt;"",F67*PI()*($C$9+$C$8),"")</f>
        <v/>
      </c>
      <c r="H67" s="16" t="str">
        <f aca="false">IF(G67&lt;&gt;"",G67*4*0.00000001724*1000000/(PI()*$C$8^2),"")</f>
        <v/>
      </c>
      <c r="I67" s="34" t="str">
        <f aca="false">IF(G67&lt;&gt;"",SUM(G59:G67),"")</f>
        <v/>
      </c>
      <c r="J67" s="18" t="str">
        <f aca="false">H23</f>
        <v>—</v>
      </c>
    </row>
    <row r="68" customFormat="false" ht="15" hidden="false" customHeight="true" outlineLevel="0" collapsed="false">
      <c r="B68" s="20" t="n">
        <v>10</v>
      </c>
      <c r="C68" s="18" t="n">
        <f aca="false">C24</f>
        <v>0</v>
      </c>
      <c r="D68" s="19" t="str">
        <f aca="false">IF(I24&lt;&gt;"",I24,"")</f>
        <v/>
      </c>
      <c r="E68" s="11" t="str">
        <f aca="false">IF(D68&lt;&gt;"",MAX(1,ROUND(C11*D68,0)),"")</f>
        <v/>
      </c>
      <c r="F68" s="11" t="str">
        <f aca="false">IF(AND(E68&lt;&gt;"",E67&lt;&gt;""),E68-E67,IF(E68&lt;&gt;"",E68,""))</f>
        <v/>
      </c>
      <c r="G68" s="34" t="str">
        <f aca="false">IF(F68&lt;&gt;"",F68*PI()*($C$9+$C$8),"")</f>
        <v/>
      </c>
      <c r="H68" s="16" t="str">
        <f aca="false">IF(G68&lt;&gt;"",G68*4*0.00000001724*1000000/(PI()*$C$8^2),"")</f>
        <v/>
      </c>
      <c r="I68" s="34" t="str">
        <f aca="false">IF(G68&lt;&gt;"",SUM(G59:G68),"")</f>
        <v/>
      </c>
      <c r="J68" s="18" t="str">
        <f aca="false">H24</f>
        <v>—</v>
      </c>
    </row>
    <row r="69" customFormat="false" ht="15" hidden="false" customHeight="true" outlineLevel="0" collapsed="false">
      <c r="B69" s="13" t="n">
        <v>11</v>
      </c>
      <c r="C69" s="18" t="n">
        <f aca="false">C25</f>
        <v>0</v>
      </c>
      <c r="D69" s="19" t="str">
        <f aca="false">IF(I25&lt;&gt;"",I25,"")</f>
        <v/>
      </c>
      <c r="E69" s="11" t="str">
        <f aca="false">IF(D69&lt;&gt;"",MAX(1,ROUND(C11*D69,0)),"")</f>
        <v/>
      </c>
      <c r="F69" s="11" t="str">
        <f aca="false">IF(AND(E69&lt;&gt;"",E68&lt;&gt;""),E69-E68,IF(E69&lt;&gt;"",E69,""))</f>
        <v/>
      </c>
      <c r="G69" s="34" t="str">
        <f aca="false">IF(F69&lt;&gt;"",F69*PI()*($C$9+$C$8),"")</f>
        <v/>
      </c>
      <c r="H69" s="16" t="str">
        <f aca="false">IF(G69&lt;&gt;"",G69*4*0.00000001724*1000000/(PI()*$C$8^2),"")</f>
        <v/>
      </c>
      <c r="I69" s="34" t="str">
        <f aca="false">IF(G69&lt;&gt;"",SUM(G59:G69),"")</f>
        <v/>
      </c>
      <c r="J69" s="18" t="str">
        <f aca="false">H25</f>
        <v>—</v>
      </c>
    </row>
    <row r="71" customFormat="false" ht="15" hidden="false" customHeight="true" outlineLevel="0" collapsed="false">
      <c r="B71" s="35" t="s">
        <v>60</v>
      </c>
      <c r="C71" s="35"/>
      <c r="D71" s="35"/>
      <c r="E71" s="11" t="n">
        <f aca="false">IFERROR(MAX(E59:E69),"")</f>
        <v>80</v>
      </c>
      <c r="H71" s="36" t="n">
        <f aca="false">IFERROR(SUM(H59:H69),"")</f>
        <v>448.154864197531</v>
      </c>
      <c r="I71" s="37" t="n">
        <f aca="false">IFERROR(MAX(I59:I69),"")</f>
        <v>4134.33593212417</v>
      </c>
    </row>
    <row r="73" customFormat="false" ht="15" hidden="false" customHeight="true" outlineLevel="0" collapsed="false">
      <c r="B73" s="2" t="s">
        <v>61</v>
      </c>
      <c r="C73" s="2"/>
      <c r="D73" s="2"/>
      <c r="E73" s="2"/>
      <c r="F73" s="2"/>
      <c r="G73" s="2"/>
      <c r="H73" s="2"/>
      <c r="I73" s="2"/>
    </row>
    <row r="74" customFormat="false" ht="15" hidden="false" customHeight="true" outlineLevel="0" collapsed="false">
      <c r="B74" s="3" t="s">
        <v>62</v>
      </c>
      <c r="C74" s="3"/>
      <c r="D74" s="3"/>
      <c r="E74" s="3"/>
      <c r="F74" s="3"/>
      <c r="G74" s="3"/>
      <c r="H74" s="3"/>
      <c r="I74" s="3"/>
    </row>
    <row r="76" customFormat="false" ht="15" hidden="false" customHeight="true" outlineLevel="0" collapsed="false">
      <c r="B76" s="4" t="s">
        <v>63</v>
      </c>
      <c r="C76" s="4"/>
      <c r="D76" s="4"/>
      <c r="E76" s="4"/>
      <c r="F76" s="4"/>
      <c r="G76" s="4"/>
      <c r="H76" s="4"/>
      <c r="I76" s="4"/>
    </row>
    <row r="77" customFormat="false" ht="38.25" hidden="false" customHeight="true" outlineLevel="0" collapsed="false">
      <c r="B77" s="5" t="s">
        <v>21</v>
      </c>
      <c r="C77" s="5" t="s">
        <v>44</v>
      </c>
      <c r="D77" s="5" t="s">
        <v>64</v>
      </c>
      <c r="E77" s="5" t="s">
        <v>26</v>
      </c>
      <c r="F77" s="5" t="s">
        <v>65</v>
      </c>
      <c r="G77" s="5" t="s">
        <v>66</v>
      </c>
      <c r="H77" s="5" t="s">
        <v>67</v>
      </c>
      <c r="I77" s="5" t="s">
        <v>68</v>
      </c>
    </row>
    <row r="78" customFormat="false" ht="15" hidden="false" customHeight="true" outlineLevel="0" collapsed="false">
      <c r="B78" s="13" t="n">
        <v>1</v>
      </c>
      <c r="C78" s="18" t="n">
        <f aca="false">C15</f>
        <v>7.2</v>
      </c>
      <c r="D78" s="16" t="n">
        <f aca="false">F15</f>
        <v>200</v>
      </c>
      <c r="E78" s="38" t="n">
        <f aca="false">G15</f>
        <v>0</v>
      </c>
      <c r="F78" s="39" t="n">
        <f aca="false">IF(F15&lt;&gt;"",IFERROR((1+SQRT(((IF(ISNUMBER(D15),D15/MAX((F15/C7),0.000000001),C7)-C7)^2+(IF(ISNUMBER(E15),E15/MAX((F15/C7),0.000000001),0))^2)/((IF(ISNUMBER(D15),D15/MAX((F15/C7),0.000000001),C7)+C7)^2+(IF(ISNUMBER(E15),E15/MAX((F15/C7),0.000000001),0))^2)))/(1-SQRT(((IF(ISNUMBER(D15),D15/MAX((F15/C7),0.000000001),C7)-C7)^2+(IF(ISNUMBER(E15),E15/MAX((F15/C7),0.000000001),0))^2)/((IF(ISNUMBER(D15),D15/MAX((F15/C7),0.000000001),C7)+C7)^2+(IF(ISNUMBER(E15),E15/MAX((F15/C7),0.000000001),0))^2))),999),"")</f>
        <v>1</v>
      </c>
      <c r="G78" s="38" t="n">
        <f aca="false">IF(F15&lt;&gt;"",IFERROR(-20*LOG10(MAX(SQRT(((IF(ISNUMBER(D15),D15/MAX((F15/C7),0.000000001),C7)-C7)^2+(IF(ISNUMBER(E15),E15/MAX((F15/C7),0.000000001),0))^2)/((IF(ISNUMBER(D15),D15/MAX((F15/C7),0.000000001),C7)+C7)^2+(IF(ISNUMBER(E15),E15/MAX((F15/C7),0.000000001),0))^2)),0.000000001)),0),"")</f>
        <v>180</v>
      </c>
      <c r="H78" s="39" t="n">
        <f aca="false">IF(F15&lt;&gt;"",IFERROR(MAX(0,-10*LOG10(1-((IF(ISNUMBER(D15),D15/MAX((F15/C7),0.000000001),C7)-C7)^2+(IF(ISNUMBER(E15),E15/MAX((F15/C7),0.000000001),0))^2)/((IF(ISNUMBER(D15),D15/MAX((F15/C7),0.000000001),C7)+C7)^2+(IF(ISNUMBER(E15),E15/MAX((F15/C7),0.000000001),0))^2))),0),"")</f>
        <v>-0</v>
      </c>
      <c r="I78" s="39" t="n">
        <f aca="false">IF(F15&lt;&gt;"",IFERROR(((IF(ISNUMBER(D15),D15/MAX((F15/C7),0.000000001),C7)-C7)^2+(IF(ISNUMBER(E15),E15/MAX((F15/C7),0.000000001),0))^2)/((IF(ISNUMBER(D15),D15/MAX((F15/C7),0.000000001),C7)+C7)^2+(IF(ISNUMBER(E15),E15/MAX((F15/C7),0.000000001),0))^2)*100,0),"")</f>
        <v>0</v>
      </c>
    </row>
    <row r="79" customFormat="false" ht="15" hidden="false" customHeight="true" outlineLevel="0" collapsed="false">
      <c r="B79" s="20" t="n">
        <v>2</v>
      </c>
      <c r="C79" s="18" t="n">
        <f aca="false">C16</f>
        <v>10</v>
      </c>
      <c r="D79" s="16" t="n">
        <f aca="false">F16</f>
        <v>316.227766016838</v>
      </c>
      <c r="E79" s="38" t="n">
        <f aca="false">G16</f>
        <v>18.434948822922</v>
      </c>
      <c r="F79" s="39" t="n">
        <f aca="false">IF(F16&lt;&gt;"",IFERROR((1+SQRT(((IF(ISNUMBER(D16),D16/MAX((F16/C7),0.000000001),C7)-C7)^2+(IF(ISNUMBER(E16),E16/MAX((F16/C7),0.000000001),0))^2)/((IF(ISNUMBER(D16),D16/MAX((F16/C7),0.000000001),C7)+C7)^2+(IF(ISNUMBER(E16),E16/MAX((F16/C7),0.000000001),0))^2)))/(1-SQRT(((IF(ISNUMBER(D16),D16/MAX((F16/C7),0.000000001),C7)-C7)^2+(IF(ISNUMBER(E16),E16/MAX((F16/C7),0.000000001),0))^2)/((IF(ISNUMBER(D16),D16/MAX((F16/C7),0.000000001),C7)+C7)^2+(IF(ISNUMBER(E16),E16/MAX((F16/C7),0.000000001),0))^2))),999),"")</f>
        <v>1.38742588672279</v>
      </c>
      <c r="G79" s="38" t="n">
        <f aca="false">IF(F16&lt;&gt;"",IFERROR(-20*LOG10(MAX(SQRT(((IF(ISNUMBER(D16),D16/MAX((F16/C7),0.000000001),C7)-C7)^2+(IF(ISNUMBER(E16),E16/MAX((F16/C7),0.000000001),0))^2)/((IF(ISNUMBER(D16),D16/MAX((F16/C7),0.000000001),C7)+C7)^2+(IF(ISNUMBER(E16),E16/MAX((F16/C7),0.000000001),0))^2)),0.000000001)),0),"")</f>
        <v>15.7948252576199</v>
      </c>
      <c r="H79" s="39" t="n">
        <f aca="false">IF(F16&lt;&gt;"",IFERROR(MAX(0,-10*LOG10(1-((IF(ISNUMBER(D16),D16/MAX((F16/C7),0.000000001),C7)-C7)^2+(IF(ISNUMBER(E16),E16/MAX((F16/C7),0.000000001),0))^2)/((IF(ISNUMBER(D16),D16/MAX((F16/C7),0.000000001),C7)+C7)^2+(IF(ISNUMBER(E16),E16/MAX((F16/C7),0.000000001),0))^2))),0),"")</f>
        <v>0.115900124973496</v>
      </c>
      <c r="I79" s="39" t="n">
        <f aca="false">IF(F16&lt;&gt;"",IFERROR(((IF(ISNUMBER(D16),D16/MAX((F16/C7),0.000000001),C7)-C7)^2+(IF(ISNUMBER(E16),E16/MAX((F16/C7),0.000000001),0))^2)/((IF(ISNUMBER(D16),D16/MAX((F16/C7),0.000000001),C7)+C7)^2+(IF(ISNUMBER(E16),E16/MAX((F16/C7),0.000000001),0))^2)*100,0),"")</f>
        <v>2.6334038989724</v>
      </c>
    </row>
    <row r="80" customFormat="false" ht="15" hidden="false" customHeight="true" outlineLevel="0" collapsed="false">
      <c r="B80" s="13" t="n">
        <v>3</v>
      </c>
      <c r="C80" s="18" t="n">
        <f aca="false">C17</f>
        <v>18</v>
      </c>
      <c r="D80" s="16" t="n">
        <f aca="false">F17</f>
        <v>457.055795281058</v>
      </c>
      <c r="E80" s="38" t="n">
        <f aca="false">G17</f>
        <v>-10.0805979875423</v>
      </c>
      <c r="F80" s="39" t="n">
        <f aca="false">IF(F17&lt;&gt;"",IFERROR((1+SQRT(((IF(ISNUMBER(D17),D17/MAX((F17/C7),0.000000001),C7)-C7)^2+(IF(ISNUMBER(E17),E17/MAX((F17/C7),0.000000001),0))^2)/((IF(ISNUMBER(D17),D17/MAX((F17/C7),0.000000001),C7)+C7)^2+(IF(ISNUMBER(E17),E17/MAX((F17/C7),0.000000001),0))^2)))/(1-SQRT(((IF(ISNUMBER(D17),D17/MAX((F17/C7),0.000000001),C7)-C7)^2+(IF(ISNUMBER(E17),E17/MAX((F17/C7),0.000000001),0))^2)/((IF(ISNUMBER(D17),D17/MAX((F17/C7),0.000000001),C7)+C7)^2+(IF(ISNUMBER(E17),E17/MAX((F17/C7),0.000000001),0))^2))),999),"")</f>
        <v>1.19345732284679</v>
      </c>
      <c r="G80" s="38" t="n">
        <f aca="false">IF(F17&lt;&gt;"",IFERROR(-20*LOG10(MAX(SQRT(((IF(ISNUMBER(D17),D17/MAX((F17/C7),0.000000001),C7)-C7)^2+(IF(ISNUMBER(E17),E17/MAX((F17/C7),0.000000001),0))^2)/((IF(ISNUMBER(D17),D17/MAX((F17/C7),0.000000001),C7)+C7)^2+(IF(ISNUMBER(E17),E17/MAX((F17/C7),0.000000001),0))^2)),0.000000001)),0),"")</f>
        <v>21.0908803086925</v>
      </c>
      <c r="H80" s="39" t="n">
        <f aca="false">IF(F17&lt;&gt;"",IFERROR(MAX(0,-10*LOG10(1-((IF(ISNUMBER(D17),D17/MAX((F17/C7),0.000000001),C7)-C7)^2+(IF(ISNUMBER(E17),E17/MAX((F17/C7),0.000000001),0))^2)/((IF(ISNUMBER(D17),D17/MAX((F17/C7),0.000000001),C7)+C7)^2+(IF(ISNUMBER(E17),E17/MAX((F17/C7),0.000000001),0))^2))),0),"")</f>
        <v>0.0339149298724391</v>
      </c>
      <c r="I80" s="39" t="n">
        <f aca="false">IF(F17&lt;&gt;"",IFERROR(((IF(ISNUMBER(D17),D17/MAX((F17/C7),0.000000001),C7)-C7)^2+(IF(ISNUMBER(E17),E17/MAX((F17/C7),0.000000001),0))^2)/((IF(ISNUMBER(D17),D17/MAX((F17/C7),0.000000001),C7)+C7)^2+(IF(ISNUMBER(E17),E17/MAX((F17/C7),0.000000001),0))^2)*100,0),"")</f>
        <v>0.777878860128034</v>
      </c>
    </row>
    <row r="81" customFormat="false" ht="15" hidden="false" customHeight="true" outlineLevel="0" collapsed="false">
      <c r="B81" s="20" t="n">
        <v>4</v>
      </c>
      <c r="C81" s="18" t="n">
        <f aca="false">C18</f>
        <v>28</v>
      </c>
      <c r="D81" s="16" t="n">
        <f aca="false">F18</f>
        <v>800</v>
      </c>
      <c r="E81" s="38" t="n">
        <f aca="false">G18</f>
        <v>0</v>
      </c>
      <c r="F81" s="39" t="n">
        <f aca="false">IF(F18&lt;&gt;"",IFERROR((1+SQRT(((IF(ISNUMBER(D18),D18/MAX((F18/C7),0.000000001),C7)-C7)^2+(IF(ISNUMBER(E18),E18/MAX((F18/C7),0.000000001),0))^2)/((IF(ISNUMBER(D18),D18/MAX((F18/C7),0.000000001),C7)+C7)^2+(IF(ISNUMBER(E18),E18/MAX((F18/C7),0.000000001),0))^2)))/(1-SQRT(((IF(ISNUMBER(D18),D18/MAX((F18/C7),0.000000001),C7)-C7)^2+(IF(ISNUMBER(E18),E18/MAX((F18/C7),0.000000001),0))^2)/((IF(ISNUMBER(D18),D18/MAX((F18/C7),0.000000001),C7)+C7)^2+(IF(ISNUMBER(E18),E18/MAX((F18/C7),0.000000001),0))^2))),999),"")</f>
        <v>1</v>
      </c>
      <c r="G81" s="38" t="n">
        <f aca="false">IF(F18&lt;&gt;"",IFERROR(-20*LOG10(MAX(SQRT(((IF(ISNUMBER(D18),D18/MAX((F18/C7),0.000000001),C7)-C7)^2+(IF(ISNUMBER(E18),E18/MAX((F18/C7),0.000000001),0))^2)/((IF(ISNUMBER(D18),D18/MAX((F18/C7),0.000000001),C7)+C7)^2+(IF(ISNUMBER(E18),E18/MAX((F18/C7),0.000000001),0))^2)),0.000000001)),0),"")</f>
        <v>180</v>
      </c>
      <c r="H81" s="39" t="n">
        <f aca="false">IF(F18&lt;&gt;"",IFERROR(MAX(0,-10*LOG10(1-((IF(ISNUMBER(D18),D18/MAX((F18/C7),0.000000001),C7)-C7)^2+(IF(ISNUMBER(E18),E18/MAX((F18/C7),0.000000001),0))^2)/((IF(ISNUMBER(D18),D18/MAX((F18/C7),0.000000001),C7)+C7)^2+(IF(ISNUMBER(E18),E18/MAX((F18/C7),0.000000001),0))^2))),0),"")</f>
        <v>-0</v>
      </c>
      <c r="I81" s="39" t="n">
        <f aca="false">IF(F18&lt;&gt;"",IFERROR(((IF(ISNUMBER(D18),D18/MAX((F18/C7),0.000000001),C7)-C7)^2+(IF(ISNUMBER(E18),E18/MAX((F18/C7),0.000000001),0))^2)/((IF(ISNUMBER(D18),D18/MAX((F18/C7),0.000000001),C7)+C7)^2+(IF(ISNUMBER(E18),E18/MAX((F18/C7),0.000000001),0))^2)*100,0),"")</f>
        <v>0</v>
      </c>
    </row>
    <row r="82" customFormat="false" ht="15" hidden="false" customHeight="true" outlineLevel="0" collapsed="false">
      <c r="B82" s="13" t="n">
        <v>5</v>
      </c>
      <c r="C82" s="18" t="n">
        <f aca="false">C19</f>
        <v>0</v>
      </c>
      <c r="D82" s="16" t="str">
        <f aca="false">F19</f>
        <v/>
      </c>
      <c r="E82" s="38" t="str">
        <f aca="false">G19</f>
        <v/>
      </c>
      <c r="F82" s="39" t="str">
        <f aca="false">IF(F19&lt;&gt;"",IFERROR((1+SQRT(((IF(ISNUMBER(D19),D19/MAX((F19/C7),0.000000001),C7)-C7)^2+(IF(ISNUMBER(E19),E19/MAX((F19/C7),0.000000001),0))^2)/((IF(ISNUMBER(D19),D19/MAX((F19/C7),0.000000001),C7)+C7)^2+(IF(ISNUMBER(E19),E19/MAX((F19/C7),0.000000001),0))^2)))/(1-SQRT(((IF(ISNUMBER(D19),D19/MAX((F19/C7),0.000000001),C7)-C7)^2+(IF(ISNUMBER(E19),E19/MAX((F19/C7),0.000000001),0))^2)/((IF(ISNUMBER(D19),D19/MAX((F19/C7),0.000000001),C7)+C7)^2+(IF(ISNUMBER(E19),E19/MAX((F19/C7),0.000000001),0))^2))),999),"")</f>
        <v/>
      </c>
      <c r="G82" s="38" t="str">
        <f aca="false">IF(F19&lt;&gt;"",IFERROR(-20*LOG10(MAX(SQRT(((IF(ISNUMBER(D19),D19/MAX((F19/C7),0.000000001),C7)-C7)^2+(IF(ISNUMBER(E19),E19/MAX((F19/C7),0.000000001),0))^2)/((IF(ISNUMBER(D19),D19/MAX((F19/C7),0.000000001),C7)+C7)^2+(IF(ISNUMBER(E19),E19/MAX((F19/C7),0.000000001),0))^2)),0.000000001)),0),"")</f>
        <v/>
      </c>
      <c r="H82" s="39" t="str">
        <f aca="false">IF(F19&lt;&gt;"",IFERROR(MAX(0,-10*LOG10(1-((IF(ISNUMBER(D19),D19/MAX((F19/C7),0.000000001),C7)-C7)^2+(IF(ISNUMBER(E19),E19/MAX((F19/C7),0.000000001),0))^2)/((IF(ISNUMBER(D19),D19/MAX((F19/C7),0.000000001),C7)+C7)^2+(IF(ISNUMBER(E19),E19/MAX((F19/C7),0.000000001),0))^2))),0),"")</f>
        <v/>
      </c>
      <c r="I82" s="39" t="str">
        <f aca="false">IF(F19&lt;&gt;"",IFERROR(((IF(ISNUMBER(D19),D19/MAX((F19/C7),0.000000001),C7)-C7)^2+(IF(ISNUMBER(E19),E19/MAX((F19/C7),0.000000001),0))^2)/((IF(ISNUMBER(D19),D19/MAX((F19/C7),0.000000001),C7)+C7)^2+(IF(ISNUMBER(E19),E19/MAX((F19/C7),0.000000001),0))^2)*100,0),"")</f>
        <v/>
      </c>
    </row>
    <row r="83" customFormat="false" ht="15" hidden="false" customHeight="true" outlineLevel="0" collapsed="false">
      <c r="B83" s="20" t="n">
        <v>6</v>
      </c>
      <c r="C83" s="18" t="n">
        <f aca="false">C20</f>
        <v>0</v>
      </c>
      <c r="D83" s="16" t="str">
        <f aca="false">F20</f>
        <v/>
      </c>
      <c r="E83" s="38" t="str">
        <f aca="false">G20</f>
        <v/>
      </c>
      <c r="F83" s="39" t="str">
        <f aca="false">IF(F20&lt;&gt;"",IFERROR((1+SQRT(((IF(ISNUMBER(D20),D20/MAX((F20/C7),0.000000001),C7)-C7)^2+(IF(ISNUMBER(E20),E20/MAX((F20/C7),0.000000001),0))^2)/((IF(ISNUMBER(D20),D20/MAX((F20/C7),0.000000001),C7)+C7)^2+(IF(ISNUMBER(E20),E20/MAX((F20/C7),0.000000001),0))^2)))/(1-SQRT(((IF(ISNUMBER(D20),D20/MAX((F20/C7),0.000000001),C7)-C7)^2+(IF(ISNUMBER(E20),E20/MAX((F20/C7),0.000000001),0))^2)/((IF(ISNUMBER(D20),D20/MAX((F20/C7),0.000000001),C7)+C7)^2+(IF(ISNUMBER(E20),E20/MAX((F20/C7),0.000000001),0))^2))),999),"")</f>
        <v/>
      </c>
      <c r="G83" s="38" t="str">
        <f aca="false">IF(F20&lt;&gt;"",IFERROR(-20*LOG10(MAX(SQRT(((IF(ISNUMBER(D20),D20/MAX((F20/C7),0.000000001),C7)-C7)^2+(IF(ISNUMBER(E20),E20/MAX((F20/C7),0.000000001),0))^2)/((IF(ISNUMBER(D20),D20/MAX((F20/C7),0.000000001),C7)+C7)^2+(IF(ISNUMBER(E20),E20/MAX((F20/C7),0.000000001),0))^2)),0.000000001)),0),"")</f>
        <v/>
      </c>
      <c r="H83" s="39" t="str">
        <f aca="false">IF(F20&lt;&gt;"",IFERROR(MAX(0,-10*LOG10(1-((IF(ISNUMBER(D20),D20/MAX((F20/C7),0.000000001),C7)-C7)^2+(IF(ISNUMBER(E20),E20/MAX((F20/C7),0.000000001),0))^2)/((IF(ISNUMBER(D20),D20/MAX((F20/C7),0.000000001),C7)+C7)^2+(IF(ISNUMBER(E20),E20/MAX((F20/C7),0.000000001),0))^2))),0),"")</f>
        <v/>
      </c>
      <c r="I83" s="39" t="str">
        <f aca="false">IF(F20&lt;&gt;"",IFERROR(((IF(ISNUMBER(D20),D20/MAX((F20/C7),0.000000001),C7)-C7)^2+(IF(ISNUMBER(E20),E20/MAX((F20/C7),0.000000001),0))^2)/((IF(ISNUMBER(D20),D20/MAX((F20/C7),0.000000001),C7)+C7)^2+(IF(ISNUMBER(E20),E20/MAX((F20/C7),0.000000001),0))^2)*100,0),"")</f>
        <v/>
      </c>
    </row>
    <row r="84" customFormat="false" ht="15" hidden="false" customHeight="true" outlineLevel="0" collapsed="false">
      <c r="B84" s="13" t="n">
        <v>7</v>
      </c>
      <c r="C84" s="18" t="n">
        <f aca="false">C21</f>
        <v>0</v>
      </c>
      <c r="D84" s="16" t="str">
        <f aca="false">F21</f>
        <v/>
      </c>
      <c r="E84" s="38" t="str">
        <f aca="false">G21</f>
        <v/>
      </c>
      <c r="F84" s="39" t="str">
        <f aca="false">IF(F21&lt;&gt;"",IFERROR((1+SQRT(((IF(ISNUMBER(D21),D21/MAX((F21/C7),0.000000001),C7)-C7)^2+(IF(ISNUMBER(E21),E21/MAX((F21/C7),0.000000001),0))^2)/((IF(ISNUMBER(D21),D21/MAX((F21/C7),0.000000001),C7)+C7)^2+(IF(ISNUMBER(E21),E21/MAX((F21/C7),0.000000001),0))^2)))/(1-SQRT(((IF(ISNUMBER(D21),D21/MAX((F21/C7),0.000000001),C7)-C7)^2+(IF(ISNUMBER(E21),E21/MAX((F21/C7),0.000000001),0))^2)/((IF(ISNUMBER(D21),D21/MAX((F21/C7),0.000000001),C7)+C7)^2+(IF(ISNUMBER(E21),E21/MAX((F21/C7),0.000000001),0))^2))),999),"")</f>
        <v/>
      </c>
      <c r="G84" s="38" t="str">
        <f aca="false">IF(F21&lt;&gt;"",IFERROR(-20*LOG10(MAX(SQRT(((IF(ISNUMBER(D21),D21/MAX((F21/C7),0.000000001),C7)-C7)^2+(IF(ISNUMBER(E21),E21/MAX((F21/C7),0.000000001),0))^2)/((IF(ISNUMBER(D21),D21/MAX((F21/C7),0.000000001),C7)+C7)^2+(IF(ISNUMBER(E21),E21/MAX((F21/C7),0.000000001),0))^2)),0.000000001)),0),"")</f>
        <v/>
      </c>
      <c r="H84" s="39" t="str">
        <f aca="false">IF(F21&lt;&gt;"",IFERROR(MAX(0,-10*LOG10(1-((IF(ISNUMBER(D21),D21/MAX((F21/C7),0.000000001),C7)-C7)^2+(IF(ISNUMBER(E21),E21/MAX((F21/C7),0.000000001),0))^2)/((IF(ISNUMBER(D21),D21/MAX((F21/C7),0.000000001),C7)+C7)^2+(IF(ISNUMBER(E21),E21/MAX((F21/C7),0.000000001),0))^2))),0),"")</f>
        <v/>
      </c>
      <c r="I84" s="39" t="str">
        <f aca="false">IF(F21&lt;&gt;"",IFERROR(((IF(ISNUMBER(D21),D21/MAX((F21/C7),0.000000001),C7)-C7)^2+(IF(ISNUMBER(E21),E21/MAX((F21/C7),0.000000001),0))^2)/((IF(ISNUMBER(D21),D21/MAX((F21/C7),0.000000001),C7)+C7)^2+(IF(ISNUMBER(E21),E21/MAX((F21/C7),0.000000001),0))^2)*100,0),"")</f>
        <v/>
      </c>
    </row>
    <row r="85" customFormat="false" ht="15" hidden="false" customHeight="true" outlineLevel="0" collapsed="false">
      <c r="B85" s="20" t="n">
        <v>8</v>
      </c>
      <c r="C85" s="18" t="n">
        <f aca="false">C22</f>
        <v>0</v>
      </c>
      <c r="D85" s="16" t="str">
        <f aca="false">F22</f>
        <v/>
      </c>
      <c r="E85" s="38" t="str">
        <f aca="false">G22</f>
        <v/>
      </c>
      <c r="F85" s="39" t="str">
        <f aca="false">IF(F22&lt;&gt;"",IFERROR((1+SQRT(((IF(ISNUMBER(D22),D22/MAX((F22/C7),0.000000001),C7)-C7)^2+(IF(ISNUMBER(E22),E22/MAX((F22/C7),0.000000001),0))^2)/((IF(ISNUMBER(D22),D22/MAX((F22/C7),0.000000001),C7)+C7)^2+(IF(ISNUMBER(E22),E22/MAX((F22/C7),0.000000001),0))^2)))/(1-SQRT(((IF(ISNUMBER(D22),D22/MAX((F22/C7),0.000000001),C7)-C7)^2+(IF(ISNUMBER(E22),E22/MAX((F22/C7),0.000000001),0))^2)/((IF(ISNUMBER(D22),D22/MAX((F22/C7),0.000000001),C7)+C7)^2+(IF(ISNUMBER(E22),E22/MAX((F22/C7),0.000000001),0))^2))),999),"")</f>
        <v/>
      </c>
      <c r="G85" s="38" t="str">
        <f aca="false">IF(F22&lt;&gt;"",IFERROR(-20*LOG10(MAX(SQRT(((IF(ISNUMBER(D22),D22/MAX((F22/C7),0.000000001),C7)-C7)^2+(IF(ISNUMBER(E22),E22/MAX((F22/C7),0.000000001),0))^2)/((IF(ISNUMBER(D22),D22/MAX((F22/C7),0.000000001),C7)+C7)^2+(IF(ISNUMBER(E22),E22/MAX((F22/C7),0.000000001),0))^2)),0.000000001)),0),"")</f>
        <v/>
      </c>
      <c r="H85" s="39" t="str">
        <f aca="false">IF(F22&lt;&gt;"",IFERROR(MAX(0,-10*LOG10(1-((IF(ISNUMBER(D22),D22/MAX((F22/C7),0.000000001),C7)-C7)^2+(IF(ISNUMBER(E22),E22/MAX((F22/C7),0.000000001),0))^2)/((IF(ISNUMBER(D22),D22/MAX((F22/C7),0.000000001),C7)+C7)^2+(IF(ISNUMBER(E22),E22/MAX((F22/C7),0.000000001),0))^2))),0),"")</f>
        <v/>
      </c>
      <c r="I85" s="39" t="str">
        <f aca="false">IF(F22&lt;&gt;"",IFERROR(((IF(ISNUMBER(D22),D22/MAX((F22/C7),0.000000001),C7)-C7)^2+(IF(ISNUMBER(E22),E22/MAX((F22/C7),0.000000001),0))^2)/((IF(ISNUMBER(D22),D22/MAX((F22/C7),0.000000001),C7)+C7)^2+(IF(ISNUMBER(E22),E22/MAX((F22/C7),0.000000001),0))^2)*100,0),"")</f>
        <v/>
      </c>
    </row>
    <row r="86" customFormat="false" ht="15" hidden="false" customHeight="true" outlineLevel="0" collapsed="false">
      <c r="B86" s="13" t="n">
        <v>9</v>
      </c>
      <c r="C86" s="18" t="n">
        <f aca="false">C23</f>
        <v>0</v>
      </c>
      <c r="D86" s="16" t="str">
        <f aca="false">F23</f>
        <v/>
      </c>
      <c r="E86" s="38" t="str">
        <f aca="false">G23</f>
        <v/>
      </c>
      <c r="F86" s="39" t="str">
        <f aca="false">IF(F23&lt;&gt;"",IFERROR((1+SQRT(((IF(ISNUMBER(D23),D23/MAX((F23/C7),0.000000001),C7)-C7)^2+(IF(ISNUMBER(E23),E23/MAX((F23/C7),0.000000001),0))^2)/((IF(ISNUMBER(D23),D23/MAX((F23/C7),0.000000001),C7)+C7)^2+(IF(ISNUMBER(E23),E23/MAX((F23/C7),0.000000001),0))^2)))/(1-SQRT(((IF(ISNUMBER(D23),D23/MAX((F23/C7),0.000000001),C7)-C7)^2+(IF(ISNUMBER(E23),E23/MAX((F23/C7),0.000000001),0))^2)/((IF(ISNUMBER(D23),D23/MAX((F23/C7),0.000000001),C7)+C7)^2+(IF(ISNUMBER(E23),E23/MAX((F23/C7),0.000000001),0))^2))),999),"")</f>
        <v/>
      </c>
      <c r="G86" s="38" t="str">
        <f aca="false">IF(F23&lt;&gt;"",IFERROR(-20*LOG10(MAX(SQRT(((IF(ISNUMBER(D23),D23/MAX((F23/C7),0.000000001),C7)-C7)^2+(IF(ISNUMBER(E23),E23/MAX((F23/C7),0.000000001),0))^2)/((IF(ISNUMBER(D23),D23/MAX((F23/C7),0.000000001),C7)+C7)^2+(IF(ISNUMBER(E23),E23/MAX((F23/C7),0.000000001),0))^2)),0.000000001)),0),"")</f>
        <v/>
      </c>
      <c r="H86" s="39" t="str">
        <f aca="false">IF(F23&lt;&gt;"",IFERROR(MAX(0,-10*LOG10(1-((IF(ISNUMBER(D23),D23/MAX((F23/C7),0.000000001),C7)-C7)^2+(IF(ISNUMBER(E23),E23/MAX((F23/C7),0.000000001),0))^2)/((IF(ISNUMBER(D23),D23/MAX((F23/C7),0.000000001),C7)+C7)^2+(IF(ISNUMBER(E23),E23/MAX((F23/C7),0.000000001),0))^2))),0),"")</f>
        <v/>
      </c>
      <c r="I86" s="39" t="str">
        <f aca="false">IF(F23&lt;&gt;"",IFERROR(((IF(ISNUMBER(D23),D23/MAX((F23/C7),0.000000001),C7)-C7)^2+(IF(ISNUMBER(E23),E23/MAX((F23/C7),0.000000001),0))^2)/((IF(ISNUMBER(D23),D23/MAX((F23/C7),0.000000001),C7)+C7)^2+(IF(ISNUMBER(E23),E23/MAX((F23/C7),0.000000001),0))^2)*100,0),"")</f>
        <v/>
      </c>
    </row>
    <row r="87" customFormat="false" ht="15" hidden="false" customHeight="true" outlineLevel="0" collapsed="false">
      <c r="B87" s="20" t="n">
        <v>10</v>
      </c>
      <c r="C87" s="18" t="n">
        <f aca="false">C24</f>
        <v>0</v>
      </c>
      <c r="D87" s="16" t="str">
        <f aca="false">F24</f>
        <v/>
      </c>
      <c r="E87" s="38" t="str">
        <f aca="false">G24</f>
        <v/>
      </c>
      <c r="F87" s="39" t="str">
        <f aca="false">IF(F24&lt;&gt;"",IFERROR((1+SQRT(((IF(ISNUMBER(D24),D24/MAX((F24/C7),0.000000001),C7)-C7)^2+(IF(ISNUMBER(E24),E24/MAX((F24/C7),0.000000001),0))^2)/((IF(ISNUMBER(D24),D24/MAX((F24/C7),0.000000001),C7)+C7)^2+(IF(ISNUMBER(E24),E24/MAX((F24/C7),0.000000001),0))^2)))/(1-SQRT(((IF(ISNUMBER(D24),D24/MAX((F24/C7),0.000000001),C7)-C7)^2+(IF(ISNUMBER(E24),E24/MAX((F24/C7),0.000000001),0))^2)/((IF(ISNUMBER(D24),D24/MAX((F24/C7),0.000000001),C7)+C7)^2+(IF(ISNUMBER(E24),E24/MAX((F24/C7),0.000000001),0))^2))),999),"")</f>
        <v/>
      </c>
      <c r="G87" s="38" t="str">
        <f aca="false">IF(F24&lt;&gt;"",IFERROR(-20*LOG10(MAX(SQRT(((IF(ISNUMBER(D24),D24/MAX((F24/C7),0.000000001),C7)-C7)^2+(IF(ISNUMBER(E24),E24/MAX((F24/C7),0.000000001),0))^2)/((IF(ISNUMBER(D24),D24/MAX((F24/C7),0.000000001),C7)+C7)^2+(IF(ISNUMBER(E24),E24/MAX((F24/C7),0.000000001),0))^2)),0.000000001)),0),"")</f>
        <v/>
      </c>
      <c r="H87" s="39" t="str">
        <f aca="false">IF(F24&lt;&gt;"",IFERROR(MAX(0,-10*LOG10(1-((IF(ISNUMBER(D24),D24/MAX((F24/C7),0.000000001),C7)-C7)^2+(IF(ISNUMBER(E24),E24/MAX((F24/C7),0.000000001),0))^2)/((IF(ISNUMBER(D24),D24/MAX((F24/C7),0.000000001),C7)+C7)^2+(IF(ISNUMBER(E24),E24/MAX((F24/C7),0.000000001),0))^2))),0),"")</f>
        <v/>
      </c>
      <c r="I87" s="39" t="str">
        <f aca="false">IF(F24&lt;&gt;"",IFERROR(((IF(ISNUMBER(D24),D24/MAX((F24/C7),0.000000001),C7)-C7)^2+(IF(ISNUMBER(E24),E24/MAX((F24/C7),0.000000001),0))^2)/((IF(ISNUMBER(D24),D24/MAX((F24/C7),0.000000001),C7)+C7)^2+(IF(ISNUMBER(E24),E24/MAX((F24/C7),0.000000001),0))^2)*100,0),"")</f>
        <v/>
      </c>
    </row>
    <row r="88" customFormat="false" ht="15" hidden="false" customHeight="true" outlineLevel="0" collapsed="false">
      <c r="B88" s="13" t="n">
        <v>11</v>
      </c>
      <c r="C88" s="18" t="n">
        <f aca="false">C25</f>
        <v>0</v>
      </c>
      <c r="D88" s="16" t="str">
        <f aca="false">F25</f>
        <v/>
      </c>
      <c r="E88" s="38" t="str">
        <f aca="false">G25</f>
        <v/>
      </c>
      <c r="F88" s="39" t="str">
        <f aca="false">IF(F25&lt;&gt;"",IFERROR((1+SQRT(((IF(ISNUMBER(D25),D25/MAX((F25/C7),0.000000001),C7)-C7)^2+(IF(ISNUMBER(E25),E25/MAX((F25/C7),0.000000001),0))^2)/((IF(ISNUMBER(D25),D25/MAX((F25/C7),0.000000001),C7)+C7)^2+(IF(ISNUMBER(E25),E25/MAX((F25/C7),0.000000001),0))^2)))/(1-SQRT(((IF(ISNUMBER(D25),D25/MAX((F25/C7),0.000000001),C7)-C7)^2+(IF(ISNUMBER(E25),E25/MAX((F25/C7),0.000000001),0))^2)/((IF(ISNUMBER(D25),D25/MAX((F25/C7),0.000000001),C7)+C7)^2+(IF(ISNUMBER(E25),E25/MAX((F25/C7),0.000000001),0))^2))),999),"")</f>
        <v/>
      </c>
      <c r="G88" s="38" t="str">
        <f aca="false">IF(F25&lt;&gt;"",IFERROR(-20*LOG10(MAX(SQRT(((IF(ISNUMBER(D25),D25/MAX((F25/C7),0.000000001),C7)-C7)^2+(IF(ISNUMBER(E25),E25/MAX((F25/C7),0.000000001),0))^2)/((IF(ISNUMBER(D25),D25/MAX((F25/C7),0.000000001),C7)+C7)^2+(IF(ISNUMBER(E25),E25/MAX((F25/C7),0.000000001),0))^2)),0.000000001)),0),"")</f>
        <v/>
      </c>
      <c r="H88" s="39" t="str">
        <f aca="false">IF(F25&lt;&gt;"",IFERROR(MAX(0,-10*LOG10(1-((IF(ISNUMBER(D25),D25/MAX((F25/C7),0.000000001),C7)-C7)^2+(IF(ISNUMBER(E25),E25/MAX((F25/C7),0.000000001),0))^2)/((IF(ISNUMBER(D25),D25/MAX((F25/C7),0.000000001),C7)+C7)^2+(IF(ISNUMBER(E25),E25/MAX((F25/C7),0.000000001),0))^2))),0),"")</f>
        <v/>
      </c>
      <c r="I88" s="39" t="str">
        <f aca="false">IF(F25&lt;&gt;"",IFERROR(((IF(ISNUMBER(D25),D25/MAX((F25/C7),0.000000001),C7)-C7)^2+(IF(ISNUMBER(E25),E25/MAX((F25/C7),0.000000001),0))^2)/((IF(ISNUMBER(D25),D25/MAX((F25/C7),0.000000001),C7)+C7)^2+(IF(ISNUMBER(E25),E25/MAX((F25/C7),0.000000001),0))^2)*100,0),"")</f>
        <v/>
      </c>
    </row>
    <row r="90" customFormat="false" ht="15" hidden="false" customHeight="true" outlineLevel="0" collapsed="false">
      <c r="B90" s="40" t="s">
        <v>69</v>
      </c>
      <c r="C90" s="40"/>
      <c r="D90" s="40"/>
      <c r="E90" s="40"/>
      <c r="F90" s="40"/>
      <c r="G90" s="40"/>
      <c r="H90" s="40"/>
      <c r="I90" s="40"/>
    </row>
    <row r="91" customFormat="false" ht="15" hidden="false" customHeight="true" outlineLevel="0" collapsed="false">
      <c r="B91" s="41" t="s">
        <v>70</v>
      </c>
      <c r="C91" s="41"/>
      <c r="D91" s="41"/>
      <c r="E91" s="41"/>
      <c r="F91" s="41"/>
      <c r="G91" s="41"/>
      <c r="H91" s="41"/>
      <c r="I91" s="41"/>
    </row>
    <row r="92" customFormat="false" ht="15" hidden="false" customHeight="true" outlineLevel="0" collapsed="false">
      <c r="B92" s="41" t="s">
        <v>71</v>
      </c>
      <c r="C92" s="41"/>
      <c r="D92" s="41"/>
      <c r="E92" s="41"/>
      <c r="F92" s="41"/>
      <c r="G92" s="41"/>
      <c r="H92" s="41"/>
      <c r="I92" s="41"/>
    </row>
    <row r="93" customFormat="false" ht="15" hidden="false" customHeight="true" outlineLevel="0" collapsed="false">
      <c r="B93" s="41" t="s">
        <v>72</v>
      </c>
      <c r="C93" s="41"/>
      <c r="D93" s="41"/>
      <c r="E93" s="41"/>
      <c r="F93" s="41"/>
      <c r="G93" s="41"/>
      <c r="H93" s="41"/>
      <c r="I93" s="41"/>
    </row>
    <row r="94" customFormat="false" ht="15" hidden="false" customHeight="true" outlineLevel="0" collapsed="false">
      <c r="B94" s="41" t="s">
        <v>73</v>
      </c>
      <c r="C94" s="41"/>
      <c r="D94" s="41"/>
      <c r="E94" s="41"/>
      <c r="F94" s="41"/>
      <c r="G94" s="41"/>
      <c r="H94" s="41"/>
      <c r="I94" s="41"/>
    </row>
    <row r="95" customFormat="false" ht="15" hidden="false" customHeight="true" outlineLevel="0" collapsed="false">
      <c r="B95" s="41" t="s">
        <v>74</v>
      </c>
      <c r="C95" s="41"/>
      <c r="D95" s="41"/>
      <c r="E95" s="41"/>
      <c r="F95" s="41"/>
      <c r="G95" s="41"/>
      <c r="H95" s="41"/>
      <c r="I95" s="41"/>
    </row>
    <row r="96" customFormat="false" ht="15" hidden="false" customHeight="true" outlineLevel="0" collapsed="false">
      <c r="B96" s="41" t="s">
        <v>75</v>
      </c>
      <c r="C96" s="41"/>
      <c r="D96" s="41"/>
      <c r="E96" s="41"/>
      <c r="F96" s="41"/>
      <c r="G96" s="41"/>
      <c r="H96" s="41"/>
      <c r="I96" s="41"/>
    </row>
    <row r="97" customFormat="false" ht="15" hidden="false" customHeight="true" outlineLevel="0" collapsed="false">
      <c r="B97" s="41" t="s">
        <v>76</v>
      </c>
      <c r="C97" s="41"/>
      <c r="D97" s="41"/>
      <c r="E97" s="41"/>
      <c r="F97" s="41"/>
      <c r="G97" s="41"/>
      <c r="H97" s="41"/>
      <c r="I97" s="41"/>
    </row>
    <row r="99" customFormat="false" ht="15" hidden="false" customHeight="true" outlineLevel="0" collapsed="false">
      <c r="B99" s="2" t="s">
        <v>77</v>
      </c>
      <c r="C99" s="2"/>
      <c r="D99" s="2"/>
      <c r="E99" s="2"/>
      <c r="F99" s="2"/>
      <c r="G99" s="2"/>
    </row>
    <row r="100" customFormat="false" ht="15" hidden="false" customHeight="true" outlineLevel="0" collapsed="false">
      <c r="B100" s="3" t="s">
        <v>78</v>
      </c>
      <c r="C100" s="3"/>
      <c r="D100" s="3"/>
      <c r="E100" s="3"/>
      <c r="F100" s="3"/>
      <c r="G100" s="3"/>
    </row>
    <row r="102" customFormat="false" ht="15" hidden="false" customHeight="true" outlineLevel="0" collapsed="false">
      <c r="B102" s="4" t="s">
        <v>79</v>
      </c>
      <c r="C102" s="4"/>
      <c r="D102" s="4"/>
      <c r="E102" s="4"/>
      <c r="F102" s="4"/>
      <c r="G102" s="4"/>
    </row>
    <row r="103" customFormat="false" ht="15" hidden="false" customHeight="true" outlineLevel="0" collapsed="false">
      <c r="B103" s="5" t="s">
        <v>3</v>
      </c>
      <c r="C103" s="5" t="s">
        <v>4</v>
      </c>
      <c r="D103" s="5" t="s">
        <v>5</v>
      </c>
      <c r="E103" s="5" t="s">
        <v>80</v>
      </c>
      <c r="F103" s="5"/>
      <c r="G103" s="5"/>
    </row>
    <row r="104" customFormat="false" ht="15" hidden="false" customHeight="true" outlineLevel="0" collapsed="false">
      <c r="B104" s="6" t="s">
        <v>81</v>
      </c>
      <c r="C104" s="42" t="n">
        <f aca="false">C9</f>
        <v>16</v>
      </c>
      <c r="D104" s="8" t="s">
        <v>11</v>
      </c>
      <c r="E104" s="9" t="s">
        <v>82</v>
      </c>
      <c r="F104" s="9"/>
      <c r="G104" s="9"/>
    </row>
    <row r="105" customFormat="false" ht="15" hidden="false" customHeight="true" outlineLevel="0" collapsed="false">
      <c r="B105" s="6" t="s">
        <v>83</v>
      </c>
      <c r="C105" s="42" t="n">
        <f aca="false">C8</f>
        <v>0.45</v>
      </c>
      <c r="D105" s="8" t="s">
        <v>11</v>
      </c>
      <c r="E105" s="9" t="s">
        <v>84</v>
      </c>
      <c r="F105" s="9"/>
      <c r="G105" s="9"/>
    </row>
    <row r="106" customFormat="false" ht="15" hidden="false" customHeight="true" outlineLevel="0" collapsed="false">
      <c r="B106" s="6" t="s">
        <v>85</v>
      </c>
      <c r="C106" s="42" t="n">
        <f aca="false">MAX(C8*1.1,C8+0.05)</f>
        <v>0.5</v>
      </c>
      <c r="D106" s="8" t="s">
        <v>11</v>
      </c>
      <c r="E106" s="9" t="s">
        <v>86</v>
      </c>
      <c r="F106" s="9"/>
      <c r="G106" s="9"/>
    </row>
    <row r="107" customFormat="false" ht="15" hidden="false" customHeight="true" outlineLevel="0" collapsed="false">
      <c r="B107" s="6" t="s">
        <v>87</v>
      </c>
      <c r="C107" s="18" t="n">
        <f aca="false">IFERROR(IF(E71&lt;&gt;"",VALUE(E71),10),10)</f>
        <v>80</v>
      </c>
      <c r="D107" s="8" t="s">
        <v>37</v>
      </c>
      <c r="E107" s="9" t="s">
        <v>88</v>
      </c>
      <c r="F107" s="9"/>
      <c r="G107" s="9"/>
    </row>
    <row r="109" customFormat="false" ht="15" hidden="false" customHeight="true" outlineLevel="0" collapsed="false">
      <c r="B109" s="4" t="s">
        <v>89</v>
      </c>
      <c r="C109" s="4"/>
      <c r="D109" s="4"/>
      <c r="E109" s="4"/>
      <c r="F109" s="4"/>
      <c r="G109" s="4"/>
    </row>
    <row r="110" customFormat="false" ht="15" hidden="false" customHeight="true" outlineLevel="0" collapsed="false">
      <c r="B110" s="5" t="s">
        <v>3</v>
      </c>
      <c r="C110" s="5" t="s">
        <v>4</v>
      </c>
      <c r="D110" s="5" t="s">
        <v>5</v>
      </c>
      <c r="E110" s="5" t="s">
        <v>90</v>
      </c>
      <c r="F110" s="5"/>
      <c r="G110" s="5"/>
    </row>
    <row r="111" customFormat="false" ht="15" hidden="false" customHeight="true" outlineLevel="0" collapsed="false">
      <c r="B111" s="6" t="s">
        <v>91</v>
      </c>
      <c r="C111" s="43" t="n">
        <f aca="false">IFERROR(IF(C107&gt;0,(C107-1)*C106+C105,""),"")</f>
        <v>39.95</v>
      </c>
      <c r="D111" s="8" t="s">
        <v>11</v>
      </c>
      <c r="E111" s="9" t="s">
        <v>92</v>
      </c>
      <c r="F111" s="9"/>
      <c r="G111" s="9"/>
    </row>
    <row r="112" customFormat="false" ht="25.5" hidden="false" customHeight="true" outlineLevel="0" collapsed="false">
      <c r="B112" s="6" t="s">
        <v>93</v>
      </c>
      <c r="C112" s="43" t="n">
        <f aca="false">(C104+C105)/2</f>
        <v>8.225</v>
      </c>
      <c r="D112" s="8" t="s">
        <v>11</v>
      </c>
      <c r="E112" s="9" t="s">
        <v>94</v>
      </c>
      <c r="F112" s="9"/>
      <c r="G112" s="9"/>
    </row>
    <row r="113" customFormat="false" ht="15" hidden="false" customHeight="true" outlineLevel="0" collapsed="false">
      <c r="B113" s="6" t="s">
        <v>95</v>
      </c>
      <c r="C113" s="43" t="n">
        <f aca="false">((C104+C105)/2)/25.4</f>
        <v>0.323818897637795</v>
      </c>
      <c r="D113" s="8" t="s">
        <v>96</v>
      </c>
      <c r="E113" s="9" t="s">
        <v>97</v>
      </c>
      <c r="F113" s="9"/>
      <c r="G113" s="9"/>
    </row>
    <row r="114" customFormat="false" ht="15" hidden="false" customHeight="true" outlineLevel="0" collapsed="false">
      <c r="B114" s="6" t="s">
        <v>98</v>
      </c>
      <c r="C114" s="43" t="n">
        <f aca="false">IFERROR(C111/25.4,"")</f>
        <v>1.57283464566929</v>
      </c>
      <c r="D114" s="8" t="s">
        <v>96</v>
      </c>
      <c r="E114" s="9" t="s">
        <v>97</v>
      </c>
      <c r="F114" s="9"/>
      <c r="G114" s="9"/>
    </row>
    <row r="115" customFormat="false" ht="15" hidden="false" customHeight="true" outlineLevel="0" collapsed="false">
      <c r="B115" s="6" t="s">
        <v>99</v>
      </c>
      <c r="C115" s="43" t="n">
        <f aca="false">IFERROR((C113^2*C107^2)/(9*C113+10*C114),"")</f>
        <v>35.9977335339286</v>
      </c>
      <c r="D115" s="8" t="s">
        <v>41</v>
      </c>
      <c r="E115" s="9" t="s">
        <v>100</v>
      </c>
      <c r="F115" s="9"/>
      <c r="G115" s="9"/>
    </row>
    <row r="116" customFormat="false" ht="15" hidden="false" customHeight="true" outlineLevel="0" collapsed="false">
      <c r="B116" s="6" t="s">
        <v>101</v>
      </c>
      <c r="C116" s="43" t="n">
        <f aca="false">IFERROR(2*PI()*C32*1000000*C115/1000000,"")</f>
        <v>1628.49909911145</v>
      </c>
      <c r="D116" s="8" t="s">
        <v>8</v>
      </c>
      <c r="E116" s="9" t="s">
        <v>102</v>
      </c>
      <c r="F116" s="9"/>
      <c r="G116" s="9"/>
    </row>
    <row r="117" customFormat="false" ht="15" hidden="false" customHeight="true" outlineLevel="0" collapsed="false">
      <c r="B117" s="6" t="s">
        <v>103</v>
      </c>
      <c r="C117" s="43" t="n">
        <f aca="false">IFERROR(4*MIN(F15:F25)/(2*PI()*C32*1000000)*1000000,"")</f>
        <v>17.6838825657662</v>
      </c>
      <c r="D117" s="8" t="s">
        <v>41</v>
      </c>
      <c r="E117" s="9" t="s">
        <v>104</v>
      </c>
      <c r="F117" s="9"/>
      <c r="G117" s="9"/>
    </row>
    <row r="118" customFormat="false" ht="15" hidden="false" customHeight="true" outlineLevel="0" collapsed="false">
      <c r="B118" s="6" t="s">
        <v>105</v>
      </c>
      <c r="C118" s="43" t="str">
        <f aca="false">IFERROR(IF(AND(ISNUMBER(C115),ISNUMBER(C117)),IF(C115&gt;=C117,"✔ YES","✘ INCREASE TURNS"),"—"),"")</f>
        <v>✔ YES</v>
      </c>
      <c r="D118" s="8" t="s">
        <v>106</v>
      </c>
      <c r="E118" s="9" t="s">
        <v>107</v>
      </c>
      <c r="F118" s="9"/>
      <c r="G118" s="9"/>
    </row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47">
    <mergeCell ref="B2:I2"/>
    <mergeCell ref="B3:I3"/>
    <mergeCell ref="B5:I5"/>
    <mergeCell ref="E6:I6"/>
    <mergeCell ref="E7:H7"/>
    <mergeCell ref="E8:H8"/>
    <mergeCell ref="E9:H9"/>
    <mergeCell ref="E10:H10"/>
    <mergeCell ref="E11:I11"/>
    <mergeCell ref="B13:I13"/>
    <mergeCell ref="B27:J27"/>
    <mergeCell ref="B28:J28"/>
    <mergeCell ref="B30:D30"/>
    <mergeCell ref="B40:J40"/>
    <mergeCell ref="B54:J54"/>
    <mergeCell ref="B55:J55"/>
    <mergeCell ref="B57:J57"/>
    <mergeCell ref="B71:D71"/>
    <mergeCell ref="B73:I73"/>
    <mergeCell ref="B74:I74"/>
    <mergeCell ref="B76:I76"/>
    <mergeCell ref="B90:I90"/>
    <mergeCell ref="B91:I91"/>
    <mergeCell ref="B92:I92"/>
    <mergeCell ref="B93:I93"/>
    <mergeCell ref="B94:I94"/>
    <mergeCell ref="B95:I95"/>
    <mergeCell ref="B96:I96"/>
    <mergeCell ref="B97:I97"/>
    <mergeCell ref="B99:G99"/>
    <mergeCell ref="B100:G100"/>
    <mergeCell ref="B102:G102"/>
    <mergeCell ref="E103:G103"/>
    <mergeCell ref="E104:G104"/>
    <mergeCell ref="E105:G105"/>
    <mergeCell ref="E106:G106"/>
    <mergeCell ref="E107:G107"/>
    <mergeCell ref="B109:G109"/>
    <mergeCell ref="E110:G110"/>
    <mergeCell ref="E111:G111"/>
    <mergeCell ref="E112:G112"/>
    <mergeCell ref="E113:G113"/>
    <mergeCell ref="E114:G114"/>
    <mergeCell ref="E115:G115"/>
    <mergeCell ref="E116:G116"/>
    <mergeCell ref="E117:G117"/>
    <mergeCell ref="E118:G1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2026-05-30T00:15:53Z</dcterms:created>
  <dc:creator>openpyxl</dc:creator>
  <dc:description/>
  <dc:language>es-AR</dc:language>
  <cp:lastModifiedBy/>
  <dcterms:modified xsi:type="dcterms:W3CDTF">2026-05-30T09:51:28Z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