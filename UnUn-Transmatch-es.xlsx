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UnUn Calculator" sheetId="1" state="visible" r:id="rId3"/>
    <sheet name="Transmatch Calculator" sheetId="2" state="visible" r:id="rId4"/>
    <sheet name="Toroid_Database" sheetId="3" state="visible" r:id="rId5"/>
  </sheets>
  <definedNames>
    <definedName function="false" hidden="false" name="ActiveBands" vbProcedure="false">OFFSET(#REF!,0,0,COUNTA(#REF!),1)</definedName>
    <definedName function="false" hidden="false" name="Top10WireLengths"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<sst xmlns="http://schemas.openxmlformats.org/spreadsheetml/2006/main" count="310" uniqueCount="249">
  <si>
    <t xml:space="preserve">Calculadora de UnUn y Adaptación de Impedancias</t>
  </si>
  <si>
    <t xml:space="preserve">Por  Emiliano Gonzalez LU3VEA – lu3vea@gmail.com – Licencia: CC0 v1.0</t>
  </si>
  <si>
    <t xml:space="preserve">1. Parámetros del Sistema (Entradas)</t>
  </si>
  <si>
    <t xml:space="preserve">Frecuencia de Operación</t>
  </si>
  <si>
    <t xml:space="preserve">MHz  [auto ↑]</t>
  </si>
  <si>
    <t xml:space="preserve">Impedancia de Entrada Objetivo (Real, Rin)</t>
  </si>
  <si>
    <t xml:space="preserve">Ohmios (Ω)</t>
  </si>
  <si>
    <t xml:space="preserve">Impedancia de Entrada Objetivo (Imag, Xin)</t>
  </si>
  <si>
    <t xml:space="preserve">Impedancia de Salida / Carga (Real, Rout)</t>
  </si>
  <si>
    <t xml:space="preserve">Ω</t>
  </si>
  <si>
    <t xml:space="preserve">Impedancia de Salida / Carga (Imag, Xout)</t>
  </si>
  <si>
    <t xml:space="preserve">Selección del Núcleo Toroidal</t>
  </si>
  <si>
    <t xml:space="preserve">FT-240-31</t>
  </si>
  <si>
    <t xml:space="preserve">Vueltas del Bobinado Primario (Np)</t>
  </si>
  <si>
    <t xml:space="preserve">Vueltas</t>
  </si>
  <si>
    <t xml:space="preserve">Diámetro del Hilo de Bobinado</t>
  </si>
  <si>
    <t xml:space="preserve">mm</t>
  </si>
  <si>
    <t xml:space="preserve">2. Propiedades del Transformador UnUn</t>
  </si>
  <si>
    <t xml:space="preserve">Relación de Impedancias (Rout / Rin)</t>
  </si>
  <si>
    <t xml:space="preserve">: 1</t>
  </si>
  <si>
    <t xml:space="preserve">← Usa solo la parte resistiva. Correcto: igualar R, luego cancelar X por separado con L/C en serie. Para carga compleja, el UnUn ideal apunta a Rin=Rout.</t>
  </si>
  <si>
    <t xml:space="preserve">Relación de Vueltas (Ns / Np)</t>
  </si>
  <si>
    <t xml:space="preserve">Vueltas Secundarias Calculadas (Ns)</t>
  </si>
  <si>
    <t xml:space="preserve">Vueltas Secundarias Reales (Redondeadas)</t>
  </si>
  <si>
    <t xml:space="preserve">Relación de Impedancias Real (Basada en Vueltas)</t>
  </si>
  <si>
    <t xml:space="preserve">Reactancia de Carga Transformada (Vista en la Entrada)</t>
  </si>
  <si>
    <t xml:space="preserve">2.1  Parámetros de Bobinado del Autotransformador</t>
  </si>
  <si>
    <t xml:space="preserve">Vueltas Totales del Bobinado (Nt)</t>
  </si>
  <si>
    <t xml:space="preserve">← Vueltas totales del bobinado = Ns (Vueltas Secundarias Reales de la Sección 2)</t>
  </si>
  <si>
    <t xml:space="preserve">Vueltas de Toma para Entrada (N_tap)</t>
  </si>
  <si>
    <t xml:space="preserve">← Toma de entrada = Np (Vueltas Primarias, Sección 1). Conectar coax en 0–N_tap vueltas; antena en todo el bobinado 0–Nt.</t>
  </si>
  <si>
    <t xml:space="preserve">Vueltas por Encima de la Toma (Nt − N_tap)</t>
  </si>
  <si>
    <t xml:space="preserve">← Vueltas de bobinado desde la toma hasta el extremo de la bobina (lado antena)</t>
  </si>
  <si>
    <t xml:space="preserve">Verificación de Relación de Impedancias (Nt/N_tap)²</t>
  </si>
  <si>
    <t xml:space="preserve">← Debe coincidir con la Relación de Impedancias Real (C21). Verifica que el cálculo de la toma sea consistente.</t>
  </si>
  <si>
    <t xml:space="preserve">Long. Aprox. de Hilo por Vuelta (m)</t>
  </si>
  <si>
    <t xml:space="preserve">m / vuelta</t>
  </si>
  <si>
    <t xml:space="preserve">← Estimado: π × (diámetro medio del toroide = (OD+ID)/2). El valor real varía con el diámetro del hilo y el estilo de bobinado.</t>
  </si>
  <si>
    <t xml:space="preserve">Longitud Total de Hilo Requerida (m)</t>
  </si>
  <si>
    <t xml:space="preserve">m</t>
  </si>
  <si>
    <t xml:space="preserve">← Nt × hilo-por-vuelta. Añadir 15–20 cm extra para terminales.</t>
  </si>
  <si>
    <t xml:space="preserve">3. Compensación de Reactancia (Adaptación)</t>
  </si>
  <si>
    <t xml:space="preserve">Para lograr una adaptación perfecta, la parte imaginaria de la carga debe neutralizarse. Esto se hace típicamente añadiendo reactancia en serie en el lado de la carga antes del UnUn.</t>
  </si>
  <si>
    <t xml:space="preserve">Reactancia de Compensación Requerida (Xcomp)</t>
  </si>
  <si>
    <t xml:space="preserve">Tipo de Componente Necesario</t>
  </si>
  <si>
    <t xml:space="preserve">Valor del Componente (L o C)</t>
  </si>
  <si>
    <t xml:space="preserve">← Valor estándar (L: Redondeado, C: Estd 5%)</t>
  </si>
  <si>
    <t xml:space="preserve">Unidad</t>
  </si>
  <si>
    <t xml:space="preserve">4. Magnéticos del Toroide y Verificación de Diseño</t>
  </si>
  <si>
    <t xml:space="preserve">Valor AL del Núcleo</t>
  </si>
  <si>
    <t xml:space="preserve">nH/N²</t>
  </si>
  <si>
    <t xml:space="preserve">Inductancia Primaria (Lp)</t>
  </si>
  <si>
    <t xml:space="preserve">µH</t>
  </si>
  <si>
    <t xml:space="preserve">Reactancia Primaria (XLp) @ Frec</t>
  </si>
  <si>
    <t xml:space="preserve">Verificación de Diseño (Regla General: XLp &gt; 4*Rin)</t>
  </si>
  <si>
    <t xml:space="preserve">Nota: La reactancia primaria (XLp) debe ser generalmente al menos 4 a 5 veces la impedancia de entrada (p.ej., &gt; 200Ω para un sistema de 50Ω) para evitar que el transformador cargue la fuente.</t>
  </si>
  <si>
    <t xml:space="preserve">5. Saturación del Núcleo y Manejo de Potencia Máxima</t>
  </si>
  <si>
    <t xml:space="preserve">La saturación del núcleo toroidal limita el manejo de potencia RF. Superar Bmax causa distorsión y calentamiento del núcleo. Los núcleos de polvo de hierro (Mix 2/6) se califican por densidad de flujo; los núcleos de ferrita (Mix 31/43) tienen menor Bsat.</t>
  </si>
  <si>
    <t xml:space="preserve">6a. Entradas de Saturación</t>
  </si>
  <si>
    <t xml:space="preserve">Efectiva del Núcleo Ae (cm²): </t>
  </si>
  <si>
    <t xml:space="preserve">cm²</t>
  </si>
  <si>
    <t xml:space="preserve">← Autocompletado desde la selección del núcleo (catálogo Fair-Rite 2023; hoja de datos Amidon para núcleos T). Reemplazar si se usa un núcleo personalizado.</t>
  </si>
  <si>
    <t xml:space="preserve">Max Densidad de Flujo (mT): </t>
  </si>
  <si>
    <t xml:space="preserve">mT</t>
  </si>
  <si>
    <t xml:space="preserve">← 200 mT ferrita (Mix 31/43/52/61) conservador; 300 mT polvo de hierro (Mix 2/6). Reducir 20% para transmisión continua (FT8/WSPR).</t>
  </si>
  <si>
    <t xml:space="preserve">6b. Cálculos de Manejo de Potencia</t>
  </si>
  <si>
    <t xml:space="preserve">Max Voltaje de entrada antes de la Saturación (Vpeak): </t>
  </si>
  <si>
    <t xml:space="preserve">V pico</t>
  </si>
  <si>
    <t xml:space="preserve">Magnetic Sat. Limit (P_avg) into 50 Ω: </t>
  </si>
  <si>
    <t xml:space="preserve">W</t>
  </si>
  <si>
    <t xml:space="preserve">← Potencia promedio en el límite de saturación magnética (P = Vpico²/2R). Para polvo de hierro (Mix 2/6) en HF, los límites térmicos son mucho menores (típ. 100–400W para T-200-2). Para núcleos de ferrita, la saturación magnética ES el límite práctico.</t>
  </si>
  <si>
    <t xml:space="preserve">Estado de Saturación: </t>
  </si>
  <si>
    <t xml:space="preserve">⚠  Nota: Este modelo da una estimación útil basada en la ley de Faraday. El manejo real de potencia también depende de las pérdidas en el cobre (resistencia del bobinado), resistencia térmica del núcleo y ciclo de trabajo. Reducir 50% para modos digitales continuos (FT8, WSPR). Verificar siempre con la hoja de datos del fabricante a la frecuencia de operación.</t>
  </si>
  <si>
    <t xml:space="preserve">6.  Análisis de Compensación Reactiva Multibanda — VSWR Con / Sin C o L en Serie</t>
  </si>
  <si>
    <t xml:space="preserve">Un capacitor en serie (C) o inductor (L) fijo colocado en el lado de la carga del UnUn cancela la reactancia de antena Xout a la frecuencia de diseño (Sección 3). Pero como la reactancia DEPENDE DE LA FRECUENCIA, el mismo componente sobre/sub-compensa en otras bandas — mejorando el VSWR en algunas y empeorándolo en otras. Esta tabla muestra el panorama multibanda completo. Las celdas azules son entradas editables; los valores de la Sección 3 están vinculados automáticamente pero pueden reemplazarse.</t>
  </si>
  <si>
    <t xml:space="preserve">6a.  Entradas del Componente de Compensación  (azul = editable)</t>
  </si>
  <si>
    <t xml:space="preserve">Tipo de Compensación</t>
  </si>
  <si>
    <t xml:space="preserve">← Vinculado automáticamente desde la Sección 3. Opciones: 'Capacitor (Serie C)' o 'Inductor (Serie L)'</t>
  </si>
  <si>
    <t xml:space="preserve">Valor del Componente</t>
  </si>
  <si>
    <t xml:space="preserve">← Vinculado automáticamente desde la Sección 3 (pF para C, µH para L). Reemplazar aquí para valor personalizado.</t>
  </si>
  <si>
    <t xml:space="preserve">Relación de Impedancias UnUn  (N²)</t>
  </si>
  <si>
    <t xml:space="preserve">← De la Sección 2. Relación real basada en vueltas del bobinado.</t>
  </si>
  <si>
    <t xml:space="preserve">Impedancia de Referencia (Z₀)</t>
  </si>
  <si>
    <t xml:space="preserve">← Impedancia del coax / fuente. Estándar 50 Ω.</t>
  </si>
  <si>
    <t xml:space="preserve">CALCULADORA TRANSMATCH DE NÚCLEO DE AIRE</t>
  </si>
  <si>
    <t xml:space="preserve">CONFIGURACIÓN GLOBAL</t>
  </si>
  <si>
    <t xml:space="preserve">Parámetro</t>
  </si>
  <si>
    <t xml:space="preserve">Valor</t>
  </si>
  <si>
    <t xml:space="preserve">Notas</t>
  </si>
  <si>
    <t xml:space="preserve">Impedancia de Salida Objetivo (Ω)</t>
  </si>
  <si>
    <t xml:space="preserve">Salida fija de 50Ω (p.ej. coax / transmatch)</t>
  </si>
  <si>
    <t xml:space="preserve">Diámetro del Hilo</t>
  </si>
  <si>
    <t xml:space="preserve">Diámetro del hilo de bobinado incl. aislamiento</t>
  </si>
  <si>
    <t xml:space="preserve">Diámetro del Núcleo</t>
  </si>
  <si>
    <t xml:space="preserve">Diámetro exterior del soporte de bobinado (tubo bobinador)</t>
  </si>
  <si>
    <t xml:space="preserve">Número de Tomas Activas</t>
  </si>
  <si>
    <t xml:space="preserve">#</t>
  </si>
  <si>
    <t xml:space="preserve">Bandas activas</t>
  </si>
  <si>
    <t xml:space="preserve">Vueltas en toma de 50Ω</t>
  </si>
  <si>
    <t xml:space="preserve">Vueltas mínimas</t>
  </si>
  <si>
    <t xml:space="preserve">Espacio entre vueltas de la bobina</t>
  </si>
  <si>
    <t xml:space="preserve">IMPEDANCIAS DE ENTRADA POR TOMA</t>
  </si>
  <si>
    <t xml:space="preserve">Toma #</t>
  </si>
  <si>
    <t xml:space="preserve">Frecuencia</t>
  </si>
  <si>
    <t xml:space="preserve">R  (Ω)
Resistencia</t>
  </si>
  <si>
    <t xml:space="preserve">X  (Ω)
Reactancia (+L / −C)</t>
  </si>
  <si>
    <t xml:space="preserve">Activa</t>
  </si>
  <si>
    <t xml:space="preserve">PANEL DE RESUMEN</t>
  </si>
  <si>
    <t xml:space="preserve">Todos los resultados clave en un solo lugar. Ir a las hojas individuales para ajustar las entradas.</t>
  </si>
  <si>
    <t xml:space="preserve">PARÁMETROS CLAVE</t>
  </si>
  <si>
    <t xml:space="preserve">Z_out Objetivo</t>
  </si>
  <si>
    <t xml:space="preserve">Diám. Hilo</t>
  </si>
  <si>
    <t xml:space="preserve">Vueltas T_ref</t>
  </si>
  <si>
    <t xml:space="preserve">vueltas</t>
  </si>
  <si>
    <t xml:space="preserve">Tomas activas</t>
  </si>
  <si>
    <t xml:space="preserve">Hilo total</t>
  </si>
  <si>
    <t xml:space="preserve">Inductancia L</t>
  </si>
  <si>
    <t xml:space="preserve">¿L suficiente?</t>
  </si>
  <si>
    <t xml:space="preserve">RESUMEN DE TOMAS — TODAS LAS TOMAS ACTIVAS</t>
  </si>
  <si>
    <t xml:space="preserve">Frecuencia (MHz)</t>
  </si>
  <si>
    <t xml:space="preserve">Z_entrada (Ω)</t>
  </si>
  <si>
    <t xml:space="preserve">Fase (°)</t>
  </si>
  <si>
    <t xml:space="preserve">Relación de Vueltas</t>
  </si>
  <si>
    <t xml:space="preserve">Vueltas Acum.</t>
  </si>
  <si>
    <t xml:space="preserve">ROE</t>
  </si>
  <si>
    <t xml:space="preserve">Pérdida de Retorno (dB)</t>
  </si>
  <si>
    <t xml:space="preserve">Potencia Reflejada (%)</t>
  </si>
  <si>
    <t xml:space="preserve">L en Serie (µH)</t>
  </si>
  <si>
    <t xml:space="preserve">C en Serie (pF)</t>
  </si>
  <si>
    <t xml:space="preserve">L en Paralelo (µH)</t>
  </si>
  <si>
    <t xml:space="preserve">C en Paralelo (pF)</t>
  </si>
  <si>
    <t xml:space="preserve">L Serie
(nH)</t>
  </si>
  <si>
    <t xml:space="preserve">C E24 Serie
(pF)</t>
  </si>
  <si>
    <t xml:space="preserve">L Paralelo
(nH)</t>
  </si>
  <si>
    <t xml:space="preserve">C E24 Paralelo
(pF)</t>
  </si>
  <si>
    <t xml:space="preserve">ROE con comp. Serial 5%</t>
  </si>
  <si>
    <t xml:space="preserve">Tabla E24
(ayuda pF)</t>
  </si>
  <si>
    <t xml:space="preserve">DISEÑO DE BOBINADO</t>
  </si>
  <si>
    <t xml:space="preserve">Conteo de vueltas por toma, vueltas acumuladas, longitudes de hilo y resistencia DC por sección</t>
  </si>
  <si>
    <t xml:space="preserve">CÁLCULOS DE BOBINADO POR TOMA</t>
  </si>
  <si>
    <t xml:space="preserve">Relación de Vueltas
n = √(R/Z₀)</t>
  </si>
  <si>
    <t xml:space="preserve">Vueltas en Toma
(acumulado desde extremo de baja Z)</t>
  </si>
  <si>
    <t xml:space="preserve">Δ Vueltas
(esta sección)</t>
  </si>
  <si>
    <t xml:space="preserve">Long. Hilo
de Sección (mm)</t>
  </si>
  <si>
    <t xml:space="preserve">Resistencia DC
de Sección (mΩ)</t>
  </si>
  <si>
    <t xml:space="preserve">Hilo
Acumulado (mm)</t>
  </si>
  <si>
    <t xml:space="preserve">TOTALES (solo tomas activas)</t>
  </si>
  <si>
    <t xml:space="preserve">RENDIMIENTO RF</t>
  </si>
  <si>
    <t xml:space="preserve">ROE, Pérdida de Retorno, Pérdida por Desadaptación y Potencia Reflejada por toma</t>
  </si>
  <si>
    <t xml:space="preserve">RENDIMIENTO RF POR TOMA  (referenciado al sistema de 50Ω)</t>
  </si>
  <si>
    <t xml:space="preserve">|Z| (Ω)
Magnitud</t>
  </si>
  <si>
    <t xml:space="preserve">ROE
(aprox. Z real)</t>
  </si>
  <si>
    <t xml:space="preserve">Pérd. Retorno
(dB)</t>
  </si>
  <si>
    <t xml:space="preserve">Pérd. por
Desadaptación (dB)</t>
  </si>
  <si>
    <t xml:space="preserve">Potencia
Reflejada (%)</t>
  </si>
  <si>
    <t xml:space="preserve">GUÍA DE INTERPRETACIÓN</t>
  </si>
  <si>
    <t xml:space="preserve">ROE ≤ 1.5 (verde)  →  Excelente adaptación. Menos del 4% de potencia reflejada.</t>
  </si>
  <si>
    <t xml:space="preserve">ROE 1.5–3.0 (blanco) →  Aceptable para muchas aplicaciones de radioaficionado / RF.</t>
  </si>
  <si>
    <t xml:space="preserve">ROE &gt; 3.0 (rojo) →  Mala adaptación; considerar ajustar toma o red de compensación.</t>
  </si>
  <si>
    <t xml:space="preserve">Pérdida de Retorno &gt; 14 dB →  Mejor que ROE 1.5:1 — aceptable en la mayoría de los sistemas.</t>
  </si>
  <si>
    <t xml:space="preserve">Pérdida por Desadaptación →  Potencia perdida por desadaptación (dB). 0.5 dB ≈ 11% de pérdida de potencia.</t>
  </si>
  <si>
    <t xml:space="preserve">Fase ≠ 0° →  Reactancia presente; el UnUn ideal no puede transformar completamente — añadir L o C en serie/paralelo.</t>
  </si>
  <si>
    <t xml:space="preserve">NOTA: Los cálculos asumen un transformador ideal (sin pérdidas). Agregar pérdidas en cobre + núcleo por separado.</t>
  </si>
  <si>
    <t xml:space="preserve">GEOMETRÍA E INDUCTANCIA DE BOBINA DE NÚCLEO DE AIRE</t>
  </si>
  <si>
    <t xml:space="preserve">Fórmula de Wheeler para solenoide de una capa de núcleo de aire</t>
  </si>
  <si>
    <t xml:space="preserve">ENTRADAS DE GEOMETRÍA DE BOBINA</t>
  </si>
  <si>
    <t xml:space="preserve">Fórmula / Notas</t>
  </si>
  <si>
    <t xml:space="preserve">Diámetro del Soporte de Bobina</t>
  </si>
  <si>
    <t xml:space="preserve">Vinculado desde Entradas → Diámetro del Núcleo</t>
  </si>
  <si>
    <t xml:space="preserve">Diámetro del Hilo incl. Aislamiento</t>
  </si>
  <si>
    <t xml:space="preserve">Vinculado desde Entradas → Diámetro del Hilo</t>
  </si>
  <si>
    <t xml:space="preserve">Paso de bobinado (mm/vuelta)</t>
  </si>
  <si>
    <t xml:space="preserve">Diám. hilo + espacio entre vueltas</t>
  </si>
  <si>
    <t xml:space="preserve">Total de vueltas N</t>
  </si>
  <si>
    <t xml:space="preserve">Vinculado desde Diseño de Bobinado → vueltas totales</t>
  </si>
  <si>
    <t xml:space="preserve">PARÁMETROS DE BOBINA CALCULADOS</t>
  </si>
  <si>
    <t xml:space="preserve">Fórmula</t>
  </si>
  <si>
    <t xml:space="preserve">Longitud del Bobinado</t>
  </si>
  <si>
    <t xml:space="preserve">(N−1) × paso + diám_hilo</t>
  </si>
  <si>
    <t xml:space="preserve">Radio de la Bobina</t>
  </si>
  <si>
    <t xml:space="preserve">(D + diám_hilo) / 2  →  radio_interno + radio_hilo (centro del hilo)</t>
  </si>
  <si>
    <t xml:space="preserve">in</t>
  </si>
  <si>
    <t xml:space="preserve">para la fórmula de Wheeler</t>
  </si>
  <si>
    <t xml:space="preserve">Inductancia L (µH) [Wheeler]</t>
  </si>
  <si>
    <t xml:space="preserve">L=(r²N²)/(9r+10ℓ) [pulgadas]</t>
  </si>
  <si>
    <t xml:space="preserve">Reactancia X_L en f_min</t>
  </si>
  <si>
    <t xml:space="preserve">ωL = 2π·f_min·L  (f_min = toma activa más baja)</t>
  </si>
  <si>
    <t xml:space="preserve">L mínima requerida</t>
  </si>
  <si>
    <t xml:space="preserve">X_L ≥ 4×Z_min  →  L_min = 4·Z_min/(2π·f_min)</t>
  </si>
  <si>
    <t xml:space="preserve">¿L suficiente para la toma más baja?</t>
  </si>
  <si>
    <t xml:space="preserve">—</t>
  </si>
  <si>
    <t xml:space="preserve">Comparar L vs L_min</t>
  </si>
  <si>
    <t xml:space="preserve">CALCULADORA DE RED DE COMPENSACIÓN</t>
  </si>
  <si>
    <t xml:space="preserve">L/C en Serie y Paralelo para cancelar reactancia residual en cada toma — referenciado al sistema de 50Ω</t>
  </si>
  <si>
    <t xml:space="preserve">CÓMO LEER ESTA TABLA</t>
  </si>
  <si>
    <t xml:space="preserve">L/C en Serie: colocar componente en serie con la línea de alimentación en la toma — cancela la reactancia reflejada vista en ese puerto de toma.</t>
  </si>
  <si>
    <t xml:space="preserve">L/C en Paralelo: colocar componente a tierra en la toma — cancela la susceptancia vista en ese puerto de toma.</t>
  </si>
  <si>
    <t xml:space="preserve">X positiva (carga inductiva): cancela C en serie o C en paralelo.  X negativa (carga capacitiva): cancela L en serie o L en paralelo.</t>
  </si>
  <si>
    <t xml:space="preserve">Los valores se calculan para la frecuencia de toma mostrada. El Q del componente y la auto-resonancia deben verificarse para su frecuencia de operación.</t>
  </si>
  <si>
    <t xml:space="preserve">Toma 1 (X = 0): no se necesita compensación — los valores muestran "—" automáticamente.</t>
  </si>
  <si>
    <t xml:space="preserve">Frec
(MHz)</t>
  </si>
  <si>
    <t xml:space="preserve">R_toma
(Ω)</t>
  </si>
  <si>
    <t xml:space="preserve">X_toma
(Ω)</t>
  </si>
  <si>
    <t xml:space="preserve">Fase
(°)</t>
  </si>
  <si>
    <t xml:space="preserve">L Serie
(µH)</t>
  </si>
  <si>
    <t xml:space="preserve">C Serie
(pF)</t>
  </si>
  <si>
    <t xml:space="preserve">L Paralelo
(µH)</t>
  </si>
  <si>
    <t xml:space="preserve">C Paralelo
(pF)</t>
  </si>
  <si>
    <t xml:space="preserve">GUÍA DE SELECCIÓN DE COMPONENTES</t>
  </si>
  <si>
    <t xml:space="preserve">Topología en Serie</t>
  </si>
  <si>
    <t xml:space="preserve">Componente colocado en serie con la línea en el puerto de toma. Mejor cuando la impedancia de fuente es conocida y fija.</t>
  </si>
  <si>
    <t xml:space="preserve">Topología en Paralelo</t>
  </si>
  <si>
    <t xml:space="preserve">Componente colocado desde el puerto de toma a tierra. Mejor cuando la Z de línea es casi correcta pero la susceptancia debe eliminarse.</t>
  </si>
  <si>
    <t xml:space="preserve">X = 0 (— mostrado)</t>
  </si>
  <si>
    <t xml:space="preserve">La carga es puramente resistiva — el autotransformador solo proporciona una adaptación perfecta. No se requiere compensación.</t>
  </si>
  <si>
    <t xml:space="preserve">Tolerancia</t>
  </si>
  <si>
    <t xml:space="preserve">Usar componentes de ±5% o mejor. En HF, la inductancia parásita de los terminales (~5–20 nH) puede necesitar restarse de los valores de L.</t>
  </si>
  <si>
    <t xml:space="preserve">Tipo de Capacitor</t>
  </si>
  <si>
    <t xml:space="preserve">Usar capacitores cerámicos NP0/C0G o mica-plata para estabilidad en HF. Evitar X7R a frecuencias RF.</t>
  </si>
  <si>
    <t xml:space="preserve">Tipo de Inductor</t>
  </si>
  <si>
    <t xml:space="preserve">Usar solenoide de núcleo de aire o toroide (material T) para inductores en serie. Asegurar que SRF &gt;&gt; frecuencia de operación.</t>
  </si>
  <si>
    <t xml:space="preserve">Nombre del Núcleo</t>
  </si>
  <si>
    <t xml:space="preserve">Material</t>
  </si>
  <si>
    <t xml:space="preserve">AL (nH/N²)</t>
  </si>
  <si>
    <t xml:space="preserve">OD (mm)</t>
  </si>
  <si>
    <t xml:space="preserve">ID (mm)</t>
  </si>
  <si>
    <t xml:space="preserve">Altura (mm)</t>
  </si>
  <si>
    <t xml:space="preserve">Ae (cm²)</t>
  </si>
  <si>
    <t xml:space="preserve">FT-114-43</t>
  </si>
  <si>
    <t xml:space="preserve">Ferrita Mix 43</t>
  </si>
  <si>
    <t xml:space="preserve">FT-140-43</t>
  </si>
  <si>
    <t xml:space="preserve">FT-240-43</t>
  </si>
  <si>
    <t xml:space="preserve">FT-114-31</t>
  </si>
  <si>
    <t xml:space="preserve">Ferrita Mix 31</t>
  </si>
  <si>
    <t xml:space="preserve">FT-140-31</t>
  </si>
  <si>
    <t xml:space="preserve">FT-114-52</t>
  </si>
  <si>
    <t xml:space="preserve">Ferrita Mix 52</t>
  </si>
  <si>
    <t xml:space="preserve">FT-140-52</t>
  </si>
  <si>
    <t xml:space="preserve">FT-240-52</t>
  </si>
  <si>
    <t xml:space="preserve">FT-114-61</t>
  </si>
  <si>
    <t xml:space="preserve">Ferrita Mix 61</t>
  </si>
  <si>
    <t xml:space="preserve">FT-140-61</t>
  </si>
  <si>
    <t xml:space="preserve">FT-240-61</t>
  </si>
  <si>
    <t xml:space="preserve">T-130-2</t>
  </si>
  <si>
    <t xml:space="preserve">Polvo de Hierro Mix 2</t>
  </si>
  <si>
    <t xml:space="preserve">T-200-2</t>
  </si>
  <si>
    <t xml:space="preserve">T-130-6</t>
  </si>
  <si>
    <t xml:space="preserve">Polvo de Hierro Mix 6</t>
  </si>
  <si>
    <t xml:space="preserve">T-200-6</t>
  </si>
</sst>
</file>

<file path=xl/styles.xml><?xml version="1.0" encoding="utf-8"?>
<styleSheet xmlns="http://schemas.openxmlformats.org/spreadsheetml/2006/main">
  <numFmts count="12">
    <numFmt numFmtId="164" formatCode="General"/>
    <numFmt numFmtId="165" formatCode="0.00"/>
    <numFmt numFmtId="166" formatCode="0.0000"/>
    <numFmt numFmtId="167" formatCode="#.00"/>
    <numFmt numFmtId="168" formatCode="0"/>
    <numFmt numFmtId="169" formatCode="#,##0.00"/>
    <numFmt numFmtId="170" formatCode="#,##0.00;[RED]\-#,##0.00"/>
    <numFmt numFmtId="171" formatCode="0.0\°;[RED]\-0.0\°"/>
    <numFmt numFmtId="172" formatCode="0.000"/>
    <numFmt numFmtId="173" formatCode="#,##0.0"/>
    <numFmt numFmtId="174" formatCode="#,##0.000"/>
    <numFmt numFmtId="175" formatCode="0.0"/>
  </numFmts>
  <fonts count="30">
    <font>
      <sz val="11"/>
      <color theme="1"/>
      <name val="Calibri"/>
      <family val="2"/>
      <charset val="1"/>
    </font>
    <font>
      <sz val="10"/>
      <name val="Arial"/>
      <family val="0"/>
    </font>
    <font>
      <sz val="10"/>
      <name val="Arial"/>
      <family val="0"/>
    </font>
    <font>
      <sz val="10"/>
      <name val="Arial"/>
      <family val="0"/>
    </font>
    <font>
      <sz val="10"/>
      <color theme="1"/>
      <name val="Cantarell Light"/>
      <family val="0"/>
      <charset val="1"/>
    </font>
    <font>
      <b val="true"/>
      <sz val="10"/>
      <color rgb="FFFFFFFF"/>
      <name val="Cantarell Light"/>
      <family val="0"/>
      <charset val="1"/>
    </font>
    <font>
      <b val="true"/>
      <sz val="10"/>
      <color rgb="FF0000FF"/>
      <name val="Cantarell Light"/>
      <family val="0"/>
      <charset val="1"/>
    </font>
    <font>
      <b val="true"/>
      <sz val="10"/>
      <name val="Cantarell Light"/>
      <family val="0"/>
      <charset val="1"/>
    </font>
    <font>
      <sz val="10"/>
      <color rgb="FF375623"/>
      <name val="Cantarell Light"/>
      <family val="0"/>
      <charset val="1"/>
    </font>
    <font>
      <i val="true"/>
      <sz val="10"/>
      <color rgb="FF375623"/>
      <name val="Cantarell Light"/>
      <family val="0"/>
      <charset val="1"/>
    </font>
    <font>
      <sz val="10"/>
      <name val="Cantarell Light"/>
      <family val="0"/>
      <charset val="1"/>
    </font>
    <font>
      <i val="true"/>
      <sz val="10"/>
      <color rgb="FF595959"/>
      <name val="Cantarell Light"/>
      <family val="0"/>
      <charset val="1"/>
    </font>
    <font>
      <b val="true"/>
      <sz val="10"/>
      <color rgb="FFC00000"/>
      <name val="Cantarell Light"/>
      <family val="0"/>
      <charset val="1"/>
    </font>
    <font>
      <sz val="10"/>
      <color rgb="FF0070C0"/>
      <name val="Cantarell Light"/>
      <family val="0"/>
      <charset val="1"/>
    </font>
    <font>
      <b val="true"/>
      <sz val="10"/>
      <color rgb="FF0070C0"/>
      <name val="Cantarell Light"/>
      <family val="0"/>
      <charset val="1"/>
    </font>
    <font>
      <i val="true"/>
      <sz val="10"/>
      <color rgb="FFC00000"/>
      <name val="Cantarell Light"/>
      <family val="0"/>
      <charset val="1"/>
    </font>
    <font>
      <b val="true"/>
      <sz val="10"/>
      <color rgb="FF3465A4"/>
      <name val="Cantarell Light"/>
      <family val="0"/>
      <charset val="1"/>
    </font>
    <font>
      <sz val="10"/>
      <color rgb="FF3465A4"/>
      <name val="Cantarell Light"/>
      <family val="0"/>
      <charset val="1"/>
    </font>
    <font>
      <sz val="10"/>
      <color rgb="FFFFFFFF"/>
      <name val="Cantarell Light"/>
      <family val="0"/>
      <charset val="1"/>
    </font>
    <font>
      <sz val="10"/>
      <color rgb="FF000000"/>
      <name val="Cantarell Light"/>
      <family val="0"/>
      <charset val="1"/>
    </font>
    <font>
      <sz val="10"/>
      <color rgb="FF00008B"/>
      <name val="Cantarell Light"/>
      <family val="0"/>
      <charset val="1"/>
    </font>
    <font>
      <sz val="10"/>
      <color rgb="FF555555"/>
      <name val="Cantarell Light"/>
      <family val="0"/>
      <charset val="1"/>
    </font>
    <font>
      <b val="true"/>
      <i val="true"/>
      <sz val="8"/>
      <color rgb="FF606060"/>
      <name val="Cambria"/>
      <family val="0"/>
      <charset val="1"/>
    </font>
    <font>
      <i val="true"/>
      <sz val="8"/>
      <color rgb="FF808080"/>
      <name val="Cambria"/>
      <family val="0"/>
      <charset val="1"/>
    </font>
    <font>
      <sz val="10"/>
      <color rgb="FF8EA9C1"/>
      <name val="Cantarell Light"/>
      <family val="0"/>
      <charset val="1"/>
    </font>
    <font>
      <sz val="10"/>
      <color rgb="FF404040"/>
      <name val="Cantarell Light"/>
      <family val="0"/>
      <charset val="1"/>
    </font>
    <font>
      <sz val="10"/>
      <color rgb="FF1F3864"/>
      <name val="Cantarell Light"/>
      <family val="0"/>
      <charset val="1"/>
    </font>
    <font>
      <sz val="11"/>
      <color theme="1"/>
      <name val="Cantarell Light"/>
      <family val="0"/>
      <charset val="1"/>
    </font>
    <font>
      <b val="true"/>
      <sz val="11"/>
      <color rgb="FFFFFFFF"/>
      <name val="Cantarell Light"/>
      <family val="0"/>
      <charset val="1"/>
    </font>
    <font>
      <sz val="11"/>
      <color rgb="FFFFFFFF"/>
      <name val="Calibri"/>
      <family val="2"/>
      <charset val="1"/>
    </font>
  </fonts>
  <fills count="18">
    <fill>
      <patternFill patternType="none"/>
    </fill>
    <fill>
      <patternFill patternType="gray125"/>
    </fill>
    <fill>
      <patternFill patternType="solid">
        <fgColor rgb="FF1F507C"/>
        <bgColor rgb="FF1F5C8B"/>
      </patternFill>
    </fill>
    <fill>
      <patternFill patternType="solid">
        <fgColor rgb="FF3368A7"/>
        <bgColor rgb="FF3465A4"/>
      </patternFill>
    </fill>
    <fill>
      <patternFill patternType="solid">
        <fgColor rgb="FFE0EECE"/>
        <bgColor rgb="FFEEEEEE"/>
      </patternFill>
    </fill>
    <fill>
      <patternFill patternType="solid">
        <fgColor rgb="FFFFF2CD"/>
        <bgColor rgb="FFFFFBE7"/>
      </patternFill>
    </fill>
    <fill>
      <patternFill patternType="solid">
        <fgColor rgb="FF778499"/>
        <bgColor rgb="FF808080"/>
      </patternFill>
    </fill>
    <fill>
      <patternFill patternType="solid">
        <fgColor rgb="FFFCE4D6"/>
        <bgColor rgb="FFFFF2CD"/>
      </patternFill>
    </fill>
    <fill>
      <patternFill patternType="solid">
        <fgColor rgb="FFF2F2F2"/>
        <bgColor rgb="FFEEEEEE"/>
      </patternFill>
    </fill>
    <fill>
      <patternFill patternType="solid">
        <fgColor rgb="FFEEEEEE"/>
        <bgColor rgb="FFF2F2F2"/>
      </patternFill>
    </fill>
    <fill>
      <patternFill patternType="solid">
        <fgColor rgb="FF1A2D40"/>
        <bgColor rgb="FF1F3864"/>
      </patternFill>
    </fill>
    <fill>
      <patternFill patternType="solid">
        <fgColor rgb="FF1F5C8B"/>
        <bgColor rgb="FF1F507C"/>
      </patternFill>
    </fill>
    <fill>
      <patternFill patternType="solid">
        <fgColor rgb="FFFFFBE7"/>
        <bgColor rgb="FFFFFFFF"/>
      </patternFill>
    </fill>
    <fill>
      <patternFill patternType="solid">
        <fgColor rgb="FFF0F9FF"/>
        <bgColor rgb="FFF2F2F2"/>
      </patternFill>
    </fill>
    <fill>
      <patternFill patternType="solid">
        <fgColor rgb="FFD9D9D9"/>
        <bgColor rgb="FFE0EECE"/>
      </patternFill>
    </fill>
    <fill>
      <patternFill patternType="solid">
        <fgColor rgb="FFFF9D4C"/>
        <bgColor rgb="FFFF8080"/>
      </patternFill>
    </fill>
    <fill>
      <patternFill patternType="solid">
        <fgColor rgb="FF1F3864"/>
        <bgColor rgb="FF1A2D40"/>
      </patternFill>
    </fill>
    <fill>
      <patternFill patternType="solid">
        <fgColor rgb="FF2E4A6B"/>
        <bgColor rgb="FF1F507C"/>
      </patternFill>
    </fill>
  </fills>
  <borders count="3">
    <border diagonalUp="false" diagonalDown="false">
      <left/>
      <right/>
      <top/>
      <bottom/>
      <diagonal/>
    </border>
    <border diagonalUp="false" diagonalDown="false">
      <left style="thin">
        <color rgb="FFABABAB"/>
      </left>
      <right style="thin">
        <color rgb="FFABABAB"/>
      </right>
      <top style="thin">
        <color rgb="FFABABAB"/>
      </top>
      <bottom style="thin">
        <color rgb="FFABABAB"/>
      </bottom>
      <diagonal/>
    </border>
    <border diagonalUp="false" diagonalDown="false">
      <left style="thin">
        <color rgb="FF93AABE"/>
      </left>
      <right style="thin">
        <color rgb="FF93AABE"/>
      </right>
      <top style="thin">
        <color rgb="FF93AABE"/>
      </top>
      <bottom style="thin">
        <color rgb="FF93AAB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2" borderId="0" xfId="0" applyFont="true" applyBorder="true" applyAlignment="true" applyProtection="true">
      <alignment horizontal="center" vertical="center" textRotation="0" wrapText="true" indent="0" shrinkToFit="false"/>
      <protection locked="true" hidden="false"/>
    </xf>
    <xf numFmtId="164" fontId="6" fillId="0" borderId="0" xfId="0" applyFont="true" applyBorder="true" applyAlignment="true" applyProtection="true">
      <alignment horizontal="left" vertical="center" textRotation="0" wrapText="true" indent="0" shrinkToFit="false"/>
      <protection locked="true" hidden="false"/>
    </xf>
    <xf numFmtId="165" fontId="4" fillId="0" borderId="0" xfId="0" applyFont="true" applyBorder="false" applyAlignment="true" applyProtection="true">
      <alignment horizontal="general" vertical="bottom" textRotation="0" wrapText="false" indent="0" shrinkToFit="false"/>
      <protection locked="true" hidden="false"/>
    </xf>
    <xf numFmtId="164" fontId="5" fillId="3" borderId="0" xfId="0" applyFont="true" applyBorder="true" applyAlignment="true" applyProtection="true">
      <alignment horizontal="left" vertical="center" textRotation="0" wrapText="true" indent="0" shrinkToFit="false"/>
      <protection locked="true" hidden="false"/>
    </xf>
    <xf numFmtId="164" fontId="7" fillId="0" borderId="0" xfId="0" applyFont="true" applyBorder="false" applyAlignment="true" applyProtection="true">
      <alignment horizontal="right" vertical="bottom" textRotation="0" wrapText="true" indent="0" shrinkToFit="false"/>
      <protection locked="true" hidden="false"/>
    </xf>
    <xf numFmtId="166" fontId="8" fillId="4" borderId="0" xfId="0" applyFont="true" applyBorder="false" applyAlignment="true" applyProtection="true">
      <alignment horizontal="center" vertical="center" textRotation="0" wrapText="true" indent="0" shrinkToFit="false"/>
      <protection locked="true" hidden="false"/>
    </xf>
    <xf numFmtId="164" fontId="9" fillId="0" borderId="0" xfId="0" applyFont="true" applyBorder="false" applyAlignment="true" applyProtection="true">
      <alignment horizontal="general" vertical="bottom" textRotation="0" wrapText="true" indent="0" shrinkToFit="false"/>
      <protection locked="true" hidden="false"/>
    </xf>
    <xf numFmtId="164" fontId="10" fillId="5" borderId="0" xfId="0" applyFont="true" applyBorder="false" applyAlignment="true" applyProtection="true">
      <alignment horizontal="right" vertical="bottom" textRotation="0" wrapText="true" indent="0" shrinkToFit="false"/>
      <protection locked="true" hidden="false"/>
    </xf>
    <xf numFmtId="164" fontId="10" fillId="0" borderId="0" xfId="0" applyFont="true" applyBorder="false" applyAlignment="true" applyProtection="true">
      <alignment horizontal="general" vertical="bottom" textRotation="0" wrapText="true" indent="0" shrinkToFit="false"/>
      <protection locked="true" hidden="false"/>
    </xf>
    <xf numFmtId="164" fontId="8" fillId="4" borderId="0" xfId="0" applyFont="true" applyBorder="false" applyAlignment="true" applyProtection="true">
      <alignment horizontal="center" vertical="center" textRotation="0" wrapText="true" indent="0" shrinkToFit="false"/>
      <protection locked="true" hidden="false"/>
    </xf>
    <xf numFmtId="165" fontId="4" fillId="4" borderId="0" xfId="0" applyFont="true" applyBorder="false" applyAlignment="true" applyProtection="true">
      <alignment horizontal="right" vertical="bottom" textRotation="0" wrapText="true" indent="0" shrinkToFit="false"/>
      <protection locked="true" hidden="false"/>
    </xf>
    <xf numFmtId="164" fontId="4" fillId="0" borderId="0" xfId="0" applyFont="true" applyBorder="true" applyAlignment="true" applyProtection="true">
      <alignment horizontal="center" vertical="center" textRotation="0" wrapText="true" indent="0" shrinkToFit="false"/>
      <protection locked="true" hidden="false"/>
    </xf>
    <xf numFmtId="164" fontId="4" fillId="0" borderId="0" xfId="0" applyFont="true" applyBorder="false" applyAlignment="true" applyProtection="true">
      <alignment horizontal="left" vertical="bottom" textRotation="0" wrapText="true" indent="0" shrinkToFit="false"/>
      <protection locked="true" hidden="false"/>
    </xf>
    <xf numFmtId="164" fontId="4" fillId="0" borderId="0" xfId="0" applyFont="true" applyBorder="true" applyAlignment="true" applyProtection="true">
      <alignment horizontal="left" vertical="center" textRotation="0" wrapText="true" indent="0" shrinkToFit="false"/>
      <protection locked="true" hidden="false"/>
    </xf>
    <xf numFmtId="167" fontId="4" fillId="4" borderId="0" xfId="0" applyFont="true" applyBorder="false" applyAlignment="true" applyProtection="true">
      <alignment horizontal="right" vertical="bottom" textRotation="0" wrapText="true" indent="0" shrinkToFit="false"/>
      <protection locked="true" hidden="false"/>
    </xf>
    <xf numFmtId="167" fontId="4" fillId="0" borderId="0" xfId="0" applyFont="true" applyBorder="false" applyAlignment="true" applyProtection="true">
      <alignment horizontal="right" vertical="bottom" textRotation="0" wrapText="true" indent="0" shrinkToFit="false"/>
      <protection locked="true" hidden="false"/>
    </xf>
    <xf numFmtId="164" fontId="5" fillId="6" borderId="0" xfId="0" applyFont="true" applyBorder="true" applyAlignment="true" applyProtection="true">
      <alignment horizontal="left" vertical="center" textRotation="0" wrapText="false" indent="0" shrinkToFit="false"/>
      <protection locked="true" hidden="false"/>
    </xf>
    <xf numFmtId="164" fontId="7" fillId="0" borderId="0" xfId="0" applyFont="true" applyBorder="false" applyAlignment="true" applyProtection="true">
      <alignment horizontal="right" vertical="center" textRotation="0" wrapText="true" indent="0" shrinkToFit="false"/>
      <protection locked="true" hidden="false"/>
    </xf>
    <xf numFmtId="165" fontId="10" fillId="4" borderId="0" xfId="0" applyFont="true" applyBorder="false" applyAlignment="true" applyProtection="true">
      <alignment horizontal="right" vertical="center" textRotation="0" wrapText="false" indent="0" shrinkToFit="false"/>
      <protection locked="true" hidden="false"/>
    </xf>
    <xf numFmtId="164" fontId="10" fillId="0" borderId="0" xfId="0" applyFont="true" applyBorder="false" applyAlignment="true" applyProtection="true">
      <alignment horizontal="left" vertical="center" textRotation="0" wrapText="false" indent="0" shrinkToFit="false"/>
      <protection locked="true" hidden="false"/>
    </xf>
    <xf numFmtId="164" fontId="11" fillId="0" borderId="0" xfId="0" applyFont="true" applyBorder="true" applyAlignment="true" applyProtection="true">
      <alignment horizontal="left" vertical="center" textRotation="0" wrapText="true" indent="0" shrinkToFit="false"/>
      <protection locked="true" hidden="false"/>
    </xf>
    <xf numFmtId="164" fontId="10" fillId="4" borderId="0" xfId="0" applyFont="true" applyBorder="false" applyAlignment="true" applyProtection="true">
      <alignment horizontal="right" vertical="center" textRotation="0" wrapText="false" indent="0" shrinkToFit="false"/>
      <protection locked="true" hidden="false"/>
    </xf>
    <xf numFmtId="164" fontId="7" fillId="0" borderId="0" xfId="0" applyFont="true" applyBorder="false" applyAlignment="true" applyProtection="true">
      <alignment horizontal="right" vertical="center" textRotation="0" wrapText="false" indent="0" shrinkToFit="false"/>
      <protection locked="true" hidden="false"/>
    </xf>
    <xf numFmtId="164" fontId="11" fillId="0" borderId="0" xfId="0" applyFont="true" applyBorder="true" applyAlignment="true" applyProtection="true">
      <alignment horizontal="general" vertical="bottom" textRotation="0" wrapText="true" indent="0" shrinkToFit="false"/>
      <protection locked="true" hidden="false"/>
    </xf>
    <xf numFmtId="164" fontId="4" fillId="4" borderId="0" xfId="0" applyFont="true" applyBorder="false" applyAlignment="true" applyProtection="true">
      <alignment horizontal="center" vertical="bottom" textRotation="0" wrapText="true" indent="0" shrinkToFit="false"/>
      <protection locked="true" hidden="false"/>
    </xf>
    <xf numFmtId="165" fontId="12" fillId="7" borderId="0" xfId="0" applyFont="true" applyBorder="false" applyAlignment="true" applyProtection="true">
      <alignment horizontal="center" vertical="bottom" textRotation="0" wrapText="true" indent="0" shrinkToFit="false"/>
      <protection locked="true" hidden="false"/>
    </xf>
    <xf numFmtId="164" fontId="11" fillId="0" borderId="0" xfId="0" applyFont="true" applyBorder="true" applyAlignment="true" applyProtection="true">
      <alignment horizontal="center" vertical="center" textRotation="0" wrapText="true" indent="0" shrinkToFit="false"/>
      <protection locked="true" hidden="false"/>
    </xf>
    <xf numFmtId="164" fontId="11" fillId="0" borderId="0" xfId="0" applyFont="true" applyBorder="false" applyAlignment="true" applyProtection="true">
      <alignment horizontal="center" vertical="center" textRotation="0" wrapText="true" indent="0" shrinkToFit="false"/>
      <protection locked="true" hidden="false"/>
    </xf>
    <xf numFmtId="164" fontId="11" fillId="0" borderId="0" xfId="0" applyFont="true" applyBorder="false" applyAlignment="true" applyProtection="true">
      <alignment horizontal="general" vertical="bottom" textRotation="0" wrapText="true" indent="0" shrinkToFit="false"/>
      <protection locked="true" hidden="false"/>
    </xf>
    <xf numFmtId="164" fontId="5" fillId="2" borderId="0" xfId="0" applyFont="true" applyBorder="true" applyAlignment="true" applyProtection="true">
      <alignment horizontal="left" vertical="center" textRotation="0" wrapText="tru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10" fillId="0" borderId="0" xfId="0" applyFont="true" applyBorder="false" applyAlignment="true" applyProtection="true">
      <alignment horizontal="right" vertical="bottom" textRotation="0" wrapText="true" indent="0" shrinkToFit="false"/>
      <protection locked="true" hidden="false"/>
    </xf>
    <xf numFmtId="164" fontId="13" fillId="0" borderId="0" xfId="0" applyFont="true" applyBorder="false" applyAlignment="true" applyProtection="true">
      <alignment horizontal="general" vertical="bottom" textRotation="0" wrapText="true" indent="0" shrinkToFit="false"/>
      <protection locked="true" hidden="false"/>
    </xf>
    <xf numFmtId="164" fontId="14" fillId="0" borderId="0" xfId="0" applyFont="true" applyBorder="false" applyAlignment="true" applyProtection="true">
      <alignment horizontal="general" vertical="bottom" textRotation="0" wrapText="true" indent="0" shrinkToFit="false"/>
      <protection locked="true" hidden="false"/>
    </xf>
    <xf numFmtId="164" fontId="7" fillId="0" borderId="0" xfId="0" applyFont="true" applyBorder="true" applyAlignment="true" applyProtection="true">
      <alignment horizontal="center" vertical="center" textRotation="0" wrapText="true" indent="0" shrinkToFit="false"/>
      <protection locked="true" hidden="false"/>
    </xf>
    <xf numFmtId="164" fontId="15" fillId="0" borderId="0" xfId="0" applyFont="true" applyBorder="true" applyAlignment="true" applyProtection="true">
      <alignment horizontal="center" vertical="center" textRotation="0" wrapText="true" indent="0" shrinkToFit="false"/>
      <protection locked="true" hidden="false"/>
    </xf>
    <xf numFmtId="164" fontId="11" fillId="8" borderId="0" xfId="0" applyFont="true" applyBorder="true" applyAlignment="true" applyProtection="true">
      <alignment horizontal="left" vertical="center" textRotation="0" wrapText="true" indent="0" shrinkToFit="false"/>
      <protection locked="true" hidden="false"/>
    </xf>
    <xf numFmtId="164" fontId="16" fillId="9" borderId="1" xfId="0" applyFont="true" applyBorder="true" applyAlignment="true" applyProtection="true">
      <alignment horizontal="left" vertical="center" textRotation="0" wrapText="true" indent="0" shrinkToFit="false"/>
      <protection locked="true" hidden="false"/>
    </xf>
    <xf numFmtId="164" fontId="17" fillId="9" borderId="1" xfId="0" applyFont="true" applyBorder="true" applyAlignment="true" applyProtection="true">
      <alignment horizontal="center" vertical="center" textRotation="0" wrapText="true" indent="0" shrinkToFit="false"/>
      <protection locked="true" hidden="false"/>
    </xf>
    <xf numFmtId="165" fontId="17" fillId="9" borderId="1" xfId="0" applyFont="true" applyBorder="true" applyAlignment="true" applyProtection="true">
      <alignment horizontal="center" vertical="center" textRotation="0" wrapText="true" indent="0" shrinkToFit="false"/>
      <protection locked="true" hidden="false"/>
    </xf>
    <xf numFmtId="164" fontId="18" fillId="10" borderId="0" xfId="0" applyFont="true" applyBorder="tru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18" fillId="11" borderId="2" xfId="0" applyFont="true" applyBorder="true" applyAlignment="true" applyProtection="true">
      <alignment horizontal="center" vertical="center" textRotation="0" wrapText="true" indent="0" shrinkToFit="false"/>
      <protection locked="true" hidden="false"/>
    </xf>
    <xf numFmtId="164" fontId="18" fillId="10" borderId="2" xfId="0" applyFont="true" applyBorder="true" applyAlignment="true" applyProtection="true">
      <alignment horizontal="center" vertical="center" textRotation="0" wrapText="true" indent="0" shrinkToFit="false"/>
      <protection locked="true" hidden="false"/>
    </xf>
    <xf numFmtId="164" fontId="19" fillId="8" borderId="0" xfId="0" applyFont="true" applyBorder="false" applyAlignment="true" applyProtection="true">
      <alignment horizontal="right" vertical="center" textRotation="0" wrapText="true" indent="0" shrinkToFit="false"/>
      <protection locked="true" hidden="false"/>
    </xf>
    <xf numFmtId="164" fontId="20" fillId="12" borderId="0" xfId="0" applyFont="true" applyBorder="false" applyAlignment="true" applyProtection="true">
      <alignment horizontal="center" vertical="center" textRotation="0" wrapText="true" indent="0" shrinkToFit="false"/>
      <protection locked="true" hidden="false"/>
    </xf>
    <xf numFmtId="164" fontId="19" fillId="0" borderId="0" xfId="0" applyFont="true" applyBorder="false" applyAlignment="true" applyProtection="true">
      <alignment horizontal="center" vertical="center" textRotation="0" wrapText="true" indent="0" shrinkToFit="false"/>
      <protection locked="true" hidden="false"/>
    </xf>
    <xf numFmtId="164" fontId="21" fillId="8" borderId="0" xfId="0" applyFont="true" applyBorder="true" applyAlignment="true" applyProtection="true">
      <alignment horizontal="left" vertical="center" textRotation="0" wrapText="true" indent="0" shrinkToFit="false"/>
      <protection locked="true" hidden="false"/>
    </xf>
    <xf numFmtId="164" fontId="4" fillId="8" borderId="0" xfId="0" applyFont="true" applyBorder="false" applyAlignment="true" applyProtection="true">
      <alignment horizontal="general" vertical="bottom" textRotation="0" wrapText="true" indent="0" shrinkToFit="false"/>
      <protection locked="true" hidden="false"/>
    </xf>
    <xf numFmtId="164" fontId="20" fillId="13" borderId="0" xfId="0" applyFont="true" applyBorder="false" applyAlignment="true" applyProtection="true">
      <alignment horizontal="center" vertical="center" textRotation="0" wrapText="true" indent="0" shrinkToFit="false"/>
      <protection locked="true" hidden="false"/>
    </xf>
    <xf numFmtId="164" fontId="19" fillId="13" borderId="0" xfId="0" applyFont="true" applyBorder="false" applyAlignment="true" applyProtection="true">
      <alignment horizontal="center" vertical="center" textRotation="0" wrapText="true" indent="0" shrinkToFit="false"/>
      <protection locked="true" hidden="false"/>
    </xf>
    <xf numFmtId="168" fontId="19" fillId="13" borderId="0" xfId="0" applyFont="true" applyBorder="false" applyAlignment="true" applyProtection="true">
      <alignment horizontal="center" vertical="center" textRotation="0" wrapText="true" indent="0" shrinkToFit="false"/>
      <protection locked="true" hidden="false"/>
    </xf>
    <xf numFmtId="164" fontId="19" fillId="8" borderId="0" xfId="0" applyFont="true" applyBorder="true" applyAlignment="true" applyProtection="true">
      <alignment horizontal="left" vertical="center" textRotation="0" wrapText="true" indent="0" shrinkToFit="false"/>
      <protection locked="true" hidden="false"/>
    </xf>
    <xf numFmtId="164" fontId="19" fillId="8" borderId="0" xfId="0" applyFont="true" applyBorder="false" applyAlignment="true" applyProtection="true">
      <alignment horizontal="left" vertical="center" textRotation="0" wrapText="true" indent="0" shrinkToFit="false"/>
      <protection locked="true" hidden="false"/>
    </xf>
    <xf numFmtId="164" fontId="18" fillId="0" borderId="0" xfId="0" applyFont="true" applyBorder="false" applyAlignment="true" applyProtection="true">
      <alignment horizontal="center" vertical="center" textRotation="0" wrapText="true" indent="0" shrinkToFit="false"/>
      <protection locked="true" hidden="false"/>
    </xf>
    <xf numFmtId="164" fontId="10" fillId="0" borderId="0" xfId="0" applyFont="true" applyBorder="false" applyAlignment="true" applyProtection="true">
      <alignment horizontal="center" vertical="center" textRotation="0" wrapText="true" indent="0" shrinkToFit="false"/>
      <protection locked="true" hidden="false"/>
    </xf>
    <xf numFmtId="164" fontId="19" fillId="9" borderId="0" xfId="0" applyFont="true" applyBorder="false" applyAlignment="true" applyProtection="true">
      <alignment horizontal="center" vertical="center" textRotation="0" wrapText="true" indent="0" shrinkToFit="false"/>
      <protection locked="true" hidden="false"/>
    </xf>
    <xf numFmtId="169" fontId="20" fillId="12" borderId="0" xfId="0" applyFont="true" applyBorder="false" applyAlignment="true" applyProtection="true">
      <alignment horizontal="center" vertical="center" textRotation="0" wrapText="true" indent="0" shrinkToFit="false"/>
      <protection locked="true" hidden="false"/>
    </xf>
    <xf numFmtId="170" fontId="20" fillId="12" borderId="0" xfId="0" applyFont="true" applyBorder="false" applyAlignment="true" applyProtection="true">
      <alignment horizontal="center" vertical="center" textRotation="0" wrapText="true" indent="0" shrinkToFit="false"/>
      <protection locked="true" hidden="false"/>
    </xf>
    <xf numFmtId="171" fontId="19" fillId="0" borderId="0" xfId="0" applyFont="true" applyBorder="false" applyAlignment="true" applyProtection="true">
      <alignment horizontal="center" vertical="center" textRotation="0" wrapText="true" indent="0" shrinkToFit="false"/>
      <protection locked="true" hidden="false"/>
    </xf>
    <xf numFmtId="172" fontId="19" fillId="0" borderId="0" xfId="0" applyFont="true" applyBorder="false" applyAlignment="true" applyProtection="true">
      <alignment horizontal="center" vertical="center" textRotation="0" wrapText="true" indent="0" shrinkToFit="false"/>
      <protection locked="true" hidden="false"/>
    </xf>
    <xf numFmtId="164" fontId="18" fillId="11" borderId="0" xfId="0" applyFont="true" applyBorder="true" applyAlignment="true" applyProtection="true">
      <alignment horizontal="center" vertical="center" textRotation="0" wrapText="true" indent="0" shrinkToFit="false"/>
      <protection locked="true" hidden="false"/>
    </xf>
    <xf numFmtId="164" fontId="19" fillId="8" borderId="0" xfId="0" applyFont="true" applyBorder="false" applyAlignment="true" applyProtection="true">
      <alignment horizontal="center" vertical="center" textRotation="0" wrapText="true" indent="0" shrinkToFit="false"/>
      <protection locked="true" hidden="false"/>
    </xf>
    <xf numFmtId="173" fontId="19" fillId="13" borderId="0" xfId="0" applyFont="true" applyBorder="false" applyAlignment="true" applyProtection="true">
      <alignment horizontal="center" vertical="center" textRotation="0" wrapText="true" indent="0" shrinkToFit="false"/>
      <protection locked="true" hidden="false"/>
    </xf>
    <xf numFmtId="174" fontId="19" fillId="13" borderId="0" xfId="0" applyFont="true" applyBorder="false" applyAlignment="true" applyProtection="true">
      <alignment horizontal="center" vertical="center" textRotation="0" wrapText="true" indent="0" shrinkToFit="false"/>
      <protection locked="true" hidden="false"/>
    </xf>
    <xf numFmtId="164" fontId="10" fillId="10" borderId="2" xfId="0" applyFont="true" applyBorder="true" applyAlignment="true" applyProtection="true">
      <alignment horizontal="center" vertical="center" textRotation="0" wrapText="true" indent="0" shrinkToFit="false"/>
      <protection locked="true" hidden="false"/>
    </xf>
    <xf numFmtId="164" fontId="22" fillId="14" borderId="0" xfId="0" applyFont="true" applyBorder="false" applyAlignment="true" applyProtection="true">
      <alignment horizontal="center" vertical="center" textRotation="0" wrapText="true" indent="0" shrinkToFit="false"/>
      <protection locked="true" hidden="false"/>
    </xf>
    <xf numFmtId="164" fontId="10" fillId="13" borderId="0" xfId="0" applyFont="true" applyBorder="false" applyAlignment="true" applyProtection="true">
      <alignment horizontal="center" vertical="center" textRotation="0" wrapText="true" indent="0" shrinkToFit="false"/>
      <protection locked="true" hidden="false"/>
    </xf>
    <xf numFmtId="169" fontId="19" fillId="13" borderId="0" xfId="0" applyFont="true" applyBorder="false" applyAlignment="true" applyProtection="true">
      <alignment horizontal="center" vertical="center" textRotation="0" wrapText="true" indent="0" shrinkToFit="false"/>
      <protection locked="true" hidden="false"/>
    </xf>
    <xf numFmtId="171" fontId="19" fillId="13" borderId="0" xfId="0" applyFont="true" applyBorder="false" applyAlignment="true" applyProtection="true">
      <alignment horizontal="center" vertical="center" textRotation="0" wrapText="true" indent="0" shrinkToFit="false"/>
      <protection locked="true" hidden="false"/>
    </xf>
    <xf numFmtId="172" fontId="19" fillId="13" borderId="0" xfId="0" applyFont="true" applyBorder="false" applyAlignment="true" applyProtection="true">
      <alignment horizontal="center" vertical="center" textRotation="0" wrapText="true" indent="0" shrinkToFit="false"/>
      <protection locked="true" hidden="false"/>
    </xf>
    <xf numFmtId="165" fontId="19" fillId="13" borderId="0" xfId="0" applyFont="true" applyBorder="false" applyAlignment="true" applyProtection="true">
      <alignment horizontal="center" vertical="center" textRotation="0" wrapText="true" indent="0" shrinkToFit="false"/>
      <protection locked="true" hidden="false"/>
    </xf>
    <xf numFmtId="175" fontId="19" fillId="13" borderId="0" xfId="0" applyFont="true" applyBorder="false" applyAlignment="true" applyProtection="true">
      <alignment horizontal="center" vertical="center" textRotation="0" wrapText="true" indent="0" shrinkToFit="false"/>
      <protection locked="true" hidden="false"/>
    </xf>
    <xf numFmtId="165" fontId="4" fillId="13" borderId="0" xfId="0" applyFont="true" applyBorder="false" applyAlignment="true" applyProtection="true">
      <alignment horizontal="center" vertical="bottom" textRotation="0" wrapText="false" indent="0" shrinkToFit="false"/>
      <protection locked="true" hidden="false"/>
    </xf>
    <xf numFmtId="175" fontId="4" fillId="13" borderId="0" xfId="0" applyFont="true" applyBorder="false" applyAlignment="true" applyProtection="true">
      <alignment horizontal="center" vertical="bottom" textRotation="0" wrapText="false" indent="0" shrinkToFit="false"/>
      <protection locked="true" hidden="false"/>
    </xf>
    <xf numFmtId="168" fontId="4" fillId="13" borderId="0" xfId="0" applyFont="true" applyBorder="false" applyAlignment="true" applyProtection="true">
      <alignment horizontal="center" vertical="bottom" textRotation="0" wrapText="false" indent="0" shrinkToFit="false"/>
      <protection locked="true" hidden="false"/>
    </xf>
    <xf numFmtId="164" fontId="23" fillId="14" borderId="0" xfId="0" applyFont="true" applyBorder="false" applyAlignment="true" applyProtection="true">
      <alignment horizontal="center" vertical="center" textRotation="0" wrapText="false" indent="0" shrinkToFit="false"/>
      <protection locked="true" hidden="false"/>
    </xf>
    <xf numFmtId="164" fontId="19" fillId="15" borderId="0" xfId="0" applyFont="true" applyBorder="true" applyAlignment="true" applyProtection="true">
      <alignment horizontal="center" vertical="center" textRotation="0" wrapText="true" indent="0" shrinkToFit="false"/>
      <protection locked="true" hidden="false"/>
    </xf>
    <xf numFmtId="169" fontId="19" fillId="13" borderId="2" xfId="0" applyFont="true" applyBorder="true" applyAlignment="true" applyProtection="true">
      <alignment horizontal="center" vertical="center" textRotation="0" wrapText="true" indent="0" shrinkToFit="false"/>
      <protection locked="true" hidden="false"/>
    </xf>
    <xf numFmtId="173" fontId="19" fillId="13" borderId="2" xfId="0" applyFont="true" applyBorder="true" applyAlignment="true" applyProtection="true">
      <alignment horizontal="center" vertical="center" textRotation="0" wrapText="true" indent="0" shrinkToFit="false"/>
      <protection locked="true" hidden="false"/>
    </xf>
    <xf numFmtId="164" fontId="19" fillId="15" borderId="2" xfId="0" applyFont="true" applyBorder="true" applyAlignment="true" applyProtection="true">
      <alignment horizontal="center" vertical="center" textRotation="0" wrapText="true" indent="0" shrinkToFit="false"/>
      <protection locked="true" hidden="false"/>
    </xf>
    <xf numFmtId="164" fontId="10" fillId="16" borderId="0" xfId="0" applyFont="true" applyBorder="true" applyAlignment="true" applyProtection="true">
      <alignment horizontal="center" vertical="center" textRotation="0" wrapText="false" indent="0" shrinkToFit="false"/>
      <protection locked="true" hidden="false"/>
    </xf>
    <xf numFmtId="164" fontId="24" fillId="0" borderId="0" xfId="0" applyFont="true" applyBorder="true" applyAlignment="true" applyProtection="true">
      <alignment horizontal="general" vertical="bottom" textRotation="0" wrapText="false" indent="0" shrinkToFit="false"/>
      <protection locked="true" hidden="false"/>
    </xf>
    <xf numFmtId="164" fontId="18" fillId="17" borderId="0" xfId="0" applyFont="true" applyBorder="true" applyAlignment="true" applyProtection="true">
      <alignment horizontal="general" vertical="bottom" textRotation="0" wrapText="false" indent="0" shrinkToFit="false"/>
      <protection locked="true" hidden="false"/>
    </xf>
    <xf numFmtId="164" fontId="25" fillId="8" borderId="0" xfId="0" applyFont="true" applyBorder="true" applyAlignment="true" applyProtection="true">
      <alignment horizontal="general" vertical="bottom" textRotation="0" wrapText="false" indent="0" shrinkToFit="false"/>
      <protection locked="true" hidden="false"/>
    </xf>
    <xf numFmtId="164" fontId="18" fillId="17" borderId="2" xfId="0" applyFont="true" applyBorder="true" applyAlignment="true" applyProtection="true">
      <alignment horizontal="center" vertical="center" textRotation="0" wrapText="true" indent="0" shrinkToFit="false"/>
      <protection locked="true" hidden="false"/>
    </xf>
    <xf numFmtId="164" fontId="10" fillId="13" borderId="0" xfId="0" applyFont="true" applyBorder="false" applyAlignment="true" applyProtection="true">
      <alignment horizontal="center" vertical="bottom" textRotation="0" wrapText="false" indent="0" shrinkToFit="false"/>
      <protection locked="true" hidden="false"/>
    </xf>
    <xf numFmtId="175" fontId="10" fillId="13" borderId="0" xfId="0" applyFont="true" applyBorder="false" applyAlignment="true" applyProtection="true">
      <alignment horizontal="center" vertical="bottom" textRotation="0" wrapText="false" indent="0" shrinkToFit="false"/>
      <protection locked="true" hidden="false"/>
    </xf>
    <xf numFmtId="172" fontId="10" fillId="13" borderId="0" xfId="0" applyFont="true" applyBorder="false" applyAlignment="true" applyProtection="true">
      <alignment horizontal="center" vertical="bottom" textRotation="0" wrapText="false" indent="0" shrinkToFit="false"/>
      <protection locked="true" hidden="false"/>
    </xf>
    <xf numFmtId="164" fontId="26" fillId="8" borderId="0" xfId="0" applyFont="true" applyBorder="false" applyAlignment="true" applyProtection="true">
      <alignment horizontal="general" vertical="bottom" textRotation="0" wrapText="false" indent="0" shrinkToFit="false"/>
      <protection locked="true" hidden="false"/>
    </xf>
    <xf numFmtId="164" fontId="27" fillId="0" borderId="0" xfId="0" applyFont="true" applyBorder="false" applyAlignment="true" applyProtection="true">
      <alignment horizontal="general" vertical="bottom" textRotation="0" wrapText="false" indent="0" shrinkToFit="false"/>
      <protection locked="true" hidden="false"/>
    </xf>
    <xf numFmtId="164" fontId="28" fillId="6" borderId="0" xfId="0" applyFont="true" applyBorder="false" applyAlignment="true" applyProtection="true">
      <alignment horizontal="center" vertical="bottom" textRotation="0" wrapText="false" indent="0" shrinkToFit="false"/>
      <protection locked="true" hidden="false"/>
    </xf>
    <xf numFmtId="164" fontId="29" fillId="6" borderId="0" xfId="0" applyFont="true" applyBorder="fals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1F507C"/>
      <rgbColor rgb="FF00008B"/>
      <rgbColor rgb="FF808000"/>
      <rgbColor rgb="FF800080"/>
      <rgbColor rgb="FF1F5C8B"/>
      <rgbColor rgb="FFAFD095"/>
      <rgbColor rgb="FF808080"/>
      <rgbColor rgb="FF8EA9C1"/>
      <rgbColor rgb="FF595959"/>
      <rgbColor rgb="FFFFFBE7"/>
      <rgbColor rgb="FFF0F9FF"/>
      <rgbColor rgb="FF660066"/>
      <rgbColor rgb="FFFF8080"/>
      <rgbColor rgb="FF0070C0"/>
      <rgbColor rgb="FFD9D9D9"/>
      <rgbColor rgb="FF000080"/>
      <rgbColor rgb="FFFF00FF"/>
      <rgbColor rgb="FFFFFF00"/>
      <rgbColor rgb="FF00FFFF"/>
      <rgbColor rgb="FF800080"/>
      <rgbColor rgb="FF800000"/>
      <rgbColor rgb="FF3465A4"/>
      <rgbColor rgb="FF0000FF"/>
      <rgbColor rgb="FF00CCFF"/>
      <rgbColor rgb="FFEEEEEE"/>
      <rgbColor rgb="FFE0EECE"/>
      <rgbColor rgb="FFFFF2CD"/>
      <rgbColor rgb="FFF2F2F2"/>
      <rgbColor rgb="FFFFA6A6"/>
      <rgbColor rgb="FFABABAB"/>
      <rgbColor rgb="FFFCE4D6"/>
      <rgbColor rgb="FF3368A7"/>
      <rgbColor rgb="FF33CCCC"/>
      <rgbColor rgb="FF99CC00"/>
      <rgbColor rgb="FFFFCC00"/>
      <rgbColor rgb="FFFF9D4C"/>
      <rgbColor rgb="FFFF6600"/>
      <rgbColor rgb="FF606060"/>
      <rgbColor rgb="FF93AABE"/>
      <rgbColor rgb="FF1F3864"/>
      <rgbColor rgb="FF778499"/>
      <rgbColor rgb="FF375623"/>
      <rgbColor rgb="FF1A2D40"/>
      <rgbColor rgb="FF993300"/>
      <rgbColor rgb="FF555555"/>
      <rgbColor rgb="FF2E4A6B"/>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FD095"/>
    <pageSetUpPr fitToPage="false"/>
  </sheetPr>
  <dimension ref="B1:XFD1009"/>
  <sheetViews>
    <sheetView showFormulas="false" showGridLines="false" showRowColHeaders="true" showZeros="true" rightToLeft="false" tabSelected="false" showOutlineSymbols="true" defaultGridColor="true" view="normal" topLeftCell="A1" colorId="64" zoomScale="200" zoomScaleNormal="200" zoomScalePageLayoutView="100" workbookViewId="0">
      <selection pane="topLeft" activeCell="B58" activeCellId="1" sqref="F25 B58"/>
    </sheetView>
  </sheetViews>
  <sheetFormatPr defaultColWidth="10.00390625" defaultRowHeight="13.5" customHeight="false" zeroHeight="false" outlineLevelRow="0" outlineLevelCol="0"/>
  <cols>
    <col collapsed="false" customWidth="true" hidden="false" outlineLevel="0" max="1" min="1" style="1" width="3"/>
    <col collapsed="false" customWidth="true" hidden="false" outlineLevel="0" max="2" min="2" style="1" width="46.68"/>
    <col collapsed="false" customWidth="true" hidden="false" outlineLevel="0" max="3" min="3" style="1" width="22.74"/>
    <col collapsed="false" customWidth="true" hidden="false" outlineLevel="0" max="4" min="4" style="1" width="11.7"/>
    <col collapsed="false" customWidth="true" hidden="false" outlineLevel="0" max="5" min="5" style="1" width="10.08"/>
    <col collapsed="false" customWidth="false" hidden="false" outlineLevel="0" max="13" min="6" style="1" width="10"/>
    <col collapsed="false" customWidth="true" hidden="false" outlineLevel="0" max="14" min="14" style="1" width="35.82"/>
    <col collapsed="false" customWidth="false" hidden="false" outlineLevel="0" max="16383" min="15" style="1" width="10"/>
    <col collapsed="false" customWidth="true" hidden="false" outlineLevel="0" max="16384" min="16384" style="2" width="11.53"/>
  </cols>
  <sheetData>
    <row r="1" s="2" customFormat="true" ht="13.5" hidden="false" customHeight="true" outlineLevel="0" collapsed="false">
      <c r="B1" s="3" t="s">
        <v>0</v>
      </c>
      <c r="C1" s="3"/>
      <c r="D1" s="3"/>
      <c r="XFD1" s="1"/>
    </row>
    <row r="2" s="2" customFormat="true" ht="13.5" hidden="false" customHeight="true" outlineLevel="0" collapsed="false">
      <c r="B2" s="4" t="s">
        <v>1</v>
      </c>
      <c r="C2" s="4"/>
      <c r="D2" s="4"/>
      <c r="E2" s="4"/>
      <c r="F2" s="4"/>
      <c r="G2" s="4"/>
      <c r="H2" s="4"/>
      <c r="I2" s="4"/>
      <c r="XFD2" s="1"/>
    </row>
    <row r="3" s="2" customFormat="true" ht="13.5" hidden="false" customHeight="false" outlineLevel="0" collapsed="false">
      <c r="C3" s="5"/>
      <c r="XFD3" s="1"/>
    </row>
    <row r="4" s="1" customFormat="true" ht="13.5" hidden="false" customHeight="true" outlineLevel="0" collapsed="false">
      <c r="B4" s="6" t="s">
        <v>2</v>
      </c>
      <c r="C4" s="6"/>
      <c r="D4" s="6"/>
    </row>
    <row r="5" s="1" customFormat="true" ht="13.5" hidden="false" customHeight="false" outlineLevel="0" collapsed="false">
      <c r="B5" s="7" t="s">
        <v>3</v>
      </c>
      <c r="C5" s="8" t="n">
        <f aca="false">IFERROR(INDEX(#REF!,MATCH(#REF!,#REF!,0)),7.1)</f>
        <v>7.1</v>
      </c>
      <c r="D5" s="9" t="s">
        <v>4</v>
      </c>
    </row>
    <row r="6" s="1" customFormat="true" ht="13.5" hidden="false" customHeight="false" outlineLevel="0" collapsed="false">
      <c r="B6" s="7" t="s">
        <v>5</v>
      </c>
      <c r="C6" s="10" t="n">
        <v>50</v>
      </c>
      <c r="D6" s="11" t="s">
        <v>6</v>
      </c>
    </row>
    <row r="7" s="1" customFormat="true" ht="13.5" hidden="false" customHeight="false" outlineLevel="0" collapsed="false">
      <c r="B7" s="7" t="s">
        <v>7</v>
      </c>
      <c r="C7" s="10" t="n">
        <v>0</v>
      </c>
      <c r="D7" s="11" t="s">
        <v>6</v>
      </c>
    </row>
    <row r="8" s="1" customFormat="true" ht="13.5" hidden="false" customHeight="false" outlineLevel="0" collapsed="false">
      <c r="B8" s="7" t="s">
        <v>8</v>
      </c>
      <c r="C8" s="12" t="n">
        <v>450</v>
      </c>
      <c r="D8" s="9" t="s">
        <v>9</v>
      </c>
    </row>
    <row r="9" s="1" customFormat="true" ht="13.5" hidden="false" customHeight="false" outlineLevel="0" collapsed="false">
      <c r="B9" s="7" t="s">
        <v>10</v>
      </c>
      <c r="C9" s="12" t="n">
        <v>150</v>
      </c>
      <c r="D9" s="9" t="s">
        <v>9</v>
      </c>
    </row>
    <row r="10" s="1" customFormat="true" ht="13.5" hidden="false" customHeight="false" outlineLevel="0" collapsed="false">
      <c r="B10" s="7" t="s">
        <v>11</v>
      </c>
      <c r="C10" s="10" t="s">
        <v>12</v>
      </c>
      <c r="D10" s="11"/>
    </row>
    <row r="11" s="1" customFormat="true" ht="13.5" hidden="false" customHeight="false" outlineLevel="0" collapsed="false">
      <c r="B11" s="7" t="s">
        <v>13</v>
      </c>
      <c r="C11" s="10" t="n">
        <v>15</v>
      </c>
      <c r="D11" s="11" t="s">
        <v>14</v>
      </c>
    </row>
    <row r="12" s="1" customFormat="true" ht="13.5" hidden="false" customHeight="false" outlineLevel="0" collapsed="false">
      <c r="B12" s="7" t="s">
        <v>15</v>
      </c>
      <c r="C12" s="10" t="n">
        <v>2</v>
      </c>
      <c r="D12" s="11" t="s">
        <v>16</v>
      </c>
    </row>
    <row r="13" s="1" customFormat="true" ht="13.5" hidden="false" customHeight="false" outlineLevel="0" collapsed="false"/>
    <row r="14" s="1" customFormat="true" ht="13.8" hidden="false" customHeight="true" outlineLevel="0" collapsed="false">
      <c r="B14" s="6" t="s">
        <v>17</v>
      </c>
      <c r="C14" s="6"/>
      <c r="D14" s="6"/>
    </row>
    <row r="15" s="1" customFormat="true" ht="13.8" hidden="false" customHeight="true" outlineLevel="0" collapsed="false">
      <c r="B15" s="7" t="s">
        <v>18</v>
      </c>
      <c r="C15" s="13" t="n">
        <f aca="false">C8/C6</f>
        <v>9</v>
      </c>
      <c r="D15" s="11" t="s">
        <v>19</v>
      </c>
      <c r="E15" s="14" t="s">
        <v>20</v>
      </c>
      <c r="F15" s="14"/>
      <c r="G15" s="14"/>
      <c r="H15" s="14"/>
      <c r="I15" s="14"/>
      <c r="J15" s="14"/>
      <c r="K15" s="14"/>
      <c r="L15" s="14"/>
      <c r="M15" s="14"/>
      <c r="N15" s="14"/>
    </row>
    <row r="16" s="1" customFormat="true" ht="13.8" hidden="false" customHeight="false" outlineLevel="0" collapsed="false">
      <c r="B16" s="7" t="s">
        <v>21</v>
      </c>
      <c r="C16" s="13" t="n">
        <f aca="false">SQRT(C15)</f>
        <v>3</v>
      </c>
      <c r="D16" s="11"/>
    </row>
    <row r="17" s="1" customFormat="true" ht="13.8" hidden="false" customHeight="false" outlineLevel="0" collapsed="false">
      <c r="B17" s="7" t="s">
        <v>22</v>
      </c>
      <c r="C17" s="13" t="n">
        <f aca="false">C11*C16</f>
        <v>45</v>
      </c>
      <c r="D17" s="11" t="s">
        <v>14</v>
      </c>
    </row>
    <row r="18" s="1" customFormat="true" ht="13.8" hidden="false" customHeight="false" outlineLevel="0" collapsed="false">
      <c r="B18" s="7" t="s">
        <v>23</v>
      </c>
      <c r="C18" s="13" t="n">
        <f aca="false">ROUND(C17, 0)</f>
        <v>45</v>
      </c>
      <c r="D18" s="11" t="s">
        <v>14</v>
      </c>
      <c r="E18" s="15" t="n">
        <f aca="false">ROUND(0.8*((PI()*VLOOKUP(C10,Toroid_Database!A:F, 5, FALSE()))/C12),0)</f>
        <v>45</v>
      </c>
      <c r="F18" s="16" t="str">
        <f aca="false">IF(C18&gt;E18,"⛔ ERROR: Ns="&amp;TEXT(C18,"0")&amp;" EXCEEDS core max of "&amp;TEXT(E18,"0")&amp;" turns! Use larger core or reduce impedance ratio.","✔ OK — Ns within limit  |  ← Max turns allowed: "&amp;TEXT(E18,"0"))</f>
        <v>✔ OK — Ns within limit  |  ← Max turns allowed: 45</v>
      </c>
      <c r="G18" s="16"/>
      <c r="H18" s="16"/>
      <c r="I18" s="16"/>
      <c r="J18" s="16"/>
      <c r="K18" s="16"/>
      <c r="L18" s="16"/>
      <c r="M18" s="16"/>
      <c r="N18" s="16"/>
    </row>
    <row r="19" s="1" customFormat="true" ht="13.8" hidden="false" customHeight="false" outlineLevel="0" collapsed="false">
      <c r="B19" s="7" t="s">
        <v>24</v>
      </c>
      <c r="C19" s="13" t="n">
        <f aca="false">(C18/C11)^2</f>
        <v>9</v>
      </c>
      <c r="D19" s="11" t="s">
        <v>19</v>
      </c>
    </row>
    <row r="20" s="1" customFormat="true" ht="13.8" hidden="false" customHeight="false" outlineLevel="0" collapsed="false">
      <c r="B20" s="7" t="s">
        <v>25</v>
      </c>
      <c r="C20" s="17" t="n">
        <f aca="false">C9/C19</f>
        <v>16.6666666666667</v>
      </c>
      <c r="D20" s="11" t="s">
        <v>6</v>
      </c>
    </row>
    <row r="21" s="1" customFormat="true" ht="13.5" hidden="false" customHeight="false" outlineLevel="0" collapsed="false">
      <c r="B21" s="7"/>
      <c r="C21" s="18"/>
      <c r="D21" s="11"/>
    </row>
    <row r="22" s="1" customFormat="true" ht="13.5" hidden="false" customHeight="false" outlineLevel="0" collapsed="false">
      <c r="B22" s="19" t="s">
        <v>26</v>
      </c>
      <c r="C22" s="19"/>
      <c r="D22" s="19"/>
    </row>
    <row r="23" s="1" customFormat="true" ht="13.5" hidden="false" customHeight="true" outlineLevel="0" collapsed="false">
      <c r="B23" s="20" t="s">
        <v>27</v>
      </c>
      <c r="C23" s="21" t="n">
        <f aca="false">C18</f>
        <v>45</v>
      </c>
      <c r="D23" s="22" t="s">
        <v>14</v>
      </c>
      <c r="E23" s="23" t="s">
        <v>28</v>
      </c>
      <c r="F23" s="23"/>
      <c r="G23" s="23"/>
      <c r="H23" s="23"/>
      <c r="I23" s="23"/>
      <c r="J23" s="23"/>
      <c r="K23" s="23"/>
      <c r="L23" s="23"/>
      <c r="M23" s="23"/>
      <c r="N23" s="23"/>
    </row>
    <row r="24" s="1" customFormat="true" ht="13.5" hidden="false" customHeight="true" outlineLevel="0" collapsed="false">
      <c r="B24" s="20" t="s">
        <v>29</v>
      </c>
      <c r="C24" s="24" t="n">
        <f aca="false">C11</f>
        <v>15</v>
      </c>
      <c r="D24" s="22" t="s">
        <v>14</v>
      </c>
      <c r="E24" s="23" t="s">
        <v>30</v>
      </c>
      <c r="F24" s="23"/>
      <c r="G24" s="23"/>
      <c r="H24" s="23"/>
      <c r="I24" s="23"/>
      <c r="J24" s="23"/>
      <c r="K24" s="23"/>
      <c r="L24" s="23"/>
      <c r="M24" s="23"/>
      <c r="N24" s="23"/>
    </row>
    <row r="25" s="1" customFormat="true" ht="26.1" hidden="false" customHeight="true" outlineLevel="0" collapsed="false">
      <c r="B25" s="20" t="s">
        <v>31</v>
      </c>
      <c r="C25" s="24" t="n">
        <f aca="false">C23-C24</f>
        <v>30</v>
      </c>
      <c r="D25" s="22" t="s">
        <v>14</v>
      </c>
      <c r="E25" s="23" t="s">
        <v>32</v>
      </c>
      <c r="F25" s="23"/>
      <c r="G25" s="23"/>
      <c r="H25" s="23"/>
      <c r="I25" s="23"/>
      <c r="J25" s="15"/>
      <c r="K25" s="15"/>
      <c r="L25" s="15"/>
      <c r="M25" s="15"/>
      <c r="N25" s="15"/>
    </row>
    <row r="26" s="1" customFormat="true" ht="13.5" hidden="false" customHeight="true" outlineLevel="0" collapsed="false">
      <c r="B26" s="20" t="s">
        <v>33</v>
      </c>
      <c r="C26" s="21" t="n">
        <f aca="false">(C23/C24)^2</f>
        <v>9</v>
      </c>
      <c r="D26" s="22" t="s">
        <v>19</v>
      </c>
      <c r="E26" s="23" t="s">
        <v>34</v>
      </c>
      <c r="F26" s="23"/>
      <c r="G26" s="23"/>
      <c r="H26" s="23"/>
      <c r="I26" s="23"/>
      <c r="J26" s="23"/>
      <c r="K26" s="23"/>
      <c r="L26" s="23"/>
      <c r="M26" s="23"/>
      <c r="N26" s="23"/>
    </row>
    <row r="27" s="1" customFormat="true" ht="13.5" hidden="false" customHeight="true" outlineLevel="0" collapsed="false">
      <c r="B27" s="20" t="s">
        <v>35</v>
      </c>
      <c r="C27" s="24" t="n">
        <f aca="false">ROUND(PI()*((VLOOKUP(C10,Toroid_Database!A:F,4,FALSE())+VLOOKUP(C10,Toroid_Database!A:F,5,FALSE()))/2)/1000,3)</f>
        <v>0.152</v>
      </c>
      <c r="D27" s="22" t="s">
        <v>36</v>
      </c>
      <c r="E27" s="23" t="s">
        <v>37</v>
      </c>
      <c r="F27" s="23"/>
      <c r="G27" s="23"/>
      <c r="H27" s="23"/>
      <c r="I27" s="23"/>
      <c r="J27" s="23"/>
      <c r="K27" s="23"/>
      <c r="L27" s="23"/>
      <c r="M27" s="23"/>
      <c r="N27" s="23"/>
    </row>
    <row r="28" s="1" customFormat="true" ht="13.5" hidden="false" customHeight="true" outlineLevel="0" collapsed="false">
      <c r="B28" s="25" t="s">
        <v>38</v>
      </c>
      <c r="C28" s="24" t="n">
        <f aca="false">ROUND(C23*C27,2)</f>
        <v>6.84</v>
      </c>
      <c r="D28" s="22" t="s">
        <v>39</v>
      </c>
      <c r="E28" s="23" t="s">
        <v>40</v>
      </c>
      <c r="F28" s="23"/>
      <c r="G28" s="23"/>
      <c r="H28" s="23"/>
      <c r="I28" s="23"/>
      <c r="J28" s="23"/>
      <c r="K28" s="23"/>
      <c r="L28" s="23"/>
      <c r="M28" s="23"/>
      <c r="N28" s="23"/>
    </row>
    <row r="29" s="1" customFormat="true" ht="13.5" hidden="false" customHeight="false" outlineLevel="0" collapsed="false"/>
    <row r="30" s="1" customFormat="true" ht="13.5" hidden="false" customHeight="true" outlineLevel="0" collapsed="false">
      <c r="B30" s="6" t="s">
        <v>41</v>
      </c>
      <c r="C30" s="6"/>
      <c r="D30" s="6"/>
    </row>
    <row r="31" s="1" customFormat="true" ht="26.1" hidden="false" customHeight="true" outlineLevel="0" collapsed="false">
      <c r="B31" s="26" t="s">
        <v>42</v>
      </c>
      <c r="C31" s="26"/>
      <c r="D31" s="26"/>
    </row>
    <row r="32" s="1" customFormat="true" ht="13.5" hidden="false" customHeight="false" outlineLevel="0" collapsed="false">
      <c r="B32" s="7" t="s">
        <v>43</v>
      </c>
      <c r="C32" s="13" t="n">
        <f aca="false">-C9</f>
        <v>-150</v>
      </c>
      <c r="D32" s="11" t="s">
        <v>6</v>
      </c>
    </row>
    <row r="33" s="1" customFormat="true" ht="13.5" hidden="false" customHeight="false" outlineLevel="0" collapsed="false">
      <c r="B33" s="7" t="s">
        <v>44</v>
      </c>
      <c r="C33" s="13" t="str">
        <f aca="false">IF(C32&gt;0, "Inductor (Series L)", IF(C32&lt;0, "Capacitor (Series C)", "None"))</f>
        <v>Capacitor (Series C)</v>
      </c>
    </row>
    <row r="34" s="1" customFormat="true" ht="13.5" hidden="false" customHeight="true" outlineLevel="0" collapsed="false">
      <c r="B34" s="7" t="s">
        <v>45</v>
      </c>
      <c r="C34" s="13" t="n">
        <f aca="false">IF(C32&gt;0, C32/(2*PI()*C5), IF(C32&lt;0, 1000000/(2*PI()*C5*ABS(C32)), 0))</f>
        <v>149.441261119151</v>
      </c>
      <c r="D34" s="27" t="n">
        <f aca="false">IF(C32&gt;0,ROUND(C34,0),IF(C32&lt;0,INDEX({1,1.1,1.2,1.3,1.5,1.6,1.8,2,2.2,2.4,2.7,3,3.3,3.6,3.9,4.3,4.7,5.1,5.6,6.2,6.8,7.5,8.2,9.1},MATCH(MIN(ABS({1,1.1,1.2,1.3,1.5,1.6,1.8,2,2.2,2.4,2.7,3,3.3,3.6,3.9,4.3,4.7,5.1,5.6,6.2,6.8,7.5,8.2,9.1}-C34/POWER(10,INT(LOG10(C34))))),ABS({1,1.1,1.2,1.3,1.5,1.6,1.8,2,2.2,2.4,2.7,3,3.3,3.6,3.9,4.3,4.7,5.1,5.6,6.2,6.8,7.5,8.2,9.1}-C34/POWER(10,INT(LOG10(C34)))),0))*POWER(10,INT(LOG10(C34))),0))</f>
        <v>150</v>
      </c>
      <c r="E34" s="16" t="s">
        <v>46</v>
      </c>
      <c r="F34" s="16"/>
      <c r="G34" s="16"/>
      <c r="H34" s="16"/>
      <c r="I34" s="16"/>
    </row>
    <row r="35" s="1" customFormat="true" ht="13.5" hidden="false" customHeight="false" outlineLevel="0" collapsed="false">
      <c r="B35" s="7" t="s">
        <v>47</v>
      </c>
      <c r="C35" s="13" t="str">
        <f aca="false">IF(C32&gt;0, "µH", IF(C32&lt;0, "pF", "-"))</f>
        <v>pF</v>
      </c>
    </row>
    <row r="36" s="1" customFormat="true" ht="13.5" hidden="false" customHeight="false" outlineLevel="0" collapsed="false"/>
    <row r="37" s="1" customFormat="true" ht="13.5" hidden="false" customHeight="true" outlineLevel="0" collapsed="false">
      <c r="B37" s="6" t="s">
        <v>48</v>
      </c>
      <c r="C37" s="6"/>
      <c r="D37" s="6"/>
    </row>
    <row r="38" s="1" customFormat="true" ht="13.5" hidden="false" customHeight="false" outlineLevel="0" collapsed="false">
      <c r="B38" s="7" t="s">
        <v>49</v>
      </c>
      <c r="C38" s="13" t="n">
        <f aca="false">VLOOKUP(C10,Toroid_Database!A:F, 3, FALSE())</f>
        <v>1800</v>
      </c>
      <c r="D38" s="11" t="s">
        <v>50</v>
      </c>
    </row>
    <row r="39" s="1" customFormat="true" ht="13.5" hidden="false" customHeight="false" outlineLevel="0" collapsed="false">
      <c r="B39" s="7" t="s">
        <v>51</v>
      </c>
      <c r="C39" s="13" t="n">
        <f aca="false">C38*(C11^2)/1000</f>
        <v>405</v>
      </c>
      <c r="D39" s="11" t="s">
        <v>52</v>
      </c>
    </row>
    <row r="40" s="1" customFormat="true" ht="13.5" hidden="false" customHeight="false" outlineLevel="0" collapsed="false">
      <c r="B40" s="7" t="s">
        <v>53</v>
      </c>
      <c r="C40" s="13" t="n">
        <f aca="false">2*PI()*C5*C39</f>
        <v>18067.2993507949</v>
      </c>
      <c r="D40" s="11" t="s">
        <v>6</v>
      </c>
    </row>
    <row r="41" s="1" customFormat="true" ht="13.5" hidden="false" customHeight="false" outlineLevel="0" collapsed="false">
      <c r="B41" s="7" t="s">
        <v>54</v>
      </c>
      <c r="C41" s="28" t="str">
        <f aca="false">IF(C40 &gt;= (4*C6), "ADECUADO", "ATECIÓN: INCREMENTAR ESPIRAS PRIMARIAS")</f>
        <v>ADECUADO</v>
      </c>
      <c r="D41" s="11"/>
    </row>
    <row r="42" s="1" customFormat="true" ht="13.5" hidden="false" customHeight="false" outlineLevel="0" collapsed="false"/>
    <row r="43" s="1" customFormat="true" ht="26.1" hidden="false" customHeight="true" outlineLevel="0" collapsed="false">
      <c r="B43" s="29" t="s">
        <v>55</v>
      </c>
      <c r="C43" s="29"/>
      <c r="D43" s="29"/>
      <c r="E43" s="30"/>
      <c r="F43" s="30"/>
    </row>
    <row r="44" s="1" customFormat="true" ht="13.5" hidden="false" customHeight="false" outlineLevel="0" collapsed="false">
      <c r="B44" s="31"/>
      <c r="C44" s="31"/>
      <c r="D44" s="31"/>
    </row>
    <row r="45" s="1" customFormat="true" ht="13.8" hidden="false" customHeight="true" outlineLevel="0" collapsed="false">
      <c r="B45" s="32" t="s">
        <v>56</v>
      </c>
      <c r="C45" s="32"/>
      <c r="D45" s="32"/>
      <c r="E45" s="32"/>
      <c r="F45" s="32"/>
      <c r="G45" s="32"/>
      <c r="H45" s="32"/>
      <c r="I45" s="32"/>
      <c r="J45" s="32"/>
      <c r="K45" s="32"/>
      <c r="L45" s="32"/>
      <c r="M45" s="32"/>
      <c r="N45" s="32"/>
    </row>
    <row r="46" s="1" customFormat="true" ht="13.8" hidden="false" customHeight="true" outlineLevel="0" collapsed="false">
      <c r="B46" s="23" t="s">
        <v>57</v>
      </c>
      <c r="C46" s="23"/>
      <c r="D46" s="23"/>
      <c r="E46" s="23"/>
      <c r="F46" s="23"/>
      <c r="G46" s="23"/>
      <c r="H46" s="23"/>
      <c r="I46" s="23"/>
      <c r="J46" s="23"/>
      <c r="K46" s="23"/>
      <c r="L46" s="23"/>
      <c r="M46" s="23"/>
      <c r="N46" s="23"/>
    </row>
    <row r="47" s="1" customFormat="true" ht="13.8" hidden="false" customHeight="false" outlineLevel="0" collapsed="false">
      <c r="B47" s="33" t="s">
        <v>58</v>
      </c>
    </row>
    <row r="48" s="1" customFormat="true" ht="26.1" hidden="false" customHeight="true" outlineLevel="0" collapsed="false">
      <c r="B48" s="34" t="s">
        <v>59</v>
      </c>
      <c r="C48" s="35" t="n">
        <f aca="false">IFERROR(VLOOKUP(C10,Toroid_Database!A:G,7,FALSE()),1)</f>
        <v>1.52</v>
      </c>
      <c r="D48" s="11" t="s">
        <v>60</v>
      </c>
      <c r="E48" s="23" t="s">
        <v>61</v>
      </c>
      <c r="F48" s="23"/>
      <c r="G48" s="23"/>
      <c r="H48" s="23"/>
      <c r="I48" s="23"/>
      <c r="J48" s="23"/>
      <c r="K48" s="23"/>
      <c r="L48" s="23"/>
      <c r="M48" s="23"/>
      <c r="N48" s="23"/>
    </row>
    <row r="49" s="1" customFormat="true" ht="13.5" hidden="false" customHeight="true" outlineLevel="0" collapsed="false">
      <c r="B49" s="34" t="s">
        <v>62</v>
      </c>
      <c r="C49" s="35" t="n">
        <f aca="false">IF(OR(C10="FT-114-43",C10="FT-140-43",C10="FT-240-43",C10="FT-114-31",C10="FT-140-31",C10="FT-240-31",C10="FT-114-52",C10="FT-140-52",C10="FT-240-52",C10="FT-114-61",C10="FT-140-61",C10="FT-240-61"),200,300)</f>
        <v>200</v>
      </c>
      <c r="D49" s="11" t="s">
        <v>63</v>
      </c>
      <c r="E49" s="23" t="s">
        <v>64</v>
      </c>
      <c r="F49" s="23"/>
      <c r="G49" s="23"/>
      <c r="H49" s="23"/>
      <c r="I49" s="23"/>
      <c r="J49" s="23"/>
      <c r="K49" s="23"/>
      <c r="L49" s="23"/>
      <c r="M49" s="23"/>
      <c r="N49" s="23"/>
    </row>
    <row r="50" s="1" customFormat="true" ht="13.5" hidden="false" customHeight="false" outlineLevel="0" collapsed="false">
      <c r="B50" s="33" t="s">
        <v>65</v>
      </c>
      <c r="E50" s="15"/>
      <c r="F50" s="15"/>
      <c r="G50" s="15"/>
      <c r="H50" s="15"/>
      <c r="I50" s="15"/>
      <c r="J50" s="15"/>
      <c r="K50" s="15"/>
      <c r="L50" s="15"/>
      <c r="M50" s="15"/>
      <c r="N50" s="15"/>
    </row>
    <row r="51" s="1" customFormat="true" ht="13.5" hidden="false" customHeight="false" outlineLevel="0" collapsed="false">
      <c r="B51" s="34" t="s">
        <v>66</v>
      </c>
      <c r="C51" s="36" t="n">
        <f aca="false">ROUND((C49/1000)*2*PI()*(C5*1000000)*C11*(C48*0.0001),1)</f>
        <v>20342.4</v>
      </c>
      <c r="D51" s="11" t="s">
        <v>67</v>
      </c>
      <c r="E51" s="15"/>
      <c r="F51" s="15"/>
      <c r="G51" s="15"/>
      <c r="H51" s="15"/>
      <c r="I51" s="15"/>
      <c r="J51" s="15"/>
      <c r="K51" s="15"/>
      <c r="L51" s="15"/>
      <c r="M51" s="15"/>
      <c r="N51" s="15"/>
    </row>
    <row r="52" s="1" customFormat="true" ht="26.1" hidden="false" customHeight="true" outlineLevel="0" collapsed="false">
      <c r="B52" s="34" t="s">
        <v>68</v>
      </c>
      <c r="C52" s="36" t="n">
        <f aca="false">ROUND(C51^2/(2*C6),0)</f>
        <v>4138132</v>
      </c>
      <c r="D52" s="11" t="s">
        <v>69</v>
      </c>
      <c r="E52" s="23" t="s">
        <v>70</v>
      </c>
      <c r="F52" s="23"/>
      <c r="G52" s="23"/>
      <c r="H52" s="23"/>
      <c r="I52" s="23"/>
      <c r="J52" s="23"/>
      <c r="K52" s="23"/>
      <c r="L52" s="23"/>
      <c r="M52" s="23"/>
      <c r="N52" s="23"/>
    </row>
    <row r="53" s="1" customFormat="true" ht="13.5" hidden="false" customHeight="false" outlineLevel="0" collapsed="false">
      <c r="B53" s="34" t="s">
        <v>71</v>
      </c>
      <c r="C53" s="37" t="str">
        <f aca="false">IF(C52&gt;=1500,"✔  ALTA POTENCIA  — &gt; 1500 W espacio libre de saturación",IF(C52&gt;=500,"✔  OK — manejo moderado de potencia ("&amp;C52&amp;" W PEP max)",IF(C52&gt;=100,"⚠  LIMITADO — nucleo baja potencia ("&amp;C52&amp;" W PEP max). Incrementar Np o usar u núcleo más grande.","⛔  INSUFICIENTE — El núcleo saturaá a esta potenciar. Use FT-240 or incremente las espiras primarias.")))</f>
        <v>✔  ALTA POTENCIA  — &gt; 1500 W espacio libre de saturación</v>
      </c>
      <c r="D53" s="37"/>
      <c r="E53" s="37"/>
      <c r="F53" s="37"/>
      <c r="G53" s="37"/>
    </row>
    <row r="54" s="1" customFormat="true" ht="13.5" hidden="false" customHeight="false" outlineLevel="0" collapsed="false">
      <c r="B54" s="34"/>
      <c r="C54" s="33"/>
    </row>
    <row r="55" s="1" customFormat="true" ht="26.1" hidden="false" customHeight="true" outlineLevel="0" collapsed="false">
      <c r="B55" s="38" t="s">
        <v>72</v>
      </c>
      <c r="C55" s="38"/>
      <c r="D55" s="38"/>
      <c r="E55" s="38"/>
      <c r="F55" s="38"/>
      <c r="G55" s="38"/>
      <c r="H55" s="38"/>
      <c r="I55" s="38"/>
      <c r="J55" s="38"/>
      <c r="K55" s="38"/>
      <c r="L55" s="38"/>
      <c r="M55" s="38"/>
      <c r="N55" s="38"/>
    </row>
    <row r="56" s="1" customFormat="true" ht="13.5" hidden="false" customHeight="false" outlineLevel="0" collapsed="false"/>
    <row r="57" s="1" customFormat="true" ht="13.5" hidden="false" customHeight="true" outlineLevel="0" collapsed="false">
      <c r="B57" s="32" t="s">
        <v>73</v>
      </c>
      <c r="C57" s="32"/>
      <c r="D57" s="32"/>
      <c r="E57" s="32"/>
      <c r="F57" s="32"/>
      <c r="G57" s="32"/>
      <c r="H57" s="32"/>
      <c r="I57" s="32"/>
      <c r="J57" s="32"/>
      <c r="K57" s="32"/>
      <c r="L57" s="32"/>
      <c r="M57" s="32"/>
      <c r="N57" s="32"/>
    </row>
    <row r="58" s="1" customFormat="true" ht="38.4" hidden="false" customHeight="true" outlineLevel="0" collapsed="false">
      <c r="B58" s="39" t="s">
        <v>74</v>
      </c>
      <c r="C58" s="39"/>
      <c r="D58" s="39"/>
      <c r="E58" s="39"/>
      <c r="F58" s="39"/>
      <c r="G58" s="39"/>
      <c r="H58" s="39"/>
      <c r="I58" s="39"/>
      <c r="J58" s="39"/>
      <c r="K58" s="39"/>
      <c r="L58" s="39"/>
      <c r="M58" s="39"/>
      <c r="N58" s="39"/>
    </row>
    <row r="59" s="1" customFormat="true" ht="13.5" hidden="false" customHeight="true" outlineLevel="0" collapsed="false">
      <c r="B59" s="6" t="s">
        <v>75</v>
      </c>
      <c r="C59" s="6"/>
      <c r="D59" s="6"/>
      <c r="E59" s="6"/>
      <c r="F59" s="6"/>
      <c r="G59" s="6"/>
      <c r="H59" s="6"/>
      <c r="I59" s="6"/>
      <c r="J59" s="6"/>
      <c r="K59" s="6"/>
      <c r="L59" s="6"/>
      <c r="M59" s="6"/>
      <c r="N59" s="6"/>
    </row>
    <row r="60" s="1" customFormat="true" ht="13.5" hidden="false" customHeight="true" outlineLevel="0" collapsed="false">
      <c r="B60" s="40" t="s">
        <v>76</v>
      </c>
      <c r="C60" s="41" t="str">
        <f aca="false">C33</f>
        <v>Capacitor (Series C)</v>
      </c>
      <c r="D60" s="41"/>
      <c r="E60" s="39" t="s">
        <v>77</v>
      </c>
      <c r="F60" s="39"/>
      <c r="G60" s="39"/>
      <c r="H60" s="39"/>
      <c r="I60" s="39"/>
      <c r="J60" s="39"/>
      <c r="K60" s="39"/>
      <c r="L60" s="39"/>
      <c r="M60" s="39"/>
      <c r="N60" s="39"/>
    </row>
    <row r="61" s="1" customFormat="true" ht="13.5" hidden="false" customHeight="true" outlineLevel="0" collapsed="false">
      <c r="B61" s="40" t="s">
        <v>78</v>
      </c>
      <c r="C61" s="42" t="n">
        <f aca="false">D34</f>
        <v>150</v>
      </c>
      <c r="D61" s="41" t="str">
        <f aca="false">C35</f>
        <v>pF</v>
      </c>
      <c r="E61" s="39" t="s">
        <v>79</v>
      </c>
      <c r="F61" s="39"/>
      <c r="G61" s="39"/>
      <c r="H61" s="39"/>
      <c r="I61" s="39"/>
      <c r="J61" s="39"/>
      <c r="K61" s="39"/>
      <c r="L61" s="39"/>
      <c r="M61" s="39"/>
      <c r="N61" s="39"/>
    </row>
    <row r="62" s="1" customFormat="true" ht="13.5" hidden="false" customHeight="true" outlineLevel="0" collapsed="false">
      <c r="B62" s="40" t="s">
        <v>80</v>
      </c>
      <c r="C62" s="42" t="n">
        <f aca="false">C19</f>
        <v>9</v>
      </c>
      <c r="D62" s="41" t="s">
        <v>19</v>
      </c>
      <c r="E62" s="39" t="s">
        <v>81</v>
      </c>
      <c r="F62" s="39"/>
      <c r="G62" s="39"/>
      <c r="H62" s="39"/>
      <c r="I62" s="39"/>
      <c r="J62" s="39"/>
      <c r="K62" s="39"/>
      <c r="L62" s="39"/>
      <c r="M62" s="39"/>
      <c r="N62" s="39"/>
    </row>
    <row r="63" s="1" customFormat="true" ht="13.5" hidden="false" customHeight="true" outlineLevel="0" collapsed="false">
      <c r="B63" s="40" t="s">
        <v>82</v>
      </c>
      <c r="C63" s="41" t="n">
        <v>50</v>
      </c>
      <c r="D63" s="41" t="s">
        <v>9</v>
      </c>
      <c r="E63" s="39" t="s">
        <v>83</v>
      </c>
      <c r="F63" s="39"/>
      <c r="G63" s="39"/>
      <c r="H63" s="39"/>
      <c r="I63" s="39"/>
      <c r="J63" s="39"/>
      <c r="K63" s="39"/>
      <c r="L63" s="39"/>
      <c r="M63" s="39"/>
      <c r="N63" s="39"/>
    </row>
    <row r="64" s="1" customFormat="true" ht="13.5" hidden="false" customHeight="false" outlineLevel="0" collapsed="false"/>
    <row r="65" s="1" customFormat="true" ht="13.5" hidden="false" customHeight="false" outlineLevel="0" collapsed="false"/>
    <row r="66" s="1" customFormat="true" ht="13.5" hidden="false" customHeight="false" outlineLevel="0" collapsed="false"/>
    <row r="67" s="1" customFormat="true" ht="13.5" hidden="false" customHeight="false" outlineLevel="0" collapsed="false"/>
    <row r="68" s="1" customFormat="true" ht="13.5" hidden="false" customHeight="false" outlineLevel="0" collapsed="false"/>
    <row r="69" s="1" customFormat="true" ht="13.5" hidden="false" customHeight="false" outlineLevel="0" collapsed="false"/>
    <row r="70" s="1" customFormat="true" ht="13.5" hidden="false" customHeight="false" outlineLevel="0" collapsed="false"/>
    <row r="71" s="1" customFormat="true" ht="13.5" hidden="false" customHeight="false" outlineLevel="0" collapsed="false"/>
    <row r="72" s="1" customFormat="true" ht="13.5" hidden="false" customHeight="false" outlineLevel="0" collapsed="false"/>
    <row r="73" s="1" customFormat="true" ht="13.5" hidden="false" customHeight="false" outlineLevel="0" collapsed="false"/>
    <row r="74" s="1" customFormat="true" ht="13.5" hidden="false" customHeight="false" outlineLevel="0" collapsed="false"/>
    <row r="75" s="1" customFormat="true" ht="13.5" hidden="false" customHeight="false" outlineLevel="0" collapsed="false"/>
    <row r="76" s="1" customFormat="true" ht="13.5" hidden="false" customHeight="false" outlineLevel="0" collapsed="false"/>
    <row r="77" s="1" customFormat="true" ht="13.5" hidden="false" customHeight="false" outlineLevel="0" collapsed="false"/>
    <row r="78" s="1" customFormat="true" ht="13.5" hidden="false" customHeight="false" outlineLevel="0" collapsed="false"/>
    <row r="79" s="1" customFormat="true" ht="13.5" hidden="false" customHeight="false" outlineLevel="0" collapsed="false"/>
    <row r="80" s="1" customFormat="true" ht="13.5" hidden="false" customHeight="false" outlineLevel="0" collapsed="false"/>
    <row r="81" s="1" customFormat="true" ht="13.5" hidden="false" customHeight="false" outlineLevel="0" collapsed="false"/>
    <row r="82" s="1" customFormat="true" ht="13.5" hidden="false" customHeight="false" outlineLevel="0" collapsed="false"/>
    <row r="83" s="1" customFormat="true" ht="13.5" hidden="false" customHeight="false" outlineLevel="0" collapsed="false"/>
    <row r="84" s="1" customFormat="true" ht="13.5" hidden="false" customHeight="false" outlineLevel="0" collapsed="false"/>
    <row r="85" s="1" customFormat="true" ht="13.5" hidden="false" customHeight="false" outlineLevel="0" collapsed="false"/>
    <row r="86" s="1" customFormat="true" ht="13.5" hidden="false" customHeight="false" outlineLevel="0" collapsed="false"/>
    <row r="87" s="1" customFormat="true" ht="13.5" hidden="false" customHeight="false" outlineLevel="0" collapsed="false"/>
    <row r="88" s="1" customFormat="true" ht="13.5" hidden="false" customHeight="false" outlineLevel="0" collapsed="false"/>
    <row r="89" s="1" customFormat="true" ht="13.5" hidden="false" customHeight="false" outlineLevel="0" collapsed="false"/>
    <row r="90" s="1" customFormat="true" ht="13.5" hidden="false" customHeight="false" outlineLevel="0" collapsed="false"/>
    <row r="91" s="1" customFormat="true" ht="13.5" hidden="false" customHeight="false" outlineLevel="0" collapsed="false"/>
    <row r="92" s="1" customFormat="true" ht="13.5" hidden="false" customHeight="false" outlineLevel="0" collapsed="false"/>
    <row r="93" s="1" customFormat="true" ht="13.5" hidden="false" customHeight="false" outlineLevel="0" collapsed="false"/>
    <row r="94" s="1" customFormat="true" ht="13.5" hidden="false" customHeight="false" outlineLevel="0" collapsed="false"/>
    <row r="95" s="1" customFormat="true" ht="13.5" hidden="false" customHeight="false" outlineLevel="0" collapsed="false"/>
    <row r="96" s="1" customFormat="true" ht="13.5" hidden="false" customHeight="false" outlineLevel="0" collapsed="false"/>
    <row r="97" s="1" customFormat="true" ht="13.5" hidden="false" customHeight="false" outlineLevel="0" collapsed="false"/>
    <row r="98" s="1" customFormat="true" ht="13.5" hidden="false" customHeight="false" outlineLevel="0" collapsed="false"/>
    <row r="99" s="1" customFormat="true" ht="13.5" hidden="false" customHeight="false" outlineLevel="0" collapsed="false"/>
    <row r="100" s="1" customFormat="true" ht="13.5" hidden="false" customHeight="false" outlineLevel="0" collapsed="false"/>
    <row r="101" s="1" customFormat="true" ht="13.5" hidden="false" customHeight="false" outlineLevel="0" collapsed="false"/>
    <row r="102" s="1" customFormat="true" ht="13.5" hidden="false" customHeight="false" outlineLevel="0" collapsed="false"/>
    <row r="103" s="1" customFormat="true" ht="13.5" hidden="false" customHeight="false" outlineLevel="0" collapsed="false"/>
    <row r="104" s="1" customFormat="true" ht="13.5" hidden="false" customHeight="false" outlineLevel="0" collapsed="false"/>
    <row r="105" s="1" customFormat="true" ht="13.5" hidden="false" customHeight="false" outlineLevel="0" collapsed="false"/>
    <row r="106" s="1" customFormat="true" ht="13.5" hidden="false" customHeight="false" outlineLevel="0" collapsed="false"/>
    <row r="107" s="1" customFormat="true" ht="13.5" hidden="false" customHeight="false" outlineLevel="0" collapsed="false"/>
    <row r="108" s="1" customFormat="true" ht="13.5" hidden="false" customHeight="false" outlineLevel="0" collapsed="false"/>
    <row r="109" s="1" customFormat="true" ht="13.5" hidden="false" customHeight="false" outlineLevel="0" collapsed="false"/>
    <row r="110" s="1" customFormat="true" ht="13.5" hidden="false" customHeight="false" outlineLevel="0" collapsed="false"/>
    <row r="111" s="1" customFormat="true" ht="13.5" hidden="false" customHeight="false" outlineLevel="0" collapsed="false"/>
    <row r="112" s="1" customFormat="true" ht="13.5" hidden="false" customHeight="false" outlineLevel="0" collapsed="false"/>
    <row r="113" s="1" customFormat="true" ht="13.5" hidden="false" customHeight="false" outlineLevel="0" collapsed="false"/>
    <row r="114" s="1" customFormat="true" ht="13.5" hidden="false" customHeight="false" outlineLevel="0" collapsed="false"/>
    <row r="115" s="1" customFormat="true" ht="13.5" hidden="false" customHeight="false" outlineLevel="0" collapsed="false"/>
    <row r="116" s="1" customFormat="true" ht="13.5" hidden="false" customHeight="false" outlineLevel="0" collapsed="false"/>
    <row r="117" s="1" customFormat="true" ht="13.5" hidden="false" customHeight="false" outlineLevel="0" collapsed="false"/>
    <row r="118" s="1" customFormat="true" ht="13.5" hidden="false" customHeight="false" outlineLevel="0" collapsed="false"/>
    <row r="119" s="1" customFormat="true" ht="13.5" hidden="false" customHeight="false" outlineLevel="0" collapsed="false"/>
    <row r="120" s="1" customFormat="true" ht="13.5" hidden="false" customHeight="false" outlineLevel="0" collapsed="false"/>
    <row r="121" s="1" customFormat="true" ht="13.5" hidden="false" customHeight="false" outlineLevel="0" collapsed="false"/>
    <row r="122" s="1" customFormat="true" ht="13.5" hidden="false" customHeight="false" outlineLevel="0" collapsed="false"/>
    <row r="123" s="1" customFormat="true" ht="13.5" hidden="false" customHeight="false" outlineLevel="0" collapsed="false"/>
    <row r="124" s="1" customFormat="true" ht="13.5" hidden="false" customHeight="false" outlineLevel="0" collapsed="false"/>
    <row r="125" s="1" customFormat="true" ht="13.5" hidden="false" customHeight="false" outlineLevel="0" collapsed="false"/>
    <row r="126" s="1" customFormat="true" ht="13.5" hidden="false" customHeight="false" outlineLevel="0" collapsed="false"/>
    <row r="127" s="1" customFormat="true" ht="13.5" hidden="false" customHeight="false" outlineLevel="0" collapsed="false"/>
    <row r="128" s="1" customFormat="true" ht="13.5" hidden="false" customHeight="false" outlineLevel="0" collapsed="false"/>
    <row r="129" s="1" customFormat="true" ht="13.5" hidden="false" customHeight="false" outlineLevel="0" collapsed="false"/>
    <row r="130" s="1" customFormat="true" ht="13.5" hidden="false" customHeight="false" outlineLevel="0" collapsed="false"/>
    <row r="131" s="1" customFormat="true" ht="13.5" hidden="false" customHeight="false" outlineLevel="0" collapsed="false"/>
    <row r="132" s="1" customFormat="true" ht="13.5" hidden="false" customHeight="false" outlineLevel="0" collapsed="false"/>
    <row r="133" s="1" customFormat="true" ht="13.5" hidden="false" customHeight="false" outlineLevel="0" collapsed="false"/>
    <row r="134" s="1" customFormat="true" ht="13.5" hidden="false" customHeight="false" outlineLevel="0" collapsed="false"/>
    <row r="135" s="1" customFormat="true" ht="13.5" hidden="false" customHeight="false" outlineLevel="0" collapsed="false"/>
    <row r="136" s="1" customFormat="true" ht="13.5" hidden="false" customHeight="false" outlineLevel="0" collapsed="false"/>
    <row r="137" s="1" customFormat="true" ht="13.5" hidden="false" customHeight="false" outlineLevel="0" collapsed="false"/>
    <row r="138" s="1" customFormat="true" ht="13.5" hidden="false" customHeight="false" outlineLevel="0" collapsed="false"/>
    <row r="139" s="1" customFormat="true" ht="13.5" hidden="false" customHeight="false" outlineLevel="0" collapsed="false"/>
    <row r="140" s="1" customFormat="true" ht="13.5" hidden="false" customHeight="false" outlineLevel="0" collapsed="false"/>
    <row r="141" s="1" customFormat="true" ht="13.5" hidden="false" customHeight="false" outlineLevel="0" collapsed="false"/>
    <row r="142" s="1" customFormat="true" ht="13.5" hidden="false" customHeight="false" outlineLevel="0" collapsed="false"/>
    <row r="143" s="1" customFormat="true" ht="13.5" hidden="false" customHeight="false" outlineLevel="0" collapsed="false"/>
    <row r="144" s="1" customFormat="true" ht="13.5" hidden="false" customHeight="false" outlineLevel="0" collapsed="false"/>
    <row r="145" s="1" customFormat="true" ht="13.5" hidden="false" customHeight="false" outlineLevel="0" collapsed="false"/>
    <row r="146" s="1" customFormat="true" ht="13.5" hidden="false" customHeight="false" outlineLevel="0" collapsed="false"/>
    <row r="147" s="1" customFormat="true" ht="13.5" hidden="false" customHeight="false" outlineLevel="0" collapsed="false"/>
    <row r="148" s="1" customFormat="true" ht="13.5" hidden="false" customHeight="false" outlineLevel="0" collapsed="false"/>
    <row r="149" s="1" customFormat="true" ht="13.5" hidden="false" customHeight="false" outlineLevel="0" collapsed="false"/>
    <row r="150" s="1" customFormat="true" ht="13.5" hidden="false" customHeight="false" outlineLevel="0" collapsed="false"/>
    <row r="151" s="1" customFormat="true" ht="13.5" hidden="false" customHeight="false" outlineLevel="0" collapsed="false"/>
    <row r="152" s="1" customFormat="true" ht="13.5" hidden="false" customHeight="false" outlineLevel="0" collapsed="false"/>
    <row r="153" s="1" customFormat="true" ht="13.5" hidden="false" customHeight="false" outlineLevel="0" collapsed="false"/>
    <row r="154" s="1" customFormat="true" ht="13.5" hidden="false" customHeight="false" outlineLevel="0" collapsed="false"/>
    <row r="155" s="1" customFormat="true" ht="13.5" hidden="false" customHeight="false" outlineLevel="0" collapsed="false"/>
    <row r="156" s="1" customFormat="true" ht="13.5" hidden="false" customHeight="false" outlineLevel="0" collapsed="false"/>
    <row r="157" s="1" customFormat="true" ht="13.5" hidden="false" customHeight="false" outlineLevel="0" collapsed="false"/>
    <row r="158" s="1" customFormat="true" ht="13.5" hidden="false" customHeight="false" outlineLevel="0" collapsed="false"/>
    <row r="159" s="1" customFormat="true" ht="13.5" hidden="false" customHeight="false" outlineLevel="0" collapsed="false"/>
    <row r="160" s="1" customFormat="true" ht="13.5" hidden="false" customHeight="false" outlineLevel="0" collapsed="false"/>
    <row r="161" s="1" customFormat="true" ht="13.5" hidden="false" customHeight="false" outlineLevel="0" collapsed="false"/>
    <row r="162" s="1" customFormat="true" ht="13.5" hidden="false" customHeight="false" outlineLevel="0" collapsed="false"/>
    <row r="163" s="1" customFormat="true" ht="13.5" hidden="false" customHeight="false" outlineLevel="0" collapsed="false"/>
    <row r="164" s="1" customFormat="true" ht="13.5" hidden="false" customHeight="false" outlineLevel="0" collapsed="false"/>
    <row r="165" s="1" customFormat="true" ht="13.5" hidden="false" customHeight="false" outlineLevel="0" collapsed="false"/>
    <row r="166" s="1" customFormat="true" ht="13.5" hidden="false" customHeight="false" outlineLevel="0" collapsed="false"/>
    <row r="167" s="1" customFormat="true" ht="13.5" hidden="false" customHeight="false" outlineLevel="0" collapsed="false"/>
    <row r="168" s="1" customFormat="true" ht="13.5" hidden="false" customHeight="false" outlineLevel="0" collapsed="false"/>
    <row r="169" s="1" customFormat="true" ht="13.5" hidden="false" customHeight="false" outlineLevel="0" collapsed="false"/>
    <row r="170" s="1" customFormat="true" ht="13.5" hidden="false" customHeight="false" outlineLevel="0" collapsed="false"/>
    <row r="171" s="1" customFormat="true" ht="13.5" hidden="false" customHeight="false" outlineLevel="0" collapsed="false"/>
    <row r="172" s="1" customFormat="true" ht="13.5" hidden="false" customHeight="false" outlineLevel="0" collapsed="false"/>
    <row r="173" s="1" customFormat="true" ht="13.5" hidden="false" customHeight="false" outlineLevel="0" collapsed="false"/>
    <row r="174" s="1" customFormat="true" ht="13.5" hidden="false" customHeight="false" outlineLevel="0" collapsed="false"/>
    <row r="175" s="1" customFormat="true" ht="13.5" hidden="false" customHeight="false" outlineLevel="0" collapsed="false"/>
    <row r="176" s="1" customFormat="true" ht="13.5" hidden="false" customHeight="false" outlineLevel="0" collapsed="false"/>
    <row r="177" s="1" customFormat="true" ht="13.5" hidden="false" customHeight="false" outlineLevel="0" collapsed="false"/>
    <row r="178" s="1" customFormat="true" ht="13.5" hidden="false" customHeight="false" outlineLevel="0" collapsed="false"/>
    <row r="179" s="1" customFormat="true" ht="13.5" hidden="false" customHeight="false" outlineLevel="0" collapsed="false"/>
    <row r="180" s="1" customFormat="true" ht="13.5" hidden="false" customHeight="false" outlineLevel="0" collapsed="false"/>
    <row r="181" s="1" customFormat="true" ht="13.5" hidden="false" customHeight="false" outlineLevel="0" collapsed="false"/>
    <row r="182" s="1" customFormat="true" ht="13.5" hidden="false" customHeight="false" outlineLevel="0" collapsed="false"/>
    <row r="183" s="1" customFormat="true" ht="13.5" hidden="false" customHeight="false" outlineLevel="0" collapsed="false"/>
    <row r="184" s="1" customFormat="true" ht="13.5" hidden="false" customHeight="false" outlineLevel="0" collapsed="false"/>
    <row r="185" s="1" customFormat="true" ht="13.5" hidden="false" customHeight="false" outlineLevel="0" collapsed="false"/>
    <row r="186" s="1" customFormat="true" ht="13.5" hidden="false" customHeight="false" outlineLevel="0" collapsed="false"/>
    <row r="187" s="1" customFormat="true" ht="13.5" hidden="false" customHeight="false" outlineLevel="0" collapsed="false"/>
    <row r="188" s="1" customFormat="true" ht="13.5" hidden="false" customHeight="false" outlineLevel="0" collapsed="false"/>
    <row r="189" s="1" customFormat="true" ht="13.5" hidden="false" customHeight="false" outlineLevel="0" collapsed="false"/>
    <row r="190" s="1" customFormat="true" ht="13.5" hidden="false" customHeight="false" outlineLevel="0" collapsed="false"/>
    <row r="191" s="1" customFormat="true" ht="13.5" hidden="false" customHeight="false" outlineLevel="0" collapsed="false"/>
    <row r="192" s="1" customFormat="true" ht="13.5" hidden="false" customHeight="false" outlineLevel="0" collapsed="false"/>
    <row r="193" s="1" customFormat="true" ht="13.5" hidden="false" customHeight="false" outlineLevel="0" collapsed="false"/>
    <row r="194" s="1" customFormat="true" ht="13.5" hidden="false" customHeight="false" outlineLevel="0" collapsed="false"/>
    <row r="195" s="1" customFormat="true" ht="13.5" hidden="false" customHeight="false" outlineLevel="0" collapsed="false"/>
    <row r="196" s="1" customFormat="true" ht="13.5" hidden="false" customHeight="false" outlineLevel="0" collapsed="false"/>
    <row r="197" s="1" customFormat="true" ht="13.5" hidden="false" customHeight="false" outlineLevel="0" collapsed="false"/>
    <row r="198" s="1" customFormat="true" ht="13.5" hidden="false" customHeight="false" outlineLevel="0" collapsed="false"/>
    <row r="199" s="1" customFormat="true" ht="13.5" hidden="false" customHeight="false" outlineLevel="0" collapsed="false"/>
    <row r="200" s="1" customFormat="true" ht="13.5" hidden="false" customHeight="false" outlineLevel="0" collapsed="false"/>
    <row r="201" s="1" customFormat="true" ht="13.5" hidden="false" customHeight="false" outlineLevel="0" collapsed="false"/>
    <row r="202" s="1" customFormat="true" ht="13.5" hidden="false" customHeight="false" outlineLevel="0" collapsed="false"/>
    <row r="203" s="1" customFormat="true" ht="13.5" hidden="false" customHeight="false" outlineLevel="0" collapsed="false"/>
    <row r="204" s="1" customFormat="true" ht="13.5" hidden="false" customHeight="false" outlineLevel="0" collapsed="false"/>
    <row r="205" s="1" customFormat="true" ht="13.5" hidden="false" customHeight="false" outlineLevel="0" collapsed="false"/>
    <row r="206" s="1" customFormat="true" ht="13.5" hidden="false" customHeight="false" outlineLevel="0" collapsed="false"/>
    <row r="207" s="1" customFormat="true" ht="13.5" hidden="false" customHeight="false" outlineLevel="0" collapsed="false"/>
    <row r="208" s="1" customFormat="true" ht="13.5" hidden="false" customHeight="false" outlineLevel="0" collapsed="false"/>
    <row r="209" s="1" customFormat="true" ht="13.5" hidden="false" customHeight="false" outlineLevel="0" collapsed="false"/>
    <row r="210" s="1" customFormat="true" ht="13.5" hidden="false" customHeight="false" outlineLevel="0" collapsed="false"/>
    <row r="211" s="1" customFormat="true" ht="13.5" hidden="false" customHeight="false" outlineLevel="0" collapsed="false"/>
    <row r="212" s="1" customFormat="true" ht="13.5" hidden="false" customHeight="false" outlineLevel="0" collapsed="false"/>
    <row r="213" s="1" customFormat="true" ht="13.5" hidden="false" customHeight="false" outlineLevel="0" collapsed="false"/>
    <row r="214" s="1" customFormat="true" ht="13.5" hidden="false" customHeight="false" outlineLevel="0" collapsed="false"/>
    <row r="215" s="1" customFormat="true" ht="13.5" hidden="false" customHeight="false" outlineLevel="0" collapsed="false"/>
    <row r="216" s="1" customFormat="true" ht="13.5" hidden="false" customHeight="false" outlineLevel="0" collapsed="false"/>
    <row r="217" s="1" customFormat="true" ht="13.5" hidden="false" customHeight="false" outlineLevel="0" collapsed="false"/>
    <row r="218" s="1" customFormat="true" ht="13.5" hidden="false" customHeight="false" outlineLevel="0" collapsed="false"/>
    <row r="219" s="1" customFormat="true" ht="13.5" hidden="false" customHeight="false" outlineLevel="0" collapsed="false"/>
    <row r="220" s="1" customFormat="true" ht="13.5" hidden="false" customHeight="false" outlineLevel="0" collapsed="false"/>
    <row r="221" s="1" customFormat="true" ht="13.5" hidden="false" customHeight="false" outlineLevel="0" collapsed="false"/>
    <row r="222" s="1" customFormat="true" ht="13.5" hidden="false" customHeight="false" outlineLevel="0" collapsed="false"/>
    <row r="223" s="1" customFormat="true" ht="13.5" hidden="false" customHeight="false" outlineLevel="0" collapsed="false"/>
    <row r="224" s="1" customFormat="true" ht="13.5" hidden="false" customHeight="false" outlineLevel="0" collapsed="false"/>
    <row r="225" s="1" customFormat="true" ht="13.5" hidden="false" customHeight="false" outlineLevel="0" collapsed="false"/>
    <row r="226" s="1" customFormat="true" ht="13.5" hidden="false" customHeight="false" outlineLevel="0" collapsed="false"/>
    <row r="227" s="1" customFormat="true" ht="13.5" hidden="false" customHeight="false" outlineLevel="0" collapsed="false"/>
    <row r="228" s="1" customFormat="true" ht="13.5" hidden="false" customHeight="false" outlineLevel="0" collapsed="false"/>
    <row r="229" s="1" customFormat="true" ht="13.5" hidden="false" customHeight="false" outlineLevel="0" collapsed="false"/>
    <row r="230" s="1" customFormat="true" ht="13.5" hidden="false" customHeight="false" outlineLevel="0" collapsed="false"/>
    <row r="231" s="1" customFormat="true" ht="13.5" hidden="false" customHeight="false" outlineLevel="0" collapsed="false"/>
    <row r="232" s="1" customFormat="true" ht="13.5" hidden="false" customHeight="false" outlineLevel="0" collapsed="false"/>
    <row r="233" s="1" customFormat="true" ht="13.5" hidden="false" customHeight="false" outlineLevel="0" collapsed="false"/>
    <row r="234" s="1" customFormat="true" ht="13.5" hidden="false" customHeight="false" outlineLevel="0" collapsed="false"/>
    <row r="235" s="1" customFormat="true" ht="13.5" hidden="false" customHeight="false" outlineLevel="0" collapsed="false"/>
    <row r="236" s="1" customFormat="true" ht="13.5" hidden="false" customHeight="false" outlineLevel="0" collapsed="false"/>
    <row r="237" s="1" customFormat="true" ht="13.5" hidden="false" customHeight="false" outlineLevel="0" collapsed="false"/>
    <row r="238" s="1" customFormat="true" ht="13.5" hidden="false" customHeight="false" outlineLevel="0" collapsed="false"/>
    <row r="239" s="1" customFormat="true" ht="13.5" hidden="false" customHeight="false" outlineLevel="0" collapsed="false"/>
    <row r="240" s="1" customFormat="true" ht="13.5" hidden="false" customHeight="false" outlineLevel="0" collapsed="false"/>
    <row r="241" s="1" customFormat="true" ht="13.5" hidden="false" customHeight="false" outlineLevel="0" collapsed="false"/>
    <row r="242" s="1" customFormat="true" ht="13.5" hidden="false" customHeight="false" outlineLevel="0" collapsed="false"/>
    <row r="243" s="1" customFormat="true" ht="13.5" hidden="false" customHeight="false" outlineLevel="0" collapsed="false"/>
    <row r="244" s="1" customFormat="true" ht="13.5" hidden="false" customHeight="false" outlineLevel="0" collapsed="false"/>
    <row r="245" s="1" customFormat="true" ht="13.5" hidden="false" customHeight="false" outlineLevel="0" collapsed="false"/>
    <row r="246" s="1" customFormat="true" ht="13.5" hidden="false" customHeight="false" outlineLevel="0" collapsed="false"/>
    <row r="247" s="1" customFormat="true" ht="13.5" hidden="false" customHeight="false" outlineLevel="0" collapsed="false"/>
    <row r="248" s="1" customFormat="true" ht="13.5" hidden="false" customHeight="false" outlineLevel="0" collapsed="false"/>
    <row r="249" s="1" customFormat="true" ht="13.5" hidden="false" customHeight="false" outlineLevel="0" collapsed="false"/>
    <row r="250" s="1" customFormat="true" ht="13.5" hidden="false" customHeight="false" outlineLevel="0" collapsed="false"/>
    <row r="251" s="1" customFormat="true" ht="13.5" hidden="false" customHeight="false" outlineLevel="0" collapsed="false"/>
    <row r="252" s="1" customFormat="true" ht="13.5" hidden="false" customHeight="false" outlineLevel="0" collapsed="false"/>
    <row r="253" s="1" customFormat="true" ht="13.5" hidden="false" customHeight="false" outlineLevel="0" collapsed="false"/>
    <row r="254" s="1" customFormat="true" ht="13.5" hidden="false" customHeight="false" outlineLevel="0" collapsed="false"/>
    <row r="255" s="1" customFormat="true" ht="13.5" hidden="false" customHeight="false" outlineLevel="0" collapsed="false"/>
    <row r="256" s="1" customFormat="true" ht="13.5" hidden="false" customHeight="false" outlineLevel="0" collapsed="false"/>
    <row r="257" s="1" customFormat="true" ht="13.5" hidden="false" customHeight="false" outlineLevel="0" collapsed="false"/>
    <row r="258" s="1" customFormat="true" ht="13.5" hidden="false" customHeight="false" outlineLevel="0" collapsed="false"/>
    <row r="259" s="1" customFormat="true" ht="13.5" hidden="false" customHeight="false" outlineLevel="0" collapsed="false"/>
    <row r="260" s="1" customFormat="true" ht="13.5" hidden="false" customHeight="false" outlineLevel="0" collapsed="false"/>
    <row r="261" s="1" customFormat="true" ht="13.5" hidden="false" customHeight="false" outlineLevel="0" collapsed="false"/>
    <row r="262" s="1" customFormat="true" ht="13.5" hidden="false" customHeight="false" outlineLevel="0" collapsed="false"/>
    <row r="263" s="1" customFormat="true" ht="13.5" hidden="false" customHeight="false" outlineLevel="0" collapsed="false"/>
    <row r="264" s="1" customFormat="true" ht="13.5" hidden="false" customHeight="false" outlineLevel="0" collapsed="false"/>
    <row r="265" s="1" customFormat="true" ht="13.5" hidden="false" customHeight="false" outlineLevel="0" collapsed="false"/>
    <row r="266" s="1" customFormat="true" ht="13.5" hidden="false" customHeight="false" outlineLevel="0" collapsed="false"/>
    <row r="267" s="1" customFormat="true" ht="13.5" hidden="false" customHeight="false" outlineLevel="0" collapsed="false"/>
    <row r="268" s="1" customFormat="true" ht="13.5" hidden="false" customHeight="false" outlineLevel="0" collapsed="false"/>
    <row r="269" s="1" customFormat="true" ht="13.5" hidden="false" customHeight="false" outlineLevel="0" collapsed="false"/>
    <row r="270" s="1" customFormat="true" ht="13.5" hidden="false" customHeight="false" outlineLevel="0" collapsed="false"/>
    <row r="271" s="1" customFormat="true" ht="13.5" hidden="false" customHeight="false" outlineLevel="0" collapsed="false"/>
    <row r="272" s="1" customFormat="true" ht="13.5" hidden="false" customHeight="false" outlineLevel="0" collapsed="false"/>
    <row r="273" s="1" customFormat="true" ht="13.5" hidden="false" customHeight="false" outlineLevel="0" collapsed="false"/>
    <row r="274" s="1" customFormat="true" ht="13.5" hidden="false" customHeight="false" outlineLevel="0" collapsed="false"/>
    <row r="275" s="1" customFormat="true" ht="13.5" hidden="false" customHeight="false" outlineLevel="0" collapsed="false"/>
    <row r="276" s="1" customFormat="true" ht="13.5" hidden="false" customHeight="false" outlineLevel="0" collapsed="false"/>
    <row r="277" s="1" customFormat="true" ht="13.5" hidden="false" customHeight="false" outlineLevel="0" collapsed="false"/>
    <row r="278" s="1" customFormat="true" ht="13.5" hidden="false" customHeight="false" outlineLevel="0" collapsed="false"/>
    <row r="279" s="1" customFormat="true" ht="13.5" hidden="false" customHeight="false" outlineLevel="0" collapsed="false"/>
    <row r="280" s="1" customFormat="true" ht="13.5" hidden="false" customHeight="false" outlineLevel="0" collapsed="false"/>
    <row r="281" s="1" customFormat="true" ht="13.5" hidden="false" customHeight="false" outlineLevel="0" collapsed="false"/>
    <row r="282" s="1" customFormat="true" ht="13.5" hidden="false" customHeight="false" outlineLevel="0" collapsed="false"/>
    <row r="283" s="1" customFormat="true" ht="13.5" hidden="false" customHeight="false" outlineLevel="0" collapsed="false"/>
    <row r="284" s="1" customFormat="true" ht="13.5" hidden="false" customHeight="false" outlineLevel="0" collapsed="false"/>
    <row r="285" s="1" customFormat="true" ht="13.5" hidden="false" customHeight="false" outlineLevel="0" collapsed="false"/>
    <row r="286" s="1" customFormat="true" ht="13.5" hidden="false" customHeight="false" outlineLevel="0" collapsed="false"/>
    <row r="287" s="1" customFormat="true" ht="13.5" hidden="false" customHeight="false" outlineLevel="0" collapsed="false"/>
    <row r="288" s="1" customFormat="true" ht="13.5" hidden="false" customHeight="false" outlineLevel="0" collapsed="false"/>
    <row r="289" s="1" customFormat="true" ht="13.5" hidden="false" customHeight="false" outlineLevel="0" collapsed="false"/>
    <row r="290" s="1" customFormat="true" ht="13.5" hidden="false" customHeight="false" outlineLevel="0" collapsed="false"/>
    <row r="291" s="1" customFormat="true" ht="13.5" hidden="false" customHeight="false" outlineLevel="0" collapsed="false"/>
    <row r="292" s="1" customFormat="true" ht="13.5" hidden="false" customHeight="false" outlineLevel="0" collapsed="false"/>
    <row r="293" s="1" customFormat="true" ht="13.5" hidden="false" customHeight="false" outlineLevel="0" collapsed="false"/>
    <row r="294" s="1" customFormat="true" ht="13.5" hidden="false" customHeight="false" outlineLevel="0" collapsed="false"/>
    <row r="295" s="1" customFormat="true" ht="13.5" hidden="false" customHeight="false" outlineLevel="0" collapsed="false"/>
    <row r="296" s="1" customFormat="true" ht="13.5" hidden="false" customHeight="false" outlineLevel="0" collapsed="false"/>
    <row r="297" s="1" customFormat="true" ht="13.5" hidden="false" customHeight="false" outlineLevel="0" collapsed="false"/>
    <row r="298" s="1" customFormat="true" ht="13.5" hidden="false" customHeight="false" outlineLevel="0" collapsed="false"/>
    <row r="299" s="1" customFormat="true" ht="13.5" hidden="false" customHeight="false" outlineLevel="0" collapsed="false"/>
    <row r="300" s="1" customFormat="true" ht="13.5" hidden="false" customHeight="false" outlineLevel="0" collapsed="false"/>
    <row r="301" s="1" customFormat="true" ht="13.5" hidden="false" customHeight="false" outlineLevel="0" collapsed="false"/>
    <row r="302" s="1" customFormat="true" ht="13.5" hidden="false" customHeight="false" outlineLevel="0" collapsed="false"/>
    <row r="303" s="1" customFormat="true" ht="13.5" hidden="false" customHeight="false" outlineLevel="0" collapsed="false"/>
    <row r="304" s="1" customFormat="true" ht="13.5" hidden="false" customHeight="false" outlineLevel="0" collapsed="false"/>
    <row r="305" s="1" customFormat="true" ht="13.5" hidden="false" customHeight="false" outlineLevel="0" collapsed="false"/>
    <row r="306" s="1" customFormat="true" ht="13.5" hidden="false" customHeight="false" outlineLevel="0" collapsed="false"/>
    <row r="307" s="1" customFormat="true" ht="13.5" hidden="false" customHeight="false" outlineLevel="0" collapsed="false"/>
    <row r="308" s="1" customFormat="true" ht="13.5" hidden="false" customHeight="false" outlineLevel="0" collapsed="false"/>
    <row r="309" s="1" customFormat="true" ht="13.5" hidden="false" customHeight="false" outlineLevel="0" collapsed="false"/>
    <row r="310" s="1" customFormat="true" ht="13.5" hidden="false" customHeight="false" outlineLevel="0" collapsed="false"/>
    <row r="311" s="1" customFormat="true" ht="13.5" hidden="false" customHeight="false" outlineLevel="0" collapsed="false"/>
    <row r="312" s="1" customFormat="true" ht="13.5" hidden="false" customHeight="false" outlineLevel="0" collapsed="false"/>
    <row r="313" s="1" customFormat="true" ht="13.5" hidden="false" customHeight="false" outlineLevel="0" collapsed="false"/>
    <row r="314" s="1" customFormat="true" ht="13.5" hidden="false" customHeight="false" outlineLevel="0" collapsed="false"/>
    <row r="315" s="1" customFormat="true" ht="13.5" hidden="false" customHeight="false" outlineLevel="0" collapsed="false"/>
    <row r="316" s="1" customFormat="true" ht="13.5" hidden="false" customHeight="false" outlineLevel="0" collapsed="false"/>
    <row r="317" s="1" customFormat="true" ht="13.5" hidden="false" customHeight="false" outlineLevel="0" collapsed="false"/>
    <row r="318" s="1" customFormat="true" ht="13.5" hidden="false" customHeight="false" outlineLevel="0" collapsed="false"/>
    <row r="319" s="1" customFormat="true" ht="13.5" hidden="false" customHeight="false" outlineLevel="0" collapsed="false"/>
    <row r="320" s="1" customFormat="true" ht="13.5" hidden="false" customHeight="false" outlineLevel="0" collapsed="false"/>
    <row r="321" s="1" customFormat="true" ht="13.5" hidden="false" customHeight="false" outlineLevel="0" collapsed="false"/>
    <row r="322" s="1" customFormat="true" ht="13.5" hidden="false" customHeight="false" outlineLevel="0" collapsed="false"/>
    <row r="323" s="1" customFormat="true" ht="13.5" hidden="false" customHeight="false" outlineLevel="0" collapsed="false"/>
    <row r="324" s="1" customFormat="true" ht="13.5" hidden="false" customHeight="false" outlineLevel="0" collapsed="false"/>
    <row r="325" s="1" customFormat="true" ht="13.5" hidden="false" customHeight="false" outlineLevel="0" collapsed="false"/>
    <row r="326" s="1" customFormat="true" ht="13.5" hidden="false" customHeight="false" outlineLevel="0" collapsed="false"/>
    <row r="327" s="1" customFormat="true" ht="13.5" hidden="false" customHeight="false" outlineLevel="0" collapsed="false"/>
    <row r="328" s="1" customFormat="true" ht="13.5" hidden="false" customHeight="false" outlineLevel="0" collapsed="false"/>
    <row r="329" s="1" customFormat="true" ht="13.5" hidden="false" customHeight="false" outlineLevel="0" collapsed="false"/>
    <row r="330" s="1" customFormat="true" ht="13.5" hidden="false" customHeight="false" outlineLevel="0" collapsed="false"/>
    <row r="331" s="1" customFormat="true" ht="13.5" hidden="false" customHeight="false" outlineLevel="0" collapsed="false"/>
    <row r="332" s="1" customFormat="true" ht="13.5" hidden="false" customHeight="false" outlineLevel="0" collapsed="false"/>
    <row r="333" s="1" customFormat="true" ht="13.5" hidden="false" customHeight="false" outlineLevel="0" collapsed="false"/>
    <row r="334" s="1" customFormat="true" ht="13.5" hidden="false" customHeight="false" outlineLevel="0" collapsed="false"/>
    <row r="335" s="1" customFormat="true" ht="13.5" hidden="false" customHeight="false" outlineLevel="0" collapsed="false"/>
    <row r="336" s="1" customFormat="true" ht="13.5" hidden="false" customHeight="false" outlineLevel="0" collapsed="false"/>
    <row r="337" s="1" customFormat="true" ht="13.5" hidden="false" customHeight="false" outlineLevel="0" collapsed="false"/>
    <row r="338" s="1" customFormat="true" ht="13.5" hidden="false" customHeight="false" outlineLevel="0" collapsed="false"/>
    <row r="339" s="1" customFormat="true" ht="13.5" hidden="false" customHeight="false" outlineLevel="0" collapsed="false"/>
    <row r="340" s="1" customFormat="true" ht="13.5" hidden="false" customHeight="false" outlineLevel="0" collapsed="false"/>
    <row r="341" s="1" customFormat="true" ht="13.5" hidden="false" customHeight="false" outlineLevel="0" collapsed="false"/>
    <row r="342" s="1" customFormat="true" ht="13.5" hidden="false" customHeight="false" outlineLevel="0" collapsed="false"/>
    <row r="343" s="1" customFormat="true" ht="13.5" hidden="false" customHeight="false" outlineLevel="0" collapsed="false"/>
    <row r="344" s="1" customFormat="true" ht="13.5" hidden="false" customHeight="false" outlineLevel="0" collapsed="false"/>
    <row r="345" s="1" customFormat="true" ht="13.5" hidden="false" customHeight="false" outlineLevel="0" collapsed="false"/>
    <row r="346" s="1" customFormat="true" ht="13.5" hidden="false" customHeight="false" outlineLevel="0" collapsed="false"/>
    <row r="347" s="1" customFormat="true" ht="13.5" hidden="false" customHeight="false" outlineLevel="0" collapsed="false"/>
    <row r="348" s="1" customFormat="true" ht="13.5" hidden="false" customHeight="false" outlineLevel="0" collapsed="false"/>
    <row r="349" s="1" customFormat="true" ht="13.5" hidden="false" customHeight="false" outlineLevel="0" collapsed="false"/>
    <row r="350" s="1" customFormat="true" ht="13.5" hidden="false" customHeight="false" outlineLevel="0" collapsed="false"/>
    <row r="351" s="1" customFormat="true" ht="13.5" hidden="false" customHeight="false" outlineLevel="0" collapsed="false"/>
    <row r="352" s="1" customFormat="true" ht="13.5" hidden="false" customHeight="false" outlineLevel="0" collapsed="false"/>
    <row r="353" s="1" customFormat="true" ht="13.5" hidden="false" customHeight="false" outlineLevel="0" collapsed="false"/>
    <row r="354" s="1" customFormat="true" ht="13.5" hidden="false" customHeight="false" outlineLevel="0" collapsed="false"/>
    <row r="355" s="1" customFormat="true" ht="13.5" hidden="false" customHeight="false" outlineLevel="0" collapsed="false"/>
    <row r="356" s="1" customFormat="true" ht="13.5" hidden="false" customHeight="false" outlineLevel="0" collapsed="false"/>
    <row r="357" s="1" customFormat="true" ht="13.5" hidden="false" customHeight="false" outlineLevel="0" collapsed="false"/>
    <row r="358" s="1" customFormat="true" ht="13.5" hidden="false" customHeight="false" outlineLevel="0" collapsed="false"/>
    <row r="359" s="1" customFormat="true" ht="13.5" hidden="false" customHeight="false" outlineLevel="0" collapsed="false"/>
    <row r="360" s="1" customFormat="true" ht="13.5" hidden="false" customHeight="false" outlineLevel="0" collapsed="false"/>
    <row r="361" s="1" customFormat="true" ht="13.5" hidden="false" customHeight="false" outlineLevel="0" collapsed="false"/>
    <row r="362" s="1" customFormat="true" ht="13.5" hidden="false" customHeight="false" outlineLevel="0" collapsed="false"/>
    <row r="363" s="1" customFormat="true" ht="13.5" hidden="false" customHeight="false" outlineLevel="0" collapsed="false"/>
    <row r="364" s="1" customFormat="true" ht="13.5" hidden="false" customHeight="false" outlineLevel="0" collapsed="false"/>
    <row r="365" s="1" customFormat="true" ht="13.5" hidden="false" customHeight="false" outlineLevel="0" collapsed="false"/>
    <row r="366" s="1" customFormat="true" ht="13.5" hidden="false" customHeight="false" outlineLevel="0" collapsed="false"/>
    <row r="367" s="1" customFormat="true" ht="13.5" hidden="false" customHeight="false" outlineLevel="0" collapsed="false"/>
    <row r="368" s="1" customFormat="true" ht="13.5" hidden="false" customHeight="false" outlineLevel="0" collapsed="false"/>
    <row r="369" s="1" customFormat="true" ht="13.5" hidden="false" customHeight="false" outlineLevel="0" collapsed="false"/>
    <row r="370" s="1" customFormat="true" ht="13.5" hidden="false" customHeight="false" outlineLevel="0" collapsed="false"/>
    <row r="371" s="1" customFormat="true" ht="13.5" hidden="false" customHeight="false" outlineLevel="0" collapsed="false"/>
    <row r="372" s="1" customFormat="true" ht="13.5" hidden="false" customHeight="false" outlineLevel="0" collapsed="false"/>
    <row r="373" s="1" customFormat="true" ht="13.5" hidden="false" customHeight="false" outlineLevel="0" collapsed="false"/>
    <row r="374" s="1" customFormat="true" ht="13.5" hidden="false" customHeight="false" outlineLevel="0" collapsed="false"/>
    <row r="375" s="1" customFormat="true" ht="13.5" hidden="false" customHeight="false" outlineLevel="0" collapsed="false"/>
    <row r="376" s="1" customFormat="true" ht="13.5" hidden="false" customHeight="false" outlineLevel="0" collapsed="false"/>
    <row r="377" s="1" customFormat="true" ht="13.5" hidden="false" customHeight="false" outlineLevel="0" collapsed="false"/>
    <row r="378" s="1" customFormat="true" ht="13.5" hidden="false" customHeight="false" outlineLevel="0" collapsed="false"/>
    <row r="379" s="1" customFormat="true" ht="13.5" hidden="false" customHeight="false" outlineLevel="0" collapsed="false"/>
    <row r="380" s="1" customFormat="true" ht="13.5" hidden="false" customHeight="false" outlineLevel="0" collapsed="false"/>
    <row r="381" s="1" customFormat="true" ht="13.5" hidden="false" customHeight="false" outlineLevel="0" collapsed="false"/>
    <row r="382" s="1" customFormat="true" ht="13.5" hidden="false" customHeight="false" outlineLevel="0" collapsed="false"/>
    <row r="383" s="1" customFormat="true" ht="13.5" hidden="false" customHeight="false" outlineLevel="0" collapsed="false"/>
    <row r="384" s="1" customFormat="true" ht="13.5" hidden="false" customHeight="false" outlineLevel="0" collapsed="false"/>
    <row r="385" s="1" customFormat="true" ht="13.5" hidden="false" customHeight="false" outlineLevel="0" collapsed="false"/>
    <row r="386" s="1" customFormat="true" ht="13.5" hidden="false" customHeight="false" outlineLevel="0" collapsed="false"/>
    <row r="387" s="1" customFormat="true" ht="13.5" hidden="false" customHeight="false" outlineLevel="0" collapsed="false"/>
    <row r="388" s="1" customFormat="true" ht="13.5" hidden="false" customHeight="false" outlineLevel="0" collapsed="false"/>
    <row r="389" s="1" customFormat="true" ht="13.5" hidden="false" customHeight="false" outlineLevel="0" collapsed="false"/>
    <row r="390" s="1" customFormat="true" ht="13.5" hidden="false" customHeight="false" outlineLevel="0" collapsed="false"/>
    <row r="391" s="1" customFormat="true" ht="13.5" hidden="false" customHeight="false" outlineLevel="0" collapsed="false"/>
    <row r="392" s="1" customFormat="true" ht="13.5" hidden="false" customHeight="false" outlineLevel="0" collapsed="false"/>
    <row r="393" s="1" customFormat="true" ht="13.5" hidden="false" customHeight="false" outlineLevel="0" collapsed="false"/>
    <row r="394" s="1" customFormat="true" ht="13.5" hidden="false" customHeight="false" outlineLevel="0" collapsed="false"/>
    <row r="395" s="1" customFormat="true" ht="13.5" hidden="false" customHeight="false" outlineLevel="0" collapsed="false"/>
    <row r="396" s="1" customFormat="true" ht="13.5" hidden="false" customHeight="false" outlineLevel="0" collapsed="false"/>
    <row r="397" s="1" customFormat="true" ht="13.5" hidden="false" customHeight="false" outlineLevel="0" collapsed="false"/>
    <row r="398" s="1" customFormat="true" ht="13.5" hidden="false" customHeight="false" outlineLevel="0" collapsed="false"/>
    <row r="399" s="1" customFormat="true" ht="13.5" hidden="false" customHeight="false" outlineLevel="0" collapsed="false"/>
    <row r="400" s="1" customFormat="true" ht="13.5" hidden="false" customHeight="false" outlineLevel="0" collapsed="false"/>
    <row r="401" s="1" customFormat="true" ht="13.5" hidden="false" customHeight="false" outlineLevel="0" collapsed="false"/>
    <row r="402" s="1" customFormat="true" ht="13.5" hidden="false" customHeight="false" outlineLevel="0" collapsed="false"/>
    <row r="403" s="1" customFormat="true" ht="13.5" hidden="false" customHeight="false" outlineLevel="0" collapsed="false"/>
    <row r="404" s="1" customFormat="true" ht="13.5" hidden="false" customHeight="false" outlineLevel="0" collapsed="false"/>
    <row r="405" s="1" customFormat="true" ht="13.5" hidden="false" customHeight="false" outlineLevel="0" collapsed="false"/>
    <row r="406" s="1" customFormat="true" ht="13.5" hidden="false" customHeight="false" outlineLevel="0" collapsed="false"/>
    <row r="407" s="1" customFormat="true" ht="13.5" hidden="false" customHeight="false" outlineLevel="0" collapsed="false"/>
    <row r="408" s="1" customFormat="true" ht="13.5" hidden="false" customHeight="false" outlineLevel="0" collapsed="false"/>
    <row r="409" s="1" customFormat="true" ht="13.5" hidden="false" customHeight="false" outlineLevel="0" collapsed="false"/>
    <row r="410" s="1" customFormat="true" ht="13.5" hidden="false" customHeight="false" outlineLevel="0" collapsed="false"/>
    <row r="411" s="1" customFormat="true" ht="13.5" hidden="false" customHeight="false" outlineLevel="0" collapsed="false"/>
    <row r="412" s="1" customFormat="true" ht="13.5" hidden="false" customHeight="false" outlineLevel="0" collapsed="false"/>
    <row r="413" s="1" customFormat="true" ht="13.5" hidden="false" customHeight="false" outlineLevel="0" collapsed="false"/>
    <row r="414" s="1" customFormat="true" ht="13.5" hidden="false" customHeight="false" outlineLevel="0" collapsed="false"/>
    <row r="415" s="1" customFormat="true" ht="13.5" hidden="false" customHeight="false" outlineLevel="0" collapsed="false"/>
    <row r="416" s="1" customFormat="true" ht="13.5" hidden="false" customHeight="false" outlineLevel="0" collapsed="false"/>
    <row r="417" s="1" customFormat="true" ht="13.5" hidden="false" customHeight="false" outlineLevel="0" collapsed="false"/>
    <row r="418" s="1" customFormat="true" ht="13.5" hidden="false" customHeight="false" outlineLevel="0" collapsed="false"/>
    <row r="419" s="1" customFormat="true" ht="13.5" hidden="false" customHeight="false" outlineLevel="0" collapsed="false"/>
    <row r="420" s="1" customFormat="true" ht="13.5" hidden="false" customHeight="false" outlineLevel="0" collapsed="false"/>
    <row r="421" s="1" customFormat="true" ht="13.5" hidden="false" customHeight="false" outlineLevel="0" collapsed="false"/>
    <row r="422" s="1" customFormat="true" ht="13.5" hidden="false" customHeight="false" outlineLevel="0" collapsed="false"/>
    <row r="423" s="1" customFormat="true" ht="13.5" hidden="false" customHeight="false" outlineLevel="0" collapsed="false"/>
    <row r="424" s="1" customFormat="true" ht="13.5" hidden="false" customHeight="false" outlineLevel="0" collapsed="false"/>
    <row r="425" s="1" customFormat="true" ht="13.5" hidden="false" customHeight="false" outlineLevel="0" collapsed="false"/>
    <row r="426" s="1" customFormat="true" ht="13.5" hidden="false" customHeight="false" outlineLevel="0" collapsed="false"/>
    <row r="427" s="1" customFormat="true" ht="13.5" hidden="false" customHeight="false" outlineLevel="0" collapsed="false"/>
    <row r="428" s="1" customFormat="true" ht="13.5" hidden="false" customHeight="false" outlineLevel="0" collapsed="false"/>
    <row r="429" s="1" customFormat="true" ht="13.5" hidden="false" customHeight="false" outlineLevel="0" collapsed="false"/>
    <row r="430" s="1" customFormat="true" ht="13.5" hidden="false" customHeight="false" outlineLevel="0" collapsed="false"/>
    <row r="431" s="1" customFormat="true" ht="13.5" hidden="false" customHeight="false" outlineLevel="0" collapsed="false"/>
    <row r="432" s="1" customFormat="true" ht="13.5" hidden="false" customHeight="false" outlineLevel="0" collapsed="false"/>
    <row r="433" s="1" customFormat="true" ht="13.5" hidden="false" customHeight="false" outlineLevel="0" collapsed="false"/>
    <row r="434" s="1" customFormat="true" ht="13.5" hidden="false" customHeight="false" outlineLevel="0" collapsed="false"/>
    <row r="435" s="1" customFormat="true" ht="13.5" hidden="false" customHeight="false" outlineLevel="0" collapsed="false"/>
    <row r="436" s="1" customFormat="true" ht="13.5" hidden="false" customHeight="false" outlineLevel="0" collapsed="false"/>
    <row r="437" s="1" customFormat="true" ht="13.5" hidden="false" customHeight="false" outlineLevel="0" collapsed="false"/>
    <row r="438" s="1" customFormat="true" ht="13.5" hidden="false" customHeight="false" outlineLevel="0" collapsed="false"/>
    <row r="439" s="1" customFormat="true" ht="13.5" hidden="false" customHeight="false" outlineLevel="0" collapsed="false"/>
    <row r="440" s="1" customFormat="true" ht="13.5" hidden="false" customHeight="false" outlineLevel="0" collapsed="false"/>
    <row r="441" s="1" customFormat="true" ht="13.5" hidden="false" customHeight="false" outlineLevel="0" collapsed="false"/>
    <row r="442" s="1" customFormat="true" ht="13.5" hidden="false" customHeight="false" outlineLevel="0" collapsed="false"/>
    <row r="443" s="1" customFormat="true" ht="13.5" hidden="false" customHeight="false" outlineLevel="0" collapsed="false"/>
    <row r="444" s="1" customFormat="true" ht="13.5" hidden="false" customHeight="false" outlineLevel="0" collapsed="false"/>
    <row r="445" s="1" customFormat="true" ht="13.5" hidden="false" customHeight="false" outlineLevel="0" collapsed="false"/>
    <row r="446" s="1" customFormat="true" ht="13.5" hidden="false" customHeight="false" outlineLevel="0" collapsed="false"/>
    <row r="447" s="1" customFormat="true" ht="13.5" hidden="false" customHeight="false" outlineLevel="0" collapsed="false"/>
    <row r="448" s="1" customFormat="true" ht="13.5" hidden="false" customHeight="false" outlineLevel="0" collapsed="false"/>
    <row r="449" s="1" customFormat="true" ht="13.5" hidden="false" customHeight="false" outlineLevel="0" collapsed="false"/>
    <row r="450" s="1" customFormat="true" ht="13.5" hidden="false" customHeight="false" outlineLevel="0" collapsed="false"/>
    <row r="451" s="1" customFormat="true" ht="13.5" hidden="false" customHeight="false" outlineLevel="0" collapsed="false"/>
    <row r="452" s="1" customFormat="true" ht="13.5" hidden="false" customHeight="false" outlineLevel="0" collapsed="false"/>
    <row r="453" s="1" customFormat="true" ht="13.5" hidden="false" customHeight="false" outlineLevel="0" collapsed="false"/>
    <row r="454" s="1" customFormat="true" ht="13.5" hidden="false" customHeight="false" outlineLevel="0" collapsed="false"/>
    <row r="455" s="1" customFormat="true" ht="13.5" hidden="false" customHeight="false" outlineLevel="0" collapsed="false"/>
    <row r="456" s="1" customFormat="true" ht="13.5" hidden="false" customHeight="false" outlineLevel="0" collapsed="false"/>
    <row r="457" s="1" customFormat="true" ht="13.5" hidden="false" customHeight="false" outlineLevel="0" collapsed="false"/>
    <row r="458" s="1" customFormat="true" ht="13.5" hidden="false" customHeight="false" outlineLevel="0" collapsed="false"/>
    <row r="459" s="1" customFormat="true" ht="13.5" hidden="false" customHeight="false" outlineLevel="0" collapsed="false"/>
    <row r="460" s="1" customFormat="true" ht="13.5" hidden="false" customHeight="false" outlineLevel="0" collapsed="false"/>
    <row r="461" s="1" customFormat="true" ht="13.5" hidden="false" customHeight="false" outlineLevel="0" collapsed="false"/>
    <row r="462" s="1" customFormat="true" ht="13.5" hidden="false" customHeight="false" outlineLevel="0" collapsed="false"/>
    <row r="463" s="1" customFormat="true" ht="13.5" hidden="false" customHeight="false" outlineLevel="0" collapsed="false"/>
    <row r="464" s="1" customFormat="true" ht="13.5" hidden="false" customHeight="false" outlineLevel="0" collapsed="false"/>
    <row r="465" s="1" customFormat="true" ht="13.5" hidden="false" customHeight="false" outlineLevel="0" collapsed="false"/>
    <row r="466" s="1" customFormat="true" ht="13.5" hidden="false" customHeight="false" outlineLevel="0" collapsed="false"/>
    <row r="467" s="1" customFormat="true" ht="13.5" hidden="false" customHeight="false" outlineLevel="0" collapsed="false"/>
    <row r="468" s="1" customFormat="true" ht="13.5" hidden="false" customHeight="false" outlineLevel="0" collapsed="false"/>
    <row r="469" s="1" customFormat="true" ht="13.5" hidden="false" customHeight="false" outlineLevel="0" collapsed="false"/>
    <row r="470" s="1" customFormat="true" ht="13.5" hidden="false" customHeight="false" outlineLevel="0" collapsed="false"/>
    <row r="471" s="1" customFormat="true" ht="13.5" hidden="false" customHeight="false" outlineLevel="0" collapsed="false"/>
    <row r="472" s="1" customFormat="true" ht="13.5" hidden="false" customHeight="false" outlineLevel="0" collapsed="false"/>
    <row r="473" s="1" customFormat="true" ht="13.5" hidden="false" customHeight="false" outlineLevel="0" collapsed="false"/>
    <row r="474" s="1" customFormat="true" ht="13.5" hidden="false" customHeight="false" outlineLevel="0" collapsed="false"/>
    <row r="475" s="1" customFormat="true" ht="13.5" hidden="false" customHeight="false" outlineLevel="0" collapsed="false"/>
    <row r="476" s="1" customFormat="true" ht="13.5" hidden="false" customHeight="false" outlineLevel="0" collapsed="false"/>
    <row r="477" s="1" customFormat="true" ht="13.5" hidden="false" customHeight="false" outlineLevel="0" collapsed="false"/>
    <row r="478" s="1" customFormat="true" ht="13.5" hidden="false" customHeight="false" outlineLevel="0" collapsed="false"/>
    <row r="479" s="1" customFormat="true" ht="13.5" hidden="false" customHeight="false" outlineLevel="0" collapsed="false"/>
    <row r="480" s="1" customFormat="true" ht="13.5" hidden="false" customHeight="false" outlineLevel="0" collapsed="false"/>
    <row r="481" s="1" customFormat="true" ht="13.5" hidden="false" customHeight="false" outlineLevel="0" collapsed="false"/>
    <row r="482" s="1" customFormat="true" ht="13.5" hidden="false" customHeight="false" outlineLevel="0" collapsed="false"/>
    <row r="483" s="1" customFormat="true" ht="13.5" hidden="false" customHeight="false" outlineLevel="0" collapsed="false"/>
    <row r="484" s="1" customFormat="true" ht="13.5" hidden="false" customHeight="false" outlineLevel="0" collapsed="false"/>
    <row r="485" s="1" customFormat="true" ht="13.5" hidden="false" customHeight="false" outlineLevel="0" collapsed="false"/>
    <row r="486" s="1" customFormat="true" ht="13.5" hidden="false" customHeight="false" outlineLevel="0" collapsed="false"/>
    <row r="487" s="1" customFormat="true" ht="13.5" hidden="false" customHeight="false" outlineLevel="0" collapsed="false"/>
    <row r="488" s="1" customFormat="true" ht="13.5" hidden="false" customHeight="false" outlineLevel="0" collapsed="false"/>
    <row r="489" s="1" customFormat="true" ht="13.5" hidden="false" customHeight="false" outlineLevel="0" collapsed="false"/>
    <row r="490" s="1" customFormat="true" ht="13.5" hidden="false" customHeight="false" outlineLevel="0" collapsed="false"/>
    <row r="491" s="1" customFormat="true" ht="13.5" hidden="false" customHeight="false" outlineLevel="0" collapsed="false"/>
    <row r="492" s="1" customFormat="true" ht="13.5" hidden="false" customHeight="false" outlineLevel="0" collapsed="false"/>
    <row r="493" s="1" customFormat="true" ht="13.5" hidden="false" customHeight="false" outlineLevel="0" collapsed="false"/>
    <row r="494" s="1" customFormat="true" ht="13.5" hidden="false" customHeight="false" outlineLevel="0" collapsed="false"/>
    <row r="495" s="1" customFormat="true" ht="13.5" hidden="false" customHeight="false" outlineLevel="0" collapsed="false"/>
    <row r="496" s="1" customFormat="true" ht="13.5" hidden="false" customHeight="false" outlineLevel="0" collapsed="false"/>
    <row r="497" s="1" customFormat="true" ht="13.5" hidden="false" customHeight="false" outlineLevel="0" collapsed="false"/>
    <row r="498" s="1" customFormat="true" ht="13.5" hidden="false" customHeight="false" outlineLevel="0" collapsed="false"/>
    <row r="499" s="1" customFormat="true" ht="13.5" hidden="false" customHeight="false" outlineLevel="0" collapsed="false"/>
    <row r="500" s="1" customFormat="true" ht="13.5" hidden="false" customHeight="false" outlineLevel="0" collapsed="false"/>
    <row r="501" s="1" customFormat="true" ht="13.5" hidden="false" customHeight="false" outlineLevel="0" collapsed="false"/>
    <row r="502" s="1" customFormat="true" ht="13.5" hidden="false" customHeight="false" outlineLevel="0" collapsed="false"/>
    <row r="503" s="1" customFormat="true" ht="13.5" hidden="false" customHeight="false" outlineLevel="0" collapsed="false"/>
    <row r="504" s="1" customFormat="true" ht="13.5" hidden="false" customHeight="false" outlineLevel="0" collapsed="false"/>
    <row r="505" s="1" customFormat="true" ht="13.5" hidden="false" customHeight="false" outlineLevel="0" collapsed="false"/>
    <row r="506" s="1" customFormat="true" ht="13.5" hidden="false" customHeight="false" outlineLevel="0" collapsed="false"/>
    <row r="507" s="1" customFormat="true" ht="13.5" hidden="false" customHeight="false" outlineLevel="0" collapsed="false"/>
    <row r="508" s="1" customFormat="true" ht="13.5" hidden="false" customHeight="false" outlineLevel="0" collapsed="false"/>
    <row r="509" s="1" customFormat="true" ht="13.5" hidden="false" customHeight="false" outlineLevel="0" collapsed="false"/>
    <row r="510" s="1" customFormat="true" ht="13.5" hidden="false" customHeight="false" outlineLevel="0" collapsed="false"/>
    <row r="511" s="1" customFormat="true" ht="13.5" hidden="false" customHeight="false" outlineLevel="0" collapsed="false"/>
    <row r="512" s="1" customFormat="true" ht="13.5" hidden="false" customHeight="false" outlineLevel="0" collapsed="false"/>
    <row r="513" s="1" customFormat="true" ht="13.5" hidden="false" customHeight="false" outlineLevel="0" collapsed="false"/>
    <row r="514" s="1" customFormat="true" ht="13.5" hidden="false" customHeight="false" outlineLevel="0" collapsed="false"/>
    <row r="515" s="1" customFormat="true" ht="13.5" hidden="false" customHeight="false" outlineLevel="0" collapsed="false"/>
    <row r="516" s="1" customFormat="true" ht="13.5" hidden="false" customHeight="false" outlineLevel="0" collapsed="false"/>
    <row r="517" s="1" customFormat="true" ht="13.5" hidden="false" customHeight="false" outlineLevel="0" collapsed="false"/>
    <row r="518" s="1" customFormat="true" ht="13.5" hidden="false" customHeight="false" outlineLevel="0" collapsed="false"/>
    <row r="519" s="1" customFormat="true" ht="13.5" hidden="false" customHeight="false" outlineLevel="0" collapsed="false"/>
    <row r="520" s="1" customFormat="true" ht="13.5" hidden="false" customHeight="false" outlineLevel="0" collapsed="false"/>
    <row r="521" s="1" customFormat="true" ht="13.5" hidden="false" customHeight="false" outlineLevel="0" collapsed="false"/>
    <row r="522" s="1" customFormat="true" ht="13.5" hidden="false" customHeight="false" outlineLevel="0" collapsed="false"/>
    <row r="523" s="1" customFormat="true" ht="13.5" hidden="false" customHeight="false" outlineLevel="0" collapsed="false"/>
    <row r="524" s="1" customFormat="true" ht="13.5" hidden="false" customHeight="false" outlineLevel="0" collapsed="false"/>
    <row r="525" s="1" customFormat="true" ht="13.5" hidden="false" customHeight="false" outlineLevel="0" collapsed="false"/>
    <row r="526" s="1" customFormat="true" ht="13.5" hidden="false" customHeight="false" outlineLevel="0" collapsed="false"/>
    <row r="527" s="1" customFormat="true" ht="13.5" hidden="false" customHeight="false" outlineLevel="0" collapsed="false"/>
    <row r="528" s="1" customFormat="true" ht="13.5" hidden="false" customHeight="false" outlineLevel="0" collapsed="false"/>
    <row r="529" s="1" customFormat="true" ht="13.5" hidden="false" customHeight="false" outlineLevel="0" collapsed="false"/>
    <row r="530" s="1" customFormat="true" ht="13.5" hidden="false" customHeight="false" outlineLevel="0" collapsed="false"/>
    <row r="531" s="1" customFormat="true" ht="13.5" hidden="false" customHeight="false" outlineLevel="0" collapsed="false"/>
    <row r="532" s="1" customFormat="true" ht="13.5" hidden="false" customHeight="false" outlineLevel="0" collapsed="false"/>
    <row r="533" s="1" customFormat="true" ht="13.5" hidden="false" customHeight="false" outlineLevel="0" collapsed="false"/>
    <row r="534" s="1" customFormat="true" ht="13.5" hidden="false" customHeight="false" outlineLevel="0" collapsed="false"/>
    <row r="535" s="1" customFormat="true" ht="13.5" hidden="false" customHeight="false" outlineLevel="0" collapsed="false"/>
    <row r="536" s="1" customFormat="true" ht="13.5" hidden="false" customHeight="false" outlineLevel="0" collapsed="false"/>
    <row r="537" s="1" customFormat="true" ht="13.5" hidden="false" customHeight="false" outlineLevel="0" collapsed="false"/>
    <row r="538" s="1" customFormat="true" ht="13.5" hidden="false" customHeight="false" outlineLevel="0" collapsed="false"/>
    <row r="539" s="1" customFormat="true" ht="13.5" hidden="false" customHeight="false" outlineLevel="0" collapsed="false"/>
    <row r="540" s="1" customFormat="true" ht="13.5" hidden="false" customHeight="false" outlineLevel="0" collapsed="false"/>
    <row r="541" s="1" customFormat="true" ht="13.5" hidden="false" customHeight="false" outlineLevel="0" collapsed="false"/>
    <row r="542" s="1" customFormat="true" ht="13.5" hidden="false" customHeight="false" outlineLevel="0" collapsed="false"/>
    <row r="543" s="1" customFormat="true" ht="13.5" hidden="false" customHeight="false" outlineLevel="0" collapsed="false"/>
    <row r="544" s="1" customFormat="true" ht="13.5" hidden="false" customHeight="false" outlineLevel="0" collapsed="false"/>
    <row r="545" s="1" customFormat="true" ht="13.5" hidden="false" customHeight="false" outlineLevel="0" collapsed="false"/>
    <row r="546" s="1" customFormat="true" ht="13.5" hidden="false" customHeight="false" outlineLevel="0" collapsed="false"/>
    <row r="547" s="1" customFormat="true" ht="13.5" hidden="false" customHeight="false" outlineLevel="0" collapsed="false"/>
    <row r="548" s="1" customFormat="true" ht="13.5" hidden="false" customHeight="false" outlineLevel="0" collapsed="false"/>
    <row r="549" s="1" customFormat="true" ht="13.5" hidden="false" customHeight="false" outlineLevel="0" collapsed="false"/>
    <row r="550" s="1" customFormat="true" ht="13.5" hidden="false" customHeight="false" outlineLevel="0" collapsed="false"/>
    <row r="551" s="1" customFormat="true" ht="13.5" hidden="false" customHeight="false" outlineLevel="0" collapsed="false"/>
    <row r="552" s="1" customFormat="true" ht="13.5" hidden="false" customHeight="false" outlineLevel="0" collapsed="false"/>
    <row r="553" s="1" customFormat="true" ht="13.5" hidden="false" customHeight="false" outlineLevel="0" collapsed="false"/>
    <row r="554" s="1" customFormat="true" ht="13.5" hidden="false" customHeight="false" outlineLevel="0" collapsed="false"/>
    <row r="555" s="1" customFormat="true" ht="13.5" hidden="false" customHeight="false" outlineLevel="0" collapsed="false"/>
    <row r="556" s="1" customFormat="true" ht="13.5" hidden="false" customHeight="false" outlineLevel="0" collapsed="false"/>
    <row r="557" s="1" customFormat="true" ht="13.5" hidden="false" customHeight="false" outlineLevel="0" collapsed="false"/>
    <row r="558" s="1" customFormat="true" ht="13.5" hidden="false" customHeight="false" outlineLevel="0" collapsed="false"/>
    <row r="559" s="1" customFormat="true" ht="13.5" hidden="false" customHeight="false" outlineLevel="0" collapsed="false"/>
    <row r="560" s="1" customFormat="true" ht="13.5" hidden="false" customHeight="false" outlineLevel="0" collapsed="false"/>
    <row r="561" s="1" customFormat="true" ht="13.5" hidden="false" customHeight="false" outlineLevel="0" collapsed="false"/>
    <row r="562" s="1" customFormat="true" ht="13.5" hidden="false" customHeight="false" outlineLevel="0" collapsed="false"/>
    <row r="563" s="1" customFormat="true" ht="13.5" hidden="false" customHeight="false" outlineLevel="0" collapsed="false"/>
    <row r="564" s="1" customFormat="true" ht="13.5" hidden="false" customHeight="false" outlineLevel="0" collapsed="false"/>
    <row r="565" s="1" customFormat="true" ht="13.5" hidden="false" customHeight="false" outlineLevel="0" collapsed="false"/>
    <row r="566" s="1" customFormat="true" ht="13.5" hidden="false" customHeight="false" outlineLevel="0" collapsed="false"/>
    <row r="567" s="1" customFormat="true" ht="13.5" hidden="false" customHeight="false" outlineLevel="0" collapsed="false"/>
    <row r="568" s="1" customFormat="true" ht="13.5" hidden="false" customHeight="false" outlineLevel="0" collapsed="false"/>
    <row r="569" s="1" customFormat="true" ht="13.5" hidden="false" customHeight="false" outlineLevel="0" collapsed="false"/>
    <row r="570" s="1" customFormat="true" ht="13.5" hidden="false" customHeight="false" outlineLevel="0" collapsed="false"/>
    <row r="571" s="1" customFormat="true" ht="13.5" hidden="false" customHeight="false" outlineLevel="0" collapsed="false"/>
    <row r="572" s="1" customFormat="true" ht="13.5" hidden="false" customHeight="false" outlineLevel="0" collapsed="false"/>
    <row r="573" s="1" customFormat="true" ht="13.5" hidden="false" customHeight="false" outlineLevel="0" collapsed="false"/>
    <row r="574" s="1" customFormat="true" ht="13.5" hidden="false" customHeight="false" outlineLevel="0" collapsed="false"/>
    <row r="575" s="1" customFormat="true" ht="13.5" hidden="false" customHeight="false" outlineLevel="0" collapsed="false"/>
    <row r="576" s="1" customFormat="true" ht="13.5" hidden="false" customHeight="false" outlineLevel="0" collapsed="false"/>
    <row r="577" s="1" customFormat="true" ht="13.5" hidden="false" customHeight="false" outlineLevel="0" collapsed="false"/>
    <row r="578" s="1" customFormat="true" ht="13.5" hidden="false" customHeight="false" outlineLevel="0" collapsed="false"/>
    <row r="579" s="1" customFormat="true" ht="13.5" hidden="false" customHeight="false" outlineLevel="0" collapsed="false"/>
    <row r="580" s="1" customFormat="true" ht="13.5" hidden="false" customHeight="false" outlineLevel="0" collapsed="false"/>
    <row r="581" s="1" customFormat="true" ht="13.5" hidden="false" customHeight="false" outlineLevel="0" collapsed="false"/>
    <row r="582" s="1" customFormat="true" ht="13.5" hidden="false" customHeight="false" outlineLevel="0" collapsed="false"/>
    <row r="583" s="1" customFormat="true" ht="13.5" hidden="false" customHeight="false" outlineLevel="0" collapsed="false"/>
    <row r="584" s="1" customFormat="true" ht="13.5" hidden="false" customHeight="false" outlineLevel="0" collapsed="false"/>
    <row r="585" s="1" customFormat="true" ht="13.5" hidden="false" customHeight="false" outlineLevel="0" collapsed="false"/>
    <row r="586" s="1" customFormat="true" ht="13.5" hidden="false" customHeight="false" outlineLevel="0" collapsed="false"/>
    <row r="587" s="1" customFormat="true" ht="13.5" hidden="false" customHeight="false" outlineLevel="0" collapsed="false"/>
    <row r="588" s="1" customFormat="true" ht="13.5" hidden="false" customHeight="false" outlineLevel="0" collapsed="false"/>
    <row r="589" s="1" customFormat="true" ht="13.5" hidden="false" customHeight="false" outlineLevel="0" collapsed="false"/>
    <row r="590" s="1" customFormat="true" ht="13.5" hidden="false" customHeight="false" outlineLevel="0" collapsed="false"/>
    <row r="591" s="1" customFormat="true" ht="13.5" hidden="false" customHeight="false" outlineLevel="0" collapsed="false"/>
    <row r="592" s="1" customFormat="true" ht="13.5" hidden="false" customHeight="false" outlineLevel="0" collapsed="false"/>
    <row r="593" s="1" customFormat="true" ht="13.5" hidden="false" customHeight="false" outlineLevel="0" collapsed="false"/>
    <row r="594" s="1" customFormat="true" ht="13.5" hidden="false" customHeight="false" outlineLevel="0" collapsed="false"/>
    <row r="595" s="1" customFormat="true" ht="13.5" hidden="false" customHeight="false" outlineLevel="0" collapsed="false"/>
    <row r="596" s="1" customFormat="true" ht="13.5" hidden="false" customHeight="false" outlineLevel="0" collapsed="false"/>
    <row r="597" s="1" customFormat="true" ht="13.5" hidden="false" customHeight="false" outlineLevel="0" collapsed="false"/>
    <row r="598" s="1" customFormat="true" ht="13.5" hidden="false" customHeight="false" outlineLevel="0" collapsed="false"/>
    <row r="599" s="1" customFormat="true" ht="13.5" hidden="false" customHeight="false" outlineLevel="0" collapsed="false"/>
    <row r="600" s="1" customFormat="true" ht="13.5" hidden="false" customHeight="false" outlineLevel="0" collapsed="false"/>
    <row r="601" s="1" customFormat="true" ht="13.5" hidden="false" customHeight="false" outlineLevel="0" collapsed="false"/>
    <row r="602" s="1" customFormat="true" ht="13.5" hidden="false" customHeight="false" outlineLevel="0" collapsed="false"/>
    <row r="603" s="1" customFormat="true" ht="13.5" hidden="false" customHeight="false" outlineLevel="0" collapsed="false"/>
    <row r="604" s="1" customFormat="true" ht="13.5" hidden="false" customHeight="false" outlineLevel="0" collapsed="false"/>
    <row r="605" s="1" customFormat="true" ht="13.5" hidden="false" customHeight="false" outlineLevel="0" collapsed="false"/>
    <row r="606" s="1" customFormat="true" ht="13.5" hidden="false" customHeight="false" outlineLevel="0" collapsed="false"/>
    <row r="607" s="1" customFormat="true" ht="13.5" hidden="false" customHeight="false" outlineLevel="0" collapsed="false"/>
    <row r="608" s="1" customFormat="true" ht="13.5" hidden="false" customHeight="false" outlineLevel="0" collapsed="false"/>
    <row r="609" s="1" customFormat="true" ht="13.5" hidden="false" customHeight="false" outlineLevel="0" collapsed="false"/>
    <row r="610" s="1" customFormat="true" ht="13.5" hidden="false" customHeight="false" outlineLevel="0" collapsed="false"/>
    <row r="611" s="1" customFormat="true" ht="13.5" hidden="false" customHeight="false" outlineLevel="0" collapsed="false"/>
    <row r="612" s="1" customFormat="true" ht="13.5" hidden="false" customHeight="false" outlineLevel="0" collapsed="false"/>
    <row r="613" s="1" customFormat="true" ht="13.5" hidden="false" customHeight="false" outlineLevel="0" collapsed="false"/>
    <row r="614" s="1" customFormat="true" ht="13.5" hidden="false" customHeight="false" outlineLevel="0" collapsed="false"/>
    <row r="615" s="1" customFormat="true" ht="13.5" hidden="false" customHeight="false" outlineLevel="0" collapsed="false"/>
    <row r="616" s="1" customFormat="true" ht="13.5" hidden="false" customHeight="false" outlineLevel="0" collapsed="false"/>
    <row r="617" s="1" customFormat="true" ht="13.5" hidden="false" customHeight="false" outlineLevel="0" collapsed="false"/>
    <row r="618" s="1" customFormat="true" ht="13.5" hidden="false" customHeight="false" outlineLevel="0" collapsed="false"/>
    <row r="619" s="1" customFormat="true" ht="13.5" hidden="false" customHeight="false" outlineLevel="0" collapsed="false"/>
    <row r="620" s="1" customFormat="true" ht="13.5" hidden="false" customHeight="false" outlineLevel="0" collapsed="false"/>
    <row r="621" s="1" customFormat="true" ht="13.5" hidden="false" customHeight="false" outlineLevel="0" collapsed="false"/>
    <row r="622" s="1" customFormat="true" ht="13.5" hidden="false" customHeight="false" outlineLevel="0" collapsed="false"/>
    <row r="623" s="1" customFormat="true" ht="13.5" hidden="false" customHeight="false" outlineLevel="0" collapsed="false"/>
    <row r="624" s="1" customFormat="true" ht="13.5" hidden="false" customHeight="false" outlineLevel="0" collapsed="false"/>
    <row r="625" s="1" customFormat="true" ht="13.5" hidden="false" customHeight="false" outlineLevel="0" collapsed="false"/>
    <row r="626" s="1" customFormat="true" ht="13.5" hidden="false" customHeight="false" outlineLevel="0" collapsed="false"/>
    <row r="627" s="1" customFormat="true" ht="13.5" hidden="false" customHeight="false" outlineLevel="0" collapsed="false"/>
    <row r="628" s="1" customFormat="true" ht="13.5" hidden="false" customHeight="false" outlineLevel="0" collapsed="false"/>
    <row r="629" s="1" customFormat="true" ht="13.5" hidden="false" customHeight="false" outlineLevel="0" collapsed="false"/>
    <row r="630" s="1" customFormat="true" ht="13.5" hidden="false" customHeight="false" outlineLevel="0" collapsed="false"/>
    <row r="631" s="1" customFormat="true" ht="13.5" hidden="false" customHeight="false" outlineLevel="0" collapsed="false"/>
    <row r="632" s="1" customFormat="true" ht="13.5" hidden="false" customHeight="false" outlineLevel="0" collapsed="false"/>
    <row r="633" s="1" customFormat="true" ht="13.5" hidden="false" customHeight="false" outlineLevel="0" collapsed="false"/>
    <row r="634" s="1" customFormat="true" ht="13.5" hidden="false" customHeight="false" outlineLevel="0" collapsed="false"/>
    <row r="635" s="1" customFormat="true" ht="13.5" hidden="false" customHeight="false" outlineLevel="0" collapsed="false"/>
    <row r="636" s="1" customFormat="true" ht="13.5" hidden="false" customHeight="false" outlineLevel="0" collapsed="false"/>
    <row r="637" s="1" customFormat="true" ht="13.5" hidden="false" customHeight="false" outlineLevel="0" collapsed="false"/>
    <row r="638" s="1" customFormat="true" ht="13.5" hidden="false" customHeight="false" outlineLevel="0" collapsed="false"/>
    <row r="639" s="1" customFormat="true" ht="13.5" hidden="false" customHeight="false" outlineLevel="0" collapsed="false"/>
    <row r="640" s="1" customFormat="true" ht="13.5" hidden="false" customHeight="false" outlineLevel="0" collapsed="false"/>
    <row r="641" s="1" customFormat="true" ht="13.5" hidden="false" customHeight="false" outlineLevel="0" collapsed="false"/>
    <row r="642" s="1" customFormat="true" ht="13.5" hidden="false" customHeight="false" outlineLevel="0" collapsed="false"/>
    <row r="643" s="1" customFormat="true" ht="13.5" hidden="false" customHeight="false" outlineLevel="0" collapsed="false"/>
    <row r="644" s="1" customFormat="true" ht="13.5" hidden="false" customHeight="false" outlineLevel="0" collapsed="false"/>
    <row r="645" s="1" customFormat="true" ht="13.5" hidden="false" customHeight="false" outlineLevel="0" collapsed="false"/>
    <row r="646" s="1" customFormat="true" ht="13.5" hidden="false" customHeight="false" outlineLevel="0" collapsed="false"/>
    <row r="647" s="1" customFormat="true" ht="13.5" hidden="false" customHeight="false" outlineLevel="0" collapsed="false"/>
    <row r="648" s="1" customFormat="true" ht="13.5" hidden="false" customHeight="false" outlineLevel="0" collapsed="false"/>
    <row r="649" s="1" customFormat="true" ht="13.5" hidden="false" customHeight="false" outlineLevel="0" collapsed="false"/>
    <row r="650" s="1" customFormat="true" ht="13.5" hidden="false" customHeight="false" outlineLevel="0" collapsed="false"/>
    <row r="651" s="1" customFormat="true" ht="13.5" hidden="false" customHeight="false" outlineLevel="0" collapsed="false"/>
    <row r="652" s="1" customFormat="true" ht="13.5" hidden="false" customHeight="false" outlineLevel="0" collapsed="false"/>
    <row r="653" s="1" customFormat="true" ht="13.5" hidden="false" customHeight="false" outlineLevel="0" collapsed="false"/>
    <row r="654" s="1" customFormat="true" ht="13.5" hidden="false" customHeight="false" outlineLevel="0" collapsed="false"/>
    <row r="655" s="1" customFormat="true" ht="13.5" hidden="false" customHeight="false" outlineLevel="0" collapsed="false"/>
    <row r="656" s="1" customFormat="true" ht="13.5" hidden="false" customHeight="false" outlineLevel="0" collapsed="false"/>
    <row r="657" s="1" customFormat="true" ht="13.5" hidden="false" customHeight="false" outlineLevel="0" collapsed="false"/>
    <row r="658" s="1" customFormat="true" ht="13.5" hidden="false" customHeight="false" outlineLevel="0" collapsed="false"/>
    <row r="659" s="1" customFormat="true" ht="13.5" hidden="false" customHeight="false" outlineLevel="0" collapsed="false"/>
    <row r="660" s="1" customFormat="true" ht="13.5" hidden="false" customHeight="false" outlineLevel="0" collapsed="false"/>
    <row r="661" s="1" customFormat="true" ht="13.5" hidden="false" customHeight="false" outlineLevel="0" collapsed="false"/>
    <row r="662" s="1" customFormat="true" ht="13.5" hidden="false" customHeight="false" outlineLevel="0" collapsed="false"/>
    <row r="663" s="1" customFormat="true" ht="13.5" hidden="false" customHeight="false" outlineLevel="0" collapsed="false"/>
    <row r="664" s="1" customFormat="true" ht="13.5" hidden="false" customHeight="false" outlineLevel="0" collapsed="false"/>
    <row r="665" s="1" customFormat="true" ht="13.5" hidden="false" customHeight="false" outlineLevel="0" collapsed="false"/>
    <row r="666" s="1" customFormat="true" ht="13.5" hidden="false" customHeight="false" outlineLevel="0" collapsed="false"/>
    <row r="667" s="1" customFormat="true" ht="13.5" hidden="false" customHeight="false" outlineLevel="0" collapsed="false"/>
    <row r="668" s="1" customFormat="true" ht="13.5" hidden="false" customHeight="false" outlineLevel="0" collapsed="false"/>
    <row r="669" s="1" customFormat="true" ht="13.5" hidden="false" customHeight="false" outlineLevel="0" collapsed="false"/>
    <row r="670" s="1" customFormat="true" ht="13.5" hidden="false" customHeight="false" outlineLevel="0" collapsed="false"/>
    <row r="671" s="1" customFormat="true" ht="13.5" hidden="false" customHeight="false" outlineLevel="0" collapsed="false"/>
    <row r="672" s="1" customFormat="true" ht="13.5" hidden="false" customHeight="false" outlineLevel="0" collapsed="false"/>
    <row r="673" s="1" customFormat="true" ht="13.5" hidden="false" customHeight="false" outlineLevel="0" collapsed="false"/>
    <row r="674" s="1" customFormat="true" ht="13.5" hidden="false" customHeight="false" outlineLevel="0" collapsed="false"/>
    <row r="675" s="1" customFormat="true" ht="13.5" hidden="false" customHeight="false" outlineLevel="0" collapsed="false"/>
    <row r="676" s="1" customFormat="true" ht="13.5" hidden="false" customHeight="false" outlineLevel="0" collapsed="false"/>
    <row r="677" s="1" customFormat="true" ht="13.5" hidden="false" customHeight="false" outlineLevel="0" collapsed="false"/>
    <row r="678" s="1" customFormat="true" ht="13.5" hidden="false" customHeight="false" outlineLevel="0" collapsed="false"/>
    <row r="679" s="1" customFormat="true" ht="13.5" hidden="false" customHeight="false" outlineLevel="0" collapsed="false"/>
    <row r="680" s="1" customFormat="true" ht="13.5" hidden="false" customHeight="false" outlineLevel="0" collapsed="false"/>
    <row r="681" s="1" customFormat="true" ht="13.5" hidden="false" customHeight="false" outlineLevel="0" collapsed="false"/>
    <row r="682" s="1" customFormat="true" ht="13.5" hidden="false" customHeight="false" outlineLevel="0" collapsed="false"/>
    <row r="683" s="1" customFormat="true" ht="13.5" hidden="false" customHeight="false" outlineLevel="0" collapsed="false"/>
    <row r="684" s="1" customFormat="true" ht="13.5" hidden="false" customHeight="false" outlineLevel="0" collapsed="false"/>
    <row r="685" s="1" customFormat="true" ht="13.5" hidden="false" customHeight="false" outlineLevel="0" collapsed="false"/>
    <row r="686" s="1" customFormat="true" ht="13.5" hidden="false" customHeight="false" outlineLevel="0" collapsed="false"/>
    <row r="687" s="1" customFormat="true" ht="13.5" hidden="false" customHeight="false" outlineLevel="0" collapsed="false"/>
    <row r="688" s="1" customFormat="true" ht="13.5" hidden="false" customHeight="false" outlineLevel="0" collapsed="false"/>
    <row r="689" s="1" customFormat="true" ht="13.5" hidden="false" customHeight="false" outlineLevel="0" collapsed="false"/>
    <row r="690" s="1" customFormat="true" ht="13.5" hidden="false" customHeight="false" outlineLevel="0" collapsed="false"/>
    <row r="691" s="1" customFormat="true" ht="13.5" hidden="false" customHeight="false" outlineLevel="0" collapsed="false"/>
    <row r="692" s="1" customFormat="true" ht="13.5" hidden="false" customHeight="false" outlineLevel="0" collapsed="false"/>
    <row r="693" s="1" customFormat="true" ht="13.5" hidden="false" customHeight="false" outlineLevel="0" collapsed="false"/>
    <row r="694" s="1" customFormat="true" ht="13.5" hidden="false" customHeight="false" outlineLevel="0" collapsed="false"/>
    <row r="695" s="1" customFormat="true" ht="13.5" hidden="false" customHeight="false" outlineLevel="0" collapsed="false"/>
    <row r="696" s="1" customFormat="true" ht="13.5" hidden="false" customHeight="false" outlineLevel="0" collapsed="false"/>
    <row r="697" s="1" customFormat="true" ht="13.5" hidden="false" customHeight="false" outlineLevel="0" collapsed="false"/>
    <row r="698" s="1" customFormat="true" ht="13.5" hidden="false" customHeight="false" outlineLevel="0" collapsed="false"/>
    <row r="699" s="1" customFormat="true" ht="13.5" hidden="false" customHeight="false" outlineLevel="0" collapsed="false"/>
    <row r="700" s="1" customFormat="true" ht="13.5" hidden="false" customHeight="false" outlineLevel="0" collapsed="false"/>
    <row r="701" s="1" customFormat="true" ht="13.5" hidden="false" customHeight="false" outlineLevel="0" collapsed="false"/>
    <row r="702" s="1" customFormat="true" ht="13.5" hidden="false" customHeight="false" outlineLevel="0" collapsed="false"/>
    <row r="703" s="1" customFormat="true" ht="13.5" hidden="false" customHeight="false" outlineLevel="0" collapsed="false"/>
    <row r="704" s="1" customFormat="true" ht="13.5" hidden="false" customHeight="false" outlineLevel="0" collapsed="false"/>
    <row r="705" s="1" customFormat="true" ht="13.5" hidden="false" customHeight="false" outlineLevel="0" collapsed="false"/>
    <row r="706" s="1" customFormat="true" ht="13.5" hidden="false" customHeight="false" outlineLevel="0" collapsed="false"/>
    <row r="707" s="1" customFormat="true" ht="13.5" hidden="false" customHeight="false" outlineLevel="0" collapsed="false"/>
    <row r="708" s="1" customFormat="true" ht="13.5" hidden="false" customHeight="false" outlineLevel="0" collapsed="false"/>
    <row r="709" s="1" customFormat="true" ht="13.5" hidden="false" customHeight="false" outlineLevel="0" collapsed="false"/>
    <row r="710" s="1" customFormat="true" ht="13.5" hidden="false" customHeight="false" outlineLevel="0" collapsed="false"/>
    <row r="711" s="1" customFormat="true" ht="13.5" hidden="false" customHeight="false" outlineLevel="0" collapsed="false"/>
    <row r="712" s="1" customFormat="true" ht="13.5" hidden="false" customHeight="false" outlineLevel="0" collapsed="false"/>
    <row r="713" s="1" customFormat="true" ht="13.5" hidden="false" customHeight="false" outlineLevel="0" collapsed="false"/>
    <row r="714" s="1" customFormat="true" ht="13.5" hidden="false" customHeight="false" outlineLevel="0" collapsed="false"/>
    <row r="715" s="1" customFormat="true" ht="13.5" hidden="false" customHeight="false" outlineLevel="0" collapsed="false"/>
    <row r="716" s="1" customFormat="true" ht="13.5" hidden="false" customHeight="false" outlineLevel="0" collapsed="false"/>
    <row r="717" s="1" customFormat="true" ht="13.5" hidden="false" customHeight="false" outlineLevel="0" collapsed="false"/>
    <row r="718" s="1" customFormat="true" ht="13.5" hidden="false" customHeight="false" outlineLevel="0" collapsed="false"/>
    <row r="719" s="1" customFormat="true" ht="13.5" hidden="false" customHeight="false" outlineLevel="0" collapsed="false"/>
    <row r="720" s="1" customFormat="true" ht="13.5" hidden="false" customHeight="false" outlineLevel="0" collapsed="false"/>
    <row r="721" s="1" customFormat="true" ht="13.5" hidden="false" customHeight="false" outlineLevel="0" collapsed="false"/>
    <row r="722" s="1" customFormat="true" ht="13.5" hidden="false" customHeight="false" outlineLevel="0" collapsed="false"/>
    <row r="723" s="1" customFormat="true" ht="13.5" hidden="false" customHeight="false" outlineLevel="0" collapsed="false"/>
    <row r="724" s="1" customFormat="true" ht="13.5" hidden="false" customHeight="false" outlineLevel="0" collapsed="false"/>
    <row r="725" s="1" customFormat="true" ht="13.5" hidden="false" customHeight="false" outlineLevel="0" collapsed="false"/>
    <row r="726" s="1" customFormat="true" ht="13.5" hidden="false" customHeight="false" outlineLevel="0" collapsed="false"/>
    <row r="727" s="1" customFormat="true" ht="13.5" hidden="false" customHeight="false" outlineLevel="0" collapsed="false"/>
    <row r="728" s="1" customFormat="true" ht="13.5" hidden="false" customHeight="false" outlineLevel="0" collapsed="false"/>
    <row r="729" s="1" customFormat="true" ht="13.5" hidden="false" customHeight="false" outlineLevel="0" collapsed="false"/>
    <row r="730" s="1" customFormat="true" ht="13.5" hidden="false" customHeight="false" outlineLevel="0" collapsed="false"/>
    <row r="731" s="1" customFormat="true" ht="13.5" hidden="false" customHeight="false" outlineLevel="0" collapsed="false"/>
    <row r="732" s="1" customFormat="true" ht="13.5" hidden="false" customHeight="false" outlineLevel="0" collapsed="false"/>
    <row r="733" s="1" customFormat="true" ht="13.5" hidden="false" customHeight="false" outlineLevel="0" collapsed="false"/>
    <row r="734" s="1" customFormat="true" ht="13.5" hidden="false" customHeight="false" outlineLevel="0" collapsed="false"/>
    <row r="735" s="1" customFormat="true" ht="13.5" hidden="false" customHeight="false" outlineLevel="0" collapsed="false"/>
    <row r="736" s="1" customFormat="true" ht="13.5" hidden="false" customHeight="false" outlineLevel="0" collapsed="false"/>
    <row r="737" s="1" customFormat="true" ht="13.5" hidden="false" customHeight="false" outlineLevel="0" collapsed="false"/>
    <row r="738" s="1" customFormat="true" ht="13.5" hidden="false" customHeight="false" outlineLevel="0" collapsed="false"/>
    <row r="739" s="1" customFormat="true" ht="13.5" hidden="false" customHeight="false" outlineLevel="0" collapsed="false"/>
    <row r="740" s="1" customFormat="true" ht="13.5" hidden="false" customHeight="false" outlineLevel="0" collapsed="false"/>
    <row r="741" s="1" customFormat="true" ht="13.5" hidden="false" customHeight="false" outlineLevel="0" collapsed="false"/>
    <row r="742" s="1" customFormat="true" ht="13.5" hidden="false" customHeight="false" outlineLevel="0" collapsed="false"/>
    <row r="743" s="1" customFormat="true" ht="13.5" hidden="false" customHeight="false" outlineLevel="0" collapsed="false"/>
    <row r="744" s="1" customFormat="true" ht="13.5" hidden="false" customHeight="false" outlineLevel="0" collapsed="false"/>
    <row r="745" s="1" customFormat="true" ht="13.5" hidden="false" customHeight="false" outlineLevel="0" collapsed="false"/>
    <row r="746" s="1" customFormat="true" ht="13.5" hidden="false" customHeight="false" outlineLevel="0" collapsed="false"/>
    <row r="747" s="1" customFormat="true" ht="13.5" hidden="false" customHeight="false" outlineLevel="0" collapsed="false"/>
    <row r="748" s="1" customFormat="true" ht="13.5" hidden="false" customHeight="false" outlineLevel="0" collapsed="false"/>
    <row r="749" s="1" customFormat="true" ht="13.5" hidden="false" customHeight="false" outlineLevel="0" collapsed="false"/>
    <row r="750" s="1" customFormat="true" ht="13.5" hidden="false" customHeight="false" outlineLevel="0" collapsed="false"/>
    <row r="751" s="1" customFormat="true" ht="13.5" hidden="false" customHeight="false" outlineLevel="0" collapsed="false"/>
    <row r="752" s="1" customFormat="true" ht="13.5" hidden="false" customHeight="false" outlineLevel="0" collapsed="false"/>
    <row r="753" s="1" customFormat="true" ht="13.5" hidden="false" customHeight="false" outlineLevel="0" collapsed="false"/>
    <row r="754" s="1" customFormat="true" ht="13.5" hidden="false" customHeight="false" outlineLevel="0" collapsed="false"/>
    <row r="755" s="1" customFormat="true" ht="13.5" hidden="false" customHeight="false" outlineLevel="0" collapsed="false"/>
    <row r="756" s="1" customFormat="true" ht="13.5" hidden="false" customHeight="false" outlineLevel="0" collapsed="false"/>
    <row r="757" s="1" customFormat="true" ht="13.5" hidden="false" customHeight="false" outlineLevel="0" collapsed="false"/>
    <row r="758" s="1" customFormat="true" ht="13.5" hidden="false" customHeight="false" outlineLevel="0" collapsed="false"/>
    <row r="759" s="1" customFormat="true" ht="13.5" hidden="false" customHeight="false" outlineLevel="0" collapsed="false"/>
    <row r="760" s="1" customFormat="true" ht="13.5" hidden="false" customHeight="false" outlineLevel="0" collapsed="false"/>
    <row r="761" s="1" customFormat="true" ht="13.5" hidden="false" customHeight="false" outlineLevel="0" collapsed="false"/>
    <row r="762" s="1" customFormat="true" ht="13.5" hidden="false" customHeight="false" outlineLevel="0" collapsed="false"/>
    <row r="763" s="1" customFormat="true" ht="13.5" hidden="false" customHeight="false" outlineLevel="0" collapsed="false"/>
    <row r="764" s="1" customFormat="true" ht="13.5" hidden="false" customHeight="false" outlineLevel="0" collapsed="false"/>
    <row r="765" s="1" customFormat="true" ht="13.5" hidden="false" customHeight="false" outlineLevel="0" collapsed="false"/>
    <row r="766" s="1" customFormat="true" ht="13.5" hidden="false" customHeight="false" outlineLevel="0" collapsed="false"/>
    <row r="767" s="1" customFormat="true" ht="13.5" hidden="false" customHeight="false" outlineLevel="0" collapsed="false"/>
    <row r="768" s="1" customFormat="true" ht="13.5" hidden="false" customHeight="false" outlineLevel="0" collapsed="false"/>
    <row r="769" s="1" customFormat="true" ht="13.5" hidden="false" customHeight="false" outlineLevel="0" collapsed="false"/>
    <row r="770" s="1" customFormat="true" ht="13.5" hidden="false" customHeight="false" outlineLevel="0" collapsed="false"/>
    <row r="771" s="1" customFormat="true" ht="13.5" hidden="false" customHeight="false" outlineLevel="0" collapsed="false"/>
    <row r="772" s="1" customFormat="true" ht="13.5" hidden="false" customHeight="false" outlineLevel="0" collapsed="false"/>
    <row r="773" s="1" customFormat="true" ht="13.5" hidden="false" customHeight="false" outlineLevel="0" collapsed="false"/>
    <row r="774" s="1" customFormat="true" ht="13.5" hidden="false" customHeight="false" outlineLevel="0" collapsed="false"/>
    <row r="775" s="1" customFormat="true" ht="13.5" hidden="false" customHeight="false" outlineLevel="0" collapsed="false"/>
    <row r="776" s="1" customFormat="true" ht="13.5" hidden="false" customHeight="false" outlineLevel="0" collapsed="false"/>
    <row r="777" s="1" customFormat="true" ht="13.5" hidden="false" customHeight="false" outlineLevel="0" collapsed="false"/>
    <row r="778" s="1" customFormat="true" ht="13.5" hidden="false" customHeight="false" outlineLevel="0" collapsed="false"/>
    <row r="779" s="1" customFormat="true" ht="13.5" hidden="false" customHeight="false" outlineLevel="0" collapsed="false"/>
    <row r="780" s="1" customFormat="true" ht="13.5" hidden="false" customHeight="false" outlineLevel="0" collapsed="false"/>
    <row r="781" s="1" customFormat="true" ht="13.5" hidden="false" customHeight="false" outlineLevel="0" collapsed="false"/>
    <row r="782" s="1" customFormat="true" ht="13.5" hidden="false" customHeight="false" outlineLevel="0" collapsed="false"/>
    <row r="783" s="1" customFormat="true" ht="13.5" hidden="false" customHeight="false" outlineLevel="0" collapsed="false"/>
    <row r="784" s="1" customFormat="true" ht="13.5" hidden="false" customHeight="false" outlineLevel="0" collapsed="false"/>
    <row r="785" s="1" customFormat="true" ht="13.5" hidden="false" customHeight="false" outlineLevel="0" collapsed="false"/>
    <row r="786" s="1" customFormat="true" ht="13.5" hidden="false" customHeight="false" outlineLevel="0" collapsed="false"/>
    <row r="787" s="1" customFormat="true" ht="13.5" hidden="false" customHeight="false" outlineLevel="0" collapsed="false"/>
    <row r="788" s="1" customFormat="true" ht="13.5" hidden="false" customHeight="false" outlineLevel="0" collapsed="false"/>
    <row r="789" s="1" customFormat="true" ht="13.5" hidden="false" customHeight="false" outlineLevel="0" collapsed="false"/>
    <row r="790" s="1" customFormat="true" ht="13.5" hidden="false" customHeight="false" outlineLevel="0" collapsed="false"/>
    <row r="791" s="1" customFormat="true" ht="13.5" hidden="false" customHeight="false" outlineLevel="0" collapsed="false"/>
    <row r="792" s="1" customFormat="true" ht="13.5" hidden="false" customHeight="false" outlineLevel="0" collapsed="false"/>
    <row r="793" s="1" customFormat="true" ht="13.5" hidden="false" customHeight="false" outlineLevel="0" collapsed="false"/>
    <row r="794" s="1" customFormat="true" ht="13.5" hidden="false" customHeight="false" outlineLevel="0" collapsed="false"/>
    <row r="795" s="1" customFormat="true" ht="13.5" hidden="false" customHeight="false" outlineLevel="0" collapsed="false"/>
    <row r="796" s="1" customFormat="true" ht="13.5" hidden="false" customHeight="false" outlineLevel="0" collapsed="false"/>
    <row r="797" s="1" customFormat="true" ht="13.5" hidden="false" customHeight="false" outlineLevel="0" collapsed="false"/>
    <row r="798" s="1" customFormat="true" ht="13.5" hidden="false" customHeight="false" outlineLevel="0" collapsed="false"/>
    <row r="799" s="1" customFormat="true" ht="13.5" hidden="false" customHeight="false" outlineLevel="0" collapsed="false"/>
    <row r="800" s="1" customFormat="true" ht="13.5" hidden="false" customHeight="false" outlineLevel="0" collapsed="false"/>
    <row r="801" s="1" customFormat="true" ht="13.5" hidden="false" customHeight="false" outlineLevel="0" collapsed="false"/>
    <row r="802" s="1" customFormat="true" ht="13.5" hidden="false" customHeight="false" outlineLevel="0" collapsed="false"/>
    <row r="803" s="1" customFormat="true" ht="13.5" hidden="false" customHeight="false" outlineLevel="0" collapsed="false"/>
    <row r="804" s="1" customFormat="true" ht="13.5" hidden="false" customHeight="false" outlineLevel="0" collapsed="false"/>
    <row r="805" s="1" customFormat="true" ht="13.5" hidden="false" customHeight="false" outlineLevel="0" collapsed="false"/>
    <row r="806" s="1" customFormat="true" ht="13.5" hidden="false" customHeight="false" outlineLevel="0" collapsed="false"/>
    <row r="807" s="1" customFormat="true" ht="13.5" hidden="false" customHeight="false" outlineLevel="0" collapsed="false"/>
    <row r="808" s="1" customFormat="true" ht="13.5" hidden="false" customHeight="false" outlineLevel="0" collapsed="false"/>
    <row r="809" s="1" customFormat="true" ht="13.5" hidden="false" customHeight="false" outlineLevel="0" collapsed="false"/>
    <row r="810" s="1" customFormat="true" ht="13.5" hidden="false" customHeight="false" outlineLevel="0" collapsed="false"/>
    <row r="811" s="1" customFormat="true" ht="13.5" hidden="false" customHeight="false" outlineLevel="0" collapsed="false"/>
    <row r="812" s="1" customFormat="true" ht="13.5" hidden="false" customHeight="false" outlineLevel="0" collapsed="false"/>
    <row r="813" s="1" customFormat="true" ht="13.5" hidden="false" customHeight="false" outlineLevel="0" collapsed="false"/>
    <row r="814" s="1" customFormat="true" ht="13.5" hidden="false" customHeight="false" outlineLevel="0" collapsed="false"/>
    <row r="815" s="1" customFormat="true" ht="13.5" hidden="false" customHeight="false" outlineLevel="0" collapsed="false"/>
    <row r="816" s="1" customFormat="true" ht="13.5" hidden="false" customHeight="false" outlineLevel="0" collapsed="false"/>
    <row r="817" s="1" customFormat="true" ht="13.5" hidden="false" customHeight="false" outlineLevel="0" collapsed="false"/>
    <row r="818" s="1" customFormat="true" ht="13.5" hidden="false" customHeight="false" outlineLevel="0" collapsed="false"/>
    <row r="819" s="1" customFormat="true" ht="13.5" hidden="false" customHeight="false" outlineLevel="0" collapsed="false"/>
    <row r="820" s="1" customFormat="true" ht="13.5" hidden="false" customHeight="false" outlineLevel="0" collapsed="false"/>
    <row r="821" s="1" customFormat="true" ht="13.5" hidden="false" customHeight="false" outlineLevel="0" collapsed="false"/>
    <row r="822" s="1" customFormat="true" ht="13.5" hidden="false" customHeight="false" outlineLevel="0" collapsed="false"/>
    <row r="823" s="1" customFormat="true" ht="13.5" hidden="false" customHeight="false" outlineLevel="0" collapsed="false"/>
    <row r="824" s="1" customFormat="true" ht="13.5" hidden="false" customHeight="false" outlineLevel="0" collapsed="false"/>
    <row r="825" s="1" customFormat="true" ht="13.5" hidden="false" customHeight="false" outlineLevel="0" collapsed="false"/>
    <row r="826" s="1" customFormat="true" ht="13.5" hidden="false" customHeight="false" outlineLevel="0" collapsed="false"/>
    <row r="827" s="1" customFormat="true" ht="13.5" hidden="false" customHeight="false" outlineLevel="0" collapsed="false"/>
    <row r="828" s="1" customFormat="true" ht="13.5" hidden="false" customHeight="false" outlineLevel="0" collapsed="false"/>
    <row r="829" s="1" customFormat="true" ht="13.5" hidden="false" customHeight="false" outlineLevel="0" collapsed="false"/>
    <row r="830" s="1" customFormat="true" ht="13.5" hidden="false" customHeight="false" outlineLevel="0" collapsed="false"/>
    <row r="831" s="1" customFormat="true" ht="13.5" hidden="false" customHeight="false" outlineLevel="0" collapsed="false"/>
    <row r="832" s="1" customFormat="true" ht="13.5" hidden="false" customHeight="false" outlineLevel="0" collapsed="false"/>
    <row r="833" s="1" customFormat="true" ht="13.5" hidden="false" customHeight="false" outlineLevel="0" collapsed="false"/>
    <row r="834" s="1" customFormat="true" ht="13.5" hidden="false" customHeight="false" outlineLevel="0" collapsed="false"/>
    <row r="835" s="1" customFormat="true" ht="13.5" hidden="false" customHeight="false" outlineLevel="0" collapsed="false"/>
    <row r="836" s="1" customFormat="true" ht="13.5" hidden="false" customHeight="false" outlineLevel="0" collapsed="false"/>
    <row r="837" s="1" customFormat="true" ht="13.5" hidden="false" customHeight="false" outlineLevel="0" collapsed="false"/>
    <row r="838" s="1" customFormat="true" ht="13.5" hidden="false" customHeight="false" outlineLevel="0" collapsed="false"/>
    <row r="839" s="1" customFormat="true" ht="13.5" hidden="false" customHeight="false" outlineLevel="0" collapsed="false"/>
    <row r="840" s="1" customFormat="true" ht="13.5" hidden="false" customHeight="false" outlineLevel="0" collapsed="false"/>
    <row r="841" s="1" customFormat="true" ht="13.5" hidden="false" customHeight="false" outlineLevel="0" collapsed="false"/>
    <row r="842" s="1" customFormat="true" ht="13.5" hidden="false" customHeight="false" outlineLevel="0" collapsed="false"/>
    <row r="843" s="1" customFormat="true" ht="13.5" hidden="false" customHeight="false" outlineLevel="0" collapsed="false"/>
    <row r="844" s="1" customFormat="true" ht="13.5" hidden="false" customHeight="false" outlineLevel="0" collapsed="false"/>
    <row r="845" s="1" customFormat="true" ht="13.5" hidden="false" customHeight="false" outlineLevel="0" collapsed="false"/>
    <row r="846" s="1" customFormat="true" ht="13.5" hidden="false" customHeight="false" outlineLevel="0" collapsed="false"/>
    <row r="847" s="1" customFormat="true" ht="13.5" hidden="false" customHeight="false" outlineLevel="0" collapsed="false"/>
    <row r="848" s="1" customFormat="true" ht="13.5" hidden="false" customHeight="false" outlineLevel="0" collapsed="false"/>
    <row r="849" s="1" customFormat="true" ht="13.5" hidden="false" customHeight="false" outlineLevel="0" collapsed="false"/>
    <row r="850" s="1" customFormat="true" ht="13.5" hidden="false" customHeight="false" outlineLevel="0" collapsed="false"/>
    <row r="851" s="1" customFormat="true" ht="13.5" hidden="false" customHeight="false" outlineLevel="0" collapsed="false"/>
    <row r="852" s="1" customFormat="true" ht="13.5" hidden="false" customHeight="false" outlineLevel="0" collapsed="false"/>
    <row r="853" s="1" customFormat="true" ht="13.5" hidden="false" customHeight="false" outlineLevel="0" collapsed="false"/>
    <row r="854" s="1" customFormat="true" ht="13.5" hidden="false" customHeight="false" outlineLevel="0" collapsed="false"/>
    <row r="855" s="1" customFormat="true" ht="13.5" hidden="false" customHeight="false" outlineLevel="0" collapsed="false"/>
    <row r="856" s="1" customFormat="true" ht="13.5" hidden="false" customHeight="false" outlineLevel="0" collapsed="false"/>
    <row r="857" s="1" customFormat="true" ht="13.5" hidden="false" customHeight="false" outlineLevel="0" collapsed="false"/>
    <row r="858" s="1" customFormat="true" ht="13.5" hidden="false" customHeight="false" outlineLevel="0" collapsed="false"/>
    <row r="859" s="1" customFormat="true" ht="13.5" hidden="false" customHeight="false" outlineLevel="0" collapsed="false"/>
    <row r="860" s="1" customFormat="true" ht="13.5" hidden="false" customHeight="false" outlineLevel="0" collapsed="false"/>
    <row r="861" s="1" customFormat="true" ht="13.5" hidden="false" customHeight="false" outlineLevel="0" collapsed="false"/>
    <row r="862" s="1" customFormat="true" ht="13.5" hidden="false" customHeight="false" outlineLevel="0" collapsed="false"/>
    <row r="863" s="1" customFormat="true" ht="13.5" hidden="false" customHeight="false" outlineLevel="0" collapsed="false"/>
    <row r="864" s="1" customFormat="true" ht="13.5" hidden="false" customHeight="false" outlineLevel="0" collapsed="false"/>
    <row r="865" s="1" customFormat="true" ht="13.5" hidden="false" customHeight="false" outlineLevel="0" collapsed="false"/>
    <row r="866" s="1" customFormat="true" ht="13.5" hidden="false" customHeight="false" outlineLevel="0" collapsed="false"/>
    <row r="867" s="1" customFormat="true" ht="13.5" hidden="false" customHeight="false" outlineLevel="0" collapsed="false"/>
    <row r="868" s="1" customFormat="true" ht="13.5" hidden="false" customHeight="false" outlineLevel="0" collapsed="false"/>
    <row r="869" s="1" customFormat="true" ht="13.5" hidden="false" customHeight="false" outlineLevel="0" collapsed="false"/>
    <row r="870" s="1" customFormat="true" ht="13.5" hidden="false" customHeight="false" outlineLevel="0" collapsed="false"/>
    <row r="871" s="1" customFormat="true" ht="13.5" hidden="false" customHeight="false" outlineLevel="0" collapsed="false"/>
    <row r="872" s="1" customFormat="true" ht="13.5" hidden="false" customHeight="false" outlineLevel="0" collapsed="false"/>
    <row r="873" s="1" customFormat="true" ht="13.5" hidden="false" customHeight="false" outlineLevel="0" collapsed="false"/>
    <row r="874" s="1" customFormat="true" ht="13.5" hidden="false" customHeight="false" outlineLevel="0" collapsed="false"/>
    <row r="875" s="1" customFormat="true" ht="13.5" hidden="false" customHeight="false" outlineLevel="0" collapsed="false"/>
    <row r="876" s="1" customFormat="true" ht="13.5" hidden="false" customHeight="false" outlineLevel="0" collapsed="false"/>
    <row r="877" s="1" customFormat="true" ht="13.5" hidden="false" customHeight="false" outlineLevel="0" collapsed="false"/>
    <row r="878" s="1" customFormat="true" ht="13.5" hidden="false" customHeight="false" outlineLevel="0" collapsed="false"/>
    <row r="879" s="1" customFormat="true" ht="13.5" hidden="false" customHeight="false" outlineLevel="0" collapsed="false"/>
    <row r="880" s="1" customFormat="true" ht="13.5" hidden="false" customHeight="false" outlineLevel="0" collapsed="false"/>
    <row r="881" s="1" customFormat="true" ht="13.5" hidden="false" customHeight="false" outlineLevel="0" collapsed="false"/>
    <row r="882" s="1" customFormat="true" ht="13.5" hidden="false" customHeight="false" outlineLevel="0" collapsed="false"/>
    <row r="883" s="1" customFormat="true" ht="13.5" hidden="false" customHeight="false" outlineLevel="0" collapsed="false"/>
    <row r="884" s="1" customFormat="true" ht="13.5" hidden="false" customHeight="false" outlineLevel="0" collapsed="false"/>
    <row r="885" s="1" customFormat="true" ht="13.5" hidden="false" customHeight="false" outlineLevel="0" collapsed="false"/>
    <row r="886" s="1" customFormat="true" ht="13.5" hidden="false" customHeight="false" outlineLevel="0" collapsed="false"/>
    <row r="887" s="1" customFormat="true" ht="13.5" hidden="false" customHeight="false" outlineLevel="0" collapsed="false"/>
    <row r="888" s="1" customFormat="true" ht="13.5" hidden="false" customHeight="false" outlineLevel="0" collapsed="false"/>
    <row r="889" s="1" customFormat="true" ht="13.5" hidden="false" customHeight="false" outlineLevel="0" collapsed="false"/>
    <row r="890" s="1" customFormat="true" ht="13.5" hidden="false" customHeight="false" outlineLevel="0" collapsed="false"/>
    <row r="891" s="1" customFormat="true" ht="13.5" hidden="false" customHeight="false" outlineLevel="0" collapsed="false"/>
    <row r="892" s="1" customFormat="true" ht="13.5" hidden="false" customHeight="false" outlineLevel="0" collapsed="false"/>
    <row r="893" s="1" customFormat="true" ht="13.5" hidden="false" customHeight="false" outlineLevel="0" collapsed="false"/>
    <row r="894" s="1" customFormat="true" ht="13.5" hidden="false" customHeight="false" outlineLevel="0" collapsed="false"/>
    <row r="895" s="1" customFormat="true" ht="13.5" hidden="false" customHeight="false" outlineLevel="0" collapsed="false"/>
    <row r="896" s="1" customFormat="true" ht="13.5" hidden="false" customHeight="false" outlineLevel="0" collapsed="false"/>
    <row r="897" s="1" customFormat="true" ht="13.5" hidden="false" customHeight="false" outlineLevel="0" collapsed="false"/>
    <row r="898" s="1" customFormat="true" ht="13.5" hidden="false" customHeight="false" outlineLevel="0" collapsed="false"/>
    <row r="899" s="1" customFormat="true" ht="13.5" hidden="false" customHeight="false" outlineLevel="0" collapsed="false"/>
    <row r="900" s="1" customFormat="true" ht="13.5" hidden="false" customHeight="false" outlineLevel="0" collapsed="false"/>
    <row r="901" s="1" customFormat="true" ht="13.5" hidden="false" customHeight="false" outlineLevel="0" collapsed="false"/>
    <row r="902" s="1" customFormat="true" ht="13.5" hidden="false" customHeight="false" outlineLevel="0" collapsed="false"/>
    <row r="903" s="1" customFormat="true" ht="13.5" hidden="false" customHeight="false" outlineLevel="0" collapsed="false"/>
    <row r="904" s="1" customFormat="true" ht="13.5" hidden="false" customHeight="false" outlineLevel="0" collapsed="false"/>
    <row r="905" s="1" customFormat="true" ht="13.5" hidden="false" customHeight="false" outlineLevel="0" collapsed="false"/>
    <row r="906" s="1" customFormat="true" ht="13.5" hidden="false" customHeight="false" outlineLevel="0" collapsed="false"/>
    <row r="907" s="1" customFormat="true" ht="13.5" hidden="false" customHeight="false" outlineLevel="0" collapsed="false"/>
    <row r="908" s="1" customFormat="true" ht="13.5" hidden="false" customHeight="false" outlineLevel="0" collapsed="false"/>
    <row r="909" s="1" customFormat="true" ht="13.5" hidden="false" customHeight="false" outlineLevel="0" collapsed="false"/>
    <row r="910" s="1" customFormat="true" ht="13.5" hidden="false" customHeight="false" outlineLevel="0" collapsed="false"/>
    <row r="911" s="1" customFormat="true" ht="13.5" hidden="false" customHeight="false" outlineLevel="0" collapsed="false"/>
    <row r="912" s="1" customFormat="true" ht="13.5" hidden="false" customHeight="false" outlineLevel="0" collapsed="false"/>
    <row r="913" s="1" customFormat="true" ht="13.5" hidden="false" customHeight="false" outlineLevel="0" collapsed="false"/>
    <row r="914" s="1" customFormat="true" ht="13.5" hidden="false" customHeight="false" outlineLevel="0" collapsed="false"/>
    <row r="915" s="1" customFormat="true" ht="13.5" hidden="false" customHeight="false" outlineLevel="0" collapsed="false"/>
    <row r="916" s="1" customFormat="true" ht="13.5" hidden="false" customHeight="false" outlineLevel="0" collapsed="false"/>
    <row r="917" s="1" customFormat="true" ht="13.5" hidden="false" customHeight="false" outlineLevel="0" collapsed="false"/>
    <row r="918" s="1" customFormat="true" ht="13.5" hidden="false" customHeight="false" outlineLevel="0" collapsed="false"/>
    <row r="919" s="1" customFormat="true" ht="13.5" hidden="false" customHeight="false" outlineLevel="0" collapsed="false"/>
    <row r="920" s="1" customFormat="true" ht="13.5" hidden="false" customHeight="false" outlineLevel="0" collapsed="false"/>
    <row r="921" s="1" customFormat="true" ht="13.5" hidden="false" customHeight="false" outlineLevel="0" collapsed="false"/>
    <row r="922" s="1" customFormat="true" ht="13.5" hidden="false" customHeight="false" outlineLevel="0" collapsed="false"/>
    <row r="923" s="1" customFormat="true" ht="13.5" hidden="false" customHeight="false" outlineLevel="0" collapsed="false"/>
    <row r="924" s="1" customFormat="true" ht="13.5" hidden="false" customHeight="false" outlineLevel="0" collapsed="false"/>
    <row r="925" s="1" customFormat="true" ht="13.5" hidden="false" customHeight="false" outlineLevel="0" collapsed="false"/>
    <row r="926" s="1" customFormat="true" ht="13.5" hidden="false" customHeight="false" outlineLevel="0" collapsed="false"/>
    <row r="927" s="1" customFormat="true" ht="13.5" hidden="false" customHeight="false" outlineLevel="0" collapsed="false"/>
    <row r="928" s="1" customFormat="true" ht="13.5" hidden="false" customHeight="false" outlineLevel="0" collapsed="false"/>
    <row r="929" s="1" customFormat="true" ht="13.5" hidden="false" customHeight="false" outlineLevel="0" collapsed="false"/>
    <row r="930" s="1" customFormat="true" ht="13.5" hidden="false" customHeight="false" outlineLevel="0" collapsed="false"/>
    <row r="931" s="1" customFormat="true" ht="13.5" hidden="false" customHeight="false" outlineLevel="0" collapsed="false"/>
    <row r="932" s="1" customFormat="true" ht="13.5" hidden="false" customHeight="false" outlineLevel="0" collapsed="false"/>
    <row r="933" s="1" customFormat="true" ht="13.5" hidden="false" customHeight="false" outlineLevel="0" collapsed="false"/>
    <row r="934" s="1" customFormat="true" ht="13.5" hidden="false" customHeight="false" outlineLevel="0" collapsed="false"/>
    <row r="935" s="1" customFormat="true" ht="13.5" hidden="false" customHeight="false" outlineLevel="0" collapsed="false"/>
    <row r="936" s="1" customFormat="true" ht="13.5" hidden="false" customHeight="false" outlineLevel="0" collapsed="false"/>
    <row r="937" s="1" customFormat="true" ht="13.5" hidden="false" customHeight="false" outlineLevel="0" collapsed="false"/>
    <row r="938" s="1" customFormat="true" ht="13.5" hidden="false" customHeight="false" outlineLevel="0" collapsed="false"/>
    <row r="939" s="1" customFormat="true" ht="13.5" hidden="false" customHeight="false" outlineLevel="0" collapsed="false"/>
    <row r="940" s="1" customFormat="true" ht="13.5" hidden="false" customHeight="false" outlineLevel="0" collapsed="false"/>
    <row r="941" s="1" customFormat="true" ht="13.5" hidden="false" customHeight="false" outlineLevel="0" collapsed="false"/>
    <row r="942" s="1" customFormat="true" ht="13.5" hidden="false" customHeight="false" outlineLevel="0" collapsed="false"/>
    <row r="943" s="1" customFormat="true" ht="13.5" hidden="false" customHeight="false" outlineLevel="0" collapsed="false"/>
    <row r="944" s="1" customFormat="true" ht="13.5" hidden="false" customHeight="false" outlineLevel="0" collapsed="false"/>
    <row r="945" s="1" customFormat="true" ht="13.5" hidden="false" customHeight="false" outlineLevel="0" collapsed="false"/>
    <row r="946" s="1" customFormat="true" ht="13.5" hidden="false" customHeight="false" outlineLevel="0" collapsed="false"/>
    <row r="947" s="1" customFormat="true" ht="13.5" hidden="false" customHeight="false" outlineLevel="0" collapsed="false"/>
    <row r="948" s="1" customFormat="true" ht="13.5" hidden="false" customHeight="false" outlineLevel="0" collapsed="false"/>
    <row r="949" s="1" customFormat="true" ht="13.5" hidden="false" customHeight="false" outlineLevel="0" collapsed="false"/>
    <row r="950" s="1" customFormat="true" ht="13.5" hidden="false" customHeight="false" outlineLevel="0" collapsed="false"/>
    <row r="951" s="1" customFormat="true" ht="13.5" hidden="false" customHeight="false" outlineLevel="0" collapsed="false"/>
    <row r="952" s="1" customFormat="true" ht="13.5" hidden="false" customHeight="false" outlineLevel="0" collapsed="false"/>
    <row r="953" s="1" customFormat="true" ht="13.5" hidden="false" customHeight="false" outlineLevel="0" collapsed="false"/>
    <row r="954" s="1" customFormat="true" ht="13.5" hidden="false" customHeight="false" outlineLevel="0" collapsed="false"/>
    <row r="955" s="1" customFormat="true" ht="13.5" hidden="false" customHeight="false" outlineLevel="0" collapsed="false"/>
    <row r="956" s="1" customFormat="true" ht="13.5" hidden="false" customHeight="false" outlineLevel="0" collapsed="false"/>
    <row r="957" s="1" customFormat="true" ht="13.5" hidden="false" customHeight="false" outlineLevel="0" collapsed="false"/>
    <row r="958" s="1" customFormat="true" ht="13.5" hidden="false" customHeight="false" outlineLevel="0" collapsed="false"/>
    <row r="959" s="1" customFormat="true" ht="13.5" hidden="false" customHeight="false" outlineLevel="0" collapsed="false"/>
    <row r="960" s="1" customFormat="true" ht="13.5" hidden="false" customHeight="false" outlineLevel="0" collapsed="false"/>
    <row r="961" s="1" customFormat="true" ht="13.5" hidden="false" customHeight="false" outlineLevel="0" collapsed="false"/>
    <row r="962" s="1" customFormat="true" ht="13.5" hidden="false" customHeight="false" outlineLevel="0" collapsed="false"/>
    <row r="963" s="1" customFormat="true" ht="13.5" hidden="false" customHeight="false" outlineLevel="0" collapsed="false"/>
    <row r="964" s="1" customFormat="true" ht="13.5" hidden="false" customHeight="false" outlineLevel="0" collapsed="false"/>
    <row r="965" s="1" customFormat="true" ht="13.5" hidden="false" customHeight="false" outlineLevel="0" collapsed="false"/>
    <row r="966" s="1" customFormat="true" ht="13.5" hidden="false" customHeight="false" outlineLevel="0" collapsed="false"/>
    <row r="967" s="1" customFormat="true" ht="13.5" hidden="false" customHeight="false" outlineLevel="0" collapsed="false"/>
    <row r="968" s="1" customFormat="true" ht="13.5" hidden="false" customHeight="false" outlineLevel="0" collapsed="false"/>
    <row r="969" s="1" customFormat="true" ht="13.5" hidden="false" customHeight="false" outlineLevel="0" collapsed="false"/>
    <row r="970" s="1" customFormat="true" ht="13.5" hidden="false" customHeight="false" outlineLevel="0" collapsed="false"/>
    <row r="971" s="1" customFormat="true" ht="13.5" hidden="false" customHeight="false" outlineLevel="0" collapsed="false"/>
    <row r="972" s="1" customFormat="true" ht="13.5" hidden="false" customHeight="false" outlineLevel="0" collapsed="false"/>
    <row r="973" s="1" customFormat="true" ht="13.5" hidden="false" customHeight="false" outlineLevel="0" collapsed="false"/>
    <row r="974" s="1" customFormat="true" ht="13.5" hidden="false" customHeight="false" outlineLevel="0" collapsed="false"/>
    <row r="975" s="1" customFormat="true" ht="13.5" hidden="false" customHeight="false" outlineLevel="0" collapsed="false"/>
    <row r="976" s="1" customFormat="true" ht="13.5" hidden="false" customHeight="false" outlineLevel="0" collapsed="false"/>
    <row r="977" s="1" customFormat="true" ht="13.5" hidden="false" customHeight="false" outlineLevel="0" collapsed="false"/>
    <row r="978" s="1" customFormat="true" ht="13.5" hidden="false" customHeight="false" outlineLevel="0" collapsed="false"/>
    <row r="979" s="1" customFormat="true" ht="13.5" hidden="false" customHeight="false" outlineLevel="0" collapsed="false"/>
    <row r="980" s="1" customFormat="true" ht="13.5" hidden="false" customHeight="false" outlineLevel="0" collapsed="false"/>
    <row r="981" s="1" customFormat="true" ht="13.5" hidden="false" customHeight="false" outlineLevel="0" collapsed="false"/>
    <row r="982" s="1" customFormat="true" ht="13.5" hidden="false" customHeight="false" outlineLevel="0" collapsed="false"/>
    <row r="983" s="1" customFormat="true" ht="13.5" hidden="false" customHeight="false" outlineLevel="0" collapsed="false"/>
    <row r="984" s="1" customFormat="true" ht="13.5" hidden="false" customHeight="false" outlineLevel="0" collapsed="false"/>
    <row r="985" s="1" customFormat="true" ht="13.5" hidden="false" customHeight="false" outlineLevel="0" collapsed="false"/>
    <row r="986" s="1" customFormat="true" ht="13.5" hidden="false" customHeight="false" outlineLevel="0" collapsed="false"/>
    <row r="987" s="1" customFormat="true" ht="13.5" hidden="false" customHeight="false" outlineLevel="0" collapsed="false"/>
    <row r="988" s="1" customFormat="true" ht="13.5" hidden="false" customHeight="false" outlineLevel="0" collapsed="false"/>
    <row r="989" s="1" customFormat="true" ht="13.5" hidden="false" customHeight="false" outlineLevel="0" collapsed="false"/>
    <row r="990" s="1" customFormat="true" ht="13.5" hidden="false" customHeight="false" outlineLevel="0" collapsed="false"/>
    <row r="991" s="1" customFormat="true" ht="13.5" hidden="false" customHeight="false" outlineLevel="0" collapsed="false"/>
    <row r="992" s="1" customFormat="true" ht="13.5" hidden="false" customHeight="false" outlineLevel="0" collapsed="false"/>
    <row r="993" s="1" customFormat="true" ht="13.5" hidden="false" customHeight="false" outlineLevel="0" collapsed="false"/>
    <row r="994" s="1" customFormat="true" ht="13.5" hidden="false" customHeight="false" outlineLevel="0" collapsed="false"/>
    <row r="995" s="1" customFormat="true" ht="13.5" hidden="false" customHeight="false" outlineLevel="0" collapsed="false"/>
    <row r="996" s="1" customFormat="true" ht="13.5" hidden="false" customHeight="false" outlineLevel="0" collapsed="false"/>
    <row r="997" s="1" customFormat="true" ht="13.5" hidden="false" customHeight="false" outlineLevel="0" collapsed="false"/>
    <row r="998" s="1" customFormat="true" ht="13.5" hidden="false" customHeight="false" outlineLevel="0" collapsed="false"/>
    <row r="999" s="1" customFormat="true" ht="13.5" hidden="false" customHeight="false" outlineLevel="0" collapsed="false"/>
    <row r="1000" s="1" customFormat="true" ht="13.5" hidden="false" customHeight="false" outlineLevel="0" collapsed="false"/>
    <row r="1001" s="1" customFormat="true" ht="13.5" hidden="false" customHeight="false" outlineLevel="0" collapsed="false"/>
    <row r="1002" s="1" customFormat="true" ht="13.5" hidden="false" customHeight="false" outlineLevel="0" collapsed="false"/>
    <row r="1003" s="1" customFormat="true" ht="13.5" hidden="false" customHeight="false" outlineLevel="0" collapsed="false"/>
    <row r="1004" s="1" customFormat="true" ht="13.5" hidden="false" customHeight="false" outlineLevel="0" collapsed="false"/>
    <row r="1005" s="1" customFormat="true" ht="13.5" hidden="false" customHeight="false" outlineLevel="0" collapsed="false"/>
    <row r="1006" s="1" customFormat="true" ht="13.5" hidden="false" customHeight="false" outlineLevel="0" collapsed="false"/>
    <row r="1007" s="1" customFormat="true" ht="13.5" hidden="false" customHeight="false" outlineLevel="0" collapsed="false"/>
    <row r="1008" s="1" customFormat="true" ht="13.5" hidden="false" customHeight="false" outlineLevel="0" collapsed="false"/>
    <row r="1009" s="1" customFormat="true" ht="13.5" hidden="false" customHeight="false" outlineLevel="0" collapsed="false"/>
  </sheetData>
  <mergeCells count="32">
    <mergeCell ref="B1:D1"/>
    <mergeCell ref="B2:I2"/>
    <mergeCell ref="B4:D4"/>
    <mergeCell ref="B14:D14"/>
    <mergeCell ref="E15:N15"/>
    <mergeCell ref="F18:N18"/>
    <mergeCell ref="B22:D22"/>
    <mergeCell ref="E23:N23"/>
    <mergeCell ref="E24:N24"/>
    <mergeCell ref="E25:I25"/>
    <mergeCell ref="E26:N26"/>
    <mergeCell ref="E27:N27"/>
    <mergeCell ref="E28:N28"/>
    <mergeCell ref="B30:D30"/>
    <mergeCell ref="B31:D31"/>
    <mergeCell ref="E34:I34"/>
    <mergeCell ref="B37:D37"/>
    <mergeCell ref="B43:D43"/>
    <mergeCell ref="B45:N45"/>
    <mergeCell ref="B46:N46"/>
    <mergeCell ref="E48:N48"/>
    <mergeCell ref="E49:N49"/>
    <mergeCell ref="E52:N52"/>
    <mergeCell ref="C53:G53"/>
    <mergeCell ref="B55:N55"/>
    <mergeCell ref="B57:N57"/>
    <mergeCell ref="B58:N58"/>
    <mergeCell ref="B59:N59"/>
    <mergeCell ref="E60:N60"/>
    <mergeCell ref="E61:N61"/>
    <mergeCell ref="E62:N62"/>
    <mergeCell ref="E63:N63"/>
  </mergeCells>
  <dataValidations count="1">
    <dataValidation allowBlank="false" errorStyle="stop" operator="between" showDropDown="false" showErrorMessage="false" showInputMessage="false" sqref="C10" type="list">
      <formula1>Toroid_Database!$A$2:$A$17</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 &amp;Kffffff&amp;A</oddHeader>
    <oddFooter>&amp;C&amp;"Times New Roman,Normal"&amp;12 &amp;KffffffPágina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FD095"/>
    <pageSetUpPr fitToPage="false"/>
  </sheetPr>
  <dimension ref="A1:AA159"/>
  <sheetViews>
    <sheetView showFormulas="false" showGridLines="false" showRowColHeaders="true" showZeros="true" rightToLeft="false" tabSelected="true" showOutlineSymbols="true" defaultGridColor="true" view="normal" topLeftCell="A1" colorId="64" zoomScale="200" zoomScaleNormal="200" zoomScalePageLayoutView="100" workbookViewId="0">
      <selection pane="topLeft" activeCell="F25" activeCellId="0" sqref="F25"/>
    </sheetView>
  </sheetViews>
  <sheetFormatPr defaultColWidth="11.53515625" defaultRowHeight="12.75" customHeight="false" zeroHeight="false" outlineLevelRow="0" outlineLevelCol="0"/>
  <cols>
    <col collapsed="false" customWidth="true" hidden="false" outlineLevel="0" max="1" min="1" style="2" width="4.66"/>
    <col collapsed="false" customWidth="true" hidden="false" outlineLevel="0" max="2" min="2" style="2" width="30.68"/>
    <col collapsed="false" customWidth="true" hidden="false" outlineLevel="0" max="3" min="3" style="2" width="16.49"/>
    <col collapsed="false" customWidth="false" hidden="false" outlineLevel="0" max="6" min="4" style="2" width="11.53"/>
    <col collapsed="false" customWidth="true" hidden="false" outlineLevel="0" max="7" min="7" style="2" width="28.79"/>
    <col collapsed="false" customWidth="false" hidden="false" outlineLevel="0" max="18" min="8" style="2" width="11.53"/>
    <col collapsed="false" customWidth="true" hidden="false" outlineLevel="0" max="19" min="19" style="2" width="18.64"/>
    <col collapsed="false" customWidth="false" hidden="false" outlineLevel="0" max="16384" min="20" style="2" width="11.53"/>
  </cols>
  <sheetData>
    <row r="1" s="44" customFormat="true" ht="13.5" hidden="false" customHeight="true" outlineLevel="0" collapsed="false">
      <c r="A1" s="1"/>
      <c r="B1" s="43" t="s">
        <v>84</v>
      </c>
      <c r="C1" s="43"/>
      <c r="D1" s="43"/>
      <c r="E1" s="43"/>
      <c r="F1" s="43"/>
      <c r="G1" s="43"/>
      <c r="H1" s="43"/>
      <c r="I1" s="43"/>
      <c r="J1" s="1"/>
      <c r="K1" s="2"/>
      <c r="L1" s="2"/>
      <c r="M1" s="2"/>
      <c r="N1" s="2"/>
      <c r="O1" s="2"/>
      <c r="P1" s="2"/>
      <c r="Q1" s="2"/>
      <c r="R1" s="2"/>
      <c r="S1" s="2"/>
      <c r="T1" s="2"/>
      <c r="U1" s="2"/>
      <c r="V1" s="2"/>
      <c r="W1" s="2"/>
      <c r="X1" s="2"/>
      <c r="Y1" s="2"/>
      <c r="Z1" s="2"/>
      <c r="AA1" s="2"/>
    </row>
    <row r="2" s="44" customFormat="true" ht="13.5" hidden="false" customHeight="true" outlineLevel="0" collapsed="false">
      <c r="A2" s="1"/>
      <c r="B2" s="4" t="s">
        <v>1</v>
      </c>
      <c r="C2" s="4"/>
      <c r="D2" s="4"/>
      <c r="E2" s="4"/>
      <c r="F2" s="4"/>
      <c r="G2" s="4"/>
      <c r="H2" s="4"/>
      <c r="I2" s="4"/>
      <c r="J2" s="1"/>
      <c r="K2" s="2"/>
      <c r="L2" s="2"/>
      <c r="M2" s="2"/>
      <c r="N2" s="2"/>
      <c r="O2" s="2"/>
      <c r="P2" s="2"/>
      <c r="Q2" s="2"/>
      <c r="R2" s="2"/>
      <c r="S2" s="2"/>
      <c r="T2" s="2"/>
      <c r="U2" s="2"/>
      <c r="V2" s="2"/>
      <c r="W2" s="2"/>
      <c r="X2" s="2"/>
      <c r="Y2" s="2"/>
      <c r="Z2" s="2"/>
      <c r="AA2" s="2"/>
    </row>
    <row r="3" s="44" customFormat="true" ht="12.75" hidden="false" customHeight="false" outlineLevel="0" collapsed="false">
      <c r="A3" s="1"/>
      <c r="B3" s="1"/>
      <c r="C3" s="1"/>
      <c r="D3" s="1"/>
      <c r="E3" s="1"/>
      <c r="F3" s="1"/>
      <c r="G3" s="1"/>
      <c r="H3" s="1"/>
      <c r="I3" s="1"/>
      <c r="J3" s="1"/>
      <c r="K3" s="2"/>
      <c r="L3" s="2"/>
      <c r="M3" s="2"/>
      <c r="N3" s="2"/>
      <c r="O3" s="2"/>
      <c r="P3" s="2"/>
      <c r="Q3" s="2"/>
      <c r="R3" s="2"/>
      <c r="S3" s="2"/>
      <c r="T3" s="2"/>
      <c r="U3" s="2"/>
      <c r="V3" s="2"/>
      <c r="W3" s="2"/>
      <c r="X3" s="2"/>
      <c r="Y3" s="2"/>
      <c r="Z3" s="2"/>
      <c r="AA3" s="2"/>
    </row>
    <row r="4" s="44" customFormat="true" ht="13.8" hidden="false" customHeight="true" outlineLevel="0" collapsed="false">
      <c r="A4" s="1"/>
      <c r="B4" s="45" t="s">
        <v>85</v>
      </c>
      <c r="C4" s="45"/>
      <c r="D4" s="45"/>
      <c r="E4" s="45"/>
      <c r="F4" s="45"/>
      <c r="G4" s="45"/>
      <c r="H4" s="45"/>
      <c r="I4" s="45"/>
      <c r="J4" s="1"/>
      <c r="K4" s="2"/>
      <c r="L4" s="2"/>
      <c r="M4" s="2"/>
      <c r="N4" s="2"/>
      <c r="O4" s="2"/>
      <c r="P4" s="2"/>
      <c r="Q4" s="2"/>
      <c r="R4" s="2"/>
      <c r="S4" s="2"/>
      <c r="T4" s="2"/>
      <c r="U4" s="2"/>
      <c r="V4" s="2"/>
      <c r="W4" s="2"/>
      <c r="X4" s="2"/>
      <c r="Y4" s="2"/>
      <c r="Z4" s="2"/>
      <c r="AA4" s="2"/>
    </row>
    <row r="5" s="44" customFormat="true" ht="13.8" hidden="false" customHeight="true" outlineLevel="0" collapsed="false">
      <c r="A5" s="1"/>
      <c r="B5" s="46" t="s">
        <v>86</v>
      </c>
      <c r="C5" s="46" t="s">
        <v>87</v>
      </c>
      <c r="D5" s="46" t="s">
        <v>47</v>
      </c>
      <c r="E5" s="46" t="s">
        <v>88</v>
      </c>
      <c r="F5" s="46"/>
      <c r="G5" s="46"/>
      <c r="H5" s="46"/>
      <c r="I5" s="46"/>
      <c r="J5" s="1"/>
      <c r="K5" s="2"/>
      <c r="L5" s="2"/>
      <c r="M5" s="2"/>
      <c r="N5" s="2"/>
      <c r="O5" s="2"/>
      <c r="P5" s="2"/>
      <c r="Q5" s="2"/>
      <c r="R5" s="2"/>
      <c r="S5" s="2"/>
      <c r="T5" s="2"/>
      <c r="U5" s="2"/>
      <c r="V5" s="2"/>
      <c r="W5" s="2"/>
      <c r="X5" s="2"/>
      <c r="Y5" s="2"/>
      <c r="Z5" s="2"/>
      <c r="AA5" s="2"/>
    </row>
    <row r="6" s="44" customFormat="true" ht="13.8" hidden="false" customHeight="true" outlineLevel="0" collapsed="false">
      <c r="A6" s="1"/>
      <c r="B6" s="47" t="s">
        <v>89</v>
      </c>
      <c r="C6" s="48" t="n">
        <v>50</v>
      </c>
      <c r="D6" s="49" t="s">
        <v>9</v>
      </c>
      <c r="E6" s="50" t="s">
        <v>90</v>
      </c>
      <c r="F6" s="50"/>
      <c r="G6" s="50"/>
      <c r="H6" s="50"/>
      <c r="I6" s="51"/>
      <c r="J6" s="1"/>
      <c r="K6" s="2"/>
      <c r="L6" s="2"/>
      <c r="M6" s="2"/>
      <c r="N6" s="2"/>
      <c r="O6" s="2"/>
      <c r="P6" s="2"/>
      <c r="Q6" s="2"/>
      <c r="R6" s="2"/>
      <c r="S6" s="2"/>
      <c r="T6" s="2"/>
      <c r="U6" s="2"/>
      <c r="V6" s="2"/>
      <c r="W6" s="2"/>
      <c r="X6" s="2"/>
      <c r="Y6" s="2"/>
      <c r="Z6" s="2"/>
      <c r="AA6" s="2"/>
    </row>
    <row r="7" s="44" customFormat="true" ht="13.8" hidden="false" customHeight="true" outlineLevel="0" collapsed="false">
      <c r="A7" s="1"/>
      <c r="B7" s="47" t="s">
        <v>91</v>
      </c>
      <c r="C7" s="48" t="n">
        <v>1</v>
      </c>
      <c r="D7" s="49" t="s">
        <v>16</v>
      </c>
      <c r="E7" s="50" t="s">
        <v>92</v>
      </c>
      <c r="F7" s="50"/>
      <c r="G7" s="50"/>
      <c r="H7" s="50"/>
      <c r="I7" s="51"/>
      <c r="J7" s="1"/>
      <c r="K7" s="2"/>
      <c r="L7" s="2"/>
      <c r="M7" s="2"/>
      <c r="N7" s="2"/>
      <c r="O7" s="2"/>
      <c r="P7" s="2"/>
      <c r="Q7" s="2"/>
      <c r="R7" s="2"/>
      <c r="S7" s="2"/>
      <c r="T7" s="2"/>
      <c r="U7" s="2"/>
      <c r="V7" s="2"/>
      <c r="W7" s="2"/>
      <c r="X7" s="2"/>
      <c r="Y7" s="2"/>
      <c r="Z7" s="2"/>
      <c r="AA7" s="2"/>
    </row>
    <row r="8" s="44" customFormat="true" ht="13.8" hidden="false" customHeight="true" outlineLevel="0" collapsed="false">
      <c r="A8" s="1"/>
      <c r="B8" s="47" t="s">
        <v>93</v>
      </c>
      <c r="C8" s="48" t="n">
        <v>50</v>
      </c>
      <c r="D8" s="49" t="s">
        <v>16</v>
      </c>
      <c r="E8" s="50" t="s">
        <v>94</v>
      </c>
      <c r="F8" s="50"/>
      <c r="G8" s="50"/>
      <c r="H8" s="50"/>
      <c r="I8" s="51"/>
      <c r="J8" s="1"/>
      <c r="K8" s="2"/>
      <c r="L8" s="2"/>
      <c r="M8" s="2"/>
      <c r="N8" s="2"/>
      <c r="O8" s="2"/>
      <c r="P8" s="2"/>
      <c r="Q8" s="2"/>
      <c r="R8" s="2"/>
      <c r="S8" s="2"/>
      <c r="T8" s="2"/>
      <c r="U8" s="2"/>
      <c r="V8" s="2"/>
      <c r="W8" s="2"/>
      <c r="X8" s="2"/>
      <c r="Y8" s="2"/>
      <c r="Z8" s="2"/>
      <c r="AA8" s="2"/>
    </row>
    <row r="9" s="44" customFormat="true" ht="13.8" hidden="false" customHeight="true" outlineLevel="0" collapsed="false">
      <c r="A9" s="1"/>
      <c r="B9" s="47" t="s">
        <v>95</v>
      </c>
      <c r="C9" s="52" t="n">
        <v>1</v>
      </c>
      <c r="D9" s="53" t="s">
        <v>96</v>
      </c>
      <c r="E9" s="50" t="s">
        <v>97</v>
      </c>
      <c r="F9" s="50"/>
      <c r="G9" s="50"/>
      <c r="H9" s="50"/>
      <c r="I9" s="51"/>
      <c r="J9" s="1"/>
      <c r="K9" s="2"/>
      <c r="L9" s="2"/>
      <c r="M9" s="2"/>
      <c r="N9" s="2"/>
      <c r="O9" s="2"/>
      <c r="P9" s="2"/>
      <c r="Q9" s="2"/>
      <c r="R9" s="2"/>
      <c r="S9" s="2"/>
      <c r="T9" s="2"/>
      <c r="U9" s="2"/>
      <c r="V9" s="2"/>
      <c r="W9" s="2"/>
      <c r="X9" s="2"/>
      <c r="Y9" s="2"/>
      <c r="Z9" s="2"/>
      <c r="AA9" s="2"/>
    </row>
    <row r="10" s="44" customFormat="true" ht="13.8" hidden="false" customHeight="true" outlineLevel="0" collapsed="false">
      <c r="A10" s="1"/>
      <c r="B10" s="47" t="s">
        <v>98</v>
      </c>
      <c r="C10" s="48" t="n">
        <v>7</v>
      </c>
      <c r="D10" s="54" t="n">
        <f aca="false">IFERROR(MAX(CEILING(5/MIN(D58:D68),1),CEILING((5*C116*(C105/25.4)+SQRT(C116*(25*C116*(C105/25.4)^2+C112^2*(9*C112-10*(C105/25.4)+10*(C7/25.4)))))/(C112^2*MAX(D58:D68)),1)),5)</f>
        <v>7</v>
      </c>
      <c r="E10" s="55" t="s">
        <v>99</v>
      </c>
      <c r="F10" s="55"/>
      <c r="G10" s="55"/>
      <c r="H10" s="55"/>
      <c r="I10" s="55"/>
      <c r="J10" s="1"/>
      <c r="K10" s="2"/>
      <c r="L10" s="2"/>
      <c r="M10" s="2"/>
      <c r="N10" s="2"/>
      <c r="O10" s="2"/>
      <c r="P10" s="2"/>
      <c r="Q10" s="2"/>
      <c r="R10" s="2"/>
      <c r="S10" s="2"/>
      <c r="T10" s="2"/>
      <c r="U10" s="2"/>
      <c r="V10" s="2"/>
      <c r="W10" s="2"/>
      <c r="X10" s="2"/>
      <c r="Y10" s="2"/>
      <c r="Z10" s="2"/>
      <c r="AA10" s="2"/>
    </row>
    <row r="11" s="44" customFormat="true" ht="13.4" hidden="false" customHeight="false" outlineLevel="0" collapsed="false">
      <c r="A11" s="1"/>
      <c r="B11" s="47" t="s">
        <v>100</v>
      </c>
      <c r="C11" s="48" t="n">
        <v>1</v>
      </c>
      <c r="D11" s="54"/>
      <c r="E11" s="56"/>
      <c r="F11" s="56"/>
      <c r="G11" s="56"/>
      <c r="H11" s="56"/>
      <c r="I11" s="56"/>
      <c r="J11" s="1"/>
      <c r="K11" s="2"/>
      <c r="L11" s="2"/>
      <c r="M11" s="2"/>
      <c r="N11" s="2"/>
      <c r="O11" s="2"/>
      <c r="P11" s="2"/>
      <c r="Q11" s="2"/>
      <c r="R11" s="2"/>
      <c r="S11" s="2"/>
      <c r="T11" s="2"/>
      <c r="U11" s="2"/>
      <c r="V11" s="2"/>
      <c r="W11" s="2"/>
      <c r="X11" s="2"/>
      <c r="Y11" s="2"/>
      <c r="Z11" s="2"/>
      <c r="AA11" s="2"/>
    </row>
    <row r="12" s="44" customFormat="true" ht="12.75" hidden="false" customHeight="false" outlineLevel="0" collapsed="false">
      <c r="A12" s="1"/>
      <c r="B12" s="1"/>
      <c r="C12" s="1"/>
      <c r="D12" s="1"/>
      <c r="E12" s="1"/>
      <c r="F12" s="1"/>
      <c r="G12" s="1"/>
      <c r="H12" s="1"/>
      <c r="I12" s="1"/>
      <c r="J12" s="1"/>
      <c r="K12" s="2"/>
      <c r="L12" s="2"/>
      <c r="M12" s="2"/>
      <c r="N12" s="2"/>
      <c r="O12" s="2"/>
      <c r="P12" s="2"/>
      <c r="Q12" s="2"/>
      <c r="R12" s="2"/>
      <c r="S12" s="2"/>
      <c r="T12" s="2"/>
      <c r="U12" s="2"/>
      <c r="V12" s="2"/>
      <c r="W12" s="2"/>
      <c r="X12" s="2"/>
      <c r="Y12" s="2"/>
      <c r="Z12" s="2"/>
      <c r="AA12" s="2"/>
    </row>
    <row r="13" s="44" customFormat="true" ht="13.5" hidden="false" customHeight="true" outlineLevel="0" collapsed="false">
      <c r="A13" s="1"/>
      <c r="B13" s="45" t="s">
        <v>101</v>
      </c>
      <c r="C13" s="45"/>
      <c r="D13" s="45"/>
      <c r="E13" s="45"/>
      <c r="F13" s="57"/>
      <c r="G13" s="57"/>
      <c r="H13" s="57"/>
      <c r="I13" s="57"/>
      <c r="J13" s="1"/>
      <c r="K13" s="2"/>
      <c r="L13" s="2"/>
      <c r="M13" s="2"/>
      <c r="N13" s="2"/>
      <c r="O13" s="2"/>
      <c r="P13" s="2"/>
      <c r="Q13" s="2"/>
      <c r="R13" s="2"/>
      <c r="S13" s="2"/>
      <c r="T13" s="2"/>
      <c r="U13" s="2"/>
      <c r="V13" s="2"/>
      <c r="W13" s="2"/>
      <c r="X13" s="2"/>
      <c r="Y13" s="2"/>
      <c r="Z13" s="2"/>
      <c r="AA13" s="2"/>
    </row>
    <row r="14" s="44" customFormat="true" ht="37.3" hidden="false" customHeight="false" outlineLevel="0" collapsed="false">
      <c r="A14" s="1"/>
      <c r="B14" s="46" t="s">
        <v>102</v>
      </c>
      <c r="C14" s="46" t="s">
        <v>103</v>
      </c>
      <c r="D14" s="46" t="s">
        <v>104</v>
      </c>
      <c r="E14" s="46" t="s">
        <v>105</v>
      </c>
      <c r="F14" s="46" t="s">
        <v>106</v>
      </c>
      <c r="G14" s="58"/>
      <c r="H14" s="57"/>
      <c r="I14" s="58"/>
      <c r="J14" s="1"/>
      <c r="K14" s="2"/>
      <c r="L14" s="2"/>
      <c r="M14" s="2"/>
      <c r="N14" s="2"/>
      <c r="O14" s="2"/>
      <c r="P14" s="2"/>
      <c r="Q14" s="2"/>
      <c r="R14" s="2"/>
      <c r="S14" s="2"/>
      <c r="T14" s="2"/>
      <c r="U14" s="2"/>
      <c r="V14" s="2"/>
      <c r="W14" s="2"/>
      <c r="X14" s="2"/>
      <c r="Y14" s="2"/>
      <c r="Z14" s="2"/>
      <c r="AA14" s="2"/>
    </row>
    <row r="15" s="44" customFormat="true" ht="13.8" hidden="false" customHeight="false" outlineLevel="0" collapsed="false">
      <c r="A15" s="1"/>
      <c r="B15" s="59" t="n">
        <v>1</v>
      </c>
      <c r="C15" s="48" t="n">
        <v>7.15</v>
      </c>
      <c r="D15" s="60" t="n">
        <v>75</v>
      </c>
      <c r="E15" s="61" t="n">
        <v>-12</v>
      </c>
      <c r="F15" s="59" t="str">
        <f aca="false">IF(ROW()-14&lt;=$C$9,"YES","NO")</f>
        <v>YES</v>
      </c>
      <c r="G15" s="62"/>
      <c r="H15" s="49"/>
      <c r="I15" s="63"/>
      <c r="J15" s="1"/>
      <c r="K15" s="2"/>
      <c r="L15" s="2"/>
      <c r="M15" s="2"/>
      <c r="N15" s="2"/>
      <c r="O15" s="2"/>
      <c r="P15" s="2"/>
      <c r="Q15" s="2"/>
      <c r="R15" s="2"/>
      <c r="S15" s="2"/>
      <c r="T15" s="2"/>
      <c r="U15" s="2"/>
      <c r="V15" s="2"/>
      <c r="W15" s="2"/>
      <c r="X15" s="2"/>
      <c r="Y15" s="2"/>
      <c r="Z15" s="2"/>
      <c r="AA15" s="2"/>
    </row>
    <row r="16" s="44" customFormat="true" ht="13.4" hidden="false" customHeight="false" outlineLevel="0" collapsed="false">
      <c r="A16" s="1"/>
      <c r="B16" s="59" t="n">
        <v>2</v>
      </c>
      <c r="C16" s="48" t="n">
        <v>14.17</v>
      </c>
      <c r="D16" s="60" t="n">
        <v>67</v>
      </c>
      <c r="E16" s="61" t="n">
        <v>23</v>
      </c>
      <c r="F16" s="59" t="str">
        <f aca="false">IF(ROW()-14&lt;=$C$9,"YES","NO")</f>
        <v>NO</v>
      </c>
      <c r="G16" s="62"/>
      <c r="H16" s="49"/>
      <c r="I16" s="63"/>
      <c r="J16" s="1"/>
      <c r="K16" s="2"/>
      <c r="L16" s="2"/>
      <c r="M16" s="2"/>
      <c r="N16" s="2"/>
      <c r="O16" s="2"/>
      <c r="P16" s="2"/>
      <c r="Q16" s="2"/>
      <c r="R16" s="2"/>
      <c r="S16" s="2"/>
      <c r="T16" s="2"/>
      <c r="U16" s="2"/>
      <c r="V16" s="2"/>
      <c r="W16" s="2"/>
      <c r="X16" s="2"/>
      <c r="Y16" s="2"/>
      <c r="Z16" s="2"/>
      <c r="AA16" s="2"/>
    </row>
    <row r="17" s="44" customFormat="true" ht="13.8" hidden="false" customHeight="false" outlineLevel="0" collapsed="false">
      <c r="A17" s="1"/>
      <c r="B17" s="59" t="n">
        <v>3</v>
      </c>
      <c r="C17" s="48" t="n">
        <v>28</v>
      </c>
      <c r="D17" s="60" t="n">
        <v>45</v>
      </c>
      <c r="E17" s="61" t="n">
        <v>10</v>
      </c>
      <c r="F17" s="59" t="str">
        <f aca="false">IF(ROW()-14&lt;=$C$9,"YES","NO")</f>
        <v>NO</v>
      </c>
      <c r="G17" s="62"/>
      <c r="H17" s="49"/>
      <c r="I17" s="63"/>
      <c r="J17" s="1"/>
      <c r="K17" s="2"/>
      <c r="L17" s="2"/>
      <c r="M17" s="2"/>
      <c r="N17" s="2"/>
      <c r="O17" s="2"/>
      <c r="P17" s="2"/>
      <c r="Q17" s="2"/>
      <c r="R17" s="2"/>
      <c r="S17" s="2"/>
      <c r="T17" s="2"/>
      <c r="U17" s="2"/>
      <c r="V17" s="2"/>
      <c r="W17" s="2"/>
      <c r="X17" s="2"/>
      <c r="Y17" s="2"/>
      <c r="Z17" s="2"/>
      <c r="AA17" s="2"/>
    </row>
    <row r="18" s="44" customFormat="true" ht="13.8" hidden="false" customHeight="false" outlineLevel="0" collapsed="false">
      <c r="A18" s="1"/>
      <c r="B18" s="59" t="n">
        <v>4</v>
      </c>
      <c r="C18" s="48"/>
      <c r="D18" s="60"/>
      <c r="E18" s="61"/>
      <c r="F18" s="59" t="str">
        <f aca="false">IF(ROW()-14&lt;=$C$9,"YES","NO")</f>
        <v>NO</v>
      </c>
      <c r="G18" s="62"/>
      <c r="H18" s="49"/>
      <c r="I18" s="63"/>
      <c r="J18" s="1"/>
      <c r="K18" s="2"/>
      <c r="L18" s="2"/>
      <c r="M18" s="2"/>
      <c r="N18" s="2"/>
      <c r="O18" s="2"/>
      <c r="P18" s="2"/>
      <c r="Q18" s="2"/>
      <c r="R18" s="2"/>
      <c r="S18" s="2"/>
      <c r="T18" s="2"/>
      <c r="U18" s="2"/>
      <c r="V18" s="2"/>
      <c r="W18" s="2"/>
      <c r="X18" s="2"/>
      <c r="Y18" s="2"/>
      <c r="Z18" s="2"/>
      <c r="AA18" s="2"/>
    </row>
    <row r="19" s="44" customFormat="true" ht="13.8" hidden="false" customHeight="false" outlineLevel="0" collapsed="false">
      <c r="A19" s="1"/>
      <c r="B19" s="59" t="n">
        <v>5</v>
      </c>
      <c r="C19" s="48"/>
      <c r="D19" s="60"/>
      <c r="E19" s="61"/>
      <c r="F19" s="59" t="str">
        <f aca="false">IF(ROW()-14&lt;=$C$9,"YES","NO")</f>
        <v>NO</v>
      </c>
      <c r="G19" s="62"/>
      <c r="H19" s="49"/>
      <c r="I19" s="63"/>
      <c r="J19" s="1"/>
      <c r="K19" s="2"/>
      <c r="L19" s="2"/>
      <c r="M19" s="2"/>
      <c r="N19" s="2"/>
      <c r="O19" s="2"/>
      <c r="P19" s="2"/>
      <c r="Q19" s="2"/>
      <c r="R19" s="2"/>
      <c r="S19" s="2"/>
      <c r="T19" s="2"/>
      <c r="U19" s="2"/>
      <c r="V19" s="2"/>
      <c r="W19" s="2"/>
      <c r="X19" s="2"/>
      <c r="Y19" s="2"/>
      <c r="Z19" s="2"/>
      <c r="AA19" s="2"/>
    </row>
    <row r="20" s="44" customFormat="true" ht="13.8" hidden="false" customHeight="false" outlineLevel="0" collapsed="false">
      <c r="A20" s="1"/>
      <c r="B20" s="59" t="n">
        <v>6</v>
      </c>
      <c r="C20" s="48"/>
      <c r="D20" s="60"/>
      <c r="E20" s="61"/>
      <c r="F20" s="59" t="str">
        <f aca="false">IF(ROW()-14&lt;=$C$9,"YES","NO")</f>
        <v>NO</v>
      </c>
      <c r="G20" s="62"/>
      <c r="H20" s="49"/>
      <c r="I20" s="63"/>
      <c r="J20" s="1"/>
      <c r="K20" s="2"/>
      <c r="L20" s="2"/>
      <c r="M20" s="2"/>
      <c r="N20" s="2"/>
      <c r="O20" s="2"/>
      <c r="P20" s="2"/>
      <c r="Q20" s="2"/>
      <c r="R20" s="2"/>
      <c r="S20" s="2"/>
      <c r="T20" s="2"/>
      <c r="U20" s="2"/>
      <c r="V20" s="2"/>
      <c r="W20" s="2"/>
      <c r="X20" s="2"/>
      <c r="Y20" s="2"/>
      <c r="Z20" s="2"/>
      <c r="AA20" s="2"/>
    </row>
    <row r="21" s="44" customFormat="true" ht="13.8" hidden="false" customHeight="false" outlineLevel="0" collapsed="false">
      <c r="A21" s="1"/>
      <c r="B21" s="59" t="n">
        <v>7</v>
      </c>
      <c r="C21" s="48"/>
      <c r="D21" s="60"/>
      <c r="E21" s="61"/>
      <c r="F21" s="59" t="str">
        <f aca="false">IF(ROW()-14&lt;=$C$9,"YES","NO")</f>
        <v>NO</v>
      </c>
      <c r="G21" s="62"/>
      <c r="H21" s="49"/>
      <c r="I21" s="63"/>
      <c r="J21" s="1"/>
      <c r="K21" s="2"/>
      <c r="L21" s="2"/>
      <c r="M21" s="2"/>
      <c r="N21" s="2"/>
      <c r="O21" s="2"/>
      <c r="P21" s="2"/>
      <c r="Q21" s="2"/>
      <c r="R21" s="2"/>
      <c r="S21" s="2"/>
      <c r="T21" s="2"/>
      <c r="U21" s="2"/>
      <c r="V21" s="2"/>
      <c r="W21" s="2"/>
      <c r="X21" s="2"/>
      <c r="Y21" s="2"/>
      <c r="Z21" s="2"/>
      <c r="AA21" s="2"/>
    </row>
    <row r="22" s="44" customFormat="true" ht="13.8" hidden="false" customHeight="false" outlineLevel="0" collapsed="false">
      <c r="A22" s="1"/>
      <c r="B22" s="59" t="n">
        <v>8</v>
      </c>
      <c r="C22" s="48"/>
      <c r="D22" s="60"/>
      <c r="E22" s="61"/>
      <c r="F22" s="59" t="str">
        <f aca="false">IF(ROW()-14&lt;=$C$9,"YES","NO")</f>
        <v>NO</v>
      </c>
      <c r="G22" s="62"/>
      <c r="H22" s="49"/>
      <c r="I22" s="63"/>
      <c r="J22" s="1"/>
      <c r="K22" s="2"/>
      <c r="L22" s="2"/>
      <c r="M22" s="2"/>
      <c r="N22" s="2"/>
      <c r="O22" s="2"/>
      <c r="P22" s="2"/>
      <c r="Q22" s="2"/>
      <c r="R22" s="2"/>
      <c r="S22" s="2"/>
      <c r="T22" s="2"/>
      <c r="U22" s="2"/>
      <c r="V22" s="2"/>
      <c r="W22" s="2"/>
      <c r="X22" s="2"/>
      <c r="Y22" s="2"/>
      <c r="Z22" s="2"/>
      <c r="AA22" s="2"/>
    </row>
    <row r="23" s="44" customFormat="true" ht="13.8" hidden="false" customHeight="false" outlineLevel="0" collapsed="false">
      <c r="A23" s="1"/>
      <c r="B23" s="59" t="n">
        <v>9</v>
      </c>
      <c r="C23" s="48"/>
      <c r="D23" s="60"/>
      <c r="E23" s="61"/>
      <c r="F23" s="59" t="str">
        <f aca="false">IF(ROW()-14&lt;=$C$9,"YES","NO")</f>
        <v>NO</v>
      </c>
      <c r="G23" s="62"/>
      <c r="H23" s="49"/>
      <c r="I23" s="63"/>
      <c r="J23" s="1"/>
      <c r="K23" s="2"/>
      <c r="L23" s="2"/>
      <c r="M23" s="2"/>
      <c r="N23" s="2"/>
      <c r="O23" s="2"/>
      <c r="P23" s="2"/>
      <c r="Q23" s="2"/>
      <c r="R23" s="2"/>
      <c r="S23" s="2"/>
      <c r="T23" s="2"/>
      <c r="U23" s="2"/>
      <c r="V23" s="2"/>
      <c r="W23" s="2"/>
      <c r="X23" s="2"/>
      <c r="Y23" s="2"/>
      <c r="Z23" s="2"/>
      <c r="AA23" s="2"/>
    </row>
    <row r="24" s="44" customFormat="true" ht="13.8" hidden="false" customHeight="false" outlineLevel="0" collapsed="false">
      <c r="A24" s="1"/>
      <c r="B24" s="59" t="n">
        <v>10</v>
      </c>
      <c r="C24" s="48"/>
      <c r="D24" s="60"/>
      <c r="E24" s="61"/>
      <c r="F24" s="59" t="str">
        <f aca="false">IF(ROW()-14&lt;=$C$9,"YES","NO")</f>
        <v>NO</v>
      </c>
      <c r="G24" s="62"/>
      <c r="H24" s="49"/>
      <c r="I24" s="63"/>
      <c r="J24" s="1"/>
      <c r="K24" s="2"/>
      <c r="L24" s="2"/>
      <c r="M24" s="2"/>
      <c r="N24" s="2"/>
      <c r="O24" s="2"/>
      <c r="P24" s="2"/>
      <c r="Q24" s="2"/>
      <c r="R24" s="2"/>
      <c r="S24" s="2"/>
      <c r="T24" s="2"/>
      <c r="U24" s="2"/>
      <c r="V24" s="2"/>
      <c r="W24" s="2"/>
      <c r="X24" s="2"/>
      <c r="Y24" s="2"/>
      <c r="Z24" s="2"/>
      <c r="AA24" s="2"/>
    </row>
    <row r="25" s="44" customFormat="true" ht="13.8" hidden="false" customHeight="false" outlineLevel="0" collapsed="false">
      <c r="A25" s="1"/>
      <c r="B25" s="59" t="n">
        <v>11</v>
      </c>
      <c r="C25" s="48"/>
      <c r="D25" s="60"/>
      <c r="E25" s="61"/>
      <c r="F25" s="59" t="str">
        <f aca="false">IF(ROW()-14&lt;=$C$9,"YES","NO")</f>
        <v>NO</v>
      </c>
      <c r="G25" s="62"/>
      <c r="H25" s="49"/>
      <c r="I25" s="63"/>
      <c r="J25" s="1"/>
      <c r="K25" s="2"/>
      <c r="L25" s="2"/>
      <c r="M25" s="2"/>
      <c r="N25" s="2"/>
      <c r="O25" s="2"/>
      <c r="P25" s="2"/>
      <c r="Q25" s="2"/>
      <c r="R25" s="2"/>
      <c r="S25" s="2"/>
      <c r="T25" s="2"/>
      <c r="U25" s="2"/>
      <c r="V25" s="2"/>
      <c r="W25" s="2"/>
      <c r="X25" s="2"/>
      <c r="Y25" s="2"/>
      <c r="Z25" s="2"/>
      <c r="AA25" s="2"/>
    </row>
    <row r="26" s="44" customFormat="true" ht="12.75" hidden="false" customHeight="false" outlineLevel="0" collapsed="false">
      <c r="A26" s="1"/>
      <c r="B26" s="1"/>
      <c r="C26" s="1"/>
      <c r="D26" s="1"/>
      <c r="E26" s="1"/>
      <c r="F26" s="1"/>
      <c r="G26" s="1"/>
      <c r="H26" s="1"/>
      <c r="I26" s="1"/>
      <c r="J26" s="1"/>
      <c r="K26" s="2"/>
      <c r="L26" s="2"/>
      <c r="M26" s="2"/>
      <c r="N26" s="2"/>
      <c r="O26" s="2"/>
      <c r="P26" s="2"/>
      <c r="Q26" s="2"/>
      <c r="R26" s="2"/>
      <c r="S26" s="2"/>
      <c r="T26" s="2"/>
      <c r="U26" s="2"/>
      <c r="V26" s="2"/>
      <c r="W26" s="2"/>
      <c r="X26" s="2"/>
      <c r="Y26" s="2"/>
      <c r="Z26" s="2"/>
      <c r="AA26" s="2"/>
    </row>
    <row r="27" s="44" customFormat="true" ht="13.5" hidden="false" customHeight="true" outlineLevel="0" collapsed="false">
      <c r="A27" s="1"/>
      <c r="B27" s="43" t="s">
        <v>107</v>
      </c>
      <c r="C27" s="43"/>
      <c r="D27" s="43"/>
      <c r="E27" s="57"/>
      <c r="F27" s="57"/>
      <c r="G27" s="57"/>
      <c r="H27" s="57"/>
      <c r="I27" s="57"/>
      <c r="J27" s="57"/>
      <c r="K27" s="2"/>
      <c r="L27" s="2"/>
      <c r="M27" s="2"/>
      <c r="N27" s="2"/>
      <c r="O27" s="2"/>
      <c r="P27" s="2"/>
      <c r="Q27" s="2"/>
      <c r="R27" s="2"/>
      <c r="S27" s="2"/>
      <c r="T27" s="2"/>
      <c r="U27" s="2"/>
      <c r="V27" s="2"/>
      <c r="W27" s="2"/>
      <c r="X27" s="2"/>
      <c r="Y27" s="2"/>
      <c r="Z27" s="2"/>
      <c r="AA27" s="2"/>
    </row>
    <row r="28" s="44" customFormat="true" ht="26.1" hidden="false" customHeight="true" outlineLevel="0" collapsed="false">
      <c r="A28" s="1"/>
      <c r="B28" s="64" t="s">
        <v>108</v>
      </c>
      <c r="C28" s="64"/>
      <c r="D28" s="64"/>
      <c r="E28" s="57"/>
      <c r="F28" s="57"/>
      <c r="G28" s="57"/>
      <c r="H28" s="57"/>
      <c r="I28" s="57"/>
      <c r="J28" s="57"/>
      <c r="K28" s="2"/>
      <c r="L28" s="2"/>
      <c r="M28" s="2"/>
      <c r="N28" s="2"/>
      <c r="O28" s="2"/>
      <c r="P28" s="2"/>
      <c r="Q28" s="2"/>
      <c r="R28" s="2"/>
      <c r="S28" s="2"/>
      <c r="T28" s="2"/>
      <c r="U28" s="2"/>
      <c r="V28" s="2"/>
      <c r="W28" s="2"/>
      <c r="X28" s="2"/>
      <c r="Y28" s="2"/>
      <c r="Z28" s="2"/>
      <c r="AA28" s="2"/>
    </row>
    <row r="29" s="44" customFormat="true" ht="12.75" hidden="false" customHeight="false" outlineLevel="0" collapsed="false">
      <c r="A29" s="1"/>
      <c r="B29" s="1"/>
      <c r="C29" s="1"/>
      <c r="D29" s="1"/>
      <c r="E29" s="1"/>
      <c r="F29" s="1"/>
      <c r="G29" s="1"/>
      <c r="H29" s="1"/>
      <c r="I29" s="1"/>
      <c r="J29" s="1"/>
      <c r="K29" s="2"/>
      <c r="L29" s="2"/>
      <c r="M29" s="2"/>
      <c r="N29" s="2"/>
      <c r="O29" s="2"/>
      <c r="P29" s="2"/>
      <c r="Q29" s="2"/>
      <c r="R29" s="2"/>
      <c r="S29" s="2"/>
      <c r="T29" s="2"/>
      <c r="U29" s="2"/>
      <c r="V29" s="2"/>
      <c r="W29" s="2"/>
      <c r="X29" s="2"/>
      <c r="Y29" s="2"/>
      <c r="Z29" s="2"/>
      <c r="AA29" s="2"/>
    </row>
    <row r="30" s="44" customFormat="true" ht="13.8" hidden="false" customHeight="true" outlineLevel="0" collapsed="false">
      <c r="A30" s="1"/>
      <c r="B30" s="45" t="s">
        <v>109</v>
      </c>
      <c r="C30" s="45"/>
      <c r="D30" s="45"/>
      <c r="E30" s="1"/>
      <c r="F30" s="1"/>
      <c r="G30" s="1"/>
      <c r="H30" s="1"/>
      <c r="I30" s="1"/>
      <c r="J30" s="1"/>
      <c r="K30" s="2"/>
      <c r="L30" s="2"/>
      <c r="M30" s="2"/>
      <c r="N30" s="2"/>
      <c r="O30" s="2"/>
      <c r="P30" s="2"/>
      <c r="Q30" s="2"/>
      <c r="R30" s="2"/>
      <c r="S30" s="2"/>
      <c r="T30" s="2"/>
      <c r="U30" s="2"/>
      <c r="V30" s="2"/>
      <c r="W30" s="2"/>
      <c r="X30" s="2"/>
      <c r="Y30" s="2"/>
      <c r="Z30" s="2"/>
      <c r="AA30" s="2"/>
    </row>
    <row r="31" s="44" customFormat="true" ht="13.4" hidden="false" customHeight="false" outlineLevel="0" collapsed="false">
      <c r="A31" s="1"/>
      <c r="B31" s="47" t="s">
        <v>110</v>
      </c>
      <c r="C31" s="53" t="n">
        <f aca="false">C6</f>
        <v>50</v>
      </c>
      <c r="D31" s="65" t="s">
        <v>9</v>
      </c>
      <c r="E31" s="1"/>
      <c r="F31" s="1"/>
      <c r="G31" s="1"/>
      <c r="H31" s="1"/>
      <c r="I31" s="1"/>
      <c r="J31" s="1"/>
      <c r="K31" s="2"/>
      <c r="L31" s="2"/>
      <c r="M31" s="2"/>
      <c r="N31" s="2"/>
      <c r="O31" s="2"/>
      <c r="P31" s="2"/>
      <c r="Q31" s="2"/>
      <c r="R31" s="2"/>
      <c r="S31" s="2"/>
      <c r="T31" s="2"/>
      <c r="U31" s="2"/>
      <c r="V31" s="2"/>
      <c r="W31" s="2"/>
      <c r="X31" s="2"/>
      <c r="Y31" s="2"/>
      <c r="Z31" s="2"/>
      <c r="AA31" s="2"/>
    </row>
    <row r="32" s="44" customFormat="true" ht="13.4" hidden="false" customHeight="false" outlineLevel="0" collapsed="false">
      <c r="A32" s="1"/>
      <c r="B32" s="47" t="s">
        <v>111</v>
      </c>
      <c r="C32" s="53" t="n">
        <f aca="false">C7</f>
        <v>1</v>
      </c>
      <c r="D32" s="65" t="s">
        <v>16</v>
      </c>
      <c r="E32" s="1"/>
      <c r="F32" s="1"/>
      <c r="G32" s="1"/>
      <c r="H32" s="1"/>
      <c r="I32" s="1"/>
      <c r="J32" s="1"/>
      <c r="K32" s="2"/>
      <c r="L32" s="2"/>
      <c r="M32" s="2"/>
      <c r="N32" s="2"/>
      <c r="O32" s="2"/>
      <c r="P32" s="2"/>
      <c r="Q32" s="2"/>
      <c r="R32" s="2"/>
      <c r="S32" s="2"/>
      <c r="T32" s="2"/>
      <c r="U32" s="2"/>
      <c r="V32" s="2"/>
      <c r="W32" s="2"/>
      <c r="X32" s="2"/>
      <c r="Y32" s="2"/>
      <c r="Z32" s="2"/>
      <c r="AA32" s="2"/>
    </row>
    <row r="33" s="44" customFormat="true" ht="13.4" hidden="false" customHeight="false" outlineLevel="0" collapsed="false">
      <c r="A33" s="1"/>
      <c r="B33" s="47" t="s">
        <v>112</v>
      </c>
      <c r="C33" s="53" t="n">
        <f aca="false">C10</f>
        <v>7</v>
      </c>
      <c r="D33" s="65" t="s">
        <v>113</v>
      </c>
      <c r="E33" s="1"/>
      <c r="F33" s="1"/>
      <c r="G33" s="1"/>
      <c r="H33" s="1"/>
      <c r="I33" s="1"/>
      <c r="J33" s="1"/>
      <c r="K33" s="2"/>
      <c r="L33" s="2"/>
      <c r="M33" s="2"/>
      <c r="N33" s="2"/>
      <c r="O33" s="2"/>
      <c r="P33" s="2"/>
      <c r="Q33" s="2"/>
      <c r="R33" s="2"/>
      <c r="S33" s="2"/>
      <c r="T33" s="2"/>
      <c r="U33" s="2"/>
      <c r="V33" s="2"/>
      <c r="W33" s="2"/>
      <c r="X33" s="2"/>
      <c r="Y33" s="2"/>
      <c r="Z33" s="2"/>
      <c r="AA33" s="2"/>
    </row>
    <row r="34" s="44" customFormat="true" ht="13.4" hidden="false" customHeight="false" outlineLevel="0" collapsed="false">
      <c r="A34" s="1"/>
      <c r="B34" s="47" t="s">
        <v>114</v>
      </c>
      <c r="C34" s="53" t="n">
        <f aca="false">C9</f>
        <v>1</v>
      </c>
      <c r="D34" s="65" t="s">
        <v>96</v>
      </c>
      <c r="E34" s="1"/>
      <c r="F34" s="1"/>
      <c r="G34" s="1"/>
      <c r="H34" s="1"/>
      <c r="I34" s="1"/>
      <c r="J34" s="1"/>
      <c r="K34" s="2"/>
      <c r="L34" s="2"/>
      <c r="M34" s="2"/>
      <c r="N34" s="2"/>
      <c r="O34" s="2"/>
      <c r="P34" s="2"/>
      <c r="Q34" s="2"/>
      <c r="R34" s="2"/>
      <c r="S34" s="2"/>
      <c r="T34" s="2"/>
      <c r="U34" s="2"/>
      <c r="V34" s="2"/>
      <c r="W34" s="2"/>
      <c r="X34" s="2"/>
      <c r="Y34" s="2"/>
      <c r="Z34" s="2"/>
      <c r="AA34" s="2"/>
    </row>
    <row r="35" s="44" customFormat="true" ht="13.4" hidden="false" customHeight="false" outlineLevel="0" collapsed="false">
      <c r="A35" s="1"/>
      <c r="B35" s="47" t="s">
        <v>115</v>
      </c>
      <c r="C35" s="66" t="n">
        <f aca="false">I70</f>
        <v>1762.43347866387</v>
      </c>
      <c r="D35" s="65" t="s">
        <v>16</v>
      </c>
      <c r="E35" s="1"/>
      <c r="F35" s="1"/>
      <c r="G35" s="1"/>
      <c r="H35" s="1"/>
      <c r="I35" s="1"/>
      <c r="J35" s="1"/>
      <c r="K35" s="2"/>
      <c r="L35" s="2"/>
      <c r="M35" s="2"/>
      <c r="N35" s="2"/>
      <c r="O35" s="2"/>
      <c r="P35" s="2"/>
      <c r="Q35" s="2"/>
      <c r="R35" s="2"/>
      <c r="S35" s="2"/>
      <c r="T35" s="2"/>
      <c r="U35" s="2"/>
      <c r="V35" s="2"/>
      <c r="W35" s="2"/>
      <c r="X35" s="2"/>
      <c r="Y35" s="2"/>
      <c r="Z35" s="2"/>
      <c r="AA35" s="2"/>
    </row>
    <row r="36" s="44" customFormat="true" ht="13.4" hidden="false" customHeight="false" outlineLevel="0" collapsed="false">
      <c r="A36" s="1"/>
      <c r="B36" s="47" t="s">
        <v>116</v>
      </c>
      <c r="C36" s="67" t="n">
        <f aca="false">IFERROR(C114,"—")</f>
        <v>5.19056793432736</v>
      </c>
      <c r="D36" s="65" t="s">
        <v>52</v>
      </c>
      <c r="E36" s="1"/>
      <c r="F36" s="1"/>
      <c r="G36" s="1"/>
      <c r="H36" s="1"/>
      <c r="I36" s="1"/>
      <c r="J36" s="1"/>
      <c r="K36" s="2"/>
      <c r="L36" s="2"/>
      <c r="M36" s="2"/>
      <c r="N36" s="2"/>
      <c r="O36" s="2"/>
      <c r="P36" s="2"/>
      <c r="Q36" s="2"/>
      <c r="R36" s="2"/>
      <c r="S36" s="2"/>
      <c r="T36" s="2"/>
      <c r="U36" s="2"/>
      <c r="V36" s="2"/>
      <c r="W36" s="2"/>
      <c r="X36" s="2"/>
      <c r="Y36" s="2"/>
      <c r="Z36" s="2"/>
      <c r="AA36" s="2"/>
    </row>
    <row r="37" s="44" customFormat="true" ht="13.4" hidden="false" customHeight="false" outlineLevel="0" collapsed="false">
      <c r="A37" s="1"/>
      <c r="B37" s="47" t="s">
        <v>117</v>
      </c>
      <c r="C37" s="53" t="str">
        <f aca="false">IFERROR(C117,"—")</f>
        <v>✔ YES</v>
      </c>
      <c r="D37" s="65"/>
      <c r="E37" s="1"/>
      <c r="F37" s="1"/>
      <c r="G37" s="1"/>
      <c r="H37" s="1"/>
      <c r="I37" s="1"/>
      <c r="J37" s="1"/>
      <c r="K37" s="2"/>
      <c r="L37" s="2"/>
      <c r="M37" s="2"/>
      <c r="N37" s="2"/>
      <c r="O37" s="2"/>
      <c r="P37" s="2"/>
      <c r="Q37" s="2"/>
      <c r="R37" s="2"/>
      <c r="S37" s="2"/>
      <c r="T37" s="2"/>
      <c r="U37" s="2"/>
      <c r="V37" s="2"/>
      <c r="W37" s="2"/>
      <c r="X37" s="2"/>
      <c r="Y37" s="2"/>
      <c r="Z37" s="2"/>
      <c r="AA37" s="2"/>
    </row>
    <row r="38" s="44" customFormat="true" ht="12.75" hidden="false" customHeight="false" outlineLevel="0" collapsed="false">
      <c r="A38" s="1"/>
      <c r="B38" s="1"/>
      <c r="C38" s="1"/>
      <c r="D38" s="1"/>
      <c r="E38" s="1"/>
      <c r="F38" s="1"/>
      <c r="G38" s="1"/>
      <c r="H38" s="1"/>
      <c r="I38" s="1"/>
      <c r="J38" s="1"/>
      <c r="K38" s="2"/>
      <c r="L38" s="2"/>
      <c r="M38" s="2"/>
      <c r="N38" s="2"/>
      <c r="O38" s="2"/>
      <c r="P38" s="2"/>
      <c r="Q38" s="2"/>
      <c r="R38" s="2"/>
      <c r="S38" s="2"/>
      <c r="T38" s="2"/>
      <c r="U38" s="2"/>
      <c r="V38" s="2"/>
      <c r="W38" s="2"/>
      <c r="X38" s="2"/>
      <c r="Y38" s="2"/>
      <c r="Z38" s="2"/>
      <c r="AA38" s="2"/>
    </row>
    <row r="39" s="44" customFormat="true" ht="13.5" hidden="false" customHeight="true" outlineLevel="0" collapsed="false">
      <c r="A39" s="1"/>
      <c r="B39" s="45" t="s">
        <v>118</v>
      </c>
      <c r="C39" s="45"/>
      <c r="D39" s="45"/>
      <c r="E39" s="45"/>
      <c r="F39" s="45"/>
      <c r="G39" s="45"/>
      <c r="H39" s="45"/>
      <c r="I39" s="45"/>
      <c r="J39" s="45"/>
      <c r="K39" s="45"/>
      <c r="L39" s="45"/>
      <c r="M39" s="45"/>
      <c r="N39" s="45"/>
      <c r="O39" s="45"/>
      <c r="P39" s="45"/>
      <c r="Q39" s="45"/>
      <c r="R39" s="45"/>
      <c r="S39" s="45"/>
      <c r="T39" s="2"/>
      <c r="U39" s="2"/>
      <c r="V39" s="2"/>
      <c r="W39" s="2"/>
      <c r="X39" s="2"/>
      <c r="Y39" s="2"/>
      <c r="Z39" s="2"/>
      <c r="AA39" s="2"/>
    </row>
    <row r="40" s="44" customFormat="true" ht="37.3" hidden="false" customHeight="false" outlineLevel="0" collapsed="false">
      <c r="A40" s="1"/>
      <c r="B40" s="46" t="s">
        <v>102</v>
      </c>
      <c r="C40" s="46" t="s">
        <v>119</v>
      </c>
      <c r="D40" s="46" t="s">
        <v>120</v>
      </c>
      <c r="E40" s="46" t="s">
        <v>121</v>
      </c>
      <c r="F40" s="46" t="s">
        <v>122</v>
      </c>
      <c r="G40" s="46" t="s">
        <v>123</v>
      </c>
      <c r="H40" s="46" t="s">
        <v>124</v>
      </c>
      <c r="I40" s="46" t="s">
        <v>125</v>
      </c>
      <c r="J40" s="46" t="s">
        <v>126</v>
      </c>
      <c r="K40" s="68" t="s">
        <v>127</v>
      </c>
      <c r="L40" s="68" t="s">
        <v>128</v>
      </c>
      <c r="M40" s="68" t="s">
        <v>129</v>
      </c>
      <c r="N40" s="68" t="s">
        <v>130</v>
      </c>
      <c r="O40" s="68" t="s">
        <v>131</v>
      </c>
      <c r="P40" s="68" t="s">
        <v>132</v>
      </c>
      <c r="Q40" s="68" t="s">
        <v>133</v>
      </c>
      <c r="R40" s="68" t="s">
        <v>134</v>
      </c>
      <c r="S40" s="68" t="s">
        <v>135</v>
      </c>
      <c r="T40" s="2"/>
      <c r="U40" s="2"/>
      <c r="V40" s="2"/>
      <c r="W40" s="2"/>
      <c r="X40" s="2"/>
      <c r="Y40" s="2"/>
      <c r="Z40" s="2"/>
      <c r="AA40" s="69" t="s">
        <v>136</v>
      </c>
    </row>
    <row r="41" s="44" customFormat="true" ht="13.4" hidden="false" customHeight="false" outlineLevel="0" collapsed="false">
      <c r="A41" s="1"/>
      <c r="B41" s="70" t="n">
        <v>1</v>
      </c>
      <c r="C41" s="53" t="n">
        <f aca="false">C15</f>
        <v>7.15</v>
      </c>
      <c r="D41" s="71" t="n">
        <f aca="false">D77</f>
        <v>75.953933407033</v>
      </c>
      <c r="E41" s="72" t="n">
        <f aca="false">E77</f>
        <v>-9.09027692082232</v>
      </c>
      <c r="F41" s="73" t="n">
        <f aca="false">D58</f>
        <v>1.22474487139159</v>
      </c>
      <c r="G41" s="54" t="n">
        <f aca="false">E58</f>
        <v>9</v>
      </c>
      <c r="H41" s="74" t="n">
        <f aca="false">F77</f>
        <v>1.173311183411</v>
      </c>
      <c r="I41" s="75" t="n">
        <f aca="false">G77</f>
        <v>21.9659065411731</v>
      </c>
      <c r="J41" s="74" t="n">
        <f aca="false">I77</f>
        <v>0.635930047694754</v>
      </c>
      <c r="K41" s="76" t="n">
        <f aca="false">IF(D41&lt;&gt;"",G131,"—")</f>
        <v>0.178075460802121</v>
      </c>
      <c r="L41" s="77" t="str">
        <f aca="false">IF(D41&lt;&gt;"",H131,"—")</f>
        <v>—</v>
      </c>
      <c r="M41" s="76" t="n">
        <f aca="false">IF(D41&lt;&gt;"",I131,"—")</f>
        <v>7.13414814838496</v>
      </c>
      <c r="N41" s="77" t="str">
        <f aca="false">IF(D41&lt;&gt;"",J131,"—")</f>
        <v>—</v>
      </c>
      <c r="O41" s="78" t="n">
        <f aca="false">IF(ISNUMBER(K41),ROUND(K41*1000,0),"—")</f>
        <v>178</v>
      </c>
      <c r="P41" s="78" t="str">
        <f aca="false">IF(ISNUMBER(L41),LOOKUP(2,1/(ABS($AA$41:$AA$161-L41)=MIN(ABS($AA$41:$AA$161-L41))),$AA$41:$AA$161),"—")</f>
        <v>—</v>
      </c>
      <c r="Q41" s="78" t="n">
        <f aca="false">IF(ISNUMBER(M41),ROUND(M41*1000,0),"—")</f>
        <v>7134</v>
      </c>
      <c r="R41" s="78" t="str">
        <f aca="false">IF(ISNUMBER(N41),LOOKUP(2,1/(ABS($AA$41:$AA$161-N41)=MIN(ABS($AA$41:$AA$161-N41))),$AA$41:$AA$161),"—")</f>
        <v>—</v>
      </c>
      <c r="S41" s="76" t="n">
        <f aca="false">IF(D41="","—",IFERROR((1+ABS(0.05*E15*$C$6/D15)/SQRT(4*$C$6^2+(0.05*E15*$C$6/D15)^2))/(1-ABS(0.05*E15*$C$6/D15)/SQRT(4*$C$6^2+(0.05*E15*$C$6/D15)^2)),"—"))</f>
        <v>1.00803206399974</v>
      </c>
      <c r="T41" s="2"/>
      <c r="U41" s="2"/>
      <c r="V41" s="2"/>
      <c r="W41" s="2"/>
      <c r="X41" s="2"/>
      <c r="Y41" s="2"/>
      <c r="Z41" s="2"/>
      <c r="AA41" s="79" t="n">
        <v>1</v>
      </c>
    </row>
    <row r="42" s="44" customFormat="true" ht="13.4" hidden="false" customHeight="false" outlineLevel="0" collapsed="false">
      <c r="A42" s="1"/>
      <c r="B42" s="70" t="n">
        <v>2</v>
      </c>
      <c r="C42" s="53" t="n">
        <f aca="false">C16</f>
        <v>14.17</v>
      </c>
      <c r="D42" s="71" t="n">
        <f aca="false">D78</f>
        <v>70.8378429936994</v>
      </c>
      <c r="E42" s="72" t="n">
        <f aca="false">E78</f>
        <v>18.9465046895091</v>
      </c>
      <c r="F42" s="73" t="n">
        <f aca="false">D59</f>
        <v>1.15758369027902</v>
      </c>
      <c r="G42" s="54" t="n">
        <f aca="false">E59</f>
        <v>8</v>
      </c>
      <c r="H42" s="74" t="n">
        <f aca="false">F78</f>
        <v>1.4072254081761</v>
      </c>
      <c r="I42" s="75" t="n">
        <f aca="false">G78</f>
        <v>15.4336378287394</v>
      </c>
      <c r="J42" s="74" t="n">
        <f aca="false">I78</f>
        <v>2.86177982147687</v>
      </c>
      <c r="K42" s="76" t="str">
        <f aca="false">IF(D42&lt;&gt;"",G132,"—")</f>
        <v>—</v>
      </c>
      <c r="L42" s="77" t="str">
        <f aca="false">IF(D42&lt;&gt;"",H132,"—")</f>
        <v>—</v>
      </c>
      <c r="M42" s="76" t="str">
        <f aca="false">IF(D42&lt;&gt;"",I132,"—")</f>
        <v>—</v>
      </c>
      <c r="N42" s="77" t="str">
        <f aca="false">IF(D42&lt;&gt;"",J132,"—")</f>
        <v>—</v>
      </c>
      <c r="O42" s="78" t="str">
        <f aca="false">IF(ISNUMBER(K42),ROUND(K42*1000,0),"—")</f>
        <v>—</v>
      </c>
      <c r="P42" s="78" t="str">
        <f aca="false">IF(ISNUMBER(L42),LOOKUP(2,1/(ABS($AA$41:$AA$161-L42)=MIN(ABS($AA$41:$AA$161-L42))),$AA$41:$AA$161),"—")</f>
        <v>—</v>
      </c>
      <c r="Q42" s="78" t="str">
        <f aca="false">IF(ISNUMBER(M42),ROUND(M42*1000,0),"—")</f>
        <v>—</v>
      </c>
      <c r="R42" s="78" t="str">
        <f aca="false">IF(ISNUMBER(N42),LOOKUP(2,1/(ABS($AA$41:$AA$161-N42)=MIN(ABS($AA$41:$AA$161-N42))),$AA$41:$AA$161),"—")</f>
        <v>—</v>
      </c>
      <c r="S42" s="76" t="n">
        <f aca="false">IF(D42="","—",IFERROR((1+ABS(0.05*E16*$C$6/D16)/SQRT(4*$C$6^2+(0.05*E16*$C$6/D16)^2))/(1-ABS(0.05*E16*$C$6/D16)/SQRT(4*$C$6^2+(0.05*E16*$C$6/D16)^2)),"—"))</f>
        <v>1.01731211570531</v>
      </c>
      <c r="T42" s="2"/>
      <c r="U42" s="2"/>
      <c r="V42" s="2"/>
      <c r="W42" s="2"/>
      <c r="X42" s="2"/>
      <c r="Y42" s="2"/>
      <c r="Z42" s="2"/>
      <c r="AA42" s="79" t="n">
        <v>1.1</v>
      </c>
    </row>
    <row r="43" s="44" customFormat="true" ht="13.4" hidden="false" customHeight="false" outlineLevel="0" collapsed="false">
      <c r="A43" s="1"/>
      <c r="B43" s="70" t="n">
        <v>3</v>
      </c>
      <c r="C43" s="53" t="n">
        <f aca="false">C17</f>
        <v>28</v>
      </c>
      <c r="D43" s="71" t="n">
        <f aca="false">D79</f>
        <v>46.0977222864644</v>
      </c>
      <c r="E43" s="72" t="n">
        <f aca="false">E79</f>
        <v>12.5288077091515</v>
      </c>
      <c r="F43" s="73" t="n">
        <f aca="false">D60</f>
        <v>0.948683298050514</v>
      </c>
      <c r="G43" s="54" t="n">
        <f aca="false">E60</f>
        <v>7</v>
      </c>
      <c r="H43" s="74" t="n">
        <f aca="false">F79</f>
        <v>1.24828111452191</v>
      </c>
      <c r="I43" s="75" t="n">
        <f aca="false">G79</f>
        <v>19.1381385238372</v>
      </c>
      <c r="J43" s="74" t="n">
        <f aca="false">I79</f>
        <v>1.21951219512195</v>
      </c>
      <c r="K43" s="76" t="str">
        <f aca="false">IF(D43&lt;&gt;"",G133,"—")</f>
        <v>—</v>
      </c>
      <c r="L43" s="77" t="str">
        <f aca="false">IF(D43&lt;&gt;"",H133,"—")</f>
        <v>—</v>
      </c>
      <c r="M43" s="76" t="str">
        <f aca="false">IF(D43&lt;&gt;"",I133,"—")</f>
        <v>—</v>
      </c>
      <c r="N43" s="77" t="str">
        <f aca="false">IF(D43&lt;&gt;"",J133,"—")</f>
        <v>—</v>
      </c>
      <c r="O43" s="78" t="str">
        <f aca="false">IF(ISNUMBER(K43),ROUND(K43*1000,0),"—")</f>
        <v>—</v>
      </c>
      <c r="P43" s="78" t="str">
        <f aca="false">IF(ISNUMBER(L43),LOOKUP(2,1/(ABS($AA$41:$AA$161-L43)=MIN(ABS($AA$41:$AA$161-L43))),$AA$41:$AA$161),"—")</f>
        <v>—</v>
      </c>
      <c r="Q43" s="78" t="str">
        <f aca="false">IF(ISNUMBER(M43),ROUND(M43*1000,0),"—")</f>
        <v>—</v>
      </c>
      <c r="R43" s="78" t="str">
        <f aca="false">IF(ISNUMBER(N43),LOOKUP(2,1/(ABS($AA$41:$AA$161-N43)=MIN(ABS($AA$41:$AA$161-N43))),$AA$41:$AA$161),"—")</f>
        <v>—</v>
      </c>
      <c r="S43" s="76" t="n">
        <f aca="false">IF(D43="","—",IFERROR((1+ABS(0.05*E17*$C$6/D17)/SQRT(4*$C$6^2+(0.05*E17*$C$6/D17)^2))/(1-ABS(0.05*E17*$C$6/D17)/SQRT(4*$C$6^2+(0.05*E17*$C$6/D17)^2)),"—"))</f>
        <v>1.01117301097261</v>
      </c>
      <c r="T43" s="2"/>
      <c r="U43" s="2"/>
      <c r="V43" s="2"/>
      <c r="W43" s="2"/>
      <c r="X43" s="2"/>
      <c r="Y43" s="2"/>
      <c r="Z43" s="2"/>
      <c r="AA43" s="79" t="n">
        <v>1.2</v>
      </c>
    </row>
    <row r="44" s="44" customFormat="true" ht="13.4" hidden="false" customHeight="false" outlineLevel="0" collapsed="false">
      <c r="A44" s="1"/>
      <c r="B44" s="70" t="n">
        <v>4</v>
      </c>
      <c r="C44" s="53" t="n">
        <f aca="false">C18</f>
        <v>0</v>
      </c>
      <c r="D44" s="71" t="str">
        <f aca="false">D80</f>
        <v/>
      </c>
      <c r="E44" s="72" t="str">
        <f aca="false">E80</f>
        <v/>
      </c>
      <c r="F44" s="73" t="str">
        <f aca="false">D61</f>
        <v/>
      </c>
      <c r="G44" s="54" t="str">
        <f aca="false">E61</f>
        <v/>
      </c>
      <c r="H44" s="74" t="str">
        <f aca="false">F80</f>
        <v/>
      </c>
      <c r="I44" s="75" t="str">
        <f aca="false">G80</f>
        <v/>
      </c>
      <c r="J44" s="74" t="str">
        <f aca="false">I80</f>
        <v/>
      </c>
      <c r="K44" s="76" t="str">
        <f aca="false">IF(D44&lt;&gt;"",G134,"—")</f>
        <v>—</v>
      </c>
      <c r="L44" s="77" t="str">
        <f aca="false">IF(D44&lt;&gt;"",H134,"—")</f>
        <v>—</v>
      </c>
      <c r="M44" s="76" t="str">
        <f aca="false">IF(D44&lt;&gt;"",I134,"—")</f>
        <v>—</v>
      </c>
      <c r="N44" s="77" t="str">
        <f aca="false">IF(D44&lt;&gt;"",J134,"—")</f>
        <v>—</v>
      </c>
      <c r="O44" s="78" t="str">
        <f aca="false">IF(ISNUMBER(K44),ROUND(K44*1000,0),"—")</f>
        <v>—</v>
      </c>
      <c r="P44" s="78" t="str">
        <f aca="false">IF(ISNUMBER(L44),LOOKUP(2,1/(ABS($AA$41:$AA$161-L44)=MIN(ABS($AA$41:$AA$161-L44))),$AA$41:$AA$161),"—")</f>
        <v>—</v>
      </c>
      <c r="Q44" s="78" t="str">
        <f aca="false">IF(ISNUMBER(M44),ROUND(M44*1000,0),"—")</f>
        <v>—</v>
      </c>
      <c r="R44" s="78" t="str">
        <f aca="false">IF(ISNUMBER(N44),LOOKUP(2,1/(ABS($AA$41:$AA$161-N44)=MIN(ABS($AA$41:$AA$161-N44))),$AA$41:$AA$161),"—")</f>
        <v>—</v>
      </c>
      <c r="S44" s="76" t="str">
        <f aca="false">IF(D44="","—",IFERROR((1+ABS(0.05*E18*$C$6/D18)/SQRT(4*$C$6^2+(0.05*E18*$C$6/D18)^2))/(1-ABS(0.05*E18*$C$6/D18)/SQRT(4*$C$6^2+(0.05*E18*$C$6/D18)^2)),"—"))</f>
        <v>—</v>
      </c>
      <c r="T44" s="2"/>
      <c r="U44" s="2"/>
      <c r="V44" s="2"/>
      <c r="W44" s="2"/>
      <c r="X44" s="2"/>
      <c r="Y44" s="2"/>
      <c r="Z44" s="2"/>
      <c r="AA44" s="79" t="n">
        <v>1.3</v>
      </c>
    </row>
    <row r="45" s="44" customFormat="true" ht="13.4" hidden="false" customHeight="false" outlineLevel="0" collapsed="false">
      <c r="A45" s="1"/>
      <c r="B45" s="70" t="n">
        <v>5</v>
      </c>
      <c r="C45" s="53" t="n">
        <f aca="false">C19</f>
        <v>0</v>
      </c>
      <c r="D45" s="53" t="str">
        <f aca="false">D81</f>
        <v/>
      </c>
      <c r="E45" s="53" t="str">
        <f aca="false">E81</f>
        <v/>
      </c>
      <c r="F45" s="53" t="str">
        <f aca="false">D62</f>
        <v/>
      </c>
      <c r="G45" s="53" t="str">
        <f aca="false">E62</f>
        <v/>
      </c>
      <c r="H45" s="53" t="str">
        <f aca="false">F81</f>
        <v/>
      </c>
      <c r="I45" s="53" t="str">
        <f aca="false">G81</f>
        <v/>
      </c>
      <c r="J45" s="53" t="str">
        <f aca="false">I81</f>
        <v/>
      </c>
      <c r="K45" s="76" t="str">
        <f aca="false">IF(D45&lt;&gt;"",G135,"—")</f>
        <v>—</v>
      </c>
      <c r="L45" s="77" t="str">
        <f aca="false">IF(D45&lt;&gt;"",H135,"—")</f>
        <v>—</v>
      </c>
      <c r="M45" s="76" t="str">
        <f aca="false">IF(D45&lt;&gt;"",I135,"—")</f>
        <v>—</v>
      </c>
      <c r="N45" s="77" t="str">
        <f aca="false">IF(D45&lt;&gt;"",J135,"—")</f>
        <v>—</v>
      </c>
      <c r="O45" s="78" t="str">
        <f aca="false">IF(ISNUMBER(K45),ROUND(K45*1000,0),"—")</f>
        <v>—</v>
      </c>
      <c r="P45" s="78" t="str">
        <f aca="false">IF(ISNUMBER(L45),LOOKUP(2,1/(ABS($AA$41:$AA$161-L45)=MIN(ABS($AA$41:$AA$161-L45))),$AA$41:$AA$161),"—")</f>
        <v>—</v>
      </c>
      <c r="Q45" s="78" t="str">
        <f aca="false">IF(ISNUMBER(M45),ROUND(M45*1000,0),"—")</f>
        <v>—</v>
      </c>
      <c r="R45" s="78" t="str">
        <f aca="false">IF(ISNUMBER(N45),LOOKUP(2,1/(ABS($AA$41:$AA$161-N45)=MIN(ABS($AA$41:$AA$161-N45))),$AA$41:$AA$161),"—")</f>
        <v>—</v>
      </c>
      <c r="S45" s="76" t="str">
        <f aca="false">IF(D45="","—",IFERROR((1+ABS(0.05*E19*$C$6/D19)/SQRT(4*$C$6^2+(0.05*E19*$C$6/D19)^2))/(1-ABS(0.05*E19*$C$6/D19)/SQRT(4*$C$6^2+(0.05*E19*$C$6/D19)^2)),"—"))</f>
        <v>—</v>
      </c>
      <c r="T45" s="2"/>
      <c r="U45" s="2"/>
      <c r="V45" s="2"/>
      <c r="W45" s="2"/>
      <c r="X45" s="2"/>
      <c r="Y45" s="2"/>
      <c r="Z45" s="2"/>
      <c r="AA45" s="79" t="n">
        <v>1.5</v>
      </c>
    </row>
    <row r="46" s="44" customFormat="true" ht="13.4" hidden="false" customHeight="false" outlineLevel="0" collapsed="false">
      <c r="A46" s="1"/>
      <c r="B46" s="70" t="n">
        <v>6</v>
      </c>
      <c r="C46" s="53" t="n">
        <f aca="false">C20</f>
        <v>0</v>
      </c>
      <c r="D46" s="53" t="str">
        <f aca="false">D82</f>
        <v/>
      </c>
      <c r="E46" s="53" t="str">
        <f aca="false">E82</f>
        <v/>
      </c>
      <c r="F46" s="53" t="str">
        <f aca="false">D63</f>
        <v/>
      </c>
      <c r="G46" s="53" t="str">
        <f aca="false">E63</f>
        <v/>
      </c>
      <c r="H46" s="53" t="str">
        <f aca="false">F82</f>
        <v/>
      </c>
      <c r="I46" s="53" t="str">
        <f aca="false">G82</f>
        <v/>
      </c>
      <c r="J46" s="53" t="str">
        <f aca="false">I82</f>
        <v/>
      </c>
      <c r="K46" s="76" t="str">
        <f aca="false">IF(D46&lt;&gt;"",G136,"—")</f>
        <v>—</v>
      </c>
      <c r="L46" s="77" t="str">
        <f aca="false">IF(D46&lt;&gt;"",H136,"—")</f>
        <v>—</v>
      </c>
      <c r="M46" s="76" t="str">
        <f aca="false">IF(D46&lt;&gt;"",I136,"—")</f>
        <v>—</v>
      </c>
      <c r="N46" s="77" t="str">
        <f aca="false">IF(D46&lt;&gt;"",J136,"—")</f>
        <v>—</v>
      </c>
      <c r="O46" s="78" t="str">
        <f aca="false">IF(ISNUMBER(K46),ROUND(K46*1000,0),"—")</f>
        <v>—</v>
      </c>
      <c r="P46" s="78" t="str">
        <f aca="false">IF(ISNUMBER(L46),LOOKUP(2,1/(ABS($AA$41:$AA$161-L46)=MIN(ABS($AA$41:$AA$161-L46))),$AA$41:$AA$161),"—")</f>
        <v>—</v>
      </c>
      <c r="Q46" s="78" t="str">
        <f aca="false">IF(ISNUMBER(M46),ROUND(M46*1000,0),"—")</f>
        <v>—</v>
      </c>
      <c r="R46" s="78" t="str">
        <f aca="false">IF(ISNUMBER(N46),LOOKUP(2,1/(ABS($AA$41:$AA$161-N46)=MIN(ABS($AA$41:$AA$161-N46))),$AA$41:$AA$161),"—")</f>
        <v>—</v>
      </c>
      <c r="S46" s="76" t="str">
        <f aca="false">IF(D46="","—",IFERROR((1+ABS(0.05*E20*$C$6/D20)/SQRT(4*$C$6^2+(0.05*E20*$C$6/D20)^2))/(1-ABS(0.05*E20*$C$6/D20)/SQRT(4*$C$6^2+(0.05*E20*$C$6/D20)^2)),"—"))</f>
        <v>—</v>
      </c>
      <c r="T46" s="2"/>
      <c r="U46" s="2"/>
      <c r="V46" s="2"/>
      <c r="W46" s="2"/>
      <c r="X46" s="2"/>
      <c r="Y46" s="2"/>
      <c r="Z46" s="2"/>
      <c r="AA46" s="79" t="n">
        <v>1.6</v>
      </c>
    </row>
    <row r="47" s="44" customFormat="true" ht="13.4" hidden="false" customHeight="false" outlineLevel="0" collapsed="false">
      <c r="A47" s="1"/>
      <c r="B47" s="70" t="n">
        <v>7</v>
      </c>
      <c r="C47" s="53" t="n">
        <f aca="false">C21</f>
        <v>0</v>
      </c>
      <c r="D47" s="53" t="str">
        <f aca="false">D83</f>
        <v/>
      </c>
      <c r="E47" s="53" t="str">
        <f aca="false">E83</f>
        <v/>
      </c>
      <c r="F47" s="53" t="str">
        <f aca="false">D64</f>
        <v/>
      </c>
      <c r="G47" s="53" t="str">
        <f aca="false">E64</f>
        <v/>
      </c>
      <c r="H47" s="53" t="str">
        <f aca="false">F83</f>
        <v/>
      </c>
      <c r="I47" s="53" t="str">
        <f aca="false">G83</f>
        <v/>
      </c>
      <c r="J47" s="53" t="str">
        <f aca="false">I83</f>
        <v/>
      </c>
      <c r="K47" s="76" t="str">
        <f aca="false">IF(D47&lt;&gt;"",G137,"—")</f>
        <v>—</v>
      </c>
      <c r="L47" s="77" t="str">
        <f aca="false">IF(D47&lt;&gt;"",H137,"—")</f>
        <v>—</v>
      </c>
      <c r="M47" s="76" t="str">
        <f aca="false">IF(D47&lt;&gt;"",I137,"—")</f>
        <v>—</v>
      </c>
      <c r="N47" s="77" t="str">
        <f aca="false">IF(D47&lt;&gt;"",J137,"—")</f>
        <v>—</v>
      </c>
      <c r="O47" s="78" t="str">
        <f aca="false">IF(ISNUMBER(K47),ROUND(K47*1000,0),"—")</f>
        <v>—</v>
      </c>
      <c r="P47" s="78" t="str">
        <f aca="false">IF(ISNUMBER(L47),LOOKUP(2,1/(ABS($AA$41:$AA$161-L47)=MIN(ABS($AA$41:$AA$161-L47))),$AA$41:$AA$161),"—")</f>
        <v>—</v>
      </c>
      <c r="Q47" s="78" t="str">
        <f aca="false">IF(ISNUMBER(M47),ROUND(M47*1000,0),"—")</f>
        <v>—</v>
      </c>
      <c r="R47" s="78" t="str">
        <f aca="false">IF(ISNUMBER(N47),LOOKUP(2,1/(ABS($AA$41:$AA$161-N47)=MIN(ABS($AA$41:$AA$161-N47))),$AA$41:$AA$161),"—")</f>
        <v>—</v>
      </c>
      <c r="S47" s="76" t="str">
        <f aca="false">IF(D47="","—",IFERROR((1+ABS(0.05*E21*$C$6/D21)/SQRT(4*$C$6^2+(0.05*E21*$C$6/D21)^2))/(1-ABS(0.05*E21*$C$6/D21)/SQRT(4*$C$6^2+(0.05*E21*$C$6/D21)^2)),"—"))</f>
        <v>—</v>
      </c>
      <c r="T47" s="2"/>
      <c r="U47" s="2"/>
      <c r="V47" s="2"/>
      <c r="W47" s="2"/>
      <c r="X47" s="2"/>
      <c r="Y47" s="2"/>
      <c r="Z47" s="2"/>
      <c r="AA47" s="79" t="n">
        <v>1.8</v>
      </c>
    </row>
    <row r="48" s="44" customFormat="true" ht="13.4" hidden="false" customHeight="false" outlineLevel="0" collapsed="false">
      <c r="A48" s="1"/>
      <c r="B48" s="70" t="n">
        <v>8</v>
      </c>
      <c r="C48" s="53" t="n">
        <f aca="false">C22</f>
        <v>0</v>
      </c>
      <c r="D48" s="53" t="str">
        <f aca="false">D84</f>
        <v/>
      </c>
      <c r="E48" s="53" t="str">
        <f aca="false">E84</f>
        <v/>
      </c>
      <c r="F48" s="53" t="str">
        <f aca="false">D65</f>
        <v/>
      </c>
      <c r="G48" s="53" t="str">
        <f aca="false">E65</f>
        <v/>
      </c>
      <c r="H48" s="53" t="str">
        <f aca="false">F84</f>
        <v/>
      </c>
      <c r="I48" s="53" t="str">
        <f aca="false">G84</f>
        <v/>
      </c>
      <c r="J48" s="53" t="str">
        <f aca="false">I84</f>
        <v/>
      </c>
      <c r="K48" s="76" t="str">
        <f aca="false">IF(D48&lt;&gt;"",G138,"—")</f>
        <v>—</v>
      </c>
      <c r="L48" s="77" t="str">
        <f aca="false">IF(D48&lt;&gt;"",H138,"—")</f>
        <v>—</v>
      </c>
      <c r="M48" s="76" t="str">
        <f aca="false">IF(D48&lt;&gt;"",I138,"—")</f>
        <v>—</v>
      </c>
      <c r="N48" s="77" t="str">
        <f aca="false">IF(D48&lt;&gt;"",J138,"—")</f>
        <v>—</v>
      </c>
      <c r="O48" s="78" t="str">
        <f aca="false">IF(ISNUMBER(K48),ROUND(K48*1000,0),"—")</f>
        <v>—</v>
      </c>
      <c r="P48" s="78" t="str">
        <f aca="false">IF(ISNUMBER(L48),LOOKUP(2,1/(ABS($AA$41:$AA$161-L48)=MIN(ABS($AA$41:$AA$161-L48))),$AA$41:$AA$161),"—")</f>
        <v>—</v>
      </c>
      <c r="Q48" s="78" t="str">
        <f aca="false">IF(ISNUMBER(M48),ROUND(M48*1000,0),"—")</f>
        <v>—</v>
      </c>
      <c r="R48" s="78" t="str">
        <f aca="false">IF(ISNUMBER(N48),LOOKUP(2,1/(ABS($AA$41:$AA$161-N48)=MIN(ABS($AA$41:$AA$161-N48))),$AA$41:$AA$161),"—")</f>
        <v>—</v>
      </c>
      <c r="S48" s="76" t="str">
        <f aca="false">IF(D48="","—",IFERROR((1+ABS(0.05*E22*$C$6/D22)/SQRT(4*$C$6^2+(0.05*E22*$C$6/D22)^2))/(1-ABS(0.05*E22*$C$6/D22)/SQRT(4*$C$6^2+(0.05*E22*$C$6/D22)^2)),"—"))</f>
        <v>—</v>
      </c>
      <c r="T48" s="2"/>
      <c r="U48" s="2"/>
      <c r="V48" s="2"/>
      <c r="W48" s="2"/>
      <c r="X48" s="2"/>
      <c r="Y48" s="2"/>
      <c r="Z48" s="2"/>
      <c r="AA48" s="79" t="n">
        <v>2</v>
      </c>
    </row>
    <row r="49" s="44" customFormat="true" ht="13.4" hidden="false" customHeight="false" outlineLevel="0" collapsed="false">
      <c r="A49" s="1"/>
      <c r="B49" s="70" t="n">
        <v>9</v>
      </c>
      <c r="C49" s="53" t="n">
        <f aca="false">C23</f>
        <v>0</v>
      </c>
      <c r="D49" s="53" t="str">
        <f aca="false">D85</f>
        <v/>
      </c>
      <c r="E49" s="53" t="str">
        <f aca="false">E85</f>
        <v/>
      </c>
      <c r="F49" s="53" t="str">
        <f aca="false">D66</f>
        <v/>
      </c>
      <c r="G49" s="53" t="str">
        <f aca="false">E66</f>
        <v/>
      </c>
      <c r="H49" s="53" t="str">
        <f aca="false">F85</f>
        <v/>
      </c>
      <c r="I49" s="53" t="str">
        <f aca="false">G85</f>
        <v/>
      </c>
      <c r="J49" s="53" t="str">
        <f aca="false">I85</f>
        <v/>
      </c>
      <c r="K49" s="76" t="str">
        <f aca="false">IF(D49&lt;&gt;"",G139,"—")</f>
        <v>—</v>
      </c>
      <c r="L49" s="77" t="str">
        <f aca="false">IF(D49&lt;&gt;"",H139,"—")</f>
        <v>—</v>
      </c>
      <c r="M49" s="76" t="str">
        <f aca="false">IF(D49&lt;&gt;"",I139,"—")</f>
        <v>—</v>
      </c>
      <c r="N49" s="77" t="str">
        <f aca="false">IF(D49&lt;&gt;"",J139,"—")</f>
        <v>—</v>
      </c>
      <c r="O49" s="78" t="str">
        <f aca="false">IF(ISNUMBER(K49),ROUND(K49*1000,0),"—")</f>
        <v>—</v>
      </c>
      <c r="P49" s="78" t="str">
        <f aca="false">IF(ISNUMBER(L49),LOOKUP(2,1/(ABS($AA$41:$AA$161-L49)=MIN(ABS($AA$41:$AA$161-L49))),$AA$41:$AA$161),"—")</f>
        <v>—</v>
      </c>
      <c r="Q49" s="78" t="str">
        <f aca="false">IF(ISNUMBER(M49),ROUND(M49*1000,0),"—")</f>
        <v>—</v>
      </c>
      <c r="R49" s="78" t="str">
        <f aca="false">IF(ISNUMBER(N49),LOOKUP(2,1/(ABS($AA$41:$AA$161-N49)=MIN(ABS($AA$41:$AA$161-N49))),$AA$41:$AA$161),"—")</f>
        <v>—</v>
      </c>
      <c r="S49" s="76" t="str">
        <f aca="false">IF(D49="","—",IFERROR((1+ABS(0.05*E23*$C$6/D23)/SQRT(4*$C$6^2+(0.05*E23*$C$6/D23)^2))/(1-ABS(0.05*E23*$C$6/D23)/SQRT(4*$C$6^2+(0.05*E23*$C$6/D23)^2)),"—"))</f>
        <v>—</v>
      </c>
      <c r="T49" s="2"/>
      <c r="U49" s="2"/>
      <c r="V49" s="2"/>
      <c r="W49" s="2"/>
      <c r="X49" s="2"/>
      <c r="Y49" s="2"/>
      <c r="Z49" s="2"/>
      <c r="AA49" s="79" t="n">
        <v>2.2</v>
      </c>
    </row>
    <row r="50" s="44" customFormat="true" ht="13.4" hidden="false" customHeight="false" outlineLevel="0" collapsed="false">
      <c r="A50" s="1"/>
      <c r="B50" s="70" t="n">
        <v>10</v>
      </c>
      <c r="C50" s="53" t="n">
        <f aca="false">C24</f>
        <v>0</v>
      </c>
      <c r="D50" s="53" t="str">
        <f aca="false">D86</f>
        <v/>
      </c>
      <c r="E50" s="53" t="str">
        <f aca="false">E86</f>
        <v/>
      </c>
      <c r="F50" s="53" t="str">
        <f aca="false">D67</f>
        <v/>
      </c>
      <c r="G50" s="53" t="str">
        <f aca="false">E67</f>
        <v/>
      </c>
      <c r="H50" s="53" t="str">
        <f aca="false">F86</f>
        <v/>
      </c>
      <c r="I50" s="53" t="str">
        <f aca="false">G86</f>
        <v/>
      </c>
      <c r="J50" s="53" t="str">
        <f aca="false">I86</f>
        <v/>
      </c>
      <c r="K50" s="76" t="str">
        <f aca="false">IF(D50&lt;&gt;"",G140,"—")</f>
        <v>—</v>
      </c>
      <c r="L50" s="77" t="str">
        <f aca="false">IF(D50&lt;&gt;"",H140,"—")</f>
        <v>—</v>
      </c>
      <c r="M50" s="76" t="str">
        <f aca="false">IF(D50&lt;&gt;"",I140,"—")</f>
        <v>—</v>
      </c>
      <c r="N50" s="77" t="str">
        <f aca="false">IF(D50&lt;&gt;"",J140,"—")</f>
        <v>—</v>
      </c>
      <c r="O50" s="78" t="str">
        <f aca="false">IF(ISNUMBER(K50),ROUND(K50*1000,0),"—")</f>
        <v>—</v>
      </c>
      <c r="P50" s="78" t="str">
        <f aca="false">IF(ISNUMBER(L50),LOOKUP(2,1/(ABS($AA$41:$AA$161-L50)=MIN(ABS($AA$41:$AA$161-L50))),$AA$41:$AA$161),"—")</f>
        <v>—</v>
      </c>
      <c r="Q50" s="78" t="str">
        <f aca="false">IF(ISNUMBER(M50),ROUND(M50*1000,0),"—")</f>
        <v>—</v>
      </c>
      <c r="R50" s="78" t="str">
        <f aca="false">IF(ISNUMBER(N50),LOOKUP(2,1/(ABS($AA$41:$AA$161-N50)=MIN(ABS($AA$41:$AA$161-N50))),$AA$41:$AA$161),"—")</f>
        <v>—</v>
      </c>
      <c r="S50" s="76" t="str">
        <f aca="false">IF(D50="","—",IFERROR((1+ABS(0.05*E24*$C$6/D24)/SQRT(4*$C$6^2+(0.05*E24*$C$6/D24)^2))/(1-ABS(0.05*E24*$C$6/D24)/SQRT(4*$C$6^2+(0.05*E24*$C$6/D24)^2)),"—"))</f>
        <v>—</v>
      </c>
      <c r="T50" s="2"/>
      <c r="U50" s="2"/>
      <c r="V50" s="2"/>
      <c r="W50" s="2"/>
      <c r="X50" s="2"/>
      <c r="Y50" s="2"/>
      <c r="Z50" s="2"/>
      <c r="AA50" s="79" t="n">
        <v>2.4</v>
      </c>
    </row>
    <row r="51" s="44" customFormat="true" ht="13.4" hidden="false" customHeight="false" outlineLevel="0" collapsed="false">
      <c r="A51" s="1"/>
      <c r="B51" s="70" t="n">
        <v>11</v>
      </c>
      <c r="C51" s="53" t="n">
        <f aca="false">C25</f>
        <v>0</v>
      </c>
      <c r="D51" s="53" t="str">
        <f aca="false">D87</f>
        <v/>
      </c>
      <c r="E51" s="53" t="str">
        <f aca="false">E87</f>
        <v/>
      </c>
      <c r="F51" s="53" t="str">
        <f aca="false">D68</f>
        <v/>
      </c>
      <c r="G51" s="53" t="str">
        <f aca="false">E68</f>
        <v/>
      </c>
      <c r="H51" s="53" t="str">
        <f aca="false">F87</f>
        <v/>
      </c>
      <c r="I51" s="53" t="str">
        <f aca="false">G87</f>
        <v/>
      </c>
      <c r="J51" s="53" t="str">
        <f aca="false">I87</f>
        <v/>
      </c>
      <c r="K51" s="76" t="str">
        <f aca="false">IF(D51&lt;&gt;"",G141,"—")</f>
        <v>—</v>
      </c>
      <c r="L51" s="77" t="str">
        <f aca="false">IF(D51&lt;&gt;"",H141,"—")</f>
        <v>—</v>
      </c>
      <c r="M51" s="76" t="str">
        <f aca="false">IF(D51&lt;&gt;"",I141,"—")</f>
        <v>—</v>
      </c>
      <c r="N51" s="77" t="str">
        <f aca="false">IF(D51&lt;&gt;"",J141,"—")</f>
        <v>—</v>
      </c>
      <c r="O51" s="78" t="str">
        <f aca="false">IF(ISNUMBER(K51),ROUND(K51*1000,0),"—")</f>
        <v>—</v>
      </c>
      <c r="P51" s="78" t="str">
        <f aca="false">IF(ISNUMBER(L51),LOOKUP(2,1/(ABS($AA$41:$AA$161-L51)=MIN(ABS($AA$41:$AA$161-L51))),$AA$41:$AA$161),"—")</f>
        <v>—</v>
      </c>
      <c r="Q51" s="78" t="str">
        <f aca="false">IF(ISNUMBER(M51),ROUND(M51*1000,0),"—")</f>
        <v>—</v>
      </c>
      <c r="R51" s="78" t="str">
        <f aca="false">IF(ISNUMBER(N51),LOOKUP(2,1/(ABS($AA$41:$AA$161-N51)=MIN(ABS($AA$41:$AA$161-N51))),$AA$41:$AA$161),"—")</f>
        <v>—</v>
      </c>
      <c r="S51" s="76" t="str">
        <f aca="false">IF(D51="","—",IFERROR((1+ABS(0.05*E25*$C$6/D25)/SQRT(4*$C$6^2+(0.05*E25*$C$6/D25)^2))/(1-ABS(0.05*E25*$C$6/D25)/SQRT(4*$C$6^2+(0.05*E25*$C$6/D25)^2)),"—"))</f>
        <v>—</v>
      </c>
      <c r="T51" s="2"/>
      <c r="U51" s="2"/>
      <c r="V51" s="2"/>
      <c r="W51" s="2"/>
      <c r="X51" s="2"/>
      <c r="Y51" s="2"/>
      <c r="Z51" s="2"/>
      <c r="AA51" s="79" t="n">
        <v>2.7</v>
      </c>
    </row>
    <row r="52" s="44" customFormat="true" ht="12.75" hidden="false" customHeight="false" outlineLevel="0" collapsed="false">
      <c r="A52" s="1"/>
      <c r="B52" s="1"/>
      <c r="C52" s="1"/>
      <c r="D52" s="1"/>
      <c r="E52" s="1"/>
      <c r="F52" s="1"/>
      <c r="G52" s="1"/>
      <c r="H52" s="1"/>
      <c r="I52" s="1"/>
      <c r="J52" s="1"/>
      <c r="K52" s="2"/>
      <c r="L52" s="2"/>
      <c r="M52" s="2"/>
      <c r="N52" s="2"/>
      <c r="O52" s="2"/>
      <c r="P52" s="2"/>
      <c r="Q52" s="2"/>
      <c r="R52" s="2"/>
      <c r="S52" s="2"/>
      <c r="T52" s="2"/>
      <c r="U52" s="2"/>
      <c r="V52" s="2"/>
      <c r="W52" s="2"/>
      <c r="X52" s="2"/>
      <c r="Y52" s="2"/>
      <c r="Z52" s="2"/>
      <c r="AA52" s="79" t="n">
        <v>3</v>
      </c>
    </row>
    <row r="53" s="44" customFormat="true" ht="13.5" hidden="false" customHeight="true" outlineLevel="0" collapsed="false">
      <c r="A53" s="1"/>
      <c r="B53" s="43" t="s">
        <v>137</v>
      </c>
      <c r="C53" s="43"/>
      <c r="D53" s="43"/>
      <c r="E53" s="43"/>
      <c r="F53" s="43"/>
      <c r="G53" s="43"/>
      <c r="H53" s="43"/>
      <c r="I53" s="43"/>
      <c r="J53" s="57"/>
      <c r="K53" s="2"/>
      <c r="L53" s="2"/>
      <c r="M53" s="2"/>
      <c r="N53" s="2"/>
      <c r="O53" s="2"/>
      <c r="P53" s="2"/>
      <c r="Q53" s="2"/>
      <c r="R53" s="2"/>
      <c r="S53" s="2"/>
      <c r="T53" s="2"/>
      <c r="U53" s="2"/>
      <c r="V53" s="2"/>
      <c r="W53" s="2"/>
      <c r="X53" s="2"/>
      <c r="Y53" s="2"/>
      <c r="Z53" s="2"/>
      <c r="AA53" s="79" t="n">
        <v>3.3</v>
      </c>
    </row>
    <row r="54" s="44" customFormat="true" ht="13.5" hidden="false" customHeight="true" outlineLevel="0" collapsed="false">
      <c r="A54" s="1"/>
      <c r="B54" s="64" t="s">
        <v>138</v>
      </c>
      <c r="C54" s="64"/>
      <c r="D54" s="64"/>
      <c r="E54" s="64"/>
      <c r="F54" s="64"/>
      <c r="G54" s="64"/>
      <c r="H54" s="64"/>
      <c r="I54" s="64"/>
      <c r="J54" s="57"/>
      <c r="K54" s="2"/>
      <c r="L54" s="2"/>
      <c r="M54" s="2"/>
      <c r="N54" s="2"/>
      <c r="O54" s="2"/>
      <c r="P54" s="2"/>
      <c r="Q54" s="2"/>
      <c r="R54" s="2"/>
      <c r="S54" s="2"/>
      <c r="T54" s="2"/>
      <c r="U54" s="2"/>
      <c r="V54" s="2"/>
      <c r="W54" s="2"/>
      <c r="X54" s="2"/>
      <c r="Y54" s="2"/>
      <c r="Z54" s="2"/>
      <c r="AA54" s="79" t="n">
        <v>3.6</v>
      </c>
    </row>
    <row r="55" s="44" customFormat="true" ht="12.75" hidden="false" customHeight="false" outlineLevel="0" collapsed="false">
      <c r="A55" s="1"/>
      <c r="B55" s="1"/>
      <c r="C55" s="1"/>
      <c r="D55" s="1"/>
      <c r="E55" s="1"/>
      <c r="F55" s="1"/>
      <c r="G55" s="1"/>
      <c r="H55" s="1"/>
      <c r="I55" s="1"/>
      <c r="J55" s="1"/>
      <c r="K55" s="2"/>
      <c r="L55" s="2"/>
      <c r="M55" s="2"/>
      <c r="N55" s="2"/>
      <c r="O55" s="2"/>
      <c r="P55" s="2"/>
      <c r="Q55" s="2"/>
      <c r="R55" s="2"/>
      <c r="S55" s="2"/>
      <c r="T55" s="2"/>
      <c r="U55" s="2"/>
      <c r="V55" s="2"/>
      <c r="W55" s="2"/>
      <c r="X55" s="2"/>
      <c r="Y55" s="2"/>
      <c r="Z55" s="2"/>
      <c r="AA55" s="79" t="n">
        <v>3.9</v>
      </c>
    </row>
    <row r="56" s="44" customFormat="true" ht="13.5" hidden="false" customHeight="true" outlineLevel="0" collapsed="false">
      <c r="A56" s="1"/>
      <c r="B56" s="45" t="s">
        <v>139</v>
      </c>
      <c r="C56" s="45"/>
      <c r="D56" s="45"/>
      <c r="E56" s="45"/>
      <c r="F56" s="45"/>
      <c r="G56" s="45"/>
      <c r="H56" s="45"/>
      <c r="I56" s="45"/>
      <c r="J56" s="57"/>
      <c r="K56" s="2"/>
      <c r="L56" s="2"/>
      <c r="M56" s="2"/>
      <c r="N56" s="2"/>
      <c r="O56" s="2"/>
      <c r="P56" s="2"/>
      <c r="Q56" s="2"/>
      <c r="R56" s="2"/>
      <c r="S56" s="2"/>
      <c r="T56" s="2"/>
      <c r="U56" s="2"/>
      <c r="V56" s="2"/>
      <c r="W56" s="2"/>
      <c r="X56" s="2"/>
      <c r="Y56" s="2"/>
      <c r="Z56" s="2"/>
      <c r="AA56" s="79" t="n">
        <v>4.3</v>
      </c>
    </row>
    <row r="57" s="44" customFormat="true" ht="73.1" hidden="false" customHeight="false" outlineLevel="0" collapsed="false">
      <c r="A57" s="1"/>
      <c r="B57" s="46" t="s">
        <v>102</v>
      </c>
      <c r="C57" s="46" t="s">
        <v>119</v>
      </c>
      <c r="D57" s="46" t="s">
        <v>140</v>
      </c>
      <c r="E57" s="46" t="s">
        <v>141</v>
      </c>
      <c r="F57" s="46" t="s">
        <v>142</v>
      </c>
      <c r="G57" s="46" t="s">
        <v>143</v>
      </c>
      <c r="H57" s="46" t="s">
        <v>144</v>
      </c>
      <c r="I57" s="46" t="s">
        <v>145</v>
      </c>
      <c r="J57" s="57"/>
      <c r="K57" s="2"/>
      <c r="L57" s="2"/>
      <c r="M57" s="2"/>
      <c r="N57" s="2"/>
      <c r="O57" s="2"/>
      <c r="P57" s="2"/>
      <c r="Q57" s="2"/>
      <c r="R57" s="2"/>
      <c r="S57" s="2"/>
      <c r="T57" s="2"/>
      <c r="U57" s="2"/>
      <c r="V57" s="2"/>
      <c r="W57" s="2"/>
      <c r="X57" s="2"/>
      <c r="Y57" s="2"/>
      <c r="Z57" s="2"/>
      <c r="AA57" s="79" t="n">
        <v>4.7</v>
      </c>
    </row>
    <row r="58" s="44" customFormat="true" ht="13.4" hidden="false" customHeight="false" outlineLevel="0" collapsed="false">
      <c r="A58" s="1"/>
      <c r="B58" s="53" t="n">
        <v>1</v>
      </c>
      <c r="C58" s="53" t="n">
        <f aca="false">C15</f>
        <v>7.15</v>
      </c>
      <c r="D58" s="73" t="n">
        <f aca="false">IF(D15&lt;&gt;"",SQRT(D15/MAX($C$6,0.000000001)),"")</f>
        <v>1.22474487139159</v>
      </c>
      <c r="E58" s="54" t="n">
        <f aca="false">IF(D58&lt;&gt;"",MAX(1,ROUND(C10*D58,0)),"")</f>
        <v>9</v>
      </c>
      <c r="F58" s="54" t="n">
        <f aca="false">IF(E58&lt;&gt;"",E58,"")</f>
        <v>9</v>
      </c>
      <c r="G58" s="66" t="n">
        <f aca="false">IF(F58&lt;&gt;"",F58*PI()*($C$8+$C$7),"")</f>
        <v>1441.99102799772</v>
      </c>
      <c r="H58" s="71" t="n">
        <f aca="false">IF(G58&lt;&gt;"",G58*4*0.00000001724*1000000/(PI()*$C$7^2),"")</f>
        <v>31.65264</v>
      </c>
      <c r="I58" s="66" t="n">
        <f aca="false">IF(G58&lt;&gt;"",G58,"")</f>
        <v>1441.99102799772</v>
      </c>
      <c r="J58" s="49"/>
      <c r="K58" s="2"/>
      <c r="L58" s="2"/>
      <c r="M58" s="2"/>
      <c r="N58" s="2"/>
      <c r="O58" s="2"/>
      <c r="P58" s="2"/>
      <c r="Q58" s="2"/>
      <c r="R58" s="2"/>
      <c r="S58" s="2"/>
      <c r="T58" s="2"/>
      <c r="U58" s="2"/>
      <c r="V58" s="2"/>
      <c r="W58" s="2"/>
      <c r="X58" s="2"/>
      <c r="Y58" s="2"/>
      <c r="Z58" s="2"/>
      <c r="AA58" s="79" t="n">
        <v>5.1</v>
      </c>
    </row>
    <row r="59" s="44" customFormat="true" ht="13.4" hidden="false" customHeight="false" outlineLevel="0" collapsed="false">
      <c r="A59" s="1"/>
      <c r="B59" s="53" t="n">
        <v>2</v>
      </c>
      <c r="C59" s="53" t="n">
        <f aca="false">C16</f>
        <v>14.17</v>
      </c>
      <c r="D59" s="73" t="n">
        <f aca="false">IF(D16&lt;&gt;"",SQRT(D16/MAX($C$6,0.000000001)),"")</f>
        <v>1.15758369027902</v>
      </c>
      <c r="E59" s="54" t="n">
        <f aca="false">IF(D59&lt;&gt;"",MAX(1,ROUND(C10*D59,0)),"")</f>
        <v>8</v>
      </c>
      <c r="F59" s="54" t="n">
        <f aca="false">IF(AND(E59&lt;&gt;"",E58&lt;&gt;""),ABS(E59-E58),IF(E59&lt;&gt;"",E59,""))</f>
        <v>1</v>
      </c>
      <c r="G59" s="66" t="n">
        <f aca="false">IF(F59&lt;&gt;"",F59*PI()*($C$8+$C$7),"")</f>
        <v>160.221225333079</v>
      </c>
      <c r="H59" s="71" t="n">
        <f aca="false">IF(G59&lt;&gt;"",G59*4*0.00000001724*1000000/(PI()*$C$7^2),"")</f>
        <v>3.51696</v>
      </c>
      <c r="I59" s="66" t="n">
        <f aca="false">IF(G59&lt;&gt;"",SUM(G58:G59),"")</f>
        <v>1602.21225333079</v>
      </c>
      <c r="J59" s="49"/>
      <c r="K59" s="2"/>
      <c r="L59" s="2"/>
      <c r="M59" s="2"/>
      <c r="N59" s="2"/>
      <c r="O59" s="2"/>
      <c r="P59" s="2"/>
      <c r="Q59" s="2"/>
      <c r="R59" s="2"/>
      <c r="S59" s="2"/>
      <c r="T59" s="2"/>
      <c r="U59" s="2"/>
      <c r="V59" s="2"/>
      <c r="W59" s="2"/>
      <c r="X59" s="2"/>
      <c r="Y59" s="2"/>
      <c r="Z59" s="2"/>
      <c r="AA59" s="79" t="n">
        <v>5.6</v>
      </c>
    </row>
    <row r="60" s="44" customFormat="true" ht="13.4" hidden="false" customHeight="false" outlineLevel="0" collapsed="false">
      <c r="A60" s="1"/>
      <c r="B60" s="53" t="n">
        <v>3</v>
      </c>
      <c r="C60" s="53" t="n">
        <f aca="false">C17</f>
        <v>28</v>
      </c>
      <c r="D60" s="73" t="n">
        <f aca="false">IF(D17&lt;&gt;"",SQRT(D17/MAX($C$6,0.000000001)),"")</f>
        <v>0.948683298050514</v>
      </c>
      <c r="E60" s="54" t="n">
        <f aca="false">IF(D60&lt;&gt;"",MAX(1,ROUND(C10*D60,0)),"")</f>
        <v>7</v>
      </c>
      <c r="F60" s="54" t="n">
        <f aca="false">IF(AND(E60&lt;&gt;"",E59&lt;&gt;""),ABS(E60-E59),IF(E60&lt;&gt;"",E60,""))</f>
        <v>1</v>
      </c>
      <c r="G60" s="66" t="n">
        <f aca="false">IF(F60&lt;&gt;"",F60*PI()*($C$8+$C$7),"")</f>
        <v>160.221225333079</v>
      </c>
      <c r="H60" s="71" t="n">
        <f aca="false">IF(G60&lt;&gt;"",G60*4*0.00000001724*1000000/(PI()*$C$7^2),"")</f>
        <v>3.51696</v>
      </c>
      <c r="I60" s="66" t="n">
        <f aca="false">IF(G60&lt;&gt;"",SUM(G58:G60),"")</f>
        <v>1762.43347866387</v>
      </c>
      <c r="J60" s="49"/>
      <c r="K60" s="2"/>
      <c r="L60" s="2"/>
      <c r="M60" s="2"/>
      <c r="N60" s="2"/>
      <c r="O60" s="2"/>
      <c r="P60" s="2"/>
      <c r="Q60" s="2"/>
      <c r="R60" s="2"/>
      <c r="S60" s="2"/>
      <c r="T60" s="2"/>
      <c r="U60" s="2"/>
      <c r="V60" s="2"/>
      <c r="W60" s="2"/>
      <c r="X60" s="2"/>
      <c r="Y60" s="2"/>
      <c r="Z60" s="2"/>
      <c r="AA60" s="79" t="n">
        <v>6.2</v>
      </c>
    </row>
    <row r="61" s="44" customFormat="true" ht="13.4" hidden="false" customHeight="false" outlineLevel="0" collapsed="false">
      <c r="A61" s="1"/>
      <c r="B61" s="53" t="n">
        <v>4</v>
      </c>
      <c r="C61" s="53" t="n">
        <f aca="false">C18</f>
        <v>0</v>
      </c>
      <c r="D61" s="73" t="str">
        <f aca="false">IF(D18&lt;&gt;"",SQRT(D18/MAX($C$6,0.000000001)),"")</f>
        <v/>
      </c>
      <c r="E61" s="54" t="str">
        <f aca="false">IF(D61&lt;&gt;"",MAX(1,ROUND(C10*D61,0)),"")</f>
        <v/>
      </c>
      <c r="F61" s="54" t="str">
        <f aca="false">IF(AND(E61&lt;&gt;"",E60&lt;&gt;""),ABS(E61-E60),IF(E61&lt;&gt;"",E61,""))</f>
        <v/>
      </c>
      <c r="G61" s="66" t="str">
        <f aca="false">IF(F61&lt;&gt;"",F61*PI()*($C$8+$C$7),"")</f>
        <v/>
      </c>
      <c r="H61" s="71" t="str">
        <f aca="false">IF(G61&lt;&gt;"",G61*4*0.00000001724*1000000/(PI()*$C$7^2),"")</f>
        <v/>
      </c>
      <c r="I61" s="66" t="str">
        <f aca="false">IF(G61&lt;&gt;"",SUM(G58:G61),"")</f>
        <v/>
      </c>
      <c r="J61" s="49"/>
      <c r="K61" s="2"/>
      <c r="L61" s="2"/>
      <c r="M61" s="2"/>
      <c r="N61" s="2"/>
      <c r="O61" s="2"/>
      <c r="P61" s="2"/>
      <c r="Q61" s="2"/>
      <c r="R61" s="2"/>
      <c r="S61" s="2"/>
      <c r="T61" s="2"/>
      <c r="U61" s="2"/>
      <c r="V61" s="2"/>
      <c r="W61" s="2"/>
      <c r="X61" s="2"/>
      <c r="Y61" s="2"/>
      <c r="Z61" s="2"/>
      <c r="AA61" s="79" t="n">
        <v>6.8</v>
      </c>
    </row>
    <row r="62" s="44" customFormat="true" ht="13.4" hidden="false" customHeight="false" outlineLevel="0" collapsed="false">
      <c r="A62" s="1"/>
      <c r="B62" s="53" t="n">
        <v>5</v>
      </c>
      <c r="C62" s="53" t="n">
        <f aca="false">C19</f>
        <v>0</v>
      </c>
      <c r="D62" s="73" t="str">
        <f aca="false">IF(D19&lt;&gt;"",SQRT(D19/MAX($C$6,0.000000001)),"")</f>
        <v/>
      </c>
      <c r="E62" s="54" t="str">
        <f aca="false">IF(D62&lt;&gt;"",MAX(1,ROUND(C10*D62,0)),"")</f>
        <v/>
      </c>
      <c r="F62" s="54" t="str">
        <f aca="false">IF(AND(E62&lt;&gt;"",E61&lt;&gt;""),ABS(E62-E61),IF(E62&lt;&gt;"",E62,""))</f>
        <v/>
      </c>
      <c r="G62" s="66" t="str">
        <f aca="false">IF(F62&lt;&gt;"",F62*PI()*($C$8+$C$7),"")</f>
        <v/>
      </c>
      <c r="H62" s="71" t="str">
        <f aca="false">IF(G62&lt;&gt;"",G62*4*0.00000001724*1000000/(PI()*$C$7^2),"")</f>
        <v/>
      </c>
      <c r="I62" s="66" t="str">
        <f aca="false">IF(G62&lt;&gt;"",SUM(G58:G62),"")</f>
        <v/>
      </c>
      <c r="J62" s="49"/>
      <c r="K62" s="2"/>
      <c r="L62" s="2"/>
      <c r="M62" s="2"/>
      <c r="N62" s="2"/>
      <c r="O62" s="2"/>
      <c r="P62" s="2"/>
      <c r="Q62" s="2"/>
      <c r="R62" s="2"/>
      <c r="S62" s="2"/>
      <c r="T62" s="2"/>
      <c r="U62" s="2"/>
      <c r="V62" s="2"/>
      <c r="W62" s="2"/>
      <c r="X62" s="2"/>
      <c r="Y62" s="2"/>
      <c r="Z62" s="2"/>
      <c r="AA62" s="79" t="n">
        <v>7.5</v>
      </c>
    </row>
    <row r="63" s="44" customFormat="true" ht="13.4" hidden="false" customHeight="false" outlineLevel="0" collapsed="false">
      <c r="A63" s="1"/>
      <c r="B63" s="53" t="n">
        <v>6</v>
      </c>
      <c r="C63" s="53" t="n">
        <f aca="false">C20</f>
        <v>0</v>
      </c>
      <c r="D63" s="73" t="str">
        <f aca="false">IF(D20&lt;&gt;"",SQRT(D20/MAX($C$6,0.000000001)),"")</f>
        <v/>
      </c>
      <c r="E63" s="54" t="str">
        <f aca="false">IF(D63&lt;&gt;"",MAX(1,ROUND(C10*D63,0)),"")</f>
        <v/>
      </c>
      <c r="F63" s="54" t="str">
        <f aca="false">IF(AND(E63&lt;&gt;"",E62&lt;&gt;""),ABS(E63-E62),IF(E63&lt;&gt;"",E63,""))</f>
        <v/>
      </c>
      <c r="G63" s="66" t="str">
        <f aca="false">IF(F63&lt;&gt;"",F63*PI()*($C$8+$C$7),"")</f>
        <v/>
      </c>
      <c r="H63" s="71" t="str">
        <f aca="false">IF(G63&lt;&gt;"",G63*4*0.00000001724*1000000/(PI()*$C$7^2),"")</f>
        <v/>
      </c>
      <c r="I63" s="66" t="str">
        <f aca="false">IF(G63&lt;&gt;"",SUM(G58:G63),"")</f>
        <v/>
      </c>
      <c r="J63" s="49"/>
      <c r="K63" s="2"/>
      <c r="L63" s="2"/>
      <c r="M63" s="2"/>
      <c r="N63" s="2"/>
      <c r="O63" s="2"/>
      <c r="P63" s="2"/>
      <c r="Q63" s="2"/>
      <c r="R63" s="2"/>
      <c r="S63" s="2"/>
      <c r="T63" s="2"/>
      <c r="U63" s="2"/>
      <c r="V63" s="2"/>
      <c r="W63" s="2"/>
      <c r="X63" s="2"/>
      <c r="Y63" s="2"/>
      <c r="Z63" s="2"/>
      <c r="AA63" s="79" t="n">
        <v>8.2</v>
      </c>
    </row>
    <row r="64" s="44" customFormat="true" ht="13.4" hidden="false" customHeight="false" outlineLevel="0" collapsed="false">
      <c r="A64" s="1"/>
      <c r="B64" s="53" t="n">
        <v>7</v>
      </c>
      <c r="C64" s="53" t="n">
        <f aca="false">C21</f>
        <v>0</v>
      </c>
      <c r="D64" s="73" t="str">
        <f aca="false">IF(D21&lt;&gt;"",SQRT(D21/MAX($C$6,0.000000001)),"")</f>
        <v/>
      </c>
      <c r="E64" s="54" t="str">
        <f aca="false">IF(D64&lt;&gt;"",MAX(1,ROUND(C10*D64,0)),"")</f>
        <v/>
      </c>
      <c r="F64" s="54" t="str">
        <f aca="false">IF(AND(E64&lt;&gt;"",E63&lt;&gt;""),ABS(E64-E63),IF(E64&lt;&gt;"",E64,""))</f>
        <v/>
      </c>
      <c r="G64" s="66" t="str">
        <f aca="false">IF(F64&lt;&gt;"",F64*PI()*($C$8+$C$7),"")</f>
        <v/>
      </c>
      <c r="H64" s="71" t="str">
        <f aca="false">IF(G64&lt;&gt;"",G64*4*0.00000001724*1000000/(PI()*$C$7^2),"")</f>
        <v/>
      </c>
      <c r="I64" s="66" t="str">
        <f aca="false">IF(G64&lt;&gt;"",SUM(G58:G64),"")</f>
        <v/>
      </c>
      <c r="J64" s="49"/>
      <c r="K64" s="2"/>
      <c r="L64" s="2"/>
      <c r="M64" s="2"/>
      <c r="N64" s="2"/>
      <c r="O64" s="2"/>
      <c r="P64" s="2"/>
      <c r="Q64" s="2"/>
      <c r="R64" s="2"/>
      <c r="S64" s="2"/>
      <c r="T64" s="2"/>
      <c r="U64" s="2"/>
      <c r="V64" s="2"/>
      <c r="W64" s="2"/>
      <c r="X64" s="2"/>
      <c r="Y64" s="2"/>
      <c r="Z64" s="2"/>
      <c r="AA64" s="79" t="n">
        <v>9.1</v>
      </c>
    </row>
    <row r="65" s="44" customFormat="true" ht="13.4" hidden="false" customHeight="false" outlineLevel="0" collapsed="false">
      <c r="A65" s="1"/>
      <c r="B65" s="53" t="n">
        <v>8</v>
      </c>
      <c r="C65" s="53" t="n">
        <f aca="false">C22</f>
        <v>0</v>
      </c>
      <c r="D65" s="73" t="str">
        <f aca="false">IF(D22&lt;&gt;"",SQRT(D22/MAX($C$6,0.000000001)),"")</f>
        <v/>
      </c>
      <c r="E65" s="54" t="str">
        <f aca="false">IF(D65&lt;&gt;"",MAX(1,ROUND(C10*D65,0)),"")</f>
        <v/>
      </c>
      <c r="F65" s="54" t="str">
        <f aca="false">IF(AND(E65&lt;&gt;"",E64&lt;&gt;""),ABS(E65-E64),IF(E65&lt;&gt;"",E65,""))</f>
        <v/>
      </c>
      <c r="G65" s="66" t="str">
        <f aca="false">IF(F65&lt;&gt;"",F65*PI()*($C$8+$C$7),"")</f>
        <v/>
      </c>
      <c r="H65" s="71" t="str">
        <f aca="false">IF(G65&lt;&gt;"",G65*4*0.00000001724*1000000/(PI()*$C$7^2),"")</f>
        <v/>
      </c>
      <c r="I65" s="66" t="str">
        <f aca="false">IF(G65&lt;&gt;"",SUM(G58:G65),"")</f>
        <v/>
      </c>
      <c r="J65" s="49"/>
      <c r="K65" s="2"/>
      <c r="L65" s="2"/>
      <c r="M65" s="2"/>
      <c r="N65" s="2"/>
      <c r="O65" s="2"/>
      <c r="P65" s="2"/>
      <c r="Q65" s="2"/>
      <c r="R65" s="2"/>
      <c r="S65" s="2"/>
      <c r="T65" s="2"/>
      <c r="U65" s="2"/>
      <c r="V65" s="2"/>
      <c r="W65" s="2"/>
      <c r="X65" s="2"/>
      <c r="Y65" s="2"/>
      <c r="Z65" s="2"/>
      <c r="AA65" s="79" t="n">
        <v>10</v>
      </c>
    </row>
    <row r="66" s="44" customFormat="true" ht="13.4" hidden="false" customHeight="false" outlineLevel="0" collapsed="false">
      <c r="A66" s="1"/>
      <c r="B66" s="53" t="n">
        <v>9</v>
      </c>
      <c r="C66" s="53" t="n">
        <f aca="false">C23</f>
        <v>0</v>
      </c>
      <c r="D66" s="73" t="str">
        <f aca="false">IF(D23&lt;&gt;"",SQRT(D23/MAX($C$6,0.000000001)),"")</f>
        <v/>
      </c>
      <c r="E66" s="54" t="str">
        <f aca="false">IF(D66&lt;&gt;"",MAX(1,ROUND(C10*D66,0)),"")</f>
        <v/>
      </c>
      <c r="F66" s="54" t="str">
        <f aca="false">IF(AND(E66&lt;&gt;"",E65&lt;&gt;""),ABS(E66-E65),IF(E66&lt;&gt;"",E66,""))</f>
        <v/>
      </c>
      <c r="G66" s="66" t="str">
        <f aca="false">IF(F66&lt;&gt;"",F66*PI()*($C$8+$C$7),"")</f>
        <v/>
      </c>
      <c r="H66" s="71" t="str">
        <f aca="false">IF(G66&lt;&gt;"",G66*4*0.00000001724*1000000/(PI()*$C$7^2),"")</f>
        <v/>
      </c>
      <c r="I66" s="66" t="str">
        <f aca="false">IF(G66&lt;&gt;"",SUM(G58:G66),"")</f>
        <v/>
      </c>
      <c r="J66" s="49"/>
      <c r="K66" s="2"/>
      <c r="L66" s="2"/>
      <c r="M66" s="2"/>
      <c r="N66" s="2"/>
      <c r="O66" s="2"/>
      <c r="P66" s="2"/>
      <c r="Q66" s="2"/>
      <c r="R66" s="2"/>
      <c r="S66" s="2"/>
      <c r="T66" s="2"/>
      <c r="U66" s="2"/>
      <c r="V66" s="2"/>
      <c r="W66" s="2"/>
      <c r="X66" s="2"/>
      <c r="Y66" s="2"/>
      <c r="Z66" s="2"/>
      <c r="AA66" s="79" t="n">
        <v>11</v>
      </c>
    </row>
    <row r="67" s="44" customFormat="true" ht="13.4" hidden="false" customHeight="false" outlineLevel="0" collapsed="false">
      <c r="A67" s="1"/>
      <c r="B67" s="53" t="n">
        <v>10</v>
      </c>
      <c r="C67" s="53" t="n">
        <f aca="false">C24</f>
        <v>0</v>
      </c>
      <c r="D67" s="73" t="str">
        <f aca="false">IF(D24&lt;&gt;"",SQRT(D24/MAX($C$6,0.000000001)),"")</f>
        <v/>
      </c>
      <c r="E67" s="54" t="str">
        <f aca="false">IF(D67&lt;&gt;"",MAX(1,ROUND(C10*D67,0)),"")</f>
        <v/>
      </c>
      <c r="F67" s="54" t="str">
        <f aca="false">IF(AND(E67&lt;&gt;"",E66&lt;&gt;""),ABS(E67-E66),IF(E67&lt;&gt;"",E67,""))</f>
        <v/>
      </c>
      <c r="G67" s="66" t="str">
        <f aca="false">IF(F67&lt;&gt;"",F67*PI()*($C$8+$C$7),"")</f>
        <v/>
      </c>
      <c r="H67" s="71" t="str">
        <f aca="false">IF(G67&lt;&gt;"",G67*4*0.00000001724*1000000/(PI()*$C$7^2),"")</f>
        <v/>
      </c>
      <c r="I67" s="66" t="str">
        <f aca="false">IF(G67&lt;&gt;"",SUM(G58:G67),"")</f>
        <v/>
      </c>
      <c r="J67" s="49"/>
      <c r="K67" s="2"/>
      <c r="L67" s="2"/>
      <c r="M67" s="2"/>
      <c r="N67" s="2"/>
      <c r="O67" s="2"/>
      <c r="P67" s="2"/>
      <c r="Q67" s="2"/>
      <c r="R67" s="2"/>
      <c r="S67" s="2"/>
      <c r="T67" s="2"/>
      <c r="U67" s="2"/>
      <c r="V67" s="2"/>
      <c r="W67" s="2"/>
      <c r="X67" s="2"/>
      <c r="Y67" s="2"/>
      <c r="Z67" s="2"/>
      <c r="AA67" s="79" t="n">
        <v>12</v>
      </c>
    </row>
    <row r="68" s="44" customFormat="true" ht="13.4" hidden="false" customHeight="false" outlineLevel="0" collapsed="false">
      <c r="A68" s="1"/>
      <c r="B68" s="53" t="n">
        <v>11</v>
      </c>
      <c r="C68" s="53" t="n">
        <f aca="false">C25</f>
        <v>0</v>
      </c>
      <c r="D68" s="73" t="str">
        <f aca="false">IF(D25&lt;&gt;"",SQRT(D25/MAX($C$6,0.000000001)),"")</f>
        <v/>
      </c>
      <c r="E68" s="54" t="str">
        <f aca="false">IF(D68&lt;&gt;"",MAX(1,ROUND(C10*D68,0)),"")</f>
        <v/>
      </c>
      <c r="F68" s="54" t="str">
        <f aca="false">IF(AND(E68&lt;&gt;"",E67&lt;&gt;""),ABS(E68-E67),IF(E68&lt;&gt;"",E68,""))</f>
        <v/>
      </c>
      <c r="G68" s="66" t="str">
        <f aca="false">IF(F68&lt;&gt;"",F68*PI()*($C$8+$C$7),"")</f>
        <v/>
      </c>
      <c r="H68" s="71" t="str">
        <f aca="false">IF(G68&lt;&gt;"",G68*4*0.00000001724*1000000/(PI()*$C$7^2),"")</f>
        <v/>
      </c>
      <c r="I68" s="66" t="str">
        <f aca="false">IF(G68&lt;&gt;"",SUM(G58:G68),"")</f>
        <v/>
      </c>
      <c r="J68" s="49"/>
      <c r="K68" s="2"/>
      <c r="L68" s="2"/>
      <c r="M68" s="2"/>
      <c r="N68" s="2"/>
      <c r="O68" s="2"/>
      <c r="P68" s="2"/>
      <c r="Q68" s="2"/>
      <c r="R68" s="2"/>
      <c r="S68" s="2"/>
      <c r="T68" s="2"/>
      <c r="U68" s="2"/>
      <c r="V68" s="2"/>
      <c r="W68" s="2"/>
      <c r="X68" s="2"/>
      <c r="Y68" s="2"/>
      <c r="Z68" s="2"/>
      <c r="AA68" s="79" t="n">
        <v>13</v>
      </c>
    </row>
    <row r="69" s="44" customFormat="true" ht="12.75" hidden="false" customHeight="false" outlineLevel="0" collapsed="false">
      <c r="A69" s="1"/>
      <c r="B69" s="1"/>
      <c r="C69" s="1"/>
      <c r="D69" s="1"/>
      <c r="E69" s="1"/>
      <c r="F69" s="1"/>
      <c r="G69" s="1"/>
      <c r="H69" s="1"/>
      <c r="I69" s="1"/>
      <c r="J69" s="1"/>
      <c r="K69" s="2"/>
      <c r="L69" s="2"/>
      <c r="M69" s="2"/>
      <c r="N69" s="2"/>
      <c r="O69" s="2"/>
      <c r="P69" s="2"/>
      <c r="Q69" s="2"/>
      <c r="R69" s="2"/>
      <c r="S69" s="2"/>
      <c r="T69" s="2"/>
      <c r="U69" s="2"/>
      <c r="V69" s="2"/>
      <c r="W69" s="2"/>
      <c r="X69" s="2"/>
      <c r="Y69" s="2"/>
      <c r="Z69" s="2"/>
      <c r="AA69" s="79" t="n">
        <v>15</v>
      </c>
    </row>
    <row r="70" s="44" customFormat="true" ht="13.5" hidden="false" customHeight="true" outlineLevel="0" collapsed="false">
      <c r="A70" s="1"/>
      <c r="B70" s="80" t="s">
        <v>146</v>
      </c>
      <c r="C70" s="80"/>
      <c r="D70" s="80"/>
      <c r="E70" s="54" t="n">
        <f aca="false">IFERROR(MAX(E58:E68),"")</f>
        <v>9</v>
      </c>
      <c r="F70" s="1"/>
      <c r="G70" s="1"/>
      <c r="H70" s="81" t="n">
        <f aca="false">IFERROR(SUM(H58:H68),"")</f>
        <v>38.68656</v>
      </c>
      <c r="I70" s="82" t="n">
        <f aca="false">IFERROR(MAX(I58:I68),"")</f>
        <v>1762.43347866387</v>
      </c>
      <c r="J70" s="1"/>
      <c r="K70" s="2"/>
      <c r="L70" s="2"/>
      <c r="M70" s="2"/>
      <c r="N70" s="2"/>
      <c r="O70" s="2"/>
      <c r="P70" s="2"/>
      <c r="Q70" s="2"/>
      <c r="R70" s="2"/>
      <c r="S70" s="2"/>
      <c r="T70" s="2"/>
      <c r="U70" s="2"/>
      <c r="V70" s="2"/>
      <c r="W70" s="2"/>
      <c r="X70" s="2"/>
      <c r="Y70" s="2"/>
      <c r="Z70" s="2"/>
      <c r="AA70" s="79" t="n">
        <v>16</v>
      </c>
    </row>
    <row r="71" s="44" customFormat="true" ht="12.75" hidden="false" customHeight="false" outlineLevel="0" collapsed="false">
      <c r="A71" s="1"/>
      <c r="B71" s="1"/>
      <c r="C71" s="1"/>
      <c r="D71" s="1"/>
      <c r="E71" s="1"/>
      <c r="F71" s="1"/>
      <c r="G71" s="1"/>
      <c r="H71" s="1"/>
      <c r="I71" s="1"/>
      <c r="J71" s="1"/>
      <c r="K71" s="2"/>
      <c r="L71" s="2"/>
      <c r="M71" s="2"/>
      <c r="N71" s="2"/>
      <c r="O71" s="2"/>
      <c r="P71" s="2"/>
      <c r="Q71" s="2"/>
      <c r="R71" s="2"/>
      <c r="S71" s="2"/>
      <c r="T71" s="2"/>
      <c r="U71" s="2"/>
      <c r="V71" s="2"/>
      <c r="W71" s="2"/>
      <c r="X71" s="2"/>
      <c r="Y71" s="2"/>
      <c r="Z71" s="2"/>
      <c r="AA71" s="79" t="n">
        <v>18</v>
      </c>
    </row>
    <row r="72" s="44" customFormat="true" ht="13.5" hidden="false" customHeight="true" outlineLevel="0" collapsed="false">
      <c r="A72" s="1"/>
      <c r="B72" s="43" t="s">
        <v>147</v>
      </c>
      <c r="C72" s="43"/>
      <c r="D72" s="43"/>
      <c r="E72" s="43"/>
      <c r="F72" s="43"/>
      <c r="G72" s="43"/>
      <c r="H72" s="43"/>
      <c r="I72" s="43"/>
      <c r="J72" s="1"/>
      <c r="K72" s="2"/>
      <c r="L72" s="2"/>
      <c r="M72" s="2"/>
      <c r="N72" s="2"/>
      <c r="O72" s="2"/>
      <c r="P72" s="2"/>
      <c r="Q72" s="2"/>
      <c r="R72" s="2"/>
      <c r="S72" s="2"/>
      <c r="T72" s="2"/>
      <c r="U72" s="2"/>
      <c r="V72" s="2"/>
      <c r="W72" s="2"/>
      <c r="X72" s="2"/>
      <c r="Y72" s="2"/>
      <c r="Z72" s="2"/>
      <c r="AA72" s="79" t="n">
        <v>20</v>
      </c>
    </row>
    <row r="73" s="44" customFormat="true" ht="13.5" hidden="false" customHeight="true" outlineLevel="0" collapsed="false">
      <c r="A73" s="1"/>
      <c r="B73" s="64" t="s">
        <v>148</v>
      </c>
      <c r="C73" s="64"/>
      <c r="D73" s="64"/>
      <c r="E73" s="64"/>
      <c r="F73" s="64"/>
      <c r="G73" s="64"/>
      <c r="H73" s="64"/>
      <c r="I73" s="64"/>
      <c r="J73" s="1"/>
      <c r="K73" s="2"/>
      <c r="L73" s="2"/>
      <c r="M73" s="2"/>
      <c r="N73" s="2"/>
      <c r="O73" s="2"/>
      <c r="P73" s="2"/>
      <c r="Q73" s="2"/>
      <c r="R73" s="2"/>
      <c r="S73" s="2"/>
      <c r="T73" s="2"/>
      <c r="U73" s="2"/>
      <c r="V73" s="2"/>
      <c r="W73" s="2"/>
      <c r="X73" s="2"/>
      <c r="Y73" s="2"/>
      <c r="Z73" s="2"/>
      <c r="AA73" s="79" t="n">
        <v>22</v>
      </c>
    </row>
    <row r="74" s="44" customFormat="true" ht="12.75" hidden="false" customHeight="false" outlineLevel="0" collapsed="false">
      <c r="A74" s="1"/>
      <c r="B74" s="1"/>
      <c r="C74" s="1"/>
      <c r="D74" s="1"/>
      <c r="E74" s="1"/>
      <c r="F74" s="1"/>
      <c r="G74" s="1"/>
      <c r="H74" s="1"/>
      <c r="I74" s="1"/>
      <c r="J74" s="1"/>
      <c r="K74" s="2"/>
      <c r="L74" s="2"/>
      <c r="M74" s="2"/>
      <c r="N74" s="2"/>
      <c r="O74" s="2"/>
      <c r="P74" s="2"/>
      <c r="Q74" s="2"/>
      <c r="R74" s="2"/>
      <c r="S74" s="2"/>
      <c r="T74" s="2"/>
      <c r="U74" s="2"/>
      <c r="V74" s="2"/>
      <c r="W74" s="2"/>
      <c r="X74" s="2"/>
      <c r="Y74" s="2"/>
      <c r="Z74" s="2"/>
      <c r="AA74" s="79" t="n">
        <v>24</v>
      </c>
    </row>
    <row r="75" s="44" customFormat="true" ht="13.5" hidden="false" customHeight="true" outlineLevel="0" collapsed="false">
      <c r="A75" s="1"/>
      <c r="B75" s="45" t="s">
        <v>149</v>
      </c>
      <c r="C75" s="45"/>
      <c r="D75" s="45"/>
      <c r="E75" s="45"/>
      <c r="F75" s="45"/>
      <c r="G75" s="45"/>
      <c r="H75" s="45"/>
      <c r="I75" s="45"/>
      <c r="J75" s="1"/>
      <c r="K75" s="2"/>
      <c r="L75" s="2"/>
      <c r="M75" s="2"/>
      <c r="N75" s="2"/>
      <c r="O75" s="2"/>
      <c r="P75" s="2"/>
      <c r="Q75" s="2"/>
      <c r="R75" s="2"/>
      <c r="S75" s="2"/>
      <c r="T75" s="2"/>
      <c r="U75" s="2"/>
      <c r="V75" s="2"/>
      <c r="W75" s="2"/>
      <c r="X75" s="2"/>
      <c r="Y75" s="2"/>
      <c r="Z75" s="2"/>
      <c r="AA75" s="79" t="n">
        <v>27</v>
      </c>
    </row>
    <row r="76" s="44" customFormat="true" ht="37.3" hidden="false" customHeight="false" outlineLevel="0" collapsed="false">
      <c r="A76" s="1"/>
      <c r="B76" s="46" t="s">
        <v>102</v>
      </c>
      <c r="C76" s="46" t="s">
        <v>119</v>
      </c>
      <c r="D76" s="46" t="s">
        <v>150</v>
      </c>
      <c r="E76" s="46" t="s">
        <v>121</v>
      </c>
      <c r="F76" s="46" t="s">
        <v>151</v>
      </c>
      <c r="G76" s="46" t="s">
        <v>152</v>
      </c>
      <c r="H76" s="46" t="s">
        <v>153</v>
      </c>
      <c r="I76" s="46" t="s">
        <v>154</v>
      </c>
      <c r="J76" s="1"/>
      <c r="K76" s="2"/>
      <c r="L76" s="2"/>
      <c r="M76" s="2"/>
      <c r="N76" s="2"/>
      <c r="O76" s="2"/>
      <c r="P76" s="2"/>
      <c r="Q76" s="2"/>
      <c r="R76" s="2"/>
      <c r="S76" s="2"/>
      <c r="T76" s="2"/>
      <c r="U76" s="2"/>
      <c r="V76" s="2"/>
      <c r="W76" s="2"/>
      <c r="X76" s="2"/>
      <c r="Y76" s="2"/>
      <c r="Z76" s="2"/>
      <c r="AA76" s="79" t="n">
        <v>30</v>
      </c>
    </row>
    <row r="77" s="44" customFormat="true" ht="13.4" hidden="false" customHeight="false" outlineLevel="0" collapsed="false">
      <c r="A77" s="1"/>
      <c r="B77" s="70" t="n">
        <v>1</v>
      </c>
      <c r="C77" s="53" t="n">
        <f aca="false">C15</f>
        <v>7.15</v>
      </c>
      <c r="D77" s="71" t="n">
        <f aca="false">IF(AND(ISNUMBER(D15),D15&gt;0),SQRT(D15^2+IF(ISNUMBER(E15),E15,0)^2),"")</f>
        <v>75.953933407033</v>
      </c>
      <c r="E77" s="72" t="n">
        <f aca="false">IF(AND(ISNUMBER(D15),D15&gt;0),IFERROR(DEGREES(ATAN2(D15,IF(ISNUMBER(E15),E15,0))),""),"")</f>
        <v>-9.09027692082232</v>
      </c>
      <c r="F77" s="74" t="n">
        <f aca="false">IF(D77&lt;&gt;"",IFERROR((1+SQRT(((IF(ISNUMBER(D15),D15/MAX((D15/$C$6),0.000000001),C6)-C6)^2+(IF(ISNUMBER(E15),E15/MAX((D15/$C$6),0.000000001),0))^2)/((IF(ISNUMBER(D15),D15/MAX((D15/$C$6),0.000000001),C6)+C6)^2+(IF(ISNUMBER(E15),E15/MAX((D15/$C$6),0.000000001),0))^2)))/(1-SQRT(((IF(ISNUMBER(D15),D15/MAX((D15/$C$6),0.000000001),C6)-C6)^2+(IF(ISNUMBER(E15),E15/MAX((D15/$C$6),0.000000001),0))^2)/((IF(ISNUMBER(D15),D15/MAX((D15/$C$6),0.000000001),C6)+C6)^2+(IF(ISNUMBER(E15),E15/MAX((D15/$C$6),0.000000001),0))^2))),999),"")</f>
        <v>1.173311183411</v>
      </c>
      <c r="G77" s="75" t="n">
        <f aca="false">IF(D77&lt;&gt;"",IFERROR(-20*LOG10(MAX(SQRT(((IF(ISNUMBER(D15),D15/MAX((D15/$C$6),0.000000001),C6)-C6)^2+(IF(ISNUMBER(E15),E15/MAX((D15/$C$6),0.000000001),0))^2)/((IF(ISNUMBER(D15),D15/MAX((D15/$C$6),0.000000001),C6)+C6)^2+(IF(ISNUMBER(E15),E15/MAX((D15/$C$6),0.000000001),0))^2)),0.000000001)),0),"")</f>
        <v>21.9659065411731</v>
      </c>
      <c r="H77" s="74" t="n">
        <f aca="false">IF(D77&lt;&gt;"",IFERROR(MAX(0,-10*LOG10(1-((IF(ISNUMBER(D15),D15/MAX((D15/$C$6),0.000000001),C6)-C6)^2+(IF(ISNUMBER(E15),E15/MAX((D15/$C$6),0.000000001),0))^2)/((IF(ISNUMBER(D15),D15/MAX((D15/$C$6),0.000000001),C6)+C6)^2+(IF(ISNUMBER(E15),E15/MAX((D15/$C$6),0.000000001),0))^2))),0),"")</f>
        <v>0.0277062810119371</v>
      </c>
      <c r="I77" s="74" t="n">
        <f aca="false">IF(D77&lt;&gt;"",IFERROR(((IF(ISNUMBER(D15),D15/MAX((D15/$C$6),0.000000001),C6)-C6)^2+(IF(ISNUMBER(E15),E15/MAX((D15/$C$6),0.000000001),0))^2)/((IF(ISNUMBER(D15),D15/MAX((D15/$C$6),0.000000001),C6)+C6)^2+(IF(ISNUMBER(E15),E15/MAX((D15/$C$6),0.000000001),0))^2)*100,0),"")</f>
        <v>0.635930047694754</v>
      </c>
      <c r="J77" s="1"/>
      <c r="K77" s="2"/>
      <c r="L77" s="2"/>
      <c r="M77" s="2"/>
      <c r="N77" s="2"/>
      <c r="O77" s="2"/>
      <c r="P77" s="2"/>
      <c r="Q77" s="2"/>
      <c r="R77" s="2"/>
      <c r="S77" s="2"/>
      <c r="T77" s="2"/>
      <c r="U77" s="2"/>
      <c r="V77" s="2"/>
      <c r="W77" s="2"/>
      <c r="X77" s="2"/>
      <c r="Y77" s="2"/>
      <c r="Z77" s="2"/>
      <c r="AA77" s="79" t="n">
        <v>33</v>
      </c>
    </row>
    <row r="78" s="44" customFormat="true" ht="13.4" hidden="false" customHeight="false" outlineLevel="0" collapsed="false">
      <c r="A78" s="1"/>
      <c r="B78" s="70" t="n">
        <v>2</v>
      </c>
      <c r="C78" s="53" t="n">
        <f aca="false">C16</f>
        <v>14.17</v>
      </c>
      <c r="D78" s="71" t="n">
        <f aca="false">IF(AND(ISNUMBER(D16),D16&gt;0),SQRT(D16^2+IF(ISNUMBER(E16),E16,0)^2),"")</f>
        <v>70.8378429936994</v>
      </c>
      <c r="E78" s="72" t="n">
        <f aca="false">IF(AND(ISNUMBER(D16),D16&gt;0),IFERROR(DEGREES(ATAN2(D16,IF(ISNUMBER(E16),E16,0))),""),"")</f>
        <v>18.9465046895091</v>
      </c>
      <c r="F78" s="74" t="n">
        <f aca="false">IF(D78&lt;&gt;"",IFERROR((1+SQRT(((IF(ISNUMBER(D16),D16/MAX((D16/$C$6),0.000000001),C6)-C6)^2+(IF(ISNUMBER(E16),E16/MAX((D16/$C$6),0.000000001),0))^2)/((IF(ISNUMBER(D16),D16/MAX((D16/$C$6),0.000000001),C6)+C6)^2+(IF(ISNUMBER(E16),E16/MAX((D16/$C$6),0.000000001),0))^2)))/(1-SQRT(((IF(ISNUMBER(D16),D16/MAX((D16/$C$6),0.000000001),C6)-C6)^2+(IF(ISNUMBER(E16),E16/MAX((D16/$C$6),0.000000001),0))^2)/((IF(ISNUMBER(D16),D16/MAX((D16/$C$6),0.000000001),C6)+C6)^2+(IF(ISNUMBER(E16),E16/MAX((D16/$C$6),0.000000001),0))^2))),999),"")</f>
        <v>1.4072254081761</v>
      </c>
      <c r="G78" s="75" t="n">
        <f aca="false">IF(D78&lt;&gt;"",IFERROR(-20*LOG10(MAX(SQRT(((IF(ISNUMBER(D16),D16/MAX((D16/$C$6),0.000000001),C6)-C6)^2+(IF(ISNUMBER(E16),E16/MAX((D16/$C$6),0.000000001),0))^2)/((IF(ISNUMBER(D16),D16/MAX((D16/$C$6),0.000000001),C6)+C6)^2+(IF(ISNUMBER(E16),E16/MAX((D16/$C$6),0.000000001),0))^2)),0.000000001)),0),"")</f>
        <v>15.4336378287394</v>
      </c>
      <c r="H78" s="74" t="n">
        <f aca="false">IF(D78&lt;&gt;"",IFERROR(MAX(0,-10*LOG10(1-((IF(ISNUMBER(D16),D16/MAX((D16/$C$6),0.000000001),C6)-C6)^2+(IF(ISNUMBER(E16),E16/MAX((D16/$C$6),0.000000001),0))^2)/((IF(ISNUMBER(D16),D16/MAX((D16/$C$6),0.000000001),C6)+C6)^2+(IF(ISNUMBER(E16),E16/MAX((D16/$C$6),0.000000001),0))^2))),0),"")</f>
        <v>0.126098581795103</v>
      </c>
      <c r="I78" s="74" t="n">
        <f aca="false">IF(D78&lt;&gt;"",IFERROR(((IF(ISNUMBER(D16),D16/MAX((D16/$C$6),0.000000001),C6)-C6)^2+(IF(ISNUMBER(E16),E16/MAX((D16/$C$6),0.000000001),0))^2)/((IF(ISNUMBER(D16),D16/MAX((D16/$C$6),0.000000001),C6)+C6)^2+(IF(ISNUMBER(E16),E16/MAX((D16/$C$6),0.000000001),0))^2)*100,0),"")</f>
        <v>2.86177982147687</v>
      </c>
      <c r="J78" s="1"/>
      <c r="K78" s="2"/>
      <c r="L78" s="2"/>
      <c r="M78" s="2"/>
      <c r="N78" s="2"/>
      <c r="O78" s="2"/>
      <c r="P78" s="2"/>
      <c r="Q78" s="2"/>
      <c r="R78" s="2"/>
      <c r="S78" s="2"/>
      <c r="T78" s="2"/>
      <c r="U78" s="2"/>
      <c r="V78" s="2"/>
      <c r="W78" s="2"/>
      <c r="X78" s="2"/>
      <c r="Y78" s="2"/>
      <c r="Z78" s="2"/>
      <c r="AA78" s="79" t="n">
        <v>36</v>
      </c>
    </row>
    <row r="79" s="44" customFormat="true" ht="13.4" hidden="false" customHeight="false" outlineLevel="0" collapsed="false">
      <c r="A79" s="1"/>
      <c r="B79" s="70" t="n">
        <v>3</v>
      </c>
      <c r="C79" s="53" t="n">
        <f aca="false">C17</f>
        <v>28</v>
      </c>
      <c r="D79" s="71" t="n">
        <f aca="false">IF(AND(ISNUMBER(D17),D17&gt;0),SQRT(D17^2+IF(ISNUMBER(E17),E17,0)^2),"")</f>
        <v>46.0977222864644</v>
      </c>
      <c r="E79" s="72" t="n">
        <f aca="false">IF(AND(ISNUMBER(D17),D17&gt;0),IFERROR(DEGREES(ATAN2(D17,IF(ISNUMBER(E17),E17,0))),""),"")</f>
        <v>12.5288077091515</v>
      </c>
      <c r="F79" s="74" t="n">
        <f aca="false">IF(D79&lt;&gt;"",IFERROR((1+SQRT(((IF(ISNUMBER(D17),D17/MAX((D17/$C$6),0.000000001),C6)-C6)^2+(IF(ISNUMBER(E17),E17/MAX((D17/$C$6),0.000000001),0))^2)/((IF(ISNUMBER(D17),D17/MAX((D17/$C$6),0.000000001),C6)+C6)^2+(IF(ISNUMBER(E17),E17/MAX((D17/$C$6),0.000000001),0))^2)))/(1-SQRT(((IF(ISNUMBER(D17),D17/MAX((D17/$C$6),0.000000001),C6)-C6)^2+(IF(ISNUMBER(E17),E17/MAX((D17/$C$6),0.000000001),0))^2)/((IF(ISNUMBER(D17),D17/MAX((D17/$C$6),0.000000001),C6)+C6)^2+(IF(ISNUMBER(E17),E17/MAX((D17/$C$6),0.000000001),0))^2))),999),"")</f>
        <v>1.24828111452191</v>
      </c>
      <c r="G79" s="75" t="n">
        <f aca="false">IF(D79&lt;&gt;"",IFERROR(-20*LOG10(MAX(SQRT(((IF(ISNUMBER(D17),D17/MAX((D17/$C$6),0.000000001),C6)-C6)^2+(IF(ISNUMBER(E17),E17/MAX((D17/$C$6),0.000000001),0))^2)/((IF(ISNUMBER(D17),D17/MAX((D17/$C$6),0.000000001),C6)+C6)^2+(IF(ISNUMBER(E17),E17/MAX((D17/$C$6),0.000000001),0))^2)),0.000000001)),0),"")</f>
        <v>19.1381385238372</v>
      </c>
      <c r="H79" s="74" t="n">
        <f aca="false">IF(D79&lt;&gt;"",IFERROR(MAX(0,-10*LOG10(1-((IF(ISNUMBER(D17),D17/MAX((D17/$C$6),0.000000001),C6)-C6)^2+(IF(ISNUMBER(E17),E17/MAX((D17/$C$6),0.000000001),0))^2)/((IF(ISNUMBER(D17),D17/MAX((D17/$C$6),0.000000001),C6)+C6)^2+(IF(ISNUMBER(E17),E17/MAX((D17/$C$6),0.000000001),0))^2))),0),"")</f>
        <v>0.0532883350506695</v>
      </c>
      <c r="I79" s="74" t="n">
        <f aca="false">IF(D79&lt;&gt;"",IFERROR(((IF(ISNUMBER(D17),D17/MAX((D17/$C$6),0.000000001),C6)-C6)^2+(IF(ISNUMBER(E17),E17/MAX((D17/$C$6),0.000000001),0))^2)/((IF(ISNUMBER(D17),D17/MAX((D17/$C$6),0.000000001),C6)+C6)^2+(IF(ISNUMBER(E17),E17/MAX((D17/$C$6),0.000000001),0))^2)*100,0),"")</f>
        <v>1.21951219512195</v>
      </c>
      <c r="J79" s="1"/>
      <c r="K79" s="2"/>
      <c r="L79" s="2"/>
      <c r="M79" s="2"/>
      <c r="N79" s="2"/>
      <c r="O79" s="2"/>
      <c r="P79" s="2"/>
      <c r="Q79" s="2"/>
      <c r="R79" s="2"/>
      <c r="S79" s="2"/>
      <c r="T79" s="2"/>
      <c r="U79" s="2"/>
      <c r="V79" s="2"/>
      <c r="W79" s="2"/>
      <c r="X79" s="2"/>
      <c r="Y79" s="2"/>
      <c r="Z79" s="2"/>
      <c r="AA79" s="79" t="n">
        <v>39</v>
      </c>
    </row>
    <row r="80" s="44" customFormat="true" ht="13.4" hidden="false" customHeight="false" outlineLevel="0" collapsed="false">
      <c r="A80" s="1"/>
      <c r="B80" s="70" t="n">
        <v>4</v>
      </c>
      <c r="C80" s="53" t="n">
        <f aca="false">C18</f>
        <v>0</v>
      </c>
      <c r="D80" s="71" t="str">
        <f aca="false">IF(AND(ISNUMBER(D18),D18&gt;0),SQRT(D18^2+IF(ISNUMBER(E18),E18,0)^2),"")</f>
        <v/>
      </c>
      <c r="E80" s="72" t="str">
        <f aca="false">IF(AND(ISNUMBER(D18),D18&gt;0),IFERROR(DEGREES(ATAN2(D18,IF(ISNUMBER(E18),E18,0))),""),"")</f>
        <v/>
      </c>
      <c r="F80" s="74" t="str">
        <f aca="false">IF(D80&lt;&gt;"",IFERROR((1+SQRT(((IF(ISNUMBER(D18),D18/MAX((D18/$C$6),0.000000001),C6)-C6)^2+(IF(ISNUMBER(E18),E18/MAX((D18/$C$6),0.000000001),0))^2)/((IF(ISNUMBER(D18),D18/MAX((D18/$C$6),0.000000001),C6)+C6)^2+(IF(ISNUMBER(E18),E18/MAX((D18/$C$6),0.000000001),0))^2)))/(1-SQRT(((IF(ISNUMBER(D18),D18/MAX((D18/$C$6),0.000000001),C6)-C6)^2+(IF(ISNUMBER(E18),E18/MAX((D18/$C$6),0.000000001),0))^2)/((IF(ISNUMBER(D18),D18/MAX((D18/$C$6),0.000000001),C6)+C6)^2+(IF(ISNUMBER(E18),E18/MAX((D18/$C$6),0.000000001),0))^2))),999),"")</f>
        <v/>
      </c>
      <c r="G80" s="75" t="str">
        <f aca="false">IF(D80&lt;&gt;"",IFERROR(-20*LOG10(MAX(SQRT(((IF(ISNUMBER(D18),D18/MAX((D18/$C$6),0.000000001),C6)-C6)^2+(IF(ISNUMBER(E18),E18/MAX((D18/$C$6),0.000000001),0))^2)/((IF(ISNUMBER(D18),D18/MAX((D18/$C$6),0.000000001),C6)+C6)^2+(IF(ISNUMBER(E18),E18/MAX((D18/$C$6),0.000000001),0))^2)),0.000000001)),0),"")</f>
        <v/>
      </c>
      <c r="H80" s="74" t="str">
        <f aca="false">IF(D80&lt;&gt;"",IFERROR(MAX(0,-10*LOG10(1-((IF(ISNUMBER(D18),D18/MAX((D18/$C$6),0.000000001),C6)-C6)^2+(IF(ISNUMBER(E18),E18/MAX((D18/$C$6),0.000000001),0))^2)/((IF(ISNUMBER(D18),D18/MAX((D18/$C$6),0.000000001),C6)+C6)^2+(IF(ISNUMBER(E18),E18/MAX((D18/$C$6),0.000000001),0))^2))),0),"")</f>
        <v/>
      </c>
      <c r="I80" s="74" t="str">
        <f aca="false">IF(D80&lt;&gt;"",IFERROR(((IF(ISNUMBER(D18),D18/MAX((D18/$C$6),0.000000001),C6)-C6)^2+(IF(ISNUMBER(E18),E18/MAX((D18/$C$6),0.000000001),0))^2)/((IF(ISNUMBER(D18),D18/MAX((D18/$C$6),0.000000001),C6)+C6)^2+(IF(ISNUMBER(E18),E18/MAX((D18/$C$6),0.000000001),0))^2)*100,0),"")</f>
        <v/>
      </c>
      <c r="J80" s="1"/>
      <c r="K80" s="2"/>
      <c r="L80" s="2"/>
      <c r="M80" s="2"/>
      <c r="N80" s="2"/>
      <c r="O80" s="2"/>
      <c r="P80" s="2"/>
      <c r="Q80" s="2"/>
      <c r="R80" s="2"/>
      <c r="S80" s="2"/>
      <c r="T80" s="2"/>
      <c r="U80" s="2"/>
      <c r="V80" s="2"/>
      <c r="W80" s="2"/>
      <c r="X80" s="2"/>
      <c r="Y80" s="2"/>
      <c r="Z80" s="2"/>
      <c r="AA80" s="79" t="n">
        <v>43</v>
      </c>
    </row>
    <row r="81" s="44" customFormat="true" ht="13.4" hidden="false" customHeight="false" outlineLevel="0" collapsed="false">
      <c r="A81" s="1"/>
      <c r="B81" s="70" t="n">
        <v>5</v>
      </c>
      <c r="C81" s="53" t="n">
        <f aca="false">C19</f>
        <v>0</v>
      </c>
      <c r="D81" s="71" t="str">
        <f aca="false">IF(AND(ISNUMBER(D19),D19&gt;0),SQRT(D19^2+IF(ISNUMBER(E19),E19,0)^2),"")</f>
        <v/>
      </c>
      <c r="E81" s="72" t="str">
        <f aca="false">IF(AND(ISNUMBER(D19),D19&gt;0),IFERROR(DEGREES(ATAN2(D19,IF(ISNUMBER(E19),E19,0))),""),"")</f>
        <v/>
      </c>
      <c r="F81" s="74" t="str">
        <f aca="false">IF(D81&lt;&gt;"",IFERROR((1+SQRT(((IF(ISNUMBER(D19),D19/MAX((D19/$C$6),0.000000001),C6)-C6)^2+(IF(ISNUMBER(E19),E19/MAX((D19/$C$6),0.000000001),0))^2)/((IF(ISNUMBER(D19),D19/MAX((D19/$C$6),0.000000001),C6)+C6)^2+(IF(ISNUMBER(E19),E19/MAX((D19/$C$6),0.000000001),0))^2)))/(1-SQRT(((IF(ISNUMBER(D19),D19/MAX((D19/$C$6),0.000000001),C6)-C6)^2+(IF(ISNUMBER(E19),E19/MAX((D19/$C$6),0.000000001),0))^2)/((IF(ISNUMBER(D19),D19/MAX((D19/$C$6),0.000000001),C6)+C6)^2+(IF(ISNUMBER(E19),E19/MAX((D19/$C$6),0.000000001),0))^2))),999),"")</f>
        <v/>
      </c>
      <c r="G81" s="75" t="str">
        <f aca="false">IF(D81&lt;&gt;"",IFERROR(-20*LOG10(MAX(SQRT(((IF(ISNUMBER(D19),D19/MAX((D19/$C$6),0.000000001),C6)-C6)^2+(IF(ISNUMBER(E19),E19/MAX((D19/$C$6),0.000000001),0))^2)/((IF(ISNUMBER(D19),D19/MAX((D19/$C$6),0.000000001),C6)+C6)^2+(IF(ISNUMBER(E19),E19/MAX((D19/$C$6),0.000000001),0))^2)),0.000000001)),0),"")</f>
        <v/>
      </c>
      <c r="H81" s="74" t="str">
        <f aca="false">IF(D81&lt;&gt;"",IFERROR(MAX(0,-10*LOG10(1-((IF(ISNUMBER(D19),D19/MAX((D19/$C$6),0.000000001),C6)-C6)^2+(IF(ISNUMBER(E19),E19/MAX((D19/$C$6),0.000000001),0))^2)/((IF(ISNUMBER(D19),D19/MAX((D19/$C$6),0.000000001),C6)+C6)^2+(IF(ISNUMBER(E19),E19/MAX((D19/$C$6),0.000000001),0))^2))),0),"")</f>
        <v/>
      </c>
      <c r="I81" s="74" t="str">
        <f aca="false">IF(D81&lt;&gt;"",IFERROR(((IF(ISNUMBER(D19),D19/MAX((D19/$C$6),0.000000001),C6)-C6)^2+(IF(ISNUMBER(E19),E19/MAX((D19/$C$6),0.000000001),0))^2)/((IF(ISNUMBER(D19),D19/MAX((D19/$C$6),0.000000001),C6)+C6)^2+(IF(ISNUMBER(E19),E19/MAX((D19/$C$6),0.000000001),0))^2)*100,0),"")</f>
        <v/>
      </c>
      <c r="J81" s="1"/>
      <c r="K81" s="2"/>
      <c r="L81" s="2"/>
      <c r="M81" s="2"/>
      <c r="N81" s="2"/>
      <c r="O81" s="2"/>
      <c r="P81" s="2"/>
      <c r="Q81" s="2"/>
      <c r="R81" s="2"/>
      <c r="S81" s="2"/>
      <c r="T81" s="2"/>
      <c r="U81" s="2"/>
      <c r="V81" s="2"/>
      <c r="W81" s="2"/>
      <c r="X81" s="2"/>
      <c r="Y81" s="2"/>
      <c r="Z81" s="2"/>
      <c r="AA81" s="79" t="n">
        <v>47</v>
      </c>
    </row>
    <row r="82" s="44" customFormat="true" ht="13.4" hidden="false" customHeight="false" outlineLevel="0" collapsed="false">
      <c r="A82" s="1"/>
      <c r="B82" s="70" t="n">
        <v>6</v>
      </c>
      <c r="C82" s="53" t="n">
        <f aca="false">C20</f>
        <v>0</v>
      </c>
      <c r="D82" s="71" t="str">
        <f aca="false">IF(AND(ISNUMBER(D20),D20&gt;0),SQRT(D20^2+IF(ISNUMBER(E20),E20,0)^2),"")</f>
        <v/>
      </c>
      <c r="E82" s="72" t="str">
        <f aca="false">IF(AND(ISNUMBER(D20),D20&gt;0),IFERROR(DEGREES(ATAN2(D20,IF(ISNUMBER(E20),E20,0))),""),"")</f>
        <v/>
      </c>
      <c r="F82" s="74" t="str">
        <f aca="false">IF(D82&lt;&gt;"",IFERROR((1+SQRT(((IF(ISNUMBER(D20),D20/MAX((D20/$C$6),0.000000001),C6)-C6)^2+(IF(ISNUMBER(E20),E20/MAX((D20/$C$6),0.000000001),0))^2)/((IF(ISNUMBER(D20),D20/MAX((D20/$C$6),0.000000001),C6)+C6)^2+(IF(ISNUMBER(E20),E20/MAX((D20/$C$6),0.000000001),0))^2)))/(1-SQRT(((IF(ISNUMBER(D20),D20/MAX((D20/$C$6),0.000000001),C6)-C6)^2+(IF(ISNUMBER(E20),E20/MAX((D20/$C$6),0.000000001),0))^2)/((IF(ISNUMBER(D20),D20/MAX((D20/$C$6),0.000000001),C6)+C6)^2+(IF(ISNUMBER(E20),E20/MAX((D20/$C$6),0.000000001),0))^2))),999),"")</f>
        <v/>
      </c>
      <c r="G82" s="75" t="str">
        <f aca="false">IF(D82&lt;&gt;"",IFERROR(-20*LOG10(MAX(SQRT(((IF(ISNUMBER(D20),D20/MAX((D20/$C$6),0.000000001),C6)-C6)^2+(IF(ISNUMBER(E20),E20/MAX((D20/$C$6),0.000000001),0))^2)/((IF(ISNUMBER(D20),D20/MAX((D20/$C$6),0.000000001),C6)+C6)^2+(IF(ISNUMBER(E20),E20/MAX((D20/$C$6),0.000000001),0))^2)),0.000000001)),0),"")</f>
        <v/>
      </c>
      <c r="H82" s="74" t="str">
        <f aca="false">IF(D82&lt;&gt;"",IFERROR(MAX(0,-10*LOG10(1-((IF(ISNUMBER(D20),D20/MAX((D20/$C$6),0.000000001),C6)-C6)^2+(IF(ISNUMBER(E20),E20/MAX((D20/$C$6),0.000000001),0))^2)/((IF(ISNUMBER(D20),D20/MAX((D20/$C$6),0.000000001),C6)+C6)^2+(IF(ISNUMBER(E20),E20/MAX((D20/$C$6),0.000000001),0))^2))),0),"")</f>
        <v/>
      </c>
      <c r="I82" s="74" t="str">
        <f aca="false">IF(D82&lt;&gt;"",IFERROR(((IF(ISNUMBER(D20),D20/MAX((D20/$C$6),0.000000001),C6)-C6)^2+(IF(ISNUMBER(E20),E20/MAX((D20/$C$6),0.000000001),0))^2)/((IF(ISNUMBER(D20),D20/MAX((D20/$C$6),0.000000001),C6)+C6)^2+(IF(ISNUMBER(E20),E20/MAX((D20/$C$6),0.000000001),0))^2)*100,0),"")</f>
        <v/>
      </c>
      <c r="J82" s="1"/>
      <c r="K82" s="2"/>
      <c r="L82" s="2"/>
      <c r="M82" s="2"/>
      <c r="N82" s="2"/>
      <c r="O82" s="2"/>
      <c r="P82" s="2"/>
      <c r="Q82" s="2"/>
      <c r="R82" s="2"/>
      <c r="S82" s="2"/>
      <c r="T82" s="2"/>
      <c r="U82" s="2"/>
      <c r="V82" s="2"/>
      <c r="W82" s="2"/>
      <c r="X82" s="2"/>
      <c r="Y82" s="2"/>
      <c r="Z82" s="2"/>
      <c r="AA82" s="79" t="n">
        <v>51</v>
      </c>
    </row>
    <row r="83" s="44" customFormat="true" ht="13.4" hidden="false" customHeight="false" outlineLevel="0" collapsed="false">
      <c r="A83" s="1"/>
      <c r="B83" s="70" t="n">
        <v>7</v>
      </c>
      <c r="C83" s="53" t="n">
        <f aca="false">C21</f>
        <v>0</v>
      </c>
      <c r="D83" s="71" t="str">
        <f aca="false">IF(AND(ISNUMBER(D21),D21&gt;0),SQRT(D21^2+IF(ISNUMBER(E21),E21,0)^2),"")</f>
        <v/>
      </c>
      <c r="E83" s="72" t="str">
        <f aca="false">IF(AND(ISNUMBER(D21),D21&gt;0),IFERROR(DEGREES(ATAN2(D21,IF(ISNUMBER(E21),E21,0))),""),"")</f>
        <v/>
      </c>
      <c r="F83" s="74" t="str">
        <f aca="false">IF(D83&lt;&gt;"",IFERROR((1+SQRT(((IF(ISNUMBER(D21),D21/MAX((D21/$C$6),0.000000001),C6)-C6)^2+(IF(ISNUMBER(E21),E21/MAX((D21/$C$6),0.000000001),0))^2)/((IF(ISNUMBER(D21),D21/MAX((D21/$C$6),0.000000001),C6)+C6)^2+(IF(ISNUMBER(E21),E21/MAX((D21/$C$6),0.000000001),0))^2)))/(1-SQRT(((IF(ISNUMBER(D21),D21/MAX((D21/$C$6),0.000000001),C6)-C6)^2+(IF(ISNUMBER(E21),E21/MAX((D21/$C$6),0.000000001),0))^2)/((IF(ISNUMBER(D21),D21/MAX((D21/$C$6),0.000000001),C6)+C6)^2+(IF(ISNUMBER(E21),E21/MAX((D21/$C$6),0.000000001),0))^2))),999),"")</f>
        <v/>
      </c>
      <c r="G83" s="75" t="str">
        <f aca="false">IF(D83&lt;&gt;"",IFERROR(-20*LOG10(MAX(SQRT(((IF(ISNUMBER(D21),D21/MAX((D21/$C$6),0.000000001),C6)-C6)^2+(IF(ISNUMBER(E21),E21/MAX((D21/$C$6),0.000000001),0))^2)/((IF(ISNUMBER(D21),D21/MAX((D21/$C$6),0.000000001),C6)+C6)^2+(IF(ISNUMBER(E21),E21/MAX((D21/$C$6),0.000000001),0))^2)),0.000000001)),0),"")</f>
        <v/>
      </c>
      <c r="H83" s="74" t="str">
        <f aca="false">IF(D83&lt;&gt;"",IFERROR(MAX(0,-10*LOG10(1-((IF(ISNUMBER(D21),D21/MAX((D21/$C$6),0.000000001),C6)-C6)^2+(IF(ISNUMBER(E21),E21/MAX((D21/$C$6),0.000000001),0))^2)/((IF(ISNUMBER(D21),D21/MAX((D21/$C$6),0.000000001),C6)+C6)^2+(IF(ISNUMBER(E21),E21/MAX((D21/$C$6),0.000000001),0))^2))),0),"")</f>
        <v/>
      </c>
      <c r="I83" s="74" t="str">
        <f aca="false">IF(D83&lt;&gt;"",IFERROR(((IF(ISNUMBER(D21),D21/MAX((D21/$C$6),0.000000001),C6)-C6)^2+(IF(ISNUMBER(E21),E21/MAX((D21/$C$6),0.000000001),0))^2)/((IF(ISNUMBER(D21),D21/MAX((D21/$C$6),0.000000001),C6)+C6)^2+(IF(ISNUMBER(E21),E21/MAX((D21/$C$6),0.000000001),0))^2)*100,0),"")</f>
        <v/>
      </c>
      <c r="J83" s="1"/>
      <c r="K83" s="2"/>
      <c r="L83" s="2"/>
      <c r="M83" s="2"/>
      <c r="N83" s="2"/>
      <c r="O83" s="2"/>
      <c r="P83" s="2"/>
      <c r="Q83" s="2"/>
      <c r="R83" s="2"/>
      <c r="S83" s="2"/>
      <c r="T83" s="2"/>
      <c r="U83" s="2"/>
      <c r="V83" s="2"/>
      <c r="W83" s="2"/>
      <c r="X83" s="2"/>
      <c r="Y83" s="2"/>
      <c r="Z83" s="2"/>
      <c r="AA83" s="79" t="n">
        <v>56</v>
      </c>
    </row>
    <row r="84" s="44" customFormat="true" ht="13.4" hidden="false" customHeight="false" outlineLevel="0" collapsed="false">
      <c r="A84" s="1"/>
      <c r="B84" s="70" t="n">
        <v>8</v>
      </c>
      <c r="C84" s="53" t="n">
        <f aca="false">C22</f>
        <v>0</v>
      </c>
      <c r="D84" s="71" t="str">
        <f aca="false">IF(AND(ISNUMBER(D22),D22&gt;0),SQRT(D22^2+IF(ISNUMBER(E22),E22,0)^2),"")</f>
        <v/>
      </c>
      <c r="E84" s="72" t="str">
        <f aca="false">IF(AND(ISNUMBER(D22),D22&gt;0),IFERROR(DEGREES(ATAN2(D22,IF(ISNUMBER(E22),E22,0))),""),"")</f>
        <v/>
      </c>
      <c r="F84" s="74" t="str">
        <f aca="false">IF(D84&lt;&gt;"",IFERROR((1+SQRT(((IF(ISNUMBER(D22),D22/MAX((D22/$C$6),0.000000001),C6)-C6)^2+(IF(ISNUMBER(E22),E22/MAX((D22/$C$6),0.000000001),0))^2)/((IF(ISNUMBER(D22),D22/MAX((D22/$C$6),0.000000001),C6)+C6)^2+(IF(ISNUMBER(E22),E22/MAX((D22/$C$6),0.000000001),0))^2)))/(1-SQRT(((IF(ISNUMBER(D22),D22/MAX((D22/$C$6),0.000000001),C6)-C6)^2+(IF(ISNUMBER(E22),E22/MAX((D22/$C$6),0.000000001),0))^2)/((IF(ISNUMBER(D22),D22/MAX((D22/$C$6),0.000000001),C6)+C6)^2+(IF(ISNUMBER(E22),E22/MAX((D22/$C$6),0.000000001),0))^2))),999),"")</f>
        <v/>
      </c>
      <c r="G84" s="75" t="str">
        <f aca="false">IF(D84&lt;&gt;"",IFERROR(-20*LOG10(MAX(SQRT(((IF(ISNUMBER(D22),D22/MAX((D22/$C$6),0.000000001),C6)-C6)^2+(IF(ISNUMBER(E22),E22/MAX((D22/$C$6),0.000000001),0))^2)/((IF(ISNUMBER(D22),D22/MAX((D22/$C$6),0.000000001),C6)+C6)^2+(IF(ISNUMBER(E22),E22/MAX((D22/$C$6),0.000000001),0))^2)),0.000000001)),0),"")</f>
        <v/>
      </c>
      <c r="H84" s="74" t="str">
        <f aca="false">IF(D84&lt;&gt;"",IFERROR(MAX(0,-10*LOG10(1-((IF(ISNUMBER(D22),D22/MAX((D22/$C$6),0.000000001),C6)-C6)^2+(IF(ISNUMBER(E22),E22/MAX((D22/$C$6),0.000000001),0))^2)/((IF(ISNUMBER(D22),D22/MAX((D22/$C$6),0.000000001),C6)+C6)^2+(IF(ISNUMBER(E22),E22/MAX((D22/$C$6),0.000000001),0))^2))),0),"")</f>
        <v/>
      </c>
      <c r="I84" s="74" t="str">
        <f aca="false">IF(D84&lt;&gt;"",IFERROR(((IF(ISNUMBER(D22),D22/MAX((D22/$C$6),0.000000001),C6)-C6)^2+(IF(ISNUMBER(E22),E22/MAX((D22/$C$6),0.000000001),0))^2)/((IF(ISNUMBER(D22),D22/MAX((D22/$C$6),0.000000001),C6)+C6)^2+(IF(ISNUMBER(E22),E22/MAX((D22/$C$6),0.000000001),0))^2)*100,0),"")</f>
        <v/>
      </c>
      <c r="J84" s="1"/>
      <c r="K84" s="2"/>
      <c r="L84" s="2"/>
      <c r="M84" s="2"/>
      <c r="N84" s="2"/>
      <c r="O84" s="2"/>
      <c r="P84" s="2"/>
      <c r="Q84" s="2"/>
      <c r="R84" s="2"/>
      <c r="S84" s="2"/>
      <c r="T84" s="2"/>
      <c r="U84" s="2"/>
      <c r="V84" s="2"/>
      <c r="W84" s="2"/>
      <c r="X84" s="2"/>
      <c r="Y84" s="2"/>
      <c r="Z84" s="2"/>
      <c r="AA84" s="79" t="n">
        <v>62</v>
      </c>
    </row>
    <row r="85" s="44" customFormat="true" ht="13.4" hidden="false" customHeight="false" outlineLevel="0" collapsed="false">
      <c r="A85" s="1"/>
      <c r="B85" s="70" t="n">
        <v>9</v>
      </c>
      <c r="C85" s="53" t="n">
        <f aca="false">C23</f>
        <v>0</v>
      </c>
      <c r="D85" s="71" t="str">
        <f aca="false">IF(AND(ISNUMBER(D23),D23&gt;0),SQRT(D23^2+IF(ISNUMBER(E23),E23,0)^2),"")</f>
        <v/>
      </c>
      <c r="E85" s="72" t="str">
        <f aca="false">IF(AND(ISNUMBER(D23),D23&gt;0),IFERROR(DEGREES(ATAN2(D23,IF(ISNUMBER(E23),E23,0))),""),"")</f>
        <v/>
      </c>
      <c r="F85" s="74" t="str">
        <f aca="false">IF(D85&lt;&gt;"",IFERROR((1+SQRT(((IF(ISNUMBER(D23),D23/MAX((D23/$C$6),0.000000001),C6)-C6)^2+(IF(ISNUMBER(E23),E23/MAX((D23/$C$6),0.000000001),0))^2)/((IF(ISNUMBER(D23),D23/MAX((D23/$C$6),0.000000001),C6)+C6)^2+(IF(ISNUMBER(E23),E23/MAX((D23/$C$6),0.000000001),0))^2)))/(1-SQRT(((IF(ISNUMBER(D23),D23/MAX((D23/$C$6),0.000000001),C6)-C6)^2+(IF(ISNUMBER(E23),E23/MAX((D23/$C$6),0.000000001),0))^2)/((IF(ISNUMBER(D23),D23/MAX((D23/$C$6),0.000000001),C6)+C6)^2+(IF(ISNUMBER(E23),E23/MAX((D23/$C$6),0.000000001),0))^2))),999),"")</f>
        <v/>
      </c>
      <c r="G85" s="75" t="str">
        <f aca="false">IF(D85&lt;&gt;"",IFERROR(-20*LOG10(MAX(SQRT(((IF(ISNUMBER(D23),D23/MAX((D23/$C$6),0.000000001),C6)-C6)^2+(IF(ISNUMBER(E23),E23/MAX((D23/$C$6),0.000000001),0))^2)/((IF(ISNUMBER(D23),D23/MAX((D23/$C$6),0.000000001),C6)+C6)^2+(IF(ISNUMBER(E23),E23/MAX((D23/$C$6),0.000000001),0))^2)),0.000000001)),0),"")</f>
        <v/>
      </c>
      <c r="H85" s="74" t="str">
        <f aca="false">IF(D85&lt;&gt;"",IFERROR(MAX(0,-10*LOG10(1-((IF(ISNUMBER(D23),D23/MAX((D23/$C$6),0.000000001),C6)-C6)^2+(IF(ISNUMBER(E23),E23/MAX((D23/$C$6),0.000000001),0))^2)/((IF(ISNUMBER(D23),D23/MAX((D23/$C$6),0.000000001),C6)+C6)^2+(IF(ISNUMBER(E23),E23/MAX((D23/$C$6),0.000000001),0))^2))),0),"")</f>
        <v/>
      </c>
      <c r="I85" s="74" t="str">
        <f aca="false">IF(D85&lt;&gt;"",IFERROR(((IF(ISNUMBER(D23),D23/MAX((D23/$C$6),0.000000001),C6)-C6)^2+(IF(ISNUMBER(E23),E23/MAX((D23/$C$6),0.000000001),0))^2)/((IF(ISNUMBER(D23),D23/MAX((D23/$C$6),0.000000001),C6)+C6)^2+(IF(ISNUMBER(E23),E23/MAX((D23/$C$6),0.000000001),0))^2)*100,0),"")</f>
        <v/>
      </c>
      <c r="J85" s="1"/>
      <c r="K85" s="2"/>
      <c r="L85" s="2"/>
      <c r="M85" s="2"/>
      <c r="N85" s="2"/>
      <c r="O85" s="2"/>
      <c r="P85" s="2"/>
      <c r="Q85" s="2"/>
      <c r="R85" s="2"/>
      <c r="S85" s="2"/>
      <c r="T85" s="2"/>
      <c r="U85" s="2"/>
      <c r="V85" s="2"/>
      <c r="W85" s="2"/>
      <c r="X85" s="2"/>
      <c r="Y85" s="2"/>
      <c r="Z85" s="2"/>
      <c r="AA85" s="79" t="n">
        <v>68</v>
      </c>
    </row>
    <row r="86" s="44" customFormat="true" ht="13.4" hidden="false" customHeight="false" outlineLevel="0" collapsed="false">
      <c r="A86" s="1"/>
      <c r="B86" s="70" t="n">
        <v>10</v>
      </c>
      <c r="C86" s="53" t="n">
        <f aca="false">C24</f>
        <v>0</v>
      </c>
      <c r="D86" s="71" t="str">
        <f aca="false">IF(AND(ISNUMBER(D24),D24&gt;0),SQRT(D24^2+IF(ISNUMBER(E24),E24,0)^2),"")</f>
        <v/>
      </c>
      <c r="E86" s="72" t="str">
        <f aca="false">IF(AND(ISNUMBER(D24),D24&gt;0),IFERROR(DEGREES(ATAN2(D24,IF(ISNUMBER(E24),E24,0))),""),"")</f>
        <v/>
      </c>
      <c r="F86" s="74" t="str">
        <f aca="false">IF(D86&lt;&gt;"",IFERROR((1+SQRT(((IF(ISNUMBER(D24),D24/MAX((D24/$C$6),0.000000001),C6)-C6)^2+(IF(ISNUMBER(E24),E24/MAX((D24/$C$6),0.000000001),0))^2)/((IF(ISNUMBER(D24),D24/MAX((D24/$C$6),0.000000001),C6)+C6)^2+(IF(ISNUMBER(E24),E24/MAX((D24/$C$6),0.000000001),0))^2)))/(1-SQRT(((IF(ISNUMBER(D24),D24/MAX((D24/$C$6),0.000000001),C6)-C6)^2+(IF(ISNUMBER(E24),E24/MAX((D24/$C$6),0.000000001),0))^2)/((IF(ISNUMBER(D24),D24/MAX((D24/$C$6),0.000000001),C6)+C6)^2+(IF(ISNUMBER(E24),E24/MAX((D24/$C$6),0.000000001),0))^2))),999),"")</f>
        <v/>
      </c>
      <c r="G86" s="75" t="str">
        <f aca="false">IF(D86&lt;&gt;"",IFERROR(-20*LOG10(MAX(SQRT(((IF(ISNUMBER(D24),D24/MAX((D24/$C$6),0.000000001),C6)-C6)^2+(IF(ISNUMBER(E24),E24/MAX((D24/$C$6),0.000000001),0))^2)/((IF(ISNUMBER(D24),D24/MAX((D24/$C$6),0.000000001),C6)+C6)^2+(IF(ISNUMBER(E24),E24/MAX((D24/$C$6),0.000000001),0))^2)),0.000000001)),0),"")</f>
        <v/>
      </c>
      <c r="H86" s="74" t="str">
        <f aca="false">IF(D86&lt;&gt;"",IFERROR(MAX(0,-10*LOG10(1-((IF(ISNUMBER(D24),D24/MAX((D24/$C$6),0.000000001),C6)-C6)^2+(IF(ISNUMBER(E24),E24/MAX((D24/$C$6),0.000000001),0))^2)/((IF(ISNUMBER(D24),D24/MAX((D24/$C$6),0.000000001),C6)+C6)^2+(IF(ISNUMBER(E24),E24/MAX((D24/$C$6),0.000000001),0))^2))),0),"")</f>
        <v/>
      </c>
      <c r="I86" s="74" t="str">
        <f aca="false">IF(D86&lt;&gt;"",IFERROR(((IF(ISNUMBER(D24),D24/MAX((D24/$C$6),0.000000001),C6)-C6)^2+(IF(ISNUMBER(E24),E24/MAX((D24/$C$6),0.000000001),0))^2)/((IF(ISNUMBER(D24),D24/MAX((D24/$C$6),0.000000001),C6)+C6)^2+(IF(ISNUMBER(E24),E24/MAX((D24/$C$6),0.000000001),0))^2)*100,0),"")</f>
        <v/>
      </c>
      <c r="J86" s="1"/>
      <c r="K86" s="2"/>
      <c r="L86" s="2"/>
      <c r="M86" s="2"/>
      <c r="N86" s="2"/>
      <c r="O86" s="2"/>
      <c r="P86" s="2"/>
      <c r="Q86" s="2"/>
      <c r="R86" s="2"/>
      <c r="S86" s="2"/>
      <c r="T86" s="2"/>
      <c r="U86" s="2"/>
      <c r="V86" s="2"/>
      <c r="W86" s="2"/>
      <c r="X86" s="2"/>
      <c r="Y86" s="2"/>
      <c r="Z86" s="2"/>
      <c r="AA86" s="79" t="n">
        <v>75</v>
      </c>
    </row>
    <row r="87" s="44" customFormat="true" ht="13.4" hidden="false" customHeight="false" outlineLevel="0" collapsed="false">
      <c r="A87" s="1"/>
      <c r="B87" s="70" t="n">
        <v>11</v>
      </c>
      <c r="C87" s="53" t="n">
        <f aca="false">C25</f>
        <v>0</v>
      </c>
      <c r="D87" s="71" t="str">
        <f aca="false">IF(AND(ISNUMBER(D25),D25&gt;0),SQRT(D25^2+IF(ISNUMBER(E25),E25,0)^2),"")</f>
        <v/>
      </c>
      <c r="E87" s="72" t="str">
        <f aca="false">IF(AND(ISNUMBER(D25),D25&gt;0),IFERROR(DEGREES(ATAN2(D25,IF(ISNUMBER(E25),E25,0))),""),"")</f>
        <v/>
      </c>
      <c r="F87" s="74" t="str">
        <f aca="false">IF(D87&lt;&gt;"",IFERROR((1+SQRT(((IF(ISNUMBER(D25),D25/MAX((D25/$C$6),0.000000001),C6)-C6)^2+(IF(ISNUMBER(E25),E25/MAX((D25/$C$6),0.000000001),0))^2)/((IF(ISNUMBER(D25),D25/MAX((D25/$C$6),0.000000001),C6)+C6)^2+(IF(ISNUMBER(E25),E25/MAX((D25/$C$6),0.000000001),0))^2)))/(1-SQRT(((IF(ISNUMBER(D25),D25/MAX((D25/$C$6),0.000000001),C6)-C6)^2+(IF(ISNUMBER(E25),E25/MAX((D25/$C$6),0.000000001),0))^2)/((IF(ISNUMBER(D25),D25/MAX((D25/$C$6),0.000000001),C6)+C6)^2+(IF(ISNUMBER(E25),E25/MAX((D25/$C$6),0.000000001),0))^2))),999),"")</f>
        <v/>
      </c>
      <c r="G87" s="75" t="str">
        <f aca="false">IF(D87&lt;&gt;"",IFERROR(-20*LOG10(MAX(SQRT(((IF(ISNUMBER(D25),D25/MAX((D25/$C$6),0.000000001),C6)-C6)^2+(IF(ISNUMBER(E25),E25/MAX((D25/$C$6),0.000000001),0))^2)/((IF(ISNUMBER(D25),D25/MAX((D25/$C$6),0.000000001),C6)+C6)^2+(IF(ISNUMBER(E25),E25/MAX((D25/$C$6),0.000000001),0))^2)),0.000000001)),0),"")</f>
        <v/>
      </c>
      <c r="H87" s="74" t="str">
        <f aca="false">IF(D87&lt;&gt;"",IFERROR(MAX(0,-10*LOG10(1-((IF(ISNUMBER(D25),D25/MAX((D25/$C$6),0.000000001),C6)-C6)^2+(IF(ISNUMBER(E25),E25/MAX((D25/$C$6),0.000000001),0))^2)/((IF(ISNUMBER(D25),D25/MAX((D25/$C$6),0.000000001),C6)+C6)^2+(IF(ISNUMBER(E25),E25/MAX((D25/$C$6),0.000000001),0))^2))),0),"")</f>
        <v/>
      </c>
      <c r="I87" s="74" t="str">
        <f aca="false">IF(D87&lt;&gt;"",IFERROR(((IF(ISNUMBER(D25),D25/MAX((D25/$C$6),0.000000001),C6)-C6)^2+(IF(ISNUMBER(E25),E25/MAX((D25/$C$6),0.000000001),0))^2)/((IF(ISNUMBER(D25),D25/MAX((D25/$C$6),0.000000001),C6)+C6)^2+(IF(ISNUMBER(E25),E25/MAX((D25/$C$6),0.000000001),0))^2)*100,0),"")</f>
        <v/>
      </c>
      <c r="J87" s="1"/>
      <c r="K87" s="2"/>
      <c r="L87" s="2"/>
      <c r="M87" s="2"/>
      <c r="N87" s="2"/>
      <c r="O87" s="2"/>
      <c r="P87" s="2"/>
      <c r="Q87" s="2"/>
      <c r="R87" s="2"/>
      <c r="S87" s="2"/>
      <c r="T87" s="2"/>
      <c r="U87" s="2"/>
      <c r="V87" s="2"/>
      <c r="W87" s="2"/>
      <c r="X87" s="2"/>
      <c r="Y87" s="2"/>
      <c r="Z87" s="2"/>
      <c r="AA87" s="79" t="n">
        <v>82</v>
      </c>
    </row>
    <row r="88" s="44" customFormat="true" ht="12.75" hidden="false" customHeight="false" outlineLevel="0" collapsed="false">
      <c r="A88" s="1"/>
      <c r="B88" s="1"/>
      <c r="C88" s="1"/>
      <c r="D88" s="1"/>
      <c r="E88" s="1"/>
      <c r="F88" s="1"/>
      <c r="G88" s="1"/>
      <c r="H88" s="1"/>
      <c r="I88" s="1"/>
      <c r="J88" s="1"/>
      <c r="K88" s="2"/>
      <c r="L88" s="2"/>
      <c r="M88" s="2"/>
      <c r="N88" s="2"/>
      <c r="O88" s="2"/>
      <c r="P88" s="2"/>
      <c r="Q88" s="2"/>
      <c r="R88" s="2"/>
      <c r="S88" s="2"/>
      <c r="T88" s="2"/>
      <c r="U88" s="2"/>
      <c r="V88" s="2"/>
      <c r="W88" s="2"/>
      <c r="X88" s="2"/>
      <c r="Y88" s="2"/>
      <c r="Z88" s="2"/>
      <c r="AA88" s="79" t="n">
        <v>91</v>
      </c>
    </row>
    <row r="89" s="44" customFormat="true" ht="13.5" hidden="false" customHeight="true" outlineLevel="0" collapsed="false">
      <c r="A89" s="1"/>
      <c r="B89" s="83" t="s">
        <v>155</v>
      </c>
      <c r="C89" s="83"/>
      <c r="D89" s="83"/>
      <c r="E89" s="83"/>
      <c r="F89" s="83"/>
      <c r="G89" s="83"/>
      <c r="H89" s="83"/>
      <c r="I89" s="83"/>
      <c r="J89" s="1"/>
      <c r="K89" s="2"/>
      <c r="L89" s="2"/>
      <c r="M89" s="2"/>
      <c r="N89" s="2"/>
      <c r="O89" s="2"/>
      <c r="P89" s="2"/>
      <c r="Q89" s="2"/>
      <c r="R89" s="2"/>
      <c r="S89" s="2"/>
      <c r="T89" s="2"/>
      <c r="U89" s="2"/>
      <c r="V89" s="2"/>
      <c r="W89" s="2"/>
      <c r="X89" s="2"/>
      <c r="Y89" s="2"/>
      <c r="Z89" s="2"/>
      <c r="AA89" s="79" t="n">
        <v>100</v>
      </c>
    </row>
    <row r="90" s="44" customFormat="true" ht="13.5" hidden="false" customHeight="true" outlineLevel="0" collapsed="false">
      <c r="A90" s="1"/>
      <c r="B90" s="55" t="s">
        <v>156</v>
      </c>
      <c r="C90" s="55"/>
      <c r="D90" s="55"/>
      <c r="E90" s="55"/>
      <c r="F90" s="55"/>
      <c r="G90" s="55"/>
      <c r="H90" s="55"/>
      <c r="I90" s="55"/>
      <c r="J90" s="1"/>
      <c r="K90" s="2"/>
      <c r="L90" s="2"/>
      <c r="M90" s="2"/>
      <c r="N90" s="2"/>
      <c r="O90" s="2"/>
      <c r="P90" s="2"/>
      <c r="Q90" s="2"/>
      <c r="R90" s="2"/>
      <c r="S90" s="2"/>
      <c r="T90" s="2"/>
      <c r="U90" s="2"/>
      <c r="V90" s="2"/>
      <c r="W90" s="2"/>
      <c r="X90" s="2"/>
      <c r="Y90" s="2"/>
      <c r="Z90" s="2"/>
      <c r="AA90" s="79" t="n">
        <v>110</v>
      </c>
    </row>
    <row r="91" s="44" customFormat="true" ht="13.5" hidden="false" customHeight="true" outlineLevel="0" collapsed="false">
      <c r="A91" s="1"/>
      <c r="B91" s="55" t="s">
        <v>157</v>
      </c>
      <c r="C91" s="55"/>
      <c r="D91" s="55"/>
      <c r="E91" s="55"/>
      <c r="F91" s="55"/>
      <c r="G91" s="55"/>
      <c r="H91" s="55"/>
      <c r="I91" s="55"/>
      <c r="J91" s="1"/>
      <c r="K91" s="2"/>
      <c r="L91" s="2"/>
      <c r="M91" s="2"/>
      <c r="N91" s="2"/>
      <c r="O91" s="2"/>
      <c r="P91" s="2"/>
      <c r="Q91" s="2"/>
      <c r="R91" s="2"/>
      <c r="S91" s="2"/>
      <c r="T91" s="2"/>
      <c r="U91" s="2"/>
      <c r="V91" s="2"/>
      <c r="W91" s="2"/>
      <c r="X91" s="2"/>
      <c r="Y91" s="2"/>
      <c r="Z91" s="2"/>
      <c r="AA91" s="79" t="n">
        <v>120</v>
      </c>
    </row>
    <row r="92" s="44" customFormat="true" ht="13.5" hidden="false" customHeight="true" outlineLevel="0" collapsed="false">
      <c r="A92" s="1"/>
      <c r="B92" s="55" t="s">
        <v>158</v>
      </c>
      <c r="C92" s="55"/>
      <c r="D92" s="55"/>
      <c r="E92" s="55"/>
      <c r="F92" s="55"/>
      <c r="G92" s="55"/>
      <c r="H92" s="55"/>
      <c r="I92" s="55"/>
      <c r="J92" s="1"/>
      <c r="K92" s="2"/>
      <c r="L92" s="2"/>
      <c r="M92" s="2"/>
      <c r="N92" s="2"/>
      <c r="O92" s="2"/>
      <c r="P92" s="2"/>
      <c r="Q92" s="2"/>
      <c r="R92" s="2"/>
      <c r="S92" s="2"/>
      <c r="T92" s="2"/>
      <c r="U92" s="2"/>
      <c r="V92" s="2"/>
      <c r="W92" s="2"/>
      <c r="X92" s="2"/>
      <c r="Y92" s="2"/>
      <c r="Z92" s="2"/>
      <c r="AA92" s="79" t="n">
        <v>130</v>
      </c>
    </row>
    <row r="93" s="44" customFormat="true" ht="13.5" hidden="false" customHeight="true" outlineLevel="0" collapsed="false">
      <c r="A93" s="1"/>
      <c r="B93" s="55" t="s">
        <v>159</v>
      </c>
      <c r="C93" s="55"/>
      <c r="D93" s="55"/>
      <c r="E93" s="55"/>
      <c r="F93" s="55"/>
      <c r="G93" s="55"/>
      <c r="H93" s="55"/>
      <c r="I93" s="55"/>
      <c r="J93" s="1"/>
      <c r="K93" s="2"/>
      <c r="L93" s="2"/>
      <c r="M93" s="2"/>
      <c r="N93" s="2"/>
      <c r="O93" s="2"/>
      <c r="P93" s="2"/>
      <c r="Q93" s="2"/>
      <c r="R93" s="2"/>
      <c r="S93" s="2"/>
      <c r="T93" s="2"/>
      <c r="U93" s="2"/>
      <c r="V93" s="2"/>
      <c r="W93" s="2"/>
      <c r="X93" s="2"/>
      <c r="Y93" s="2"/>
      <c r="Z93" s="2"/>
      <c r="AA93" s="79" t="n">
        <v>150</v>
      </c>
    </row>
    <row r="94" s="44" customFormat="true" ht="13.5" hidden="false" customHeight="true" outlineLevel="0" collapsed="false">
      <c r="A94" s="1"/>
      <c r="B94" s="55" t="s">
        <v>160</v>
      </c>
      <c r="C94" s="55"/>
      <c r="D94" s="55"/>
      <c r="E94" s="55"/>
      <c r="F94" s="55"/>
      <c r="G94" s="55"/>
      <c r="H94" s="55"/>
      <c r="I94" s="55"/>
      <c r="J94" s="1"/>
      <c r="K94" s="2"/>
      <c r="L94" s="2"/>
      <c r="M94" s="2"/>
      <c r="N94" s="2"/>
      <c r="O94" s="2"/>
      <c r="P94" s="2"/>
      <c r="Q94" s="2"/>
      <c r="R94" s="2"/>
      <c r="S94" s="2"/>
      <c r="T94" s="2"/>
      <c r="U94" s="2"/>
      <c r="V94" s="2"/>
      <c r="W94" s="2"/>
      <c r="X94" s="2"/>
      <c r="Y94" s="2"/>
      <c r="Z94" s="2"/>
      <c r="AA94" s="79" t="n">
        <v>160</v>
      </c>
    </row>
    <row r="95" s="44" customFormat="true" ht="13.5" hidden="false" customHeight="true" outlineLevel="0" collapsed="false">
      <c r="A95" s="1"/>
      <c r="B95" s="55" t="s">
        <v>161</v>
      </c>
      <c r="C95" s="55"/>
      <c r="D95" s="55"/>
      <c r="E95" s="55"/>
      <c r="F95" s="55"/>
      <c r="G95" s="55"/>
      <c r="H95" s="55"/>
      <c r="I95" s="55"/>
      <c r="J95" s="1"/>
      <c r="K95" s="2"/>
      <c r="L95" s="2"/>
      <c r="M95" s="2"/>
      <c r="N95" s="2"/>
      <c r="O95" s="2"/>
      <c r="P95" s="2"/>
      <c r="Q95" s="2"/>
      <c r="R95" s="2"/>
      <c r="S95" s="2"/>
      <c r="T95" s="2"/>
      <c r="U95" s="2"/>
      <c r="V95" s="2"/>
      <c r="W95" s="2"/>
      <c r="X95" s="2"/>
      <c r="Y95" s="2"/>
      <c r="Z95" s="2"/>
      <c r="AA95" s="79" t="n">
        <v>180</v>
      </c>
    </row>
    <row r="96" s="44" customFormat="true" ht="13.5" hidden="false" customHeight="true" outlineLevel="0" collapsed="false">
      <c r="A96" s="1"/>
      <c r="B96" s="55" t="s">
        <v>162</v>
      </c>
      <c r="C96" s="55"/>
      <c r="D96" s="55"/>
      <c r="E96" s="55"/>
      <c r="F96" s="55"/>
      <c r="G96" s="55"/>
      <c r="H96" s="55"/>
      <c r="I96" s="55"/>
      <c r="J96" s="1"/>
      <c r="K96" s="2"/>
      <c r="L96" s="2"/>
      <c r="M96" s="2"/>
      <c r="N96" s="2"/>
      <c r="O96" s="2"/>
      <c r="P96" s="2"/>
      <c r="Q96" s="2"/>
      <c r="R96" s="2"/>
      <c r="S96" s="2"/>
      <c r="T96" s="2"/>
      <c r="U96" s="2"/>
      <c r="V96" s="2"/>
      <c r="W96" s="2"/>
      <c r="X96" s="2"/>
      <c r="Y96" s="2"/>
      <c r="Z96" s="2"/>
      <c r="AA96" s="79" t="n">
        <v>200</v>
      </c>
    </row>
    <row r="97" s="44" customFormat="true" ht="12.75" hidden="false" customHeight="false" outlineLevel="0" collapsed="false">
      <c r="A97" s="1"/>
      <c r="B97" s="1"/>
      <c r="C97" s="1"/>
      <c r="D97" s="1"/>
      <c r="E97" s="1"/>
      <c r="F97" s="1"/>
      <c r="G97" s="1"/>
      <c r="H97" s="1"/>
      <c r="I97" s="1"/>
      <c r="J97" s="1"/>
      <c r="K97" s="2"/>
      <c r="L97" s="2"/>
      <c r="M97" s="2"/>
      <c r="N97" s="2"/>
      <c r="O97" s="2"/>
      <c r="P97" s="2"/>
      <c r="Q97" s="2"/>
      <c r="R97" s="2"/>
      <c r="S97" s="2"/>
      <c r="T97" s="2"/>
      <c r="U97" s="2"/>
      <c r="V97" s="2"/>
      <c r="W97" s="2"/>
      <c r="X97" s="2"/>
      <c r="Y97" s="2"/>
      <c r="Z97" s="2"/>
      <c r="AA97" s="79" t="n">
        <v>220</v>
      </c>
    </row>
    <row r="98" s="44" customFormat="true" ht="13.5" hidden="false" customHeight="true" outlineLevel="0" collapsed="false">
      <c r="A98" s="1"/>
      <c r="B98" s="43" t="s">
        <v>163</v>
      </c>
      <c r="C98" s="43"/>
      <c r="D98" s="43"/>
      <c r="E98" s="43"/>
      <c r="F98" s="43"/>
      <c r="G98" s="43"/>
      <c r="H98" s="1"/>
      <c r="I98" s="1"/>
      <c r="J98" s="1"/>
      <c r="K98" s="2"/>
      <c r="L98" s="2"/>
      <c r="M98" s="2"/>
      <c r="N98" s="2"/>
      <c r="O98" s="2"/>
      <c r="P98" s="2"/>
      <c r="Q98" s="2"/>
      <c r="R98" s="2"/>
      <c r="S98" s="2"/>
      <c r="T98" s="2"/>
      <c r="U98" s="2"/>
      <c r="V98" s="2"/>
      <c r="W98" s="2"/>
      <c r="X98" s="2"/>
      <c r="Y98" s="2"/>
      <c r="Z98" s="2"/>
      <c r="AA98" s="79" t="n">
        <v>240</v>
      </c>
    </row>
    <row r="99" s="44" customFormat="true" ht="13.5" hidden="false" customHeight="true" outlineLevel="0" collapsed="false">
      <c r="A99" s="1"/>
      <c r="B99" s="64" t="s">
        <v>164</v>
      </c>
      <c r="C99" s="64"/>
      <c r="D99" s="64"/>
      <c r="E99" s="64"/>
      <c r="F99" s="64"/>
      <c r="G99" s="64"/>
      <c r="H99" s="1"/>
      <c r="I99" s="1"/>
      <c r="J99" s="1"/>
      <c r="K99" s="2"/>
      <c r="L99" s="2"/>
      <c r="M99" s="2"/>
      <c r="N99" s="2"/>
      <c r="O99" s="2"/>
      <c r="P99" s="2"/>
      <c r="Q99" s="2"/>
      <c r="R99" s="2"/>
      <c r="S99" s="2"/>
      <c r="T99" s="2"/>
      <c r="U99" s="2"/>
      <c r="V99" s="2"/>
      <c r="W99" s="2"/>
      <c r="X99" s="2"/>
      <c r="Y99" s="2"/>
      <c r="Z99" s="2"/>
      <c r="AA99" s="79" t="n">
        <v>270</v>
      </c>
    </row>
    <row r="100" s="44" customFormat="true" ht="12.75" hidden="false" customHeight="false" outlineLevel="0" collapsed="false">
      <c r="A100" s="1"/>
      <c r="B100" s="1"/>
      <c r="C100" s="1"/>
      <c r="D100" s="1"/>
      <c r="E100" s="1"/>
      <c r="F100" s="1"/>
      <c r="G100" s="1"/>
      <c r="H100" s="1"/>
      <c r="I100" s="1"/>
      <c r="J100" s="1"/>
      <c r="K100" s="2"/>
      <c r="L100" s="2"/>
      <c r="M100" s="2"/>
      <c r="N100" s="2"/>
      <c r="O100" s="2"/>
      <c r="P100" s="2"/>
      <c r="Q100" s="2"/>
      <c r="R100" s="2"/>
      <c r="S100" s="2"/>
      <c r="T100" s="2"/>
      <c r="U100" s="2"/>
      <c r="V100" s="2"/>
      <c r="W100" s="2"/>
      <c r="X100" s="2"/>
      <c r="Y100" s="2"/>
      <c r="Z100" s="2"/>
      <c r="AA100" s="79" t="n">
        <v>300</v>
      </c>
    </row>
    <row r="101" s="44" customFormat="true" ht="13.8" hidden="false" customHeight="true" outlineLevel="0" collapsed="false">
      <c r="A101" s="1"/>
      <c r="B101" s="45" t="s">
        <v>165</v>
      </c>
      <c r="C101" s="45"/>
      <c r="D101" s="45"/>
      <c r="E101" s="45"/>
      <c r="F101" s="45"/>
      <c r="G101" s="45"/>
      <c r="H101" s="1"/>
      <c r="I101" s="1"/>
      <c r="J101" s="1"/>
      <c r="K101" s="2"/>
      <c r="L101" s="2"/>
      <c r="M101" s="2"/>
      <c r="N101" s="2"/>
      <c r="O101" s="2"/>
      <c r="P101" s="2"/>
      <c r="Q101" s="2"/>
      <c r="R101" s="2"/>
      <c r="S101" s="2"/>
      <c r="T101" s="2"/>
      <c r="U101" s="2"/>
      <c r="V101" s="2"/>
      <c r="W101" s="2"/>
      <c r="X101" s="2"/>
      <c r="Y101" s="2"/>
      <c r="Z101" s="2"/>
      <c r="AA101" s="79" t="n">
        <v>330</v>
      </c>
    </row>
    <row r="102" s="44" customFormat="true" ht="13.8" hidden="false" customHeight="true" outlineLevel="0" collapsed="false">
      <c r="A102" s="1"/>
      <c r="B102" s="46" t="s">
        <v>86</v>
      </c>
      <c r="C102" s="46" t="s">
        <v>87</v>
      </c>
      <c r="D102" s="46" t="s">
        <v>47</v>
      </c>
      <c r="E102" s="46" t="s">
        <v>166</v>
      </c>
      <c r="F102" s="46"/>
      <c r="G102" s="46"/>
      <c r="H102" s="1"/>
      <c r="I102" s="1"/>
      <c r="J102" s="1"/>
      <c r="K102" s="2"/>
      <c r="L102" s="2"/>
      <c r="M102" s="2"/>
      <c r="N102" s="2"/>
      <c r="O102" s="2"/>
      <c r="P102" s="2"/>
      <c r="Q102" s="2"/>
      <c r="R102" s="2"/>
      <c r="S102" s="2"/>
      <c r="T102" s="2"/>
      <c r="U102" s="2"/>
      <c r="V102" s="2"/>
      <c r="W102" s="2"/>
      <c r="X102" s="2"/>
      <c r="Y102" s="2"/>
      <c r="Z102" s="2"/>
      <c r="AA102" s="79" t="n">
        <v>360</v>
      </c>
    </row>
    <row r="103" s="44" customFormat="true" ht="13.8" hidden="false" customHeight="true" outlineLevel="0" collapsed="false">
      <c r="A103" s="1"/>
      <c r="B103" s="47" t="s">
        <v>167</v>
      </c>
      <c r="C103" s="52" t="n">
        <f aca="false">C8</f>
        <v>50</v>
      </c>
      <c r="D103" s="65" t="s">
        <v>16</v>
      </c>
      <c r="E103" s="50" t="s">
        <v>168</v>
      </c>
      <c r="F103" s="50"/>
      <c r="G103" s="50"/>
      <c r="H103" s="1"/>
      <c r="I103" s="1"/>
      <c r="J103" s="1"/>
      <c r="K103" s="2"/>
      <c r="L103" s="2"/>
      <c r="M103" s="2"/>
      <c r="N103" s="2"/>
      <c r="O103" s="2"/>
      <c r="P103" s="2"/>
      <c r="Q103" s="2"/>
      <c r="R103" s="2"/>
      <c r="S103" s="2"/>
      <c r="T103" s="2"/>
      <c r="U103" s="2"/>
      <c r="V103" s="2"/>
      <c r="W103" s="2"/>
      <c r="X103" s="2"/>
      <c r="Y103" s="2"/>
      <c r="Z103" s="2"/>
      <c r="AA103" s="79" t="n">
        <v>390</v>
      </c>
    </row>
    <row r="104" s="44" customFormat="true" ht="13.8" hidden="false" customHeight="true" outlineLevel="0" collapsed="false">
      <c r="A104" s="1"/>
      <c r="B104" s="47" t="s">
        <v>169</v>
      </c>
      <c r="C104" s="52" t="n">
        <f aca="false">C7</f>
        <v>1</v>
      </c>
      <c r="D104" s="65" t="s">
        <v>16</v>
      </c>
      <c r="E104" s="50" t="s">
        <v>170</v>
      </c>
      <c r="F104" s="50"/>
      <c r="G104" s="50"/>
      <c r="H104" s="1"/>
      <c r="I104" s="1"/>
      <c r="J104" s="1"/>
      <c r="K104" s="2"/>
      <c r="L104" s="2"/>
      <c r="M104" s="2"/>
      <c r="N104" s="2"/>
      <c r="O104" s="2"/>
      <c r="P104" s="2"/>
      <c r="Q104" s="2"/>
      <c r="R104" s="2"/>
      <c r="S104" s="2"/>
      <c r="T104" s="2"/>
      <c r="U104" s="2"/>
      <c r="V104" s="2"/>
      <c r="W104" s="2"/>
      <c r="X104" s="2"/>
      <c r="Y104" s="2"/>
      <c r="Z104" s="2"/>
      <c r="AA104" s="79" t="n">
        <v>430</v>
      </c>
    </row>
    <row r="105" s="44" customFormat="true" ht="13.8" hidden="false" customHeight="true" outlineLevel="0" collapsed="false">
      <c r="A105" s="1"/>
      <c r="B105" s="47" t="s">
        <v>171</v>
      </c>
      <c r="C105" s="52" t="n">
        <f aca="false">$C$7+$C$11</f>
        <v>2</v>
      </c>
      <c r="D105" s="65" t="s">
        <v>16</v>
      </c>
      <c r="E105" s="50" t="s">
        <v>172</v>
      </c>
      <c r="F105" s="50"/>
      <c r="G105" s="50"/>
      <c r="H105" s="1"/>
      <c r="I105" s="1"/>
      <c r="J105" s="1"/>
      <c r="K105" s="2"/>
      <c r="L105" s="2"/>
      <c r="M105" s="2"/>
      <c r="N105" s="2"/>
      <c r="O105" s="2"/>
      <c r="P105" s="2"/>
      <c r="Q105" s="2"/>
      <c r="R105" s="2"/>
      <c r="S105" s="2"/>
      <c r="T105" s="2"/>
      <c r="U105" s="2"/>
      <c r="V105" s="2"/>
      <c r="W105" s="2"/>
      <c r="X105" s="2"/>
      <c r="Y105" s="2"/>
      <c r="Z105" s="2"/>
      <c r="AA105" s="79" t="n">
        <v>470</v>
      </c>
    </row>
    <row r="106" s="44" customFormat="true" ht="13.8" hidden="false" customHeight="true" outlineLevel="0" collapsed="false">
      <c r="A106" s="1"/>
      <c r="B106" s="47" t="s">
        <v>173</v>
      </c>
      <c r="C106" s="53" t="n">
        <f aca="false">IFERROR(IF(E70&lt;&gt;"",VALUE(E70),10),10)</f>
        <v>9</v>
      </c>
      <c r="D106" s="65" t="s">
        <v>113</v>
      </c>
      <c r="E106" s="50" t="s">
        <v>174</v>
      </c>
      <c r="F106" s="50"/>
      <c r="G106" s="50"/>
      <c r="H106" s="1"/>
      <c r="I106" s="1"/>
      <c r="J106" s="1"/>
      <c r="K106" s="2"/>
      <c r="L106" s="2"/>
      <c r="M106" s="2"/>
      <c r="N106" s="2"/>
      <c r="O106" s="2"/>
      <c r="P106" s="2"/>
      <c r="Q106" s="2"/>
      <c r="R106" s="2"/>
      <c r="S106" s="2"/>
      <c r="T106" s="2"/>
      <c r="U106" s="2"/>
      <c r="V106" s="2"/>
      <c r="W106" s="2"/>
      <c r="X106" s="2"/>
      <c r="Y106" s="2"/>
      <c r="Z106" s="2"/>
      <c r="AA106" s="79" t="n">
        <v>510</v>
      </c>
    </row>
    <row r="107" s="44" customFormat="true" ht="12.75" hidden="false" customHeight="false" outlineLevel="0" collapsed="false">
      <c r="A107" s="1"/>
      <c r="B107" s="1"/>
      <c r="C107" s="1"/>
      <c r="D107" s="1"/>
      <c r="E107" s="1"/>
      <c r="F107" s="1"/>
      <c r="G107" s="1"/>
      <c r="H107" s="1"/>
      <c r="I107" s="1"/>
      <c r="J107" s="1"/>
      <c r="K107" s="2"/>
      <c r="L107" s="2"/>
      <c r="M107" s="2"/>
      <c r="N107" s="2"/>
      <c r="O107" s="2"/>
      <c r="P107" s="2"/>
      <c r="Q107" s="2"/>
      <c r="R107" s="2"/>
      <c r="S107" s="2"/>
      <c r="T107" s="2"/>
      <c r="U107" s="2"/>
      <c r="V107" s="2"/>
      <c r="W107" s="2"/>
      <c r="X107" s="2"/>
      <c r="Y107" s="2"/>
      <c r="Z107" s="2"/>
      <c r="AA107" s="79" t="n">
        <v>560</v>
      </c>
    </row>
    <row r="108" s="44" customFormat="true" ht="13.5" hidden="false" customHeight="true" outlineLevel="0" collapsed="false">
      <c r="A108" s="1"/>
      <c r="B108" s="45" t="s">
        <v>175</v>
      </c>
      <c r="C108" s="45"/>
      <c r="D108" s="45"/>
      <c r="E108" s="45"/>
      <c r="F108" s="45"/>
      <c r="G108" s="45"/>
      <c r="H108" s="1"/>
      <c r="I108" s="1"/>
      <c r="J108" s="1"/>
      <c r="K108" s="2"/>
      <c r="L108" s="2"/>
      <c r="M108" s="2"/>
      <c r="N108" s="2"/>
      <c r="O108" s="2"/>
      <c r="P108" s="2"/>
      <c r="Q108" s="2"/>
      <c r="R108" s="2"/>
      <c r="S108" s="2"/>
      <c r="T108" s="2"/>
      <c r="U108" s="2"/>
      <c r="V108" s="2"/>
      <c r="W108" s="2"/>
      <c r="X108" s="2"/>
      <c r="Y108" s="2"/>
      <c r="Z108" s="2"/>
      <c r="AA108" s="79" t="n">
        <v>620</v>
      </c>
    </row>
    <row r="109" s="44" customFormat="true" ht="13.5" hidden="false" customHeight="true" outlineLevel="0" collapsed="false">
      <c r="A109" s="1"/>
      <c r="B109" s="46" t="s">
        <v>86</v>
      </c>
      <c r="C109" s="46" t="s">
        <v>87</v>
      </c>
      <c r="D109" s="46" t="s">
        <v>47</v>
      </c>
      <c r="E109" s="46" t="s">
        <v>176</v>
      </c>
      <c r="F109" s="46"/>
      <c r="G109" s="46"/>
      <c r="H109" s="1"/>
      <c r="I109" s="1"/>
      <c r="J109" s="1"/>
      <c r="K109" s="2"/>
      <c r="L109" s="2"/>
      <c r="M109" s="2"/>
      <c r="N109" s="2"/>
      <c r="O109" s="2"/>
      <c r="P109" s="2"/>
      <c r="Q109" s="2"/>
      <c r="R109" s="2"/>
      <c r="S109" s="2"/>
      <c r="T109" s="2"/>
      <c r="U109" s="2"/>
      <c r="V109" s="2"/>
      <c r="W109" s="2"/>
      <c r="X109" s="2"/>
      <c r="Y109" s="2"/>
      <c r="Z109" s="2"/>
      <c r="AA109" s="79" t="n">
        <v>680</v>
      </c>
    </row>
    <row r="110" s="44" customFormat="true" ht="13.5" hidden="false" customHeight="true" outlineLevel="0" collapsed="false">
      <c r="A110" s="1"/>
      <c r="B110" s="47" t="s">
        <v>177</v>
      </c>
      <c r="C110" s="67" t="n">
        <f aca="false">IFERROR(IF(C106&gt;0,(C106-1)*C105+C104,""),"")</f>
        <v>17</v>
      </c>
      <c r="D110" s="65" t="s">
        <v>16</v>
      </c>
      <c r="E110" s="50" t="s">
        <v>178</v>
      </c>
      <c r="F110" s="50"/>
      <c r="G110" s="50"/>
      <c r="H110" s="1"/>
      <c r="I110" s="1"/>
      <c r="J110" s="1"/>
      <c r="K110" s="2"/>
      <c r="L110" s="2"/>
      <c r="M110" s="2"/>
      <c r="N110" s="2"/>
      <c r="O110" s="2"/>
      <c r="P110" s="2"/>
      <c r="Q110" s="2"/>
      <c r="R110" s="2"/>
      <c r="S110" s="2"/>
      <c r="T110" s="2"/>
      <c r="U110" s="2"/>
      <c r="V110" s="2"/>
      <c r="W110" s="2"/>
      <c r="X110" s="2"/>
      <c r="Y110" s="2"/>
      <c r="Z110" s="2"/>
      <c r="AA110" s="79" t="n">
        <v>750</v>
      </c>
    </row>
    <row r="111" s="44" customFormat="true" ht="26.1" hidden="false" customHeight="true" outlineLevel="0" collapsed="false">
      <c r="A111" s="1"/>
      <c r="B111" s="47" t="s">
        <v>179</v>
      </c>
      <c r="C111" s="67" t="n">
        <f aca="false">(C103+C104)/2</f>
        <v>25.5</v>
      </c>
      <c r="D111" s="65" t="s">
        <v>16</v>
      </c>
      <c r="E111" s="50" t="s">
        <v>180</v>
      </c>
      <c r="F111" s="50"/>
      <c r="G111" s="50"/>
      <c r="H111" s="1"/>
      <c r="I111" s="1"/>
      <c r="J111" s="1"/>
      <c r="K111" s="2"/>
      <c r="L111" s="2"/>
      <c r="M111" s="2"/>
      <c r="N111" s="2"/>
      <c r="O111" s="2"/>
      <c r="P111" s="2"/>
      <c r="Q111" s="2"/>
      <c r="R111" s="2"/>
      <c r="S111" s="2"/>
      <c r="T111" s="2"/>
      <c r="U111" s="2"/>
      <c r="V111" s="2"/>
      <c r="W111" s="2"/>
      <c r="X111" s="2"/>
      <c r="Y111" s="2"/>
      <c r="Z111" s="2"/>
      <c r="AA111" s="79" t="n">
        <v>820</v>
      </c>
    </row>
    <row r="112" s="44" customFormat="true" ht="13.8" hidden="false" customHeight="true" outlineLevel="0" collapsed="false">
      <c r="A112" s="1"/>
      <c r="B112" s="47" t="s">
        <v>179</v>
      </c>
      <c r="C112" s="67" t="n">
        <f aca="false">((C103+C104)/2)/25.4</f>
        <v>1.00393700787402</v>
      </c>
      <c r="D112" s="65" t="s">
        <v>181</v>
      </c>
      <c r="E112" s="50" t="s">
        <v>182</v>
      </c>
      <c r="F112" s="50"/>
      <c r="G112" s="50"/>
      <c r="H112" s="1"/>
      <c r="I112" s="1"/>
      <c r="J112" s="1"/>
      <c r="K112" s="2"/>
      <c r="L112" s="2"/>
      <c r="M112" s="2"/>
      <c r="N112" s="2"/>
      <c r="O112" s="2"/>
      <c r="P112" s="2"/>
      <c r="Q112" s="2"/>
      <c r="R112" s="2"/>
      <c r="S112" s="2"/>
      <c r="T112" s="2"/>
      <c r="U112" s="2"/>
      <c r="V112" s="2"/>
      <c r="W112" s="2"/>
      <c r="X112" s="2"/>
      <c r="Y112" s="2"/>
      <c r="Z112" s="2"/>
      <c r="AA112" s="79" t="n">
        <v>910</v>
      </c>
    </row>
    <row r="113" s="44" customFormat="true" ht="13.8" hidden="false" customHeight="true" outlineLevel="0" collapsed="false">
      <c r="A113" s="1"/>
      <c r="B113" s="47" t="s">
        <v>177</v>
      </c>
      <c r="C113" s="67" t="n">
        <f aca="false">IFERROR(C110/25.4,"")</f>
        <v>0.669291338582677</v>
      </c>
      <c r="D113" s="65" t="s">
        <v>181</v>
      </c>
      <c r="E113" s="50" t="s">
        <v>182</v>
      </c>
      <c r="F113" s="50"/>
      <c r="G113" s="50"/>
      <c r="H113" s="1"/>
      <c r="I113" s="1"/>
      <c r="J113" s="1"/>
      <c r="K113" s="2"/>
      <c r="L113" s="2"/>
      <c r="M113" s="2"/>
      <c r="N113" s="2"/>
      <c r="O113" s="2"/>
      <c r="P113" s="2"/>
      <c r="Q113" s="2"/>
      <c r="R113" s="2"/>
      <c r="S113" s="2"/>
      <c r="T113" s="2"/>
      <c r="U113" s="2"/>
      <c r="V113" s="2"/>
      <c r="W113" s="2"/>
      <c r="X113" s="2"/>
      <c r="Y113" s="2"/>
      <c r="Z113" s="2"/>
      <c r="AA113" s="79" t="n">
        <v>1000</v>
      </c>
    </row>
    <row r="114" s="44" customFormat="true" ht="13.8" hidden="false" customHeight="true" outlineLevel="0" collapsed="false">
      <c r="A114" s="1"/>
      <c r="B114" s="47" t="s">
        <v>183</v>
      </c>
      <c r="C114" s="67" t="n">
        <f aca="false">IFERROR((C112^2*C106^2)/(9*C112+10*C113),"")</f>
        <v>5.19056793432736</v>
      </c>
      <c r="D114" s="65" t="s">
        <v>52</v>
      </c>
      <c r="E114" s="50" t="s">
        <v>184</v>
      </c>
      <c r="F114" s="50"/>
      <c r="G114" s="50"/>
      <c r="H114" s="1"/>
      <c r="I114" s="1"/>
      <c r="J114" s="1"/>
      <c r="K114" s="2"/>
      <c r="L114" s="2"/>
      <c r="M114" s="2"/>
      <c r="N114" s="2"/>
      <c r="O114" s="2"/>
      <c r="P114" s="2"/>
      <c r="Q114" s="2"/>
      <c r="R114" s="2"/>
      <c r="S114" s="2"/>
      <c r="T114" s="2"/>
      <c r="U114" s="2"/>
      <c r="V114" s="2"/>
      <c r="W114" s="2"/>
      <c r="X114" s="2"/>
      <c r="Y114" s="2"/>
      <c r="Z114" s="2"/>
      <c r="AA114" s="79" t="n">
        <v>1100</v>
      </c>
    </row>
    <row r="115" s="44" customFormat="true" ht="13.8" hidden="false" customHeight="true" outlineLevel="0" collapsed="false">
      <c r="A115" s="1"/>
      <c r="B115" s="47" t="s">
        <v>185</v>
      </c>
      <c r="C115" s="67" t="n">
        <f aca="false" t="array" ref="C115:C115">IFERROR(2*PI()*MIN(IF($F$15:$F$25="YES",$C$15:$C$25))*C114,"")</f>
        <v>233.185096293315</v>
      </c>
      <c r="D115" s="65" t="s">
        <v>9</v>
      </c>
      <c r="E115" s="50" t="s">
        <v>186</v>
      </c>
      <c r="F115" s="50"/>
      <c r="G115" s="50"/>
      <c r="H115" s="1"/>
      <c r="I115" s="1"/>
      <c r="J115" s="1"/>
      <c r="K115" s="2"/>
      <c r="L115" s="2"/>
      <c r="M115" s="2"/>
      <c r="N115" s="2"/>
      <c r="O115" s="2"/>
      <c r="P115" s="2"/>
      <c r="Q115" s="2"/>
      <c r="R115" s="2"/>
      <c r="S115" s="2"/>
      <c r="T115" s="2"/>
      <c r="U115" s="2"/>
      <c r="V115" s="2"/>
      <c r="W115" s="2"/>
      <c r="X115" s="2"/>
      <c r="Y115" s="2"/>
      <c r="Z115" s="2"/>
      <c r="AA115" s="79" t="n">
        <v>1200</v>
      </c>
    </row>
    <row r="116" s="44" customFormat="true" ht="13.8" hidden="false" customHeight="true" outlineLevel="0" collapsed="false">
      <c r="A116" s="1"/>
      <c r="B116" s="47" t="s">
        <v>187</v>
      </c>
      <c r="C116" s="67" t="n">
        <f aca="false" t="array" ref="C116:C116">IFERROR(4*$C$6/(2*PI()*MIN(IF($F$15:$F$25="YES",$C$15:$C$25))),"")</f>
        <v>4.45188652005302</v>
      </c>
      <c r="D116" s="65" t="s">
        <v>52</v>
      </c>
      <c r="E116" s="50" t="s">
        <v>188</v>
      </c>
      <c r="F116" s="50"/>
      <c r="G116" s="50"/>
      <c r="H116" s="1"/>
      <c r="I116" s="1"/>
      <c r="J116" s="1"/>
      <c r="K116" s="2"/>
      <c r="L116" s="2"/>
      <c r="M116" s="2"/>
      <c r="N116" s="2"/>
      <c r="O116" s="2"/>
      <c r="P116" s="2"/>
      <c r="Q116" s="2"/>
      <c r="R116" s="2"/>
      <c r="S116" s="2"/>
      <c r="T116" s="2"/>
      <c r="U116" s="2"/>
      <c r="V116" s="2"/>
      <c r="W116" s="2"/>
      <c r="X116" s="2"/>
      <c r="Y116" s="2"/>
      <c r="Z116" s="2"/>
      <c r="AA116" s="79" t="n">
        <v>1300</v>
      </c>
    </row>
    <row r="117" s="44" customFormat="true" ht="13.8" hidden="false" customHeight="true" outlineLevel="0" collapsed="false">
      <c r="A117" s="1"/>
      <c r="B117" s="47" t="s">
        <v>189</v>
      </c>
      <c r="C117" s="67" t="str">
        <f aca="false">IFERROR(IF(AND(ISNUMBER(C114),ISNUMBER(C116)),IF(C114&gt;=C116,"✔ YES","✘ INCREASE TURNS"),"—"),"")</f>
        <v>✔ YES</v>
      </c>
      <c r="D117" s="65" t="s">
        <v>190</v>
      </c>
      <c r="E117" s="50" t="s">
        <v>191</v>
      </c>
      <c r="F117" s="50"/>
      <c r="G117" s="50"/>
      <c r="H117" s="1"/>
      <c r="I117" s="1"/>
      <c r="J117" s="1"/>
      <c r="K117" s="2"/>
      <c r="L117" s="2"/>
      <c r="M117" s="2"/>
      <c r="N117" s="2"/>
      <c r="O117" s="2"/>
      <c r="P117" s="2"/>
      <c r="Q117" s="2"/>
      <c r="R117" s="2"/>
      <c r="S117" s="2"/>
      <c r="T117" s="2"/>
      <c r="U117" s="2"/>
      <c r="V117" s="2"/>
      <c r="W117" s="2"/>
      <c r="X117" s="2"/>
      <c r="Y117" s="2"/>
      <c r="Z117" s="2"/>
      <c r="AA117" s="79" t="n">
        <v>1500</v>
      </c>
    </row>
    <row r="118" s="44" customFormat="true" ht="12.75" hidden="false" customHeight="false" outlineLevel="0" collapsed="false">
      <c r="A118" s="1"/>
      <c r="B118" s="1"/>
      <c r="C118" s="1"/>
      <c r="D118" s="1"/>
      <c r="E118" s="1"/>
      <c r="F118" s="1"/>
      <c r="G118" s="1"/>
      <c r="H118" s="1"/>
      <c r="I118" s="1"/>
      <c r="J118" s="1"/>
      <c r="K118" s="2"/>
      <c r="L118" s="2"/>
      <c r="M118" s="2"/>
      <c r="N118" s="2"/>
      <c r="O118" s="2"/>
      <c r="P118" s="2"/>
      <c r="Q118" s="2"/>
      <c r="R118" s="2"/>
      <c r="S118" s="2"/>
      <c r="T118" s="2"/>
      <c r="U118" s="2"/>
      <c r="V118" s="2"/>
      <c r="W118" s="2"/>
      <c r="X118" s="2"/>
      <c r="Y118" s="2"/>
      <c r="Z118" s="2"/>
      <c r="AA118" s="79" t="n">
        <v>1600</v>
      </c>
    </row>
    <row r="119" s="44" customFormat="true" ht="12.75" hidden="false" customHeight="false" outlineLevel="0" collapsed="false">
      <c r="A119" s="1"/>
      <c r="B119" s="1"/>
      <c r="C119" s="1"/>
      <c r="D119" s="1"/>
      <c r="E119" s="1"/>
      <c r="F119" s="1"/>
      <c r="G119" s="1"/>
      <c r="H119" s="1"/>
      <c r="I119" s="1"/>
      <c r="J119" s="1"/>
      <c r="K119" s="2"/>
      <c r="L119" s="2"/>
      <c r="M119" s="2"/>
      <c r="N119" s="2"/>
      <c r="O119" s="2"/>
      <c r="P119" s="2"/>
      <c r="Q119" s="2"/>
      <c r="R119" s="2"/>
      <c r="S119" s="2"/>
      <c r="T119" s="2"/>
      <c r="U119" s="2"/>
      <c r="V119" s="2"/>
      <c r="W119" s="2"/>
      <c r="X119" s="2"/>
      <c r="Y119" s="2"/>
      <c r="Z119" s="2"/>
      <c r="AA119" s="79" t="n">
        <v>1800</v>
      </c>
    </row>
    <row r="120" s="44" customFormat="true" ht="12.75" hidden="false" customHeight="false" outlineLevel="0" collapsed="false">
      <c r="A120" s="1"/>
      <c r="B120" s="84" t="s">
        <v>192</v>
      </c>
      <c r="C120" s="84"/>
      <c r="D120" s="84"/>
      <c r="E120" s="84"/>
      <c r="F120" s="84"/>
      <c r="G120" s="84"/>
      <c r="H120" s="84"/>
      <c r="I120" s="84"/>
      <c r="J120" s="84"/>
      <c r="K120" s="2"/>
      <c r="L120" s="2"/>
      <c r="M120" s="2"/>
      <c r="N120" s="2"/>
      <c r="O120" s="2"/>
      <c r="P120" s="2"/>
      <c r="Q120" s="2"/>
      <c r="R120" s="2"/>
      <c r="S120" s="2"/>
      <c r="T120" s="2"/>
      <c r="U120" s="2"/>
      <c r="V120" s="2"/>
      <c r="W120" s="2"/>
      <c r="X120" s="2"/>
      <c r="Y120" s="2"/>
      <c r="Z120" s="2"/>
      <c r="AA120" s="79" t="n">
        <v>2000</v>
      </c>
    </row>
    <row r="121" s="44" customFormat="true" ht="12.75" hidden="false" customHeight="false" outlineLevel="0" collapsed="false">
      <c r="A121" s="1"/>
      <c r="B121" s="85" t="s">
        <v>193</v>
      </c>
      <c r="C121" s="85"/>
      <c r="D121" s="85"/>
      <c r="E121" s="85"/>
      <c r="F121" s="85"/>
      <c r="G121" s="85"/>
      <c r="H121" s="85"/>
      <c r="I121" s="85"/>
      <c r="J121" s="85"/>
      <c r="K121" s="2"/>
      <c r="L121" s="2"/>
      <c r="M121" s="2"/>
      <c r="N121" s="2"/>
      <c r="O121" s="2"/>
      <c r="P121" s="2"/>
      <c r="Q121" s="2"/>
      <c r="R121" s="2"/>
      <c r="S121" s="2"/>
      <c r="T121" s="2"/>
      <c r="U121" s="2"/>
      <c r="V121" s="2"/>
      <c r="W121" s="2"/>
      <c r="X121" s="2"/>
      <c r="Y121" s="2"/>
      <c r="Z121" s="2"/>
      <c r="AA121" s="79" t="n">
        <v>2200</v>
      </c>
    </row>
    <row r="122" s="44" customFormat="true" ht="12.75" hidden="false" customHeight="false" outlineLevel="0" collapsed="false">
      <c r="A122" s="1"/>
      <c r="B122" s="1"/>
      <c r="C122" s="1"/>
      <c r="D122" s="1"/>
      <c r="E122" s="1"/>
      <c r="F122" s="1"/>
      <c r="G122" s="1"/>
      <c r="H122" s="1"/>
      <c r="I122" s="1"/>
      <c r="J122" s="1"/>
      <c r="K122" s="2"/>
      <c r="L122" s="2"/>
      <c r="M122" s="2"/>
      <c r="N122" s="2"/>
      <c r="O122" s="2"/>
      <c r="P122" s="2"/>
      <c r="Q122" s="2"/>
      <c r="R122" s="2"/>
      <c r="S122" s="2"/>
      <c r="T122" s="2"/>
      <c r="U122" s="2"/>
      <c r="V122" s="2"/>
      <c r="W122" s="2"/>
      <c r="X122" s="2"/>
      <c r="Y122" s="2"/>
      <c r="Z122" s="2"/>
      <c r="AA122" s="79" t="n">
        <v>2400</v>
      </c>
    </row>
    <row r="123" s="44" customFormat="true" ht="12.75" hidden="false" customHeight="false" outlineLevel="0" collapsed="false">
      <c r="A123" s="1"/>
      <c r="B123" s="86" t="s">
        <v>194</v>
      </c>
      <c r="C123" s="86"/>
      <c r="D123" s="86"/>
      <c r="E123" s="86"/>
      <c r="F123" s="86"/>
      <c r="G123" s="86"/>
      <c r="H123" s="86"/>
      <c r="I123" s="86"/>
      <c r="J123" s="86"/>
      <c r="K123" s="2"/>
      <c r="L123" s="2"/>
      <c r="M123" s="2"/>
      <c r="N123" s="2"/>
      <c r="O123" s="2"/>
      <c r="P123" s="2"/>
      <c r="Q123" s="2"/>
      <c r="R123" s="2"/>
      <c r="S123" s="2"/>
      <c r="T123" s="2"/>
      <c r="U123" s="2"/>
      <c r="V123" s="2"/>
      <c r="W123" s="2"/>
      <c r="X123" s="2"/>
      <c r="Y123" s="2"/>
      <c r="Z123" s="2"/>
      <c r="AA123" s="79" t="n">
        <v>2700</v>
      </c>
    </row>
    <row r="124" s="44" customFormat="true" ht="12.75" hidden="false" customHeight="false" outlineLevel="0" collapsed="false">
      <c r="A124" s="1"/>
      <c r="B124" s="87" t="s">
        <v>195</v>
      </c>
      <c r="C124" s="87"/>
      <c r="D124" s="87"/>
      <c r="E124" s="87"/>
      <c r="F124" s="87"/>
      <c r="G124" s="87"/>
      <c r="H124" s="87"/>
      <c r="I124" s="87"/>
      <c r="J124" s="87"/>
      <c r="K124" s="2"/>
      <c r="L124" s="2"/>
      <c r="M124" s="2"/>
      <c r="N124" s="2"/>
      <c r="O124" s="2"/>
      <c r="P124" s="2"/>
      <c r="Q124" s="2"/>
      <c r="R124" s="2"/>
      <c r="S124" s="2"/>
      <c r="T124" s="2"/>
      <c r="U124" s="2"/>
      <c r="V124" s="2"/>
      <c r="W124" s="2"/>
      <c r="X124" s="2"/>
      <c r="Y124" s="2"/>
      <c r="Z124" s="2"/>
      <c r="AA124" s="79" t="n">
        <v>3000</v>
      </c>
    </row>
    <row r="125" s="44" customFormat="true" ht="12.75" hidden="false" customHeight="false" outlineLevel="0" collapsed="false">
      <c r="A125" s="1"/>
      <c r="B125" s="87" t="s">
        <v>196</v>
      </c>
      <c r="C125" s="87"/>
      <c r="D125" s="87"/>
      <c r="E125" s="87"/>
      <c r="F125" s="87"/>
      <c r="G125" s="87"/>
      <c r="H125" s="87"/>
      <c r="I125" s="87"/>
      <c r="J125" s="87"/>
      <c r="K125" s="2"/>
      <c r="L125" s="2"/>
      <c r="M125" s="2"/>
      <c r="N125" s="2"/>
      <c r="O125" s="2"/>
      <c r="P125" s="2"/>
      <c r="Q125" s="2"/>
      <c r="R125" s="2"/>
      <c r="S125" s="2"/>
      <c r="T125" s="2"/>
      <c r="U125" s="2"/>
      <c r="V125" s="2"/>
      <c r="W125" s="2"/>
      <c r="X125" s="2"/>
      <c r="Y125" s="2"/>
      <c r="Z125" s="2"/>
      <c r="AA125" s="79" t="n">
        <v>3300</v>
      </c>
    </row>
    <row r="126" s="44" customFormat="true" ht="12.75" hidden="false" customHeight="false" outlineLevel="0" collapsed="false">
      <c r="A126" s="1"/>
      <c r="B126" s="87" t="s">
        <v>197</v>
      </c>
      <c r="C126" s="87"/>
      <c r="D126" s="87"/>
      <c r="E126" s="87"/>
      <c r="F126" s="87"/>
      <c r="G126" s="87"/>
      <c r="H126" s="87"/>
      <c r="I126" s="87"/>
      <c r="J126" s="87"/>
      <c r="K126" s="2"/>
      <c r="L126" s="2"/>
      <c r="M126" s="2"/>
      <c r="N126" s="2"/>
      <c r="O126" s="2"/>
      <c r="P126" s="2"/>
      <c r="Q126" s="2"/>
      <c r="R126" s="2"/>
      <c r="S126" s="2"/>
      <c r="T126" s="2"/>
      <c r="U126" s="2"/>
      <c r="V126" s="2"/>
      <c r="W126" s="2"/>
      <c r="X126" s="2"/>
      <c r="Y126" s="2"/>
      <c r="Z126" s="2"/>
      <c r="AA126" s="79" t="n">
        <v>3600</v>
      </c>
    </row>
    <row r="127" s="44" customFormat="true" ht="12.75" hidden="false" customHeight="false" outlineLevel="0" collapsed="false">
      <c r="A127" s="1"/>
      <c r="B127" s="87" t="s">
        <v>198</v>
      </c>
      <c r="C127" s="87"/>
      <c r="D127" s="87"/>
      <c r="E127" s="87"/>
      <c r="F127" s="87"/>
      <c r="G127" s="87"/>
      <c r="H127" s="87"/>
      <c r="I127" s="87"/>
      <c r="J127" s="87"/>
      <c r="K127" s="2"/>
      <c r="L127" s="2"/>
      <c r="M127" s="2"/>
      <c r="N127" s="2"/>
      <c r="O127" s="2"/>
      <c r="P127" s="2"/>
      <c r="Q127" s="2"/>
      <c r="R127" s="2"/>
      <c r="S127" s="2"/>
      <c r="T127" s="2"/>
      <c r="U127" s="2"/>
      <c r="V127" s="2"/>
      <c r="W127" s="2"/>
      <c r="X127" s="2"/>
      <c r="Y127" s="2"/>
      <c r="Z127" s="2"/>
      <c r="AA127" s="79" t="n">
        <v>3900</v>
      </c>
    </row>
    <row r="128" s="44" customFormat="true" ht="12.75" hidden="false" customHeight="false" outlineLevel="0" collapsed="false">
      <c r="A128" s="1"/>
      <c r="B128" s="87" t="s">
        <v>199</v>
      </c>
      <c r="C128" s="87"/>
      <c r="D128" s="87"/>
      <c r="E128" s="87"/>
      <c r="F128" s="87"/>
      <c r="G128" s="87"/>
      <c r="H128" s="87"/>
      <c r="I128" s="87"/>
      <c r="J128" s="87"/>
      <c r="K128" s="2"/>
      <c r="L128" s="2"/>
      <c r="M128" s="2"/>
      <c r="N128" s="2"/>
      <c r="O128" s="2"/>
      <c r="P128" s="2"/>
      <c r="Q128" s="2"/>
      <c r="R128" s="2"/>
      <c r="S128" s="2"/>
      <c r="T128" s="2"/>
      <c r="U128" s="2"/>
      <c r="V128" s="2"/>
      <c r="W128" s="2"/>
      <c r="X128" s="2"/>
      <c r="Y128" s="2"/>
      <c r="Z128" s="2"/>
      <c r="AA128" s="79" t="n">
        <v>4300</v>
      </c>
    </row>
    <row r="129" s="44" customFormat="true" ht="12.75" hidden="false" customHeight="false" outlineLevel="0" collapsed="false">
      <c r="A129" s="1"/>
      <c r="B129" s="1"/>
      <c r="C129" s="1"/>
      <c r="D129" s="1"/>
      <c r="E129" s="1"/>
      <c r="F129" s="1"/>
      <c r="G129" s="1"/>
      <c r="H129" s="1"/>
      <c r="I129" s="1"/>
      <c r="J129" s="1"/>
      <c r="K129" s="2"/>
      <c r="L129" s="2"/>
      <c r="M129" s="2"/>
      <c r="N129" s="2"/>
      <c r="O129" s="2"/>
      <c r="P129" s="2"/>
      <c r="Q129" s="2"/>
      <c r="R129" s="2"/>
      <c r="S129" s="2"/>
      <c r="T129" s="2"/>
      <c r="U129" s="2"/>
      <c r="V129" s="2"/>
      <c r="W129" s="2"/>
      <c r="X129" s="2"/>
      <c r="Y129" s="2"/>
      <c r="Z129" s="2"/>
      <c r="AA129" s="79" t="n">
        <v>4700</v>
      </c>
    </row>
    <row r="130" s="44" customFormat="true" ht="25.35" hidden="false" customHeight="false" outlineLevel="0" collapsed="false">
      <c r="A130" s="1"/>
      <c r="B130" s="88" t="s">
        <v>102</v>
      </c>
      <c r="C130" s="88" t="s">
        <v>200</v>
      </c>
      <c r="D130" s="88" t="s">
        <v>201</v>
      </c>
      <c r="E130" s="88" t="s">
        <v>202</v>
      </c>
      <c r="F130" s="88" t="s">
        <v>203</v>
      </c>
      <c r="G130" s="88" t="s">
        <v>204</v>
      </c>
      <c r="H130" s="88" t="s">
        <v>205</v>
      </c>
      <c r="I130" s="88" t="s">
        <v>206</v>
      </c>
      <c r="J130" s="88" t="s">
        <v>207</v>
      </c>
      <c r="K130" s="2"/>
      <c r="L130" s="2"/>
      <c r="M130" s="2"/>
      <c r="N130" s="2"/>
      <c r="O130" s="2"/>
      <c r="P130" s="2"/>
      <c r="Q130" s="2"/>
      <c r="R130" s="2"/>
      <c r="S130" s="2"/>
      <c r="T130" s="2"/>
      <c r="U130" s="2"/>
      <c r="V130" s="2"/>
      <c r="W130" s="2"/>
      <c r="X130" s="2"/>
      <c r="Y130" s="2"/>
      <c r="Z130" s="2"/>
      <c r="AA130" s="79" t="n">
        <v>5100</v>
      </c>
    </row>
    <row r="131" s="44" customFormat="true" ht="12.75" hidden="false" customHeight="false" outlineLevel="0" collapsed="false">
      <c r="A131" s="1"/>
      <c r="B131" s="89" t="n">
        <v>1</v>
      </c>
      <c r="C131" s="90" t="n">
        <f aca="false">C15</f>
        <v>7.15</v>
      </c>
      <c r="D131" s="90" t="n">
        <f aca="false">D15</f>
        <v>75</v>
      </c>
      <c r="E131" s="90" t="n">
        <f aca="false">IF(ISNUMBER(E15),E15,"—")</f>
        <v>-12</v>
      </c>
      <c r="F131" s="90" t="n">
        <f aca="false">IF(ISNUMBER(E77),E77,"—")</f>
        <v>-9.09027692082232</v>
      </c>
      <c r="G131" s="91" t="n">
        <f aca="false">IFERROR(IF(AND(F15="YES",ISNUMBER(D77),D77&gt;0,ISNUMBER(D15),D15&gt;0),IF(($C$6*IF(ISNUMBER(E15),E15,0)/D15)&lt;0,ABS($C$6*IF(ISNUMBER(E15),E15,0)/D15)/(2*PI()*C15*1000000)*1000000,"—"),"—"),"—")</f>
        <v>0.178075460802121</v>
      </c>
      <c r="H131" s="90" t="str">
        <f aca="false">IFERROR(IF(AND(F15="YES",ISNUMBER(D77),D77&gt;0,ISNUMBER(D15),D15&gt;0),IF(($C$6*IF(ISNUMBER(E15),E15,0)/D15)&gt;0,1/((2*PI()*C15*1000000)*ABS($C$6*IF(ISNUMBER(E15),E15,0)/D15))*1000000000000,"—"),"—"),"—")</f>
        <v>—</v>
      </c>
      <c r="I131" s="91" t="n">
        <f aca="false">IFERROR(IF(AND(F15="YES",ISNUMBER(D77),D77&gt;0,ISNUMBER(D15),D15&gt;0),IF((D15*IF(ISNUMBER(E15),E15,0)/($C$6*(D15^2+IF(ISNUMBER(E15),E15,0)^2)))&lt;0,-1/((2*PI()*C15*1000000)*(D15*IF(ISNUMBER(E15),E15,0)/($C$6*(D15^2+IF(ISNUMBER(E15),E15,0)^2))))*1000000,"—"),"—"),"—")</f>
        <v>7.13414814838496</v>
      </c>
      <c r="J131" s="90" t="str">
        <f aca="false">IFERROR(IF(AND(F15="YES",ISNUMBER(D77),D77&gt;0,ISNUMBER(D15),D15&gt;0),IF((D15*IF(ISNUMBER(E15),E15,0)/($C$6*(D15^2+IF(ISNUMBER(E15),E15,0)^2)))&gt;0,(D15*IF(ISNUMBER(E15),E15,0)/($C$6*(D15^2+IF(ISNUMBER(E15),E15,0)^2)))/(2*PI()*C15*1000000)*1000000000000,"—"),"—"),"—")</f>
        <v>—</v>
      </c>
      <c r="K131" s="2"/>
      <c r="L131" s="2"/>
      <c r="M131" s="2"/>
      <c r="N131" s="2"/>
      <c r="O131" s="2"/>
      <c r="P131" s="2"/>
      <c r="Q131" s="2"/>
      <c r="R131" s="2"/>
      <c r="S131" s="2"/>
      <c r="T131" s="2"/>
      <c r="U131" s="2"/>
      <c r="V131" s="2"/>
      <c r="W131" s="2"/>
      <c r="X131" s="2"/>
      <c r="Y131" s="2"/>
      <c r="Z131" s="2"/>
      <c r="AA131" s="79" t="n">
        <v>5600</v>
      </c>
    </row>
    <row r="132" s="44" customFormat="true" ht="12.75" hidden="false" customHeight="false" outlineLevel="0" collapsed="false">
      <c r="A132" s="1"/>
      <c r="B132" s="89" t="n">
        <v>2</v>
      </c>
      <c r="C132" s="90" t="n">
        <f aca="false">C16</f>
        <v>14.17</v>
      </c>
      <c r="D132" s="90" t="n">
        <f aca="false">D16</f>
        <v>67</v>
      </c>
      <c r="E132" s="90" t="n">
        <f aca="false">IF(ISNUMBER(E16),E16,"—")</f>
        <v>23</v>
      </c>
      <c r="F132" s="90" t="n">
        <f aca="false">IF(ISNUMBER(E78),E78,"—")</f>
        <v>18.9465046895091</v>
      </c>
      <c r="G132" s="91" t="str">
        <f aca="false">IFERROR(IF(AND(F16="YES",ISNUMBER(D78),D78&gt;0,ISNUMBER(D16),D16&gt;0),IF(($C$6*IF(ISNUMBER(E16),E16,0)/D16)&lt;0,ABS($C$6*IF(ISNUMBER(E16),E16,0)/D16)/(2*PI()*C16*1000000)*1000000,"—"),"—"),"—")</f>
        <v>—</v>
      </c>
      <c r="H132" s="90" t="str">
        <f aca="false">IFERROR(IF(AND(F16="YES",ISNUMBER(D78),D78&gt;0,ISNUMBER(D16),D16&gt;0),IF(($C$6*IF(ISNUMBER(E16),E16,0)/D16)&gt;0,1/((2*PI()*C16*1000000)*ABS($C$6*IF(ISNUMBER(E16),E16,0)/D16))*1000000000000,"—"),"—"),"—")</f>
        <v>—</v>
      </c>
      <c r="I132" s="91" t="str">
        <f aca="false">IFERROR(IF(AND(F16="YES",ISNUMBER(D78),D78&gt;0,ISNUMBER(D16),D16&gt;0),IF((D16*IF(ISNUMBER(E16),E16,0)/($C$6*(D16^2+IF(ISNUMBER(E16),E16,0)^2)))&lt;0,-1/((2*PI()*C16*1000000)*(D16*IF(ISNUMBER(E16),E16,0)/($C$6*(D16^2+IF(ISNUMBER(E16),E16,0)^2))))*1000000,"—"),"—"),"—")</f>
        <v>—</v>
      </c>
      <c r="J132" s="90" t="str">
        <f aca="false">IFERROR(IF(AND(F16="YES",ISNUMBER(D78),D78&gt;0,ISNUMBER(D16),D16&gt;0),IF((D16*IF(ISNUMBER(E16),E16,0)/($C$6*(D16^2+IF(ISNUMBER(E16),E16,0)^2)))&gt;0,(D16*IF(ISNUMBER(E16),E16,0)/($C$6*(D16^2+IF(ISNUMBER(E16),E16,0)^2)))/(2*PI()*C16*1000000)*1000000000000,"—"),"—"),"—")</f>
        <v>—</v>
      </c>
      <c r="K132" s="2"/>
      <c r="L132" s="2"/>
      <c r="M132" s="2"/>
      <c r="N132" s="2"/>
      <c r="O132" s="2"/>
      <c r="P132" s="2"/>
      <c r="Q132" s="2"/>
      <c r="R132" s="2"/>
      <c r="S132" s="2"/>
      <c r="T132" s="2"/>
      <c r="U132" s="2"/>
      <c r="V132" s="2"/>
      <c r="W132" s="2"/>
      <c r="X132" s="2"/>
      <c r="Y132" s="2"/>
      <c r="Z132" s="2"/>
      <c r="AA132" s="79" t="n">
        <v>6200</v>
      </c>
    </row>
    <row r="133" s="44" customFormat="true" ht="12.75" hidden="false" customHeight="false" outlineLevel="0" collapsed="false">
      <c r="A133" s="1"/>
      <c r="B133" s="89" t="n">
        <v>3</v>
      </c>
      <c r="C133" s="90" t="n">
        <f aca="false">C17</f>
        <v>28</v>
      </c>
      <c r="D133" s="90" t="n">
        <f aca="false">D17</f>
        <v>45</v>
      </c>
      <c r="E133" s="90" t="n">
        <f aca="false">IF(ISNUMBER(E17),E17,"—")</f>
        <v>10</v>
      </c>
      <c r="F133" s="90" t="n">
        <f aca="false">IF(ISNUMBER(E79),E79,"—")</f>
        <v>12.5288077091515</v>
      </c>
      <c r="G133" s="91" t="str">
        <f aca="false">IFERROR(IF(AND(F17="YES",ISNUMBER(D79),D79&gt;0,ISNUMBER(D17),D17&gt;0),IF(($C$6*IF(ISNUMBER(E17),E17,0)/D17)&lt;0,ABS($C$6*IF(ISNUMBER(E17),E17,0)/D17)/(2*PI()*C17*1000000)*1000000,"—"),"—"),"—")</f>
        <v>—</v>
      </c>
      <c r="H133" s="90" t="str">
        <f aca="false">IFERROR(IF(AND(F17="YES",ISNUMBER(D79),D79&gt;0,ISNUMBER(D17),D17&gt;0),IF(($C$6*IF(ISNUMBER(E17),E17,0)/D17)&gt;0,1/((2*PI()*C17*1000000)*ABS($C$6*IF(ISNUMBER(E17),E17,0)/D17))*1000000000000,"—"),"—"),"—")</f>
        <v>—</v>
      </c>
      <c r="I133" s="91" t="str">
        <f aca="false">IFERROR(IF(AND(F17="YES",ISNUMBER(D79),D79&gt;0,ISNUMBER(D17),D17&gt;0),IF((D17*IF(ISNUMBER(E17),E17,0)/($C$6*(D17^2+IF(ISNUMBER(E17),E17,0)^2)))&lt;0,-1/((2*PI()*C17*1000000)*(D17*IF(ISNUMBER(E17),E17,0)/($C$6*(D17^2+IF(ISNUMBER(E17),E17,0)^2))))*1000000,"—"),"—"),"—")</f>
        <v>—</v>
      </c>
      <c r="J133" s="90" t="str">
        <f aca="false">IFERROR(IF(AND(F17="YES",ISNUMBER(D79),D79&gt;0,ISNUMBER(D17),D17&gt;0),IF((D17*IF(ISNUMBER(E17),E17,0)/($C$6*(D17^2+IF(ISNUMBER(E17),E17,0)^2)))&gt;0,(D17*IF(ISNUMBER(E17),E17,0)/($C$6*(D17^2+IF(ISNUMBER(E17),E17,0)^2)))/(2*PI()*C17*1000000)*1000000000000,"—"),"—"),"—")</f>
        <v>—</v>
      </c>
      <c r="K133" s="2"/>
      <c r="L133" s="2"/>
      <c r="M133" s="2"/>
      <c r="N133" s="2"/>
      <c r="O133" s="2"/>
      <c r="P133" s="2"/>
      <c r="Q133" s="2"/>
      <c r="R133" s="2"/>
      <c r="S133" s="2"/>
      <c r="T133" s="2"/>
      <c r="U133" s="2"/>
      <c r="V133" s="2"/>
      <c r="W133" s="2"/>
      <c r="X133" s="2"/>
      <c r="Y133" s="2"/>
      <c r="Z133" s="2"/>
      <c r="AA133" s="79" t="n">
        <v>6800</v>
      </c>
    </row>
    <row r="134" s="44" customFormat="true" ht="12.75" hidden="false" customHeight="false" outlineLevel="0" collapsed="false">
      <c r="A134" s="1"/>
      <c r="B134" s="89" t="n">
        <v>4</v>
      </c>
      <c r="C134" s="90" t="n">
        <f aca="false">C18</f>
        <v>0</v>
      </c>
      <c r="D134" s="90" t="n">
        <f aca="false">D18</f>
        <v>0</v>
      </c>
      <c r="E134" s="90" t="str">
        <f aca="false">IF(ISNUMBER(E18),E18,"—")</f>
        <v>—</v>
      </c>
      <c r="F134" s="90" t="str">
        <f aca="false">IF(ISNUMBER(E80),E80,"—")</f>
        <v>—</v>
      </c>
      <c r="G134" s="91" t="str">
        <f aca="false">IFERROR(IF(AND(F18="YES",ISNUMBER(D80),D80&gt;0,ISNUMBER(D18),D18&gt;0),IF(($C$6*IF(ISNUMBER(E18),E18,0)/D18)&lt;0,ABS($C$6*IF(ISNUMBER(E18),E18,0)/D18)/(2*PI()*C18*1000000)*1000000,"—"),"—"),"—")</f>
        <v>—</v>
      </c>
      <c r="H134" s="90" t="str">
        <f aca="false">IFERROR(IF(AND(F18="YES",ISNUMBER(D80),D80&gt;0,ISNUMBER(D18),D18&gt;0),IF(($C$6*IF(ISNUMBER(E18),E18,0)/D18)&gt;0,1/((2*PI()*C18*1000000)*ABS($C$6*IF(ISNUMBER(E18),E18,0)/D18))*1000000000000,"—"),"—"),"—")</f>
        <v>—</v>
      </c>
      <c r="I134" s="91" t="str">
        <f aca="false">IFERROR(IF(AND(F18="YES",ISNUMBER(D80),D80&gt;0,ISNUMBER(D18),D18&gt;0),IF((D18*IF(ISNUMBER(E18),E18,0)/($C$6*(D18^2+IF(ISNUMBER(E18),E18,0)^2)))&lt;0,-1/((2*PI()*C18*1000000)*(D18*IF(ISNUMBER(E18),E18,0)/($C$6*(D18^2+IF(ISNUMBER(E18),E18,0)^2))))*1000000,"—"),"—"),"—")</f>
        <v>—</v>
      </c>
      <c r="J134" s="90" t="str">
        <f aca="false">IFERROR(IF(AND(F18="YES",ISNUMBER(D80),D80&gt;0,ISNUMBER(D18),D18&gt;0),IF((D18*IF(ISNUMBER(E18),E18,0)/($C$6*(D18^2+IF(ISNUMBER(E18),E18,0)^2)))&gt;0,(D18*IF(ISNUMBER(E18),E18,0)/($C$6*(D18^2+IF(ISNUMBER(E18),E18,0)^2)))/(2*PI()*C18*1000000)*1000000000000,"—"),"—"),"—")</f>
        <v>—</v>
      </c>
      <c r="K134" s="2"/>
      <c r="L134" s="2"/>
      <c r="M134" s="2"/>
      <c r="N134" s="2"/>
      <c r="O134" s="2"/>
      <c r="P134" s="2"/>
      <c r="Q134" s="2"/>
      <c r="R134" s="2"/>
      <c r="S134" s="2"/>
      <c r="T134" s="2"/>
      <c r="U134" s="2"/>
      <c r="V134" s="2"/>
      <c r="W134" s="2"/>
      <c r="X134" s="2"/>
      <c r="Y134" s="2"/>
      <c r="Z134" s="2"/>
      <c r="AA134" s="79" t="n">
        <v>7500</v>
      </c>
    </row>
    <row r="135" s="44" customFormat="true" ht="12.75" hidden="false" customHeight="false" outlineLevel="0" collapsed="false">
      <c r="A135" s="1"/>
      <c r="B135" s="89" t="n">
        <v>5</v>
      </c>
      <c r="C135" s="90" t="n">
        <f aca="false">C19</f>
        <v>0</v>
      </c>
      <c r="D135" s="90" t="n">
        <f aca="false">D19</f>
        <v>0</v>
      </c>
      <c r="E135" s="90" t="str">
        <f aca="false">IF(ISNUMBER(E19),E19,"—")</f>
        <v>—</v>
      </c>
      <c r="F135" s="90" t="str">
        <f aca="false">IF(ISNUMBER(E81),E81,"—")</f>
        <v>—</v>
      </c>
      <c r="G135" s="91" t="str">
        <f aca="false">IFERROR(IF(AND(F19="YES",ISNUMBER(D81),D81&gt;0,ISNUMBER(D19),D19&gt;0),IF(($C$6*IF(ISNUMBER(E19),E19,0)/D19)&lt;0,ABS($C$6*IF(ISNUMBER(E19),E19,0)/D19)/(2*PI()*C19*1000000)*1000000,"—"),"—"),"—")</f>
        <v>—</v>
      </c>
      <c r="H135" s="90" t="str">
        <f aca="false">IFERROR(IF(AND(F19="YES",ISNUMBER(D81),D81&gt;0,ISNUMBER(D19),D19&gt;0),IF(($C$6*IF(ISNUMBER(E19),E19,0)/D19)&gt;0,1/((2*PI()*C19*1000000)*ABS($C$6*IF(ISNUMBER(E19),E19,0)/D19))*1000000000000,"—"),"—"),"—")</f>
        <v>—</v>
      </c>
      <c r="I135" s="91" t="str">
        <f aca="false">IFERROR(IF(AND(F19="YES",ISNUMBER(D81),D81&gt;0,ISNUMBER(D19),D19&gt;0),IF((D19*IF(ISNUMBER(E19),E19,0)/($C$6*(D19^2+IF(ISNUMBER(E19),E19,0)^2)))&lt;0,-1/((2*PI()*C19*1000000)*(D19*IF(ISNUMBER(E19),E19,0)/($C$6*(D19^2+IF(ISNUMBER(E19),E19,0)^2))))*1000000,"—"),"—"),"—")</f>
        <v>—</v>
      </c>
      <c r="J135" s="90" t="str">
        <f aca="false">IFERROR(IF(AND(F19="YES",ISNUMBER(D81),D81&gt;0,ISNUMBER(D19),D19&gt;0),IF((D19*IF(ISNUMBER(E19),E19,0)/($C$6*(D19^2+IF(ISNUMBER(E19),E19,0)^2)))&gt;0,(D19*IF(ISNUMBER(E19),E19,0)/($C$6*(D19^2+IF(ISNUMBER(E19),E19,0)^2)))/(2*PI()*C19*1000000)*1000000000000,"—"),"—"),"—")</f>
        <v>—</v>
      </c>
      <c r="K135" s="2"/>
      <c r="L135" s="2"/>
      <c r="M135" s="2"/>
      <c r="N135" s="2"/>
      <c r="O135" s="2"/>
      <c r="P135" s="2"/>
      <c r="Q135" s="2"/>
      <c r="R135" s="2"/>
      <c r="S135" s="2"/>
      <c r="T135" s="2"/>
      <c r="U135" s="2"/>
      <c r="V135" s="2"/>
      <c r="W135" s="2"/>
      <c r="X135" s="2"/>
      <c r="Y135" s="2"/>
      <c r="Z135" s="2"/>
      <c r="AA135" s="79" t="n">
        <v>8200</v>
      </c>
    </row>
    <row r="136" s="44" customFormat="true" ht="12.75" hidden="false" customHeight="false" outlineLevel="0" collapsed="false">
      <c r="A136" s="1"/>
      <c r="B136" s="89" t="n">
        <v>6</v>
      </c>
      <c r="C136" s="90" t="n">
        <f aca="false">C20</f>
        <v>0</v>
      </c>
      <c r="D136" s="90" t="n">
        <f aca="false">D20</f>
        <v>0</v>
      </c>
      <c r="E136" s="90" t="str">
        <f aca="false">IF(ISNUMBER(E20),E20,"—")</f>
        <v>—</v>
      </c>
      <c r="F136" s="90" t="str">
        <f aca="false">IF(ISNUMBER(E82),E82,"—")</f>
        <v>—</v>
      </c>
      <c r="G136" s="91" t="str">
        <f aca="false">IFERROR(IF(AND(F20="YES",ISNUMBER(D82),D82&gt;0,ISNUMBER(D20),D20&gt;0),IF(($C$6*IF(ISNUMBER(E20),E20,0)/D20)&lt;0,ABS($C$6*IF(ISNUMBER(E20),E20,0)/D20)/(2*PI()*C20*1000000)*1000000,"—"),"—"),"—")</f>
        <v>—</v>
      </c>
      <c r="H136" s="90" t="str">
        <f aca="false">IFERROR(IF(AND(F20="YES",ISNUMBER(D82),D82&gt;0,ISNUMBER(D20),D20&gt;0),IF(($C$6*IF(ISNUMBER(E20),E20,0)/D20)&gt;0,1/((2*PI()*C20*1000000)*ABS($C$6*IF(ISNUMBER(E20),E20,0)/D20))*1000000000000,"—"),"—"),"—")</f>
        <v>—</v>
      </c>
      <c r="I136" s="91" t="str">
        <f aca="false">IFERROR(IF(AND(F20="YES",ISNUMBER(D82),D82&gt;0,ISNUMBER(D20),D20&gt;0),IF((D20*IF(ISNUMBER(E20),E20,0)/($C$6*(D20^2+IF(ISNUMBER(E20),E20,0)^2)))&lt;0,-1/((2*PI()*C20*1000000)*(D20*IF(ISNUMBER(E20),E20,0)/($C$6*(D20^2+IF(ISNUMBER(E20),E20,0)^2))))*1000000,"—"),"—"),"—")</f>
        <v>—</v>
      </c>
      <c r="J136" s="90" t="str">
        <f aca="false">IFERROR(IF(AND(F20="YES",ISNUMBER(D82),D82&gt;0,ISNUMBER(D20),D20&gt;0),IF((D20*IF(ISNUMBER(E20),E20,0)/($C$6*(D20^2+IF(ISNUMBER(E20),E20,0)^2)))&gt;0,(D20*IF(ISNUMBER(E20),E20,0)/($C$6*(D20^2+IF(ISNUMBER(E20),E20,0)^2)))/(2*PI()*C20*1000000)*1000000000000,"—"),"—"),"—")</f>
        <v>—</v>
      </c>
      <c r="K136" s="2"/>
      <c r="L136" s="2"/>
      <c r="M136" s="2"/>
      <c r="N136" s="2"/>
      <c r="O136" s="2"/>
      <c r="P136" s="2"/>
      <c r="Q136" s="2"/>
      <c r="R136" s="2"/>
      <c r="S136" s="2"/>
      <c r="T136" s="2"/>
      <c r="U136" s="2"/>
      <c r="V136" s="2"/>
      <c r="W136" s="2"/>
      <c r="X136" s="2"/>
      <c r="Y136" s="2"/>
      <c r="Z136" s="2"/>
      <c r="AA136" s="79" t="n">
        <v>9100</v>
      </c>
    </row>
    <row r="137" s="44" customFormat="true" ht="12.75" hidden="false" customHeight="false" outlineLevel="0" collapsed="false">
      <c r="A137" s="1"/>
      <c r="B137" s="89" t="n">
        <v>7</v>
      </c>
      <c r="C137" s="90" t="n">
        <f aca="false">C21</f>
        <v>0</v>
      </c>
      <c r="D137" s="90" t="n">
        <f aca="false">D21</f>
        <v>0</v>
      </c>
      <c r="E137" s="90" t="str">
        <f aca="false">IF(ISNUMBER(E21),E21,"—")</f>
        <v>—</v>
      </c>
      <c r="F137" s="90" t="str">
        <f aca="false">IF(ISNUMBER(E83),E83,"—")</f>
        <v>—</v>
      </c>
      <c r="G137" s="91" t="str">
        <f aca="false">IFERROR(IF(AND(F21="YES",ISNUMBER(D83),D83&gt;0,ISNUMBER(D21),D21&gt;0),IF(($C$6*IF(ISNUMBER(E21),E21,0)/D21)&lt;0,ABS($C$6*IF(ISNUMBER(E21),E21,0)/D21)/(2*PI()*C21*1000000)*1000000,"—"),"—"),"—")</f>
        <v>—</v>
      </c>
      <c r="H137" s="90" t="str">
        <f aca="false">IFERROR(IF(AND(F21="YES",ISNUMBER(D83),D83&gt;0,ISNUMBER(D21),D21&gt;0),IF(($C$6*IF(ISNUMBER(E21),E21,0)/D21)&gt;0,1/((2*PI()*C21*1000000)*ABS($C$6*IF(ISNUMBER(E21),E21,0)/D21))*1000000000000,"—"),"—"),"—")</f>
        <v>—</v>
      </c>
      <c r="I137" s="91" t="str">
        <f aca="false">IFERROR(IF(AND(F21="YES",ISNUMBER(D83),D83&gt;0,ISNUMBER(D21),D21&gt;0),IF((D21*IF(ISNUMBER(E21),E21,0)/($C$6*(D21^2+IF(ISNUMBER(E21),E21,0)^2)))&lt;0,-1/((2*PI()*C21*1000000)*(D21*IF(ISNUMBER(E21),E21,0)/($C$6*(D21^2+IF(ISNUMBER(E21),E21,0)^2))))*1000000,"—"),"—"),"—")</f>
        <v>—</v>
      </c>
      <c r="J137" s="90" t="str">
        <f aca="false">IFERROR(IF(AND(F21="YES",ISNUMBER(D83),D83&gt;0,ISNUMBER(D21),D21&gt;0),IF((D21*IF(ISNUMBER(E21),E21,0)/($C$6*(D21^2+IF(ISNUMBER(E21),E21,0)^2)))&gt;0,(D21*IF(ISNUMBER(E21),E21,0)/($C$6*(D21^2+IF(ISNUMBER(E21),E21,0)^2)))/(2*PI()*C21*1000000)*1000000000000,"—"),"—"),"—")</f>
        <v>—</v>
      </c>
      <c r="K137" s="2"/>
      <c r="L137" s="2"/>
      <c r="M137" s="2"/>
      <c r="N137" s="2"/>
      <c r="O137" s="2"/>
      <c r="P137" s="2"/>
      <c r="Q137" s="2"/>
      <c r="R137" s="2"/>
      <c r="S137" s="2"/>
      <c r="T137" s="2"/>
      <c r="U137" s="2"/>
      <c r="V137" s="2"/>
      <c r="W137" s="2"/>
      <c r="X137" s="2"/>
      <c r="Y137" s="2"/>
      <c r="Z137" s="2"/>
      <c r="AA137" s="79" t="n">
        <v>10000</v>
      </c>
    </row>
    <row r="138" s="44" customFormat="true" ht="12.75" hidden="false" customHeight="false" outlineLevel="0" collapsed="false">
      <c r="A138" s="1"/>
      <c r="B138" s="89" t="n">
        <v>8</v>
      </c>
      <c r="C138" s="90" t="n">
        <f aca="false">C22</f>
        <v>0</v>
      </c>
      <c r="D138" s="90" t="n">
        <f aca="false">D22</f>
        <v>0</v>
      </c>
      <c r="E138" s="90" t="str">
        <f aca="false">IF(ISNUMBER(E22),E22,"—")</f>
        <v>—</v>
      </c>
      <c r="F138" s="90" t="str">
        <f aca="false">IF(ISNUMBER(E84),E84,"—")</f>
        <v>—</v>
      </c>
      <c r="G138" s="91" t="str">
        <f aca="false">IFERROR(IF(AND(F22="YES",ISNUMBER(D84),D84&gt;0,ISNUMBER(D22),D22&gt;0),IF(($C$6*IF(ISNUMBER(E22),E22,0)/D22)&lt;0,ABS($C$6*IF(ISNUMBER(E22),E22,0)/D22)/(2*PI()*C22*1000000)*1000000,"—"),"—"),"—")</f>
        <v>—</v>
      </c>
      <c r="H138" s="90" t="str">
        <f aca="false">IFERROR(IF(AND(F22="YES",ISNUMBER(D84),D84&gt;0,ISNUMBER(D22),D22&gt;0),IF(($C$6*IF(ISNUMBER(E22),E22,0)/D22)&gt;0,1/((2*PI()*C22*1000000)*ABS($C$6*IF(ISNUMBER(E22),E22,0)/D22))*1000000000000,"—"),"—"),"—")</f>
        <v>—</v>
      </c>
      <c r="I138" s="91" t="str">
        <f aca="false">IFERROR(IF(AND(F22="YES",ISNUMBER(D84),D84&gt;0,ISNUMBER(D22),D22&gt;0),IF((D22*IF(ISNUMBER(E22),E22,0)/($C$6*(D22^2+IF(ISNUMBER(E22),E22,0)^2)))&lt;0,-1/((2*PI()*C22*1000000)*(D22*IF(ISNUMBER(E22),E22,0)/($C$6*(D22^2+IF(ISNUMBER(E22),E22,0)^2))))*1000000,"—"),"—"),"—")</f>
        <v>—</v>
      </c>
      <c r="J138" s="90" t="str">
        <f aca="false">IFERROR(IF(AND(F22="YES",ISNUMBER(D84),D84&gt;0,ISNUMBER(D22),D22&gt;0),IF((D22*IF(ISNUMBER(E22),E22,0)/($C$6*(D22^2+IF(ISNUMBER(E22),E22,0)^2)))&gt;0,(D22*IF(ISNUMBER(E22),E22,0)/($C$6*(D22^2+IF(ISNUMBER(E22),E22,0)^2)))/(2*PI()*C22*1000000)*1000000000000,"—"),"—"),"—")</f>
        <v>—</v>
      </c>
      <c r="K138" s="2"/>
      <c r="L138" s="2"/>
      <c r="M138" s="2"/>
      <c r="N138" s="2"/>
      <c r="O138" s="2"/>
      <c r="P138" s="2"/>
      <c r="Q138" s="2"/>
      <c r="R138" s="2"/>
      <c r="S138" s="2"/>
      <c r="T138" s="2"/>
      <c r="U138" s="2"/>
      <c r="V138" s="2"/>
      <c r="W138" s="2"/>
      <c r="X138" s="2"/>
      <c r="Y138" s="2"/>
      <c r="Z138" s="2"/>
      <c r="AA138" s="79" t="n">
        <v>11000</v>
      </c>
    </row>
    <row r="139" s="44" customFormat="true" ht="12.75" hidden="false" customHeight="false" outlineLevel="0" collapsed="false">
      <c r="A139" s="1"/>
      <c r="B139" s="89" t="n">
        <v>9</v>
      </c>
      <c r="C139" s="90" t="n">
        <f aca="false">C23</f>
        <v>0</v>
      </c>
      <c r="D139" s="90" t="n">
        <f aca="false">D23</f>
        <v>0</v>
      </c>
      <c r="E139" s="90" t="str">
        <f aca="false">IF(ISNUMBER(E23),E23,"—")</f>
        <v>—</v>
      </c>
      <c r="F139" s="90" t="str">
        <f aca="false">IF(ISNUMBER(E85),E85,"—")</f>
        <v>—</v>
      </c>
      <c r="G139" s="91" t="str">
        <f aca="false">IFERROR(IF(AND(F23="YES",ISNUMBER(D85),D85&gt;0,ISNUMBER(D23),D23&gt;0),IF(($C$6*IF(ISNUMBER(E23),E23,0)/D23)&lt;0,ABS($C$6*IF(ISNUMBER(E23),E23,0)/D23)/(2*PI()*C23*1000000)*1000000,"—"),"—"),"—")</f>
        <v>—</v>
      </c>
      <c r="H139" s="90" t="str">
        <f aca="false">IFERROR(IF(AND(F23="YES",ISNUMBER(D85),D85&gt;0,ISNUMBER(D23),D23&gt;0),IF(($C$6*IF(ISNUMBER(E23),E23,0)/D23)&gt;0,1/((2*PI()*C23*1000000)*ABS($C$6*IF(ISNUMBER(E23),E23,0)/D23))*1000000000000,"—"),"—"),"—")</f>
        <v>—</v>
      </c>
      <c r="I139" s="91" t="str">
        <f aca="false">IFERROR(IF(AND(F23="YES",ISNUMBER(D85),D85&gt;0,ISNUMBER(D23),D23&gt;0),IF((D23*IF(ISNUMBER(E23),E23,0)/($C$6*(D23^2+IF(ISNUMBER(E23),E23,0)^2)))&lt;0,-1/((2*PI()*C23*1000000)*(D23*IF(ISNUMBER(E23),E23,0)/($C$6*(D23^2+IF(ISNUMBER(E23),E23,0)^2))))*1000000,"—"),"—"),"—")</f>
        <v>—</v>
      </c>
      <c r="J139" s="90" t="str">
        <f aca="false">IFERROR(IF(AND(F23="YES",ISNUMBER(D85),D85&gt;0,ISNUMBER(D23),D23&gt;0),IF((D23*IF(ISNUMBER(E23),E23,0)/($C$6*(D23^2+IF(ISNUMBER(E23),E23,0)^2)))&gt;0,(D23*IF(ISNUMBER(E23),E23,0)/($C$6*(D23^2+IF(ISNUMBER(E23),E23,0)^2)))/(2*PI()*C23*1000000)*1000000000000,"—"),"—"),"—")</f>
        <v>—</v>
      </c>
      <c r="K139" s="2"/>
      <c r="L139" s="2"/>
      <c r="M139" s="2"/>
      <c r="N139" s="2"/>
      <c r="O139" s="2"/>
      <c r="P139" s="2"/>
      <c r="Q139" s="2"/>
      <c r="R139" s="2"/>
      <c r="S139" s="2"/>
      <c r="T139" s="2"/>
      <c r="U139" s="2"/>
      <c r="V139" s="2"/>
      <c r="W139" s="2"/>
      <c r="X139" s="2"/>
      <c r="Y139" s="2"/>
      <c r="Z139" s="2"/>
      <c r="AA139" s="79" t="n">
        <v>12000</v>
      </c>
    </row>
    <row r="140" s="44" customFormat="true" ht="12.75" hidden="false" customHeight="false" outlineLevel="0" collapsed="false">
      <c r="A140" s="1"/>
      <c r="B140" s="89" t="n">
        <v>10</v>
      </c>
      <c r="C140" s="90" t="n">
        <f aca="false">C24</f>
        <v>0</v>
      </c>
      <c r="D140" s="90" t="n">
        <f aca="false">D24</f>
        <v>0</v>
      </c>
      <c r="E140" s="90" t="str">
        <f aca="false">IF(ISNUMBER(E24),E24,"—")</f>
        <v>—</v>
      </c>
      <c r="F140" s="90" t="str">
        <f aca="false">IF(ISNUMBER(E86),E86,"—")</f>
        <v>—</v>
      </c>
      <c r="G140" s="91" t="str">
        <f aca="false">IFERROR(IF(AND(F24="YES",ISNUMBER(D86),D86&gt;0,ISNUMBER(D24),D24&gt;0),IF(($C$6*IF(ISNUMBER(E24),E24,0)/D24)&lt;0,ABS($C$6*IF(ISNUMBER(E24),E24,0)/D24)/(2*PI()*C24*1000000)*1000000,"—"),"—"),"—")</f>
        <v>—</v>
      </c>
      <c r="H140" s="90" t="str">
        <f aca="false">IFERROR(IF(AND(F24="YES",ISNUMBER(D86),D86&gt;0,ISNUMBER(D24),D24&gt;0),IF(($C$6*IF(ISNUMBER(E24),E24,0)/D24)&gt;0,1/((2*PI()*C24*1000000)*ABS($C$6*IF(ISNUMBER(E24),E24,0)/D24))*1000000000000,"—"),"—"),"—")</f>
        <v>—</v>
      </c>
      <c r="I140" s="91" t="str">
        <f aca="false">IFERROR(IF(AND(F24="YES",ISNUMBER(D86),D86&gt;0,ISNUMBER(D24),D24&gt;0),IF((D24*IF(ISNUMBER(E24),E24,0)/($C$6*(D24^2+IF(ISNUMBER(E24),E24,0)^2)))&lt;0,-1/((2*PI()*C24*1000000)*(D24*IF(ISNUMBER(E24),E24,0)/($C$6*(D24^2+IF(ISNUMBER(E24),E24,0)^2))))*1000000,"—"),"—"),"—")</f>
        <v>—</v>
      </c>
      <c r="J140" s="90" t="str">
        <f aca="false">IFERROR(IF(AND(F24="YES",ISNUMBER(D86),D86&gt;0,ISNUMBER(D24),D24&gt;0),IF((D24*IF(ISNUMBER(E24),E24,0)/($C$6*(D24^2+IF(ISNUMBER(E24),E24,0)^2)))&gt;0,(D24*IF(ISNUMBER(E24),E24,0)/($C$6*(D24^2+IF(ISNUMBER(E24),E24,0)^2)))/(2*PI()*C24*1000000)*1000000000000,"—"),"—"),"—")</f>
        <v>—</v>
      </c>
      <c r="K140" s="2"/>
      <c r="L140" s="2"/>
      <c r="M140" s="2"/>
      <c r="N140" s="2"/>
      <c r="O140" s="2"/>
      <c r="P140" s="2"/>
      <c r="Q140" s="2"/>
      <c r="R140" s="2"/>
      <c r="S140" s="2"/>
      <c r="T140" s="2"/>
      <c r="U140" s="2"/>
      <c r="V140" s="2"/>
      <c r="W140" s="2"/>
      <c r="X140" s="2"/>
      <c r="Y140" s="2"/>
      <c r="Z140" s="2"/>
      <c r="AA140" s="79" t="n">
        <v>13000</v>
      </c>
    </row>
    <row r="141" s="44" customFormat="true" ht="12.75" hidden="false" customHeight="false" outlineLevel="0" collapsed="false">
      <c r="A141" s="1"/>
      <c r="B141" s="89" t="n">
        <v>11</v>
      </c>
      <c r="C141" s="90" t="n">
        <f aca="false">C25</f>
        <v>0</v>
      </c>
      <c r="D141" s="90" t="n">
        <f aca="false">D25</f>
        <v>0</v>
      </c>
      <c r="E141" s="90" t="str">
        <f aca="false">IF(ISNUMBER(E25),E25,"—")</f>
        <v>—</v>
      </c>
      <c r="F141" s="90" t="str">
        <f aca="false">IF(ISNUMBER(E87),E87,"—")</f>
        <v>—</v>
      </c>
      <c r="G141" s="91" t="str">
        <f aca="false">IFERROR(IF(AND(F25="YES",ISNUMBER(D87),D87&gt;0,ISNUMBER(D25),D25&gt;0),IF(($C$6*IF(ISNUMBER(E25),E25,0)/D25)&lt;0,ABS($C$6*IF(ISNUMBER(E25),E25,0)/D25)/(2*PI()*C25*1000000)*1000000,"—"),"—"),"—")</f>
        <v>—</v>
      </c>
      <c r="H141" s="90" t="str">
        <f aca="false">IFERROR(IF(AND(F25="YES",ISNUMBER(D87),D87&gt;0,ISNUMBER(D25),D25&gt;0),IF(($C$6*IF(ISNUMBER(E25),E25,0)/D25)&gt;0,1/((2*PI()*C25*1000000)*ABS($C$6*IF(ISNUMBER(E25),E25,0)/D25))*1000000000000,"—"),"—"),"—")</f>
        <v>—</v>
      </c>
      <c r="I141" s="91" t="str">
        <f aca="false">IFERROR(IF(AND(F25="YES",ISNUMBER(D87),D87&gt;0,ISNUMBER(D25),D25&gt;0),IF((D25*IF(ISNUMBER(E25),E25,0)/($C$6*(D25^2+IF(ISNUMBER(E25),E25,0)^2)))&lt;0,-1/((2*PI()*C25*1000000)*(D25*IF(ISNUMBER(E25),E25,0)/($C$6*(D25^2+IF(ISNUMBER(E25),E25,0)^2))))*1000000,"—"),"—"),"—")</f>
        <v>—</v>
      </c>
      <c r="J141" s="90" t="str">
        <f aca="false">IFERROR(IF(AND(F25="YES",ISNUMBER(D87),D87&gt;0,ISNUMBER(D25),D25&gt;0),IF((D25*IF(ISNUMBER(E25),E25,0)/($C$6*(D25^2+IF(ISNUMBER(E25),E25,0)^2)))&gt;0,(D25*IF(ISNUMBER(E25),E25,0)/($C$6*(D25^2+IF(ISNUMBER(E25),E25,0)^2)))/(2*PI()*C25*1000000)*1000000000000,"—"),"—"),"—")</f>
        <v>—</v>
      </c>
      <c r="K141" s="2"/>
      <c r="L141" s="2"/>
      <c r="M141" s="2"/>
      <c r="N141" s="2"/>
      <c r="O141" s="2"/>
      <c r="P141" s="2"/>
      <c r="Q141" s="2"/>
      <c r="R141" s="2"/>
      <c r="S141" s="2"/>
      <c r="T141" s="2"/>
      <c r="U141" s="2"/>
      <c r="V141" s="2"/>
      <c r="W141" s="2"/>
      <c r="X141" s="2"/>
      <c r="Y141" s="2"/>
      <c r="Z141" s="2"/>
      <c r="AA141" s="79" t="n">
        <v>15000</v>
      </c>
    </row>
    <row r="142" s="44" customFormat="true" ht="12.75" hidden="false" customHeight="false" outlineLevel="0" collapsed="false">
      <c r="A142" s="1"/>
      <c r="B142" s="1"/>
      <c r="C142" s="1"/>
      <c r="D142" s="1"/>
      <c r="E142" s="1"/>
      <c r="F142" s="1"/>
      <c r="G142" s="1"/>
      <c r="H142" s="1"/>
      <c r="I142" s="1"/>
      <c r="J142" s="1"/>
      <c r="K142" s="2"/>
      <c r="L142" s="2"/>
      <c r="M142" s="2"/>
      <c r="N142" s="2"/>
      <c r="O142" s="2"/>
      <c r="P142" s="2"/>
      <c r="Q142" s="2"/>
      <c r="R142" s="2"/>
      <c r="S142" s="2"/>
      <c r="T142" s="2"/>
      <c r="U142" s="2"/>
      <c r="V142" s="2"/>
      <c r="W142" s="2"/>
      <c r="X142" s="2"/>
      <c r="Y142" s="2"/>
      <c r="Z142" s="2"/>
      <c r="AA142" s="79" t="n">
        <v>16000</v>
      </c>
    </row>
    <row r="143" s="44" customFormat="true" ht="12.75" hidden="false" customHeight="false" outlineLevel="0" collapsed="false">
      <c r="A143" s="1"/>
      <c r="B143" s="86" t="s">
        <v>208</v>
      </c>
      <c r="C143" s="86"/>
      <c r="D143" s="86"/>
      <c r="E143" s="86"/>
      <c r="F143" s="86"/>
      <c r="G143" s="86"/>
      <c r="H143" s="86"/>
      <c r="I143" s="86"/>
      <c r="J143" s="86"/>
      <c r="K143" s="2"/>
      <c r="L143" s="2"/>
      <c r="M143" s="2"/>
      <c r="N143" s="2"/>
      <c r="O143" s="2"/>
      <c r="P143" s="2"/>
      <c r="Q143" s="2"/>
      <c r="R143" s="2"/>
      <c r="S143" s="2"/>
      <c r="T143" s="2"/>
      <c r="U143" s="2"/>
      <c r="V143" s="2"/>
      <c r="W143" s="2"/>
      <c r="X143" s="2"/>
      <c r="Y143" s="2"/>
      <c r="Z143" s="2"/>
      <c r="AA143" s="79" t="n">
        <v>18000</v>
      </c>
    </row>
    <row r="144" s="44" customFormat="true" ht="12.75" hidden="false" customHeight="false" outlineLevel="0" collapsed="false">
      <c r="A144" s="1"/>
      <c r="B144" s="92" t="s">
        <v>209</v>
      </c>
      <c r="C144" s="87" t="s">
        <v>210</v>
      </c>
      <c r="D144" s="87"/>
      <c r="E144" s="87"/>
      <c r="F144" s="87"/>
      <c r="G144" s="87"/>
      <c r="H144" s="87"/>
      <c r="I144" s="87"/>
      <c r="J144" s="87"/>
      <c r="K144" s="2"/>
      <c r="L144" s="2"/>
      <c r="M144" s="2"/>
      <c r="N144" s="2"/>
      <c r="O144" s="2"/>
      <c r="P144" s="2"/>
      <c r="Q144" s="2"/>
      <c r="R144" s="2"/>
      <c r="S144" s="2"/>
      <c r="T144" s="2"/>
      <c r="U144" s="2"/>
      <c r="V144" s="2"/>
      <c r="W144" s="2"/>
      <c r="X144" s="2"/>
      <c r="Y144" s="2"/>
      <c r="Z144" s="2"/>
      <c r="AA144" s="79" t="n">
        <v>20000</v>
      </c>
    </row>
    <row r="145" s="44" customFormat="true" ht="12.75" hidden="false" customHeight="false" outlineLevel="0" collapsed="false">
      <c r="A145" s="1"/>
      <c r="B145" s="92" t="s">
        <v>211</v>
      </c>
      <c r="C145" s="87" t="s">
        <v>212</v>
      </c>
      <c r="D145" s="87"/>
      <c r="E145" s="87"/>
      <c r="F145" s="87"/>
      <c r="G145" s="87"/>
      <c r="H145" s="87"/>
      <c r="I145" s="87"/>
      <c r="J145" s="87"/>
      <c r="K145" s="2"/>
      <c r="L145" s="2"/>
      <c r="M145" s="2"/>
      <c r="N145" s="2"/>
      <c r="O145" s="2"/>
      <c r="P145" s="2"/>
      <c r="Q145" s="2"/>
      <c r="R145" s="2"/>
      <c r="S145" s="2"/>
      <c r="T145" s="2"/>
      <c r="U145" s="2"/>
      <c r="V145" s="2"/>
      <c r="W145" s="2"/>
      <c r="X145" s="2"/>
      <c r="Y145" s="2"/>
      <c r="Z145" s="2"/>
      <c r="AA145" s="79" t="n">
        <v>22000</v>
      </c>
    </row>
    <row r="146" s="44" customFormat="true" ht="12.75" hidden="false" customHeight="false" outlineLevel="0" collapsed="false">
      <c r="A146" s="1"/>
      <c r="B146" s="92" t="s">
        <v>213</v>
      </c>
      <c r="C146" s="87" t="s">
        <v>214</v>
      </c>
      <c r="D146" s="87"/>
      <c r="E146" s="87"/>
      <c r="F146" s="87"/>
      <c r="G146" s="87"/>
      <c r="H146" s="87"/>
      <c r="I146" s="87"/>
      <c r="J146" s="87"/>
      <c r="K146" s="2"/>
      <c r="L146" s="2"/>
      <c r="M146" s="2"/>
      <c r="N146" s="2"/>
      <c r="O146" s="2"/>
      <c r="P146" s="2"/>
      <c r="Q146" s="2"/>
      <c r="R146" s="2"/>
      <c r="S146" s="2"/>
      <c r="T146" s="2"/>
      <c r="U146" s="2"/>
      <c r="V146" s="2"/>
      <c r="W146" s="2"/>
      <c r="X146" s="2"/>
      <c r="Y146" s="2"/>
      <c r="Z146" s="2"/>
      <c r="AA146" s="79" t="n">
        <v>24000</v>
      </c>
    </row>
    <row r="147" s="44" customFormat="true" ht="12.75" hidden="false" customHeight="false" outlineLevel="0" collapsed="false">
      <c r="A147" s="1"/>
      <c r="B147" s="92" t="s">
        <v>215</v>
      </c>
      <c r="C147" s="87" t="s">
        <v>216</v>
      </c>
      <c r="D147" s="87"/>
      <c r="E147" s="87"/>
      <c r="F147" s="87"/>
      <c r="G147" s="87"/>
      <c r="H147" s="87"/>
      <c r="I147" s="87"/>
      <c r="J147" s="87"/>
      <c r="K147" s="2"/>
      <c r="L147" s="2"/>
      <c r="M147" s="2"/>
      <c r="N147" s="2"/>
      <c r="O147" s="2"/>
      <c r="P147" s="2"/>
      <c r="Q147" s="2"/>
      <c r="R147" s="2"/>
      <c r="S147" s="2"/>
      <c r="T147" s="2"/>
      <c r="U147" s="2"/>
      <c r="V147" s="2"/>
      <c r="W147" s="2"/>
      <c r="X147" s="2"/>
      <c r="Y147" s="2"/>
      <c r="Z147" s="2"/>
      <c r="AA147" s="79" t="n">
        <v>27000</v>
      </c>
    </row>
    <row r="148" s="44" customFormat="true" ht="12.75" hidden="false" customHeight="false" outlineLevel="0" collapsed="false">
      <c r="A148" s="1"/>
      <c r="B148" s="92" t="s">
        <v>217</v>
      </c>
      <c r="C148" s="87" t="s">
        <v>218</v>
      </c>
      <c r="D148" s="87"/>
      <c r="E148" s="87"/>
      <c r="F148" s="87"/>
      <c r="G148" s="87"/>
      <c r="H148" s="87"/>
      <c r="I148" s="87"/>
      <c r="J148" s="87"/>
      <c r="K148" s="2"/>
      <c r="L148" s="2"/>
      <c r="M148" s="2"/>
      <c r="N148" s="2"/>
      <c r="O148" s="2"/>
      <c r="P148" s="2"/>
      <c r="Q148" s="2"/>
      <c r="R148" s="2"/>
      <c r="S148" s="2"/>
      <c r="T148" s="2"/>
      <c r="U148" s="2"/>
      <c r="V148" s="2"/>
      <c r="W148" s="2"/>
      <c r="X148" s="2"/>
      <c r="Y148" s="2"/>
      <c r="Z148" s="2"/>
      <c r="AA148" s="79" t="n">
        <v>30000</v>
      </c>
    </row>
    <row r="149" s="44" customFormat="true" ht="12.75" hidden="false" customHeight="false" outlineLevel="0" collapsed="false">
      <c r="A149" s="1"/>
      <c r="B149" s="92" t="s">
        <v>219</v>
      </c>
      <c r="C149" s="87" t="s">
        <v>220</v>
      </c>
      <c r="D149" s="87"/>
      <c r="E149" s="87"/>
      <c r="F149" s="87"/>
      <c r="G149" s="87"/>
      <c r="H149" s="87"/>
      <c r="I149" s="87"/>
      <c r="J149" s="87"/>
      <c r="K149" s="2"/>
      <c r="L149" s="2"/>
      <c r="M149" s="2"/>
      <c r="N149" s="2"/>
      <c r="O149" s="2"/>
      <c r="P149" s="2"/>
      <c r="Q149" s="2"/>
      <c r="R149" s="2"/>
      <c r="S149" s="2"/>
      <c r="T149" s="2"/>
      <c r="U149" s="2"/>
      <c r="V149" s="2"/>
      <c r="W149" s="2"/>
      <c r="X149" s="2"/>
      <c r="Y149" s="2"/>
      <c r="Z149" s="2"/>
      <c r="AA149" s="79" t="n">
        <v>33000</v>
      </c>
    </row>
    <row r="150" customFormat="false" ht="12.75" hidden="false" customHeight="false" outlineLevel="0" collapsed="false">
      <c r="AA150" s="79" t="n">
        <v>43000</v>
      </c>
    </row>
    <row r="151" customFormat="false" ht="12.75" hidden="false" customHeight="false" outlineLevel="0" collapsed="false">
      <c r="AA151" s="79" t="n">
        <v>47000</v>
      </c>
    </row>
    <row r="152" customFormat="false" ht="12.75" hidden="false" customHeight="false" outlineLevel="0" collapsed="false">
      <c r="AA152" s="79" t="n">
        <v>51000</v>
      </c>
    </row>
    <row r="153" customFormat="false" ht="12.75" hidden="false" customHeight="false" outlineLevel="0" collapsed="false">
      <c r="AA153" s="79" t="n">
        <v>56000</v>
      </c>
    </row>
    <row r="154" customFormat="false" ht="12.75" hidden="false" customHeight="false" outlineLevel="0" collapsed="false">
      <c r="AA154" s="79" t="n">
        <v>62000</v>
      </c>
    </row>
    <row r="155" customFormat="false" ht="12.75" hidden="false" customHeight="false" outlineLevel="0" collapsed="false">
      <c r="AA155" s="79" t="n">
        <v>68000</v>
      </c>
    </row>
    <row r="156" customFormat="false" ht="12.75" hidden="false" customHeight="false" outlineLevel="0" collapsed="false">
      <c r="AA156" s="79" t="n">
        <v>75000</v>
      </c>
    </row>
    <row r="157" customFormat="false" ht="12.75" hidden="false" customHeight="false" outlineLevel="0" collapsed="false">
      <c r="AA157" s="79" t="n">
        <v>82000</v>
      </c>
    </row>
    <row r="158" customFormat="false" ht="12.75" hidden="false" customHeight="false" outlineLevel="0" collapsed="false">
      <c r="AA158" s="79" t="n">
        <v>91000</v>
      </c>
    </row>
    <row r="159" customFormat="false" ht="12.75" hidden="false" customHeight="false" outlineLevel="0" collapsed="false">
      <c r="AA159" s="79" t="n">
        <v>100000</v>
      </c>
    </row>
  </sheetData>
  <mergeCells count="62">
    <mergeCell ref="B1:I1"/>
    <mergeCell ref="B2:I2"/>
    <mergeCell ref="B4:I4"/>
    <mergeCell ref="E5:I5"/>
    <mergeCell ref="E6:H6"/>
    <mergeCell ref="E7:H7"/>
    <mergeCell ref="E8:H8"/>
    <mergeCell ref="E9:H9"/>
    <mergeCell ref="E10:I10"/>
    <mergeCell ref="B13:E13"/>
    <mergeCell ref="B27:D27"/>
    <mergeCell ref="B28:D28"/>
    <mergeCell ref="B30:D30"/>
    <mergeCell ref="B39:S39"/>
    <mergeCell ref="B53:I53"/>
    <mergeCell ref="B54:I54"/>
    <mergeCell ref="B56:I56"/>
    <mergeCell ref="B70:D70"/>
    <mergeCell ref="B72:I72"/>
    <mergeCell ref="B73:I73"/>
    <mergeCell ref="B75:I75"/>
    <mergeCell ref="B89:I89"/>
    <mergeCell ref="B90:I90"/>
    <mergeCell ref="B91:I91"/>
    <mergeCell ref="B92:I92"/>
    <mergeCell ref="B93:I93"/>
    <mergeCell ref="B94:I94"/>
    <mergeCell ref="B95:I95"/>
    <mergeCell ref="B96:I96"/>
    <mergeCell ref="B98:G98"/>
    <mergeCell ref="B99:G99"/>
    <mergeCell ref="B101:G101"/>
    <mergeCell ref="E102:G102"/>
    <mergeCell ref="E103:G103"/>
    <mergeCell ref="E104:G104"/>
    <mergeCell ref="E105:G105"/>
    <mergeCell ref="E106:G106"/>
    <mergeCell ref="B108:G108"/>
    <mergeCell ref="E109:G109"/>
    <mergeCell ref="E110:G110"/>
    <mergeCell ref="E111:G111"/>
    <mergeCell ref="E112:G112"/>
    <mergeCell ref="E113:G113"/>
    <mergeCell ref="E114:G114"/>
    <mergeCell ref="E115:G115"/>
    <mergeCell ref="E116:G116"/>
    <mergeCell ref="E117:G117"/>
    <mergeCell ref="B120:J120"/>
    <mergeCell ref="B121:J121"/>
    <mergeCell ref="B123:J123"/>
    <mergeCell ref="B124:J124"/>
    <mergeCell ref="B125:J125"/>
    <mergeCell ref="B126:J126"/>
    <mergeCell ref="B127:J127"/>
    <mergeCell ref="B128:J128"/>
    <mergeCell ref="B143:J143"/>
    <mergeCell ref="C144:J144"/>
    <mergeCell ref="C145:J145"/>
    <mergeCell ref="C146:J146"/>
    <mergeCell ref="C147:J147"/>
    <mergeCell ref="C148:J148"/>
    <mergeCell ref="C149:J149"/>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 &amp;Kffffff&amp;A</oddHeader>
    <oddFooter>&amp;C&amp;"Times New Roman,Normal"&amp;12 &amp;KffffffPágina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A6A6"/>
    <pageSetUpPr fitToPage="false"/>
  </sheetPr>
  <dimension ref="A1:G17"/>
  <sheetViews>
    <sheetView showFormulas="false" showGridLines="false" showRowColHeaders="true" showZeros="true" rightToLeft="false" tabSelected="false" showOutlineSymbols="true" defaultGridColor="true" view="normal" topLeftCell="A1" colorId="64" zoomScale="200" zoomScaleNormal="200" zoomScalePageLayoutView="100" workbookViewId="0">
      <selection pane="topLeft" activeCell="F22" activeCellId="1" sqref="F25 F22"/>
    </sheetView>
  </sheetViews>
  <sheetFormatPr defaultColWidth="11.53515625" defaultRowHeight="13.5" customHeight="false" zeroHeight="false" outlineLevelRow="0" outlineLevelCol="0"/>
  <cols>
    <col collapsed="false" customWidth="true" hidden="false" outlineLevel="0" max="1" min="1" style="93" width="19.4"/>
    <col collapsed="false" customWidth="true" hidden="false" outlineLevel="0" max="2" min="2" style="93" width="23.5"/>
    <col collapsed="false" customWidth="true" hidden="false" outlineLevel="0" max="3" min="3" style="93" width="12.01"/>
    <col collapsed="false" customWidth="true" hidden="false" outlineLevel="0" max="4" min="4" style="93" width="9.92"/>
    <col collapsed="false" customWidth="true" hidden="false" outlineLevel="0" max="5" min="5" style="93" width="9.21"/>
    <col collapsed="false" customWidth="true" hidden="false" outlineLevel="0" max="6" min="6" style="93" width="13.26"/>
    <col collapsed="false" customWidth="false" hidden="false" outlineLevel="0" max="16384" min="7" style="93" width="11.53"/>
  </cols>
  <sheetData>
    <row r="1" customFormat="false" ht="13.5" hidden="false" customHeight="true" outlineLevel="0" collapsed="false">
      <c r="A1" s="94" t="s">
        <v>221</v>
      </c>
      <c r="B1" s="94" t="s">
        <v>222</v>
      </c>
      <c r="C1" s="94" t="s">
        <v>223</v>
      </c>
      <c r="D1" s="94" t="s">
        <v>224</v>
      </c>
      <c r="E1" s="94" t="s">
        <v>225</v>
      </c>
      <c r="F1" s="94" t="s">
        <v>226</v>
      </c>
      <c r="G1" s="95" t="s">
        <v>227</v>
      </c>
    </row>
    <row r="2" customFormat="false" ht="13.5" hidden="false" customHeight="true" outlineLevel="0" collapsed="false">
      <c r="A2" s="93" t="s">
        <v>228</v>
      </c>
      <c r="B2" s="93" t="s">
        <v>229</v>
      </c>
      <c r="C2" s="93" t="n">
        <v>510</v>
      </c>
      <c r="D2" s="93" t="n">
        <v>29</v>
      </c>
      <c r="E2" s="93" t="n">
        <v>19</v>
      </c>
      <c r="F2" s="93" t="n">
        <v>7.5</v>
      </c>
      <c r="G2" s="44" t="n">
        <v>0.38</v>
      </c>
    </row>
    <row r="3" customFormat="false" ht="13.5" hidden="false" customHeight="true" outlineLevel="0" collapsed="false">
      <c r="A3" s="93" t="s">
        <v>230</v>
      </c>
      <c r="B3" s="93" t="s">
        <v>229</v>
      </c>
      <c r="C3" s="93" t="n">
        <v>885</v>
      </c>
      <c r="D3" s="93" t="n">
        <v>35.6</v>
      </c>
      <c r="E3" s="93" t="n">
        <v>22.9</v>
      </c>
      <c r="F3" s="93" t="n">
        <v>12.7</v>
      </c>
      <c r="G3" s="44" t="n">
        <v>0.63</v>
      </c>
    </row>
    <row r="4" customFormat="false" ht="13.5" hidden="false" customHeight="true" outlineLevel="0" collapsed="false">
      <c r="A4" s="93" t="s">
        <v>231</v>
      </c>
      <c r="B4" s="93" t="s">
        <v>229</v>
      </c>
      <c r="C4" s="93" t="n">
        <v>1075</v>
      </c>
      <c r="D4" s="93" t="n">
        <v>61</v>
      </c>
      <c r="E4" s="93" t="n">
        <v>35.6</v>
      </c>
      <c r="F4" s="93" t="n">
        <v>12.7</v>
      </c>
      <c r="G4" s="44" t="n">
        <v>1.52</v>
      </c>
    </row>
    <row r="5" customFormat="false" ht="13.5" hidden="false" customHeight="true" outlineLevel="0" collapsed="false">
      <c r="A5" s="93" t="s">
        <v>232</v>
      </c>
      <c r="B5" s="93" t="s">
        <v>233</v>
      </c>
      <c r="C5" s="93" t="n">
        <v>800</v>
      </c>
      <c r="D5" s="93" t="n">
        <v>29</v>
      </c>
      <c r="E5" s="93" t="n">
        <v>19</v>
      </c>
      <c r="F5" s="93" t="n">
        <v>7.5</v>
      </c>
      <c r="G5" s="44" t="n">
        <v>0.38</v>
      </c>
    </row>
    <row r="6" customFormat="false" ht="13.5" hidden="false" customHeight="true" outlineLevel="0" collapsed="false">
      <c r="A6" s="93" t="s">
        <v>234</v>
      </c>
      <c r="B6" s="93" t="s">
        <v>233</v>
      </c>
      <c r="C6" s="93" t="n">
        <v>1390</v>
      </c>
      <c r="D6" s="93" t="n">
        <v>35.6</v>
      </c>
      <c r="E6" s="93" t="n">
        <v>22.9</v>
      </c>
      <c r="F6" s="93" t="n">
        <v>12.7</v>
      </c>
      <c r="G6" s="44" t="n">
        <v>0.63</v>
      </c>
    </row>
    <row r="7" customFormat="false" ht="13.5" hidden="false" customHeight="true" outlineLevel="0" collapsed="false">
      <c r="A7" s="93" t="s">
        <v>12</v>
      </c>
      <c r="B7" s="93" t="s">
        <v>233</v>
      </c>
      <c r="C7" s="93" t="n">
        <v>1800</v>
      </c>
      <c r="D7" s="93" t="n">
        <v>61</v>
      </c>
      <c r="E7" s="93" t="n">
        <v>35.6</v>
      </c>
      <c r="F7" s="93" t="n">
        <v>12.7</v>
      </c>
      <c r="G7" s="44" t="n">
        <v>1.52</v>
      </c>
    </row>
    <row r="8" customFormat="false" ht="13.5" hidden="false" customHeight="true" outlineLevel="0" collapsed="false">
      <c r="A8" s="93" t="s">
        <v>235</v>
      </c>
      <c r="B8" s="93" t="s">
        <v>236</v>
      </c>
      <c r="C8" s="93" t="n">
        <v>175</v>
      </c>
      <c r="D8" s="93" t="n">
        <v>29</v>
      </c>
      <c r="E8" s="93" t="n">
        <v>19</v>
      </c>
      <c r="F8" s="93" t="n">
        <v>7.5</v>
      </c>
      <c r="G8" s="44" t="n">
        <v>0.38</v>
      </c>
    </row>
    <row r="9" customFormat="false" ht="13.5" hidden="false" customHeight="true" outlineLevel="0" collapsed="false">
      <c r="A9" s="93" t="s">
        <v>237</v>
      </c>
      <c r="B9" s="93" t="s">
        <v>236</v>
      </c>
      <c r="C9" s="93" t="n">
        <v>225</v>
      </c>
      <c r="D9" s="93" t="n">
        <v>35.6</v>
      </c>
      <c r="E9" s="93" t="n">
        <v>22.9</v>
      </c>
      <c r="F9" s="93" t="n">
        <v>12.7</v>
      </c>
      <c r="G9" s="44" t="n">
        <v>0.63</v>
      </c>
    </row>
    <row r="10" customFormat="false" ht="13.5" hidden="false" customHeight="true" outlineLevel="0" collapsed="false">
      <c r="A10" s="93" t="s">
        <v>238</v>
      </c>
      <c r="B10" s="93" t="s">
        <v>236</v>
      </c>
      <c r="C10" s="93" t="n">
        <v>300</v>
      </c>
      <c r="D10" s="93" t="n">
        <v>61</v>
      </c>
      <c r="E10" s="93" t="n">
        <v>35.6</v>
      </c>
      <c r="F10" s="93" t="n">
        <v>12.7</v>
      </c>
      <c r="G10" s="44" t="n">
        <v>1.52</v>
      </c>
    </row>
    <row r="11" customFormat="false" ht="13.5" hidden="false" customHeight="true" outlineLevel="0" collapsed="false">
      <c r="A11" s="93" t="s">
        <v>239</v>
      </c>
      <c r="B11" s="93" t="s">
        <v>240</v>
      </c>
      <c r="C11" s="93" t="n">
        <v>79.3</v>
      </c>
      <c r="D11" s="93" t="n">
        <v>29</v>
      </c>
      <c r="E11" s="93" t="n">
        <v>19</v>
      </c>
      <c r="F11" s="93" t="n">
        <v>7.5</v>
      </c>
      <c r="G11" s="44" t="n">
        <v>0.38</v>
      </c>
    </row>
    <row r="12" customFormat="false" ht="13.5" hidden="false" customHeight="true" outlineLevel="0" collapsed="false">
      <c r="A12" s="93" t="s">
        <v>241</v>
      </c>
      <c r="B12" s="93" t="s">
        <v>240</v>
      </c>
      <c r="C12" s="93" t="n">
        <v>140</v>
      </c>
      <c r="D12" s="93" t="n">
        <v>35.6</v>
      </c>
      <c r="E12" s="93" t="n">
        <v>22.9</v>
      </c>
      <c r="F12" s="93" t="n">
        <v>12.7</v>
      </c>
      <c r="G12" s="44" t="n">
        <v>0.63</v>
      </c>
    </row>
    <row r="13" customFormat="false" ht="13.5" hidden="false" customHeight="true" outlineLevel="0" collapsed="false">
      <c r="A13" s="93" t="s">
        <v>242</v>
      </c>
      <c r="B13" s="93" t="s">
        <v>240</v>
      </c>
      <c r="C13" s="93" t="n">
        <v>170</v>
      </c>
      <c r="D13" s="93" t="n">
        <v>61</v>
      </c>
      <c r="E13" s="93" t="n">
        <v>35.6</v>
      </c>
      <c r="F13" s="93" t="n">
        <v>12.7</v>
      </c>
      <c r="G13" s="44" t="n">
        <v>1.52</v>
      </c>
    </row>
    <row r="14" customFormat="false" ht="13.5" hidden="false" customHeight="true" outlineLevel="0" collapsed="false">
      <c r="A14" s="93" t="s">
        <v>243</v>
      </c>
      <c r="B14" s="93" t="s">
        <v>244</v>
      </c>
      <c r="C14" s="93" t="n">
        <v>11</v>
      </c>
      <c r="D14" s="93" t="n">
        <v>33</v>
      </c>
      <c r="E14" s="93" t="n">
        <v>19.8</v>
      </c>
      <c r="F14" s="93" t="n">
        <v>11.1</v>
      </c>
      <c r="G14" s="44" t="n">
        <v>0.85</v>
      </c>
    </row>
    <row r="15" customFormat="false" ht="13.5" hidden="false" customHeight="true" outlineLevel="0" collapsed="false">
      <c r="A15" s="93" t="s">
        <v>245</v>
      </c>
      <c r="B15" s="93" t="s">
        <v>244</v>
      </c>
      <c r="C15" s="93" t="n">
        <v>12</v>
      </c>
      <c r="D15" s="93" t="n">
        <v>50.8</v>
      </c>
      <c r="E15" s="93" t="n">
        <v>31.8</v>
      </c>
      <c r="F15" s="93" t="n">
        <v>14</v>
      </c>
      <c r="G15" s="44" t="n">
        <v>1.58</v>
      </c>
    </row>
    <row r="16" customFormat="false" ht="13.5" hidden="false" customHeight="true" outlineLevel="0" collapsed="false">
      <c r="A16" s="93" t="s">
        <v>246</v>
      </c>
      <c r="B16" s="93" t="s">
        <v>247</v>
      </c>
      <c r="C16" s="93" t="n">
        <v>9.6</v>
      </c>
      <c r="D16" s="93" t="n">
        <v>33</v>
      </c>
      <c r="E16" s="93" t="n">
        <v>19.8</v>
      </c>
      <c r="F16" s="93" t="n">
        <v>11.1</v>
      </c>
      <c r="G16" s="44" t="n">
        <v>0.85</v>
      </c>
    </row>
    <row r="17" customFormat="false" ht="13.5" hidden="false" customHeight="true" outlineLevel="0" collapsed="false">
      <c r="A17" s="93" t="s">
        <v>248</v>
      </c>
      <c r="B17" s="93" t="s">
        <v>247</v>
      </c>
      <c r="C17" s="93" t="n">
        <v>11.6</v>
      </c>
      <c r="D17" s="93" t="n">
        <v>50.8</v>
      </c>
      <c r="E17" s="93" t="n">
        <v>31.8</v>
      </c>
      <c r="F17" s="93" t="n">
        <v>14</v>
      </c>
      <c r="G17" s="44" t="n">
        <v>1.58</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 &amp;Kffffff&amp;A</oddHeader>
    <oddFooter>&amp;C&amp;"Times New Roman,Normal"&amp;12 &amp;KffffffPágina &amp;P</oddFooter>
  </headerFooter>
</worksheet>
</file>

<file path=docProps/app.xml><?xml version="1.0" encoding="utf-8"?>
<Properties xmlns="http://schemas.openxmlformats.org/officeDocument/2006/extended-properties" xmlns:vt="http://schemas.openxmlformats.org/officeDocument/2006/docPropsVTypes">
  <Template/>
  <TotalTime>10</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2026-05-23T21:28:07Z</dcterms:created>
  <dc:creator>openpyxl</dc:creator>
  <dc:description/>
  <dc:language>en-US</dc:language>
  <cp:lastModifiedBy/>
  <dcterms:modified xsi:type="dcterms:W3CDTF">2026-06-28T13:13:18Z</dcterms:modified>
  <cp:revision>329</cp:revision>
  <dc:subject/>
  <dc:title/>
</cp:coreProperties>
</file>

<file path=docProps/custom.xml><?xml version="1.0" encoding="utf-8"?>
<Properties xmlns="http://schemas.openxmlformats.org/officeDocument/2006/custom-properties" xmlns:vt="http://schemas.openxmlformats.org/officeDocument/2006/docPropsVTypes"/>
</file>